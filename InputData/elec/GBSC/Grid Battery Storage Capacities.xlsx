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GBSC\"/>
    </mc:Choice>
  </mc:AlternateContent>
  <xr:revisionPtr revIDLastSave="0" documentId="13_ncr:1_{C68C85CB-F764-4BED-BCAC-5B594C512666}" xr6:coauthVersionLast="47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About" sheetId="1" r:id="rId1"/>
    <sheet name="AEO Table 9 (2019)" sheetId="8" state="hidden" r:id="rId2"/>
    <sheet name="Table 4.08" sheetId="19" r:id="rId3"/>
    <sheet name="SYGBSC" sheetId="9" r:id="rId4"/>
    <sheet name="GBDSD" sheetId="16" r:id="rId5"/>
  </sheets>
  <definedNames>
    <definedName name="gigwatts_to_megawatts">About!$A$25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9" l="1"/>
</calcChain>
</file>

<file path=xl/sharedStrings.xml><?xml version="1.0" encoding="utf-8"?>
<sst xmlns="http://schemas.openxmlformats.org/spreadsheetml/2006/main" count="381" uniqueCount="181">
  <si>
    <t>Source:</t>
  </si>
  <si>
    <t>Report</t>
  </si>
  <si>
    <t>Scenario</t>
  </si>
  <si>
    <t>Reference case</t>
  </si>
  <si>
    <t>Datekey</t>
  </si>
  <si>
    <t>Release Date</t>
  </si>
  <si>
    <t>EGC000</t>
  </si>
  <si>
    <t>9. Electricity Generating Capacity</t>
  </si>
  <si>
    <t>(gigawatts)</t>
  </si>
  <si>
    <t/>
  </si>
  <si>
    <t xml:space="preserve"> Net Summer Capacity 1/</t>
  </si>
  <si>
    <t>Electric Power Sector 2/</t>
  </si>
  <si>
    <t xml:space="preserve">  Power Only 3/</t>
  </si>
  <si>
    <t>EGC000:ba_CoalSteam</t>
  </si>
  <si>
    <t xml:space="preserve">    Coal 4/</t>
  </si>
  <si>
    <t>EGC000:ba_OtherFossilSt</t>
  </si>
  <si>
    <t xml:space="preserve">    Oil and Natural Gas Steam 4, 5/</t>
  </si>
  <si>
    <t>EGC000:ba_CombinedCycle</t>
  </si>
  <si>
    <t xml:space="preserve">    Combined Cycle</t>
  </si>
  <si>
    <t>EGC000:ba_CombustionTur</t>
  </si>
  <si>
    <t xml:space="preserve">    Combustion Turbine/Diesel</t>
  </si>
  <si>
    <t>EGC000:ba_NuclearPower</t>
  </si>
  <si>
    <t xml:space="preserve">    Nuclear Power 6/</t>
  </si>
  <si>
    <t>EGC000:ba_PumpedStorage</t>
  </si>
  <si>
    <t xml:space="preserve">    Pumped Storage</t>
  </si>
  <si>
    <t>EGC000:ba_DiurnalStorag</t>
  </si>
  <si>
    <t xml:space="preserve">    Diurnal Storage</t>
  </si>
  <si>
    <t>EGC000:ba_FuelCells</t>
  </si>
  <si>
    <t xml:space="preserve">    Fuel Cells</t>
  </si>
  <si>
    <t>EGC000:ba_RenewableSour</t>
  </si>
  <si>
    <t xml:space="preserve">    Renewable Sources 7/</t>
  </si>
  <si>
    <t>EGC000:ba_DistributedGe</t>
  </si>
  <si>
    <t xml:space="preserve">    Distributed Generation (Natural Gas) 8/</t>
  </si>
  <si>
    <t>- -</t>
  </si>
  <si>
    <t>EGC000:ba_Total</t>
  </si>
  <si>
    <t xml:space="preserve">      Total</t>
  </si>
  <si>
    <t xml:space="preserve">  Combined Heat and Power 9/</t>
  </si>
  <si>
    <t>EGC000:ca_CoalSteam</t>
  </si>
  <si>
    <t xml:space="preserve">    Coal</t>
  </si>
  <si>
    <t>EGC000:ca_OtherFossilSt</t>
  </si>
  <si>
    <t xml:space="preserve">    Oil and Natural Gas Steam 5/</t>
  </si>
  <si>
    <t>EGC000:ca_CombinedCycle</t>
  </si>
  <si>
    <t>EGC000:ca_CombustionTur</t>
  </si>
  <si>
    <t>EGC000:ca_RenewableSour</t>
  </si>
  <si>
    <t>EGC000:ca_Total</t>
  </si>
  <si>
    <t xml:space="preserve">  Cumulative Planned Additions 10/</t>
  </si>
  <si>
    <t>EGC000:da_CoalSteam</t>
  </si>
  <si>
    <t>EGC000:da_OtherFossilSt</t>
  </si>
  <si>
    <t>EGC000:da_CombinedCycle</t>
  </si>
  <si>
    <t>EGC000:da_CombustionTur</t>
  </si>
  <si>
    <t>EGC000:da_NuclearPower</t>
  </si>
  <si>
    <t xml:space="preserve">    Nuclear Power</t>
  </si>
  <si>
    <t>EGC000:da_PumpedStorage</t>
  </si>
  <si>
    <t>EGC000:da_DiurnalStorag</t>
  </si>
  <si>
    <t>EGC000:da_FuelCells</t>
  </si>
  <si>
    <t>EGC000:da_RenewableSour</t>
  </si>
  <si>
    <t>EGC000:da_DistributedGe</t>
  </si>
  <si>
    <t xml:space="preserve">    Distributed Generation 8/</t>
  </si>
  <si>
    <t>EGC000:da_Total</t>
  </si>
  <si>
    <t xml:space="preserve">  Cumulative Unplanned Additions 10/</t>
  </si>
  <si>
    <t>EGC000:ea_CoalSteam</t>
  </si>
  <si>
    <t>EGC000:ea_OtherFossilSt</t>
  </si>
  <si>
    <t>EGC000:ea_CombinedCycle</t>
  </si>
  <si>
    <t>EGC000:ea_CombustionTur</t>
  </si>
  <si>
    <t>EGC000:ea_NuclearPower</t>
  </si>
  <si>
    <t>EGC000:ea_PumpedStorage</t>
  </si>
  <si>
    <t>EGC000:ea_DiurnalStorag</t>
  </si>
  <si>
    <t>EGC000:ea_FuelCells</t>
  </si>
  <si>
    <t>EGC000:ea_RenewableSour</t>
  </si>
  <si>
    <t>EGC000:ea_DistributedGe</t>
  </si>
  <si>
    <t>EGC000:ea_Total</t>
  </si>
  <si>
    <t>EGC000:ea_CumulativeEle</t>
  </si>
  <si>
    <t xml:space="preserve">  Cumulative Retirements 11/</t>
  </si>
  <si>
    <t>EGC000:fa_CoalSteam</t>
  </si>
  <si>
    <t>EGC000:fa_OtherFossilSt</t>
  </si>
  <si>
    <t>EGC000:fa_CombinedCycle</t>
  </si>
  <si>
    <t>EGC000:fa_CombustionTur</t>
  </si>
  <si>
    <t>EGC000:fa_NuclearPower</t>
  </si>
  <si>
    <t>EGC000:fa_PumpedStorage</t>
  </si>
  <si>
    <t>EGC000:fa_DiurnalStorag</t>
  </si>
  <si>
    <t>EGC000:fa_FuelCells</t>
  </si>
  <si>
    <t>EGC000:fa_RenewableSour</t>
  </si>
  <si>
    <t>EGC000:fa_Total</t>
  </si>
  <si>
    <t>EGC000:ga_TotalElectric</t>
  </si>
  <si>
    <t>Total Electric Power Sector Capacity</t>
  </si>
  <si>
    <t>End-Use Generators 12/</t>
  </si>
  <si>
    <t>EGC000:ha_Coal</t>
  </si>
  <si>
    <t>EGC000:ha_Petroleum</t>
  </si>
  <si>
    <t xml:space="preserve">    Petroleum</t>
  </si>
  <si>
    <t>EGC000:ha_NaturalGas</t>
  </si>
  <si>
    <t xml:space="preserve">    Natural Gas</t>
  </si>
  <si>
    <t>EGC000:ha_OtherGaseousF</t>
  </si>
  <si>
    <t xml:space="preserve">    Other Gaseous Fuels 13/</t>
  </si>
  <si>
    <t>EGC000:ha_RenewableSour</t>
  </si>
  <si>
    <t>EGC000:ha_Other</t>
  </si>
  <si>
    <t xml:space="preserve">    Other 14/</t>
  </si>
  <si>
    <t>EGC000:ha_Total</t>
  </si>
  <si>
    <t>EGC000:ia_CumulativeCap</t>
  </si>
  <si>
    <t xml:space="preserve">  Cumulative Capacity Additions 10/</t>
  </si>
  <si>
    <t xml:space="preserve">   1/ Net summer capacity is the steady hourly output that generating equipment is expected to supply to</t>
  </si>
  <si>
    <t>system load (exclusive of auxiliary power), as demonstrated by tests during summer peak demand.</t>
  </si>
  <si>
    <t xml:space="preserve">   2/ Includes electricity-only and combined heat and power plants that have a regulatory status.</t>
  </si>
  <si>
    <t xml:space="preserve">   3/ Includes plants that only produce electricity and that have a regulatory status.  Includes capacity increases (uprates) at existing units.</t>
  </si>
  <si>
    <t xml:space="preserve">   4/ Total coal and oil and natural gas steam capacity account for the conversion of coal capacity to gas steam capacity, but the conversions</t>
  </si>
  <si>
    <t xml:space="preserve">   5/ Includes oil-, gas-, and dual-fired capacity.</t>
  </si>
  <si>
    <t xml:space="preserve">   7/ Includes conventional hydroelectric, geothermal, wood, wood waste, all municipal waste, landfill gas,</t>
  </si>
  <si>
    <t>other biomass, solar, and wind power.  Facilities co-firing biomass and coal are classified as coal.</t>
  </si>
  <si>
    <t xml:space="preserve">   8/ Primarily peak-load capacity fueled by natural gas.</t>
  </si>
  <si>
    <t xml:space="preserve">   9/ Includes combined heat and power plants whose primary business is to sell electricity and heat to the public</t>
  </si>
  <si>
    <t>(i.e., those that report North American Industry Classification System code 22 or that have a regulatory status).</t>
  </si>
  <si>
    <t xml:space="preserve">   12/ Includes combined heat and power plants and electricity-only plants in the commercial and industrial sectors that have a non-regulatory</t>
  </si>
  <si>
    <t>status; and small on-site generating systems in the residential, commercial, and industrial sectors used primarily for own-use generation,</t>
  </si>
  <si>
    <t>but which may also sell some power to the grid.</t>
  </si>
  <si>
    <t xml:space="preserve">   13/ Includes refinery gas and still gas.</t>
  </si>
  <si>
    <t xml:space="preserve">   14/ Includes batteries, chemicals, hydrogen, pitch, purchased steam, sulfur, and miscellaneous technologies.</t>
  </si>
  <si>
    <t xml:space="preserve">   - - = Not applicable.</t>
  </si>
  <si>
    <t>are not included explicitly as additions or retirements.  No planned conversions are assumed.  The totals reflect any conversions projected by</t>
  </si>
  <si>
    <t>the model.</t>
  </si>
  <si>
    <t>gigawatts to megawatts</t>
  </si>
  <si>
    <t>Unit: MW</t>
  </si>
  <si>
    <t>Battery Storage Capacity</t>
  </si>
  <si>
    <t>Unit Conversion</t>
  </si>
  <si>
    <t>Start Year</t>
  </si>
  <si>
    <t>ref2019.d111618a</t>
  </si>
  <si>
    <t>Annual Energy Outlook 2019</t>
  </si>
  <si>
    <t>ref2019</t>
  </si>
  <si>
    <t>d111618a</t>
  </si>
  <si>
    <t xml:space="preserve"> January 2019</t>
  </si>
  <si>
    <t>2018-</t>
  </si>
  <si>
    <t xml:space="preserve">  Cumulative Electric Power Sector Additions 10/</t>
  </si>
  <si>
    <t xml:space="preserve">   6/ Nuclear capacity includes 3.0 gigawatts of uprates.</t>
  </si>
  <si>
    <t xml:space="preserve">   10/ Cumulative additions after December 31, 2018.</t>
  </si>
  <si>
    <t xml:space="preserve">   11/ Cumulative retirements after December 31, 2018.</t>
  </si>
  <si>
    <t xml:space="preserve">   Note:  Totals may not equal sum of components due to independent rounding.  Data for 2017</t>
  </si>
  <si>
    <t>are model results and may differ from official EIA data reports.</t>
  </si>
  <si>
    <t xml:space="preserve">   Sources:  2017 capacity and projected planned additions:  U.S. Energy Information Administration (EIA),</t>
  </si>
  <si>
    <t>Form EIA-860, "Annual Electric Generator Report" (preliminary).</t>
  </si>
  <si>
    <t>2018:  EIA, Short-Term Energy Outlook, October 2018 and EIA, AEO2019 National Energy Modeling System run ref2019.d111618a.</t>
  </si>
  <si>
    <t>Projections:  EIA, AEO2019 National Energy Modeling System run ref2019.d111618a.</t>
  </si>
  <si>
    <t>The "Start Year" is the year prior to the first simulated year.</t>
  </si>
  <si>
    <t>Grid Battery Daily Storage Duration specifies the number of hours the batteries are capable of charging</t>
  </si>
  <si>
    <t>and discharging each day, i.e., converting MW of battery capacity to MWh of energy stored and released</t>
  </si>
  <si>
    <t>by the batteries daily.</t>
  </si>
  <si>
    <t>In the U.S. model, we assume the grid batteries are 4-hour batteries (i.e. they charge in the cheapest</t>
  </si>
  <si>
    <t>four hours per day and discharge in the most expensive four hours per day).</t>
  </si>
  <si>
    <t>You can alter this assumption by specifying a different number of hours in this input data file.</t>
  </si>
  <si>
    <t>Unit: hours</t>
  </si>
  <si>
    <t>hours per day battery may charge and discharge</t>
  </si>
  <si>
    <t>hours</t>
  </si>
  <si>
    <t>The value must be an integer, not a fractional number of hours (i.e. 3 or 4 is okay, but 3.5 is not).</t>
  </si>
  <si>
    <t>GBSC Diurnal Grid Battery Daily Storage Duration</t>
  </si>
  <si>
    <t>GBSC Start Year Total Grid Battery Storage Capacity</t>
  </si>
  <si>
    <t>Start Year Total Battery Storage Capacity</t>
  </si>
  <si>
    <t>Pumped Storage</t>
  </si>
  <si>
    <t>U.S. Energy Information Administration</t>
  </si>
  <si>
    <t>Table 4.08.C. Usage Factors for Utility Scale Storage Generators</t>
  </si>
  <si>
    <t>Battery</t>
  </si>
  <si>
    <t>Year/Month</t>
  </si>
  <si>
    <t>Time Adjusted Capacity (MW)</t>
  </si>
  <si>
    <t>Usage Factor</t>
  </si>
  <si>
    <t>Annual Data</t>
  </si>
  <si>
    <t>Year 2022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</si>
  <si>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</si>
  <si>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</si>
  <si>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</si>
  <si>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</si>
  <si>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</si>
  <si>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</si>
  <si>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</si>
  <si>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</si>
  <si>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</si>
  <si>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</si>
  <si>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</si>
  <si>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</si>
  <si>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 2023</t>
  </si>
  <si>
    <t>Year 2024</t>
  </si>
  <si>
    <t xml:space="preserve">Values are final.
Time adjusted capacity for month rows is the summer capacity of generators in operation for the entire month; units that began operation during the month or that retired during the month are excluded. Time adjusted capacity for year rows is a time weighted average of the month rows.
Usage factors are a comparison of gross generation with available capacity. See the technical note for an explanation of how usage factors are calculated.
Sources: U.S. Energy Information Administration, Form EIA-923, Power Plant Operations Report; U.S. Energy Information Administration, Form EIA-860, 'Annual Electric Generator Report' and Form EIA-860M, 'Monthly Update to the Annual Electric Generator Report.'
</t>
  </si>
  <si>
    <t>Electric Power Annual</t>
  </si>
  <si>
    <t>Table 4.08</t>
  </si>
  <si>
    <t>https://www.eia.gov/electricity/annual/</t>
  </si>
  <si>
    <t>GBSC Grid Battery Daily Storage Duration (GBDSD)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</si>
</sst>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[$€-2]* #,##0.00_);_([$€-2]* \(#,##0.00\);_([$€-2]* &quot;-&quot;??_)"/>
    <numFmt numFmtId="165" formatCode="#,##0.0"/>
    <numFmt numFmtId="166" formatCode="0.0%"/>
    <numFmt numFmtId="167" formatCode="#,##0.0%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6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30"/>
      <name val="Arial"/>
      <family val="2"/>
    </font>
    <font>
      <b/>
      <sz val="10"/>
      <color indexed="8"/>
      <name val="Arial"/>
      <family val="2"/>
    </font>
    <font>
      <sz val="10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5"/>
      </patternFill>
    </fill>
    <fill>
      <patternFill patternType="solid">
        <fgColor indexed="34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7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3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34"/>
      </top>
      <bottom style="double">
        <color indexed="3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4" fillId="9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7" borderId="0" applyNumberFormat="0" applyBorder="0" applyAlignment="0" applyProtection="0"/>
    <xf numFmtId="0" fontId="4" fillId="9" borderId="0" applyNumberFormat="0" applyBorder="0" applyAlignment="0" applyProtection="0"/>
    <xf numFmtId="0" fontId="4" fillId="4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6" fillId="3" borderId="1" applyNumberFormat="0" applyAlignment="0" applyProtection="0"/>
    <xf numFmtId="0" fontId="7" fillId="15" borderId="2" applyNumberFormat="0" applyAlignment="0" applyProtection="0"/>
    <xf numFmtId="164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16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1" applyNumberFormat="0" applyAlignment="0" applyProtection="0"/>
    <xf numFmtId="0" fontId="14" fillId="0" borderId="6" applyNumberFormat="0" applyFill="0" applyAlignment="0" applyProtection="0"/>
    <xf numFmtId="0" fontId="15" fillId="5" borderId="0" applyNumberFormat="0" applyBorder="0" applyAlignment="0" applyProtection="0"/>
    <xf numFmtId="0" fontId="2" fillId="5" borderId="7" applyNumberFormat="0" applyFont="0" applyAlignment="0" applyProtection="0"/>
    <xf numFmtId="0" fontId="16" fillId="3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 applyNumberFormat="0" applyFill="0" applyBorder="0" applyAlignment="0" applyProtection="0"/>
    <xf numFmtId="0" fontId="21" fillId="0" borderId="10" applyNumberFormat="0" applyProtection="0">
      <alignment wrapText="1"/>
    </xf>
    <xf numFmtId="0" fontId="24" fillId="0" borderId="0" applyNumberFormat="0" applyProtection="0">
      <alignment horizontal="left"/>
    </xf>
    <xf numFmtId="0" fontId="21" fillId="0" borderId="11" applyNumberFormat="0" applyProtection="0">
      <alignment wrapText="1"/>
    </xf>
    <xf numFmtId="0" fontId="20" fillId="0" borderId="12" applyNumberFormat="0" applyFont="0" applyProtection="0">
      <alignment wrapText="1"/>
    </xf>
    <xf numFmtId="0" fontId="20" fillId="0" borderId="13" applyNumberFormat="0" applyProtection="0">
      <alignment wrapText="1"/>
    </xf>
    <xf numFmtId="0" fontId="20" fillId="0" borderId="0"/>
    <xf numFmtId="0" fontId="20" fillId="0" borderId="0"/>
    <xf numFmtId="0" fontId="21" fillId="0" borderId="10">
      <alignment wrapText="1"/>
    </xf>
    <xf numFmtId="0" fontId="24" fillId="0" borderId="0">
      <alignment horizontal="left"/>
    </xf>
    <xf numFmtId="0" fontId="21" fillId="0" borderId="11">
      <alignment wrapText="1"/>
    </xf>
    <xf numFmtId="0" fontId="20" fillId="0" borderId="12">
      <alignment wrapText="1"/>
    </xf>
    <xf numFmtId="0" fontId="20" fillId="0" borderId="13">
      <alignment wrapText="1"/>
    </xf>
    <xf numFmtId="0" fontId="27" fillId="0" borderId="0"/>
    <xf numFmtId="0" fontId="20" fillId="0" borderId="0"/>
    <xf numFmtId="0" fontId="20" fillId="0" borderId="12">
      <alignment wrapText="1"/>
    </xf>
    <xf numFmtId="0" fontId="20" fillId="0" borderId="0"/>
    <xf numFmtId="0" fontId="20" fillId="0" borderId="13">
      <alignment wrapText="1"/>
    </xf>
    <xf numFmtId="0" fontId="21" fillId="0" borderId="10">
      <alignment wrapText="1"/>
    </xf>
    <xf numFmtId="0" fontId="21" fillId="0" borderId="11">
      <alignment wrapText="1"/>
    </xf>
    <xf numFmtId="0" fontId="24" fillId="0" borderId="0">
      <alignment horizontal="left"/>
    </xf>
    <xf numFmtId="0" fontId="27" fillId="0" borderId="0"/>
    <xf numFmtId="0" fontId="20" fillId="0" borderId="0"/>
  </cellStyleXfs>
  <cellXfs count="3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1" fontId="0" fillId="0" borderId="0" xfId="0" applyNumberFormat="1"/>
    <xf numFmtId="0" fontId="22" fillId="0" borderId="0" xfId="0" applyFont="1"/>
    <xf numFmtId="0" fontId="23" fillId="0" borderId="0" xfId="0" applyFont="1"/>
    <xf numFmtId="0" fontId="25" fillId="0" borderId="0" xfId="0" applyFont="1"/>
    <xf numFmtId="0" fontId="26" fillId="0" borderId="0" xfId="0" applyFont="1"/>
    <xf numFmtId="0" fontId="20" fillId="0" borderId="0" xfId="51"/>
    <xf numFmtId="0" fontId="21" fillId="0" borderId="10" xfId="52">
      <alignment wrapText="1"/>
    </xf>
    <xf numFmtId="0" fontId="24" fillId="0" borderId="0" xfId="53">
      <alignment horizontal="left"/>
    </xf>
    <xf numFmtId="0" fontId="21" fillId="0" borderId="11" xfId="54">
      <alignment wrapText="1"/>
    </xf>
    <xf numFmtId="0" fontId="0" fillId="0" borderId="12" xfId="55" applyFont="1">
      <alignment wrapText="1"/>
    </xf>
    <xf numFmtId="165" fontId="0" fillId="0" borderId="12" xfId="55" applyNumberFormat="1" applyFont="1" applyAlignment="1">
      <alignment horizontal="right" wrapText="1"/>
    </xf>
    <xf numFmtId="166" fontId="0" fillId="0" borderId="12" xfId="55" applyNumberFormat="1" applyFont="1" applyAlignment="1">
      <alignment horizontal="right" wrapText="1"/>
    </xf>
    <xf numFmtId="165" fontId="21" fillId="0" borderId="11" xfId="54" applyNumberFormat="1" applyAlignment="1">
      <alignment horizontal="right" wrapText="1"/>
    </xf>
    <xf numFmtId="166" fontId="21" fillId="0" borderId="11" xfId="54" applyNumberFormat="1" applyAlignment="1">
      <alignment horizontal="right" wrapText="1"/>
    </xf>
    <xf numFmtId="0" fontId="23" fillId="17" borderId="0" xfId="0" applyFont="1" applyFill="1"/>
    <xf numFmtId="0" fontId="0" fillId="17" borderId="0" xfId="0" applyFill="1"/>
    <xf numFmtId="0" fontId="0" fillId="0" borderId="0" xfId="0" applyAlignment="1">
      <alignment wrapText="1"/>
    </xf>
    <xf numFmtId="0" fontId="0" fillId="17" borderId="12" xfId="55" applyFont="1" applyFill="1">
      <alignment wrapText="1"/>
    </xf>
    <xf numFmtId="165" fontId="0" fillId="17" borderId="12" xfId="55" applyNumberFormat="1" applyFont="1" applyFill="1" applyAlignment="1">
      <alignment horizontal="right" wrapText="1"/>
    </xf>
    <xf numFmtId="166" fontId="0" fillId="17" borderId="12" xfId="55" applyNumberFormat="1" applyFont="1" applyFill="1" applyAlignment="1">
      <alignment horizontal="right" wrapText="1"/>
    </xf>
    <xf numFmtId="0" fontId="0" fillId="0" borderId="0" xfId="0" applyAlignment="1">
      <alignment horizontal="right"/>
    </xf>
    <xf numFmtId="0" fontId="1" fillId="17" borderId="0" xfId="0" applyFont="1" applyFill="1"/>
    <xf numFmtId="0" fontId="20" fillId="0" borderId="13" xfId="56">
      <alignment wrapText="1"/>
    </xf>
    <xf numFmtId="0" fontId="28" fillId="18" borderId="0" xfId="0" applyFont="1" applyFill="1" applyAlignment="1">
      <alignment horizontal="left" wrapText="1"/>
    </xf>
    <xf numFmtId="0" fontId="0" fillId="19" borderId="0" xfId="0" applyFill="1"/>
    <xf numFmtId="0" fontId="29" fillId="20" borderId="14" xfId="0" applyFont="1" applyFill="1" applyBorder="1" applyAlignment="1">
      <alignment horizontal="center" wrapText="1"/>
    </xf>
    <xf numFmtId="0" fontId="29" fillId="20" borderId="15" xfId="0" applyFont="1" applyFill="1" applyBorder="1" applyAlignment="1">
      <alignment horizontal="center" wrapText="1"/>
    </xf>
    <xf numFmtId="0" fontId="29" fillId="20" borderId="16" xfId="0" applyFont="1" applyFill="1" applyBorder="1" applyAlignment="1">
      <alignment horizontal="center" wrapText="1"/>
    </xf>
    <xf numFmtId="165" fontId="29" fillId="20" borderId="14" xfId="0" applyNumberFormat="1" applyFont="1" applyFill="1" applyBorder="1" applyAlignment="1">
      <alignment horizontal="right" wrapText="1"/>
    </xf>
    <xf numFmtId="167" fontId="29" fillId="20" borderId="14" xfId="0" applyNumberFormat="1" applyFont="1" applyFill="1" applyBorder="1" applyAlignment="1">
      <alignment horizontal="right" wrapText="1"/>
    </xf>
    <xf numFmtId="0" fontId="22" fillId="21" borderId="0" xfId="0" applyFont="1" applyFill="1" applyAlignment="1">
      <alignment horizontal="left" wrapText="1"/>
    </xf>
    <xf numFmtId="0" fontId="22" fillId="0" borderId="14" xfId="0" applyFont="1" applyBorder="1" applyAlignment="1">
      <alignment horizontal="right" wrapText="1"/>
    </xf>
    <xf numFmtId="165" fontId="22" fillId="0" borderId="14" xfId="0" applyNumberFormat="1" applyFont="1" applyBorder="1" applyAlignment="1">
      <alignment horizontal="right" wrapText="1"/>
    </xf>
    <xf numFmtId="167" fontId="22" fillId="0" borderId="14" xfId="0" applyNumberFormat="1" applyFont="1" applyBorder="1" applyAlignment="1">
      <alignment horizontal="right" wrapText="1"/>
    </xf>
    <xf numFmtId="0" fontId="30" fillId="18" borderId="0" xfId="0" applyFont="1" applyFill="1" applyAlignment="1">
      <alignment horizontal="left" wrapText="1"/>
    </xf>
  </cellXfs>
  <cellStyles count="74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Body: normal cell" xfId="55" xr:uid="{00000000-0005-0000-0000-000019000000}"/>
    <cellStyle name="Body: normal cell 2" xfId="62" xr:uid="{C847FCFE-E55D-4040-9145-A5096CF2655C}"/>
    <cellStyle name="Body: normal cell 3" xfId="66" xr:uid="{B56EBBE2-482D-4E39-861F-2C1E9EDA9246}"/>
    <cellStyle name="Calculation 2" xfId="27" xr:uid="{00000000-0005-0000-0000-00001A000000}"/>
    <cellStyle name="Check Cell 2" xfId="28" xr:uid="{00000000-0005-0000-0000-00001B000000}"/>
    <cellStyle name="Euro" xfId="29" xr:uid="{00000000-0005-0000-0000-00001C000000}"/>
    <cellStyle name="Explanatory Text 2" xfId="30" xr:uid="{00000000-0005-0000-0000-00001D000000}"/>
    <cellStyle name="Font: Calibri, 9pt regular" xfId="51" xr:uid="{00000000-0005-0000-0000-00001E000000}"/>
    <cellStyle name="Font: Calibri, 9pt regular 2" xfId="58" xr:uid="{78094820-C238-4C9A-89E8-C7624DC87CE5}"/>
    <cellStyle name="Font: Calibri, 9pt regular 3" xfId="67" xr:uid="{14B8F46E-1EF8-454C-939C-60B4389232DB}"/>
    <cellStyle name="Footnotes: top row" xfId="56" xr:uid="{00000000-0005-0000-0000-00001F000000}"/>
    <cellStyle name="Footnotes: top row 2" xfId="63" xr:uid="{09E8E243-1470-4CD0-B658-C11350CB5319}"/>
    <cellStyle name="Footnotes: top row 3" xfId="68" xr:uid="{BBAACB38-D80A-43E3-B098-720156C21DEA}"/>
    <cellStyle name="Good 2" xfId="31" xr:uid="{00000000-0005-0000-0000-000020000000}"/>
    <cellStyle name="Header: bottom row" xfId="52" xr:uid="{00000000-0005-0000-0000-000021000000}"/>
    <cellStyle name="Header: bottom row 2" xfId="59" xr:uid="{A013B94F-3E32-4EB8-A68D-C3E5ECFDA1D8}"/>
    <cellStyle name="Header: bottom row 3" xfId="69" xr:uid="{E12CCC23-808C-4146-AC83-B496B4CB59F5}"/>
    <cellStyle name="Heading 1 2" xfId="32" xr:uid="{00000000-0005-0000-0000-000022000000}"/>
    <cellStyle name="Heading 2 2" xfId="33" xr:uid="{00000000-0005-0000-0000-000023000000}"/>
    <cellStyle name="Heading 3 2" xfId="34" xr:uid="{00000000-0005-0000-0000-000024000000}"/>
    <cellStyle name="Heading 4 2" xfId="35" xr:uid="{00000000-0005-0000-0000-000025000000}"/>
    <cellStyle name="Input 2" xfId="36" xr:uid="{00000000-0005-0000-0000-000027000000}"/>
    <cellStyle name="Linked Cell 2" xfId="37" xr:uid="{00000000-0005-0000-0000-000028000000}"/>
    <cellStyle name="Neutral 2" xfId="38" xr:uid="{00000000-0005-0000-0000-000029000000}"/>
    <cellStyle name="Normal" xfId="0" builtinId="0"/>
    <cellStyle name="Normal 2" xfId="1" xr:uid="{00000000-0005-0000-0000-00002B000000}"/>
    <cellStyle name="Normal 2 2" xfId="44" xr:uid="{00000000-0005-0000-0000-00002C000000}"/>
    <cellStyle name="Normal 2 3" xfId="47" xr:uid="{00000000-0005-0000-0000-00002D000000}"/>
    <cellStyle name="Normal 2 4" xfId="48" xr:uid="{00000000-0005-0000-0000-00002E000000}"/>
    <cellStyle name="Normal 2 5" xfId="49" xr:uid="{00000000-0005-0000-0000-00002F000000}"/>
    <cellStyle name="Normal 2 6" xfId="50" xr:uid="{00000000-0005-0000-0000-000030000000}"/>
    <cellStyle name="Normal 2 7" xfId="73" xr:uid="{EB8B38EE-2BA4-4AFA-B71C-2FAD39824861}"/>
    <cellStyle name="Normal 3" xfId="45" xr:uid="{00000000-0005-0000-0000-000031000000}"/>
    <cellStyle name="Normal 3 2" xfId="72" xr:uid="{706CB03B-9DA4-4953-AB91-EACE065B7D60}"/>
    <cellStyle name="Normal 4" xfId="46" xr:uid="{00000000-0005-0000-0000-000032000000}"/>
    <cellStyle name="Normal 4 2" xfId="65" xr:uid="{818A41D5-F408-43C8-94FF-2CED1E67B617}"/>
    <cellStyle name="Normal 5" xfId="57" xr:uid="{BB67FBA3-26D7-431F-A684-0CCDA93EC42D}"/>
    <cellStyle name="Normal 5 2" xfId="64" xr:uid="{F1EBEFB3-C3C7-406D-BD07-66FDDDF925B7}"/>
    <cellStyle name="Note 2" xfId="39" xr:uid="{00000000-0005-0000-0000-000033000000}"/>
    <cellStyle name="Output 2" xfId="40" xr:uid="{00000000-0005-0000-0000-000034000000}"/>
    <cellStyle name="Parent row" xfId="54" xr:uid="{00000000-0005-0000-0000-000035000000}"/>
    <cellStyle name="Parent row 2" xfId="61" xr:uid="{DAA11FF9-1C05-45C6-8502-434090995867}"/>
    <cellStyle name="Parent row 3" xfId="70" xr:uid="{0EFA93BC-B4A0-4BC6-B5FF-113A19292376}"/>
    <cellStyle name="Table title" xfId="53" xr:uid="{00000000-0005-0000-0000-000036000000}"/>
    <cellStyle name="Table title 2" xfId="60" xr:uid="{D91F8C64-535F-417E-A952-541EE8F2C1E7}"/>
    <cellStyle name="Table title 3" xfId="71" xr:uid="{00727240-B325-4306-9049-E4A274395DAF}"/>
    <cellStyle name="Title 2" xfId="41" xr:uid="{00000000-0005-0000-0000-000037000000}"/>
    <cellStyle name="Total 2" xfId="42" xr:uid="{00000000-0005-0000-0000-000038000000}"/>
    <cellStyle name="Warning Text 2" xfId="43" xr:uid="{00000000-0005-0000-0000-00003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A13" sqref="A13"/>
    </sheetView>
  </sheetViews>
  <sheetFormatPr defaultRowHeight="14.5" x14ac:dyDescent="0.35"/>
  <cols>
    <col min="1" max="1" width="17.81640625" customWidth="1"/>
    <col min="2" max="2" width="60.7265625" customWidth="1"/>
  </cols>
  <sheetData>
    <row r="1" spans="1:2" x14ac:dyDescent="0.35">
      <c r="A1" s="1" t="s">
        <v>151</v>
      </c>
    </row>
    <row r="2" spans="1:2" x14ac:dyDescent="0.35">
      <c r="A2" s="1" t="s">
        <v>150</v>
      </c>
    </row>
    <row r="5" spans="1:2" x14ac:dyDescent="0.35">
      <c r="A5" s="1" t="s">
        <v>0</v>
      </c>
      <c r="B5" s="2" t="s">
        <v>152</v>
      </c>
    </row>
    <row r="6" spans="1:2" x14ac:dyDescent="0.35">
      <c r="B6" t="s">
        <v>154</v>
      </c>
    </row>
    <row r="7" spans="1:2" x14ac:dyDescent="0.35">
      <c r="B7" s="3">
        <v>2025</v>
      </c>
    </row>
    <row r="8" spans="1:2" x14ac:dyDescent="0.35">
      <c r="B8" t="s">
        <v>177</v>
      </c>
    </row>
    <row r="9" spans="1:2" x14ac:dyDescent="0.35">
      <c r="B9" t="s">
        <v>178</v>
      </c>
    </row>
    <row r="10" spans="1:2" x14ac:dyDescent="0.35">
      <c r="B10" t="s">
        <v>179</v>
      </c>
    </row>
    <row r="12" spans="1:2" x14ac:dyDescent="0.35">
      <c r="A12" s="1" t="s">
        <v>180</v>
      </c>
    </row>
    <row r="13" spans="1:2" x14ac:dyDescent="0.35">
      <c r="A13" t="s">
        <v>140</v>
      </c>
    </row>
    <row r="14" spans="1:2" x14ac:dyDescent="0.35">
      <c r="A14" t="s">
        <v>141</v>
      </c>
    </row>
    <row r="15" spans="1:2" x14ac:dyDescent="0.35">
      <c r="A15" t="s">
        <v>142</v>
      </c>
    </row>
    <row r="16" spans="1:2" x14ac:dyDescent="0.35">
      <c r="A16" t="s">
        <v>143</v>
      </c>
    </row>
    <row r="17" spans="1:3" x14ac:dyDescent="0.35">
      <c r="A17" t="s">
        <v>144</v>
      </c>
    </row>
    <row r="18" spans="1:3" x14ac:dyDescent="0.35">
      <c r="A18" t="s">
        <v>145</v>
      </c>
    </row>
    <row r="19" spans="1:3" x14ac:dyDescent="0.35">
      <c r="A19" s="25" t="s">
        <v>149</v>
      </c>
      <c r="B19" s="19"/>
      <c r="C19" s="19"/>
    </row>
    <row r="22" spans="1:3" x14ac:dyDescent="0.35">
      <c r="A22" t="s">
        <v>139</v>
      </c>
    </row>
    <row r="24" spans="1:3" x14ac:dyDescent="0.35">
      <c r="A24" s="1" t="s">
        <v>121</v>
      </c>
    </row>
    <row r="25" spans="1:3" x14ac:dyDescent="0.35">
      <c r="A25" s="3">
        <v>1000</v>
      </c>
      <c r="B25" t="s">
        <v>118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14"/>
  <sheetViews>
    <sheetView topLeftCell="A7" workbookViewId="0">
      <selection activeCell="A23" sqref="A23"/>
    </sheetView>
  </sheetViews>
  <sheetFormatPr defaultColWidth="9.08984375" defaultRowHeight="14.5" x14ac:dyDescent="0.35"/>
  <cols>
    <col min="1" max="1" width="32.08984375" customWidth="1"/>
    <col min="2" max="2" width="45.7265625" customWidth="1"/>
    <col min="38" max="38" width="8" customWidth="1"/>
  </cols>
  <sheetData>
    <row r="1" spans="1:37" ht="15" customHeight="1" thickBot="1" x14ac:dyDescent="0.4">
      <c r="B1" s="9" t="s">
        <v>123</v>
      </c>
      <c r="C1" s="10">
        <v>2017</v>
      </c>
      <c r="D1" s="10">
        <v>2018</v>
      </c>
      <c r="E1" s="10">
        <v>2019</v>
      </c>
      <c r="F1" s="10">
        <v>2020</v>
      </c>
      <c r="G1" s="10">
        <v>2021</v>
      </c>
      <c r="H1" s="10">
        <v>2022</v>
      </c>
      <c r="I1" s="10">
        <v>2023</v>
      </c>
      <c r="J1" s="10">
        <v>2024</v>
      </c>
      <c r="K1" s="10">
        <v>2025</v>
      </c>
      <c r="L1" s="10">
        <v>2026</v>
      </c>
      <c r="M1" s="10">
        <v>2027</v>
      </c>
      <c r="N1" s="10">
        <v>2028</v>
      </c>
      <c r="O1" s="10">
        <v>2029</v>
      </c>
      <c r="P1" s="10">
        <v>2030</v>
      </c>
      <c r="Q1" s="10">
        <v>2031</v>
      </c>
      <c r="R1" s="10">
        <v>2032</v>
      </c>
      <c r="S1" s="10">
        <v>2033</v>
      </c>
      <c r="T1" s="10">
        <v>2034</v>
      </c>
      <c r="U1" s="10">
        <v>2035</v>
      </c>
      <c r="V1" s="10">
        <v>2036</v>
      </c>
      <c r="W1" s="10">
        <v>2037</v>
      </c>
      <c r="X1" s="10">
        <v>2038</v>
      </c>
      <c r="Y1" s="10">
        <v>2039</v>
      </c>
      <c r="Z1" s="10">
        <v>2040</v>
      </c>
      <c r="AA1" s="10">
        <v>2041</v>
      </c>
      <c r="AB1" s="10">
        <v>2042</v>
      </c>
      <c r="AC1" s="10">
        <v>2043</v>
      </c>
      <c r="AD1" s="10">
        <v>2044</v>
      </c>
      <c r="AE1" s="10">
        <v>2045</v>
      </c>
      <c r="AF1" s="10">
        <v>2046</v>
      </c>
      <c r="AG1" s="10">
        <v>2047</v>
      </c>
      <c r="AH1" s="10">
        <v>2048</v>
      </c>
      <c r="AI1" s="10">
        <v>2049</v>
      </c>
      <c r="AJ1" s="10">
        <v>2050</v>
      </c>
    </row>
    <row r="2" spans="1:37" ht="15" customHeight="1" thickTop="1" x14ac:dyDescent="0.35"/>
    <row r="3" spans="1:37" ht="15" customHeight="1" x14ac:dyDescent="0.35">
      <c r="C3" s="5" t="s">
        <v>1</v>
      </c>
      <c r="D3" s="5" t="s">
        <v>124</v>
      </c>
      <c r="E3" s="5"/>
      <c r="F3" s="5"/>
      <c r="G3" s="5"/>
    </row>
    <row r="4" spans="1:37" ht="15" customHeight="1" x14ac:dyDescent="0.35">
      <c r="C4" s="5" t="s">
        <v>2</v>
      </c>
      <c r="D4" s="5" t="s">
        <v>125</v>
      </c>
      <c r="E4" s="5"/>
      <c r="F4" s="5"/>
      <c r="G4" s="5" t="s">
        <v>3</v>
      </c>
    </row>
    <row r="5" spans="1:37" ht="15" customHeight="1" x14ac:dyDescent="0.35">
      <c r="C5" s="5" t="s">
        <v>4</v>
      </c>
      <c r="D5" s="5" t="s">
        <v>126</v>
      </c>
      <c r="E5" s="5"/>
      <c r="F5" s="5"/>
      <c r="G5" s="5"/>
    </row>
    <row r="6" spans="1:37" ht="15" customHeight="1" x14ac:dyDescent="0.35">
      <c r="C6" s="5" t="s">
        <v>5</v>
      </c>
      <c r="D6" s="5"/>
      <c r="E6" s="5" t="s">
        <v>127</v>
      </c>
      <c r="F6" s="5"/>
      <c r="G6" s="5"/>
    </row>
    <row r="10" spans="1:37" ht="15" customHeight="1" x14ac:dyDescent="0.35">
      <c r="A10" s="6" t="s">
        <v>6</v>
      </c>
      <c r="B10" s="11" t="s">
        <v>7</v>
      </c>
    </row>
    <row r="11" spans="1:37" ht="15" customHeight="1" x14ac:dyDescent="0.35">
      <c r="B11" s="9" t="s">
        <v>8</v>
      </c>
    </row>
    <row r="12" spans="1:37" ht="15" customHeight="1" x14ac:dyDescent="0.35">
      <c r="B12" s="9" t="s">
        <v>9</v>
      </c>
      <c r="C12" s="3" t="s">
        <v>9</v>
      </c>
      <c r="D12" s="3" t="s">
        <v>9</v>
      </c>
      <c r="E12" s="3" t="s">
        <v>9</v>
      </c>
      <c r="F12" s="3" t="s">
        <v>9</v>
      </c>
      <c r="G12" s="3" t="s">
        <v>9</v>
      </c>
      <c r="H12" s="3" t="s">
        <v>9</v>
      </c>
      <c r="I12" s="3" t="s">
        <v>9</v>
      </c>
      <c r="J12" s="3" t="s">
        <v>9</v>
      </c>
      <c r="K12" s="3" t="s">
        <v>9</v>
      </c>
      <c r="L12" s="3" t="s">
        <v>9</v>
      </c>
      <c r="M12" s="3" t="s">
        <v>9</v>
      </c>
      <c r="N12" s="3" t="s">
        <v>9</v>
      </c>
      <c r="O12" s="3" t="s">
        <v>9</v>
      </c>
      <c r="P12" s="3" t="s">
        <v>9</v>
      </c>
      <c r="Q12" s="3" t="s">
        <v>9</v>
      </c>
      <c r="R12" s="3" t="s">
        <v>9</v>
      </c>
      <c r="S12" s="3" t="s">
        <v>9</v>
      </c>
      <c r="T12" s="3" t="s">
        <v>9</v>
      </c>
      <c r="U12" s="3" t="s">
        <v>9</v>
      </c>
      <c r="V12" s="3" t="s">
        <v>9</v>
      </c>
      <c r="W12" s="3" t="s">
        <v>9</v>
      </c>
      <c r="X12" s="3" t="s">
        <v>9</v>
      </c>
      <c r="Y12" s="3" t="s">
        <v>9</v>
      </c>
      <c r="Z12" s="3" t="s">
        <v>9</v>
      </c>
      <c r="AA12" s="3" t="s">
        <v>9</v>
      </c>
      <c r="AB12" s="3" t="s">
        <v>9</v>
      </c>
      <c r="AC12" s="3" t="s">
        <v>9</v>
      </c>
      <c r="AD12" s="3" t="s">
        <v>9</v>
      </c>
      <c r="AE12" s="3" t="s">
        <v>9</v>
      </c>
      <c r="AF12" s="3" t="s">
        <v>9</v>
      </c>
      <c r="AG12" s="3" t="s">
        <v>9</v>
      </c>
      <c r="AH12" s="3" t="s">
        <v>9</v>
      </c>
      <c r="AI12" s="3" t="s">
        <v>9</v>
      </c>
      <c r="AJ12" s="3" t="s">
        <v>9</v>
      </c>
      <c r="AK12" s="3" t="s">
        <v>128</v>
      </c>
    </row>
    <row r="13" spans="1:37" ht="15" customHeight="1" thickBot="1" x14ac:dyDescent="0.4">
      <c r="B13" s="10" t="s">
        <v>10</v>
      </c>
      <c r="C13" s="10">
        <v>2017</v>
      </c>
      <c r="D13" s="10">
        <v>2018</v>
      </c>
      <c r="E13" s="10">
        <v>2019</v>
      </c>
      <c r="F13" s="10">
        <v>2020</v>
      </c>
      <c r="G13" s="10">
        <v>2021</v>
      </c>
      <c r="H13" s="10">
        <v>2022</v>
      </c>
      <c r="I13" s="10">
        <v>2023</v>
      </c>
      <c r="J13" s="10">
        <v>2024</v>
      </c>
      <c r="K13" s="10">
        <v>2025</v>
      </c>
      <c r="L13" s="10">
        <v>2026</v>
      </c>
      <c r="M13" s="10">
        <v>2027</v>
      </c>
      <c r="N13" s="10">
        <v>2028</v>
      </c>
      <c r="O13" s="10">
        <v>2029</v>
      </c>
      <c r="P13" s="10">
        <v>2030</v>
      </c>
      <c r="Q13" s="10">
        <v>2031</v>
      </c>
      <c r="R13" s="10">
        <v>2032</v>
      </c>
      <c r="S13" s="10">
        <v>2033</v>
      </c>
      <c r="T13" s="10">
        <v>2034</v>
      </c>
      <c r="U13" s="10">
        <v>2035</v>
      </c>
      <c r="V13" s="10">
        <v>2036</v>
      </c>
      <c r="W13" s="10">
        <v>2037</v>
      </c>
      <c r="X13" s="10">
        <v>2038</v>
      </c>
      <c r="Y13" s="10">
        <v>2039</v>
      </c>
      <c r="Z13" s="10">
        <v>2040</v>
      </c>
      <c r="AA13" s="10">
        <v>2041</v>
      </c>
      <c r="AB13" s="10">
        <v>2042</v>
      </c>
      <c r="AC13" s="10">
        <v>2043</v>
      </c>
      <c r="AD13" s="10">
        <v>2044</v>
      </c>
      <c r="AE13" s="10">
        <v>2045</v>
      </c>
      <c r="AF13" s="10">
        <v>2046</v>
      </c>
      <c r="AG13" s="10">
        <v>2047</v>
      </c>
      <c r="AH13" s="10">
        <v>2048</v>
      </c>
      <c r="AI13" s="10">
        <v>2049</v>
      </c>
      <c r="AJ13" s="10">
        <v>2050</v>
      </c>
      <c r="AK13" s="10">
        <v>2050</v>
      </c>
    </row>
    <row r="14" spans="1:37" ht="15" customHeight="1" thickTop="1" x14ac:dyDescent="0.35"/>
    <row r="15" spans="1:37" ht="15" customHeight="1" x14ac:dyDescent="0.35">
      <c r="B15" s="12" t="s">
        <v>11</v>
      </c>
    </row>
    <row r="16" spans="1:37" ht="15" customHeight="1" x14ac:dyDescent="0.35">
      <c r="B16" s="12" t="s">
        <v>12</v>
      </c>
    </row>
    <row r="17" spans="1:37" ht="15" customHeight="1" x14ac:dyDescent="0.35">
      <c r="A17" s="6" t="s">
        <v>13</v>
      </c>
      <c r="B17" s="13" t="s">
        <v>14</v>
      </c>
      <c r="C17" s="14">
        <v>249.06146200000001</v>
      </c>
      <c r="D17" s="14">
        <v>236.698669</v>
      </c>
      <c r="E17" s="14">
        <v>229.95034799999999</v>
      </c>
      <c r="F17" s="14">
        <v>227.71237199999999</v>
      </c>
      <c r="G17" s="14">
        <v>219.57415800000001</v>
      </c>
      <c r="H17" s="14">
        <v>211.284424</v>
      </c>
      <c r="I17" s="14">
        <v>199.18562299999999</v>
      </c>
      <c r="J17" s="14">
        <v>186.92103599999999</v>
      </c>
      <c r="K17" s="14">
        <v>176.33551</v>
      </c>
      <c r="L17" s="14">
        <v>171.03500399999999</v>
      </c>
      <c r="M17" s="14">
        <v>167.38041699999999</v>
      </c>
      <c r="N17" s="14">
        <v>165.30001799999999</v>
      </c>
      <c r="O17" s="14">
        <v>164.75401299999999</v>
      </c>
      <c r="P17" s="14">
        <v>161.84200999999999</v>
      </c>
      <c r="Q17" s="14">
        <v>159.19802899999999</v>
      </c>
      <c r="R17" s="14">
        <v>154.03201300000001</v>
      </c>
      <c r="S17" s="14">
        <v>154.03201300000001</v>
      </c>
      <c r="T17" s="14">
        <v>151.13092</v>
      </c>
      <c r="U17" s="14">
        <v>151.13092</v>
      </c>
      <c r="V17" s="14">
        <v>151.13092</v>
      </c>
      <c r="W17" s="14">
        <v>149.966812</v>
      </c>
      <c r="X17" s="14">
        <v>149.966812</v>
      </c>
      <c r="Y17" s="14">
        <v>149.966812</v>
      </c>
      <c r="Z17" s="14">
        <v>149.966812</v>
      </c>
      <c r="AA17" s="14">
        <v>148.74981700000001</v>
      </c>
      <c r="AB17" s="14">
        <v>148.74981700000001</v>
      </c>
      <c r="AC17" s="14">
        <v>148.18580600000001</v>
      </c>
      <c r="AD17" s="14">
        <v>148.18580600000001</v>
      </c>
      <c r="AE17" s="14">
        <v>148.18580600000001</v>
      </c>
      <c r="AF17" s="14">
        <v>148.18580600000001</v>
      </c>
      <c r="AG17" s="14">
        <v>148.18580600000001</v>
      </c>
      <c r="AH17" s="14">
        <v>148.18580600000001</v>
      </c>
      <c r="AI17" s="14">
        <v>148.18580600000001</v>
      </c>
      <c r="AJ17" s="14">
        <v>148.18580600000001</v>
      </c>
      <c r="AK17" s="15">
        <v>-1.4527999999999999E-2</v>
      </c>
    </row>
    <row r="18" spans="1:37" ht="15" customHeight="1" x14ac:dyDescent="0.35">
      <c r="A18" s="6" t="s">
        <v>15</v>
      </c>
      <c r="B18" s="13" t="s">
        <v>16</v>
      </c>
      <c r="C18" s="14">
        <v>86.232910000000004</v>
      </c>
      <c r="D18" s="14">
        <v>82.614104999999995</v>
      </c>
      <c r="E18" s="14">
        <v>80.766105999999994</v>
      </c>
      <c r="F18" s="14">
        <v>79.243210000000005</v>
      </c>
      <c r="G18" s="14">
        <v>72.473808000000005</v>
      </c>
      <c r="H18" s="14">
        <v>70.327506999999997</v>
      </c>
      <c r="I18" s="14">
        <v>68.559905999999998</v>
      </c>
      <c r="J18" s="14">
        <v>65.484306000000004</v>
      </c>
      <c r="K18" s="14">
        <v>64.027114999999995</v>
      </c>
      <c r="L18" s="14">
        <v>60.366714000000002</v>
      </c>
      <c r="M18" s="14">
        <v>59.844710999999997</v>
      </c>
      <c r="N18" s="14">
        <v>59.045211999999999</v>
      </c>
      <c r="O18" s="14">
        <v>57.401909000000003</v>
      </c>
      <c r="P18" s="14">
        <v>57.401909000000003</v>
      </c>
      <c r="Q18" s="14">
        <v>57.291907999999999</v>
      </c>
      <c r="R18" s="14">
        <v>57.622909999999997</v>
      </c>
      <c r="S18" s="14">
        <v>57.387909000000001</v>
      </c>
      <c r="T18" s="14">
        <v>57.307907</v>
      </c>
      <c r="U18" s="14">
        <v>57.208908000000001</v>
      </c>
      <c r="V18" s="14">
        <v>56.908904999999997</v>
      </c>
      <c r="W18" s="14">
        <v>56.908904999999997</v>
      </c>
      <c r="X18" s="14">
        <v>56.686905000000003</v>
      </c>
      <c r="Y18" s="14">
        <v>56.686905000000003</v>
      </c>
      <c r="Z18" s="14">
        <v>56.686905000000003</v>
      </c>
      <c r="AA18" s="14">
        <v>56.464905000000002</v>
      </c>
      <c r="AB18" s="14">
        <v>56.067909</v>
      </c>
      <c r="AC18" s="14">
        <v>56.067909</v>
      </c>
      <c r="AD18" s="14">
        <v>56.067909</v>
      </c>
      <c r="AE18" s="14">
        <v>55.94191</v>
      </c>
      <c r="AF18" s="14">
        <v>55.94191</v>
      </c>
      <c r="AG18" s="14">
        <v>55.94191</v>
      </c>
      <c r="AH18" s="14">
        <v>55.94191</v>
      </c>
      <c r="AI18" s="14">
        <v>55.94191</v>
      </c>
      <c r="AJ18" s="14">
        <v>55.94191</v>
      </c>
      <c r="AK18" s="15">
        <v>-1.2109E-2</v>
      </c>
    </row>
    <row r="19" spans="1:37" ht="15" customHeight="1" x14ac:dyDescent="0.35">
      <c r="A19" s="6" t="s">
        <v>17</v>
      </c>
      <c r="B19" s="13" t="s">
        <v>18</v>
      </c>
      <c r="C19" s="14">
        <v>215.544128</v>
      </c>
      <c r="D19" s="14">
        <v>233.12274199999999</v>
      </c>
      <c r="E19" s="14">
        <v>239.77252200000001</v>
      </c>
      <c r="F19" s="14">
        <v>249.41815199999999</v>
      </c>
      <c r="G19" s="14">
        <v>264.584473</v>
      </c>
      <c r="H19" s="14">
        <v>270.80749500000002</v>
      </c>
      <c r="I19" s="14">
        <v>280.61086999999998</v>
      </c>
      <c r="J19" s="14">
        <v>293.17587300000002</v>
      </c>
      <c r="K19" s="14">
        <v>307.16619900000001</v>
      </c>
      <c r="L19" s="14">
        <v>315.12600700000002</v>
      </c>
      <c r="M19" s="14">
        <v>323.84570300000001</v>
      </c>
      <c r="N19" s="14">
        <v>328.71765099999999</v>
      </c>
      <c r="O19" s="14">
        <v>333.698914</v>
      </c>
      <c r="P19" s="14">
        <v>343.762878</v>
      </c>
      <c r="Q19" s="14">
        <v>349.285461</v>
      </c>
      <c r="R19" s="14">
        <v>359.42764299999999</v>
      </c>
      <c r="S19" s="14">
        <v>366.74774200000002</v>
      </c>
      <c r="T19" s="14">
        <v>377.36492900000002</v>
      </c>
      <c r="U19" s="14">
        <v>380.44986</v>
      </c>
      <c r="V19" s="14">
        <v>386.45919800000001</v>
      </c>
      <c r="W19" s="14">
        <v>396.436554</v>
      </c>
      <c r="X19" s="14">
        <v>399.53066999999999</v>
      </c>
      <c r="Y19" s="14">
        <v>405.848907</v>
      </c>
      <c r="Z19" s="14">
        <v>412.29586799999998</v>
      </c>
      <c r="AA19" s="14">
        <v>420.327606</v>
      </c>
      <c r="AB19" s="14">
        <v>425.83251999999999</v>
      </c>
      <c r="AC19" s="14">
        <v>432.41735799999998</v>
      </c>
      <c r="AD19" s="14">
        <v>439.58904999999999</v>
      </c>
      <c r="AE19" s="14">
        <v>447.87683099999998</v>
      </c>
      <c r="AF19" s="14">
        <v>454.92938199999998</v>
      </c>
      <c r="AG19" s="14">
        <v>458.05413800000002</v>
      </c>
      <c r="AH19" s="14">
        <v>464.36187699999999</v>
      </c>
      <c r="AI19" s="14">
        <v>468.72094700000002</v>
      </c>
      <c r="AJ19" s="14">
        <v>475.179688</v>
      </c>
      <c r="AK19" s="15">
        <v>2.2502999999999999E-2</v>
      </c>
    </row>
    <row r="20" spans="1:37" ht="15" customHeight="1" x14ac:dyDescent="0.35">
      <c r="A20" s="6" t="s">
        <v>19</v>
      </c>
      <c r="B20" s="13" t="s">
        <v>20</v>
      </c>
      <c r="C20" s="14">
        <v>137.230042</v>
      </c>
      <c r="D20" s="14">
        <v>138.84141500000001</v>
      </c>
      <c r="E20" s="14">
        <v>146.102036</v>
      </c>
      <c r="F20" s="14">
        <v>152.69631999999999</v>
      </c>
      <c r="G20" s="14">
        <v>151.33931000000001</v>
      </c>
      <c r="H20" s="14">
        <v>151.801849</v>
      </c>
      <c r="I20" s="14">
        <v>151.59367399999999</v>
      </c>
      <c r="J20" s="14">
        <v>151.944366</v>
      </c>
      <c r="K20" s="14">
        <v>152.634064</v>
      </c>
      <c r="L20" s="14">
        <v>153.410797</v>
      </c>
      <c r="M20" s="14">
        <v>155.21005199999999</v>
      </c>
      <c r="N20" s="14">
        <v>156.07605000000001</v>
      </c>
      <c r="O20" s="14">
        <v>155.95045500000001</v>
      </c>
      <c r="P20" s="14">
        <v>156.04567</v>
      </c>
      <c r="Q20" s="14">
        <v>156.94549599999999</v>
      </c>
      <c r="R20" s="14">
        <v>157.26397700000001</v>
      </c>
      <c r="S20" s="14">
        <v>157.683075</v>
      </c>
      <c r="T20" s="14">
        <v>157.70822100000001</v>
      </c>
      <c r="U20" s="14">
        <v>158.828857</v>
      </c>
      <c r="V20" s="14">
        <v>159.682648</v>
      </c>
      <c r="W20" s="14">
        <v>159.682648</v>
      </c>
      <c r="X20" s="14">
        <v>160.391266</v>
      </c>
      <c r="Y20" s="14">
        <v>161.883881</v>
      </c>
      <c r="Z20" s="14">
        <v>163.28613300000001</v>
      </c>
      <c r="AA20" s="14">
        <v>163.76049800000001</v>
      </c>
      <c r="AB20" s="14">
        <v>165.28421</v>
      </c>
      <c r="AC20" s="14">
        <v>165.600876</v>
      </c>
      <c r="AD20" s="14">
        <v>167.21106</v>
      </c>
      <c r="AE20" s="14">
        <v>168.97247300000001</v>
      </c>
      <c r="AF20" s="14">
        <v>170.987427</v>
      </c>
      <c r="AG20" s="14">
        <v>173.50466900000001</v>
      </c>
      <c r="AH20" s="14">
        <v>176.40557899999999</v>
      </c>
      <c r="AI20" s="14">
        <v>179.74163799999999</v>
      </c>
      <c r="AJ20" s="14">
        <v>181.77668800000001</v>
      </c>
      <c r="AK20" s="15">
        <v>8.456E-3</v>
      </c>
    </row>
    <row r="21" spans="1:37" ht="15" customHeight="1" x14ac:dyDescent="0.35">
      <c r="A21" s="6" t="s">
        <v>21</v>
      </c>
      <c r="B21" s="13" t="s">
        <v>22</v>
      </c>
      <c r="C21" s="14">
        <v>99.628906000000001</v>
      </c>
      <c r="D21" s="14">
        <v>99.062209999999993</v>
      </c>
      <c r="E21" s="14">
        <v>98.047211000000004</v>
      </c>
      <c r="F21" s="14">
        <v>96.152816999999999</v>
      </c>
      <c r="G21" s="14">
        <v>92.892105000000001</v>
      </c>
      <c r="H21" s="14">
        <v>89.331314000000006</v>
      </c>
      <c r="I21" s="14">
        <v>85.948807000000002</v>
      </c>
      <c r="J21" s="14">
        <v>85.948807000000002</v>
      </c>
      <c r="K21" s="14">
        <v>82.725403</v>
      </c>
      <c r="L21" s="14">
        <v>81.607406999999995</v>
      </c>
      <c r="M21" s="14">
        <v>81.607406999999995</v>
      </c>
      <c r="N21" s="14">
        <v>81.607406999999995</v>
      </c>
      <c r="O21" s="14">
        <v>81.632430999999997</v>
      </c>
      <c r="P21" s="14">
        <v>81.682456999999999</v>
      </c>
      <c r="Q21" s="14">
        <v>81.757537999999997</v>
      </c>
      <c r="R21" s="14">
        <v>80.424637000000004</v>
      </c>
      <c r="S21" s="14">
        <v>80.549773999999999</v>
      </c>
      <c r="T21" s="14">
        <v>80.674896000000004</v>
      </c>
      <c r="U21" s="14">
        <v>80.800033999999997</v>
      </c>
      <c r="V21" s="14">
        <v>80.925156000000001</v>
      </c>
      <c r="W21" s="14">
        <v>81.050285000000002</v>
      </c>
      <c r="X21" s="14">
        <v>81.175415000000001</v>
      </c>
      <c r="Y21" s="14">
        <v>81.300551999999996</v>
      </c>
      <c r="Z21" s="14">
        <v>81.425674000000001</v>
      </c>
      <c r="AA21" s="14">
        <v>81.550811999999993</v>
      </c>
      <c r="AB21" s="14">
        <v>81.675933999999998</v>
      </c>
      <c r="AC21" s="14">
        <v>81.801070999999993</v>
      </c>
      <c r="AD21" s="14">
        <v>81.926192999999998</v>
      </c>
      <c r="AE21" s="14">
        <v>82.051331000000005</v>
      </c>
      <c r="AF21" s="14">
        <v>82.176452999999995</v>
      </c>
      <c r="AG21" s="14">
        <v>82.301590000000004</v>
      </c>
      <c r="AH21" s="14">
        <v>82.426711999999995</v>
      </c>
      <c r="AI21" s="14">
        <v>82.551849000000004</v>
      </c>
      <c r="AJ21" s="14">
        <v>82.676979000000003</v>
      </c>
      <c r="AK21" s="15">
        <v>-5.6340000000000001E-3</v>
      </c>
    </row>
    <row r="22" spans="1:37" ht="15" customHeight="1" x14ac:dyDescent="0.35">
      <c r="A22" s="6" t="s">
        <v>23</v>
      </c>
      <c r="B22" s="13" t="s">
        <v>24</v>
      </c>
      <c r="C22" s="14">
        <v>22.810403999999998</v>
      </c>
      <c r="D22" s="14">
        <v>22.810403999999998</v>
      </c>
      <c r="E22" s="14">
        <v>22.810403999999998</v>
      </c>
      <c r="F22" s="14">
        <v>22.810403999999998</v>
      </c>
      <c r="G22" s="14">
        <v>22.810403999999998</v>
      </c>
      <c r="H22" s="14">
        <v>22.810403999999998</v>
      </c>
      <c r="I22" s="14">
        <v>22.810403999999998</v>
      </c>
      <c r="J22" s="14">
        <v>22.810403999999998</v>
      </c>
      <c r="K22" s="14">
        <v>22.810403999999998</v>
      </c>
      <c r="L22" s="14">
        <v>22.810403999999998</v>
      </c>
      <c r="M22" s="14">
        <v>22.810403999999998</v>
      </c>
      <c r="N22" s="14">
        <v>22.810403999999998</v>
      </c>
      <c r="O22" s="14">
        <v>22.810403999999998</v>
      </c>
      <c r="P22" s="14">
        <v>22.810403999999998</v>
      </c>
      <c r="Q22" s="14">
        <v>22.810403999999998</v>
      </c>
      <c r="R22" s="14">
        <v>22.810403999999998</v>
      </c>
      <c r="S22" s="14">
        <v>22.810403999999998</v>
      </c>
      <c r="T22" s="14">
        <v>22.810403999999998</v>
      </c>
      <c r="U22" s="14">
        <v>22.810403999999998</v>
      </c>
      <c r="V22" s="14">
        <v>22.810403999999998</v>
      </c>
      <c r="W22" s="14">
        <v>22.810403999999998</v>
      </c>
      <c r="X22" s="14">
        <v>22.810403999999998</v>
      </c>
      <c r="Y22" s="14">
        <v>22.810403999999998</v>
      </c>
      <c r="Z22" s="14">
        <v>22.810403999999998</v>
      </c>
      <c r="AA22" s="14">
        <v>22.810403999999998</v>
      </c>
      <c r="AB22" s="14">
        <v>22.810403999999998</v>
      </c>
      <c r="AC22" s="14">
        <v>22.810403999999998</v>
      </c>
      <c r="AD22" s="14">
        <v>22.810403999999998</v>
      </c>
      <c r="AE22" s="14">
        <v>22.810403999999998</v>
      </c>
      <c r="AF22" s="14">
        <v>22.810403999999998</v>
      </c>
      <c r="AG22" s="14">
        <v>22.810403999999998</v>
      </c>
      <c r="AH22" s="14">
        <v>22.810403999999998</v>
      </c>
      <c r="AI22" s="14">
        <v>22.810403999999998</v>
      </c>
      <c r="AJ22" s="14">
        <v>22.810403999999998</v>
      </c>
      <c r="AK22" s="15">
        <v>0</v>
      </c>
    </row>
    <row r="23" spans="1:37" s="19" customFormat="1" ht="15" customHeight="1" x14ac:dyDescent="0.35">
      <c r="A23" s="18" t="s">
        <v>25</v>
      </c>
      <c r="B23" s="21" t="s">
        <v>26</v>
      </c>
      <c r="C23" s="22">
        <v>0.59219999999999995</v>
      </c>
      <c r="D23" s="22">
        <v>0.75249999999999995</v>
      </c>
      <c r="E23" s="22">
        <v>0.79849999999999999</v>
      </c>
      <c r="F23" s="22">
        <v>0.91949999999999998</v>
      </c>
      <c r="G23" s="22">
        <v>1.1695</v>
      </c>
      <c r="H23" s="22">
        <v>1.4195</v>
      </c>
      <c r="I23" s="22">
        <v>1.6695</v>
      </c>
      <c r="J23" s="22">
        <v>1.9185000000000001</v>
      </c>
      <c r="K23" s="22">
        <v>1.9185000000000001</v>
      </c>
      <c r="L23" s="22">
        <v>1.9185000000000001</v>
      </c>
      <c r="M23" s="22">
        <v>1.9185000000000001</v>
      </c>
      <c r="N23" s="22">
        <v>1.9185000000000001</v>
      </c>
      <c r="O23" s="22">
        <v>1.9185000000000001</v>
      </c>
      <c r="P23" s="22">
        <v>1.9185000000000001</v>
      </c>
      <c r="Q23" s="22">
        <v>4.7154999999999996</v>
      </c>
      <c r="R23" s="22">
        <v>5.7134400000000003</v>
      </c>
      <c r="S23" s="22">
        <v>5.7134400000000003</v>
      </c>
      <c r="T23" s="22">
        <v>6.4754300000000002</v>
      </c>
      <c r="U23" s="22">
        <v>8.0014579999999995</v>
      </c>
      <c r="V23" s="22">
        <v>9.2728990000000007</v>
      </c>
      <c r="W23" s="22">
        <v>9.2813060000000007</v>
      </c>
      <c r="X23" s="22">
        <v>12.197307</v>
      </c>
      <c r="Y23" s="22">
        <v>12.439215000000001</v>
      </c>
      <c r="Z23" s="22">
        <v>15.457274</v>
      </c>
      <c r="AA23" s="22">
        <v>18.583275</v>
      </c>
      <c r="AB23" s="22">
        <v>18.818812999999999</v>
      </c>
      <c r="AC23" s="22">
        <v>20.16357</v>
      </c>
      <c r="AD23" s="22">
        <v>20.803711</v>
      </c>
      <c r="AE23" s="22">
        <v>21.957172</v>
      </c>
      <c r="AF23" s="22">
        <v>23.104578</v>
      </c>
      <c r="AG23" s="22">
        <v>26.104578</v>
      </c>
      <c r="AH23" s="22">
        <v>27.820377000000001</v>
      </c>
      <c r="AI23" s="22">
        <v>27.820377000000001</v>
      </c>
      <c r="AJ23" s="22">
        <v>30.820377000000001</v>
      </c>
      <c r="AK23" s="23">
        <v>0.123014</v>
      </c>
    </row>
    <row r="24" spans="1:37" ht="15" customHeight="1" x14ac:dyDescent="0.35">
      <c r="A24" s="6" t="s">
        <v>27</v>
      </c>
      <c r="B24" s="13" t="s">
        <v>28</v>
      </c>
      <c r="C24" s="14">
        <v>0.10100000000000001</v>
      </c>
      <c r="D24" s="14">
        <v>0.1024</v>
      </c>
      <c r="E24" s="14">
        <v>0.1176</v>
      </c>
      <c r="F24" s="14">
        <v>0.11650000000000001</v>
      </c>
      <c r="G24" s="14">
        <v>0.116581</v>
      </c>
      <c r="H24" s="14">
        <v>0.116662</v>
      </c>
      <c r="I24" s="14">
        <v>0.116743</v>
      </c>
      <c r="J24" s="14">
        <v>0.116824</v>
      </c>
      <c r="K24" s="14">
        <v>0.116905</v>
      </c>
      <c r="L24" s="14">
        <v>0.11698600000000001</v>
      </c>
      <c r="M24" s="14">
        <v>0.117067</v>
      </c>
      <c r="N24" s="14">
        <v>0.117148</v>
      </c>
      <c r="O24" s="14">
        <v>0.117229</v>
      </c>
      <c r="P24" s="14">
        <v>0.11731</v>
      </c>
      <c r="Q24" s="14">
        <v>0.117391</v>
      </c>
      <c r="R24" s="14">
        <v>0.11747199999999999</v>
      </c>
      <c r="S24" s="14">
        <v>0.11755400000000001</v>
      </c>
      <c r="T24" s="14">
        <v>0.11761000000000001</v>
      </c>
      <c r="U24" s="14">
        <v>0.117636</v>
      </c>
      <c r="V24" s="14">
        <v>0.117647</v>
      </c>
      <c r="W24" s="14">
        <v>0.11765299999999999</v>
      </c>
      <c r="X24" s="14">
        <v>0.117659</v>
      </c>
      <c r="Y24" s="14">
        <v>0.11766</v>
      </c>
      <c r="Z24" s="14">
        <v>0.117661</v>
      </c>
      <c r="AA24" s="14">
        <v>0.117662</v>
      </c>
      <c r="AB24" s="14">
        <v>0.117663</v>
      </c>
      <c r="AC24" s="14">
        <v>0.117664</v>
      </c>
      <c r="AD24" s="14">
        <v>0.11766500000000001</v>
      </c>
      <c r="AE24" s="14">
        <v>0.11766600000000001</v>
      </c>
      <c r="AF24" s="14">
        <v>0.119976</v>
      </c>
      <c r="AG24" s="14">
        <v>0.121998</v>
      </c>
      <c r="AH24" s="14">
        <v>0.121998</v>
      </c>
      <c r="AI24" s="14">
        <v>0.121998</v>
      </c>
      <c r="AJ24" s="14">
        <v>0.123569</v>
      </c>
      <c r="AK24" s="15">
        <v>5.8900000000000003E-3</v>
      </c>
    </row>
    <row r="25" spans="1:37" ht="15" customHeight="1" x14ac:dyDescent="0.35">
      <c r="A25" s="6" t="s">
        <v>29</v>
      </c>
      <c r="B25" s="13" t="s">
        <v>30</v>
      </c>
      <c r="C25" s="14">
        <v>201.21060199999999</v>
      </c>
      <c r="D25" s="14">
        <v>214.30001799999999</v>
      </c>
      <c r="E25" s="14">
        <v>229.26295500000001</v>
      </c>
      <c r="F25" s="14">
        <v>241.686218</v>
      </c>
      <c r="G25" s="14">
        <v>256.39144900000002</v>
      </c>
      <c r="H25" s="14">
        <v>267.14679000000001</v>
      </c>
      <c r="I25" s="14">
        <v>278.43472300000002</v>
      </c>
      <c r="J25" s="14">
        <v>281.96026599999999</v>
      </c>
      <c r="K25" s="14">
        <v>285.54476899999997</v>
      </c>
      <c r="L25" s="14">
        <v>288.06872600000003</v>
      </c>
      <c r="M25" s="14">
        <v>291.608429</v>
      </c>
      <c r="N25" s="14">
        <v>295.24517800000001</v>
      </c>
      <c r="O25" s="14">
        <v>301.88183600000002</v>
      </c>
      <c r="P25" s="14">
        <v>304.16018700000001</v>
      </c>
      <c r="Q25" s="14">
        <v>310.39306599999998</v>
      </c>
      <c r="R25" s="14">
        <v>311.054596</v>
      </c>
      <c r="S25" s="14">
        <v>314.80355800000001</v>
      </c>
      <c r="T25" s="14">
        <v>320.61947600000002</v>
      </c>
      <c r="U25" s="14">
        <v>327.44125400000001</v>
      </c>
      <c r="V25" s="14">
        <v>336.38537600000001</v>
      </c>
      <c r="W25" s="14">
        <v>344.790009</v>
      </c>
      <c r="X25" s="14">
        <v>354.46923800000002</v>
      </c>
      <c r="Y25" s="14">
        <v>365.722534</v>
      </c>
      <c r="Z25" s="14">
        <v>366.69189499999999</v>
      </c>
      <c r="AA25" s="14">
        <v>377.93118299999998</v>
      </c>
      <c r="AB25" s="14">
        <v>379.31778000000003</v>
      </c>
      <c r="AC25" s="14">
        <v>391.287598</v>
      </c>
      <c r="AD25" s="14">
        <v>393.42416400000002</v>
      </c>
      <c r="AE25" s="14">
        <v>397.17782599999998</v>
      </c>
      <c r="AF25" s="14">
        <v>409.83667000000003</v>
      </c>
      <c r="AG25" s="14">
        <v>423.12609900000001</v>
      </c>
      <c r="AH25" s="14">
        <v>425.96310399999999</v>
      </c>
      <c r="AI25" s="14">
        <v>438.77340700000002</v>
      </c>
      <c r="AJ25" s="14">
        <v>446.23230000000001</v>
      </c>
      <c r="AK25" s="15">
        <v>2.3185000000000001E-2</v>
      </c>
    </row>
    <row r="26" spans="1:37" ht="15" customHeight="1" x14ac:dyDescent="0.35">
      <c r="A26" s="6" t="s">
        <v>31</v>
      </c>
      <c r="B26" s="13" t="s">
        <v>32</v>
      </c>
      <c r="C26" s="14">
        <v>0</v>
      </c>
      <c r="D26" s="14">
        <v>0</v>
      </c>
      <c r="E26" s="14">
        <v>0</v>
      </c>
      <c r="F26" s="14">
        <v>1.549955</v>
      </c>
      <c r="G26" s="14">
        <v>1.737015</v>
      </c>
      <c r="H26" s="14">
        <v>1.9216139999999999</v>
      </c>
      <c r="I26" s="14">
        <v>2.1300249999999998</v>
      </c>
      <c r="J26" s="14">
        <v>2.3810440000000002</v>
      </c>
      <c r="K26" s="14">
        <v>2.6740729999999999</v>
      </c>
      <c r="L26" s="14">
        <v>3.043898</v>
      </c>
      <c r="M26" s="14">
        <v>3.4392390000000002</v>
      </c>
      <c r="N26" s="14">
        <v>3.898479</v>
      </c>
      <c r="O26" s="14">
        <v>4.4138760000000001</v>
      </c>
      <c r="P26" s="14">
        <v>4.959581</v>
      </c>
      <c r="Q26" s="14">
        <v>5.4664989999999998</v>
      </c>
      <c r="R26" s="14">
        <v>6.1122639999999997</v>
      </c>
      <c r="S26" s="14">
        <v>6.7578430000000003</v>
      </c>
      <c r="T26" s="14">
        <v>7.5212870000000001</v>
      </c>
      <c r="U26" s="14">
        <v>8.4065849999999998</v>
      </c>
      <c r="V26" s="14">
        <v>9.3650470000000006</v>
      </c>
      <c r="W26" s="14">
        <v>10.470656999999999</v>
      </c>
      <c r="X26" s="14">
        <v>11.609406</v>
      </c>
      <c r="Y26" s="14">
        <v>12.832675999999999</v>
      </c>
      <c r="Z26" s="14">
        <v>14.179005999999999</v>
      </c>
      <c r="AA26" s="14">
        <v>15.613872000000001</v>
      </c>
      <c r="AB26" s="14">
        <v>17.131450999999998</v>
      </c>
      <c r="AC26" s="14">
        <v>18.720569999999999</v>
      </c>
      <c r="AD26" s="14">
        <v>20.528061000000001</v>
      </c>
      <c r="AE26" s="14">
        <v>22.37632</v>
      </c>
      <c r="AF26" s="14">
        <v>24.270847</v>
      </c>
      <c r="AG26" s="14">
        <v>26.195222999999999</v>
      </c>
      <c r="AH26" s="14">
        <v>27.978928</v>
      </c>
      <c r="AI26" s="14">
        <v>29.724710000000002</v>
      </c>
      <c r="AJ26" s="14">
        <v>31.575861</v>
      </c>
      <c r="AK26" s="15" t="s">
        <v>33</v>
      </c>
    </row>
    <row r="27" spans="1:37" ht="15" customHeight="1" x14ac:dyDescent="0.35">
      <c r="A27" s="6" t="s">
        <v>34</v>
      </c>
      <c r="B27" s="12" t="s">
        <v>35</v>
      </c>
      <c r="C27" s="16">
        <v>1012.411682</v>
      </c>
      <c r="D27" s="16">
        <v>1028.304443</v>
      </c>
      <c r="E27" s="16">
        <v>1047.627808</v>
      </c>
      <c r="F27" s="16">
        <v>1072.3055420000001</v>
      </c>
      <c r="G27" s="16">
        <v>1083.0888669999999</v>
      </c>
      <c r="H27" s="16">
        <v>1086.9676509999999</v>
      </c>
      <c r="I27" s="16">
        <v>1091.0604249999999</v>
      </c>
      <c r="J27" s="16">
        <v>1092.6613769999999</v>
      </c>
      <c r="K27" s="16">
        <v>1095.9528809999999</v>
      </c>
      <c r="L27" s="16">
        <v>1097.5043949999999</v>
      </c>
      <c r="M27" s="16">
        <v>1107.7818600000001</v>
      </c>
      <c r="N27" s="16">
        <v>1114.735962</v>
      </c>
      <c r="O27" s="16">
        <v>1124.5795900000001</v>
      </c>
      <c r="P27" s="16">
        <v>1134.700928</v>
      </c>
      <c r="Q27" s="16">
        <v>1147.981323</v>
      </c>
      <c r="R27" s="16">
        <v>1154.5794679999999</v>
      </c>
      <c r="S27" s="16">
        <v>1166.603394</v>
      </c>
      <c r="T27" s="16">
        <v>1181.7310789999999</v>
      </c>
      <c r="U27" s="16">
        <v>1195.195923</v>
      </c>
      <c r="V27" s="16">
        <v>1213.0582280000001</v>
      </c>
      <c r="W27" s="16">
        <v>1231.515259</v>
      </c>
      <c r="X27" s="16">
        <v>1248.955078</v>
      </c>
      <c r="Y27" s="16">
        <v>1269.6094969999999</v>
      </c>
      <c r="Z27" s="16">
        <v>1282.9176030000001</v>
      </c>
      <c r="AA27" s="16">
        <v>1305.910034</v>
      </c>
      <c r="AB27" s="16">
        <v>1315.806519</v>
      </c>
      <c r="AC27" s="16">
        <v>1337.1729740000001</v>
      </c>
      <c r="AD27" s="16">
        <v>1350.6640620000001</v>
      </c>
      <c r="AE27" s="16">
        <v>1367.4677730000001</v>
      </c>
      <c r="AF27" s="16">
        <v>1392.363525</v>
      </c>
      <c r="AG27" s="16">
        <v>1416.346436</v>
      </c>
      <c r="AH27" s="16">
        <v>1432.0167240000001</v>
      </c>
      <c r="AI27" s="16">
        <v>1454.3930660000001</v>
      </c>
      <c r="AJ27" s="16">
        <v>1475.3236079999999</v>
      </c>
      <c r="AK27" s="17">
        <v>1.1344E-2</v>
      </c>
    </row>
    <row r="28" spans="1:37" ht="15" customHeight="1" x14ac:dyDescent="0.35">
      <c r="B28" s="12" t="s">
        <v>36</v>
      </c>
    </row>
    <row r="29" spans="1:37" ht="15" customHeight="1" x14ac:dyDescent="0.35">
      <c r="A29" s="6" t="s">
        <v>37</v>
      </c>
      <c r="B29" s="13" t="s">
        <v>38</v>
      </c>
      <c r="C29" s="14">
        <v>3.1322999999999999</v>
      </c>
      <c r="D29" s="14">
        <v>2.9876999999999998</v>
      </c>
      <c r="E29" s="14">
        <v>2.9876999999999998</v>
      </c>
      <c r="F29" s="14">
        <v>2.6821000000000002</v>
      </c>
      <c r="G29" s="14">
        <v>2.6821000000000002</v>
      </c>
      <c r="H29" s="14">
        <v>2.6821000000000002</v>
      </c>
      <c r="I29" s="14">
        <v>2.6821000000000002</v>
      </c>
      <c r="J29" s="14">
        <v>2.6821000000000002</v>
      </c>
      <c r="K29" s="14">
        <v>2.6821000000000002</v>
      </c>
      <c r="L29" s="14">
        <v>2.6821000000000002</v>
      </c>
      <c r="M29" s="14">
        <v>2.6821000000000002</v>
      </c>
      <c r="N29" s="14">
        <v>2.6821000000000002</v>
      </c>
      <c r="O29" s="14">
        <v>2.6821000000000002</v>
      </c>
      <c r="P29" s="14">
        <v>2.6821000000000002</v>
      </c>
      <c r="Q29" s="14">
        <v>2.6821000000000002</v>
      </c>
      <c r="R29" s="14">
        <v>2.6821000000000002</v>
      </c>
      <c r="S29" s="14">
        <v>2.6821000000000002</v>
      </c>
      <c r="T29" s="14">
        <v>2.6821000000000002</v>
      </c>
      <c r="U29" s="14">
        <v>2.6821000000000002</v>
      </c>
      <c r="V29" s="14">
        <v>2.6821000000000002</v>
      </c>
      <c r="W29" s="14">
        <v>2.6821000000000002</v>
      </c>
      <c r="X29" s="14">
        <v>2.6821000000000002</v>
      </c>
      <c r="Y29" s="14">
        <v>2.6821000000000002</v>
      </c>
      <c r="Z29" s="14">
        <v>2.6821000000000002</v>
      </c>
      <c r="AA29" s="14">
        <v>2.6821000000000002</v>
      </c>
      <c r="AB29" s="14">
        <v>2.6821000000000002</v>
      </c>
      <c r="AC29" s="14">
        <v>2.6821000000000002</v>
      </c>
      <c r="AD29" s="14">
        <v>2.6821000000000002</v>
      </c>
      <c r="AE29" s="14">
        <v>2.6821000000000002</v>
      </c>
      <c r="AF29" s="14">
        <v>2.6821000000000002</v>
      </c>
      <c r="AG29" s="14">
        <v>2.6821000000000002</v>
      </c>
      <c r="AH29" s="14">
        <v>2.6821000000000002</v>
      </c>
      <c r="AI29" s="14">
        <v>2.6821000000000002</v>
      </c>
      <c r="AJ29" s="14">
        <v>2.6821000000000002</v>
      </c>
      <c r="AK29" s="15">
        <v>-3.3660000000000001E-3</v>
      </c>
    </row>
    <row r="30" spans="1:37" ht="15" customHeight="1" x14ac:dyDescent="0.35">
      <c r="A30" s="6" t="s">
        <v>39</v>
      </c>
      <c r="B30" s="13" t="s">
        <v>40</v>
      </c>
      <c r="C30" s="14">
        <v>0.60619999999999996</v>
      </c>
      <c r="D30" s="14">
        <v>0.60619999999999996</v>
      </c>
      <c r="E30" s="14">
        <v>0.60619999999999996</v>
      </c>
      <c r="F30" s="14">
        <v>0.60619999999999996</v>
      </c>
      <c r="G30" s="14">
        <v>0.60619999999999996</v>
      </c>
      <c r="H30" s="14">
        <v>0.60619999999999996</v>
      </c>
      <c r="I30" s="14">
        <v>0.60619999999999996</v>
      </c>
      <c r="J30" s="14">
        <v>0.60619999999999996</v>
      </c>
      <c r="K30" s="14">
        <v>0.60619999999999996</v>
      </c>
      <c r="L30" s="14">
        <v>0.60619999999999996</v>
      </c>
      <c r="M30" s="14">
        <v>0.60619999999999996</v>
      </c>
      <c r="N30" s="14">
        <v>0.60619999999999996</v>
      </c>
      <c r="O30" s="14">
        <v>0.60619999999999996</v>
      </c>
      <c r="P30" s="14">
        <v>0.60619999999999996</v>
      </c>
      <c r="Q30" s="14">
        <v>0.60619999999999996</v>
      </c>
      <c r="R30" s="14">
        <v>0.60619999999999996</v>
      </c>
      <c r="S30" s="14">
        <v>0.60619999999999996</v>
      </c>
      <c r="T30" s="14">
        <v>0.60619999999999996</v>
      </c>
      <c r="U30" s="14">
        <v>0.60619999999999996</v>
      </c>
      <c r="V30" s="14">
        <v>0.60619999999999996</v>
      </c>
      <c r="W30" s="14">
        <v>0.60619999999999996</v>
      </c>
      <c r="X30" s="14">
        <v>0.60619999999999996</v>
      </c>
      <c r="Y30" s="14">
        <v>0.60619999999999996</v>
      </c>
      <c r="Z30" s="14">
        <v>0.60619999999999996</v>
      </c>
      <c r="AA30" s="14">
        <v>0.60619999999999996</v>
      </c>
      <c r="AB30" s="14">
        <v>0.60619999999999996</v>
      </c>
      <c r="AC30" s="14">
        <v>0.60619999999999996</v>
      </c>
      <c r="AD30" s="14">
        <v>0.60619999999999996</v>
      </c>
      <c r="AE30" s="14">
        <v>0.60619999999999996</v>
      </c>
      <c r="AF30" s="14">
        <v>0.60619999999999996</v>
      </c>
      <c r="AG30" s="14">
        <v>0.60619999999999996</v>
      </c>
      <c r="AH30" s="14">
        <v>0.60619999999999996</v>
      </c>
      <c r="AI30" s="14">
        <v>0.60619999999999996</v>
      </c>
      <c r="AJ30" s="14">
        <v>0.60619999999999996</v>
      </c>
      <c r="AK30" s="15">
        <v>0</v>
      </c>
    </row>
    <row r="31" spans="1:37" ht="15" customHeight="1" x14ac:dyDescent="0.35">
      <c r="A31" s="6" t="s">
        <v>41</v>
      </c>
      <c r="B31" s="13" t="s">
        <v>18</v>
      </c>
      <c r="C31" s="14">
        <v>23.575500000000002</v>
      </c>
      <c r="D31" s="14">
        <v>23.386599</v>
      </c>
      <c r="E31" s="14">
        <v>23.336599</v>
      </c>
      <c r="F31" s="14">
        <v>23.564598</v>
      </c>
      <c r="G31" s="14">
        <v>23.564598</v>
      </c>
      <c r="H31" s="14">
        <v>23.564598</v>
      </c>
      <c r="I31" s="14">
        <v>23.385998000000001</v>
      </c>
      <c r="J31" s="14">
        <v>23.385998000000001</v>
      </c>
      <c r="K31" s="14">
        <v>23.385998000000001</v>
      </c>
      <c r="L31" s="14">
        <v>23.385998000000001</v>
      </c>
      <c r="M31" s="14">
        <v>23.385998000000001</v>
      </c>
      <c r="N31" s="14">
        <v>23.385998000000001</v>
      </c>
      <c r="O31" s="14">
        <v>23.385998000000001</v>
      </c>
      <c r="P31" s="14">
        <v>23.385998000000001</v>
      </c>
      <c r="Q31" s="14">
        <v>23.385998000000001</v>
      </c>
      <c r="R31" s="14">
        <v>23.385998000000001</v>
      </c>
      <c r="S31" s="14">
        <v>23.385998000000001</v>
      </c>
      <c r="T31" s="14">
        <v>23.385998000000001</v>
      </c>
      <c r="U31" s="14">
        <v>23.385998000000001</v>
      </c>
      <c r="V31" s="14">
        <v>23.385998000000001</v>
      </c>
      <c r="W31" s="14">
        <v>23.385998000000001</v>
      </c>
      <c r="X31" s="14">
        <v>23.385998000000001</v>
      </c>
      <c r="Y31" s="14">
        <v>23.385998000000001</v>
      </c>
      <c r="Z31" s="14">
        <v>23.385998000000001</v>
      </c>
      <c r="AA31" s="14">
        <v>23.385998000000001</v>
      </c>
      <c r="AB31" s="14">
        <v>23.385998000000001</v>
      </c>
      <c r="AC31" s="14">
        <v>23.385998000000001</v>
      </c>
      <c r="AD31" s="14">
        <v>23.385998000000001</v>
      </c>
      <c r="AE31" s="14">
        <v>23.385998000000001</v>
      </c>
      <c r="AF31" s="14">
        <v>23.385998000000001</v>
      </c>
      <c r="AG31" s="14">
        <v>23.385998000000001</v>
      </c>
      <c r="AH31" s="14">
        <v>23.385998000000001</v>
      </c>
      <c r="AI31" s="14">
        <v>23.385998000000001</v>
      </c>
      <c r="AJ31" s="14">
        <v>23.385998000000001</v>
      </c>
      <c r="AK31" s="15">
        <v>-9.9999999999999995E-7</v>
      </c>
    </row>
    <row r="32" spans="1:37" ht="15" customHeight="1" x14ac:dyDescent="0.35">
      <c r="A32" s="6" t="s">
        <v>42</v>
      </c>
      <c r="B32" s="13" t="s">
        <v>20</v>
      </c>
      <c r="C32" s="14">
        <v>3.1941000000000002</v>
      </c>
      <c r="D32" s="14">
        <v>3.1941000000000002</v>
      </c>
      <c r="E32" s="14">
        <v>3.1461000000000001</v>
      </c>
      <c r="F32" s="14">
        <v>3.0966</v>
      </c>
      <c r="G32" s="14">
        <v>3.0966</v>
      </c>
      <c r="H32" s="14">
        <v>3.0966</v>
      </c>
      <c r="I32" s="14">
        <v>3.0966</v>
      </c>
      <c r="J32" s="14">
        <v>3.0966</v>
      </c>
      <c r="K32" s="14">
        <v>3.0966</v>
      </c>
      <c r="L32" s="14">
        <v>3.0966</v>
      </c>
      <c r="M32" s="14">
        <v>3.0966</v>
      </c>
      <c r="N32" s="14">
        <v>3.0966</v>
      </c>
      <c r="O32" s="14">
        <v>3.0966</v>
      </c>
      <c r="P32" s="14">
        <v>3.0966</v>
      </c>
      <c r="Q32" s="14">
        <v>3.0966</v>
      </c>
      <c r="R32" s="14">
        <v>3.0966</v>
      </c>
      <c r="S32" s="14">
        <v>3.0966</v>
      </c>
      <c r="T32" s="14">
        <v>3.0966</v>
      </c>
      <c r="U32" s="14">
        <v>3.0966</v>
      </c>
      <c r="V32" s="14">
        <v>3.0966</v>
      </c>
      <c r="W32" s="14">
        <v>3.0966</v>
      </c>
      <c r="X32" s="14">
        <v>3.0966</v>
      </c>
      <c r="Y32" s="14">
        <v>3.0966</v>
      </c>
      <c r="Z32" s="14">
        <v>3.0966</v>
      </c>
      <c r="AA32" s="14">
        <v>3.0966</v>
      </c>
      <c r="AB32" s="14">
        <v>3.0966</v>
      </c>
      <c r="AC32" s="14">
        <v>3.0966</v>
      </c>
      <c r="AD32" s="14">
        <v>3.0966</v>
      </c>
      <c r="AE32" s="14">
        <v>3.0966</v>
      </c>
      <c r="AF32" s="14">
        <v>3.0966</v>
      </c>
      <c r="AG32" s="14">
        <v>3.0966</v>
      </c>
      <c r="AH32" s="14">
        <v>3.0966</v>
      </c>
      <c r="AI32" s="14">
        <v>3.0966</v>
      </c>
      <c r="AJ32" s="14">
        <v>3.0966</v>
      </c>
      <c r="AK32" s="15">
        <v>-9.68E-4</v>
      </c>
    </row>
    <row r="33" spans="1:37" ht="15" customHeight="1" x14ac:dyDescent="0.35">
      <c r="A33" s="6" t="s">
        <v>43</v>
      </c>
      <c r="B33" s="13" t="s">
        <v>30</v>
      </c>
      <c r="C33" s="14">
        <v>0.95</v>
      </c>
      <c r="D33" s="14">
        <v>0.94310000000000005</v>
      </c>
      <c r="E33" s="14">
        <v>0.94510000000000005</v>
      </c>
      <c r="F33" s="14">
        <v>0.94510000000000005</v>
      </c>
      <c r="G33" s="14">
        <v>0.94510000000000005</v>
      </c>
      <c r="H33" s="14">
        <v>0.94510000000000005</v>
      </c>
      <c r="I33" s="14">
        <v>0.94510000000000005</v>
      </c>
      <c r="J33" s="14">
        <v>0.94510000000000005</v>
      </c>
      <c r="K33" s="14">
        <v>0.94510000000000005</v>
      </c>
      <c r="L33" s="14">
        <v>0.94510000000000005</v>
      </c>
      <c r="M33" s="14">
        <v>0.94510000000000005</v>
      </c>
      <c r="N33" s="14">
        <v>0.94510000000000005</v>
      </c>
      <c r="O33" s="14">
        <v>0.94510000000000005</v>
      </c>
      <c r="P33" s="14">
        <v>0.94510000000000005</v>
      </c>
      <c r="Q33" s="14">
        <v>0.94510000000000005</v>
      </c>
      <c r="R33" s="14">
        <v>0.94510000000000005</v>
      </c>
      <c r="S33" s="14">
        <v>0.94510000000000005</v>
      </c>
      <c r="T33" s="14">
        <v>0.94510000000000005</v>
      </c>
      <c r="U33" s="14">
        <v>0.94510000000000005</v>
      </c>
      <c r="V33" s="14">
        <v>0.94510000000000005</v>
      </c>
      <c r="W33" s="14">
        <v>0.94510000000000005</v>
      </c>
      <c r="X33" s="14">
        <v>0.94510000000000005</v>
      </c>
      <c r="Y33" s="14">
        <v>0.94510000000000005</v>
      </c>
      <c r="Z33" s="14">
        <v>0.94510000000000005</v>
      </c>
      <c r="AA33" s="14">
        <v>0.94510000000000005</v>
      </c>
      <c r="AB33" s="14">
        <v>0.94510000000000005</v>
      </c>
      <c r="AC33" s="14">
        <v>0.94510000000000005</v>
      </c>
      <c r="AD33" s="14">
        <v>0.94510000000000005</v>
      </c>
      <c r="AE33" s="14">
        <v>0.94510000000000005</v>
      </c>
      <c r="AF33" s="14">
        <v>0.94510000000000005</v>
      </c>
      <c r="AG33" s="14">
        <v>0.94510000000000005</v>
      </c>
      <c r="AH33" s="14">
        <v>0.94510000000000005</v>
      </c>
      <c r="AI33" s="14">
        <v>0.94510000000000005</v>
      </c>
      <c r="AJ33" s="14">
        <v>0.94510000000000005</v>
      </c>
      <c r="AK33" s="15">
        <v>6.6000000000000005E-5</v>
      </c>
    </row>
    <row r="34" spans="1:37" ht="15" customHeight="1" x14ac:dyDescent="0.35">
      <c r="A34" s="6" t="s">
        <v>44</v>
      </c>
      <c r="B34" s="12" t="s">
        <v>35</v>
      </c>
      <c r="C34" s="16">
        <v>31.458103000000001</v>
      </c>
      <c r="D34" s="16">
        <v>31.117699000000002</v>
      </c>
      <c r="E34" s="16">
        <v>31.021699999999999</v>
      </c>
      <c r="F34" s="16">
        <v>30.894597999999998</v>
      </c>
      <c r="G34" s="16">
        <v>30.894597999999998</v>
      </c>
      <c r="H34" s="16">
        <v>30.894597999999998</v>
      </c>
      <c r="I34" s="16">
        <v>30.715997999999999</v>
      </c>
      <c r="J34" s="16">
        <v>30.715997999999999</v>
      </c>
      <c r="K34" s="16">
        <v>30.715997999999999</v>
      </c>
      <c r="L34" s="16">
        <v>30.715997999999999</v>
      </c>
      <c r="M34" s="16">
        <v>30.715997999999999</v>
      </c>
      <c r="N34" s="16">
        <v>30.715997999999999</v>
      </c>
      <c r="O34" s="16">
        <v>30.715997999999999</v>
      </c>
      <c r="P34" s="16">
        <v>30.715997999999999</v>
      </c>
      <c r="Q34" s="16">
        <v>30.715997999999999</v>
      </c>
      <c r="R34" s="16">
        <v>30.715997999999999</v>
      </c>
      <c r="S34" s="16">
        <v>30.715997999999999</v>
      </c>
      <c r="T34" s="16">
        <v>30.715997999999999</v>
      </c>
      <c r="U34" s="16">
        <v>30.715997999999999</v>
      </c>
      <c r="V34" s="16">
        <v>30.715997999999999</v>
      </c>
      <c r="W34" s="16">
        <v>30.715997999999999</v>
      </c>
      <c r="X34" s="16">
        <v>30.715997999999999</v>
      </c>
      <c r="Y34" s="16">
        <v>30.715997999999999</v>
      </c>
      <c r="Z34" s="16">
        <v>30.715997999999999</v>
      </c>
      <c r="AA34" s="16">
        <v>30.715997999999999</v>
      </c>
      <c r="AB34" s="16">
        <v>30.715997999999999</v>
      </c>
      <c r="AC34" s="16">
        <v>30.715997999999999</v>
      </c>
      <c r="AD34" s="16">
        <v>30.715997999999999</v>
      </c>
      <c r="AE34" s="16">
        <v>30.715997999999999</v>
      </c>
      <c r="AF34" s="16">
        <v>30.715997999999999</v>
      </c>
      <c r="AG34" s="16">
        <v>30.715997999999999</v>
      </c>
      <c r="AH34" s="16">
        <v>30.715997999999999</v>
      </c>
      <c r="AI34" s="16">
        <v>30.715997999999999</v>
      </c>
      <c r="AJ34" s="16">
        <v>30.715997999999999</v>
      </c>
      <c r="AK34" s="17">
        <v>-4.06E-4</v>
      </c>
    </row>
    <row r="36" spans="1:37" ht="15" customHeight="1" x14ac:dyDescent="0.35">
      <c r="B36" s="12" t="s">
        <v>45</v>
      </c>
    </row>
    <row r="37" spans="1:37" ht="15" customHeight="1" x14ac:dyDescent="0.35">
      <c r="A37" s="6" t="s">
        <v>46</v>
      </c>
      <c r="B37" s="13" t="s">
        <v>38</v>
      </c>
      <c r="C37" s="14" t="s">
        <v>33</v>
      </c>
      <c r="D37" s="14" t="s">
        <v>33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5" t="s">
        <v>33</v>
      </c>
    </row>
    <row r="38" spans="1:37" ht="15" customHeight="1" x14ac:dyDescent="0.35">
      <c r="A38" s="6" t="s">
        <v>47</v>
      </c>
      <c r="B38" s="13" t="s">
        <v>40</v>
      </c>
      <c r="C38" s="14" t="s">
        <v>33</v>
      </c>
      <c r="D38" s="14" t="s">
        <v>33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5" t="s">
        <v>33</v>
      </c>
    </row>
    <row r="39" spans="1:37" ht="15" customHeight="1" x14ac:dyDescent="0.35">
      <c r="A39" s="6" t="s">
        <v>48</v>
      </c>
      <c r="B39" s="13" t="s">
        <v>18</v>
      </c>
      <c r="C39" s="14" t="s">
        <v>33</v>
      </c>
      <c r="D39" s="14" t="s">
        <v>33</v>
      </c>
      <c r="E39" s="14">
        <v>6.6498010000000001</v>
      </c>
      <c r="F39" s="14">
        <v>16.523401</v>
      </c>
      <c r="G39" s="14">
        <v>16.523401</v>
      </c>
      <c r="H39" s="14">
        <v>16.523401</v>
      </c>
      <c r="I39" s="14">
        <v>16.523401</v>
      </c>
      <c r="J39" s="14">
        <v>16.523401</v>
      </c>
      <c r="K39" s="14">
        <v>16.523401</v>
      </c>
      <c r="L39" s="14">
        <v>16.523401</v>
      </c>
      <c r="M39" s="14">
        <v>16.523401</v>
      </c>
      <c r="N39" s="14">
        <v>16.523401</v>
      </c>
      <c r="O39" s="14">
        <v>16.523401</v>
      </c>
      <c r="P39" s="14">
        <v>16.523401</v>
      </c>
      <c r="Q39" s="14">
        <v>16.523401</v>
      </c>
      <c r="R39" s="14">
        <v>16.523401</v>
      </c>
      <c r="S39" s="14">
        <v>16.523401</v>
      </c>
      <c r="T39" s="14">
        <v>16.523401</v>
      </c>
      <c r="U39" s="14">
        <v>16.523401</v>
      </c>
      <c r="V39" s="14">
        <v>16.523401</v>
      </c>
      <c r="W39" s="14">
        <v>16.523401</v>
      </c>
      <c r="X39" s="14">
        <v>16.523401</v>
      </c>
      <c r="Y39" s="14">
        <v>16.523401</v>
      </c>
      <c r="Z39" s="14">
        <v>16.523401</v>
      </c>
      <c r="AA39" s="14">
        <v>16.523401</v>
      </c>
      <c r="AB39" s="14">
        <v>16.523401</v>
      </c>
      <c r="AC39" s="14">
        <v>16.523401</v>
      </c>
      <c r="AD39" s="14">
        <v>16.523401</v>
      </c>
      <c r="AE39" s="14">
        <v>16.523401</v>
      </c>
      <c r="AF39" s="14">
        <v>16.523401</v>
      </c>
      <c r="AG39" s="14">
        <v>16.523401</v>
      </c>
      <c r="AH39" s="14">
        <v>16.523401</v>
      </c>
      <c r="AI39" s="14">
        <v>16.523401</v>
      </c>
      <c r="AJ39" s="14">
        <v>16.523401</v>
      </c>
      <c r="AK39" s="15" t="s">
        <v>33</v>
      </c>
    </row>
    <row r="40" spans="1:37" ht="15" customHeight="1" x14ac:dyDescent="0.35">
      <c r="A40" s="6" t="s">
        <v>49</v>
      </c>
      <c r="B40" s="13" t="s">
        <v>20</v>
      </c>
      <c r="C40" s="14" t="s">
        <v>33</v>
      </c>
      <c r="D40" s="14" t="s">
        <v>33</v>
      </c>
      <c r="E40" s="14">
        <v>2.508</v>
      </c>
      <c r="F40" s="14">
        <v>6.9855999999999998</v>
      </c>
      <c r="G40" s="14">
        <v>6.9855999999999998</v>
      </c>
      <c r="H40" s="14">
        <v>6.9855999999999998</v>
      </c>
      <c r="I40" s="14">
        <v>6.9855999999999998</v>
      </c>
      <c r="J40" s="14">
        <v>6.9855999999999998</v>
      </c>
      <c r="K40" s="14">
        <v>6.9855999999999998</v>
      </c>
      <c r="L40" s="14">
        <v>6.9855999999999998</v>
      </c>
      <c r="M40" s="14">
        <v>6.9855999999999998</v>
      </c>
      <c r="N40" s="14">
        <v>6.9855999999999998</v>
      </c>
      <c r="O40" s="14">
        <v>6.9855999999999998</v>
      </c>
      <c r="P40" s="14">
        <v>6.9855999999999998</v>
      </c>
      <c r="Q40" s="14">
        <v>6.9855999999999998</v>
      </c>
      <c r="R40" s="14">
        <v>6.9855999999999998</v>
      </c>
      <c r="S40" s="14">
        <v>6.9855999999999998</v>
      </c>
      <c r="T40" s="14">
        <v>6.9855999999999998</v>
      </c>
      <c r="U40" s="14">
        <v>6.9855999999999998</v>
      </c>
      <c r="V40" s="14">
        <v>6.9855999999999998</v>
      </c>
      <c r="W40" s="14">
        <v>6.9855999999999998</v>
      </c>
      <c r="X40" s="14">
        <v>6.9855999999999998</v>
      </c>
      <c r="Y40" s="14">
        <v>6.9855999999999998</v>
      </c>
      <c r="Z40" s="14">
        <v>6.9855999999999998</v>
      </c>
      <c r="AA40" s="14">
        <v>6.9855999999999998</v>
      </c>
      <c r="AB40" s="14">
        <v>6.9855999999999998</v>
      </c>
      <c r="AC40" s="14">
        <v>6.9855999999999998</v>
      </c>
      <c r="AD40" s="14">
        <v>6.9855999999999998</v>
      </c>
      <c r="AE40" s="14">
        <v>6.9855999999999998</v>
      </c>
      <c r="AF40" s="14">
        <v>6.9855999999999998</v>
      </c>
      <c r="AG40" s="14">
        <v>6.9855999999999998</v>
      </c>
      <c r="AH40" s="14">
        <v>6.9855999999999998</v>
      </c>
      <c r="AI40" s="14">
        <v>6.9855999999999998</v>
      </c>
      <c r="AJ40" s="14">
        <v>6.9855999999999998</v>
      </c>
      <c r="AK40" s="15" t="s">
        <v>33</v>
      </c>
    </row>
    <row r="41" spans="1:37" ht="15" customHeight="1" x14ac:dyDescent="0.35">
      <c r="A41" s="6" t="s">
        <v>50</v>
      </c>
      <c r="B41" s="13" t="s">
        <v>51</v>
      </c>
      <c r="C41" s="14" t="s">
        <v>33</v>
      </c>
      <c r="D41" s="14" t="s">
        <v>33</v>
      </c>
      <c r="E41" s="14">
        <v>0</v>
      </c>
      <c r="F41" s="14">
        <v>0</v>
      </c>
      <c r="G41" s="14">
        <v>2.2000000000000002</v>
      </c>
      <c r="H41" s="14">
        <v>2.2000000000000002</v>
      </c>
      <c r="I41" s="14">
        <v>2.2000000000000002</v>
      </c>
      <c r="J41" s="14">
        <v>2.2000000000000002</v>
      </c>
      <c r="K41" s="14">
        <v>2.2000000000000002</v>
      </c>
      <c r="L41" s="14">
        <v>2.2000000000000002</v>
      </c>
      <c r="M41" s="14">
        <v>2.2000000000000002</v>
      </c>
      <c r="N41" s="14">
        <v>2.2000000000000002</v>
      </c>
      <c r="O41" s="14">
        <v>2.2000000000000002</v>
      </c>
      <c r="P41" s="14">
        <v>2.2000000000000002</v>
      </c>
      <c r="Q41" s="14">
        <v>2.2000000000000002</v>
      </c>
      <c r="R41" s="14">
        <v>2.2000000000000002</v>
      </c>
      <c r="S41" s="14">
        <v>2.2000000000000002</v>
      </c>
      <c r="T41" s="14">
        <v>2.2000000000000002</v>
      </c>
      <c r="U41" s="14">
        <v>2.2000000000000002</v>
      </c>
      <c r="V41" s="14">
        <v>2.2000000000000002</v>
      </c>
      <c r="W41" s="14">
        <v>2.2000000000000002</v>
      </c>
      <c r="X41" s="14">
        <v>2.2000000000000002</v>
      </c>
      <c r="Y41" s="14">
        <v>2.2000000000000002</v>
      </c>
      <c r="Z41" s="14">
        <v>2.2000000000000002</v>
      </c>
      <c r="AA41" s="14">
        <v>2.2000000000000002</v>
      </c>
      <c r="AB41" s="14">
        <v>2.2000000000000002</v>
      </c>
      <c r="AC41" s="14">
        <v>2.2000000000000002</v>
      </c>
      <c r="AD41" s="14">
        <v>2.2000000000000002</v>
      </c>
      <c r="AE41" s="14">
        <v>2.2000000000000002</v>
      </c>
      <c r="AF41" s="14">
        <v>2.2000000000000002</v>
      </c>
      <c r="AG41" s="14">
        <v>2.2000000000000002</v>
      </c>
      <c r="AH41" s="14">
        <v>2.2000000000000002</v>
      </c>
      <c r="AI41" s="14">
        <v>2.2000000000000002</v>
      </c>
      <c r="AJ41" s="14">
        <v>2.2000000000000002</v>
      </c>
      <c r="AK41" s="15" t="s">
        <v>33</v>
      </c>
    </row>
    <row r="42" spans="1:37" ht="15" customHeight="1" x14ac:dyDescent="0.35">
      <c r="A42" s="6" t="s">
        <v>52</v>
      </c>
      <c r="B42" s="13" t="s">
        <v>24</v>
      </c>
      <c r="C42" s="14" t="s">
        <v>33</v>
      </c>
      <c r="D42" s="14" t="s">
        <v>33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5" t="s">
        <v>33</v>
      </c>
    </row>
    <row r="43" spans="1:37" ht="15" customHeight="1" x14ac:dyDescent="0.35">
      <c r="A43" s="6" t="s">
        <v>53</v>
      </c>
      <c r="B43" s="13" t="s">
        <v>26</v>
      </c>
      <c r="C43" s="14" t="s">
        <v>33</v>
      </c>
      <c r="D43" s="14" t="s">
        <v>33</v>
      </c>
      <c r="E43" s="14">
        <v>4.5999999999999999E-2</v>
      </c>
      <c r="F43" s="14">
        <v>0.16700000000000001</v>
      </c>
      <c r="G43" s="14">
        <v>0.41699999999999998</v>
      </c>
      <c r="H43" s="14">
        <v>0.66700000000000004</v>
      </c>
      <c r="I43" s="14">
        <v>0.91700000000000004</v>
      </c>
      <c r="J43" s="14">
        <v>1.167</v>
      </c>
      <c r="K43" s="14">
        <v>1.167</v>
      </c>
      <c r="L43" s="14">
        <v>1.167</v>
      </c>
      <c r="M43" s="14">
        <v>1.167</v>
      </c>
      <c r="N43" s="14">
        <v>1.167</v>
      </c>
      <c r="O43" s="14">
        <v>1.167</v>
      </c>
      <c r="P43" s="14">
        <v>1.167</v>
      </c>
      <c r="Q43" s="14">
        <v>1.167</v>
      </c>
      <c r="R43" s="14">
        <v>1.167</v>
      </c>
      <c r="S43" s="14">
        <v>1.167</v>
      </c>
      <c r="T43" s="14">
        <v>1.167</v>
      </c>
      <c r="U43" s="14">
        <v>1.167</v>
      </c>
      <c r="V43" s="14">
        <v>1.167</v>
      </c>
      <c r="W43" s="14">
        <v>1.167</v>
      </c>
      <c r="X43" s="14">
        <v>1.167</v>
      </c>
      <c r="Y43" s="14">
        <v>1.167</v>
      </c>
      <c r="Z43" s="14">
        <v>1.167</v>
      </c>
      <c r="AA43" s="14">
        <v>1.167</v>
      </c>
      <c r="AB43" s="14">
        <v>1.167</v>
      </c>
      <c r="AC43" s="14">
        <v>1.167</v>
      </c>
      <c r="AD43" s="14">
        <v>1.167</v>
      </c>
      <c r="AE43" s="14">
        <v>1.167</v>
      </c>
      <c r="AF43" s="14">
        <v>1.167</v>
      </c>
      <c r="AG43" s="14">
        <v>1.167</v>
      </c>
      <c r="AH43" s="14">
        <v>1.167</v>
      </c>
      <c r="AI43" s="14">
        <v>1.167</v>
      </c>
      <c r="AJ43" s="14">
        <v>1.167</v>
      </c>
      <c r="AK43" s="15" t="s">
        <v>33</v>
      </c>
    </row>
    <row r="44" spans="1:37" ht="15" customHeight="1" x14ac:dyDescent="0.35">
      <c r="A44" s="6" t="s">
        <v>54</v>
      </c>
      <c r="B44" s="13" t="s">
        <v>28</v>
      </c>
      <c r="C44" s="14" t="s">
        <v>33</v>
      </c>
      <c r="D44" s="14" t="s">
        <v>33</v>
      </c>
      <c r="E44" s="14">
        <v>1.52E-2</v>
      </c>
      <c r="F44" s="14">
        <v>1.52E-2</v>
      </c>
      <c r="G44" s="14">
        <v>1.52E-2</v>
      </c>
      <c r="H44" s="14">
        <v>1.52E-2</v>
      </c>
      <c r="I44" s="14">
        <v>1.52E-2</v>
      </c>
      <c r="J44" s="14">
        <v>1.52E-2</v>
      </c>
      <c r="K44" s="14">
        <v>1.52E-2</v>
      </c>
      <c r="L44" s="14">
        <v>1.52E-2</v>
      </c>
      <c r="M44" s="14">
        <v>1.52E-2</v>
      </c>
      <c r="N44" s="14">
        <v>1.52E-2</v>
      </c>
      <c r="O44" s="14">
        <v>1.52E-2</v>
      </c>
      <c r="P44" s="14">
        <v>1.52E-2</v>
      </c>
      <c r="Q44" s="14">
        <v>1.52E-2</v>
      </c>
      <c r="R44" s="14">
        <v>1.52E-2</v>
      </c>
      <c r="S44" s="14">
        <v>1.52E-2</v>
      </c>
      <c r="T44" s="14">
        <v>1.52E-2</v>
      </c>
      <c r="U44" s="14">
        <v>1.52E-2</v>
      </c>
      <c r="V44" s="14">
        <v>1.52E-2</v>
      </c>
      <c r="W44" s="14">
        <v>1.52E-2</v>
      </c>
      <c r="X44" s="14">
        <v>1.52E-2</v>
      </c>
      <c r="Y44" s="14">
        <v>1.52E-2</v>
      </c>
      <c r="Z44" s="14">
        <v>1.52E-2</v>
      </c>
      <c r="AA44" s="14">
        <v>1.52E-2</v>
      </c>
      <c r="AB44" s="14">
        <v>1.52E-2</v>
      </c>
      <c r="AC44" s="14">
        <v>1.52E-2</v>
      </c>
      <c r="AD44" s="14">
        <v>1.52E-2</v>
      </c>
      <c r="AE44" s="14">
        <v>1.52E-2</v>
      </c>
      <c r="AF44" s="14">
        <v>1.52E-2</v>
      </c>
      <c r="AG44" s="14">
        <v>1.52E-2</v>
      </c>
      <c r="AH44" s="14">
        <v>1.52E-2</v>
      </c>
      <c r="AI44" s="14">
        <v>1.52E-2</v>
      </c>
      <c r="AJ44" s="14">
        <v>1.52E-2</v>
      </c>
      <c r="AK44" s="15" t="s">
        <v>33</v>
      </c>
    </row>
    <row r="45" spans="1:37" ht="15" customHeight="1" x14ac:dyDescent="0.35">
      <c r="A45" s="6" t="s">
        <v>55</v>
      </c>
      <c r="B45" s="13" t="s">
        <v>30</v>
      </c>
      <c r="C45" s="14" t="s">
        <v>33</v>
      </c>
      <c r="D45" s="14" t="s">
        <v>33</v>
      </c>
      <c r="E45" s="14">
        <v>14.974111000000001</v>
      </c>
      <c r="F45" s="14">
        <v>23.394006999999998</v>
      </c>
      <c r="G45" s="14">
        <v>23.605004999999998</v>
      </c>
      <c r="H45" s="14">
        <v>23.605004999999998</v>
      </c>
      <c r="I45" s="14">
        <v>23.605004999999998</v>
      </c>
      <c r="J45" s="14">
        <v>23.605004999999998</v>
      </c>
      <c r="K45" s="14">
        <v>23.605004999999998</v>
      </c>
      <c r="L45" s="14">
        <v>23.605004999999998</v>
      </c>
      <c r="M45" s="14">
        <v>23.605004999999998</v>
      </c>
      <c r="N45" s="14">
        <v>23.605004999999998</v>
      </c>
      <c r="O45" s="14">
        <v>23.605004999999998</v>
      </c>
      <c r="P45" s="14">
        <v>23.605004999999998</v>
      </c>
      <c r="Q45" s="14">
        <v>23.605004999999998</v>
      </c>
      <c r="R45" s="14">
        <v>23.605004999999998</v>
      </c>
      <c r="S45" s="14">
        <v>23.605004999999998</v>
      </c>
      <c r="T45" s="14">
        <v>23.605004999999998</v>
      </c>
      <c r="U45" s="14">
        <v>23.605004999999998</v>
      </c>
      <c r="V45" s="14">
        <v>23.605004999999998</v>
      </c>
      <c r="W45" s="14">
        <v>23.605004999999998</v>
      </c>
      <c r="X45" s="14">
        <v>23.605004999999998</v>
      </c>
      <c r="Y45" s="14">
        <v>23.605004999999998</v>
      </c>
      <c r="Z45" s="14">
        <v>23.605004999999998</v>
      </c>
      <c r="AA45" s="14">
        <v>23.605004999999998</v>
      </c>
      <c r="AB45" s="14">
        <v>23.605004999999998</v>
      </c>
      <c r="AC45" s="14">
        <v>23.605004999999998</v>
      </c>
      <c r="AD45" s="14">
        <v>23.605004999999998</v>
      </c>
      <c r="AE45" s="14">
        <v>23.605004999999998</v>
      </c>
      <c r="AF45" s="14">
        <v>23.605004999999998</v>
      </c>
      <c r="AG45" s="14">
        <v>23.605004999999998</v>
      </c>
      <c r="AH45" s="14">
        <v>23.605004999999998</v>
      </c>
      <c r="AI45" s="14">
        <v>23.605004999999998</v>
      </c>
      <c r="AJ45" s="14">
        <v>23.605004999999998</v>
      </c>
      <c r="AK45" s="15" t="s">
        <v>33</v>
      </c>
    </row>
    <row r="46" spans="1:37" ht="15" customHeight="1" x14ac:dyDescent="0.35">
      <c r="A46" s="6" t="s">
        <v>56</v>
      </c>
      <c r="B46" s="13" t="s">
        <v>57</v>
      </c>
      <c r="C46" s="14" t="s">
        <v>33</v>
      </c>
      <c r="D46" s="14" t="s">
        <v>33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5" t="s">
        <v>33</v>
      </c>
    </row>
    <row r="47" spans="1:37" ht="15" customHeight="1" x14ac:dyDescent="0.35">
      <c r="A47" s="6" t="s">
        <v>58</v>
      </c>
      <c r="B47" s="12" t="s">
        <v>35</v>
      </c>
      <c r="C47" s="16" t="s">
        <v>33</v>
      </c>
      <c r="D47" s="16" t="s">
        <v>33</v>
      </c>
      <c r="E47" s="16">
        <v>24.193102</v>
      </c>
      <c r="F47" s="16">
        <v>47.085197000000001</v>
      </c>
      <c r="G47" s="16">
        <v>49.746192999999998</v>
      </c>
      <c r="H47" s="16">
        <v>49.996192999999998</v>
      </c>
      <c r="I47" s="16">
        <v>50.246192999999998</v>
      </c>
      <c r="J47" s="16">
        <v>50.496192999999998</v>
      </c>
      <c r="K47" s="16">
        <v>50.496192999999998</v>
      </c>
      <c r="L47" s="16">
        <v>50.496192999999998</v>
      </c>
      <c r="M47" s="16">
        <v>50.496192999999998</v>
      </c>
      <c r="N47" s="16">
        <v>50.496192999999998</v>
      </c>
      <c r="O47" s="16">
        <v>50.496192999999998</v>
      </c>
      <c r="P47" s="16">
        <v>50.496192999999998</v>
      </c>
      <c r="Q47" s="16">
        <v>50.496192999999998</v>
      </c>
      <c r="R47" s="16">
        <v>50.496192999999998</v>
      </c>
      <c r="S47" s="16">
        <v>50.496192999999998</v>
      </c>
      <c r="T47" s="16">
        <v>50.496192999999998</v>
      </c>
      <c r="U47" s="16">
        <v>50.496192999999998</v>
      </c>
      <c r="V47" s="16">
        <v>50.496192999999998</v>
      </c>
      <c r="W47" s="16">
        <v>50.496192999999998</v>
      </c>
      <c r="X47" s="16">
        <v>50.496192999999998</v>
      </c>
      <c r="Y47" s="16">
        <v>50.496192999999998</v>
      </c>
      <c r="Z47" s="16">
        <v>50.496192999999998</v>
      </c>
      <c r="AA47" s="16">
        <v>50.496192999999998</v>
      </c>
      <c r="AB47" s="16">
        <v>50.496192999999998</v>
      </c>
      <c r="AC47" s="16">
        <v>50.496192999999998</v>
      </c>
      <c r="AD47" s="16">
        <v>50.496192999999998</v>
      </c>
      <c r="AE47" s="16">
        <v>50.496192999999998</v>
      </c>
      <c r="AF47" s="16">
        <v>50.496192999999998</v>
      </c>
      <c r="AG47" s="16">
        <v>50.496192999999998</v>
      </c>
      <c r="AH47" s="16">
        <v>50.496192999999998</v>
      </c>
      <c r="AI47" s="16">
        <v>50.496192999999998</v>
      </c>
      <c r="AJ47" s="16">
        <v>50.496192999999998</v>
      </c>
      <c r="AK47" s="17" t="s">
        <v>33</v>
      </c>
    </row>
    <row r="48" spans="1:37" ht="15" customHeight="1" x14ac:dyDescent="0.35">
      <c r="B48" s="12" t="s">
        <v>59</v>
      </c>
    </row>
    <row r="49" spans="1:37" ht="15" customHeight="1" x14ac:dyDescent="0.35">
      <c r="A49" s="6" t="s">
        <v>60</v>
      </c>
      <c r="B49" s="13" t="s">
        <v>38</v>
      </c>
      <c r="C49" s="14" t="s">
        <v>33</v>
      </c>
      <c r="D49" s="14" t="s">
        <v>33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5" t="s">
        <v>33</v>
      </c>
    </row>
    <row r="50" spans="1:37" ht="15" customHeight="1" x14ac:dyDescent="0.35">
      <c r="A50" s="6" t="s">
        <v>61</v>
      </c>
      <c r="B50" s="13" t="s">
        <v>40</v>
      </c>
      <c r="C50" s="14" t="s">
        <v>33</v>
      </c>
      <c r="D50" s="14" t="s">
        <v>33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5" t="s">
        <v>33</v>
      </c>
    </row>
    <row r="51" spans="1:37" ht="15" customHeight="1" x14ac:dyDescent="0.35">
      <c r="A51" s="6" t="s">
        <v>62</v>
      </c>
      <c r="B51" s="13" t="s">
        <v>18</v>
      </c>
      <c r="C51" s="14" t="s">
        <v>33</v>
      </c>
      <c r="D51" s="14" t="s">
        <v>33</v>
      </c>
      <c r="E51" s="14">
        <v>0</v>
      </c>
      <c r="F51" s="14">
        <v>0</v>
      </c>
      <c r="G51" s="14">
        <v>16.172312000000002</v>
      </c>
      <c r="H51" s="14">
        <v>23.957146000000002</v>
      </c>
      <c r="I51" s="14">
        <v>34.546452000000002</v>
      </c>
      <c r="J51" s="14">
        <v>47.853344</v>
      </c>
      <c r="K51" s="14">
        <v>62.525557999999997</v>
      </c>
      <c r="L51" s="14">
        <v>70.576279</v>
      </c>
      <c r="M51" s="14">
        <v>79.701988</v>
      </c>
      <c r="N51" s="14">
        <v>84.579200999999998</v>
      </c>
      <c r="O51" s="14">
        <v>89.560531999999995</v>
      </c>
      <c r="P51" s="14">
        <v>99.850470999999999</v>
      </c>
      <c r="Q51" s="14">
        <v>105.643738</v>
      </c>
      <c r="R51" s="14">
        <v>116.295929</v>
      </c>
      <c r="S51" s="14">
        <v>123.62101</v>
      </c>
      <c r="T51" s="14">
        <v>134.60720800000001</v>
      </c>
      <c r="U51" s="14">
        <v>138.96077</v>
      </c>
      <c r="V51" s="14">
        <v>145.168869</v>
      </c>
      <c r="W51" s="14">
        <v>155.14613299999999</v>
      </c>
      <c r="X51" s="14">
        <v>159.369675</v>
      </c>
      <c r="Y51" s="14">
        <v>165.933899</v>
      </c>
      <c r="Z51" s="14">
        <v>172.380844</v>
      </c>
      <c r="AA51" s="14">
        <v>180.41255200000001</v>
      </c>
      <c r="AB51" s="14">
        <v>186.41949500000001</v>
      </c>
      <c r="AC51" s="14">
        <v>194.73234600000001</v>
      </c>
      <c r="AD51" s="14">
        <v>201.904053</v>
      </c>
      <c r="AE51" s="14">
        <v>210.50782799999999</v>
      </c>
      <c r="AF51" s="14">
        <v>218.021378</v>
      </c>
      <c r="AG51" s="14">
        <v>221.83097799999999</v>
      </c>
      <c r="AH51" s="14">
        <v>228.13879399999999</v>
      </c>
      <c r="AI51" s="14">
        <v>232.49783300000001</v>
      </c>
      <c r="AJ51" s="14">
        <v>238.95971700000001</v>
      </c>
      <c r="AK51" s="15" t="s">
        <v>33</v>
      </c>
    </row>
    <row r="52" spans="1:37" ht="15" customHeight="1" x14ac:dyDescent="0.35">
      <c r="A52" s="6" t="s">
        <v>63</v>
      </c>
      <c r="B52" s="13" t="s">
        <v>20</v>
      </c>
      <c r="C52" s="14" t="s">
        <v>33</v>
      </c>
      <c r="D52" s="14" t="s">
        <v>33</v>
      </c>
      <c r="E52" s="14">
        <v>4.9505270000000001</v>
      </c>
      <c r="F52" s="14">
        <v>7.0903</v>
      </c>
      <c r="G52" s="14">
        <v>7.0903</v>
      </c>
      <c r="H52" s="14">
        <v>7.6268310000000001</v>
      </c>
      <c r="I52" s="14">
        <v>8.4259459999999997</v>
      </c>
      <c r="J52" s="14">
        <v>9.0516400000000008</v>
      </c>
      <c r="K52" s="14">
        <v>9.9866569999999992</v>
      </c>
      <c r="L52" s="14">
        <v>11.664781</v>
      </c>
      <c r="M52" s="14">
        <v>13.628036</v>
      </c>
      <c r="N52" s="14">
        <v>15.069537</v>
      </c>
      <c r="O52" s="14">
        <v>15.79344</v>
      </c>
      <c r="P52" s="14">
        <v>15.917452000000001</v>
      </c>
      <c r="Q52" s="14">
        <v>17.074687999999998</v>
      </c>
      <c r="R52" s="14">
        <v>17.393163999999999</v>
      </c>
      <c r="S52" s="14">
        <v>17.812252000000001</v>
      </c>
      <c r="T52" s="14">
        <v>17.837396999999999</v>
      </c>
      <c r="U52" s="14">
        <v>18.958048000000002</v>
      </c>
      <c r="V52" s="14">
        <v>19.880524000000001</v>
      </c>
      <c r="W52" s="14">
        <v>19.880524000000001</v>
      </c>
      <c r="X52" s="14">
        <v>20.884153000000001</v>
      </c>
      <c r="Y52" s="14">
        <v>22.376754999999999</v>
      </c>
      <c r="Z52" s="14">
        <v>23.882300999999998</v>
      </c>
      <c r="AA52" s="14">
        <v>25.613676000000002</v>
      </c>
      <c r="AB52" s="14">
        <v>27.169405000000001</v>
      </c>
      <c r="AC52" s="14">
        <v>27.590069</v>
      </c>
      <c r="AD52" s="14">
        <v>29.200244999999999</v>
      </c>
      <c r="AE52" s="14">
        <v>31.051950000000001</v>
      </c>
      <c r="AF52" s="14">
        <v>33.181412000000002</v>
      </c>
      <c r="AG52" s="14">
        <v>35.698642999999997</v>
      </c>
      <c r="AH52" s="14">
        <v>38.599564000000001</v>
      </c>
      <c r="AI52" s="14">
        <v>41.935626999999997</v>
      </c>
      <c r="AJ52" s="14">
        <v>43.970664999999997</v>
      </c>
      <c r="AK52" s="15" t="s">
        <v>33</v>
      </c>
    </row>
    <row r="53" spans="1:37" ht="15" customHeight="1" x14ac:dyDescent="0.35">
      <c r="A53" s="6" t="s">
        <v>64</v>
      </c>
      <c r="B53" s="13" t="s">
        <v>51</v>
      </c>
      <c r="C53" s="14" t="s">
        <v>33</v>
      </c>
      <c r="D53" s="14" t="s">
        <v>33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5" t="s">
        <v>33</v>
      </c>
    </row>
    <row r="54" spans="1:37" ht="15" customHeight="1" x14ac:dyDescent="0.35">
      <c r="A54" s="6" t="s">
        <v>65</v>
      </c>
      <c r="B54" s="13" t="s">
        <v>24</v>
      </c>
      <c r="C54" s="14" t="s">
        <v>33</v>
      </c>
      <c r="D54" s="14" t="s">
        <v>33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5" t="s">
        <v>33</v>
      </c>
    </row>
    <row r="55" spans="1:37" ht="15" customHeight="1" x14ac:dyDescent="0.35">
      <c r="A55" s="6" t="s">
        <v>66</v>
      </c>
      <c r="B55" s="13" t="s">
        <v>26</v>
      </c>
      <c r="C55" s="14" t="s">
        <v>33</v>
      </c>
      <c r="D55" s="14" t="s">
        <v>33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2.7970000000000002</v>
      </c>
      <c r="R55" s="14">
        <v>3.79494</v>
      </c>
      <c r="S55" s="14">
        <v>3.79494</v>
      </c>
      <c r="T55" s="14">
        <v>4.5569290000000002</v>
      </c>
      <c r="U55" s="14">
        <v>6.0829579999999996</v>
      </c>
      <c r="V55" s="14">
        <v>7.3543989999999999</v>
      </c>
      <c r="W55" s="14">
        <v>7.362806</v>
      </c>
      <c r="X55" s="14">
        <v>10.278807</v>
      </c>
      <c r="Y55" s="14">
        <v>10.520714999999999</v>
      </c>
      <c r="Z55" s="14">
        <v>13.538774</v>
      </c>
      <c r="AA55" s="14">
        <v>16.664776</v>
      </c>
      <c r="AB55" s="14">
        <v>16.900314000000002</v>
      </c>
      <c r="AC55" s="14">
        <v>18.245070999999999</v>
      </c>
      <c r="AD55" s="14">
        <v>18.885211999999999</v>
      </c>
      <c r="AE55" s="14">
        <v>20.038672999999999</v>
      </c>
      <c r="AF55" s="14">
        <v>21.186077000000001</v>
      </c>
      <c r="AG55" s="14">
        <v>24.186077000000001</v>
      </c>
      <c r="AH55" s="14">
        <v>25.901876000000001</v>
      </c>
      <c r="AI55" s="14">
        <v>25.901876000000001</v>
      </c>
      <c r="AJ55" s="14">
        <v>28.901876000000001</v>
      </c>
      <c r="AK55" s="15" t="s">
        <v>33</v>
      </c>
    </row>
    <row r="56" spans="1:37" ht="15" customHeight="1" x14ac:dyDescent="0.35">
      <c r="A56" s="6" t="s">
        <v>67</v>
      </c>
      <c r="B56" s="13" t="s">
        <v>28</v>
      </c>
      <c r="C56" s="14" t="s">
        <v>33</v>
      </c>
      <c r="D56" s="14" t="s">
        <v>33</v>
      </c>
      <c r="E56" s="14">
        <v>0</v>
      </c>
      <c r="F56" s="14">
        <v>0</v>
      </c>
      <c r="G56" s="14">
        <v>8.1000000000000004E-5</v>
      </c>
      <c r="H56" s="14">
        <v>1.6200000000000001E-4</v>
      </c>
      <c r="I56" s="14">
        <v>2.43E-4</v>
      </c>
      <c r="J56" s="14">
        <v>3.2400000000000001E-4</v>
      </c>
      <c r="K56" s="14">
        <v>4.0499999999999998E-4</v>
      </c>
      <c r="L56" s="14">
        <v>4.86E-4</v>
      </c>
      <c r="M56" s="14">
        <v>5.6700000000000001E-4</v>
      </c>
      <c r="N56" s="14">
        <v>6.4800000000000003E-4</v>
      </c>
      <c r="O56" s="14">
        <v>7.2900000000000005E-4</v>
      </c>
      <c r="P56" s="14">
        <v>8.0999999999999996E-4</v>
      </c>
      <c r="Q56" s="14">
        <v>8.9099999999999997E-4</v>
      </c>
      <c r="R56" s="14">
        <v>9.7199999999999999E-4</v>
      </c>
      <c r="S56" s="14">
        <v>1.054E-3</v>
      </c>
      <c r="T56" s="14">
        <v>1.1100000000000001E-3</v>
      </c>
      <c r="U56" s="14">
        <v>1.1360000000000001E-3</v>
      </c>
      <c r="V56" s="14">
        <v>1.147E-3</v>
      </c>
      <c r="W56" s="14">
        <v>1.1529999999999999E-3</v>
      </c>
      <c r="X56" s="14">
        <v>1.1590000000000001E-3</v>
      </c>
      <c r="Y56" s="14">
        <v>1.16E-3</v>
      </c>
      <c r="Z56" s="14">
        <v>1.1609999999999999E-3</v>
      </c>
      <c r="AA56" s="14">
        <v>1.1620000000000001E-3</v>
      </c>
      <c r="AB56" s="14">
        <v>1.163E-3</v>
      </c>
      <c r="AC56" s="14">
        <v>1.1640000000000001E-3</v>
      </c>
      <c r="AD56" s="14">
        <v>1.165E-3</v>
      </c>
      <c r="AE56" s="14">
        <v>1.1659999999999999E-3</v>
      </c>
      <c r="AF56" s="14">
        <v>3.4759999999999999E-3</v>
      </c>
      <c r="AG56" s="14">
        <v>5.4980000000000003E-3</v>
      </c>
      <c r="AH56" s="14">
        <v>5.4980000000000003E-3</v>
      </c>
      <c r="AI56" s="14">
        <v>5.4980000000000003E-3</v>
      </c>
      <c r="AJ56" s="14">
        <v>7.0689999999999998E-3</v>
      </c>
      <c r="AK56" s="15" t="s">
        <v>33</v>
      </c>
    </row>
    <row r="57" spans="1:37" ht="15" customHeight="1" x14ac:dyDescent="0.35">
      <c r="A57" s="6" t="s">
        <v>68</v>
      </c>
      <c r="B57" s="13" t="s">
        <v>30</v>
      </c>
      <c r="C57" s="14" t="s">
        <v>33</v>
      </c>
      <c r="D57" s="14" t="s">
        <v>33</v>
      </c>
      <c r="E57" s="14">
        <v>3.0349999999999999E-3</v>
      </c>
      <c r="F57" s="14">
        <v>4.007403</v>
      </c>
      <c r="G57" s="14">
        <v>18.502424000000001</v>
      </c>
      <c r="H57" s="14">
        <v>29.277674000000001</v>
      </c>
      <c r="I57" s="14">
        <v>40.572113000000002</v>
      </c>
      <c r="J57" s="14">
        <v>44.113644000000001</v>
      </c>
      <c r="K57" s="14">
        <v>47.700634000000001</v>
      </c>
      <c r="L57" s="14">
        <v>50.226643000000003</v>
      </c>
      <c r="M57" s="14">
        <v>53.766292999999997</v>
      </c>
      <c r="N57" s="14">
        <v>57.403064999999998</v>
      </c>
      <c r="O57" s="14">
        <v>64.114699999999999</v>
      </c>
      <c r="P57" s="14">
        <v>66.393073999999999</v>
      </c>
      <c r="Q57" s="14">
        <v>72.625945999999999</v>
      </c>
      <c r="R57" s="14">
        <v>73.287505999999993</v>
      </c>
      <c r="S57" s="14">
        <v>77.036452999999995</v>
      </c>
      <c r="T57" s="14">
        <v>82.852385999999996</v>
      </c>
      <c r="U57" s="14">
        <v>89.674132999999998</v>
      </c>
      <c r="V57" s="14">
        <v>98.618270999999993</v>
      </c>
      <c r="W57" s="14">
        <v>107.022919</v>
      </c>
      <c r="X57" s="14">
        <v>116.70212600000001</v>
      </c>
      <c r="Y57" s="14">
        <v>127.955406</v>
      </c>
      <c r="Z57" s="14">
        <v>128.924744</v>
      </c>
      <c r="AA57" s="14">
        <v>140.16407799999999</v>
      </c>
      <c r="AB57" s="14">
        <v>141.550659</v>
      </c>
      <c r="AC57" s="14">
        <v>153.52050800000001</v>
      </c>
      <c r="AD57" s="14">
        <v>155.657104</v>
      </c>
      <c r="AE57" s="14">
        <v>159.410721</v>
      </c>
      <c r="AF57" s="14">
        <v>172.06961100000001</v>
      </c>
      <c r="AG57" s="14">
        <v>185.401993</v>
      </c>
      <c r="AH57" s="14">
        <v>188.23898299999999</v>
      </c>
      <c r="AI57" s="14">
        <v>201.04933199999999</v>
      </c>
      <c r="AJ57" s="14">
        <v>208.50817900000001</v>
      </c>
      <c r="AK57" s="15" t="s">
        <v>33</v>
      </c>
    </row>
    <row r="58" spans="1:37" ht="15" customHeight="1" x14ac:dyDescent="0.35">
      <c r="A58" s="6" t="s">
        <v>69</v>
      </c>
      <c r="B58" s="13" t="s">
        <v>57</v>
      </c>
      <c r="C58" s="14" t="s">
        <v>33</v>
      </c>
      <c r="D58" s="14" t="s">
        <v>33</v>
      </c>
      <c r="E58" s="14">
        <v>0</v>
      </c>
      <c r="F58" s="14">
        <v>1.549955</v>
      </c>
      <c r="G58" s="14">
        <v>1.737015</v>
      </c>
      <c r="H58" s="14">
        <v>1.9216139999999999</v>
      </c>
      <c r="I58" s="14">
        <v>2.1300249999999998</v>
      </c>
      <c r="J58" s="14">
        <v>2.3810440000000002</v>
      </c>
      <c r="K58" s="14">
        <v>2.6740729999999999</v>
      </c>
      <c r="L58" s="14">
        <v>3.043898</v>
      </c>
      <c r="M58" s="14">
        <v>3.4392390000000002</v>
      </c>
      <c r="N58" s="14">
        <v>3.898479</v>
      </c>
      <c r="O58" s="14">
        <v>4.4138760000000001</v>
      </c>
      <c r="P58" s="14">
        <v>4.959581</v>
      </c>
      <c r="Q58" s="14">
        <v>5.4664989999999998</v>
      </c>
      <c r="R58" s="14">
        <v>6.1122639999999997</v>
      </c>
      <c r="S58" s="14">
        <v>6.7578430000000003</v>
      </c>
      <c r="T58" s="14">
        <v>7.5212870000000001</v>
      </c>
      <c r="U58" s="14">
        <v>8.4065849999999998</v>
      </c>
      <c r="V58" s="14">
        <v>9.3650470000000006</v>
      </c>
      <c r="W58" s="14">
        <v>10.470656999999999</v>
      </c>
      <c r="X58" s="14">
        <v>11.609406</v>
      </c>
      <c r="Y58" s="14">
        <v>12.832675999999999</v>
      </c>
      <c r="Z58" s="14">
        <v>14.179005999999999</v>
      </c>
      <c r="AA58" s="14">
        <v>15.613872000000001</v>
      </c>
      <c r="AB58" s="14">
        <v>17.131450999999998</v>
      </c>
      <c r="AC58" s="14">
        <v>18.720569999999999</v>
      </c>
      <c r="AD58" s="14">
        <v>20.528061000000001</v>
      </c>
      <c r="AE58" s="14">
        <v>22.37632</v>
      </c>
      <c r="AF58" s="14">
        <v>24.270847</v>
      </c>
      <c r="AG58" s="14">
        <v>26.195222999999999</v>
      </c>
      <c r="AH58" s="14">
        <v>27.978928</v>
      </c>
      <c r="AI58" s="14">
        <v>29.724710000000002</v>
      </c>
      <c r="AJ58" s="14">
        <v>31.575861</v>
      </c>
      <c r="AK58" s="15" t="s">
        <v>33</v>
      </c>
    </row>
    <row r="59" spans="1:37" ht="15" customHeight="1" x14ac:dyDescent="0.35">
      <c r="A59" s="6" t="s">
        <v>70</v>
      </c>
      <c r="B59" s="12" t="s">
        <v>35</v>
      </c>
      <c r="C59" s="16" t="s">
        <v>33</v>
      </c>
      <c r="D59" s="16" t="s">
        <v>33</v>
      </c>
      <c r="E59" s="16">
        <v>4.9535619999999998</v>
      </c>
      <c r="F59" s="16">
        <v>12.64766</v>
      </c>
      <c r="G59" s="16">
        <v>43.502128999999996</v>
      </c>
      <c r="H59" s="16">
        <v>62.783436000000002</v>
      </c>
      <c r="I59" s="16">
        <v>85.674781999999993</v>
      </c>
      <c r="J59" s="16">
        <v>103.399979</v>
      </c>
      <c r="K59" s="16">
        <v>122.887314</v>
      </c>
      <c r="L59" s="16">
        <v>135.51208500000001</v>
      </c>
      <c r="M59" s="16">
        <v>150.536148</v>
      </c>
      <c r="N59" s="16">
        <v>160.950928</v>
      </c>
      <c r="O59" s="16">
        <v>173.88327000000001</v>
      </c>
      <c r="P59" s="16">
        <v>187.121399</v>
      </c>
      <c r="Q59" s="16">
        <v>203.60876500000001</v>
      </c>
      <c r="R59" s="16">
        <v>216.884781</v>
      </c>
      <c r="S59" s="16">
        <v>229.02354399999999</v>
      </c>
      <c r="T59" s="16">
        <v>247.376282</v>
      </c>
      <c r="U59" s="16">
        <v>262.08364899999998</v>
      </c>
      <c r="V59" s="16">
        <v>280.388214</v>
      </c>
      <c r="W59" s="16">
        <v>299.884186</v>
      </c>
      <c r="X59" s="16">
        <v>318.84533699999997</v>
      </c>
      <c r="Y59" s="16">
        <v>339.62063599999999</v>
      </c>
      <c r="Z59" s="16">
        <v>352.906769</v>
      </c>
      <c r="AA59" s="16">
        <v>378.47018400000002</v>
      </c>
      <c r="AB59" s="16">
        <v>389.17260700000003</v>
      </c>
      <c r="AC59" s="16">
        <v>412.809753</v>
      </c>
      <c r="AD59" s="16">
        <v>426.17587300000002</v>
      </c>
      <c r="AE59" s="16">
        <v>443.38671900000003</v>
      </c>
      <c r="AF59" s="16">
        <v>468.73275799999999</v>
      </c>
      <c r="AG59" s="16">
        <v>493.31842</v>
      </c>
      <c r="AH59" s="16">
        <v>508.86361699999998</v>
      </c>
      <c r="AI59" s="16">
        <v>531.11499000000003</v>
      </c>
      <c r="AJ59" s="16">
        <v>551.92334000000005</v>
      </c>
      <c r="AK59" s="17" t="s">
        <v>33</v>
      </c>
    </row>
    <row r="60" spans="1:37" ht="15" customHeight="1" x14ac:dyDescent="0.35">
      <c r="A60" s="6" t="s">
        <v>71</v>
      </c>
      <c r="B60" s="12" t="s">
        <v>129</v>
      </c>
      <c r="C60" s="16" t="s">
        <v>33</v>
      </c>
      <c r="D60" s="16" t="s">
        <v>33</v>
      </c>
      <c r="E60" s="16">
        <v>29.146664000000001</v>
      </c>
      <c r="F60" s="16">
        <v>59.732857000000003</v>
      </c>
      <c r="G60" s="16">
        <v>93.248322000000002</v>
      </c>
      <c r="H60" s="16">
        <v>112.779633</v>
      </c>
      <c r="I60" s="16">
        <v>135.920975</v>
      </c>
      <c r="J60" s="16">
        <v>153.89617899999999</v>
      </c>
      <c r="K60" s="16">
        <v>173.38351399999999</v>
      </c>
      <c r="L60" s="16">
        <v>186.00827000000001</v>
      </c>
      <c r="M60" s="16">
        <v>201.03234900000001</v>
      </c>
      <c r="N60" s="16">
        <v>211.447113</v>
      </c>
      <c r="O60" s="16">
        <v>224.379456</v>
      </c>
      <c r="P60" s="16">
        <v>237.61758399999999</v>
      </c>
      <c r="Q60" s="16">
        <v>254.10495</v>
      </c>
      <c r="R60" s="16">
        <v>267.38098100000002</v>
      </c>
      <c r="S60" s="16">
        <v>279.519745</v>
      </c>
      <c r="T60" s="16">
        <v>297.87246699999997</v>
      </c>
      <c r="U60" s="16">
        <v>312.57983400000001</v>
      </c>
      <c r="V60" s="16">
        <v>330.88439899999997</v>
      </c>
      <c r="W60" s="16">
        <v>350.38037100000003</v>
      </c>
      <c r="X60" s="16">
        <v>369.341522</v>
      </c>
      <c r="Y60" s="16">
        <v>390.11682100000002</v>
      </c>
      <c r="Z60" s="16">
        <v>403.40295400000002</v>
      </c>
      <c r="AA60" s="16">
        <v>428.96636999999998</v>
      </c>
      <c r="AB60" s="16">
        <v>439.66879299999999</v>
      </c>
      <c r="AC60" s="16">
        <v>463.30593900000002</v>
      </c>
      <c r="AD60" s="16">
        <v>476.67205799999999</v>
      </c>
      <c r="AE60" s="16">
        <v>493.882904</v>
      </c>
      <c r="AF60" s="16">
        <v>519.22894299999996</v>
      </c>
      <c r="AG60" s="16">
        <v>543.81463599999995</v>
      </c>
      <c r="AH60" s="16">
        <v>559.35980199999995</v>
      </c>
      <c r="AI60" s="16">
        <v>581.61120600000004</v>
      </c>
      <c r="AJ60" s="16">
        <v>602.41955600000006</v>
      </c>
      <c r="AK60" s="17" t="s">
        <v>33</v>
      </c>
    </row>
    <row r="62" spans="1:37" ht="15" customHeight="1" x14ac:dyDescent="0.35">
      <c r="B62" s="12" t="s">
        <v>72</v>
      </c>
    </row>
    <row r="63" spans="1:37" ht="15" customHeight="1" x14ac:dyDescent="0.35">
      <c r="A63" s="6" t="s">
        <v>73</v>
      </c>
      <c r="B63" s="13" t="s">
        <v>38</v>
      </c>
      <c r="C63" s="14" t="s">
        <v>33</v>
      </c>
      <c r="D63" s="14" t="s">
        <v>33</v>
      </c>
      <c r="E63" s="14">
        <v>6.7482980000000001</v>
      </c>
      <c r="F63" s="14">
        <v>9.2919</v>
      </c>
      <c r="G63" s="14">
        <v>17.430095999999999</v>
      </c>
      <c r="H63" s="14">
        <v>25.719798999999998</v>
      </c>
      <c r="I63" s="14">
        <v>37.818604000000001</v>
      </c>
      <c r="J63" s="14">
        <v>50.083205999999997</v>
      </c>
      <c r="K63" s="14">
        <v>60.668694000000002</v>
      </c>
      <c r="L63" s="14">
        <v>65.969193000000004</v>
      </c>
      <c r="M63" s="14">
        <v>69.623810000000006</v>
      </c>
      <c r="N63" s="14">
        <v>71.704200999999998</v>
      </c>
      <c r="O63" s="14">
        <v>72.250197999999997</v>
      </c>
      <c r="P63" s="14">
        <v>75.162200999999996</v>
      </c>
      <c r="Q63" s="14">
        <v>77.806206000000003</v>
      </c>
      <c r="R63" s="14">
        <v>82.641220000000004</v>
      </c>
      <c r="S63" s="14">
        <v>82.641220000000004</v>
      </c>
      <c r="T63" s="14">
        <v>85.542320000000004</v>
      </c>
      <c r="U63" s="14">
        <v>85.542320000000004</v>
      </c>
      <c r="V63" s="14">
        <v>85.542320000000004</v>
      </c>
      <c r="W63" s="14">
        <v>86.706421000000006</v>
      </c>
      <c r="X63" s="14">
        <v>86.706421000000006</v>
      </c>
      <c r="Y63" s="14">
        <v>86.706421000000006</v>
      </c>
      <c r="Z63" s="14">
        <v>86.706421000000006</v>
      </c>
      <c r="AA63" s="14">
        <v>87.923416000000003</v>
      </c>
      <c r="AB63" s="14">
        <v>87.923416000000003</v>
      </c>
      <c r="AC63" s="14">
        <v>88.487419000000003</v>
      </c>
      <c r="AD63" s="14">
        <v>88.487419000000003</v>
      </c>
      <c r="AE63" s="14">
        <v>88.487419000000003</v>
      </c>
      <c r="AF63" s="14">
        <v>88.487419000000003</v>
      </c>
      <c r="AG63" s="14">
        <v>88.487419000000003</v>
      </c>
      <c r="AH63" s="14">
        <v>88.487419000000003</v>
      </c>
      <c r="AI63" s="14">
        <v>88.487419000000003</v>
      </c>
      <c r="AJ63" s="14">
        <v>88.487419000000003</v>
      </c>
      <c r="AK63" s="15" t="s">
        <v>33</v>
      </c>
    </row>
    <row r="64" spans="1:37" ht="15" customHeight="1" x14ac:dyDescent="0.35">
      <c r="A64" s="6" t="s">
        <v>74</v>
      </c>
      <c r="B64" s="13" t="s">
        <v>40</v>
      </c>
      <c r="C64" s="14" t="s">
        <v>33</v>
      </c>
      <c r="D64" s="14" t="s">
        <v>33</v>
      </c>
      <c r="E64" s="14">
        <v>1.8480000000000001</v>
      </c>
      <c r="F64" s="14">
        <v>3.3708999999999998</v>
      </c>
      <c r="G64" s="14">
        <v>10.140300999999999</v>
      </c>
      <c r="H64" s="14">
        <v>12.286600999999999</v>
      </c>
      <c r="I64" s="14">
        <v>14.054202</v>
      </c>
      <c r="J64" s="14">
        <v>17.129802999999999</v>
      </c>
      <c r="K64" s="14">
        <v>18.587001999999998</v>
      </c>
      <c r="L64" s="14">
        <v>22.247398</v>
      </c>
      <c r="M64" s="14">
        <v>22.769401999999999</v>
      </c>
      <c r="N64" s="14">
        <v>23.568901</v>
      </c>
      <c r="O64" s="14">
        <v>25.212204</v>
      </c>
      <c r="P64" s="14">
        <v>25.212204</v>
      </c>
      <c r="Q64" s="14">
        <v>25.322205</v>
      </c>
      <c r="R64" s="14">
        <v>25.322205</v>
      </c>
      <c r="S64" s="14">
        <v>25.557200999999999</v>
      </c>
      <c r="T64" s="14">
        <v>25.637198999999999</v>
      </c>
      <c r="U64" s="14">
        <v>25.736198000000002</v>
      </c>
      <c r="V64" s="14">
        <v>26.036200999999998</v>
      </c>
      <c r="W64" s="14">
        <v>26.036200999999998</v>
      </c>
      <c r="X64" s="14">
        <v>26.258202000000001</v>
      </c>
      <c r="Y64" s="14">
        <v>26.258202000000001</v>
      </c>
      <c r="Z64" s="14">
        <v>26.258202000000001</v>
      </c>
      <c r="AA64" s="14">
        <v>26.480201999999998</v>
      </c>
      <c r="AB64" s="14">
        <v>26.877200999999999</v>
      </c>
      <c r="AC64" s="14">
        <v>26.877200999999999</v>
      </c>
      <c r="AD64" s="14">
        <v>26.877200999999999</v>
      </c>
      <c r="AE64" s="14">
        <v>27.003201000000001</v>
      </c>
      <c r="AF64" s="14">
        <v>27.003201000000001</v>
      </c>
      <c r="AG64" s="14">
        <v>27.003201000000001</v>
      </c>
      <c r="AH64" s="14">
        <v>27.003201000000001</v>
      </c>
      <c r="AI64" s="14">
        <v>27.003201000000001</v>
      </c>
      <c r="AJ64" s="14">
        <v>27.003201000000001</v>
      </c>
      <c r="AK64" s="15" t="s">
        <v>33</v>
      </c>
    </row>
    <row r="65" spans="1:37" ht="15" customHeight="1" x14ac:dyDescent="0.35">
      <c r="A65" s="6" t="s">
        <v>75</v>
      </c>
      <c r="B65" s="13" t="s">
        <v>18</v>
      </c>
      <c r="C65" s="14" t="s">
        <v>33</v>
      </c>
      <c r="D65" s="14" t="s">
        <v>33</v>
      </c>
      <c r="E65" s="14">
        <v>0.05</v>
      </c>
      <c r="F65" s="14">
        <v>0.05</v>
      </c>
      <c r="G65" s="14">
        <v>1.056</v>
      </c>
      <c r="H65" s="14">
        <v>2.6177999999999999</v>
      </c>
      <c r="I65" s="14">
        <v>3.5823369999999999</v>
      </c>
      <c r="J65" s="14">
        <v>4.3242039999999999</v>
      </c>
      <c r="K65" s="14">
        <v>5.0061030000000004</v>
      </c>
      <c r="L65" s="14">
        <v>5.097003</v>
      </c>
      <c r="M65" s="14">
        <v>5.5030039999999998</v>
      </c>
      <c r="N65" s="14">
        <v>5.5083039999999999</v>
      </c>
      <c r="O65" s="14">
        <v>5.5083039999999999</v>
      </c>
      <c r="P65" s="14">
        <v>5.7343039999999998</v>
      </c>
      <c r="Q65" s="14">
        <v>6.0050039999999996</v>
      </c>
      <c r="R65" s="14">
        <v>6.5150040000000002</v>
      </c>
      <c r="S65" s="14">
        <v>6.5200040000000001</v>
      </c>
      <c r="T65" s="14">
        <v>6.8890039999999999</v>
      </c>
      <c r="U65" s="14">
        <v>8.1576039999999992</v>
      </c>
      <c r="V65" s="14">
        <v>8.3564030000000002</v>
      </c>
      <c r="W65" s="14">
        <v>8.3564030000000002</v>
      </c>
      <c r="X65" s="14">
        <v>9.4858039999999999</v>
      </c>
      <c r="Y65" s="14">
        <v>9.7318040000000003</v>
      </c>
      <c r="Z65" s="14">
        <v>9.7318040000000003</v>
      </c>
      <c r="AA65" s="14">
        <v>9.7318040000000003</v>
      </c>
      <c r="AB65" s="14">
        <v>10.233803999999999</v>
      </c>
      <c r="AC65" s="14">
        <v>11.961804000000001</v>
      </c>
      <c r="AD65" s="14">
        <v>11.961804000000001</v>
      </c>
      <c r="AE65" s="14">
        <v>12.277805000000001</v>
      </c>
      <c r="AF65" s="14">
        <v>12.738806</v>
      </c>
      <c r="AG65" s="14">
        <v>13.423705</v>
      </c>
      <c r="AH65" s="14">
        <v>13.423705</v>
      </c>
      <c r="AI65" s="14">
        <v>13.423705</v>
      </c>
      <c r="AJ65" s="14">
        <v>13.426905</v>
      </c>
      <c r="AK65" s="15" t="s">
        <v>33</v>
      </c>
    </row>
    <row r="66" spans="1:37" ht="15" customHeight="1" x14ac:dyDescent="0.35">
      <c r="A66" s="6" t="s">
        <v>76</v>
      </c>
      <c r="B66" s="13" t="s">
        <v>20</v>
      </c>
      <c r="C66" s="14" t="s">
        <v>33</v>
      </c>
      <c r="D66" s="14" t="s">
        <v>33</v>
      </c>
      <c r="E66" s="14">
        <v>0.24590000000000001</v>
      </c>
      <c r="F66" s="14">
        <v>0.31850000000000001</v>
      </c>
      <c r="G66" s="14">
        <v>1.6755</v>
      </c>
      <c r="H66" s="14">
        <v>1.7495000000000001</v>
      </c>
      <c r="I66" s="14">
        <v>2.7568000000000001</v>
      </c>
      <c r="J66" s="14">
        <v>3.0318000000000001</v>
      </c>
      <c r="K66" s="14">
        <v>3.2770999999999999</v>
      </c>
      <c r="L66" s="14">
        <v>4.1784999999999997</v>
      </c>
      <c r="M66" s="14">
        <v>4.3424990000000001</v>
      </c>
      <c r="N66" s="14">
        <v>4.9180000000000001</v>
      </c>
      <c r="O66" s="14">
        <v>5.7674989999999999</v>
      </c>
      <c r="P66" s="14">
        <v>5.7962990000000003</v>
      </c>
      <c r="Q66" s="14">
        <v>6.0537000000000001</v>
      </c>
      <c r="R66" s="14">
        <v>6.0537000000000001</v>
      </c>
      <c r="S66" s="14">
        <v>6.0537000000000001</v>
      </c>
      <c r="T66" s="14">
        <v>6.0537000000000001</v>
      </c>
      <c r="U66" s="14">
        <v>6.0537000000000001</v>
      </c>
      <c r="V66" s="14">
        <v>6.1223999999999998</v>
      </c>
      <c r="W66" s="14">
        <v>6.1223999999999998</v>
      </c>
      <c r="X66" s="14">
        <v>6.4173999999999998</v>
      </c>
      <c r="Y66" s="14">
        <v>6.4173999999999998</v>
      </c>
      <c r="Z66" s="14">
        <v>6.5206999999999997</v>
      </c>
      <c r="AA66" s="14">
        <v>7.7777010000000004</v>
      </c>
      <c r="AB66" s="14">
        <v>7.8097000000000003</v>
      </c>
      <c r="AC66" s="14">
        <v>7.9137009999999997</v>
      </c>
      <c r="AD66" s="14">
        <v>7.9137009999999997</v>
      </c>
      <c r="AE66" s="14">
        <v>8.0040010000000006</v>
      </c>
      <c r="AF66" s="14">
        <v>8.1185010000000002</v>
      </c>
      <c r="AG66" s="14">
        <v>8.1185010000000002</v>
      </c>
      <c r="AH66" s="14">
        <v>8.1185010000000002</v>
      </c>
      <c r="AI66" s="14">
        <v>8.1185010000000002</v>
      </c>
      <c r="AJ66" s="14">
        <v>8.1185010000000002</v>
      </c>
      <c r="AK66" s="15" t="s">
        <v>33</v>
      </c>
    </row>
    <row r="67" spans="1:37" ht="15" customHeight="1" x14ac:dyDescent="0.35">
      <c r="A67" s="6" t="s">
        <v>77</v>
      </c>
      <c r="B67" s="13" t="s">
        <v>51</v>
      </c>
      <c r="C67" s="14" t="s">
        <v>33</v>
      </c>
      <c r="D67" s="14" t="s">
        <v>33</v>
      </c>
      <c r="E67" s="14">
        <v>1.48</v>
      </c>
      <c r="F67" s="14">
        <v>3.3744000000000001</v>
      </c>
      <c r="G67" s="14">
        <v>8.8351000000000006</v>
      </c>
      <c r="H67" s="14">
        <v>12.395902</v>
      </c>
      <c r="I67" s="14">
        <v>15.7784</v>
      </c>
      <c r="J67" s="14">
        <v>15.7784</v>
      </c>
      <c r="K67" s="14">
        <v>19.001802000000001</v>
      </c>
      <c r="L67" s="14">
        <v>20.119802</v>
      </c>
      <c r="M67" s="14">
        <v>20.119802</v>
      </c>
      <c r="N67" s="14">
        <v>20.119802</v>
      </c>
      <c r="O67" s="14">
        <v>20.119802</v>
      </c>
      <c r="P67" s="14">
        <v>20.119802</v>
      </c>
      <c r="Q67" s="14">
        <v>20.119802</v>
      </c>
      <c r="R67" s="14">
        <v>21.552800999999999</v>
      </c>
      <c r="S67" s="14">
        <v>21.552800999999999</v>
      </c>
      <c r="T67" s="14">
        <v>21.552800999999999</v>
      </c>
      <c r="U67" s="14">
        <v>21.552800999999999</v>
      </c>
      <c r="V67" s="14">
        <v>21.552800999999999</v>
      </c>
      <c r="W67" s="14">
        <v>21.552800999999999</v>
      </c>
      <c r="X67" s="14">
        <v>21.552800999999999</v>
      </c>
      <c r="Y67" s="14">
        <v>21.552800999999999</v>
      </c>
      <c r="Z67" s="14">
        <v>21.552800999999999</v>
      </c>
      <c r="AA67" s="14">
        <v>21.552800999999999</v>
      </c>
      <c r="AB67" s="14">
        <v>21.552800999999999</v>
      </c>
      <c r="AC67" s="14">
        <v>21.552800999999999</v>
      </c>
      <c r="AD67" s="14">
        <v>21.552800999999999</v>
      </c>
      <c r="AE67" s="14">
        <v>21.552800999999999</v>
      </c>
      <c r="AF67" s="14">
        <v>21.552800999999999</v>
      </c>
      <c r="AG67" s="14">
        <v>21.552800999999999</v>
      </c>
      <c r="AH67" s="14">
        <v>21.552800999999999</v>
      </c>
      <c r="AI67" s="14">
        <v>21.552800999999999</v>
      </c>
      <c r="AJ67" s="14">
        <v>21.552800999999999</v>
      </c>
      <c r="AK67" s="15" t="s">
        <v>33</v>
      </c>
    </row>
    <row r="68" spans="1:37" ht="15" customHeight="1" x14ac:dyDescent="0.35">
      <c r="A68" s="6" t="s">
        <v>78</v>
      </c>
      <c r="B68" s="13" t="s">
        <v>24</v>
      </c>
      <c r="C68" s="14" t="s">
        <v>33</v>
      </c>
      <c r="D68" s="14" t="s">
        <v>33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5" t="s">
        <v>33</v>
      </c>
    </row>
    <row r="69" spans="1:37" ht="15" customHeight="1" x14ac:dyDescent="0.35">
      <c r="A69" s="6" t="s">
        <v>79</v>
      </c>
      <c r="B69" s="13" t="s">
        <v>26</v>
      </c>
      <c r="C69" s="14" t="s">
        <v>33</v>
      </c>
      <c r="D69" s="14" t="s">
        <v>33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5" t="s">
        <v>33</v>
      </c>
    </row>
    <row r="70" spans="1:37" ht="15" customHeight="1" x14ac:dyDescent="0.35">
      <c r="A70" s="6" t="s">
        <v>80</v>
      </c>
      <c r="B70" s="13" t="s">
        <v>28</v>
      </c>
      <c r="C70" s="14" t="s">
        <v>33</v>
      </c>
      <c r="D70" s="14" t="s">
        <v>33</v>
      </c>
      <c r="E70" s="14">
        <v>0</v>
      </c>
      <c r="F70" s="14">
        <v>1.1000000000000001E-3</v>
      </c>
      <c r="G70" s="14">
        <v>1.1000000000000001E-3</v>
      </c>
      <c r="H70" s="14">
        <v>1.1000000000000001E-3</v>
      </c>
      <c r="I70" s="14">
        <v>1.1000000000000001E-3</v>
      </c>
      <c r="J70" s="14">
        <v>1.1000000000000001E-3</v>
      </c>
      <c r="K70" s="14">
        <v>1.1000000000000001E-3</v>
      </c>
      <c r="L70" s="14">
        <v>1.1000000000000001E-3</v>
      </c>
      <c r="M70" s="14">
        <v>1.1000000000000001E-3</v>
      </c>
      <c r="N70" s="14">
        <v>1.1000000000000001E-3</v>
      </c>
      <c r="O70" s="14">
        <v>1.1000000000000001E-3</v>
      </c>
      <c r="P70" s="14">
        <v>1.1000000000000001E-3</v>
      </c>
      <c r="Q70" s="14">
        <v>1.1000000000000001E-3</v>
      </c>
      <c r="R70" s="14">
        <v>1.1000000000000001E-3</v>
      </c>
      <c r="S70" s="14">
        <v>1.1000000000000001E-3</v>
      </c>
      <c r="T70" s="14">
        <v>1.1000000000000001E-3</v>
      </c>
      <c r="U70" s="14">
        <v>1.1000000000000001E-3</v>
      </c>
      <c r="V70" s="14">
        <v>1.1000000000000001E-3</v>
      </c>
      <c r="W70" s="14">
        <v>1.1000000000000001E-3</v>
      </c>
      <c r="X70" s="14">
        <v>1.1000000000000001E-3</v>
      </c>
      <c r="Y70" s="14">
        <v>1.1000000000000001E-3</v>
      </c>
      <c r="Z70" s="14">
        <v>1.1000000000000001E-3</v>
      </c>
      <c r="AA70" s="14">
        <v>1.1000000000000001E-3</v>
      </c>
      <c r="AB70" s="14">
        <v>1.1000000000000001E-3</v>
      </c>
      <c r="AC70" s="14">
        <v>1.1000000000000001E-3</v>
      </c>
      <c r="AD70" s="14">
        <v>1.1000000000000001E-3</v>
      </c>
      <c r="AE70" s="14">
        <v>1.1000000000000001E-3</v>
      </c>
      <c r="AF70" s="14">
        <v>1.1000000000000001E-3</v>
      </c>
      <c r="AG70" s="14">
        <v>1.1000000000000001E-3</v>
      </c>
      <c r="AH70" s="14">
        <v>1.1000000000000001E-3</v>
      </c>
      <c r="AI70" s="14">
        <v>1.1000000000000001E-3</v>
      </c>
      <c r="AJ70" s="14">
        <v>1.1000000000000001E-3</v>
      </c>
      <c r="AK70" s="15" t="s">
        <v>33</v>
      </c>
    </row>
    <row r="71" spans="1:37" ht="15" customHeight="1" x14ac:dyDescent="0.35">
      <c r="A71" s="6" t="s">
        <v>81</v>
      </c>
      <c r="B71" s="13" t="s">
        <v>30</v>
      </c>
      <c r="C71" s="14" t="s">
        <v>33</v>
      </c>
      <c r="D71" s="14" t="s">
        <v>33</v>
      </c>
      <c r="E71" s="14">
        <v>1.2200000000000001E-2</v>
      </c>
      <c r="F71" s="14">
        <v>1.32E-2</v>
      </c>
      <c r="G71" s="14">
        <v>1.4E-2</v>
      </c>
      <c r="H71" s="14">
        <v>3.39E-2</v>
      </c>
      <c r="I71" s="14">
        <v>4.0399999999999998E-2</v>
      </c>
      <c r="J71" s="14">
        <v>5.6399999999999999E-2</v>
      </c>
      <c r="K71" s="14">
        <v>5.8900000000000001E-2</v>
      </c>
      <c r="L71" s="14">
        <v>6.0900000000000003E-2</v>
      </c>
      <c r="M71" s="14">
        <v>6.0900000000000003E-2</v>
      </c>
      <c r="N71" s="14">
        <v>6.0900000000000003E-2</v>
      </c>
      <c r="O71" s="14">
        <v>0.13589999999999999</v>
      </c>
      <c r="P71" s="14">
        <v>0.13589999999999999</v>
      </c>
      <c r="Q71" s="14">
        <v>0.13589999999999999</v>
      </c>
      <c r="R71" s="14">
        <v>0.13589999999999999</v>
      </c>
      <c r="S71" s="14">
        <v>0.13589999999999999</v>
      </c>
      <c r="T71" s="14">
        <v>0.13589999999999999</v>
      </c>
      <c r="U71" s="14">
        <v>0.13589999999999999</v>
      </c>
      <c r="V71" s="14">
        <v>0.13589999999999999</v>
      </c>
      <c r="W71" s="14">
        <v>0.13589999999999999</v>
      </c>
      <c r="X71" s="14">
        <v>0.13589999999999999</v>
      </c>
      <c r="Y71" s="14">
        <v>0.13589999999999999</v>
      </c>
      <c r="Z71" s="14">
        <v>0.13589999999999999</v>
      </c>
      <c r="AA71" s="14">
        <v>0.13589999999999999</v>
      </c>
      <c r="AB71" s="14">
        <v>0.13589999999999999</v>
      </c>
      <c r="AC71" s="14">
        <v>0.13589999999999999</v>
      </c>
      <c r="AD71" s="14">
        <v>0.13589999999999999</v>
      </c>
      <c r="AE71" s="14">
        <v>0.13589999999999999</v>
      </c>
      <c r="AF71" s="14">
        <v>0.13589999999999999</v>
      </c>
      <c r="AG71" s="14">
        <v>0.1789</v>
      </c>
      <c r="AH71" s="14">
        <v>0.1789</v>
      </c>
      <c r="AI71" s="14">
        <v>0.1789</v>
      </c>
      <c r="AJ71" s="14">
        <v>0.1789</v>
      </c>
      <c r="AK71" s="15" t="s">
        <v>33</v>
      </c>
    </row>
    <row r="72" spans="1:37" ht="15" customHeight="1" x14ac:dyDescent="0.35">
      <c r="A72" s="6" t="s">
        <v>82</v>
      </c>
      <c r="B72" s="12" t="s">
        <v>35</v>
      </c>
      <c r="C72" s="16" t="s">
        <v>33</v>
      </c>
      <c r="D72" s="16" t="s">
        <v>33</v>
      </c>
      <c r="E72" s="16">
        <v>10.384415000000001</v>
      </c>
      <c r="F72" s="16">
        <v>16.420014999999999</v>
      </c>
      <c r="G72" s="16">
        <v>39.152099999999997</v>
      </c>
      <c r="H72" s="16">
        <v>54.804588000000003</v>
      </c>
      <c r="I72" s="16">
        <v>74.031859999999995</v>
      </c>
      <c r="J72" s="16">
        <v>90.405929999999998</v>
      </c>
      <c r="K72" s="16">
        <v>106.601715</v>
      </c>
      <c r="L72" s="16">
        <v>117.67491099999999</v>
      </c>
      <c r="M72" s="16">
        <v>122.421509</v>
      </c>
      <c r="N72" s="16">
        <v>125.882217</v>
      </c>
      <c r="O72" s="16">
        <v>128.99601699999999</v>
      </c>
      <c r="P72" s="16">
        <v>132.16282699999999</v>
      </c>
      <c r="Q72" s="16">
        <v>135.444931</v>
      </c>
      <c r="R72" s="16">
        <v>142.222916</v>
      </c>
      <c r="S72" s="16">
        <v>142.462906</v>
      </c>
      <c r="T72" s="16">
        <v>145.81303399999999</v>
      </c>
      <c r="U72" s="16">
        <v>147.180634</v>
      </c>
      <c r="V72" s="16">
        <v>147.748108</v>
      </c>
      <c r="W72" s="16">
        <v>148.912216</v>
      </c>
      <c r="X72" s="16">
        <v>150.55860899999999</v>
      </c>
      <c r="Y72" s="16">
        <v>150.80461099999999</v>
      </c>
      <c r="Z72" s="16">
        <v>150.90791300000001</v>
      </c>
      <c r="AA72" s="16">
        <v>153.60389699999999</v>
      </c>
      <c r="AB72" s="16">
        <v>154.53488200000001</v>
      </c>
      <c r="AC72" s="16">
        <v>156.93087800000001</v>
      </c>
      <c r="AD72" s="16">
        <v>156.93087800000001</v>
      </c>
      <c r="AE72" s="16">
        <v>157.46319600000001</v>
      </c>
      <c r="AF72" s="16">
        <v>158.03869599999999</v>
      </c>
      <c r="AG72" s="16">
        <v>158.76660200000001</v>
      </c>
      <c r="AH72" s="16">
        <v>158.76660200000001</v>
      </c>
      <c r="AI72" s="16">
        <v>158.76660200000001</v>
      </c>
      <c r="AJ72" s="16">
        <v>158.76980599999999</v>
      </c>
      <c r="AK72" s="17" t="s">
        <v>33</v>
      </c>
    </row>
    <row r="74" spans="1:37" ht="15" customHeight="1" x14ac:dyDescent="0.35">
      <c r="A74" s="6" t="s">
        <v>83</v>
      </c>
      <c r="B74" s="12" t="s">
        <v>84</v>
      </c>
      <c r="C74" s="16">
        <v>1043.869751</v>
      </c>
      <c r="D74" s="16">
        <v>1059.4221190000001</v>
      </c>
      <c r="E74" s="16">
        <v>1078.6495359999999</v>
      </c>
      <c r="F74" s="16">
        <v>1103.2001949999999</v>
      </c>
      <c r="G74" s="16">
        <v>1113.9835210000001</v>
      </c>
      <c r="H74" s="16">
        <v>1117.8623050000001</v>
      </c>
      <c r="I74" s="16">
        <v>1121.7763669999999</v>
      </c>
      <c r="J74" s="16">
        <v>1123.3773189999999</v>
      </c>
      <c r="K74" s="16">
        <v>1126.668823</v>
      </c>
      <c r="L74" s="16">
        <v>1128.220337</v>
      </c>
      <c r="M74" s="16">
        <v>1138.497803</v>
      </c>
      <c r="N74" s="16">
        <v>1145.451904</v>
      </c>
      <c r="O74" s="16">
        <v>1155.2955320000001</v>
      </c>
      <c r="P74" s="16">
        <v>1165.41687</v>
      </c>
      <c r="Q74" s="16">
        <v>1178.6972659999999</v>
      </c>
      <c r="R74" s="16">
        <v>1185.2954099999999</v>
      </c>
      <c r="S74" s="16">
        <v>1197.319336</v>
      </c>
      <c r="T74" s="16">
        <v>1212.4470209999999</v>
      </c>
      <c r="U74" s="16">
        <v>1225.911865</v>
      </c>
      <c r="V74" s="16">
        <v>1243.7741699999999</v>
      </c>
      <c r="W74" s="16">
        <v>1262.2312010000001</v>
      </c>
      <c r="X74" s="16">
        <v>1279.6710210000001</v>
      </c>
      <c r="Y74" s="16">
        <v>1300.325439</v>
      </c>
      <c r="Z74" s="16">
        <v>1313.6335449999999</v>
      </c>
      <c r="AA74" s="16">
        <v>1336.6259769999999</v>
      </c>
      <c r="AB74" s="16">
        <v>1346.522461</v>
      </c>
      <c r="AC74" s="16">
        <v>1367.8889160000001</v>
      </c>
      <c r="AD74" s="16">
        <v>1381.380005</v>
      </c>
      <c r="AE74" s="16">
        <v>1398.183716</v>
      </c>
      <c r="AF74" s="16">
        <v>1423.0794679999999</v>
      </c>
      <c r="AG74" s="16">
        <v>1447.0623780000001</v>
      </c>
      <c r="AH74" s="16">
        <v>1462.7326660000001</v>
      </c>
      <c r="AI74" s="16">
        <v>1485.109009</v>
      </c>
      <c r="AJ74" s="16">
        <v>1506.0395510000001</v>
      </c>
      <c r="AK74" s="17">
        <v>1.1053E-2</v>
      </c>
    </row>
    <row r="76" spans="1:37" ht="15" customHeight="1" x14ac:dyDescent="0.35">
      <c r="B76" s="12" t="s">
        <v>85</v>
      </c>
    </row>
    <row r="77" spans="1:37" ht="15" customHeight="1" x14ac:dyDescent="0.35">
      <c r="A77" s="6" t="s">
        <v>86</v>
      </c>
      <c r="B77" s="13" t="s">
        <v>38</v>
      </c>
      <c r="C77" s="14">
        <v>2.8090700000000002</v>
      </c>
      <c r="D77" s="14">
        <v>2.8294220000000001</v>
      </c>
      <c r="E77" s="14">
        <v>2.8143950000000002</v>
      </c>
      <c r="F77" s="14">
        <v>2.751887</v>
      </c>
      <c r="G77" s="14">
        <v>2.707497</v>
      </c>
      <c r="H77" s="14">
        <v>2.6968350000000001</v>
      </c>
      <c r="I77" s="14">
        <v>2.6748280000000002</v>
      </c>
      <c r="J77" s="14">
        <v>2.6577280000000001</v>
      </c>
      <c r="K77" s="14">
        <v>2.6425589999999999</v>
      </c>
      <c r="L77" s="14">
        <v>2.6240389999999998</v>
      </c>
      <c r="M77" s="14">
        <v>2.598665</v>
      </c>
      <c r="N77" s="14">
        <v>2.5801460000000001</v>
      </c>
      <c r="O77" s="14">
        <v>2.5564249999999999</v>
      </c>
      <c r="P77" s="14">
        <v>2.534081</v>
      </c>
      <c r="Q77" s="14">
        <v>2.5127160000000002</v>
      </c>
      <c r="R77" s="14">
        <v>2.4900669999999998</v>
      </c>
      <c r="S77" s="14">
        <v>2.470507</v>
      </c>
      <c r="T77" s="14">
        <v>2.4516689999999999</v>
      </c>
      <c r="U77" s="14">
        <v>2.4322560000000002</v>
      </c>
      <c r="V77" s="14">
        <v>2.4122409999999999</v>
      </c>
      <c r="W77" s="14">
        <v>2.3954650000000002</v>
      </c>
      <c r="X77" s="14">
        <v>2.3756080000000002</v>
      </c>
      <c r="Y77" s="14">
        <v>2.3538420000000002</v>
      </c>
      <c r="Z77" s="14">
        <v>2.3294329999999999</v>
      </c>
      <c r="AA77" s="14">
        <v>2.306187</v>
      </c>
      <c r="AB77" s="14">
        <v>2.2809900000000001</v>
      </c>
      <c r="AC77" s="14">
        <v>2.2574730000000001</v>
      </c>
      <c r="AD77" s="14">
        <v>2.2334480000000001</v>
      </c>
      <c r="AE77" s="14">
        <v>2.211741</v>
      </c>
      <c r="AF77" s="14">
        <v>2.1874859999999998</v>
      </c>
      <c r="AG77" s="14">
        <v>2.1649419999999999</v>
      </c>
      <c r="AH77" s="14">
        <v>2.1414520000000001</v>
      </c>
      <c r="AI77" s="14">
        <v>2.1181480000000001</v>
      </c>
      <c r="AJ77" s="14">
        <v>2.09388</v>
      </c>
      <c r="AK77" s="15">
        <v>-9.3640000000000008E-3</v>
      </c>
    </row>
    <row r="78" spans="1:37" ht="15" customHeight="1" x14ac:dyDescent="0.35">
      <c r="A78" s="6" t="s">
        <v>87</v>
      </c>
      <c r="B78" s="13" t="s">
        <v>88</v>
      </c>
      <c r="C78" s="14">
        <v>0.60187599999999997</v>
      </c>
      <c r="D78" s="14">
        <v>0.56111200000000006</v>
      </c>
      <c r="E78" s="14">
        <v>0.56123999999999996</v>
      </c>
      <c r="F78" s="14">
        <v>0.51933600000000002</v>
      </c>
      <c r="G78" s="14">
        <v>0.51947699999999997</v>
      </c>
      <c r="H78" s="14">
        <v>0.51967099999999999</v>
      </c>
      <c r="I78" s="14">
        <v>0.519872</v>
      </c>
      <c r="J78" s="14">
        <v>0.52008299999999996</v>
      </c>
      <c r="K78" s="14">
        <v>0.52029099999999995</v>
      </c>
      <c r="L78" s="14">
        <v>0.52048300000000003</v>
      </c>
      <c r="M78" s="14">
        <v>0.52058700000000002</v>
      </c>
      <c r="N78" s="14">
        <v>0.520729</v>
      </c>
      <c r="O78" s="14">
        <v>0.52080000000000004</v>
      </c>
      <c r="P78" s="14">
        <v>0.52084299999999994</v>
      </c>
      <c r="Q78" s="14">
        <v>0.52089399999999997</v>
      </c>
      <c r="R78" s="14">
        <v>0.52093900000000004</v>
      </c>
      <c r="S78" s="14">
        <v>0.52103500000000003</v>
      </c>
      <c r="T78" s="14">
        <v>0.52115</v>
      </c>
      <c r="U78" s="14">
        <v>0.52129199999999998</v>
      </c>
      <c r="V78" s="14">
        <v>0.52144800000000002</v>
      </c>
      <c r="W78" s="14">
        <v>0.52163199999999998</v>
      </c>
      <c r="X78" s="14">
        <v>0.52182600000000001</v>
      </c>
      <c r="Y78" s="14">
        <v>0.52202499999999996</v>
      </c>
      <c r="Z78" s="14">
        <v>0.52221499999999998</v>
      </c>
      <c r="AA78" s="14">
        <v>0.52242299999999997</v>
      </c>
      <c r="AB78" s="14">
        <v>0.52264299999999997</v>
      </c>
      <c r="AC78" s="14">
        <v>0.52292799999999995</v>
      </c>
      <c r="AD78" s="14">
        <v>0.52324599999999999</v>
      </c>
      <c r="AE78" s="14">
        <v>0.52360799999999996</v>
      </c>
      <c r="AF78" s="14">
        <v>0.52398</v>
      </c>
      <c r="AG78" s="14">
        <v>0.52438200000000001</v>
      </c>
      <c r="AH78" s="14">
        <v>0.52479299999999995</v>
      </c>
      <c r="AI78" s="14">
        <v>0.52522100000000005</v>
      </c>
      <c r="AJ78" s="14">
        <v>0.52563800000000005</v>
      </c>
      <c r="AK78" s="15">
        <v>-2.039E-3</v>
      </c>
    </row>
    <row r="79" spans="1:37" ht="15" customHeight="1" x14ac:dyDescent="0.35">
      <c r="A79" s="6" t="s">
        <v>89</v>
      </c>
      <c r="B79" s="13" t="s">
        <v>90</v>
      </c>
      <c r="C79" s="14">
        <v>16.550146000000002</v>
      </c>
      <c r="D79" s="14">
        <v>17.000043999999999</v>
      </c>
      <c r="E79" s="14">
        <v>17.661366999999998</v>
      </c>
      <c r="F79" s="14">
        <v>18.192609999999998</v>
      </c>
      <c r="G79" s="14">
        <v>18.523696999999999</v>
      </c>
      <c r="H79" s="14">
        <v>18.881478999999999</v>
      </c>
      <c r="I79" s="14">
        <v>19.254021000000002</v>
      </c>
      <c r="J79" s="14">
        <v>19.649028999999999</v>
      </c>
      <c r="K79" s="14">
        <v>20.075354000000001</v>
      </c>
      <c r="L79" s="14">
        <v>20.530176000000001</v>
      </c>
      <c r="M79" s="14">
        <v>21.008945000000001</v>
      </c>
      <c r="N79" s="14">
        <v>21.517927</v>
      </c>
      <c r="O79" s="14">
        <v>21.898712</v>
      </c>
      <c r="P79" s="14">
        <v>22.411719999999999</v>
      </c>
      <c r="Q79" s="14">
        <v>22.894997</v>
      </c>
      <c r="R79" s="14">
        <v>23.430418</v>
      </c>
      <c r="S79" s="14">
        <v>23.968340000000001</v>
      </c>
      <c r="T79" s="14">
        <v>24.586416</v>
      </c>
      <c r="U79" s="14">
        <v>25.184086000000001</v>
      </c>
      <c r="V79" s="14">
        <v>25.818956</v>
      </c>
      <c r="W79" s="14">
        <v>26.457961999999998</v>
      </c>
      <c r="X79" s="14">
        <v>27.134406999999999</v>
      </c>
      <c r="Y79" s="14">
        <v>27.822490999999999</v>
      </c>
      <c r="Z79" s="14">
        <v>28.548615999999999</v>
      </c>
      <c r="AA79" s="14">
        <v>29.307970000000001</v>
      </c>
      <c r="AB79" s="14">
        <v>30.064495000000001</v>
      </c>
      <c r="AC79" s="14">
        <v>30.895098000000001</v>
      </c>
      <c r="AD79" s="14">
        <v>31.764026999999999</v>
      </c>
      <c r="AE79" s="14">
        <v>32.729435000000002</v>
      </c>
      <c r="AF79" s="14">
        <v>33.678168999999997</v>
      </c>
      <c r="AG79" s="14">
        <v>34.662864999999996</v>
      </c>
      <c r="AH79" s="14">
        <v>35.675156000000001</v>
      </c>
      <c r="AI79" s="14">
        <v>36.704326999999999</v>
      </c>
      <c r="AJ79" s="14">
        <v>37.760554999999997</v>
      </c>
      <c r="AK79" s="15">
        <v>2.5253000000000001E-2</v>
      </c>
    </row>
    <row r="80" spans="1:37" ht="15" customHeight="1" x14ac:dyDescent="0.35">
      <c r="A80" s="6" t="s">
        <v>91</v>
      </c>
      <c r="B80" s="13" t="s">
        <v>92</v>
      </c>
      <c r="C80" s="14">
        <v>2.86477</v>
      </c>
      <c r="D80" s="14">
        <v>3.0662500000000001</v>
      </c>
      <c r="E80" s="14">
        <v>3.09165</v>
      </c>
      <c r="F80" s="14">
        <v>3.0005730000000002</v>
      </c>
      <c r="G80" s="14">
        <v>3.0005730000000002</v>
      </c>
      <c r="H80" s="14">
        <v>3.0005730000000002</v>
      </c>
      <c r="I80" s="14">
        <v>3.0005730000000002</v>
      </c>
      <c r="J80" s="14">
        <v>3.0005730000000002</v>
      </c>
      <c r="K80" s="14">
        <v>3.0005730000000002</v>
      </c>
      <c r="L80" s="14">
        <v>3.0005730000000002</v>
      </c>
      <c r="M80" s="14">
        <v>3.0005730000000002</v>
      </c>
      <c r="N80" s="14">
        <v>3.0005730000000002</v>
      </c>
      <c r="O80" s="14">
        <v>2.9544329999999999</v>
      </c>
      <c r="P80" s="14">
        <v>2.962799</v>
      </c>
      <c r="Q80" s="14">
        <v>2.9472360000000002</v>
      </c>
      <c r="R80" s="14">
        <v>2.9446539999999999</v>
      </c>
      <c r="S80" s="14">
        <v>2.9323169999999998</v>
      </c>
      <c r="T80" s="14">
        <v>2.9502259999999998</v>
      </c>
      <c r="U80" s="14">
        <v>2.9470580000000002</v>
      </c>
      <c r="V80" s="14">
        <v>2.9477370000000001</v>
      </c>
      <c r="W80" s="14">
        <v>2.9376530000000001</v>
      </c>
      <c r="X80" s="14">
        <v>2.9355069999999999</v>
      </c>
      <c r="Y80" s="14">
        <v>2.9302250000000001</v>
      </c>
      <c r="Z80" s="14">
        <v>2.9397099999999998</v>
      </c>
      <c r="AA80" s="14">
        <v>2.9456639999999998</v>
      </c>
      <c r="AB80" s="14">
        <v>2.933996</v>
      </c>
      <c r="AC80" s="14">
        <v>2.93988</v>
      </c>
      <c r="AD80" s="14">
        <v>2.945551</v>
      </c>
      <c r="AE80" s="14">
        <v>2.976127</v>
      </c>
      <c r="AF80" s="14">
        <v>2.9741689999999998</v>
      </c>
      <c r="AG80" s="14">
        <v>2.9789479999999999</v>
      </c>
      <c r="AH80" s="14">
        <v>2.9858669999999998</v>
      </c>
      <c r="AI80" s="14">
        <v>2.9908999999999999</v>
      </c>
      <c r="AJ80" s="14">
        <v>2.9975239999999999</v>
      </c>
      <c r="AK80" s="15">
        <v>-7.0799999999999997E-4</v>
      </c>
    </row>
    <row r="81" spans="1:37" ht="15" customHeight="1" x14ac:dyDescent="0.35">
      <c r="A81" s="6" t="s">
        <v>93</v>
      </c>
      <c r="B81" s="13" t="s">
        <v>30</v>
      </c>
      <c r="C81" s="14">
        <v>25.920618000000001</v>
      </c>
      <c r="D81" s="14">
        <v>29.844747999999999</v>
      </c>
      <c r="E81" s="14">
        <v>34.453121000000003</v>
      </c>
      <c r="F81" s="14">
        <v>39.500785999999998</v>
      </c>
      <c r="G81" s="14">
        <v>44.149078000000003</v>
      </c>
      <c r="H81" s="14">
        <v>48.499355000000001</v>
      </c>
      <c r="I81" s="14">
        <v>52.524948000000002</v>
      </c>
      <c r="J81" s="14">
        <v>56.023991000000002</v>
      </c>
      <c r="K81" s="14">
        <v>58.900844999999997</v>
      </c>
      <c r="L81" s="14">
        <v>61.974850000000004</v>
      </c>
      <c r="M81" s="14">
        <v>65.193916000000002</v>
      </c>
      <c r="N81" s="14">
        <v>68.619681999999997</v>
      </c>
      <c r="O81" s="14">
        <v>72.239288000000002</v>
      </c>
      <c r="P81" s="14">
        <v>76.013641000000007</v>
      </c>
      <c r="Q81" s="14">
        <v>79.974632</v>
      </c>
      <c r="R81" s="14">
        <v>84.122489999999999</v>
      </c>
      <c r="S81" s="14">
        <v>88.472649000000004</v>
      </c>
      <c r="T81" s="14">
        <v>93.023323000000005</v>
      </c>
      <c r="U81" s="14">
        <v>97.770972999999998</v>
      </c>
      <c r="V81" s="14">
        <v>102.772758</v>
      </c>
      <c r="W81" s="14">
        <v>108.000626</v>
      </c>
      <c r="X81" s="14">
        <v>113.44832599999999</v>
      </c>
      <c r="Y81" s="14">
        <v>119.08805099999999</v>
      </c>
      <c r="Z81" s="14">
        <v>124.89795700000001</v>
      </c>
      <c r="AA81" s="14">
        <v>130.901321</v>
      </c>
      <c r="AB81" s="14">
        <v>137.08963</v>
      </c>
      <c r="AC81" s="14">
        <v>143.505493</v>
      </c>
      <c r="AD81" s="14">
        <v>150.120285</v>
      </c>
      <c r="AE81" s="14">
        <v>157.02271999999999</v>
      </c>
      <c r="AF81" s="14">
        <v>164.17160000000001</v>
      </c>
      <c r="AG81" s="14">
        <v>171.62394699999999</v>
      </c>
      <c r="AH81" s="14">
        <v>179.344223</v>
      </c>
      <c r="AI81" s="14">
        <v>187.32080099999999</v>
      </c>
      <c r="AJ81" s="14">
        <v>195.53801000000001</v>
      </c>
      <c r="AK81" s="15">
        <v>6.0502E-2</v>
      </c>
    </row>
    <row r="82" spans="1:37" ht="15" customHeight="1" x14ac:dyDescent="0.35">
      <c r="A82" s="6" t="s">
        <v>94</v>
      </c>
      <c r="B82" s="13" t="s">
        <v>95</v>
      </c>
      <c r="C82" s="14">
        <v>0.43790000000000001</v>
      </c>
      <c r="D82" s="14">
        <v>0.45290000000000002</v>
      </c>
      <c r="E82" s="14">
        <v>0.50290000000000001</v>
      </c>
      <c r="F82" s="14">
        <v>0.50290000000000001</v>
      </c>
      <c r="G82" s="14">
        <v>0.51490000000000002</v>
      </c>
      <c r="H82" s="14">
        <v>0.51490000000000002</v>
      </c>
      <c r="I82" s="14">
        <v>0.51490000000000002</v>
      </c>
      <c r="J82" s="14">
        <v>0.51490000000000002</v>
      </c>
      <c r="K82" s="14">
        <v>0.51490000000000002</v>
      </c>
      <c r="L82" s="14">
        <v>0.51490000000000002</v>
      </c>
      <c r="M82" s="14">
        <v>0.51490000000000002</v>
      </c>
      <c r="N82" s="14">
        <v>0.51490000000000002</v>
      </c>
      <c r="O82" s="14">
        <v>0.51490000000000002</v>
      </c>
      <c r="P82" s="14">
        <v>0.51490000000000002</v>
      </c>
      <c r="Q82" s="14">
        <v>0.51490000000000002</v>
      </c>
      <c r="R82" s="14">
        <v>0.51490000000000002</v>
      </c>
      <c r="S82" s="14">
        <v>0.51490000000000002</v>
      </c>
      <c r="T82" s="14">
        <v>0.51490000000000002</v>
      </c>
      <c r="U82" s="14">
        <v>0.51490000000000002</v>
      </c>
      <c r="V82" s="14">
        <v>0.51490000000000002</v>
      </c>
      <c r="W82" s="14">
        <v>0.51490000000000002</v>
      </c>
      <c r="X82" s="14">
        <v>0.51490000000000002</v>
      </c>
      <c r="Y82" s="14">
        <v>0.51490000000000002</v>
      </c>
      <c r="Z82" s="14">
        <v>0.51490000000000002</v>
      </c>
      <c r="AA82" s="14">
        <v>0.51490000000000002</v>
      </c>
      <c r="AB82" s="14">
        <v>0.51490000000000002</v>
      </c>
      <c r="AC82" s="14">
        <v>0.51490000000000002</v>
      </c>
      <c r="AD82" s="14">
        <v>0.51490000000000002</v>
      </c>
      <c r="AE82" s="14">
        <v>0.51490000000000002</v>
      </c>
      <c r="AF82" s="14">
        <v>0.51490000000000002</v>
      </c>
      <c r="AG82" s="14">
        <v>0.51490000000000002</v>
      </c>
      <c r="AH82" s="14">
        <v>0.51490000000000002</v>
      </c>
      <c r="AI82" s="14">
        <v>0.51490000000000002</v>
      </c>
      <c r="AJ82" s="14">
        <v>0.51490000000000002</v>
      </c>
      <c r="AK82" s="15">
        <v>4.0169999999999997E-3</v>
      </c>
    </row>
    <row r="83" spans="1:37" ht="15" customHeight="1" x14ac:dyDescent="0.35">
      <c r="A83" s="6" t="s">
        <v>96</v>
      </c>
      <c r="B83" s="12" t="s">
        <v>35</v>
      </c>
      <c r="C83" s="16">
        <v>49.184379999999997</v>
      </c>
      <c r="D83" s="16">
        <v>53.754474999999999</v>
      </c>
      <c r="E83" s="16">
        <v>59.084671</v>
      </c>
      <c r="F83" s="16">
        <v>64.468093999999994</v>
      </c>
      <c r="G83" s="16">
        <v>69.415222</v>
      </c>
      <c r="H83" s="16">
        <v>74.112808000000001</v>
      </c>
      <c r="I83" s="16">
        <v>78.489142999999999</v>
      </c>
      <c r="J83" s="16">
        <v>82.366302000000005</v>
      </c>
      <c r="K83" s="16">
        <v>85.654526000000004</v>
      </c>
      <c r="L83" s="16">
        <v>89.165024000000003</v>
      </c>
      <c r="M83" s="16">
        <v>92.837585000000004</v>
      </c>
      <c r="N83" s="16">
        <v>96.753967000000003</v>
      </c>
      <c r="O83" s="16">
        <v>100.684555</v>
      </c>
      <c r="P83" s="16">
        <v>104.95798499999999</v>
      </c>
      <c r="Q83" s="16">
        <v>109.36537199999999</v>
      </c>
      <c r="R83" s="16">
        <v>114.02346799999999</v>
      </c>
      <c r="S83" s="16">
        <v>118.879745</v>
      </c>
      <c r="T83" s="16">
        <v>124.047684</v>
      </c>
      <c r="U83" s="16">
        <v>129.370575</v>
      </c>
      <c r="V83" s="16">
        <v>134.98803699999999</v>
      </c>
      <c r="W83" s="16">
        <v>140.82823200000001</v>
      </c>
      <c r="X83" s="16">
        <v>146.93057300000001</v>
      </c>
      <c r="Y83" s="16">
        <v>153.231537</v>
      </c>
      <c r="Z83" s="16">
        <v>159.752838</v>
      </c>
      <c r="AA83" s="16">
        <v>166.49847399999999</v>
      </c>
      <c r="AB83" s="16">
        <v>173.40664699999999</v>
      </c>
      <c r="AC83" s="16">
        <v>180.635773</v>
      </c>
      <c r="AD83" s="16">
        <v>188.10145600000001</v>
      </c>
      <c r="AE83" s="16">
        <v>195.97854599999999</v>
      </c>
      <c r="AF83" s="16">
        <v>204.050308</v>
      </c>
      <c r="AG83" s="16">
        <v>212.46998600000001</v>
      </c>
      <c r="AH83" s="16">
        <v>221.186386</v>
      </c>
      <c r="AI83" s="16">
        <v>230.17430100000001</v>
      </c>
      <c r="AJ83" s="16">
        <v>239.430511</v>
      </c>
      <c r="AK83" s="17">
        <v>4.7788999999999998E-2</v>
      </c>
    </row>
    <row r="85" spans="1:37" ht="15" customHeight="1" x14ac:dyDescent="0.35">
      <c r="A85" s="6" t="s">
        <v>97</v>
      </c>
      <c r="B85" s="12" t="s">
        <v>98</v>
      </c>
      <c r="C85" s="16" t="s">
        <v>33</v>
      </c>
      <c r="D85" s="16" t="s">
        <v>33</v>
      </c>
      <c r="E85" s="16">
        <v>5.3452279999999996</v>
      </c>
      <c r="F85" s="16">
        <v>11.538671000000001</v>
      </c>
      <c r="G85" s="16">
        <v>16.530194999999999</v>
      </c>
      <c r="H85" s="16">
        <v>21.238444999999999</v>
      </c>
      <c r="I85" s="16">
        <v>25.636772000000001</v>
      </c>
      <c r="J85" s="16">
        <v>29.531030999999999</v>
      </c>
      <c r="K85" s="16">
        <v>32.834418999999997</v>
      </c>
      <c r="L85" s="16">
        <v>36.363438000000002</v>
      </c>
      <c r="M85" s="16">
        <v>40.061366999999997</v>
      </c>
      <c r="N85" s="16">
        <v>43.996257999999997</v>
      </c>
      <c r="O85" s="16">
        <v>48.089123000000001</v>
      </c>
      <c r="P85" s="16">
        <v>52.384903000000001</v>
      </c>
      <c r="Q85" s="16">
        <v>56.860405</v>
      </c>
      <c r="R85" s="16">
        <v>61.548901000000001</v>
      </c>
      <c r="S85" s="16">
        <v>66.461783999999994</v>
      </c>
      <c r="T85" s="16">
        <v>71.648544000000001</v>
      </c>
      <c r="U85" s="16">
        <v>77.000327999999996</v>
      </c>
      <c r="V85" s="16">
        <v>82.637810000000002</v>
      </c>
      <c r="W85" s="16">
        <v>88.525063000000003</v>
      </c>
      <c r="X85" s="16">
        <v>94.653671000000003</v>
      </c>
      <c r="Y85" s="16">
        <v>100.99221799999999</v>
      </c>
      <c r="Z85" s="16">
        <v>107.53788</v>
      </c>
      <c r="AA85" s="16">
        <v>114.30671700000001</v>
      </c>
      <c r="AB85" s="16">
        <v>121.27512400000001</v>
      </c>
      <c r="AC85" s="16">
        <v>128.52761799999999</v>
      </c>
      <c r="AD85" s="16">
        <v>136.01724200000001</v>
      </c>
      <c r="AE85" s="16">
        <v>143.91589400000001</v>
      </c>
      <c r="AF85" s="16">
        <v>152.01774599999999</v>
      </c>
      <c r="AG85" s="16">
        <v>160.45976300000001</v>
      </c>
      <c r="AH85" s="16">
        <v>169.199478</v>
      </c>
      <c r="AI85" s="16">
        <v>178.21051</v>
      </c>
      <c r="AJ85" s="16">
        <v>187.49087499999999</v>
      </c>
      <c r="AK85" s="17" t="s">
        <v>33</v>
      </c>
    </row>
    <row r="86" spans="1:37" ht="15" customHeight="1" thickBot="1" x14ac:dyDescent="0.4"/>
    <row r="87" spans="1:37" ht="15" customHeight="1" x14ac:dyDescent="0.35">
      <c r="B87" s="26" t="s">
        <v>99</v>
      </c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</row>
    <row r="88" spans="1:37" ht="15" customHeight="1" x14ac:dyDescent="0.35">
      <c r="B88" s="7" t="s">
        <v>100</v>
      </c>
    </row>
    <row r="89" spans="1:37" ht="15" customHeight="1" x14ac:dyDescent="0.35">
      <c r="B89" s="7" t="s">
        <v>101</v>
      </c>
    </row>
    <row r="90" spans="1:37" ht="15" customHeight="1" x14ac:dyDescent="0.35">
      <c r="B90" s="7" t="s">
        <v>102</v>
      </c>
    </row>
    <row r="91" spans="1:37" ht="15" customHeight="1" x14ac:dyDescent="0.35">
      <c r="B91" s="7" t="s">
        <v>103</v>
      </c>
    </row>
    <row r="92" spans="1:37" ht="15" customHeight="1" x14ac:dyDescent="0.35">
      <c r="B92" s="7" t="s">
        <v>116</v>
      </c>
    </row>
    <row r="93" spans="1:37" ht="15" customHeight="1" x14ac:dyDescent="0.35">
      <c r="B93" s="7" t="s">
        <v>117</v>
      </c>
    </row>
    <row r="94" spans="1:37" ht="15" customHeight="1" x14ac:dyDescent="0.35">
      <c r="B94" s="7" t="s">
        <v>104</v>
      </c>
    </row>
    <row r="95" spans="1:37" ht="15" customHeight="1" x14ac:dyDescent="0.35">
      <c r="B95" s="7" t="s">
        <v>130</v>
      </c>
    </row>
    <row r="96" spans="1:37" ht="15" customHeight="1" x14ac:dyDescent="0.35">
      <c r="B96" s="7" t="s">
        <v>105</v>
      </c>
    </row>
    <row r="97" spans="2:2" ht="15" customHeight="1" x14ac:dyDescent="0.35">
      <c r="B97" s="7" t="s">
        <v>106</v>
      </c>
    </row>
    <row r="98" spans="2:2" ht="15" customHeight="1" x14ac:dyDescent="0.35">
      <c r="B98" s="7" t="s">
        <v>107</v>
      </c>
    </row>
    <row r="99" spans="2:2" ht="15" customHeight="1" x14ac:dyDescent="0.35">
      <c r="B99" s="7" t="s">
        <v>108</v>
      </c>
    </row>
    <row r="100" spans="2:2" ht="15" customHeight="1" x14ac:dyDescent="0.35">
      <c r="B100" s="7" t="s">
        <v>109</v>
      </c>
    </row>
    <row r="101" spans="2:2" ht="15" customHeight="1" x14ac:dyDescent="0.35">
      <c r="B101" s="7" t="s">
        <v>131</v>
      </c>
    </row>
    <row r="102" spans="2:2" ht="15" customHeight="1" x14ac:dyDescent="0.35">
      <c r="B102" s="7" t="s">
        <v>132</v>
      </c>
    </row>
    <row r="103" spans="2:2" ht="15" customHeight="1" x14ac:dyDescent="0.35">
      <c r="B103" s="7" t="s">
        <v>110</v>
      </c>
    </row>
    <row r="104" spans="2:2" ht="15" customHeight="1" x14ac:dyDescent="0.35">
      <c r="B104" s="7" t="s">
        <v>111</v>
      </c>
    </row>
    <row r="105" spans="2:2" ht="15" customHeight="1" x14ac:dyDescent="0.35">
      <c r="B105" s="7" t="s">
        <v>112</v>
      </c>
    </row>
    <row r="106" spans="2:2" ht="15" customHeight="1" x14ac:dyDescent="0.35">
      <c r="B106" s="7" t="s">
        <v>113</v>
      </c>
    </row>
    <row r="107" spans="2:2" ht="15" customHeight="1" x14ac:dyDescent="0.35">
      <c r="B107" s="7" t="s">
        <v>114</v>
      </c>
    </row>
    <row r="108" spans="2:2" ht="15" customHeight="1" x14ac:dyDescent="0.35">
      <c r="B108" s="7" t="s">
        <v>115</v>
      </c>
    </row>
    <row r="109" spans="2:2" ht="15" customHeight="1" x14ac:dyDescent="0.35">
      <c r="B109" s="7" t="s">
        <v>133</v>
      </c>
    </row>
    <row r="110" spans="2:2" ht="15" customHeight="1" x14ac:dyDescent="0.35">
      <c r="B110" s="7" t="s">
        <v>134</v>
      </c>
    </row>
    <row r="111" spans="2:2" ht="15" customHeight="1" x14ac:dyDescent="0.35">
      <c r="B111" s="7" t="s">
        <v>135</v>
      </c>
    </row>
    <row r="112" spans="2:2" ht="15" customHeight="1" x14ac:dyDescent="0.35">
      <c r="B112" s="7" t="s">
        <v>136</v>
      </c>
    </row>
    <row r="113" spans="2:2" ht="15" customHeight="1" x14ac:dyDescent="0.35">
      <c r="B113" s="7" t="s">
        <v>137</v>
      </c>
    </row>
    <row r="114" spans="2:2" ht="15" customHeight="1" x14ac:dyDescent="0.35">
      <c r="B114" s="7" t="s">
        <v>138</v>
      </c>
    </row>
  </sheetData>
  <mergeCells count="1">
    <mergeCell ref="B87:AK8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A405-A765-4E2E-A98F-140D5DD3A510}">
  <dimension ref="A1:E55"/>
  <sheetViews>
    <sheetView workbookViewId="0">
      <selection sqref="A1:XFD1048576"/>
    </sheetView>
  </sheetViews>
  <sheetFormatPr defaultColWidth="9.1796875" defaultRowHeight="14.5" x14ac:dyDescent="0.35"/>
  <cols>
    <col min="1" max="1" width="17.1796875" style="28" bestFit="1" customWidth="1"/>
    <col min="2" max="2" width="13.7265625" style="28" bestFit="1" customWidth="1"/>
    <col min="3" max="3" width="12" style="28" bestFit="1" customWidth="1"/>
    <col min="4" max="4" width="13.7265625" style="28" bestFit="1" customWidth="1"/>
    <col min="5" max="5" width="12" style="28" bestFit="1" customWidth="1"/>
    <col min="6" max="16384" width="9.1796875" style="28"/>
  </cols>
  <sheetData>
    <row r="1" spans="1:5" ht="15.5" x14ac:dyDescent="0.35">
      <c r="A1" s="27" t="s">
        <v>155</v>
      </c>
      <c r="B1" s="27"/>
      <c r="C1" s="27"/>
      <c r="D1" s="27"/>
      <c r="E1" s="27"/>
    </row>
    <row r="2" spans="1:5" x14ac:dyDescent="0.35">
      <c r="A2" s="29" t="s">
        <v>9</v>
      </c>
      <c r="B2" s="30" t="s">
        <v>156</v>
      </c>
      <c r="C2" s="31"/>
      <c r="D2" s="30" t="s">
        <v>153</v>
      </c>
      <c r="E2" s="31"/>
    </row>
    <row r="3" spans="1:5" ht="26.5" x14ac:dyDescent="0.35">
      <c r="A3" s="29" t="s">
        <v>157</v>
      </c>
      <c r="B3" s="32" t="s">
        <v>158</v>
      </c>
      <c r="C3" s="33" t="s">
        <v>159</v>
      </c>
      <c r="D3" s="32" t="s">
        <v>158</v>
      </c>
      <c r="E3" s="33" t="s">
        <v>159</v>
      </c>
    </row>
    <row r="4" spans="1:5" x14ac:dyDescent="0.35">
      <c r="A4" s="34" t="s">
        <v>160</v>
      </c>
      <c r="B4" s="34"/>
      <c r="C4" s="34"/>
      <c r="D4" s="34"/>
      <c r="E4" s="34"/>
    </row>
    <row r="5" spans="1:5" x14ac:dyDescent="0.35">
      <c r="A5" s="35">
        <v>2014</v>
      </c>
      <c r="B5" s="36">
        <v>155.1</v>
      </c>
      <c r="C5" s="37">
        <v>1.7000000000000001E-2</v>
      </c>
      <c r="D5" s="36">
        <v>22477.9</v>
      </c>
      <c r="E5" s="37">
        <v>0.10199999999999999</v>
      </c>
    </row>
    <row r="6" spans="1:5" x14ac:dyDescent="0.35">
      <c r="A6" s="35">
        <v>2015</v>
      </c>
      <c r="B6" s="36">
        <v>206.8</v>
      </c>
      <c r="C6" s="37">
        <v>3.5999999999999997E-2</v>
      </c>
      <c r="D6" s="36">
        <v>22568.9</v>
      </c>
      <c r="E6" s="37">
        <v>0.10199999999999999</v>
      </c>
    </row>
    <row r="7" spans="1:5" x14ac:dyDescent="0.35">
      <c r="A7" s="35">
        <v>2016</v>
      </c>
      <c r="B7" s="36">
        <v>423</v>
      </c>
      <c r="C7" s="37">
        <v>3.7999999999999999E-2</v>
      </c>
      <c r="D7" s="36">
        <v>22752.7</v>
      </c>
      <c r="E7" s="37">
        <v>0.112</v>
      </c>
    </row>
    <row r="8" spans="1:5" x14ac:dyDescent="0.35">
      <c r="A8" s="35">
        <v>2017</v>
      </c>
      <c r="B8" s="36">
        <v>632.79999999999995</v>
      </c>
      <c r="C8" s="37">
        <v>6.8000000000000005E-2</v>
      </c>
      <c r="D8" s="36">
        <v>22791.7</v>
      </c>
      <c r="E8" s="37">
        <v>0.114</v>
      </c>
    </row>
    <row r="9" spans="1:5" x14ac:dyDescent="0.35">
      <c r="A9" s="35">
        <v>2018</v>
      </c>
      <c r="B9" s="36">
        <v>713.6</v>
      </c>
      <c r="C9" s="37">
        <v>5.1999999999999998E-2</v>
      </c>
      <c r="D9" s="36">
        <v>22815.4</v>
      </c>
      <c r="E9" s="37">
        <v>0.108</v>
      </c>
    </row>
    <row r="10" spans="1:5" x14ac:dyDescent="0.35">
      <c r="A10" s="35">
        <v>2019</v>
      </c>
      <c r="B10" s="36">
        <v>949.8</v>
      </c>
      <c r="C10" s="37">
        <v>5.3999999999999999E-2</v>
      </c>
      <c r="D10" s="36">
        <v>22754.7</v>
      </c>
      <c r="E10" s="37">
        <v>0.104</v>
      </c>
    </row>
    <row r="11" spans="1:5" x14ac:dyDescent="0.35">
      <c r="A11" s="35">
        <v>2020</v>
      </c>
      <c r="B11" s="36">
        <v>1210.3</v>
      </c>
      <c r="C11" s="37">
        <v>5.1999999999999998E-2</v>
      </c>
      <c r="D11" s="36">
        <v>22939.599999999999</v>
      </c>
      <c r="E11" s="37">
        <v>0.105</v>
      </c>
    </row>
    <row r="12" spans="1:5" x14ac:dyDescent="0.35">
      <c r="A12" s="35">
        <v>2021</v>
      </c>
      <c r="B12" s="36">
        <v>2627.6</v>
      </c>
      <c r="C12" s="37">
        <v>6.0999999999999999E-2</v>
      </c>
      <c r="D12" s="36">
        <v>23007.7</v>
      </c>
      <c r="E12" s="37">
        <v>0.10199999999999999</v>
      </c>
    </row>
    <row r="13" spans="1:5" x14ac:dyDescent="0.35">
      <c r="A13" s="35">
        <v>2022</v>
      </c>
      <c r="B13" s="36">
        <v>6566.1</v>
      </c>
      <c r="C13" s="37">
        <v>6.4000000000000001E-2</v>
      </c>
      <c r="D13" s="36">
        <v>23033.9</v>
      </c>
      <c r="E13" s="37">
        <v>0.111</v>
      </c>
    </row>
    <row r="14" spans="1:5" x14ac:dyDescent="0.35">
      <c r="A14" s="35">
        <v>2023</v>
      </c>
      <c r="B14" s="36">
        <v>11225.7</v>
      </c>
      <c r="C14" s="37">
        <v>6.6000000000000003E-2</v>
      </c>
      <c r="D14" s="36">
        <v>23132.1</v>
      </c>
      <c r="E14" s="37">
        <v>0.109</v>
      </c>
    </row>
    <row r="15" spans="1:5" x14ac:dyDescent="0.35">
      <c r="A15" s="35">
        <v>2024</v>
      </c>
      <c r="B15" s="36">
        <v>19945.099999999999</v>
      </c>
      <c r="C15" s="37">
        <v>8.3000000000000004E-2</v>
      </c>
      <c r="D15" s="36">
        <v>23178.5</v>
      </c>
      <c r="E15" s="37">
        <v>0.114</v>
      </c>
    </row>
    <row r="16" spans="1:5" x14ac:dyDescent="0.35">
      <c r="A16" s="34" t="s">
        <v>161</v>
      </c>
      <c r="B16" s="34"/>
      <c r="C16" s="34"/>
      <c r="D16" s="34"/>
      <c r="E16" s="34"/>
    </row>
    <row r="17" spans="1:5" x14ac:dyDescent="0.35">
      <c r="A17" s="35" t="s">
        <v>162</v>
      </c>
      <c r="B17" s="36">
        <v>4926.3999999999996</v>
      </c>
      <c r="C17" s="37">
        <v>5.5E-2</v>
      </c>
      <c r="D17" s="36">
        <v>23013.4</v>
      </c>
      <c r="E17" s="37">
        <v>9.5000000000000001E-2</v>
      </c>
    </row>
    <row r="18" spans="1:5" x14ac:dyDescent="0.35">
      <c r="A18" s="35" t="s">
        <v>163</v>
      </c>
      <c r="B18" s="36">
        <v>4996.7</v>
      </c>
      <c r="C18" s="37">
        <v>6.6000000000000003E-2</v>
      </c>
      <c r="D18" s="36">
        <v>23013.4</v>
      </c>
      <c r="E18" s="37">
        <v>8.8999999999999996E-2</v>
      </c>
    </row>
    <row r="19" spans="1:5" x14ac:dyDescent="0.35">
      <c r="A19" s="35" t="s">
        <v>164</v>
      </c>
      <c r="B19" s="36">
        <v>5069.2</v>
      </c>
      <c r="C19" s="37">
        <v>5.7000000000000002E-2</v>
      </c>
      <c r="D19" s="36">
        <v>23013.4</v>
      </c>
      <c r="E19" s="37">
        <v>9.0999999999999998E-2</v>
      </c>
    </row>
    <row r="20" spans="1:5" x14ac:dyDescent="0.35">
      <c r="A20" s="35" t="s">
        <v>165</v>
      </c>
      <c r="B20" s="36">
        <v>5316.2</v>
      </c>
      <c r="C20" s="37">
        <v>0.06</v>
      </c>
      <c r="D20" s="36">
        <v>23013.4</v>
      </c>
      <c r="E20" s="37">
        <v>7.2999999999999995E-2</v>
      </c>
    </row>
    <row r="21" spans="1:5" x14ac:dyDescent="0.35">
      <c r="A21" s="35" t="s">
        <v>166</v>
      </c>
      <c r="B21" s="36">
        <v>6055.5</v>
      </c>
      <c r="C21" s="37">
        <v>6.4000000000000001E-2</v>
      </c>
      <c r="D21" s="36">
        <v>23043.9</v>
      </c>
      <c r="E21" s="37">
        <v>0.109</v>
      </c>
    </row>
    <row r="22" spans="1:5" x14ac:dyDescent="0.35">
      <c r="A22" s="35" t="s">
        <v>167</v>
      </c>
      <c r="B22" s="36">
        <v>6064.5</v>
      </c>
      <c r="C22" s="37">
        <v>7.0999999999999994E-2</v>
      </c>
      <c r="D22" s="36">
        <v>23043.9</v>
      </c>
      <c r="E22" s="37">
        <v>0.14799999999999999</v>
      </c>
    </row>
    <row r="23" spans="1:5" x14ac:dyDescent="0.35">
      <c r="A23" s="35" t="s">
        <v>168</v>
      </c>
      <c r="B23" s="36">
        <v>6555.2</v>
      </c>
      <c r="C23" s="37">
        <v>6.9000000000000006E-2</v>
      </c>
      <c r="D23" s="36">
        <v>23043.9</v>
      </c>
      <c r="E23" s="37">
        <v>0.159</v>
      </c>
    </row>
    <row r="24" spans="1:5" x14ac:dyDescent="0.35">
      <c r="A24" s="35" t="s">
        <v>169</v>
      </c>
      <c r="B24" s="36">
        <v>6941.6</v>
      </c>
      <c r="C24" s="37">
        <v>6.6000000000000003E-2</v>
      </c>
      <c r="D24" s="36">
        <v>23043.9</v>
      </c>
      <c r="E24" s="37">
        <v>0.16400000000000001</v>
      </c>
    </row>
    <row r="25" spans="1:5" x14ac:dyDescent="0.35">
      <c r="A25" s="35" t="s">
        <v>170</v>
      </c>
      <c r="B25" s="36">
        <v>7469.9</v>
      </c>
      <c r="C25" s="37">
        <v>6.0999999999999999E-2</v>
      </c>
      <c r="D25" s="36">
        <v>23043.9</v>
      </c>
      <c r="E25" s="37">
        <v>0.13200000000000001</v>
      </c>
    </row>
    <row r="26" spans="1:5" x14ac:dyDescent="0.35">
      <c r="A26" s="35" t="s">
        <v>171</v>
      </c>
      <c r="B26" s="36">
        <v>7958.4</v>
      </c>
      <c r="C26" s="37">
        <v>6.7000000000000004E-2</v>
      </c>
      <c r="D26" s="36">
        <v>23043.9</v>
      </c>
      <c r="E26" s="37">
        <v>8.4000000000000005E-2</v>
      </c>
    </row>
    <row r="27" spans="1:5" x14ac:dyDescent="0.35">
      <c r="A27" s="35" t="s">
        <v>172</v>
      </c>
      <c r="B27" s="36">
        <v>8630.7000000000007</v>
      </c>
      <c r="C27" s="37">
        <v>6.7000000000000004E-2</v>
      </c>
      <c r="D27" s="36">
        <v>23043.9</v>
      </c>
      <c r="E27" s="37">
        <v>9.1999999999999998E-2</v>
      </c>
    </row>
    <row r="28" spans="1:5" x14ac:dyDescent="0.35">
      <c r="A28" s="35" t="s">
        <v>173</v>
      </c>
      <c r="B28" s="36">
        <v>8696.4</v>
      </c>
      <c r="C28" s="37">
        <v>6.5000000000000002E-2</v>
      </c>
      <c r="D28" s="36">
        <v>23043.9</v>
      </c>
      <c r="E28" s="37">
        <v>9.6000000000000002E-2</v>
      </c>
    </row>
    <row r="29" spans="1:5" x14ac:dyDescent="0.35">
      <c r="A29" s="34" t="s">
        <v>174</v>
      </c>
      <c r="B29" s="34"/>
      <c r="C29" s="34"/>
      <c r="D29" s="34"/>
      <c r="E29" s="34"/>
    </row>
    <row r="30" spans="1:5" x14ac:dyDescent="0.35">
      <c r="A30" s="35" t="s">
        <v>162</v>
      </c>
      <c r="B30" s="36">
        <v>9168.7000000000007</v>
      </c>
      <c r="C30" s="37">
        <v>6.9000000000000006E-2</v>
      </c>
      <c r="D30" s="36">
        <v>23057.8</v>
      </c>
      <c r="E30" s="37">
        <v>9.1999999999999998E-2</v>
      </c>
    </row>
    <row r="31" spans="1:5" x14ac:dyDescent="0.35">
      <c r="A31" s="35" t="s">
        <v>163</v>
      </c>
      <c r="B31" s="36">
        <v>9236.4</v>
      </c>
      <c r="C31" s="37">
        <v>6.5000000000000002E-2</v>
      </c>
      <c r="D31" s="36">
        <v>23057.8</v>
      </c>
      <c r="E31" s="37">
        <v>9.6000000000000002E-2</v>
      </c>
    </row>
    <row r="32" spans="1:5" x14ac:dyDescent="0.35">
      <c r="A32" s="35" t="s">
        <v>164</v>
      </c>
      <c r="B32" s="36">
        <v>9318.4</v>
      </c>
      <c r="C32" s="37">
        <v>7.0000000000000007E-2</v>
      </c>
      <c r="D32" s="36">
        <v>23137.8</v>
      </c>
      <c r="E32" s="37">
        <v>9.1999999999999998E-2</v>
      </c>
    </row>
    <row r="33" spans="1:5" x14ac:dyDescent="0.35">
      <c r="A33" s="35" t="s">
        <v>165</v>
      </c>
      <c r="B33" s="36">
        <v>9621.5</v>
      </c>
      <c r="C33" s="37">
        <v>7.1999999999999995E-2</v>
      </c>
      <c r="D33" s="36">
        <v>23147.4</v>
      </c>
      <c r="E33" s="37">
        <v>8.7999999999999995E-2</v>
      </c>
    </row>
    <row r="34" spans="1:5" x14ac:dyDescent="0.35">
      <c r="A34" s="35" t="s">
        <v>166</v>
      </c>
      <c r="B34" s="36">
        <v>9791.5</v>
      </c>
      <c r="C34" s="37">
        <v>6.5000000000000002E-2</v>
      </c>
      <c r="D34" s="36">
        <v>23147.4</v>
      </c>
      <c r="E34" s="37">
        <v>0.109</v>
      </c>
    </row>
    <row r="35" spans="1:5" x14ac:dyDescent="0.35">
      <c r="A35" s="35" t="s">
        <v>167</v>
      </c>
      <c r="B35" s="36">
        <v>9943.1</v>
      </c>
      <c r="C35" s="37">
        <v>6.4000000000000001E-2</v>
      </c>
      <c r="D35" s="36">
        <v>23147.4</v>
      </c>
      <c r="E35" s="37">
        <v>0.13800000000000001</v>
      </c>
    </row>
    <row r="36" spans="1:5" x14ac:dyDescent="0.35">
      <c r="A36" s="35" t="s">
        <v>168</v>
      </c>
      <c r="B36" s="36">
        <v>10846.6</v>
      </c>
      <c r="C36" s="37">
        <v>6.5000000000000002E-2</v>
      </c>
      <c r="D36" s="36">
        <v>23147.4</v>
      </c>
      <c r="E36" s="37">
        <v>0.157</v>
      </c>
    </row>
    <row r="37" spans="1:5" x14ac:dyDescent="0.35">
      <c r="A37" s="35" t="s">
        <v>169</v>
      </c>
      <c r="B37" s="36">
        <v>12332.2</v>
      </c>
      <c r="C37" s="37">
        <v>6.4000000000000001E-2</v>
      </c>
      <c r="D37" s="36">
        <v>23147.4</v>
      </c>
      <c r="E37" s="37">
        <v>0.155</v>
      </c>
    </row>
    <row r="38" spans="1:5" x14ac:dyDescent="0.35">
      <c r="A38" s="35" t="s">
        <v>170</v>
      </c>
      <c r="B38" s="36">
        <v>12815.4</v>
      </c>
      <c r="C38" s="37">
        <v>6.3E-2</v>
      </c>
      <c r="D38" s="36">
        <v>23147.4</v>
      </c>
      <c r="E38" s="37">
        <v>0.13300000000000001</v>
      </c>
    </row>
    <row r="39" spans="1:5" x14ac:dyDescent="0.35">
      <c r="A39" s="35" t="s">
        <v>171</v>
      </c>
      <c r="B39" s="36">
        <v>13515.9</v>
      </c>
      <c r="C39" s="37">
        <v>7.0000000000000007E-2</v>
      </c>
      <c r="D39" s="36">
        <v>23147.4</v>
      </c>
      <c r="E39" s="37">
        <v>8.6999999999999994E-2</v>
      </c>
    </row>
    <row r="40" spans="1:5" x14ac:dyDescent="0.35">
      <c r="A40" s="35" t="s">
        <v>172</v>
      </c>
      <c r="B40" s="36">
        <v>13768.3</v>
      </c>
      <c r="C40" s="37">
        <v>6.7000000000000004E-2</v>
      </c>
      <c r="D40" s="36">
        <v>23147.4</v>
      </c>
      <c r="E40" s="37">
        <v>8.3000000000000004E-2</v>
      </c>
    </row>
    <row r="41" spans="1:5" x14ac:dyDescent="0.35">
      <c r="A41" s="35" t="s">
        <v>173</v>
      </c>
      <c r="B41" s="36">
        <v>14197.9</v>
      </c>
      <c r="C41" s="37">
        <v>6.3E-2</v>
      </c>
      <c r="D41" s="36">
        <v>23147.4</v>
      </c>
      <c r="E41" s="37">
        <v>0.08</v>
      </c>
    </row>
    <row r="42" spans="1:5" x14ac:dyDescent="0.35">
      <c r="A42" s="34" t="s">
        <v>175</v>
      </c>
      <c r="B42" s="34"/>
      <c r="C42" s="34"/>
      <c r="D42" s="34"/>
      <c r="E42" s="34"/>
    </row>
    <row r="43" spans="1:5" x14ac:dyDescent="0.35">
      <c r="A43" s="35" t="s">
        <v>162</v>
      </c>
      <c r="B43" s="36">
        <v>15989.6</v>
      </c>
      <c r="C43" s="37">
        <v>6.2E-2</v>
      </c>
      <c r="D43" s="36">
        <v>23118.6</v>
      </c>
      <c r="E43" s="37">
        <v>9.5000000000000001E-2</v>
      </c>
    </row>
    <row r="44" spans="1:5" x14ac:dyDescent="0.35">
      <c r="A44" s="35" t="s">
        <v>163</v>
      </c>
      <c r="B44" s="36">
        <v>16276.4</v>
      </c>
      <c r="C44" s="37">
        <v>7.2999999999999995E-2</v>
      </c>
      <c r="D44" s="36">
        <v>23118.6</v>
      </c>
      <c r="E44" s="37">
        <v>9.7000000000000003E-2</v>
      </c>
    </row>
    <row r="45" spans="1:5" x14ac:dyDescent="0.35">
      <c r="A45" s="35" t="s">
        <v>164</v>
      </c>
      <c r="B45" s="36">
        <v>16312.3</v>
      </c>
      <c r="C45" s="37">
        <v>7.9000000000000001E-2</v>
      </c>
      <c r="D45" s="36">
        <v>23198.6</v>
      </c>
      <c r="E45" s="37">
        <v>7.3999999999999996E-2</v>
      </c>
    </row>
    <row r="46" spans="1:5" x14ac:dyDescent="0.35">
      <c r="A46" s="35" t="s">
        <v>165</v>
      </c>
      <c r="B46" s="36">
        <v>17352.7</v>
      </c>
      <c r="C46" s="37">
        <v>8.4000000000000005E-2</v>
      </c>
      <c r="D46" s="36">
        <v>23198.6</v>
      </c>
      <c r="E46" s="37">
        <v>9.0999999999999998E-2</v>
      </c>
    </row>
    <row r="47" spans="1:5" x14ac:dyDescent="0.35">
      <c r="A47" s="35" t="s">
        <v>166</v>
      </c>
      <c r="B47" s="36">
        <v>18040.599999999999</v>
      </c>
      <c r="C47" s="37">
        <v>0.08</v>
      </c>
      <c r="D47" s="36">
        <v>23198.6</v>
      </c>
      <c r="E47" s="37">
        <v>0.125</v>
      </c>
    </row>
    <row r="48" spans="1:5" x14ac:dyDescent="0.35">
      <c r="A48" s="35" t="s">
        <v>167</v>
      </c>
      <c r="B48" s="36">
        <v>19187.2</v>
      </c>
      <c r="C48" s="37">
        <v>8.1000000000000003E-2</v>
      </c>
      <c r="D48" s="36">
        <v>23198.6</v>
      </c>
      <c r="E48" s="37">
        <v>0.156</v>
      </c>
    </row>
    <row r="49" spans="1:5" x14ac:dyDescent="0.35">
      <c r="A49" s="35" t="s">
        <v>168</v>
      </c>
      <c r="B49" s="36">
        <v>20434.900000000001</v>
      </c>
      <c r="C49" s="37">
        <v>8.7999999999999995E-2</v>
      </c>
      <c r="D49" s="36">
        <v>23198.6</v>
      </c>
      <c r="E49" s="37">
        <v>0.16800000000000001</v>
      </c>
    </row>
    <row r="50" spans="1:5" x14ac:dyDescent="0.35">
      <c r="A50" s="35" t="s">
        <v>169</v>
      </c>
      <c r="B50" s="36">
        <v>21174.1</v>
      </c>
      <c r="C50" s="37">
        <v>0.09</v>
      </c>
      <c r="D50" s="36">
        <v>23198.6</v>
      </c>
      <c r="E50" s="37">
        <v>0.16300000000000001</v>
      </c>
    </row>
    <row r="51" spans="1:5" x14ac:dyDescent="0.35">
      <c r="A51" s="35" t="s">
        <v>170</v>
      </c>
      <c r="B51" s="36">
        <v>22411.1</v>
      </c>
      <c r="C51" s="37">
        <v>8.3000000000000004E-2</v>
      </c>
      <c r="D51" s="36">
        <v>23198.6</v>
      </c>
      <c r="E51" s="37">
        <v>0.13</v>
      </c>
    </row>
    <row r="52" spans="1:5" x14ac:dyDescent="0.35">
      <c r="A52" s="35" t="s">
        <v>171</v>
      </c>
      <c r="B52" s="36">
        <v>23219.599999999999</v>
      </c>
      <c r="C52" s="37">
        <v>0.09</v>
      </c>
      <c r="D52" s="36">
        <v>23198.6</v>
      </c>
      <c r="E52" s="37">
        <v>8.3000000000000004E-2</v>
      </c>
    </row>
    <row r="53" spans="1:5" x14ac:dyDescent="0.35">
      <c r="A53" s="35" t="s">
        <v>172</v>
      </c>
      <c r="B53" s="36">
        <v>23981.5</v>
      </c>
      <c r="C53" s="37">
        <v>8.7999999999999995E-2</v>
      </c>
      <c r="D53" s="36">
        <v>23156.6</v>
      </c>
      <c r="E53" s="37">
        <v>8.6999999999999994E-2</v>
      </c>
    </row>
    <row r="54" spans="1:5" x14ac:dyDescent="0.35">
      <c r="A54" s="35" t="s">
        <v>173</v>
      </c>
      <c r="B54" s="36">
        <v>24826.7</v>
      </c>
      <c r="C54" s="37">
        <v>8.5999999999999993E-2</v>
      </c>
      <c r="D54" s="36">
        <v>23156.6</v>
      </c>
      <c r="E54" s="37">
        <v>9.4E-2</v>
      </c>
    </row>
    <row r="55" spans="1:5" ht="336" customHeight="1" x14ac:dyDescent="0.35">
      <c r="A55" s="38" t="s">
        <v>176</v>
      </c>
      <c r="B55" s="38"/>
      <c r="C55" s="38"/>
      <c r="D55" s="38"/>
      <c r="E55" s="38"/>
    </row>
  </sheetData>
  <mergeCells count="8">
    <mergeCell ref="A42:E42"/>
    <mergeCell ref="A55:E55"/>
    <mergeCell ref="A1:E1"/>
    <mergeCell ref="B2:C2"/>
    <mergeCell ref="D2:E2"/>
    <mergeCell ref="A4:E4"/>
    <mergeCell ref="A16:E16"/>
    <mergeCell ref="A29:E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B3"/>
  <sheetViews>
    <sheetView workbookViewId="0">
      <selection activeCell="B3" sqref="B3"/>
    </sheetView>
  </sheetViews>
  <sheetFormatPr defaultColWidth="9.08984375" defaultRowHeight="14.5" x14ac:dyDescent="0.35"/>
  <cols>
    <col min="1" max="1" width="11.36328125" customWidth="1"/>
    <col min="2" max="2" width="12.36328125" customWidth="1"/>
  </cols>
  <sheetData>
    <row r="1" spans="1:2" x14ac:dyDescent="0.35">
      <c r="A1" s="8" t="s">
        <v>119</v>
      </c>
      <c r="B1" t="s">
        <v>120</v>
      </c>
    </row>
    <row r="2" spans="1:2" x14ac:dyDescent="0.35">
      <c r="A2" t="s">
        <v>122</v>
      </c>
      <c r="B2">
        <f>'Table 4.08'!B14</f>
        <v>11225.7</v>
      </c>
    </row>
    <row r="3" spans="1:2" x14ac:dyDescent="0.35">
      <c r="B3" s="4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5C28-B52F-4DAC-B5FC-A0EDB4410349}">
  <sheetPr>
    <tabColor theme="3"/>
  </sheetPr>
  <dimension ref="A1:B2"/>
  <sheetViews>
    <sheetView workbookViewId="0">
      <selection activeCell="C23" sqref="C23"/>
    </sheetView>
  </sheetViews>
  <sheetFormatPr defaultRowHeight="14.5" x14ac:dyDescent="0.35"/>
  <cols>
    <col min="1" max="1" width="28.08984375" customWidth="1"/>
  </cols>
  <sheetData>
    <row r="1" spans="1:2" x14ac:dyDescent="0.35">
      <c r="A1" s="8" t="s">
        <v>146</v>
      </c>
      <c r="B1" s="24" t="s">
        <v>148</v>
      </c>
    </row>
    <row r="2" spans="1:2" ht="29" x14ac:dyDescent="0.35">
      <c r="A2" s="20" t="s">
        <v>147</v>
      </c>
      <c r="B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About</vt:lpstr>
      <vt:lpstr>AEO Table 9 (2019)</vt:lpstr>
      <vt:lpstr>Table 4.08</vt:lpstr>
      <vt:lpstr>SYGBSC</vt:lpstr>
      <vt:lpstr>GBDSD</vt:lpstr>
      <vt:lpstr>gigwatts_to_megawatts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2014-08-26T20:23:01Z</dcterms:created>
  <dcterms:modified xsi:type="dcterms:W3CDTF">2026-01-05T19:58:25Z</dcterms:modified>
</cp:coreProperties>
</file>