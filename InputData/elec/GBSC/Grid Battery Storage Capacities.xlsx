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United States\us-eps\InputData\elec\GBSC\"/>
    </mc:Choice>
  </mc:AlternateContent>
  <xr:revisionPtr revIDLastSave="0" documentId="13_ncr:1_{0F5D6DB8-BAB2-452E-A49C-5BF8EE55F01F}" xr6:coauthVersionLast="47" xr6:coauthVersionMax="47" xr10:uidLastSave="{00000000-0000-0000-0000-000000000000}"/>
  <bookViews>
    <workbookView xWindow="9570" yWindow="25" windowWidth="9705" windowHeight="9140" xr2:uid="{00000000-000D-0000-FFFF-FFFF00000000}"/>
  </bookViews>
  <sheets>
    <sheet name="About" sheetId="1" r:id="rId1"/>
    <sheet name="AEO Table 9 (2019)" sheetId="8" state="hidden" r:id="rId2"/>
    <sheet name="AEO 2025 Table 9" sheetId="18" r:id="rId3"/>
    <sheet name="SYGBSC" sheetId="9" r:id="rId4"/>
    <sheet name="GBDSD" sheetId="16" r:id="rId5"/>
  </sheets>
  <definedNames>
    <definedName name="gigwatts_to_megawatts">About!$A$28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9" l="1"/>
</calcChain>
</file>

<file path=xl/sharedStrings.xml><?xml version="1.0" encoding="utf-8"?>
<sst xmlns="http://schemas.openxmlformats.org/spreadsheetml/2006/main" count="640" uniqueCount="322">
  <si>
    <t>Source:</t>
  </si>
  <si>
    <t>Notes</t>
  </si>
  <si>
    <t>Report</t>
  </si>
  <si>
    <t>Scenario</t>
  </si>
  <si>
    <t>Reference case</t>
  </si>
  <si>
    <t>Datekey</t>
  </si>
  <si>
    <t>Release Date</t>
  </si>
  <si>
    <t>EGC000</t>
  </si>
  <si>
    <t>9. Electricity Generating Capacity</t>
  </si>
  <si>
    <t>(gigawatts)</t>
  </si>
  <si>
    <t/>
  </si>
  <si>
    <t xml:space="preserve"> Net Summer Capacity 1/</t>
  </si>
  <si>
    <t>Electric Power Sector 2/</t>
  </si>
  <si>
    <t xml:space="preserve">  Power Only 3/</t>
  </si>
  <si>
    <t>EGC000:ba_CoalSteam</t>
  </si>
  <si>
    <t xml:space="preserve">    Coal 4/</t>
  </si>
  <si>
    <t>EGC000:ba_OtherFossilSt</t>
  </si>
  <si>
    <t xml:space="preserve">    Oil and Natural Gas Steam 4, 5/</t>
  </si>
  <si>
    <t>EGC000:ba_CombinedCycle</t>
  </si>
  <si>
    <t xml:space="preserve">    Combined Cycle</t>
  </si>
  <si>
    <t>EGC000:ba_CombustionTur</t>
  </si>
  <si>
    <t xml:space="preserve">    Combustion Turbine/Diesel</t>
  </si>
  <si>
    <t>EGC000:ba_NuclearPower</t>
  </si>
  <si>
    <t xml:space="preserve">    Nuclear Power 6/</t>
  </si>
  <si>
    <t>EGC000:ba_PumpedStorage</t>
  </si>
  <si>
    <t xml:space="preserve">    Pumped Storage</t>
  </si>
  <si>
    <t>EGC000:ba_DiurnalStorag</t>
  </si>
  <si>
    <t xml:space="preserve">    Diurnal Storage</t>
  </si>
  <si>
    <t>EGC000:ba_FuelCells</t>
  </si>
  <si>
    <t xml:space="preserve">    Fuel Cells</t>
  </si>
  <si>
    <t>EGC000:ba_RenewableSour</t>
  </si>
  <si>
    <t xml:space="preserve">    Renewable Sources 7/</t>
  </si>
  <si>
    <t>EGC000:ba_DistributedGe</t>
  </si>
  <si>
    <t xml:space="preserve">    Distributed Generation (Natural Gas) 8/</t>
  </si>
  <si>
    <t>- -</t>
  </si>
  <si>
    <t>EGC000:ba_Total</t>
  </si>
  <si>
    <t xml:space="preserve">      Total</t>
  </si>
  <si>
    <t xml:space="preserve">  Combined Heat and Power 9/</t>
  </si>
  <si>
    <t>EGC000:ca_CoalSteam</t>
  </si>
  <si>
    <t xml:space="preserve">    Coal</t>
  </si>
  <si>
    <t>EGC000:ca_OtherFossilSt</t>
  </si>
  <si>
    <t xml:space="preserve">    Oil and Natural Gas Steam 5/</t>
  </si>
  <si>
    <t>EGC000:ca_CombinedCycle</t>
  </si>
  <si>
    <t>EGC000:ca_CombustionTur</t>
  </si>
  <si>
    <t>EGC000:ca_RenewableSour</t>
  </si>
  <si>
    <t>EGC000:ca_Total</t>
  </si>
  <si>
    <t xml:space="preserve">  Cumulative Planned Additions 10/</t>
  </si>
  <si>
    <t>EGC000:da_CoalSteam</t>
  </si>
  <si>
    <t>EGC000:da_OtherFossilSt</t>
  </si>
  <si>
    <t>EGC000:da_CombinedCycle</t>
  </si>
  <si>
    <t>EGC000:da_CombustionTur</t>
  </si>
  <si>
    <t>EGC000:da_NuclearPower</t>
  </si>
  <si>
    <t xml:space="preserve">    Nuclear Power</t>
  </si>
  <si>
    <t>EGC000:da_PumpedStorage</t>
  </si>
  <si>
    <t>EGC000:da_DiurnalStorag</t>
  </si>
  <si>
    <t>EGC000:da_FuelCells</t>
  </si>
  <si>
    <t>EGC000:da_RenewableSour</t>
  </si>
  <si>
    <t>EGC000:da_DistributedGe</t>
  </si>
  <si>
    <t xml:space="preserve">    Distributed Generation 8/</t>
  </si>
  <si>
    <t>EGC000:da_Total</t>
  </si>
  <si>
    <t xml:space="preserve">  Cumulative Unplanned Additions 10/</t>
  </si>
  <si>
    <t>EGC000:ea_CoalSteam</t>
  </si>
  <si>
    <t>EGC000:ea_OtherFossilSt</t>
  </si>
  <si>
    <t>EGC000:ea_CombinedCycle</t>
  </si>
  <si>
    <t>EGC000:ea_CombustionTur</t>
  </si>
  <si>
    <t>EGC000:ea_NuclearPower</t>
  </si>
  <si>
    <t>EGC000:ea_PumpedStorage</t>
  </si>
  <si>
    <t>EGC000:ea_DiurnalStorag</t>
  </si>
  <si>
    <t>EGC000:ea_FuelCells</t>
  </si>
  <si>
    <t>EGC000:ea_RenewableSour</t>
  </si>
  <si>
    <t>EGC000:ea_DistributedGe</t>
  </si>
  <si>
    <t>EGC000:ea_Total</t>
  </si>
  <si>
    <t>EGC000:ea_CumulativeEle</t>
  </si>
  <si>
    <t xml:space="preserve">  Cumulative Retirements 11/</t>
  </si>
  <si>
    <t>EGC000:fa_CoalSteam</t>
  </si>
  <si>
    <t>EGC000:fa_OtherFossilSt</t>
  </si>
  <si>
    <t>EGC000:fa_CombinedCycle</t>
  </si>
  <si>
    <t>EGC000:fa_CombustionTur</t>
  </si>
  <si>
    <t>EGC000:fa_NuclearPower</t>
  </si>
  <si>
    <t>EGC000:fa_PumpedStorage</t>
  </si>
  <si>
    <t>EGC000:fa_DiurnalStorag</t>
  </si>
  <si>
    <t>EGC000:fa_FuelCells</t>
  </si>
  <si>
    <t>EGC000:fa_RenewableSour</t>
  </si>
  <si>
    <t>EGC000:fa_Total</t>
  </si>
  <si>
    <t>EGC000:ga_TotalElectric</t>
  </si>
  <si>
    <t>Total Electric Power Sector Capacity</t>
  </si>
  <si>
    <t>End-Use Generators 12/</t>
  </si>
  <si>
    <t>EGC000:ha_Coal</t>
  </si>
  <si>
    <t>EGC000:ha_Petroleum</t>
  </si>
  <si>
    <t xml:space="preserve">    Petroleum</t>
  </si>
  <si>
    <t>EGC000:ha_NaturalGas</t>
  </si>
  <si>
    <t xml:space="preserve">    Natural Gas</t>
  </si>
  <si>
    <t>EGC000:ha_OtherGaseousF</t>
  </si>
  <si>
    <t xml:space="preserve">    Other Gaseous Fuels 13/</t>
  </si>
  <si>
    <t>EGC000:ha_RenewableSour</t>
  </si>
  <si>
    <t>EGC000:ha_Other</t>
  </si>
  <si>
    <t xml:space="preserve">    Other 14/</t>
  </si>
  <si>
    <t>EGC000:ha_Total</t>
  </si>
  <si>
    <t>EGC000:ia_CumulativeCap</t>
  </si>
  <si>
    <t xml:space="preserve">  Cumulative Capacity Additions 10/</t>
  </si>
  <si>
    <t xml:space="preserve">   1/ Net summer capacity is the steady hourly output that generating equipment is expected to supply to</t>
  </si>
  <si>
    <t>system load (exclusive of auxiliary power), as demonstrated by tests during summer peak demand.</t>
  </si>
  <si>
    <t xml:space="preserve">   2/ Includes electricity-only and combined heat and power plants that have a regulatory status.</t>
  </si>
  <si>
    <t xml:space="preserve">   3/ Includes plants that only produce electricity and that have a regulatory status.  Includes capacity increases (uprates) at existing units.</t>
  </si>
  <si>
    <t xml:space="preserve">   4/ Total coal and oil and natural gas steam capacity account for the conversion of coal capacity to gas steam capacity, but the conversions</t>
  </si>
  <si>
    <t xml:space="preserve">   5/ Includes oil-, gas-, and dual-fired capacity.</t>
  </si>
  <si>
    <t xml:space="preserve">   7/ Includes conventional hydroelectric, geothermal, wood, wood waste, all municipal waste, landfill gas,</t>
  </si>
  <si>
    <t>other biomass, solar, and wind power.  Facilities co-firing biomass and coal are classified as coal.</t>
  </si>
  <si>
    <t xml:space="preserve">   8/ Primarily peak-load capacity fueled by natural gas.</t>
  </si>
  <si>
    <t xml:space="preserve">   9/ Includes combined heat and power plants whose primary business is to sell electricity and heat to the public</t>
  </si>
  <si>
    <t>(i.e., those that report North American Industry Classification System code 22 or that have a regulatory status).</t>
  </si>
  <si>
    <t xml:space="preserve">   12/ Includes combined heat and power plants and electricity-only plants in the commercial and industrial sectors that have a non-regulatory</t>
  </si>
  <si>
    <t>status; and small on-site generating systems in the residential, commercial, and industrial sectors used primarily for own-use generation,</t>
  </si>
  <si>
    <t>but which may also sell some power to the grid.</t>
  </si>
  <si>
    <t xml:space="preserve">   13/ Includes refinery gas and still gas.</t>
  </si>
  <si>
    <t xml:space="preserve">   14/ Includes batteries, chemicals, hydrogen, pitch, purchased steam, sulfur, and miscellaneous technologies.</t>
  </si>
  <si>
    <t xml:space="preserve">   - - = Not applicable.</t>
  </si>
  <si>
    <t>are not included explicitly as additions or retirements.  No planned conversions are assumed.  The totals reflect any conversions projected by</t>
  </si>
  <si>
    <t>the model.</t>
  </si>
  <si>
    <t>We assume BAU diurnal storage is all battery storage</t>
  </si>
  <si>
    <t>gigawatts to megawatts</t>
  </si>
  <si>
    <t>Unit: MW</t>
  </si>
  <si>
    <t>Battery Storage Capacity</t>
  </si>
  <si>
    <t>Unit Conversion</t>
  </si>
  <si>
    <t>Start Year</t>
  </si>
  <si>
    <t>ref2019.d111618a</t>
  </si>
  <si>
    <t>Annual Energy Outlook 2019</t>
  </si>
  <si>
    <t>ref2019</t>
  </si>
  <si>
    <t>d111618a</t>
  </si>
  <si>
    <t xml:space="preserve"> January 2019</t>
  </si>
  <si>
    <t>2018-</t>
  </si>
  <si>
    <t xml:space="preserve">  Cumulative Electric Power Sector Additions 10/</t>
  </si>
  <si>
    <t xml:space="preserve">   6/ Nuclear capacity includes 3.0 gigawatts of uprates.</t>
  </si>
  <si>
    <t xml:space="preserve">   10/ Cumulative additions after December 31, 2018.</t>
  </si>
  <si>
    <t xml:space="preserve">   11/ Cumulative retirements after December 31, 2018.</t>
  </si>
  <si>
    <t xml:space="preserve">   Note:  Totals may not equal sum of components due to independent rounding.  Data for 2017</t>
  </si>
  <si>
    <t>are model results and may differ from official EIA data reports.</t>
  </si>
  <si>
    <t xml:space="preserve">   Sources:  2017 capacity and projected planned additions:  U.S. Energy Information Administration (EIA),</t>
  </si>
  <si>
    <t>Form EIA-860, "Annual Electric Generator Report" (preliminary).</t>
  </si>
  <si>
    <t>2018:  EIA, Short-Term Energy Outlook, October 2018 and EIA, AEO2019 National Energy Modeling System run ref2019.d111618a.</t>
  </si>
  <si>
    <t>Projections:  EIA, AEO2019 National Energy Modeling System run ref2019.d111618a.</t>
  </si>
  <si>
    <t>The "Start Year" is the year prior to the first simulated year.</t>
  </si>
  <si>
    <t>Grid Battery Daily Storage Duration specifies the number of hours the batteries are capable of charging</t>
  </si>
  <si>
    <t>and discharging each day, i.e., converting MW of battery capacity to MWh of energy stored and released</t>
  </si>
  <si>
    <t>by the batteries daily.</t>
  </si>
  <si>
    <t>In the U.S. model, we assume the grid batteries are 4-hour batteries (i.e. they charge in the cheapest</t>
  </si>
  <si>
    <t>four hours per day and discharge in the most expensive four hours per day).</t>
  </si>
  <si>
    <t>You can alter this assumption by specifying a different number of hours in this input data file.</t>
  </si>
  <si>
    <t>Unit: hours</t>
  </si>
  <si>
    <t>hours per day battery may charge and discharge</t>
  </si>
  <si>
    <t>hours</t>
  </si>
  <si>
    <t>BGSC Grid Battery Daily Storage Duration (GBDSD)</t>
  </si>
  <si>
    <t>The value must be an integer, not a fractional number of hours (i.e. 3 or 4 is okay, but 3.5 is not).</t>
  </si>
  <si>
    <t>GBSC Diurnal Grid Battery Daily Storage Duration</t>
  </si>
  <si>
    <t>GBSC Start Year Total Grid Battery Storage Capacity</t>
  </si>
  <si>
    <t>Start Year Total Battery Storage Capacity</t>
  </si>
  <si>
    <t>GW</t>
  </si>
  <si>
    <t>AEO.2025.HIGHZTC.CAP_NA_ELEP_NA_CUC_NA_USA_GW.A</t>
  </si>
  <si>
    <t>Electricity Capacity: End-Use Generators: Cumulative Capacity Additions: High Zero-Carbon Technology Cost</t>
  </si>
  <si>
    <t>Cumulative Capacity Additions</t>
  </si>
  <si>
    <t>AEO.2025.HIGHZTC.CAP_NA_ELEP_EUG_TOT_NA_USA_GW.A</t>
  </si>
  <si>
    <t>Electricity Capacity: End-Use Generators: Total: High Zero-Carbon Technology Cost</t>
  </si>
  <si>
    <t>Total</t>
  </si>
  <si>
    <t>AEO.2025.HIGHZTC.CAP_NA_ELEP_EUG_OTH_NA_USA_GW.A</t>
  </si>
  <si>
    <t>Electricity Capacity: End-Use Generators: Other: High Zero-Carbon Technology Cost</t>
  </si>
  <si>
    <t>Other</t>
  </si>
  <si>
    <t>AEO.2025.HIGHZTC.CAP_NA_ELEP_EUG_RNWBSRC_NA_USA_GW.A</t>
  </si>
  <si>
    <t>Electricity Capacity: End-Use Generators: Renewable Sources: High Zero-Carbon Technology Cost</t>
  </si>
  <si>
    <t>Renewable Sources</t>
  </si>
  <si>
    <t>AEO.2025.HIGHZTC.CAP_NA_ELEP_EUG_OGF_NA_USA_GW.A</t>
  </si>
  <si>
    <t>Electricity Capacity: End-Use Generators: Other Gaseous Fuels: High Zero-Carbon Technology Cost</t>
  </si>
  <si>
    <t>Other Gaseous Fuels</t>
  </si>
  <si>
    <t>AEO.2025.HIGHZTC.CAP_NA_ELEP_EUG_NG_NA_USA_GW.A</t>
  </si>
  <si>
    <t>Electricity Capacity: End-Use Generators: Natural Gas: High Zero-Carbon Technology Cost</t>
  </si>
  <si>
    <t>Natural Gas</t>
  </si>
  <si>
    <t>AEO.2025.HIGHZTC.CAP_NA_ELEP_EUG_PET_NA_USA_GW.A</t>
  </si>
  <si>
    <t>Electricity Capacity: End-Use Generators: Petroleum: High Zero-Carbon Technology Cost</t>
  </si>
  <si>
    <t>Petroleum</t>
  </si>
  <si>
    <t>AEO.2025.HIGHZTC.CAP_NA_ELEP_EUG_CL_NA_USA_GW.A</t>
  </si>
  <si>
    <t>Electricity Capacity: End-Use Generators: Coal: High Zero-Carbon Technology Cost</t>
  </si>
  <si>
    <t>Coal</t>
  </si>
  <si>
    <t>End-Use Generators</t>
  </si>
  <si>
    <t>AEO.2025.HIGHZTC.CAP_NA_ELEP_NA_TEP_NA_USA_GW.A</t>
  </si>
  <si>
    <t>Electricity Capacity: Total Electric Power Sector Capacity: High Zero-Carbon Technology Cost</t>
  </si>
  <si>
    <t>AEO.2025.HIGHZTC.CAP_NA_ELEP_CRE_TOT_NA_USA_GW.A</t>
  </si>
  <si>
    <t>Electricity Capacity: Cumulative Retirements: Total: High Zero-Carbon Technology Cost</t>
  </si>
  <si>
    <t>AEO.2025.HIGHZTC.CAP_NA_ELEP_CRE_RNWBSRC_NA_USA_GW.A</t>
  </si>
  <si>
    <t>Electricity Capacity: Cumulative Retirements: Renewable Sources: High Zero-Carbon Technology Cost</t>
  </si>
  <si>
    <t>AEO.2025.HIGHZTC.CAP_NA_ELEP_CRE_FCL_NA_USA_GW.A</t>
  </si>
  <si>
    <t>Electricity Capacity: Cumulative Retirements: Fuel Cells: High Zero-Carbon Technology Cost</t>
  </si>
  <si>
    <t>Fuel Cells</t>
  </si>
  <si>
    <t>AEO.2025.HIGHZTC.CAP_NA_ELEP_CRE_HDG_NA_USA_GW.A</t>
  </si>
  <si>
    <t>Electricity Capacity: Cumulative Retirements: Hydrogen: High Zero-Carbon Technology Cost</t>
  </si>
  <si>
    <t>Hydrogen</t>
  </si>
  <si>
    <t>AEO.2025.HIGHZTC.CAP_NA_ELEP_CRE_DIURN_NA_USA_GW.A</t>
  </si>
  <si>
    <t>Electricity Capacity: Cumulative Retirements: Diurnal Storage: High Zero-Carbon Technology Cost</t>
  </si>
  <si>
    <t>Diurnal Storage</t>
  </si>
  <si>
    <t>AEO.2025.HIGHZTC.CAP_NA_ELEP_CRE_PPS_NA_USA_GW.A</t>
  </si>
  <si>
    <t>Electricity Capacity: Cumulative Retirements: Pumped Storage: High Zero-Carbon Technology Cost</t>
  </si>
  <si>
    <t>Pumped Storage</t>
  </si>
  <si>
    <t>AEO.2025.HIGHZTC.CAP_NA_ELEP_CRE_NUP_NA_USA_GW.A</t>
  </si>
  <si>
    <t>Electricity Capacity: Cumulative Retirements: Nuclear: High Zero-Carbon Technology Cost</t>
  </si>
  <si>
    <t>Nuclear Power</t>
  </si>
  <si>
    <t>AEO.2025.HIGHZTC.CAP_NA_ELEP_CRE_CTD_NA_USA_GW.A</t>
  </si>
  <si>
    <t>Electricity Capacity: Cumulative Retirements: Combustion Turbine/Diesel: High Zero-Carbon Technology Cost</t>
  </si>
  <si>
    <t>Combustion Turbine/Diesel</t>
  </si>
  <si>
    <t>AEO.2025.HIGHZTC.CAP_NA_ELEP_CRE_CMC_NA_USA_GW.A</t>
  </si>
  <si>
    <t>Electricity Capacity: Cumulative Retirements: Combined Cycle: High Zero-Carbon Technology Cost</t>
  </si>
  <si>
    <t>Combined Cycle</t>
  </si>
  <si>
    <t>AEO.2025.HIGHZTC.CAP_NA_ELEP_CRE_ONG_NA_USA_GW.A</t>
  </si>
  <si>
    <t>Electricity Capacity: Cumulative Retirements: Fossil Steam: High Zero-Carbon Technology Cost</t>
  </si>
  <si>
    <t>Fossil Steam</t>
  </si>
  <si>
    <t>AEO.2025.HIGHZTC.CAP_NA_ELEP_CRE_CL_NA_USA_GW.A</t>
  </si>
  <si>
    <t>Electricity Capacity: Cumulative Retirements: Coal: High Zero-Carbon Technology Cost</t>
  </si>
  <si>
    <t>Cumulative Retirements</t>
  </si>
  <si>
    <t>AEO.2025.HIGHZTC.CAP_NA_ELEP_CUNA_CEP_NA_USA_GW.A</t>
  </si>
  <si>
    <t>Electricity Capacity: Cumulative Electric Power Sector Additions: High Zero-Carbon Technology Cost</t>
  </si>
  <si>
    <t>Cumulative Electric Power Sector Additions</t>
  </si>
  <si>
    <t>AEO.2025.HIGHZTC.CAP_NA_ELEP_CUNA_TOT_NA_USA_GW.A</t>
  </si>
  <si>
    <t>Electricity Capacity: Cumulative Unplanned Additions: Total: High Zero-Carbon Technology Cost</t>
  </si>
  <si>
    <t>AEO.2025.HIGHZTC.CAP_NA_ELEP_CUNA_DISTGEN_NA_USA_GW.A</t>
  </si>
  <si>
    <t>Electricity Capacity: Cumulative Unplanned Additions: Distributed Generation: High Zero-Carbon Technology Cost</t>
  </si>
  <si>
    <t>Distributed Generation</t>
  </si>
  <si>
    <t>AEO.2025.HIGHZTC.CAP_NA_ELEP_CUNA_RNWBSRC_NA_USA_GW.A</t>
  </si>
  <si>
    <t>Electricity Capacity: Cumulative Unplanned Additions: Renewable Sources: High Zero-Carbon Technology Cost</t>
  </si>
  <si>
    <t>AEO.2025.HIGHZTC.CAP_NA_ELEP_CUNA_FCL_NA_USA_GW.A</t>
  </si>
  <si>
    <t>Electricity Capacity: Cumulative Unplanned Additions: Fuel Cells: High Zero-Carbon Technology Cost</t>
  </si>
  <si>
    <t>AEO.2025.HIGHZTC.CAP_NA_ELEP_CUNA_HDG_NA_USA_GW.A</t>
  </si>
  <si>
    <t>Electricity Capacity: Cumulative Unplanned Additions: Hydrogen: High Zero-Carbon Technology Cost</t>
  </si>
  <si>
    <t>AEO.2025.HIGHZTC.CAP_NA_ELEP_CUNA_DIURN_NA_USA_GW.A</t>
  </si>
  <si>
    <t>Electricity Capacity: Cumulative Unplanned Additions: Diurnal Storage: High Zero-Carbon Technology Cost</t>
  </si>
  <si>
    <t>AEO.2025.HIGHZTC.CAP_NA_ELEP_CUNA_PPS_NA_USA_GW.A</t>
  </si>
  <si>
    <t>Electricity Capacity: Cumulative Unplanned Additions: Pumped Storage: High Zero-Carbon Technology Cost</t>
  </si>
  <si>
    <t>AEO.2025.HIGHZTC.CAP_NA_ELEP_CUNA_NUP_NA_USA_GW.A</t>
  </si>
  <si>
    <t>Electricity Capacity: Cumulative Unplanned Additions: Nuclear: High Zero-Carbon Technology Cost</t>
  </si>
  <si>
    <t>AEO.2025.HIGHZTC.CAP_NA_ELEP_CUNA_CTD_NA_USA_GW.A</t>
  </si>
  <si>
    <t>Electricity Capacity: Cumulative Unplanned Additions: Combustion Turbine/Diesel: High Zero-Carbon Technology Cost</t>
  </si>
  <si>
    <t>AEO.2025.HIGHZTC.CAP_NA_ELEP_CUNA_CMC_NA_USA_GW.A</t>
  </si>
  <si>
    <t>Electricity Capacity: Cumulative Unplanned Additions: Combined Cycle: High Zero-Carbon Technology Cost</t>
  </si>
  <si>
    <t>AEO.2025.HIGHZTC.CAP_NA_ELEP_CUNA_ONG_NA_USA_GW.A</t>
  </si>
  <si>
    <t>Electricity Capacity: Cumulative Unplanned Additions: Fossil Steam: High Zero-Carbon Technology Cost</t>
  </si>
  <si>
    <t>AEO.2025.HIGHZTC.CAP_NA_ELEP_CUNA_CL_NA_USA_GW.A</t>
  </si>
  <si>
    <t>Electricity Capacity: Cumulative Unplanned Additions: Coal: High Zero-Carbon Technology Cost</t>
  </si>
  <si>
    <t>Cumulative Unplanned Additions</t>
  </si>
  <si>
    <t>AEO.2025.HIGHZTC.CAP_NA_ELEP_CPA_TOT_NA_USA_GW.A</t>
  </si>
  <si>
    <t>Electricity Capacity: Cumulative Planned Additions: Total: High Zero-Carbon Technology Cost</t>
  </si>
  <si>
    <t>AEO.2025.HIGHZTC.CAP_NA_ELEP_CPA_DISTGEN_NA_USA_GW.A</t>
  </si>
  <si>
    <t>Electricity Capacity: Cumulative Planned Additions: Distributed Generation: High Zero-Carbon Technology Cost</t>
  </si>
  <si>
    <t>AEO.2025.HIGHZTC.CAP_NA_ELEP_CPA_RNWBSRC_NA_USA_GW.A</t>
  </si>
  <si>
    <t>Electricity Capacity: Cumulative Planned Additions: Renewable Sources: High Zero-Carbon Technology Cost</t>
  </si>
  <si>
    <t>AEO.2025.HIGHZTC.CAP_NA_ELEP_CPA_HDG_NA_USA_GW.A</t>
  </si>
  <si>
    <t>Electricity Capacity: Cumulative Planned Additions: Hydrogen: High Zero-Carbon Technology Cost</t>
  </si>
  <si>
    <t>AEO.2025.HIGHZTC.CAP_NA_ELEP_CPA_FCL_NA_USA_GW.A</t>
  </si>
  <si>
    <t>Electricity Capacity: Cumulative Planned Additions: Fuel Cells: High Zero-Carbon Technology Cost</t>
  </si>
  <si>
    <t>AEO.2025.HIGHZTC.CAP_NA_ELEP_CPA_DIURN_NA_USA_GW.A</t>
  </si>
  <si>
    <t>Electricity Capacity: Cumulative Planned Additions: Diurnal Storage: High Zero-Carbon Technology Cost</t>
  </si>
  <si>
    <t>AEO.2025.HIGHZTC.CAP_NA_ELEP_CPA_PPS_NA_USA_GW.A</t>
  </si>
  <si>
    <t>Electricity Capacity: Cumulative Planned Additions: Pumped Storage: High Zero-Carbon Technology Cost</t>
  </si>
  <si>
    <t>AEO.2025.HIGHZTC.CAP_NA_ELEP_CPA_NUP_NA_USA_GW.A</t>
  </si>
  <si>
    <t>Electricity Capacity: Cumulative Planned Additions: Nuclear: High Zero-Carbon Technology Cost</t>
  </si>
  <si>
    <t>AEO.2025.HIGHZTC.CAP_NA_ELEP_CPA_CTD_NA_USA_GW.A</t>
  </si>
  <si>
    <t>Electricity Capacity: Cumulative Planned Additions: Combustion Turbine/Diesel: High Zero-Carbon Technology Cost</t>
  </si>
  <si>
    <t>AEO.2025.HIGHZTC.CAP_NA_ELEP_CPA_CMC_NA_USA_GW.A</t>
  </si>
  <si>
    <t>Electricity Capacity: Cumulative Planned Additions: Combined Cycle: High Zero-Carbon Technology Cost</t>
  </si>
  <si>
    <t>AEO.2025.HIGHZTC.CAP_NA_ELEP_CPA_ONG_NA_USA_GW.A</t>
  </si>
  <si>
    <t>Electricity Capacity: Cumulative Planned Additions: Fossil Steam: High Zero-Carbon Technology Cost</t>
  </si>
  <si>
    <t>AEO.2025.HIGHZTC.CAP_NA_ELEP_CPA_CL_NA_USA_GW.A</t>
  </si>
  <si>
    <t>Electricity Capacity: Cumulative Planned Additions: Coal: High Zero-Carbon Technology Cost</t>
  </si>
  <si>
    <t>Cumulative Planned Additions</t>
  </si>
  <si>
    <t>AEO.2025.HIGHZTC.CAP_NA_ELEP_CHP_TOT_NA_USA_GW.A</t>
  </si>
  <si>
    <t>Electricity Capacity: Electric Power Sector: Combined Heat and Power: Total: High Zero-Carbon Technology Cost</t>
  </si>
  <si>
    <t>AEO.2025.HIGHZTC.CAP_NA_ELEP_CHP_RNWBSRC_NA_USA_GW.A</t>
  </si>
  <si>
    <t>Electricity Capacity: Electric Power Sector: Combined Heat and Power: Renewable Sources: High Zero-Carbon Technology Cost</t>
  </si>
  <si>
    <t>AEO.2025.HIGHZTC.CAP_NA_ELEP_CHP_CTD_NA_USA_GW.A</t>
  </si>
  <si>
    <t>Electricity Capacity: Electric Power Sector: Combined Heat and Power: Combustion Turbine/Diesel: High Zero-Carbon Technology Cost</t>
  </si>
  <si>
    <t>AEO.2025.HIGHZTC.CAP_NA_ELEP_CHP_CMC_NA_USA_GW.A</t>
  </si>
  <si>
    <t>Electricity Capacity: Electric Power Sector: Combined Heat and Power: Combined Cycle: High Zero-Carbon Technology Cost</t>
  </si>
  <si>
    <t>AEO.2025.HIGHZTC.CAP_NA_ELEP_CHP_ONG_NA_USA_GW.A</t>
  </si>
  <si>
    <t>Electricity Capacity: Electric Power Sector: Combined Heat and Power: Fossil Steam: High Zero-Carbon Technology Cost</t>
  </si>
  <si>
    <t>AEO.2025.HIGHZTC.CAP_NA_ELEP_CHP_CL_NA_USA_GW.A</t>
  </si>
  <si>
    <t>Electricity Capacity: Electric Power Sector: Combined Heat and Power: Coal: High Zero-Carbon Technology Cost</t>
  </si>
  <si>
    <t>Combined Heat and Power</t>
  </si>
  <si>
    <t>AEO.2025.HIGHZTC.CAP_NA_ELEP_POW_TOT_NA_USA_GW.A</t>
  </si>
  <si>
    <t>Electricity Capacity: Electric Power Sector: Power Only: Total: High Zero-Carbon Technology Cost</t>
  </si>
  <si>
    <t>AEO.2025.HIGHZTC.CAP_NA_ELEP_POW_DISTGEN_NA_USA_GW.A</t>
  </si>
  <si>
    <t>Electricity Capacity: Electric Power Sector: Power Only: Distributed Generation: High Zero-Carbon Technology Cost</t>
  </si>
  <si>
    <t>Distributed Generation (Natural Gas)</t>
  </si>
  <si>
    <t>AEO.2025.HIGHZTC.CAP_NA_ELEP_POW_RNWBSRC_NA_USA_GW.A</t>
  </si>
  <si>
    <t>Electricity Capacity: Electric Power Sector: Power Only: Renewable Sources: High Zero-Carbon Technology Cost</t>
  </si>
  <si>
    <t>AEO.2025.HIGHZTC.CAP_NA_ELEP_POW_FCL_NA_USA_GW.A</t>
  </si>
  <si>
    <t>Electricity Capacity: Electric Power Sector: Power Only: Fuel Cells: High Zero-Carbon Technology Cost</t>
  </si>
  <si>
    <t>AEO.2025.HIGHZTC.CAP_NA_ELEP_POW_HDG_NA_USA_GW.A</t>
  </si>
  <si>
    <t>Electricity Capacity: Electric Power Sector: Power Only: Hydrogen: High Zero-Carbon Technology Cost</t>
  </si>
  <si>
    <t>AEO.2025.HIGHZTC.CAP_NA_ELEP_POW_DIURN_NA_USA_GW.A</t>
  </si>
  <si>
    <t>Electricity Capacity: Electric Power Sector: Power Only: Diurnal Storage: High Zero-Carbon Technology Cost</t>
  </si>
  <si>
    <t>AEO.2025.HIGHZTC.CAP_NA_ELEP_POW_PPS_NA_USA_GW.A</t>
  </si>
  <si>
    <t>Electricity Capacity: Electric Power Sector: Power Only: Pumped Storage: High Zero-Carbon Technology Cost</t>
  </si>
  <si>
    <t>AEO.2025.HIGHZTC.CAP_NA_ELEP_POW_NUP_NA_USA_GW.A</t>
  </si>
  <si>
    <t>Electricity Capacity: Electric Power Sector: Power Only: Nuclear: High Zero-Carbon Technology Cost</t>
  </si>
  <si>
    <t>AEO.2025.HIGHZTC.CAP_NA_ELEP_POW_CTD_NA_USA_GW.A</t>
  </si>
  <si>
    <t>Electricity Capacity: Electric Power Sector: Power Only: Combustion Turbine/Diesel: High Zero-Carbon Technology Cost</t>
  </si>
  <si>
    <t>AEO.2025.HIGHZTC.CAP_NA_ELEP_POW_CMC_NA_USA_GW.A</t>
  </si>
  <si>
    <t>Electricity Capacity: Electric Power Sector: Power Only: Combined Cycle: High Zero-Carbon Technology Cost</t>
  </si>
  <si>
    <t>AEO.2025.HIGHZTC.CAP_NA_ELEP_POW_ONG_NA_USA_GW.A</t>
  </si>
  <si>
    <t>Electricity Capacity: Electric Power Sector: Power Only: Fossil Steam: High Zero-Carbon Technology Cost</t>
  </si>
  <si>
    <t>AEO.2025.HIGHZTC.CAP_NA_ELEP_POW_CL_NA_USA_GW.A</t>
  </si>
  <si>
    <t>Electricity Capacity: Electric Power Sector: Power Only: Coal: High Zero-Carbon Technology Cost</t>
  </si>
  <si>
    <t>Power Only</t>
  </si>
  <si>
    <t>Electric Power Sector</t>
  </si>
  <si>
    <t>Growth (2024-2050)</t>
  </si>
  <si>
    <t>units</t>
  </si>
  <si>
    <t>api key</t>
  </si>
  <si>
    <t>full name</t>
  </si>
  <si>
    <t>Source: U.S. Energy Information Administration</t>
  </si>
  <si>
    <t>Tue Dec 02 2025 13:19:18 GMT-0800 (Pacific Standard Time)</t>
  </si>
  <si>
    <t>https://www.eia.gov/outlooks/aeo/data/browser/#/?id=9-AEO2025&amp;cases=highZTC&amp;sourcekey=0</t>
  </si>
  <si>
    <t>Table 9.  Electricity Generating Capacity</t>
  </si>
  <si>
    <t>Annual Energy Outlook 2025</t>
  </si>
  <si>
    <t>U.S. Energy Information Administration</t>
  </si>
  <si>
    <t>Scenario: High zero-carbon technology cost</t>
  </si>
  <si>
    <t>Table 9</t>
  </si>
  <si>
    <t>https://www.eia.gov/outlooks/aeo/tables_side_xls.php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</si>
</sst>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[$€-2]* #,##0.00_);_([$€-2]* \(#,##0.00\);_([$€-2]* &quot;-&quot;??_)"/>
    <numFmt numFmtId="165" formatCode="#,##0.0"/>
    <numFmt numFmtId="166" formatCode="0.0%"/>
  </numFmts>
  <fonts count="2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6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62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sz val="10"/>
      <color indexed="8"/>
      <name val="Arial"/>
      <family val="2"/>
    </font>
    <font>
      <sz val="8"/>
      <name val="Arial"/>
      <family val="2"/>
    </font>
    <font>
      <b/>
      <sz val="12"/>
      <color indexed="30"/>
      <name val="Calibri"/>
      <family val="2"/>
    </font>
    <font>
      <sz val="9"/>
      <name val="Calibri"/>
      <family val="2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indexed="9"/>
      </patternFill>
    </fill>
    <fill>
      <patternFill patternType="solid">
        <fgColor indexed="47"/>
      </patternFill>
    </fill>
    <fill>
      <patternFill patternType="solid">
        <fgColor indexed="43"/>
      </patternFill>
    </fill>
    <fill>
      <patternFill patternType="solid">
        <fgColor indexed="41"/>
      </patternFill>
    </fill>
    <fill>
      <patternFill patternType="solid">
        <fgColor indexed="22"/>
      </patternFill>
    </fill>
    <fill>
      <patternFill patternType="solid">
        <fgColor indexed="25"/>
      </patternFill>
    </fill>
    <fill>
      <patternFill patternType="solid">
        <fgColor indexed="34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27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34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34"/>
      </top>
      <bottom style="double">
        <color indexed="34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74">
    <xf numFmtId="0" fontId="0" fillId="0" borderId="0"/>
    <xf numFmtId="0" fontId="2" fillId="0" borderId="0"/>
    <xf numFmtId="0" fontId="3" fillId="3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3" borderId="0" applyNumberFormat="0" applyBorder="0" applyAlignment="0" applyProtection="0"/>
    <xf numFmtId="0" fontId="3" fillId="6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5" fillId="14" borderId="0" applyNumberFormat="0" applyBorder="0" applyAlignment="0" applyProtection="0"/>
    <xf numFmtId="0" fontId="6" fillId="3" borderId="1" applyNumberFormat="0" applyAlignment="0" applyProtection="0"/>
    <xf numFmtId="0" fontId="7" fillId="15" borderId="2" applyNumberFormat="0" applyAlignment="0" applyProtection="0"/>
    <xf numFmtId="164" fontId="2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9" fillId="16" borderId="0" applyNumberFormat="0" applyBorder="0" applyAlignment="0" applyProtection="0"/>
    <xf numFmtId="0" fontId="10" fillId="0" borderId="3" applyNumberFormat="0" applyFill="0" applyAlignment="0" applyProtection="0"/>
    <xf numFmtId="0" fontId="11" fillId="0" borderId="4" applyNumberFormat="0" applyFill="0" applyAlignment="0" applyProtection="0"/>
    <xf numFmtId="0" fontId="12" fillId="0" borderId="5" applyNumberFormat="0" applyFill="0" applyAlignment="0" applyProtection="0"/>
    <xf numFmtId="0" fontId="12" fillId="0" borderId="0" applyNumberFormat="0" applyFill="0" applyBorder="0" applyAlignment="0" applyProtection="0"/>
    <xf numFmtId="0" fontId="13" fillId="4" borderId="1" applyNumberFormat="0" applyAlignment="0" applyProtection="0"/>
    <xf numFmtId="0" fontId="14" fillId="0" borderId="6" applyNumberFormat="0" applyFill="0" applyAlignment="0" applyProtection="0"/>
    <xf numFmtId="0" fontId="15" fillId="5" borderId="0" applyNumberFormat="0" applyBorder="0" applyAlignment="0" applyProtection="0"/>
    <xf numFmtId="0" fontId="2" fillId="5" borderId="7" applyNumberFormat="0" applyFont="0" applyAlignment="0" applyProtection="0"/>
    <xf numFmtId="0" fontId="16" fillId="3" borderId="8" applyNumberForma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0" fillId="0" borderId="0" applyNumberFormat="0" applyFill="0" applyBorder="0" applyAlignment="0" applyProtection="0"/>
    <xf numFmtId="0" fontId="21" fillId="0" borderId="10" applyNumberFormat="0" applyProtection="0">
      <alignment wrapText="1"/>
    </xf>
    <xf numFmtId="0" fontId="24" fillId="0" borderId="0" applyNumberFormat="0" applyProtection="0">
      <alignment horizontal="left"/>
    </xf>
    <xf numFmtId="0" fontId="21" fillId="0" borderId="11" applyNumberFormat="0" applyProtection="0">
      <alignment wrapText="1"/>
    </xf>
    <xf numFmtId="0" fontId="20" fillId="0" borderId="12" applyNumberFormat="0" applyFont="0" applyProtection="0">
      <alignment wrapText="1"/>
    </xf>
    <xf numFmtId="0" fontId="20" fillId="0" borderId="13" applyNumberFormat="0" applyProtection="0">
      <alignment wrapText="1"/>
    </xf>
    <xf numFmtId="0" fontId="20" fillId="0" borderId="0"/>
    <xf numFmtId="0" fontId="20" fillId="0" borderId="0"/>
    <xf numFmtId="0" fontId="21" fillId="0" borderId="10">
      <alignment wrapText="1"/>
    </xf>
    <xf numFmtId="0" fontId="24" fillId="0" borderId="0">
      <alignment horizontal="left"/>
    </xf>
    <xf numFmtId="0" fontId="21" fillId="0" borderId="11">
      <alignment wrapText="1"/>
    </xf>
    <xf numFmtId="0" fontId="20" fillId="0" borderId="12">
      <alignment wrapText="1"/>
    </xf>
    <xf numFmtId="0" fontId="20" fillId="0" borderId="13">
      <alignment wrapText="1"/>
    </xf>
    <xf numFmtId="0" fontId="27" fillId="0" borderId="0"/>
    <xf numFmtId="0" fontId="20" fillId="0" borderId="0"/>
    <xf numFmtId="0" fontId="20" fillId="0" borderId="12">
      <alignment wrapText="1"/>
    </xf>
    <xf numFmtId="0" fontId="20" fillId="0" borderId="0"/>
    <xf numFmtId="0" fontId="20" fillId="0" borderId="13">
      <alignment wrapText="1"/>
    </xf>
    <xf numFmtId="0" fontId="21" fillId="0" borderId="10">
      <alignment wrapText="1"/>
    </xf>
    <xf numFmtId="0" fontId="21" fillId="0" borderId="11">
      <alignment wrapText="1"/>
    </xf>
    <xf numFmtId="0" fontId="24" fillId="0" borderId="0">
      <alignment horizontal="left"/>
    </xf>
    <xf numFmtId="0" fontId="27" fillId="0" borderId="0"/>
    <xf numFmtId="0" fontId="20" fillId="0" borderId="0"/>
  </cellStyleXfs>
  <cellXfs count="29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1" fontId="0" fillId="0" borderId="0" xfId="0" applyNumberFormat="1"/>
    <xf numFmtId="0" fontId="22" fillId="0" borderId="0" xfId="0" applyFont="1"/>
    <xf numFmtId="0" fontId="23" fillId="0" borderId="0" xfId="0" applyFont="1"/>
    <xf numFmtId="0" fontId="25" fillId="0" borderId="0" xfId="0" applyFont="1"/>
    <xf numFmtId="0" fontId="26" fillId="0" borderId="0" xfId="0" applyFont="1"/>
    <xf numFmtId="0" fontId="20" fillId="0" borderId="0" xfId="51"/>
    <xf numFmtId="0" fontId="21" fillId="0" borderId="10" xfId="52">
      <alignment wrapText="1"/>
    </xf>
    <xf numFmtId="0" fontId="24" fillId="0" borderId="0" xfId="53">
      <alignment horizontal="left"/>
    </xf>
    <xf numFmtId="0" fontId="21" fillId="0" borderId="11" xfId="54">
      <alignment wrapText="1"/>
    </xf>
    <xf numFmtId="0" fontId="0" fillId="0" borderId="12" xfId="55" applyFont="1">
      <alignment wrapText="1"/>
    </xf>
    <xf numFmtId="165" fontId="0" fillId="0" borderId="12" xfId="55" applyNumberFormat="1" applyFont="1" applyAlignment="1">
      <alignment horizontal="right" wrapText="1"/>
    </xf>
    <xf numFmtId="166" fontId="0" fillId="0" borderId="12" xfId="55" applyNumberFormat="1" applyFont="1" applyAlignment="1">
      <alignment horizontal="right" wrapText="1"/>
    </xf>
    <xf numFmtId="165" fontId="21" fillId="0" borderId="11" xfId="54" applyNumberFormat="1" applyAlignment="1">
      <alignment horizontal="right" wrapText="1"/>
    </xf>
    <xf numFmtId="166" fontId="21" fillId="0" borderId="11" xfId="54" applyNumberFormat="1" applyAlignment="1">
      <alignment horizontal="right" wrapText="1"/>
    </xf>
    <xf numFmtId="0" fontId="23" fillId="17" borderId="0" xfId="0" applyFont="1" applyFill="1"/>
    <xf numFmtId="0" fontId="0" fillId="17" borderId="0" xfId="0" applyFill="1"/>
    <xf numFmtId="0" fontId="0" fillId="0" borderId="0" xfId="0" applyAlignment="1">
      <alignment wrapText="1"/>
    </xf>
    <xf numFmtId="0" fontId="0" fillId="17" borderId="12" xfId="55" applyFont="1" applyFill="1">
      <alignment wrapText="1"/>
    </xf>
    <xf numFmtId="165" fontId="0" fillId="17" borderId="12" xfId="55" applyNumberFormat="1" applyFont="1" applyFill="1" applyAlignment="1">
      <alignment horizontal="right" wrapText="1"/>
    </xf>
    <xf numFmtId="166" fontId="0" fillId="17" borderId="12" xfId="55" applyNumberFormat="1" applyFont="1" applyFill="1" applyAlignment="1">
      <alignment horizontal="right" wrapText="1"/>
    </xf>
    <xf numFmtId="0" fontId="0" fillId="0" borderId="0" xfId="0" applyAlignment="1">
      <alignment horizontal="right"/>
    </xf>
    <xf numFmtId="0" fontId="1" fillId="17" borderId="0" xfId="0" applyFont="1" applyFill="1"/>
    <xf numFmtId="10" fontId="0" fillId="0" borderId="0" xfId="0" applyNumberFormat="1"/>
    <xf numFmtId="10" fontId="0" fillId="17" borderId="0" xfId="0" applyNumberFormat="1" applyFill="1"/>
    <xf numFmtId="0" fontId="20" fillId="0" borderId="13" xfId="56">
      <alignment wrapText="1"/>
    </xf>
  </cellXfs>
  <cellStyles count="74">
    <cellStyle name="20% - Accent1 2" xfId="2" xr:uid="{00000000-0005-0000-0000-000000000000}"/>
    <cellStyle name="20% - Accent2 2" xfId="3" xr:uid="{00000000-0005-0000-0000-000001000000}"/>
    <cellStyle name="20% - Accent3 2" xfId="4" xr:uid="{00000000-0005-0000-0000-000002000000}"/>
    <cellStyle name="20% - Accent4 2" xfId="5" xr:uid="{00000000-0005-0000-0000-000003000000}"/>
    <cellStyle name="20% - Accent5 2" xfId="6" xr:uid="{00000000-0005-0000-0000-000004000000}"/>
    <cellStyle name="20% - Accent6 2" xfId="7" xr:uid="{00000000-0005-0000-0000-000005000000}"/>
    <cellStyle name="40% - Accent1 2" xfId="8" xr:uid="{00000000-0005-0000-0000-000006000000}"/>
    <cellStyle name="40% - Accent2 2" xfId="9" xr:uid="{00000000-0005-0000-0000-000007000000}"/>
    <cellStyle name="40% - Accent3 2" xfId="10" xr:uid="{00000000-0005-0000-0000-000008000000}"/>
    <cellStyle name="40% - Accent4 2" xfId="11" xr:uid="{00000000-0005-0000-0000-000009000000}"/>
    <cellStyle name="40% - Accent5 2" xfId="12" xr:uid="{00000000-0005-0000-0000-00000A000000}"/>
    <cellStyle name="40% - Accent6 2" xfId="13" xr:uid="{00000000-0005-0000-0000-00000B000000}"/>
    <cellStyle name="60% - Accent1 2" xfId="14" xr:uid="{00000000-0005-0000-0000-00000C000000}"/>
    <cellStyle name="60% - Accent2 2" xfId="15" xr:uid="{00000000-0005-0000-0000-00000D000000}"/>
    <cellStyle name="60% - Accent3 2" xfId="16" xr:uid="{00000000-0005-0000-0000-00000E000000}"/>
    <cellStyle name="60% - Accent4 2" xfId="17" xr:uid="{00000000-0005-0000-0000-00000F000000}"/>
    <cellStyle name="60% - Accent5 2" xfId="18" xr:uid="{00000000-0005-0000-0000-000010000000}"/>
    <cellStyle name="60% - Accent6 2" xfId="19" xr:uid="{00000000-0005-0000-0000-000011000000}"/>
    <cellStyle name="Accent1 2" xfId="20" xr:uid="{00000000-0005-0000-0000-000012000000}"/>
    <cellStyle name="Accent2 2" xfId="21" xr:uid="{00000000-0005-0000-0000-000013000000}"/>
    <cellStyle name="Accent3 2" xfId="22" xr:uid="{00000000-0005-0000-0000-000014000000}"/>
    <cellStyle name="Accent4 2" xfId="23" xr:uid="{00000000-0005-0000-0000-000015000000}"/>
    <cellStyle name="Accent5 2" xfId="24" xr:uid="{00000000-0005-0000-0000-000016000000}"/>
    <cellStyle name="Accent6 2" xfId="25" xr:uid="{00000000-0005-0000-0000-000017000000}"/>
    <cellStyle name="Bad 2" xfId="26" xr:uid="{00000000-0005-0000-0000-000018000000}"/>
    <cellStyle name="Body: normal cell" xfId="55" xr:uid="{00000000-0005-0000-0000-000019000000}"/>
    <cellStyle name="Body: normal cell 2" xfId="62" xr:uid="{C847FCFE-E55D-4040-9145-A5096CF2655C}"/>
    <cellStyle name="Body: normal cell 3" xfId="66" xr:uid="{B56EBBE2-482D-4E39-861F-2C1E9EDA9246}"/>
    <cellStyle name="Calculation 2" xfId="27" xr:uid="{00000000-0005-0000-0000-00001A000000}"/>
    <cellStyle name="Check Cell 2" xfId="28" xr:uid="{00000000-0005-0000-0000-00001B000000}"/>
    <cellStyle name="Euro" xfId="29" xr:uid="{00000000-0005-0000-0000-00001C000000}"/>
    <cellStyle name="Explanatory Text 2" xfId="30" xr:uid="{00000000-0005-0000-0000-00001D000000}"/>
    <cellStyle name="Font: Calibri, 9pt regular" xfId="51" xr:uid="{00000000-0005-0000-0000-00001E000000}"/>
    <cellStyle name="Font: Calibri, 9pt regular 2" xfId="58" xr:uid="{78094820-C238-4C9A-89E8-C7624DC87CE5}"/>
    <cellStyle name="Font: Calibri, 9pt regular 3" xfId="67" xr:uid="{14B8F46E-1EF8-454C-939C-60B4389232DB}"/>
    <cellStyle name="Footnotes: top row" xfId="56" xr:uid="{00000000-0005-0000-0000-00001F000000}"/>
    <cellStyle name="Footnotes: top row 2" xfId="63" xr:uid="{09E8E243-1470-4CD0-B658-C11350CB5319}"/>
    <cellStyle name="Footnotes: top row 3" xfId="68" xr:uid="{BBAACB38-D80A-43E3-B098-720156C21DEA}"/>
    <cellStyle name="Good 2" xfId="31" xr:uid="{00000000-0005-0000-0000-000020000000}"/>
    <cellStyle name="Header: bottom row" xfId="52" xr:uid="{00000000-0005-0000-0000-000021000000}"/>
    <cellStyle name="Header: bottom row 2" xfId="59" xr:uid="{A013B94F-3E32-4EB8-A68D-C3E5ECFDA1D8}"/>
    <cellStyle name="Header: bottom row 3" xfId="69" xr:uid="{E12CCC23-808C-4146-AC83-B496B4CB59F5}"/>
    <cellStyle name="Heading 1 2" xfId="32" xr:uid="{00000000-0005-0000-0000-000022000000}"/>
    <cellStyle name="Heading 2 2" xfId="33" xr:uid="{00000000-0005-0000-0000-000023000000}"/>
    <cellStyle name="Heading 3 2" xfId="34" xr:uid="{00000000-0005-0000-0000-000024000000}"/>
    <cellStyle name="Heading 4 2" xfId="35" xr:uid="{00000000-0005-0000-0000-000025000000}"/>
    <cellStyle name="Input 2" xfId="36" xr:uid="{00000000-0005-0000-0000-000027000000}"/>
    <cellStyle name="Linked Cell 2" xfId="37" xr:uid="{00000000-0005-0000-0000-000028000000}"/>
    <cellStyle name="Neutral 2" xfId="38" xr:uid="{00000000-0005-0000-0000-000029000000}"/>
    <cellStyle name="Normal" xfId="0" builtinId="0"/>
    <cellStyle name="Normal 2" xfId="1" xr:uid="{00000000-0005-0000-0000-00002B000000}"/>
    <cellStyle name="Normal 2 2" xfId="44" xr:uid="{00000000-0005-0000-0000-00002C000000}"/>
    <cellStyle name="Normal 2 3" xfId="47" xr:uid="{00000000-0005-0000-0000-00002D000000}"/>
    <cellStyle name="Normal 2 4" xfId="48" xr:uid="{00000000-0005-0000-0000-00002E000000}"/>
    <cellStyle name="Normal 2 5" xfId="49" xr:uid="{00000000-0005-0000-0000-00002F000000}"/>
    <cellStyle name="Normal 2 6" xfId="50" xr:uid="{00000000-0005-0000-0000-000030000000}"/>
    <cellStyle name="Normal 2 7" xfId="73" xr:uid="{EB8B38EE-2BA4-4AFA-B71C-2FAD39824861}"/>
    <cellStyle name="Normal 3" xfId="45" xr:uid="{00000000-0005-0000-0000-000031000000}"/>
    <cellStyle name="Normal 3 2" xfId="72" xr:uid="{706CB03B-9DA4-4953-AB91-EACE065B7D60}"/>
    <cellStyle name="Normal 4" xfId="46" xr:uid="{00000000-0005-0000-0000-000032000000}"/>
    <cellStyle name="Normal 4 2" xfId="65" xr:uid="{818A41D5-F408-43C8-94FF-2CED1E67B617}"/>
    <cellStyle name="Normal 5" xfId="57" xr:uid="{BB67FBA3-26D7-431F-A684-0CCDA93EC42D}"/>
    <cellStyle name="Normal 5 2" xfId="64" xr:uid="{F1EBEFB3-C3C7-406D-BD07-66FDDDF925B7}"/>
    <cellStyle name="Note 2" xfId="39" xr:uid="{00000000-0005-0000-0000-000033000000}"/>
    <cellStyle name="Output 2" xfId="40" xr:uid="{00000000-0005-0000-0000-000034000000}"/>
    <cellStyle name="Parent row" xfId="54" xr:uid="{00000000-0005-0000-0000-000035000000}"/>
    <cellStyle name="Parent row 2" xfId="61" xr:uid="{DAA11FF9-1C05-45C6-8502-434090995867}"/>
    <cellStyle name="Parent row 3" xfId="70" xr:uid="{0EFA93BC-B4A0-4BC6-B5FF-113A19292376}"/>
    <cellStyle name="Table title" xfId="53" xr:uid="{00000000-0005-0000-0000-000036000000}"/>
    <cellStyle name="Table title 2" xfId="60" xr:uid="{D91F8C64-535F-417E-A952-541EE8F2C1E7}"/>
    <cellStyle name="Table title 3" xfId="71" xr:uid="{00727240-B325-4306-9049-E4A274395DAF}"/>
    <cellStyle name="Title 2" xfId="41" xr:uid="{00000000-0005-0000-0000-000037000000}"/>
    <cellStyle name="Total 2" xfId="42" xr:uid="{00000000-0005-0000-0000-000038000000}"/>
    <cellStyle name="Warning Text 2" xfId="43" xr:uid="{00000000-0005-0000-0000-00003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8"/>
  <sheetViews>
    <sheetView tabSelected="1" workbookViewId="0">
      <selection activeCell="A8" sqref="A8"/>
    </sheetView>
  </sheetViews>
  <sheetFormatPr defaultRowHeight="14.75" x14ac:dyDescent="0.75"/>
  <cols>
    <col min="1" max="1" width="17.86328125" customWidth="1"/>
    <col min="2" max="2" width="60.7265625" customWidth="1"/>
  </cols>
  <sheetData>
    <row r="1" spans="1:2" x14ac:dyDescent="0.75">
      <c r="A1" s="1" t="s">
        <v>154</v>
      </c>
    </row>
    <row r="2" spans="1:2" x14ac:dyDescent="0.75">
      <c r="A2" s="1" t="s">
        <v>153</v>
      </c>
    </row>
    <row r="5" spans="1:2" x14ac:dyDescent="0.75">
      <c r="A5" s="1" t="s">
        <v>0</v>
      </c>
      <c r="B5" s="2" t="s">
        <v>155</v>
      </c>
    </row>
    <row r="6" spans="1:2" x14ac:dyDescent="0.75">
      <c r="B6" t="s">
        <v>318</v>
      </c>
    </row>
    <row r="7" spans="1:2" x14ac:dyDescent="0.75">
      <c r="B7" s="3">
        <v>2025</v>
      </c>
    </row>
    <row r="8" spans="1:2" x14ac:dyDescent="0.75">
      <c r="B8" t="s">
        <v>317</v>
      </c>
    </row>
    <row r="9" spans="1:2" x14ac:dyDescent="0.75">
      <c r="B9" t="s">
        <v>319</v>
      </c>
    </row>
    <row r="10" spans="1:2" x14ac:dyDescent="0.75">
      <c r="B10" t="s">
        <v>320</v>
      </c>
    </row>
    <row r="11" spans="1:2" x14ac:dyDescent="0.75">
      <c r="B11" t="s">
        <v>321</v>
      </c>
    </row>
    <row r="12" spans="1:2" x14ac:dyDescent="0.75">
      <c r="A12" s="1" t="s">
        <v>1</v>
      </c>
      <c r="B12" s="3"/>
    </row>
    <row r="13" spans="1:2" x14ac:dyDescent="0.75">
      <c r="A13" t="s">
        <v>119</v>
      </c>
    </row>
    <row r="15" spans="1:2" x14ac:dyDescent="0.75">
      <c r="A15" s="1" t="s">
        <v>151</v>
      </c>
    </row>
    <row r="16" spans="1:2" x14ac:dyDescent="0.75">
      <c r="A16" t="s">
        <v>142</v>
      </c>
    </row>
    <row r="17" spans="1:3" x14ac:dyDescent="0.75">
      <c r="A17" t="s">
        <v>143</v>
      </c>
    </row>
    <row r="18" spans="1:3" x14ac:dyDescent="0.75">
      <c r="A18" t="s">
        <v>144</v>
      </c>
    </row>
    <row r="19" spans="1:3" x14ac:dyDescent="0.75">
      <c r="A19" t="s">
        <v>145</v>
      </c>
    </row>
    <row r="20" spans="1:3" x14ac:dyDescent="0.75">
      <c r="A20" t="s">
        <v>146</v>
      </c>
    </row>
    <row r="21" spans="1:3" x14ac:dyDescent="0.75">
      <c r="A21" t="s">
        <v>147</v>
      </c>
    </row>
    <row r="22" spans="1:3" x14ac:dyDescent="0.75">
      <c r="A22" s="25" t="s">
        <v>152</v>
      </c>
      <c r="B22" s="19"/>
      <c r="C22" s="19"/>
    </row>
    <row r="25" spans="1:3" x14ac:dyDescent="0.75">
      <c r="A25" t="s">
        <v>141</v>
      </c>
    </row>
    <row r="27" spans="1:3" x14ac:dyDescent="0.75">
      <c r="A27" s="1" t="s">
        <v>123</v>
      </c>
    </row>
    <row r="28" spans="1:3" x14ac:dyDescent="0.75">
      <c r="A28" s="3">
        <v>1000</v>
      </c>
      <c r="B28" t="s">
        <v>120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K114"/>
  <sheetViews>
    <sheetView topLeftCell="A7" workbookViewId="0">
      <selection activeCell="A23" sqref="A23"/>
    </sheetView>
  </sheetViews>
  <sheetFormatPr defaultColWidth="9.1328125" defaultRowHeight="14.75" x14ac:dyDescent="0.75"/>
  <cols>
    <col min="1" max="1" width="32.1328125" customWidth="1"/>
    <col min="2" max="2" width="45.7265625" customWidth="1"/>
    <col min="38" max="38" width="8" customWidth="1"/>
  </cols>
  <sheetData>
    <row r="1" spans="1:37" ht="15" customHeight="1" thickBot="1" x14ac:dyDescent="0.9">
      <c r="B1" s="9" t="s">
        <v>125</v>
      </c>
      <c r="C1" s="10">
        <v>2017</v>
      </c>
      <c r="D1" s="10">
        <v>2018</v>
      </c>
      <c r="E1" s="10">
        <v>2019</v>
      </c>
      <c r="F1" s="10">
        <v>2020</v>
      </c>
      <c r="G1" s="10">
        <v>2021</v>
      </c>
      <c r="H1" s="10">
        <v>2022</v>
      </c>
      <c r="I1" s="10">
        <v>2023</v>
      </c>
      <c r="J1" s="10">
        <v>2024</v>
      </c>
      <c r="K1" s="10">
        <v>2025</v>
      </c>
      <c r="L1" s="10">
        <v>2026</v>
      </c>
      <c r="M1" s="10">
        <v>2027</v>
      </c>
      <c r="N1" s="10">
        <v>2028</v>
      </c>
      <c r="O1" s="10">
        <v>2029</v>
      </c>
      <c r="P1" s="10">
        <v>2030</v>
      </c>
      <c r="Q1" s="10">
        <v>2031</v>
      </c>
      <c r="R1" s="10">
        <v>2032</v>
      </c>
      <c r="S1" s="10">
        <v>2033</v>
      </c>
      <c r="T1" s="10">
        <v>2034</v>
      </c>
      <c r="U1" s="10">
        <v>2035</v>
      </c>
      <c r="V1" s="10">
        <v>2036</v>
      </c>
      <c r="W1" s="10">
        <v>2037</v>
      </c>
      <c r="X1" s="10">
        <v>2038</v>
      </c>
      <c r="Y1" s="10">
        <v>2039</v>
      </c>
      <c r="Z1" s="10">
        <v>2040</v>
      </c>
      <c r="AA1" s="10">
        <v>2041</v>
      </c>
      <c r="AB1" s="10">
        <v>2042</v>
      </c>
      <c r="AC1" s="10">
        <v>2043</v>
      </c>
      <c r="AD1" s="10">
        <v>2044</v>
      </c>
      <c r="AE1" s="10">
        <v>2045</v>
      </c>
      <c r="AF1" s="10">
        <v>2046</v>
      </c>
      <c r="AG1" s="10">
        <v>2047</v>
      </c>
      <c r="AH1" s="10">
        <v>2048</v>
      </c>
      <c r="AI1" s="10">
        <v>2049</v>
      </c>
      <c r="AJ1" s="10">
        <v>2050</v>
      </c>
    </row>
    <row r="2" spans="1:37" ht="15" customHeight="1" thickTop="1" x14ac:dyDescent="0.75"/>
    <row r="3" spans="1:37" ht="15" customHeight="1" x14ac:dyDescent="0.75">
      <c r="C3" s="5" t="s">
        <v>2</v>
      </c>
      <c r="D3" s="5" t="s">
        <v>126</v>
      </c>
      <c r="E3" s="5"/>
      <c r="F3" s="5"/>
      <c r="G3" s="5"/>
    </row>
    <row r="4" spans="1:37" ht="15" customHeight="1" x14ac:dyDescent="0.75">
      <c r="C4" s="5" t="s">
        <v>3</v>
      </c>
      <c r="D4" s="5" t="s">
        <v>127</v>
      </c>
      <c r="E4" s="5"/>
      <c r="F4" s="5"/>
      <c r="G4" s="5" t="s">
        <v>4</v>
      </c>
    </row>
    <row r="5" spans="1:37" ht="15" customHeight="1" x14ac:dyDescent="0.75">
      <c r="C5" s="5" t="s">
        <v>5</v>
      </c>
      <c r="D5" s="5" t="s">
        <v>128</v>
      </c>
      <c r="E5" s="5"/>
      <c r="F5" s="5"/>
      <c r="G5" s="5"/>
    </row>
    <row r="6" spans="1:37" ht="15" customHeight="1" x14ac:dyDescent="0.75">
      <c r="C6" s="5" t="s">
        <v>6</v>
      </c>
      <c r="D6" s="5"/>
      <c r="E6" s="5" t="s">
        <v>129</v>
      </c>
      <c r="F6" s="5"/>
      <c r="G6" s="5"/>
    </row>
    <row r="10" spans="1:37" ht="15" customHeight="1" x14ac:dyDescent="0.8">
      <c r="A10" s="6" t="s">
        <v>7</v>
      </c>
      <c r="B10" s="11" t="s">
        <v>8</v>
      </c>
    </row>
    <row r="11" spans="1:37" ht="15" customHeight="1" x14ac:dyDescent="0.75">
      <c r="B11" s="9" t="s">
        <v>9</v>
      </c>
    </row>
    <row r="12" spans="1:37" ht="15" customHeight="1" x14ac:dyDescent="0.75">
      <c r="B12" s="9" t="s">
        <v>10</v>
      </c>
      <c r="C12" s="3" t="s">
        <v>10</v>
      </c>
      <c r="D12" s="3" t="s">
        <v>10</v>
      </c>
      <c r="E12" s="3" t="s">
        <v>10</v>
      </c>
      <c r="F12" s="3" t="s">
        <v>10</v>
      </c>
      <c r="G12" s="3" t="s">
        <v>10</v>
      </c>
      <c r="H12" s="3" t="s">
        <v>10</v>
      </c>
      <c r="I12" s="3" t="s">
        <v>10</v>
      </c>
      <c r="J12" s="3" t="s">
        <v>10</v>
      </c>
      <c r="K12" s="3" t="s">
        <v>10</v>
      </c>
      <c r="L12" s="3" t="s">
        <v>10</v>
      </c>
      <c r="M12" s="3" t="s">
        <v>10</v>
      </c>
      <c r="N12" s="3" t="s">
        <v>10</v>
      </c>
      <c r="O12" s="3" t="s">
        <v>10</v>
      </c>
      <c r="P12" s="3" t="s">
        <v>10</v>
      </c>
      <c r="Q12" s="3" t="s">
        <v>10</v>
      </c>
      <c r="R12" s="3" t="s">
        <v>10</v>
      </c>
      <c r="S12" s="3" t="s">
        <v>10</v>
      </c>
      <c r="T12" s="3" t="s">
        <v>10</v>
      </c>
      <c r="U12" s="3" t="s">
        <v>10</v>
      </c>
      <c r="V12" s="3" t="s">
        <v>10</v>
      </c>
      <c r="W12" s="3" t="s">
        <v>10</v>
      </c>
      <c r="X12" s="3" t="s">
        <v>10</v>
      </c>
      <c r="Y12" s="3" t="s">
        <v>10</v>
      </c>
      <c r="Z12" s="3" t="s">
        <v>10</v>
      </c>
      <c r="AA12" s="3" t="s">
        <v>10</v>
      </c>
      <c r="AB12" s="3" t="s">
        <v>10</v>
      </c>
      <c r="AC12" s="3" t="s">
        <v>10</v>
      </c>
      <c r="AD12" s="3" t="s">
        <v>10</v>
      </c>
      <c r="AE12" s="3" t="s">
        <v>10</v>
      </c>
      <c r="AF12" s="3" t="s">
        <v>10</v>
      </c>
      <c r="AG12" s="3" t="s">
        <v>10</v>
      </c>
      <c r="AH12" s="3" t="s">
        <v>10</v>
      </c>
      <c r="AI12" s="3" t="s">
        <v>10</v>
      </c>
      <c r="AJ12" s="3" t="s">
        <v>10</v>
      </c>
      <c r="AK12" s="3" t="s">
        <v>130</v>
      </c>
    </row>
    <row r="13" spans="1:37" ht="15" customHeight="1" thickBot="1" x14ac:dyDescent="0.9">
      <c r="B13" s="10" t="s">
        <v>11</v>
      </c>
      <c r="C13" s="10">
        <v>2017</v>
      </c>
      <c r="D13" s="10">
        <v>2018</v>
      </c>
      <c r="E13" s="10">
        <v>2019</v>
      </c>
      <c r="F13" s="10">
        <v>2020</v>
      </c>
      <c r="G13" s="10">
        <v>2021</v>
      </c>
      <c r="H13" s="10">
        <v>2022</v>
      </c>
      <c r="I13" s="10">
        <v>2023</v>
      </c>
      <c r="J13" s="10">
        <v>2024</v>
      </c>
      <c r="K13" s="10">
        <v>2025</v>
      </c>
      <c r="L13" s="10">
        <v>2026</v>
      </c>
      <c r="M13" s="10">
        <v>2027</v>
      </c>
      <c r="N13" s="10">
        <v>2028</v>
      </c>
      <c r="O13" s="10">
        <v>2029</v>
      </c>
      <c r="P13" s="10">
        <v>2030</v>
      </c>
      <c r="Q13" s="10">
        <v>2031</v>
      </c>
      <c r="R13" s="10">
        <v>2032</v>
      </c>
      <c r="S13" s="10">
        <v>2033</v>
      </c>
      <c r="T13" s="10">
        <v>2034</v>
      </c>
      <c r="U13" s="10">
        <v>2035</v>
      </c>
      <c r="V13" s="10">
        <v>2036</v>
      </c>
      <c r="W13" s="10">
        <v>2037</v>
      </c>
      <c r="X13" s="10">
        <v>2038</v>
      </c>
      <c r="Y13" s="10">
        <v>2039</v>
      </c>
      <c r="Z13" s="10">
        <v>2040</v>
      </c>
      <c r="AA13" s="10">
        <v>2041</v>
      </c>
      <c r="AB13" s="10">
        <v>2042</v>
      </c>
      <c r="AC13" s="10">
        <v>2043</v>
      </c>
      <c r="AD13" s="10">
        <v>2044</v>
      </c>
      <c r="AE13" s="10">
        <v>2045</v>
      </c>
      <c r="AF13" s="10">
        <v>2046</v>
      </c>
      <c r="AG13" s="10">
        <v>2047</v>
      </c>
      <c r="AH13" s="10">
        <v>2048</v>
      </c>
      <c r="AI13" s="10">
        <v>2049</v>
      </c>
      <c r="AJ13" s="10">
        <v>2050</v>
      </c>
      <c r="AK13" s="10">
        <v>2050</v>
      </c>
    </row>
    <row r="14" spans="1:37" ht="15" customHeight="1" thickTop="1" x14ac:dyDescent="0.75"/>
    <row r="15" spans="1:37" ht="15" customHeight="1" x14ac:dyDescent="0.75">
      <c r="B15" s="12" t="s">
        <v>12</v>
      </c>
    </row>
    <row r="16" spans="1:37" ht="15" customHeight="1" x14ac:dyDescent="0.75">
      <c r="B16" s="12" t="s">
        <v>13</v>
      </c>
    </row>
    <row r="17" spans="1:37" ht="15" customHeight="1" x14ac:dyDescent="0.75">
      <c r="A17" s="6" t="s">
        <v>14</v>
      </c>
      <c r="B17" s="13" t="s">
        <v>15</v>
      </c>
      <c r="C17" s="14">
        <v>249.06146200000001</v>
      </c>
      <c r="D17" s="14">
        <v>236.698669</v>
      </c>
      <c r="E17" s="14">
        <v>229.95034799999999</v>
      </c>
      <c r="F17" s="14">
        <v>227.71237199999999</v>
      </c>
      <c r="G17" s="14">
        <v>219.57415800000001</v>
      </c>
      <c r="H17" s="14">
        <v>211.284424</v>
      </c>
      <c r="I17" s="14">
        <v>199.18562299999999</v>
      </c>
      <c r="J17" s="14">
        <v>186.92103599999999</v>
      </c>
      <c r="K17" s="14">
        <v>176.33551</v>
      </c>
      <c r="L17" s="14">
        <v>171.03500399999999</v>
      </c>
      <c r="M17" s="14">
        <v>167.38041699999999</v>
      </c>
      <c r="N17" s="14">
        <v>165.30001799999999</v>
      </c>
      <c r="O17" s="14">
        <v>164.75401299999999</v>
      </c>
      <c r="P17" s="14">
        <v>161.84200999999999</v>
      </c>
      <c r="Q17" s="14">
        <v>159.19802899999999</v>
      </c>
      <c r="R17" s="14">
        <v>154.03201300000001</v>
      </c>
      <c r="S17" s="14">
        <v>154.03201300000001</v>
      </c>
      <c r="T17" s="14">
        <v>151.13092</v>
      </c>
      <c r="U17" s="14">
        <v>151.13092</v>
      </c>
      <c r="V17" s="14">
        <v>151.13092</v>
      </c>
      <c r="W17" s="14">
        <v>149.966812</v>
      </c>
      <c r="X17" s="14">
        <v>149.966812</v>
      </c>
      <c r="Y17" s="14">
        <v>149.966812</v>
      </c>
      <c r="Z17" s="14">
        <v>149.966812</v>
      </c>
      <c r="AA17" s="14">
        <v>148.74981700000001</v>
      </c>
      <c r="AB17" s="14">
        <v>148.74981700000001</v>
      </c>
      <c r="AC17" s="14">
        <v>148.18580600000001</v>
      </c>
      <c r="AD17" s="14">
        <v>148.18580600000001</v>
      </c>
      <c r="AE17" s="14">
        <v>148.18580600000001</v>
      </c>
      <c r="AF17" s="14">
        <v>148.18580600000001</v>
      </c>
      <c r="AG17" s="14">
        <v>148.18580600000001</v>
      </c>
      <c r="AH17" s="14">
        <v>148.18580600000001</v>
      </c>
      <c r="AI17" s="14">
        <v>148.18580600000001</v>
      </c>
      <c r="AJ17" s="14">
        <v>148.18580600000001</v>
      </c>
      <c r="AK17" s="15">
        <v>-1.4527999999999999E-2</v>
      </c>
    </row>
    <row r="18" spans="1:37" ht="15" customHeight="1" x14ac:dyDescent="0.75">
      <c r="A18" s="6" t="s">
        <v>16</v>
      </c>
      <c r="B18" s="13" t="s">
        <v>17</v>
      </c>
      <c r="C18" s="14">
        <v>86.232910000000004</v>
      </c>
      <c r="D18" s="14">
        <v>82.614104999999995</v>
      </c>
      <c r="E18" s="14">
        <v>80.766105999999994</v>
      </c>
      <c r="F18" s="14">
        <v>79.243210000000005</v>
      </c>
      <c r="G18" s="14">
        <v>72.473808000000005</v>
      </c>
      <c r="H18" s="14">
        <v>70.327506999999997</v>
      </c>
      <c r="I18" s="14">
        <v>68.559905999999998</v>
      </c>
      <c r="J18" s="14">
        <v>65.484306000000004</v>
      </c>
      <c r="K18" s="14">
        <v>64.027114999999995</v>
      </c>
      <c r="L18" s="14">
        <v>60.366714000000002</v>
      </c>
      <c r="M18" s="14">
        <v>59.844710999999997</v>
      </c>
      <c r="N18" s="14">
        <v>59.045211999999999</v>
      </c>
      <c r="O18" s="14">
        <v>57.401909000000003</v>
      </c>
      <c r="P18" s="14">
        <v>57.401909000000003</v>
      </c>
      <c r="Q18" s="14">
        <v>57.291907999999999</v>
      </c>
      <c r="R18" s="14">
        <v>57.622909999999997</v>
      </c>
      <c r="S18" s="14">
        <v>57.387909000000001</v>
      </c>
      <c r="T18" s="14">
        <v>57.307907</v>
      </c>
      <c r="U18" s="14">
        <v>57.208908000000001</v>
      </c>
      <c r="V18" s="14">
        <v>56.908904999999997</v>
      </c>
      <c r="W18" s="14">
        <v>56.908904999999997</v>
      </c>
      <c r="X18" s="14">
        <v>56.686905000000003</v>
      </c>
      <c r="Y18" s="14">
        <v>56.686905000000003</v>
      </c>
      <c r="Z18" s="14">
        <v>56.686905000000003</v>
      </c>
      <c r="AA18" s="14">
        <v>56.464905000000002</v>
      </c>
      <c r="AB18" s="14">
        <v>56.067909</v>
      </c>
      <c r="AC18" s="14">
        <v>56.067909</v>
      </c>
      <c r="AD18" s="14">
        <v>56.067909</v>
      </c>
      <c r="AE18" s="14">
        <v>55.94191</v>
      </c>
      <c r="AF18" s="14">
        <v>55.94191</v>
      </c>
      <c r="AG18" s="14">
        <v>55.94191</v>
      </c>
      <c r="AH18" s="14">
        <v>55.94191</v>
      </c>
      <c r="AI18" s="14">
        <v>55.94191</v>
      </c>
      <c r="AJ18" s="14">
        <v>55.94191</v>
      </c>
      <c r="AK18" s="15">
        <v>-1.2109E-2</v>
      </c>
    </row>
    <row r="19" spans="1:37" ht="15" customHeight="1" x14ac:dyDescent="0.75">
      <c r="A19" s="6" t="s">
        <v>18</v>
      </c>
      <c r="B19" s="13" t="s">
        <v>19</v>
      </c>
      <c r="C19" s="14">
        <v>215.544128</v>
      </c>
      <c r="D19" s="14">
        <v>233.12274199999999</v>
      </c>
      <c r="E19" s="14">
        <v>239.77252200000001</v>
      </c>
      <c r="F19" s="14">
        <v>249.41815199999999</v>
      </c>
      <c r="G19" s="14">
        <v>264.584473</v>
      </c>
      <c r="H19" s="14">
        <v>270.80749500000002</v>
      </c>
      <c r="I19" s="14">
        <v>280.61086999999998</v>
      </c>
      <c r="J19" s="14">
        <v>293.17587300000002</v>
      </c>
      <c r="K19" s="14">
        <v>307.16619900000001</v>
      </c>
      <c r="L19" s="14">
        <v>315.12600700000002</v>
      </c>
      <c r="M19" s="14">
        <v>323.84570300000001</v>
      </c>
      <c r="N19" s="14">
        <v>328.71765099999999</v>
      </c>
      <c r="O19" s="14">
        <v>333.698914</v>
      </c>
      <c r="P19" s="14">
        <v>343.762878</v>
      </c>
      <c r="Q19" s="14">
        <v>349.285461</v>
      </c>
      <c r="R19" s="14">
        <v>359.42764299999999</v>
      </c>
      <c r="S19" s="14">
        <v>366.74774200000002</v>
      </c>
      <c r="T19" s="14">
        <v>377.36492900000002</v>
      </c>
      <c r="U19" s="14">
        <v>380.44986</v>
      </c>
      <c r="V19" s="14">
        <v>386.45919800000001</v>
      </c>
      <c r="W19" s="14">
        <v>396.436554</v>
      </c>
      <c r="X19" s="14">
        <v>399.53066999999999</v>
      </c>
      <c r="Y19" s="14">
        <v>405.848907</v>
      </c>
      <c r="Z19" s="14">
        <v>412.29586799999998</v>
      </c>
      <c r="AA19" s="14">
        <v>420.327606</v>
      </c>
      <c r="AB19" s="14">
        <v>425.83251999999999</v>
      </c>
      <c r="AC19" s="14">
        <v>432.41735799999998</v>
      </c>
      <c r="AD19" s="14">
        <v>439.58904999999999</v>
      </c>
      <c r="AE19" s="14">
        <v>447.87683099999998</v>
      </c>
      <c r="AF19" s="14">
        <v>454.92938199999998</v>
      </c>
      <c r="AG19" s="14">
        <v>458.05413800000002</v>
      </c>
      <c r="AH19" s="14">
        <v>464.36187699999999</v>
      </c>
      <c r="AI19" s="14">
        <v>468.72094700000002</v>
      </c>
      <c r="AJ19" s="14">
        <v>475.179688</v>
      </c>
      <c r="AK19" s="15">
        <v>2.2502999999999999E-2</v>
      </c>
    </row>
    <row r="20" spans="1:37" ht="15" customHeight="1" x14ac:dyDescent="0.75">
      <c r="A20" s="6" t="s">
        <v>20</v>
      </c>
      <c r="B20" s="13" t="s">
        <v>21</v>
      </c>
      <c r="C20" s="14">
        <v>137.230042</v>
      </c>
      <c r="D20" s="14">
        <v>138.84141500000001</v>
      </c>
      <c r="E20" s="14">
        <v>146.102036</v>
      </c>
      <c r="F20" s="14">
        <v>152.69631999999999</v>
      </c>
      <c r="G20" s="14">
        <v>151.33931000000001</v>
      </c>
      <c r="H20" s="14">
        <v>151.801849</v>
      </c>
      <c r="I20" s="14">
        <v>151.59367399999999</v>
      </c>
      <c r="J20" s="14">
        <v>151.944366</v>
      </c>
      <c r="K20" s="14">
        <v>152.634064</v>
      </c>
      <c r="L20" s="14">
        <v>153.410797</v>
      </c>
      <c r="M20" s="14">
        <v>155.21005199999999</v>
      </c>
      <c r="N20" s="14">
        <v>156.07605000000001</v>
      </c>
      <c r="O20" s="14">
        <v>155.95045500000001</v>
      </c>
      <c r="P20" s="14">
        <v>156.04567</v>
      </c>
      <c r="Q20" s="14">
        <v>156.94549599999999</v>
      </c>
      <c r="R20" s="14">
        <v>157.26397700000001</v>
      </c>
      <c r="S20" s="14">
        <v>157.683075</v>
      </c>
      <c r="T20" s="14">
        <v>157.70822100000001</v>
      </c>
      <c r="U20" s="14">
        <v>158.828857</v>
      </c>
      <c r="V20" s="14">
        <v>159.682648</v>
      </c>
      <c r="W20" s="14">
        <v>159.682648</v>
      </c>
      <c r="X20" s="14">
        <v>160.391266</v>
      </c>
      <c r="Y20" s="14">
        <v>161.883881</v>
      </c>
      <c r="Z20" s="14">
        <v>163.28613300000001</v>
      </c>
      <c r="AA20" s="14">
        <v>163.76049800000001</v>
      </c>
      <c r="AB20" s="14">
        <v>165.28421</v>
      </c>
      <c r="AC20" s="14">
        <v>165.600876</v>
      </c>
      <c r="AD20" s="14">
        <v>167.21106</v>
      </c>
      <c r="AE20" s="14">
        <v>168.97247300000001</v>
      </c>
      <c r="AF20" s="14">
        <v>170.987427</v>
      </c>
      <c r="AG20" s="14">
        <v>173.50466900000001</v>
      </c>
      <c r="AH20" s="14">
        <v>176.40557899999999</v>
      </c>
      <c r="AI20" s="14">
        <v>179.74163799999999</v>
      </c>
      <c r="AJ20" s="14">
        <v>181.77668800000001</v>
      </c>
      <c r="AK20" s="15">
        <v>8.456E-3</v>
      </c>
    </row>
    <row r="21" spans="1:37" ht="15" customHeight="1" x14ac:dyDescent="0.75">
      <c r="A21" s="6" t="s">
        <v>22</v>
      </c>
      <c r="B21" s="13" t="s">
        <v>23</v>
      </c>
      <c r="C21" s="14">
        <v>99.628906000000001</v>
      </c>
      <c r="D21" s="14">
        <v>99.062209999999993</v>
      </c>
      <c r="E21" s="14">
        <v>98.047211000000004</v>
      </c>
      <c r="F21" s="14">
        <v>96.152816999999999</v>
      </c>
      <c r="G21" s="14">
        <v>92.892105000000001</v>
      </c>
      <c r="H21" s="14">
        <v>89.331314000000006</v>
      </c>
      <c r="I21" s="14">
        <v>85.948807000000002</v>
      </c>
      <c r="J21" s="14">
        <v>85.948807000000002</v>
      </c>
      <c r="K21" s="14">
        <v>82.725403</v>
      </c>
      <c r="L21" s="14">
        <v>81.607406999999995</v>
      </c>
      <c r="M21" s="14">
        <v>81.607406999999995</v>
      </c>
      <c r="N21" s="14">
        <v>81.607406999999995</v>
      </c>
      <c r="O21" s="14">
        <v>81.632430999999997</v>
      </c>
      <c r="P21" s="14">
        <v>81.682456999999999</v>
      </c>
      <c r="Q21" s="14">
        <v>81.757537999999997</v>
      </c>
      <c r="R21" s="14">
        <v>80.424637000000004</v>
      </c>
      <c r="S21" s="14">
        <v>80.549773999999999</v>
      </c>
      <c r="T21" s="14">
        <v>80.674896000000004</v>
      </c>
      <c r="U21" s="14">
        <v>80.800033999999997</v>
      </c>
      <c r="V21" s="14">
        <v>80.925156000000001</v>
      </c>
      <c r="W21" s="14">
        <v>81.050285000000002</v>
      </c>
      <c r="X21" s="14">
        <v>81.175415000000001</v>
      </c>
      <c r="Y21" s="14">
        <v>81.300551999999996</v>
      </c>
      <c r="Z21" s="14">
        <v>81.425674000000001</v>
      </c>
      <c r="AA21" s="14">
        <v>81.550811999999993</v>
      </c>
      <c r="AB21" s="14">
        <v>81.675933999999998</v>
      </c>
      <c r="AC21" s="14">
        <v>81.801070999999993</v>
      </c>
      <c r="AD21" s="14">
        <v>81.926192999999998</v>
      </c>
      <c r="AE21" s="14">
        <v>82.051331000000005</v>
      </c>
      <c r="AF21" s="14">
        <v>82.176452999999995</v>
      </c>
      <c r="AG21" s="14">
        <v>82.301590000000004</v>
      </c>
      <c r="AH21" s="14">
        <v>82.426711999999995</v>
      </c>
      <c r="AI21" s="14">
        <v>82.551849000000004</v>
      </c>
      <c r="AJ21" s="14">
        <v>82.676979000000003</v>
      </c>
      <c r="AK21" s="15">
        <v>-5.6340000000000001E-3</v>
      </c>
    </row>
    <row r="22" spans="1:37" ht="15" customHeight="1" x14ac:dyDescent="0.75">
      <c r="A22" s="6" t="s">
        <v>24</v>
      </c>
      <c r="B22" s="13" t="s">
        <v>25</v>
      </c>
      <c r="C22" s="14">
        <v>22.810403999999998</v>
      </c>
      <c r="D22" s="14">
        <v>22.810403999999998</v>
      </c>
      <c r="E22" s="14">
        <v>22.810403999999998</v>
      </c>
      <c r="F22" s="14">
        <v>22.810403999999998</v>
      </c>
      <c r="G22" s="14">
        <v>22.810403999999998</v>
      </c>
      <c r="H22" s="14">
        <v>22.810403999999998</v>
      </c>
      <c r="I22" s="14">
        <v>22.810403999999998</v>
      </c>
      <c r="J22" s="14">
        <v>22.810403999999998</v>
      </c>
      <c r="K22" s="14">
        <v>22.810403999999998</v>
      </c>
      <c r="L22" s="14">
        <v>22.810403999999998</v>
      </c>
      <c r="M22" s="14">
        <v>22.810403999999998</v>
      </c>
      <c r="N22" s="14">
        <v>22.810403999999998</v>
      </c>
      <c r="O22" s="14">
        <v>22.810403999999998</v>
      </c>
      <c r="P22" s="14">
        <v>22.810403999999998</v>
      </c>
      <c r="Q22" s="14">
        <v>22.810403999999998</v>
      </c>
      <c r="R22" s="14">
        <v>22.810403999999998</v>
      </c>
      <c r="S22" s="14">
        <v>22.810403999999998</v>
      </c>
      <c r="T22" s="14">
        <v>22.810403999999998</v>
      </c>
      <c r="U22" s="14">
        <v>22.810403999999998</v>
      </c>
      <c r="V22" s="14">
        <v>22.810403999999998</v>
      </c>
      <c r="W22" s="14">
        <v>22.810403999999998</v>
      </c>
      <c r="X22" s="14">
        <v>22.810403999999998</v>
      </c>
      <c r="Y22" s="14">
        <v>22.810403999999998</v>
      </c>
      <c r="Z22" s="14">
        <v>22.810403999999998</v>
      </c>
      <c r="AA22" s="14">
        <v>22.810403999999998</v>
      </c>
      <c r="AB22" s="14">
        <v>22.810403999999998</v>
      </c>
      <c r="AC22" s="14">
        <v>22.810403999999998</v>
      </c>
      <c r="AD22" s="14">
        <v>22.810403999999998</v>
      </c>
      <c r="AE22" s="14">
        <v>22.810403999999998</v>
      </c>
      <c r="AF22" s="14">
        <v>22.810403999999998</v>
      </c>
      <c r="AG22" s="14">
        <v>22.810403999999998</v>
      </c>
      <c r="AH22" s="14">
        <v>22.810403999999998</v>
      </c>
      <c r="AI22" s="14">
        <v>22.810403999999998</v>
      </c>
      <c r="AJ22" s="14">
        <v>22.810403999999998</v>
      </c>
      <c r="AK22" s="15">
        <v>0</v>
      </c>
    </row>
    <row r="23" spans="1:37" s="19" customFormat="1" ht="15" customHeight="1" x14ac:dyDescent="0.75">
      <c r="A23" s="18" t="s">
        <v>26</v>
      </c>
      <c r="B23" s="21" t="s">
        <v>27</v>
      </c>
      <c r="C23" s="22">
        <v>0.59219999999999995</v>
      </c>
      <c r="D23" s="22">
        <v>0.75249999999999995</v>
      </c>
      <c r="E23" s="22">
        <v>0.79849999999999999</v>
      </c>
      <c r="F23" s="22">
        <v>0.91949999999999998</v>
      </c>
      <c r="G23" s="22">
        <v>1.1695</v>
      </c>
      <c r="H23" s="22">
        <v>1.4195</v>
      </c>
      <c r="I23" s="22">
        <v>1.6695</v>
      </c>
      <c r="J23" s="22">
        <v>1.9185000000000001</v>
      </c>
      <c r="K23" s="22">
        <v>1.9185000000000001</v>
      </c>
      <c r="L23" s="22">
        <v>1.9185000000000001</v>
      </c>
      <c r="M23" s="22">
        <v>1.9185000000000001</v>
      </c>
      <c r="N23" s="22">
        <v>1.9185000000000001</v>
      </c>
      <c r="O23" s="22">
        <v>1.9185000000000001</v>
      </c>
      <c r="P23" s="22">
        <v>1.9185000000000001</v>
      </c>
      <c r="Q23" s="22">
        <v>4.7154999999999996</v>
      </c>
      <c r="R23" s="22">
        <v>5.7134400000000003</v>
      </c>
      <c r="S23" s="22">
        <v>5.7134400000000003</v>
      </c>
      <c r="T23" s="22">
        <v>6.4754300000000002</v>
      </c>
      <c r="U23" s="22">
        <v>8.0014579999999995</v>
      </c>
      <c r="V23" s="22">
        <v>9.2728990000000007</v>
      </c>
      <c r="W23" s="22">
        <v>9.2813060000000007</v>
      </c>
      <c r="X23" s="22">
        <v>12.197307</v>
      </c>
      <c r="Y23" s="22">
        <v>12.439215000000001</v>
      </c>
      <c r="Z23" s="22">
        <v>15.457274</v>
      </c>
      <c r="AA23" s="22">
        <v>18.583275</v>
      </c>
      <c r="AB23" s="22">
        <v>18.818812999999999</v>
      </c>
      <c r="AC23" s="22">
        <v>20.16357</v>
      </c>
      <c r="AD23" s="22">
        <v>20.803711</v>
      </c>
      <c r="AE23" s="22">
        <v>21.957172</v>
      </c>
      <c r="AF23" s="22">
        <v>23.104578</v>
      </c>
      <c r="AG23" s="22">
        <v>26.104578</v>
      </c>
      <c r="AH23" s="22">
        <v>27.820377000000001</v>
      </c>
      <c r="AI23" s="22">
        <v>27.820377000000001</v>
      </c>
      <c r="AJ23" s="22">
        <v>30.820377000000001</v>
      </c>
      <c r="AK23" s="23">
        <v>0.123014</v>
      </c>
    </row>
    <row r="24" spans="1:37" ht="15" customHeight="1" x14ac:dyDescent="0.75">
      <c r="A24" s="6" t="s">
        <v>28</v>
      </c>
      <c r="B24" s="13" t="s">
        <v>29</v>
      </c>
      <c r="C24" s="14">
        <v>0.10100000000000001</v>
      </c>
      <c r="D24" s="14">
        <v>0.1024</v>
      </c>
      <c r="E24" s="14">
        <v>0.1176</v>
      </c>
      <c r="F24" s="14">
        <v>0.11650000000000001</v>
      </c>
      <c r="G24" s="14">
        <v>0.116581</v>
      </c>
      <c r="H24" s="14">
        <v>0.116662</v>
      </c>
      <c r="I24" s="14">
        <v>0.116743</v>
      </c>
      <c r="J24" s="14">
        <v>0.116824</v>
      </c>
      <c r="K24" s="14">
        <v>0.116905</v>
      </c>
      <c r="L24" s="14">
        <v>0.11698600000000001</v>
      </c>
      <c r="M24" s="14">
        <v>0.117067</v>
      </c>
      <c r="N24" s="14">
        <v>0.117148</v>
      </c>
      <c r="O24" s="14">
        <v>0.117229</v>
      </c>
      <c r="P24" s="14">
        <v>0.11731</v>
      </c>
      <c r="Q24" s="14">
        <v>0.117391</v>
      </c>
      <c r="R24" s="14">
        <v>0.11747199999999999</v>
      </c>
      <c r="S24" s="14">
        <v>0.11755400000000001</v>
      </c>
      <c r="T24" s="14">
        <v>0.11761000000000001</v>
      </c>
      <c r="U24" s="14">
        <v>0.117636</v>
      </c>
      <c r="V24" s="14">
        <v>0.117647</v>
      </c>
      <c r="W24" s="14">
        <v>0.11765299999999999</v>
      </c>
      <c r="X24" s="14">
        <v>0.117659</v>
      </c>
      <c r="Y24" s="14">
        <v>0.11766</v>
      </c>
      <c r="Z24" s="14">
        <v>0.117661</v>
      </c>
      <c r="AA24" s="14">
        <v>0.117662</v>
      </c>
      <c r="AB24" s="14">
        <v>0.117663</v>
      </c>
      <c r="AC24" s="14">
        <v>0.117664</v>
      </c>
      <c r="AD24" s="14">
        <v>0.11766500000000001</v>
      </c>
      <c r="AE24" s="14">
        <v>0.11766600000000001</v>
      </c>
      <c r="AF24" s="14">
        <v>0.119976</v>
      </c>
      <c r="AG24" s="14">
        <v>0.121998</v>
      </c>
      <c r="AH24" s="14">
        <v>0.121998</v>
      </c>
      <c r="AI24" s="14">
        <v>0.121998</v>
      </c>
      <c r="AJ24" s="14">
        <v>0.123569</v>
      </c>
      <c r="AK24" s="15">
        <v>5.8900000000000003E-3</v>
      </c>
    </row>
    <row r="25" spans="1:37" ht="15" customHeight="1" x14ac:dyDescent="0.75">
      <c r="A25" s="6" t="s">
        <v>30</v>
      </c>
      <c r="B25" s="13" t="s">
        <v>31</v>
      </c>
      <c r="C25" s="14">
        <v>201.21060199999999</v>
      </c>
      <c r="D25" s="14">
        <v>214.30001799999999</v>
      </c>
      <c r="E25" s="14">
        <v>229.26295500000001</v>
      </c>
      <c r="F25" s="14">
        <v>241.686218</v>
      </c>
      <c r="G25" s="14">
        <v>256.39144900000002</v>
      </c>
      <c r="H25" s="14">
        <v>267.14679000000001</v>
      </c>
      <c r="I25" s="14">
        <v>278.43472300000002</v>
      </c>
      <c r="J25" s="14">
        <v>281.96026599999999</v>
      </c>
      <c r="K25" s="14">
        <v>285.54476899999997</v>
      </c>
      <c r="L25" s="14">
        <v>288.06872600000003</v>
      </c>
      <c r="M25" s="14">
        <v>291.608429</v>
      </c>
      <c r="N25" s="14">
        <v>295.24517800000001</v>
      </c>
      <c r="O25" s="14">
        <v>301.88183600000002</v>
      </c>
      <c r="P25" s="14">
        <v>304.16018700000001</v>
      </c>
      <c r="Q25" s="14">
        <v>310.39306599999998</v>
      </c>
      <c r="R25" s="14">
        <v>311.054596</v>
      </c>
      <c r="S25" s="14">
        <v>314.80355800000001</v>
      </c>
      <c r="T25" s="14">
        <v>320.61947600000002</v>
      </c>
      <c r="U25" s="14">
        <v>327.44125400000001</v>
      </c>
      <c r="V25" s="14">
        <v>336.38537600000001</v>
      </c>
      <c r="W25" s="14">
        <v>344.790009</v>
      </c>
      <c r="X25" s="14">
        <v>354.46923800000002</v>
      </c>
      <c r="Y25" s="14">
        <v>365.722534</v>
      </c>
      <c r="Z25" s="14">
        <v>366.69189499999999</v>
      </c>
      <c r="AA25" s="14">
        <v>377.93118299999998</v>
      </c>
      <c r="AB25" s="14">
        <v>379.31778000000003</v>
      </c>
      <c r="AC25" s="14">
        <v>391.287598</v>
      </c>
      <c r="AD25" s="14">
        <v>393.42416400000002</v>
      </c>
      <c r="AE25" s="14">
        <v>397.17782599999998</v>
      </c>
      <c r="AF25" s="14">
        <v>409.83667000000003</v>
      </c>
      <c r="AG25" s="14">
        <v>423.12609900000001</v>
      </c>
      <c r="AH25" s="14">
        <v>425.96310399999999</v>
      </c>
      <c r="AI25" s="14">
        <v>438.77340700000002</v>
      </c>
      <c r="AJ25" s="14">
        <v>446.23230000000001</v>
      </c>
      <c r="AK25" s="15">
        <v>2.3185000000000001E-2</v>
      </c>
    </row>
    <row r="26" spans="1:37" ht="15" customHeight="1" x14ac:dyDescent="0.75">
      <c r="A26" s="6" t="s">
        <v>32</v>
      </c>
      <c r="B26" s="13" t="s">
        <v>33</v>
      </c>
      <c r="C26" s="14">
        <v>0</v>
      </c>
      <c r="D26" s="14">
        <v>0</v>
      </c>
      <c r="E26" s="14">
        <v>0</v>
      </c>
      <c r="F26" s="14">
        <v>1.549955</v>
      </c>
      <c r="G26" s="14">
        <v>1.737015</v>
      </c>
      <c r="H26" s="14">
        <v>1.9216139999999999</v>
      </c>
      <c r="I26" s="14">
        <v>2.1300249999999998</v>
      </c>
      <c r="J26" s="14">
        <v>2.3810440000000002</v>
      </c>
      <c r="K26" s="14">
        <v>2.6740729999999999</v>
      </c>
      <c r="L26" s="14">
        <v>3.043898</v>
      </c>
      <c r="M26" s="14">
        <v>3.4392390000000002</v>
      </c>
      <c r="N26" s="14">
        <v>3.898479</v>
      </c>
      <c r="O26" s="14">
        <v>4.4138760000000001</v>
      </c>
      <c r="P26" s="14">
        <v>4.959581</v>
      </c>
      <c r="Q26" s="14">
        <v>5.4664989999999998</v>
      </c>
      <c r="R26" s="14">
        <v>6.1122639999999997</v>
      </c>
      <c r="S26" s="14">
        <v>6.7578430000000003</v>
      </c>
      <c r="T26" s="14">
        <v>7.5212870000000001</v>
      </c>
      <c r="U26" s="14">
        <v>8.4065849999999998</v>
      </c>
      <c r="V26" s="14">
        <v>9.3650470000000006</v>
      </c>
      <c r="W26" s="14">
        <v>10.470656999999999</v>
      </c>
      <c r="X26" s="14">
        <v>11.609406</v>
      </c>
      <c r="Y26" s="14">
        <v>12.832675999999999</v>
      </c>
      <c r="Z26" s="14">
        <v>14.179005999999999</v>
      </c>
      <c r="AA26" s="14">
        <v>15.613872000000001</v>
      </c>
      <c r="AB26" s="14">
        <v>17.131450999999998</v>
      </c>
      <c r="AC26" s="14">
        <v>18.720569999999999</v>
      </c>
      <c r="AD26" s="14">
        <v>20.528061000000001</v>
      </c>
      <c r="AE26" s="14">
        <v>22.37632</v>
      </c>
      <c r="AF26" s="14">
        <v>24.270847</v>
      </c>
      <c r="AG26" s="14">
        <v>26.195222999999999</v>
      </c>
      <c r="AH26" s="14">
        <v>27.978928</v>
      </c>
      <c r="AI26" s="14">
        <v>29.724710000000002</v>
      </c>
      <c r="AJ26" s="14">
        <v>31.575861</v>
      </c>
      <c r="AK26" s="15" t="s">
        <v>34</v>
      </c>
    </row>
    <row r="27" spans="1:37" ht="15" customHeight="1" x14ac:dyDescent="0.75">
      <c r="A27" s="6" t="s">
        <v>35</v>
      </c>
      <c r="B27" s="12" t="s">
        <v>36</v>
      </c>
      <c r="C27" s="16">
        <v>1012.411682</v>
      </c>
      <c r="D27" s="16">
        <v>1028.304443</v>
      </c>
      <c r="E27" s="16">
        <v>1047.627808</v>
      </c>
      <c r="F27" s="16">
        <v>1072.3055420000001</v>
      </c>
      <c r="G27" s="16">
        <v>1083.0888669999999</v>
      </c>
      <c r="H27" s="16">
        <v>1086.9676509999999</v>
      </c>
      <c r="I27" s="16">
        <v>1091.0604249999999</v>
      </c>
      <c r="J27" s="16">
        <v>1092.6613769999999</v>
      </c>
      <c r="K27" s="16">
        <v>1095.9528809999999</v>
      </c>
      <c r="L27" s="16">
        <v>1097.5043949999999</v>
      </c>
      <c r="M27" s="16">
        <v>1107.7818600000001</v>
      </c>
      <c r="N27" s="16">
        <v>1114.735962</v>
      </c>
      <c r="O27" s="16">
        <v>1124.5795900000001</v>
      </c>
      <c r="P27" s="16">
        <v>1134.700928</v>
      </c>
      <c r="Q27" s="16">
        <v>1147.981323</v>
      </c>
      <c r="R27" s="16">
        <v>1154.5794679999999</v>
      </c>
      <c r="S27" s="16">
        <v>1166.603394</v>
      </c>
      <c r="T27" s="16">
        <v>1181.7310789999999</v>
      </c>
      <c r="U27" s="16">
        <v>1195.195923</v>
      </c>
      <c r="V27" s="16">
        <v>1213.0582280000001</v>
      </c>
      <c r="W27" s="16">
        <v>1231.515259</v>
      </c>
      <c r="X27" s="16">
        <v>1248.955078</v>
      </c>
      <c r="Y27" s="16">
        <v>1269.6094969999999</v>
      </c>
      <c r="Z27" s="16">
        <v>1282.9176030000001</v>
      </c>
      <c r="AA27" s="16">
        <v>1305.910034</v>
      </c>
      <c r="AB27" s="16">
        <v>1315.806519</v>
      </c>
      <c r="AC27" s="16">
        <v>1337.1729740000001</v>
      </c>
      <c r="AD27" s="16">
        <v>1350.6640620000001</v>
      </c>
      <c r="AE27" s="16">
        <v>1367.4677730000001</v>
      </c>
      <c r="AF27" s="16">
        <v>1392.363525</v>
      </c>
      <c r="AG27" s="16">
        <v>1416.346436</v>
      </c>
      <c r="AH27" s="16">
        <v>1432.0167240000001</v>
      </c>
      <c r="AI27" s="16">
        <v>1454.3930660000001</v>
      </c>
      <c r="AJ27" s="16">
        <v>1475.3236079999999</v>
      </c>
      <c r="AK27" s="17">
        <v>1.1344E-2</v>
      </c>
    </row>
    <row r="28" spans="1:37" ht="15" customHeight="1" x14ac:dyDescent="0.75">
      <c r="B28" s="12" t="s">
        <v>37</v>
      </c>
    </row>
    <row r="29" spans="1:37" ht="15" customHeight="1" x14ac:dyDescent="0.75">
      <c r="A29" s="6" t="s">
        <v>38</v>
      </c>
      <c r="B29" s="13" t="s">
        <v>39</v>
      </c>
      <c r="C29" s="14">
        <v>3.1322999999999999</v>
      </c>
      <c r="D29" s="14">
        <v>2.9876999999999998</v>
      </c>
      <c r="E29" s="14">
        <v>2.9876999999999998</v>
      </c>
      <c r="F29" s="14">
        <v>2.6821000000000002</v>
      </c>
      <c r="G29" s="14">
        <v>2.6821000000000002</v>
      </c>
      <c r="H29" s="14">
        <v>2.6821000000000002</v>
      </c>
      <c r="I29" s="14">
        <v>2.6821000000000002</v>
      </c>
      <c r="J29" s="14">
        <v>2.6821000000000002</v>
      </c>
      <c r="K29" s="14">
        <v>2.6821000000000002</v>
      </c>
      <c r="L29" s="14">
        <v>2.6821000000000002</v>
      </c>
      <c r="M29" s="14">
        <v>2.6821000000000002</v>
      </c>
      <c r="N29" s="14">
        <v>2.6821000000000002</v>
      </c>
      <c r="O29" s="14">
        <v>2.6821000000000002</v>
      </c>
      <c r="P29" s="14">
        <v>2.6821000000000002</v>
      </c>
      <c r="Q29" s="14">
        <v>2.6821000000000002</v>
      </c>
      <c r="R29" s="14">
        <v>2.6821000000000002</v>
      </c>
      <c r="S29" s="14">
        <v>2.6821000000000002</v>
      </c>
      <c r="T29" s="14">
        <v>2.6821000000000002</v>
      </c>
      <c r="U29" s="14">
        <v>2.6821000000000002</v>
      </c>
      <c r="V29" s="14">
        <v>2.6821000000000002</v>
      </c>
      <c r="W29" s="14">
        <v>2.6821000000000002</v>
      </c>
      <c r="X29" s="14">
        <v>2.6821000000000002</v>
      </c>
      <c r="Y29" s="14">
        <v>2.6821000000000002</v>
      </c>
      <c r="Z29" s="14">
        <v>2.6821000000000002</v>
      </c>
      <c r="AA29" s="14">
        <v>2.6821000000000002</v>
      </c>
      <c r="AB29" s="14">
        <v>2.6821000000000002</v>
      </c>
      <c r="AC29" s="14">
        <v>2.6821000000000002</v>
      </c>
      <c r="AD29" s="14">
        <v>2.6821000000000002</v>
      </c>
      <c r="AE29" s="14">
        <v>2.6821000000000002</v>
      </c>
      <c r="AF29" s="14">
        <v>2.6821000000000002</v>
      </c>
      <c r="AG29" s="14">
        <v>2.6821000000000002</v>
      </c>
      <c r="AH29" s="14">
        <v>2.6821000000000002</v>
      </c>
      <c r="AI29" s="14">
        <v>2.6821000000000002</v>
      </c>
      <c r="AJ29" s="14">
        <v>2.6821000000000002</v>
      </c>
      <c r="AK29" s="15">
        <v>-3.3660000000000001E-3</v>
      </c>
    </row>
    <row r="30" spans="1:37" ht="15" customHeight="1" x14ac:dyDescent="0.75">
      <c r="A30" s="6" t="s">
        <v>40</v>
      </c>
      <c r="B30" s="13" t="s">
        <v>41</v>
      </c>
      <c r="C30" s="14">
        <v>0.60619999999999996</v>
      </c>
      <c r="D30" s="14">
        <v>0.60619999999999996</v>
      </c>
      <c r="E30" s="14">
        <v>0.60619999999999996</v>
      </c>
      <c r="F30" s="14">
        <v>0.60619999999999996</v>
      </c>
      <c r="G30" s="14">
        <v>0.60619999999999996</v>
      </c>
      <c r="H30" s="14">
        <v>0.60619999999999996</v>
      </c>
      <c r="I30" s="14">
        <v>0.60619999999999996</v>
      </c>
      <c r="J30" s="14">
        <v>0.60619999999999996</v>
      </c>
      <c r="K30" s="14">
        <v>0.60619999999999996</v>
      </c>
      <c r="L30" s="14">
        <v>0.60619999999999996</v>
      </c>
      <c r="M30" s="14">
        <v>0.60619999999999996</v>
      </c>
      <c r="N30" s="14">
        <v>0.60619999999999996</v>
      </c>
      <c r="O30" s="14">
        <v>0.60619999999999996</v>
      </c>
      <c r="P30" s="14">
        <v>0.60619999999999996</v>
      </c>
      <c r="Q30" s="14">
        <v>0.60619999999999996</v>
      </c>
      <c r="R30" s="14">
        <v>0.60619999999999996</v>
      </c>
      <c r="S30" s="14">
        <v>0.60619999999999996</v>
      </c>
      <c r="T30" s="14">
        <v>0.60619999999999996</v>
      </c>
      <c r="U30" s="14">
        <v>0.60619999999999996</v>
      </c>
      <c r="V30" s="14">
        <v>0.60619999999999996</v>
      </c>
      <c r="W30" s="14">
        <v>0.60619999999999996</v>
      </c>
      <c r="X30" s="14">
        <v>0.60619999999999996</v>
      </c>
      <c r="Y30" s="14">
        <v>0.60619999999999996</v>
      </c>
      <c r="Z30" s="14">
        <v>0.60619999999999996</v>
      </c>
      <c r="AA30" s="14">
        <v>0.60619999999999996</v>
      </c>
      <c r="AB30" s="14">
        <v>0.60619999999999996</v>
      </c>
      <c r="AC30" s="14">
        <v>0.60619999999999996</v>
      </c>
      <c r="AD30" s="14">
        <v>0.60619999999999996</v>
      </c>
      <c r="AE30" s="14">
        <v>0.60619999999999996</v>
      </c>
      <c r="AF30" s="14">
        <v>0.60619999999999996</v>
      </c>
      <c r="AG30" s="14">
        <v>0.60619999999999996</v>
      </c>
      <c r="AH30" s="14">
        <v>0.60619999999999996</v>
      </c>
      <c r="AI30" s="14">
        <v>0.60619999999999996</v>
      </c>
      <c r="AJ30" s="14">
        <v>0.60619999999999996</v>
      </c>
      <c r="AK30" s="15">
        <v>0</v>
      </c>
    </row>
    <row r="31" spans="1:37" ht="15" customHeight="1" x14ac:dyDescent="0.75">
      <c r="A31" s="6" t="s">
        <v>42</v>
      </c>
      <c r="B31" s="13" t="s">
        <v>19</v>
      </c>
      <c r="C31" s="14">
        <v>23.575500000000002</v>
      </c>
      <c r="D31" s="14">
        <v>23.386599</v>
      </c>
      <c r="E31" s="14">
        <v>23.336599</v>
      </c>
      <c r="F31" s="14">
        <v>23.564598</v>
      </c>
      <c r="G31" s="14">
        <v>23.564598</v>
      </c>
      <c r="H31" s="14">
        <v>23.564598</v>
      </c>
      <c r="I31" s="14">
        <v>23.385998000000001</v>
      </c>
      <c r="J31" s="14">
        <v>23.385998000000001</v>
      </c>
      <c r="K31" s="14">
        <v>23.385998000000001</v>
      </c>
      <c r="L31" s="14">
        <v>23.385998000000001</v>
      </c>
      <c r="M31" s="14">
        <v>23.385998000000001</v>
      </c>
      <c r="N31" s="14">
        <v>23.385998000000001</v>
      </c>
      <c r="O31" s="14">
        <v>23.385998000000001</v>
      </c>
      <c r="P31" s="14">
        <v>23.385998000000001</v>
      </c>
      <c r="Q31" s="14">
        <v>23.385998000000001</v>
      </c>
      <c r="R31" s="14">
        <v>23.385998000000001</v>
      </c>
      <c r="S31" s="14">
        <v>23.385998000000001</v>
      </c>
      <c r="T31" s="14">
        <v>23.385998000000001</v>
      </c>
      <c r="U31" s="14">
        <v>23.385998000000001</v>
      </c>
      <c r="V31" s="14">
        <v>23.385998000000001</v>
      </c>
      <c r="W31" s="14">
        <v>23.385998000000001</v>
      </c>
      <c r="X31" s="14">
        <v>23.385998000000001</v>
      </c>
      <c r="Y31" s="14">
        <v>23.385998000000001</v>
      </c>
      <c r="Z31" s="14">
        <v>23.385998000000001</v>
      </c>
      <c r="AA31" s="14">
        <v>23.385998000000001</v>
      </c>
      <c r="AB31" s="14">
        <v>23.385998000000001</v>
      </c>
      <c r="AC31" s="14">
        <v>23.385998000000001</v>
      </c>
      <c r="AD31" s="14">
        <v>23.385998000000001</v>
      </c>
      <c r="AE31" s="14">
        <v>23.385998000000001</v>
      </c>
      <c r="AF31" s="14">
        <v>23.385998000000001</v>
      </c>
      <c r="AG31" s="14">
        <v>23.385998000000001</v>
      </c>
      <c r="AH31" s="14">
        <v>23.385998000000001</v>
      </c>
      <c r="AI31" s="14">
        <v>23.385998000000001</v>
      </c>
      <c r="AJ31" s="14">
        <v>23.385998000000001</v>
      </c>
      <c r="AK31" s="15">
        <v>-9.9999999999999995E-7</v>
      </c>
    </row>
    <row r="32" spans="1:37" ht="15" customHeight="1" x14ac:dyDescent="0.75">
      <c r="A32" s="6" t="s">
        <v>43</v>
      </c>
      <c r="B32" s="13" t="s">
        <v>21</v>
      </c>
      <c r="C32" s="14">
        <v>3.1941000000000002</v>
      </c>
      <c r="D32" s="14">
        <v>3.1941000000000002</v>
      </c>
      <c r="E32" s="14">
        <v>3.1461000000000001</v>
      </c>
      <c r="F32" s="14">
        <v>3.0966</v>
      </c>
      <c r="G32" s="14">
        <v>3.0966</v>
      </c>
      <c r="H32" s="14">
        <v>3.0966</v>
      </c>
      <c r="I32" s="14">
        <v>3.0966</v>
      </c>
      <c r="J32" s="14">
        <v>3.0966</v>
      </c>
      <c r="K32" s="14">
        <v>3.0966</v>
      </c>
      <c r="L32" s="14">
        <v>3.0966</v>
      </c>
      <c r="M32" s="14">
        <v>3.0966</v>
      </c>
      <c r="N32" s="14">
        <v>3.0966</v>
      </c>
      <c r="O32" s="14">
        <v>3.0966</v>
      </c>
      <c r="P32" s="14">
        <v>3.0966</v>
      </c>
      <c r="Q32" s="14">
        <v>3.0966</v>
      </c>
      <c r="R32" s="14">
        <v>3.0966</v>
      </c>
      <c r="S32" s="14">
        <v>3.0966</v>
      </c>
      <c r="T32" s="14">
        <v>3.0966</v>
      </c>
      <c r="U32" s="14">
        <v>3.0966</v>
      </c>
      <c r="V32" s="14">
        <v>3.0966</v>
      </c>
      <c r="W32" s="14">
        <v>3.0966</v>
      </c>
      <c r="X32" s="14">
        <v>3.0966</v>
      </c>
      <c r="Y32" s="14">
        <v>3.0966</v>
      </c>
      <c r="Z32" s="14">
        <v>3.0966</v>
      </c>
      <c r="AA32" s="14">
        <v>3.0966</v>
      </c>
      <c r="AB32" s="14">
        <v>3.0966</v>
      </c>
      <c r="AC32" s="14">
        <v>3.0966</v>
      </c>
      <c r="AD32" s="14">
        <v>3.0966</v>
      </c>
      <c r="AE32" s="14">
        <v>3.0966</v>
      </c>
      <c r="AF32" s="14">
        <v>3.0966</v>
      </c>
      <c r="AG32" s="14">
        <v>3.0966</v>
      </c>
      <c r="AH32" s="14">
        <v>3.0966</v>
      </c>
      <c r="AI32" s="14">
        <v>3.0966</v>
      </c>
      <c r="AJ32" s="14">
        <v>3.0966</v>
      </c>
      <c r="AK32" s="15">
        <v>-9.68E-4</v>
      </c>
    </row>
    <row r="33" spans="1:37" ht="15" customHeight="1" x14ac:dyDescent="0.75">
      <c r="A33" s="6" t="s">
        <v>44</v>
      </c>
      <c r="B33" s="13" t="s">
        <v>31</v>
      </c>
      <c r="C33" s="14">
        <v>0.95</v>
      </c>
      <c r="D33" s="14">
        <v>0.94310000000000005</v>
      </c>
      <c r="E33" s="14">
        <v>0.94510000000000005</v>
      </c>
      <c r="F33" s="14">
        <v>0.94510000000000005</v>
      </c>
      <c r="G33" s="14">
        <v>0.94510000000000005</v>
      </c>
      <c r="H33" s="14">
        <v>0.94510000000000005</v>
      </c>
      <c r="I33" s="14">
        <v>0.94510000000000005</v>
      </c>
      <c r="J33" s="14">
        <v>0.94510000000000005</v>
      </c>
      <c r="K33" s="14">
        <v>0.94510000000000005</v>
      </c>
      <c r="L33" s="14">
        <v>0.94510000000000005</v>
      </c>
      <c r="M33" s="14">
        <v>0.94510000000000005</v>
      </c>
      <c r="N33" s="14">
        <v>0.94510000000000005</v>
      </c>
      <c r="O33" s="14">
        <v>0.94510000000000005</v>
      </c>
      <c r="P33" s="14">
        <v>0.94510000000000005</v>
      </c>
      <c r="Q33" s="14">
        <v>0.94510000000000005</v>
      </c>
      <c r="R33" s="14">
        <v>0.94510000000000005</v>
      </c>
      <c r="S33" s="14">
        <v>0.94510000000000005</v>
      </c>
      <c r="T33" s="14">
        <v>0.94510000000000005</v>
      </c>
      <c r="U33" s="14">
        <v>0.94510000000000005</v>
      </c>
      <c r="V33" s="14">
        <v>0.94510000000000005</v>
      </c>
      <c r="W33" s="14">
        <v>0.94510000000000005</v>
      </c>
      <c r="X33" s="14">
        <v>0.94510000000000005</v>
      </c>
      <c r="Y33" s="14">
        <v>0.94510000000000005</v>
      </c>
      <c r="Z33" s="14">
        <v>0.94510000000000005</v>
      </c>
      <c r="AA33" s="14">
        <v>0.94510000000000005</v>
      </c>
      <c r="AB33" s="14">
        <v>0.94510000000000005</v>
      </c>
      <c r="AC33" s="14">
        <v>0.94510000000000005</v>
      </c>
      <c r="AD33" s="14">
        <v>0.94510000000000005</v>
      </c>
      <c r="AE33" s="14">
        <v>0.94510000000000005</v>
      </c>
      <c r="AF33" s="14">
        <v>0.94510000000000005</v>
      </c>
      <c r="AG33" s="14">
        <v>0.94510000000000005</v>
      </c>
      <c r="AH33" s="14">
        <v>0.94510000000000005</v>
      </c>
      <c r="AI33" s="14">
        <v>0.94510000000000005</v>
      </c>
      <c r="AJ33" s="14">
        <v>0.94510000000000005</v>
      </c>
      <c r="AK33" s="15">
        <v>6.6000000000000005E-5</v>
      </c>
    </row>
    <row r="34" spans="1:37" ht="15" customHeight="1" x14ac:dyDescent="0.75">
      <c r="A34" s="6" t="s">
        <v>45</v>
      </c>
      <c r="B34" s="12" t="s">
        <v>36</v>
      </c>
      <c r="C34" s="16">
        <v>31.458103000000001</v>
      </c>
      <c r="D34" s="16">
        <v>31.117699000000002</v>
      </c>
      <c r="E34" s="16">
        <v>31.021699999999999</v>
      </c>
      <c r="F34" s="16">
        <v>30.894597999999998</v>
      </c>
      <c r="G34" s="16">
        <v>30.894597999999998</v>
      </c>
      <c r="H34" s="16">
        <v>30.894597999999998</v>
      </c>
      <c r="I34" s="16">
        <v>30.715997999999999</v>
      </c>
      <c r="J34" s="16">
        <v>30.715997999999999</v>
      </c>
      <c r="K34" s="16">
        <v>30.715997999999999</v>
      </c>
      <c r="L34" s="16">
        <v>30.715997999999999</v>
      </c>
      <c r="M34" s="16">
        <v>30.715997999999999</v>
      </c>
      <c r="N34" s="16">
        <v>30.715997999999999</v>
      </c>
      <c r="O34" s="16">
        <v>30.715997999999999</v>
      </c>
      <c r="P34" s="16">
        <v>30.715997999999999</v>
      </c>
      <c r="Q34" s="16">
        <v>30.715997999999999</v>
      </c>
      <c r="R34" s="16">
        <v>30.715997999999999</v>
      </c>
      <c r="S34" s="16">
        <v>30.715997999999999</v>
      </c>
      <c r="T34" s="16">
        <v>30.715997999999999</v>
      </c>
      <c r="U34" s="16">
        <v>30.715997999999999</v>
      </c>
      <c r="V34" s="16">
        <v>30.715997999999999</v>
      </c>
      <c r="W34" s="16">
        <v>30.715997999999999</v>
      </c>
      <c r="X34" s="16">
        <v>30.715997999999999</v>
      </c>
      <c r="Y34" s="16">
        <v>30.715997999999999</v>
      </c>
      <c r="Z34" s="16">
        <v>30.715997999999999</v>
      </c>
      <c r="AA34" s="16">
        <v>30.715997999999999</v>
      </c>
      <c r="AB34" s="16">
        <v>30.715997999999999</v>
      </c>
      <c r="AC34" s="16">
        <v>30.715997999999999</v>
      </c>
      <c r="AD34" s="16">
        <v>30.715997999999999</v>
      </c>
      <c r="AE34" s="16">
        <v>30.715997999999999</v>
      </c>
      <c r="AF34" s="16">
        <v>30.715997999999999</v>
      </c>
      <c r="AG34" s="16">
        <v>30.715997999999999</v>
      </c>
      <c r="AH34" s="16">
        <v>30.715997999999999</v>
      </c>
      <c r="AI34" s="16">
        <v>30.715997999999999</v>
      </c>
      <c r="AJ34" s="16">
        <v>30.715997999999999</v>
      </c>
      <c r="AK34" s="17">
        <v>-4.06E-4</v>
      </c>
    </row>
    <row r="36" spans="1:37" ht="15" customHeight="1" x14ac:dyDescent="0.75">
      <c r="B36" s="12" t="s">
        <v>46</v>
      </c>
    </row>
    <row r="37" spans="1:37" ht="15" customHeight="1" x14ac:dyDescent="0.75">
      <c r="A37" s="6" t="s">
        <v>47</v>
      </c>
      <c r="B37" s="13" t="s">
        <v>39</v>
      </c>
      <c r="C37" s="14" t="s">
        <v>34</v>
      </c>
      <c r="D37" s="14" t="s">
        <v>34</v>
      </c>
      <c r="E37" s="14">
        <v>0</v>
      </c>
      <c r="F37" s="14">
        <v>0</v>
      </c>
      <c r="G37" s="14">
        <v>0</v>
      </c>
      <c r="H37" s="14">
        <v>0</v>
      </c>
      <c r="I37" s="14">
        <v>0</v>
      </c>
      <c r="J37" s="14">
        <v>0</v>
      </c>
      <c r="K37" s="14">
        <v>0</v>
      </c>
      <c r="L37" s="14">
        <v>0</v>
      </c>
      <c r="M37" s="14">
        <v>0</v>
      </c>
      <c r="N37" s="14">
        <v>0</v>
      </c>
      <c r="O37" s="14">
        <v>0</v>
      </c>
      <c r="P37" s="14">
        <v>0</v>
      </c>
      <c r="Q37" s="14">
        <v>0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0</v>
      </c>
      <c r="Y37" s="14">
        <v>0</v>
      </c>
      <c r="Z37" s="14">
        <v>0</v>
      </c>
      <c r="AA37" s="14">
        <v>0</v>
      </c>
      <c r="AB37" s="14">
        <v>0</v>
      </c>
      <c r="AC37" s="14">
        <v>0</v>
      </c>
      <c r="AD37" s="14">
        <v>0</v>
      </c>
      <c r="AE37" s="14">
        <v>0</v>
      </c>
      <c r="AF37" s="14">
        <v>0</v>
      </c>
      <c r="AG37" s="14">
        <v>0</v>
      </c>
      <c r="AH37" s="14">
        <v>0</v>
      </c>
      <c r="AI37" s="14">
        <v>0</v>
      </c>
      <c r="AJ37" s="14">
        <v>0</v>
      </c>
      <c r="AK37" s="15" t="s">
        <v>34</v>
      </c>
    </row>
    <row r="38" spans="1:37" ht="15" customHeight="1" x14ac:dyDescent="0.75">
      <c r="A38" s="6" t="s">
        <v>48</v>
      </c>
      <c r="B38" s="13" t="s">
        <v>41</v>
      </c>
      <c r="C38" s="14" t="s">
        <v>34</v>
      </c>
      <c r="D38" s="14" t="s">
        <v>34</v>
      </c>
      <c r="E38" s="14">
        <v>0</v>
      </c>
      <c r="F38" s="14">
        <v>0</v>
      </c>
      <c r="G38" s="14">
        <v>0</v>
      </c>
      <c r="H38" s="14">
        <v>0</v>
      </c>
      <c r="I38" s="14">
        <v>0</v>
      </c>
      <c r="J38" s="14">
        <v>0</v>
      </c>
      <c r="K38" s="14">
        <v>0</v>
      </c>
      <c r="L38" s="14">
        <v>0</v>
      </c>
      <c r="M38" s="14">
        <v>0</v>
      </c>
      <c r="N38" s="14">
        <v>0</v>
      </c>
      <c r="O38" s="14">
        <v>0</v>
      </c>
      <c r="P38" s="14">
        <v>0</v>
      </c>
      <c r="Q38" s="14">
        <v>0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0</v>
      </c>
      <c r="Y38" s="14">
        <v>0</v>
      </c>
      <c r="Z38" s="14">
        <v>0</v>
      </c>
      <c r="AA38" s="14">
        <v>0</v>
      </c>
      <c r="AB38" s="14">
        <v>0</v>
      </c>
      <c r="AC38" s="14">
        <v>0</v>
      </c>
      <c r="AD38" s="14">
        <v>0</v>
      </c>
      <c r="AE38" s="14">
        <v>0</v>
      </c>
      <c r="AF38" s="14">
        <v>0</v>
      </c>
      <c r="AG38" s="14">
        <v>0</v>
      </c>
      <c r="AH38" s="14">
        <v>0</v>
      </c>
      <c r="AI38" s="14">
        <v>0</v>
      </c>
      <c r="AJ38" s="14">
        <v>0</v>
      </c>
      <c r="AK38" s="15" t="s">
        <v>34</v>
      </c>
    </row>
    <row r="39" spans="1:37" ht="15" customHeight="1" x14ac:dyDescent="0.75">
      <c r="A39" s="6" t="s">
        <v>49</v>
      </c>
      <c r="B39" s="13" t="s">
        <v>19</v>
      </c>
      <c r="C39" s="14" t="s">
        <v>34</v>
      </c>
      <c r="D39" s="14" t="s">
        <v>34</v>
      </c>
      <c r="E39" s="14">
        <v>6.6498010000000001</v>
      </c>
      <c r="F39" s="14">
        <v>16.523401</v>
      </c>
      <c r="G39" s="14">
        <v>16.523401</v>
      </c>
      <c r="H39" s="14">
        <v>16.523401</v>
      </c>
      <c r="I39" s="14">
        <v>16.523401</v>
      </c>
      <c r="J39" s="14">
        <v>16.523401</v>
      </c>
      <c r="K39" s="14">
        <v>16.523401</v>
      </c>
      <c r="L39" s="14">
        <v>16.523401</v>
      </c>
      <c r="M39" s="14">
        <v>16.523401</v>
      </c>
      <c r="N39" s="14">
        <v>16.523401</v>
      </c>
      <c r="O39" s="14">
        <v>16.523401</v>
      </c>
      <c r="P39" s="14">
        <v>16.523401</v>
      </c>
      <c r="Q39" s="14">
        <v>16.523401</v>
      </c>
      <c r="R39" s="14">
        <v>16.523401</v>
      </c>
      <c r="S39" s="14">
        <v>16.523401</v>
      </c>
      <c r="T39" s="14">
        <v>16.523401</v>
      </c>
      <c r="U39" s="14">
        <v>16.523401</v>
      </c>
      <c r="V39" s="14">
        <v>16.523401</v>
      </c>
      <c r="W39" s="14">
        <v>16.523401</v>
      </c>
      <c r="X39" s="14">
        <v>16.523401</v>
      </c>
      <c r="Y39" s="14">
        <v>16.523401</v>
      </c>
      <c r="Z39" s="14">
        <v>16.523401</v>
      </c>
      <c r="AA39" s="14">
        <v>16.523401</v>
      </c>
      <c r="AB39" s="14">
        <v>16.523401</v>
      </c>
      <c r="AC39" s="14">
        <v>16.523401</v>
      </c>
      <c r="AD39" s="14">
        <v>16.523401</v>
      </c>
      <c r="AE39" s="14">
        <v>16.523401</v>
      </c>
      <c r="AF39" s="14">
        <v>16.523401</v>
      </c>
      <c r="AG39" s="14">
        <v>16.523401</v>
      </c>
      <c r="AH39" s="14">
        <v>16.523401</v>
      </c>
      <c r="AI39" s="14">
        <v>16.523401</v>
      </c>
      <c r="AJ39" s="14">
        <v>16.523401</v>
      </c>
      <c r="AK39" s="15" t="s">
        <v>34</v>
      </c>
    </row>
    <row r="40" spans="1:37" ht="15" customHeight="1" x14ac:dyDescent="0.75">
      <c r="A40" s="6" t="s">
        <v>50</v>
      </c>
      <c r="B40" s="13" t="s">
        <v>21</v>
      </c>
      <c r="C40" s="14" t="s">
        <v>34</v>
      </c>
      <c r="D40" s="14" t="s">
        <v>34</v>
      </c>
      <c r="E40" s="14">
        <v>2.508</v>
      </c>
      <c r="F40" s="14">
        <v>6.9855999999999998</v>
      </c>
      <c r="G40" s="14">
        <v>6.9855999999999998</v>
      </c>
      <c r="H40" s="14">
        <v>6.9855999999999998</v>
      </c>
      <c r="I40" s="14">
        <v>6.9855999999999998</v>
      </c>
      <c r="J40" s="14">
        <v>6.9855999999999998</v>
      </c>
      <c r="K40" s="14">
        <v>6.9855999999999998</v>
      </c>
      <c r="L40" s="14">
        <v>6.9855999999999998</v>
      </c>
      <c r="M40" s="14">
        <v>6.9855999999999998</v>
      </c>
      <c r="N40" s="14">
        <v>6.9855999999999998</v>
      </c>
      <c r="O40" s="14">
        <v>6.9855999999999998</v>
      </c>
      <c r="P40" s="14">
        <v>6.9855999999999998</v>
      </c>
      <c r="Q40" s="14">
        <v>6.9855999999999998</v>
      </c>
      <c r="R40" s="14">
        <v>6.9855999999999998</v>
      </c>
      <c r="S40" s="14">
        <v>6.9855999999999998</v>
      </c>
      <c r="T40" s="14">
        <v>6.9855999999999998</v>
      </c>
      <c r="U40" s="14">
        <v>6.9855999999999998</v>
      </c>
      <c r="V40" s="14">
        <v>6.9855999999999998</v>
      </c>
      <c r="W40" s="14">
        <v>6.9855999999999998</v>
      </c>
      <c r="X40" s="14">
        <v>6.9855999999999998</v>
      </c>
      <c r="Y40" s="14">
        <v>6.9855999999999998</v>
      </c>
      <c r="Z40" s="14">
        <v>6.9855999999999998</v>
      </c>
      <c r="AA40" s="14">
        <v>6.9855999999999998</v>
      </c>
      <c r="AB40" s="14">
        <v>6.9855999999999998</v>
      </c>
      <c r="AC40" s="14">
        <v>6.9855999999999998</v>
      </c>
      <c r="AD40" s="14">
        <v>6.9855999999999998</v>
      </c>
      <c r="AE40" s="14">
        <v>6.9855999999999998</v>
      </c>
      <c r="AF40" s="14">
        <v>6.9855999999999998</v>
      </c>
      <c r="AG40" s="14">
        <v>6.9855999999999998</v>
      </c>
      <c r="AH40" s="14">
        <v>6.9855999999999998</v>
      </c>
      <c r="AI40" s="14">
        <v>6.9855999999999998</v>
      </c>
      <c r="AJ40" s="14">
        <v>6.9855999999999998</v>
      </c>
      <c r="AK40" s="15" t="s">
        <v>34</v>
      </c>
    </row>
    <row r="41" spans="1:37" ht="15" customHeight="1" x14ac:dyDescent="0.75">
      <c r="A41" s="6" t="s">
        <v>51</v>
      </c>
      <c r="B41" s="13" t="s">
        <v>52</v>
      </c>
      <c r="C41" s="14" t="s">
        <v>34</v>
      </c>
      <c r="D41" s="14" t="s">
        <v>34</v>
      </c>
      <c r="E41" s="14">
        <v>0</v>
      </c>
      <c r="F41" s="14">
        <v>0</v>
      </c>
      <c r="G41" s="14">
        <v>2.2000000000000002</v>
      </c>
      <c r="H41" s="14">
        <v>2.2000000000000002</v>
      </c>
      <c r="I41" s="14">
        <v>2.2000000000000002</v>
      </c>
      <c r="J41" s="14">
        <v>2.2000000000000002</v>
      </c>
      <c r="K41" s="14">
        <v>2.2000000000000002</v>
      </c>
      <c r="L41" s="14">
        <v>2.2000000000000002</v>
      </c>
      <c r="M41" s="14">
        <v>2.2000000000000002</v>
      </c>
      <c r="N41" s="14">
        <v>2.2000000000000002</v>
      </c>
      <c r="O41" s="14">
        <v>2.2000000000000002</v>
      </c>
      <c r="P41" s="14">
        <v>2.2000000000000002</v>
      </c>
      <c r="Q41" s="14">
        <v>2.2000000000000002</v>
      </c>
      <c r="R41" s="14">
        <v>2.2000000000000002</v>
      </c>
      <c r="S41" s="14">
        <v>2.2000000000000002</v>
      </c>
      <c r="T41" s="14">
        <v>2.2000000000000002</v>
      </c>
      <c r="U41" s="14">
        <v>2.2000000000000002</v>
      </c>
      <c r="V41" s="14">
        <v>2.2000000000000002</v>
      </c>
      <c r="W41" s="14">
        <v>2.2000000000000002</v>
      </c>
      <c r="X41" s="14">
        <v>2.2000000000000002</v>
      </c>
      <c r="Y41" s="14">
        <v>2.2000000000000002</v>
      </c>
      <c r="Z41" s="14">
        <v>2.2000000000000002</v>
      </c>
      <c r="AA41" s="14">
        <v>2.2000000000000002</v>
      </c>
      <c r="AB41" s="14">
        <v>2.2000000000000002</v>
      </c>
      <c r="AC41" s="14">
        <v>2.2000000000000002</v>
      </c>
      <c r="AD41" s="14">
        <v>2.2000000000000002</v>
      </c>
      <c r="AE41" s="14">
        <v>2.2000000000000002</v>
      </c>
      <c r="AF41" s="14">
        <v>2.2000000000000002</v>
      </c>
      <c r="AG41" s="14">
        <v>2.2000000000000002</v>
      </c>
      <c r="AH41" s="14">
        <v>2.2000000000000002</v>
      </c>
      <c r="AI41" s="14">
        <v>2.2000000000000002</v>
      </c>
      <c r="AJ41" s="14">
        <v>2.2000000000000002</v>
      </c>
      <c r="AK41" s="15" t="s">
        <v>34</v>
      </c>
    </row>
    <row r="42" spans="1:37" ht="15" customHeight="1" x14ac:dyDescent="0.75">
      <c r="A42" s="6" t="s">
        <v>53</v>
      </c>
      <c r="B42" s="13" t="s">
        <v>25</v>
      </c>
      <c r="C42" s="14" t="s">
        <v>34</v>
      </c>
      <c r="D42" s="14" t="s">
        <v>34</v>
      </c>
      <c r="E42" s="14">
        <v>0</v>
      </c>
      <c r="F42" s="14">
        <v>0</v>
      </c>
      <c r="G42" s="14">
        <v>0</v>
      </c>
      <c r="H42" s="14">
        <v>0</v>
      </c>
      <c r="I42" s="14">
        <v>0</v>
      </c>
      <c r="J42" s="14">
        <v>0</v>
      </c>
      <c r="K42" s="14">
        <v>0</v>
      </c>
      <c r="L42" s="14">
        <v>0</v>
      </c>
      <c r="M42" s="14">
        <v>0</v>
      </c>
      <c r="N42" s="14">
        <v>0</v>
      </c>
      <c r="O42" s="14">
        <v>0</v>
      </c>
      <c r="P42" s="14">
        <v>0</v>
      </c>
      <c r="Q42" s="14">
        <v>0</v>
      </c>
      <c r="R42" s="14">
        <v>0</v>
      </c>
      <c r="S42" s="14">
        <v>0</v>
      </c>
      <c r="T42" s="14">
        <v>0</v>
      </c>
      <c r="U42" s="14">
        <v>0</v>
      </c>
      <c r="V42" s="14">
        <v>0</v>
      </c>
      <c r="W42" s="14">
        <v>0</v>
      </c>
      <c r="X42" s="14">
        <v>0</v>
      </c>
      <c r="Y42" s="14">
        <v>0</v>
      </c>
      <c r="Z42" s="14">
        <v>0</v>
      </c>
      <c r="AA42" s="14">
        <v>0</v>
      </c>
      <c r="AB42" s="14">
        <v>0</v>
      </c>
      <c r="AC42" s="14">
        <v>0</v>
      </c>
      <c r="AD42" s="14">
        <v>0</v>
      </c>
      <c r="AE42" s="14">
        <v>0</v>
      </c>
      <c r="AF42" s="14">
        <v>0</v>
      </c>
      <c r="AG42" s="14">
        <v>0</v>
      </c>
      <c r="AH42" s="14">
        <v>0</v>
      </c>
      <c r="AI42" s="14">
        <v>0</v>
      </c>
      <c r="AJ42" s="14">
        <v>0</v>
      </c>
      <c r="AK42" s="15" t="s">
        <v>34</v>
      </c>
    </row>
    <row r="43" spans="1:37" ht="15" customHeight="1" x14ac:dyDescent="0.75">
      <c r="A43" s="6" t="s">
        <v>54</v>
      </c>
      <c r="B43" s="13" t="s">
        <v>27</v>
      </c>
      <c r="C43" s="14" t="s">
        <v>34</v>
      </c>
      <c r="D43" s="14" t="s">
        <v>34</v>
      </c>
      <c r="E43" s="14">
        <v>4.5999999999999999E-2</v>
      </c>
      <c r="F43" s="14">
        <v>0.16700000000000001</v>
      </c>
      <c r="G43" s="14">
        <v>0.41699999999999998</v>
      </c>
      <c r="H43" s="14">
        <v>0.66700000000000004</v>
      </c>
      <c r="I43" s="14">
        <v>0.91700000000000004</v>
      </c>
      <c r="J43" s="14">
        <v>1.167</v>
      </c>
      <c r="K43" s="14">
        <v>1.167</v>
      </c>
      <c r="L43" s="14">
        <v>1.167</v>
      </c>
      <c r="M43" s="14">
        <v>1.167</v>
      </c>
      <c r="N43" s="14">
        <v>1.167</v>
      </c>
      <c r="O43" s="14">
        <v>1.167</v>
      </c>
      <c r="P43" s="14">
        <v>1.167</v>
      </c>
      <c r="Q43" s="14">
        <v>1.167</v>
      </c>
      <c r="R43" s="14">
        <v>1.167</v>
      </c>
      <c r="S43" s="14">
        <v>1.167</v>
      </c>
      <c r="T43" s="14">
        <v>1.167</v>
      </c>
      <c r="U43" s="14">
        <v>1.167</v>
      </c>
      <c r="V43" s="14">
        <v>1.167</v>
      </c>
      <c r="W43" s="14">
        <v>1.167</v>
      </c>
      <c r="X43" s="14">
        <v>1.167</v>
      </c>
      <c r="Y43" s="14">
        <v>1.167</v>
      </c>
      <c r="Z43" s="14">
        <v>1.167</v>
      </c>
      <c r="AA43" s="14">
        <v>1.167</v>
      </c>
      <c r="AB43" s="14">
        <v>1.167</v>
      </c>
      <c r="AC43" s="14">
        <v>1.167</v>
      </c>
      <c r="AD43" s="14">
        <v>1.167</v>
      </c>
      <c r="AE43" s="14">
        <v>1.167</v>
      </c>
      <c r="AF43" s="14">
        <v>1.167</v>
      </c>
      <c r="AG43" s="14">
        <v>1.167</v>
      </c>
      <c r="AH43" s="14">
        <v>1.167</v>
      </c>
      <c r="AI43" s="14">
        <v>1.167</v>
      </c>
      <c r="AJ43" s="14">
        <v>1.167</v>
      </c>
      <c r="AK43" s="15" t="s">
        <v>34</v>
      </c>
    </row>
    <row r="44" spans="1:37" ht="15" customHeight="1" x14ac:dyDescent="0.75">
      <c r="A44" s="6" t="s">
        <v>55</v>
      </c>
      <c r="B44" s="13" t="s">
        <v>29</v>
      </c>
      <c r="C44" s="14" t="s">
        <v>34</v>
      </c>
      <c r="D44" s="14" t="s">
        <v>34</v>
      </c>
      <c r="E44" s="14">
        <v>1.52E-2</v>
      </c>
      <c r="F44" s="14">
        <v>1.52E-2</v>
      </c>
      <c r="G44" s="14">
        <v>1.52E-2</v>
      </c>
      <c r="H44" s="14">
        <v>1.52E-2</v>
      </c>
      <c r="I44" s="14">
        <v>1.52E-2</v>
      </c>
      <c r="J44" s="14">
        <v>1.52E-2</v>
      </c>
      <c r="K44" s="14">
        <v>1.52E-2</v>
      </c>
      <c r="L44" s="14">
        <v>1.52E-2</v>
      </c>
      <c r="M44" s="14">
        <v>1.52E-2</v>
      </c>
      <c r="N44" s="14">
        <v>1.52E-2</v>
      </c>
      <c r="O44" s="14">
        <v>1.52E-2</v>
      </c>
      <c r="P44" s="14">
        <v>1.52E-2</v>
      </c>
      <c r="Q44" s="14">
        <v>1.52E-2</v>
      </c>
      <c r="R44" s="14">
        <v>1.52E-2</v>
      </c>
      <c r="S44" s="14">
        <v>1.52E-2</v>
      </c>
      <c r="T44" s="14">
        <v>1.52E-2</v>
      </c>
      <c r="U44" s="14">
        <v>1.52E-2</v>
      </c>
      <c r="V44" s="14">
        <v>1.52E-2</v>
      </c>
      <c r="W44" s="14">
        <v>1.52E-2</v>
      </c>
      <c r="X44" s="14">
        <v>1.52E-2</v>
      </c>
      <c r="Y44" s="14">
        <v>1.52E-2</v>
      </c>
      <c r="Z44" s="14">
        <v>1.52E-2</v>
      </c>
      <c r="AA44" s="14">
        <v>1.52E-2</v>
      </c>
      <c r="AB44" s="14">
        <v>1.52E-2</v>
      </c>
      <c r="AC44" s="14">
        <v>1.52E-2</v>
      </c>
      <c r="AD44" s="14">
        <v>1.52E-2</v>
      </c>
      <c r="AE44" s="14">
        <v>1.52E-2</v>
      </c>
      <c r="AF44" s="14">
        <v>1.52E-2</v>
      </c>
      <c r="AG44" s="14">
        <v>1.52E-2</v>
      </c>
      <c r="AH44" s="14">
        <v>1.52E-2</v>
      </c>
      <c r="AI44" s="14">
        <v>1.52E-2</v>
      </c>
      <c r="AJ44" s="14">
        <v>1.52E-2</v>
      </c>
      <c r="AK44" s="15" t="s">
        <v>34</v>
      </c>
    </row>
    <row r="45" spans="1:37" ht="15" customHeight="1" x14ac:dyDescent="0.75">
      <c r="A45" s="6" t="s">
        <v>56</v>
      </c>
      <c r="B45" s="13" t="s">
        <v>31</v>
      </c>
      <c r="C45" s="14" t="s">
        <v>34</v>
      </c>
      <c r="D45" s="14" t="s">
        <v>34</v>
      </c>
      <c r="E45" s="14">
        <v>14.974111000000001</v>
      </c>
      <c r="F45" s="14">
        <v>23.394006999999998</v>
      </c>
      <c r="G45" s="14">
        <v>23.605004999999998</v>
      </c>
      <c r="H45" s="14">
        <v>23.605004999999998</v>
      </c>
      <c r="I45" s="14">
        <v>23.605004999999998</v>
      </c>
      <c r="J45" s="14">
        <v>23.605004999999998</v>
      </c>
      <c r="K45" s="14">
        <v>23.605004999999998</v>
      </c>
      <c r="L45" s="14">
        <v>23.605004999999998</v>
      </c>
      <c r="M45" s="14">
        <v>23.605004999999998</v>
      </c>
      <c r="N45" s="14">
        <v>23.605004999999998</v>
      </c>
      <c r="O45" s="14">
        <v>23.605004999999998</v>
      </c>
      <c r="P45" s="14">
        <v>23.605004999999998</v>
      </c>
      <c r="Q45" s="14">
        <v>23.605004999999998</v>
      </c>
      <c r="R45" s="14">
        <v>23.605004999999998</v>
      </c>
      <c r="S45" s="14">
        <v>23.605004999999998</v>
      </c>
      <c r="T45" s="14">
        <v>23.605004999999998</v>
      </c>
      <c r="U45" s="14">
        <v>23.605004999999998</v>
      </c>
      <c r="V45" s="14">
        <v>23.605004999999998</v>
      </c>
      <c r="W45" s="14">
        <v>23.605004999999998</v>
      </c>
      <c r="X45" s="14">
        <v>23.605004999999998</v>
      </c>
      <c r="Y45" s="14">
        <v>23.605004999999998</v>
      </c>
      <c r="Z45" s="14">
        <v>23.605004999999998</v>
      </c>
      <c r="AA45" s="14">
        <v>23.605004999999998</v>
      </c>
      <c r="AB45" s="14">
        <v>23.605004999999998</v>
      </c>
      <c r="AC45" s="14">
        <v>23.605004999999998</v>
      </c>
      <c r="AD45" s="14">
        <v>23.605004999999998</v>
      </c>
      <c r="AE45" s="14">
        <v>23.605004999999998</v>
      </c>
      <c r="AF45" s="14">
        <v>23.605004999999998</v>
      </c>
      <c r="AG45" s="14">
        <v>23.605004999999998</v>
      </c>
      <c r="AH45" s="14">
        <v>23.605004999999998</v>
      </c>
      <c r="AI45" s="14">
        <v>23.605004999999998</v>
      </c>
      <c r="AJ45" s="14">
        <v>23.605004999999998</v>
      </c>
      <c r="AK45" s="15" t="s">
        <v>34</v>
      </c>
    </row>
    <row r="46" spans="1:37" ht="15" customHeight="1" x14ac:dyDescent="0.75">
      <c r="A46" s="6" t="s">
        <v>57</v>
      </c>
      <c r="B46" s="13" t="s">
        <v>58</v>
      </c>
      <c r="C46" s="14" t="s">
        <v>34</v>
      </c>
      <c r="D46" s="14" t="s">
        <v>34</v>
      </c>
      <c r="E46" s="14">
        <v>0</v>
      </c>
      <c r="F46" s="14">
        <v>0</v>
      </c>
      <c r="G46" s="14">
        <v>0</v>
      </c>
      <c r="H46" s="14">
        <v>0</v>
      </c>
      <c r="I46" s="14">
        <v>0</v>
      </c>
      <c r="J46" s="14">
        <v>0</v>
      </c>
      <c r="K46" s="14">
        <v>0</v>
      </c>
      <c r="L46" s="14">
        <v>0</v>
      </c>
      <c r="M46" s="14">
        <v>0</v>
      </c>
      <c r="N46" s="14">
        <v>0</v>
      </c>
      <c r="O46" s="14">
        <v>0</v>
      </c>
      <c r="P46" s="14">
        <v>0</v>
      </c>
      <c r="Q46" s="14">
        <v>0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0</v>
      </c>
      <c r="Y46" s="14">
        <v>0</v>
      </c>
      <c r="Z46" s="14">
        <v>0</v>
      </c>
      <c r="AA46" s="14">
        <v>0</v>
      </c>
      <c r="AB46" s="14">
        <v>0</v>
      </c>
      <c r="AC46" s="14">
        <v>0</v>
      </c>
      <c r="AD46" s="14">
        <v>0</v>
      </c>
      <c r="AE46" s="14">
        <v>0</v>
      </c>
      <c r="AF46" s="14">
        <v>0</v>
      </c>
      <c r="AG46" s="14">
        <v>0</v>
      </c>
      <c r="AH46" s="14">
        <v>0</v>
      </c>
      <c r="AI46" s="14">
        <v>0</v>
      </c>
      <c r="AJ46" s="14">
        <v>0</v>
      </c>
      <c r="AK46" s="15" t="s">
        <v>34</v>
      </c>
    </row>
    <row r="47" spans="1:37" ht="15" customHeight="1" x14ac:dyDescent="0.75">
      <c r="A47" s="6" t="s">
        <v>59</v>
      </c>
      <c r="B47" s="12" t="s">
        <v>36</v>
      </c>
      <c r="C47" s="16" t="s">
        <v>34</v>
      </c>
      <c r="D47" s="16" t="s">
        <v>34</v>
      </c>
      <c r="E47" s="16">
        <v>24.193102</v>
      </c>
      <c r="F47" s="16">
        <v>47.085197000000001</v>
      </c>
      <c r="G47" s="16">
        <v>49.746192999999998</v>
      </c>
      <c r="H47" s="16">
        <v>49.996192999999998</v>
      </c>
      <c r="I47" s="16">
        <v>50.246192999999998</v>
      </c>
      <c r="J47" s="16">
        <v>50.496192999999998</v>
      </c>
      <c r="K47" s="16">
        <v>50.496192999999998</v>
      </c>
      <c r="L47" s="16">
        <v>50.496192999999998</v>
      </c>
      <c r="M47" s="16">
        <v>50.496192999999998</v>
      </c>
      <c r="N47" s="16">
        <v>50.496192999999998</v>
      </c>
      <c r="O47" s="16">
        <v>50.496192999999998</v>
      </c>
      <c r="P47" s="16">
        <v>50.496192999999998</v>
      </c>
      <c r="Q47" s="16">
        <v>50.496192999999998</v>
      </c>
      <c r="R47" s="16">
        <v>50.496192999999998</v>
      </c>
      <c r="S47" s="16">
        <v>50.496192999999998</v>
      </c>
      <c r="T47" s="16">
        <v>50.496192999999998</v>
      </c>
      <c r="U47" s="16">
        <v>50.496192999999998</v>
      </c>
      <c r="V47" s="16">
        <v>50.496192999999998</v>
      </c>
      <c r="W47" s="16">
        <v>50.496192999999998</v>
      </c>
      <c r="X47" s="16">
        <v>50.496192999999998</v>
      </c>
      <c r="Y47" s="16">
        <v>50.496192999999998</v>
      </c>
      <c r="Z47" s="16">
        <v>50.496192999999998</v>
      </c>
      <c r="AA47" s="16">
        <v>50.496192999999998</v>
      </c>
      <c r="AB47" s="16">
        <v>50.496192999999998</v>
      </c>
      <c r="AC47" s="16">
        <v>50.496192999999998</v>
      </c>
      <c r="AD47" s="16">
        <v>50.496192999999998</v>
      </c>
      <c r="AE47" s="16">
        <v>50.496192999999998</v>
      </c>
      <c r="AF47" s="16">
        <v>50.496192999999998</v>
      </c>
      <c r="AG47" s="16">
        <v>50.496192999999998</v>
      </c>
      <c r="AH47" s="16">
        <v>50.496192999999998</v>
      </c>
      <c r="AI47" s="16">
        <v>50.496192999999998</v>
      </c>
      <c r="AJ47" s="16">
        <v>50.496192999999998</v>
      </c>
      <c r="AK47" s="17" t="s">
        <v>34</v>
      </c>
    </row>
    <row r="48" spans="1:37" ht="15" customHeight="1" x14ac:dyDescent="0.75">
      <c r="B48" s="12" t="s">
        <v>60</v>
      </c>
    </row>
    <row r="49" spans="1:37" ht="15" customHeight="1" x14ac:dyDescent="0.75">
      <c r="A49" s="6" t="s">
        <v>61</v>
      </c>
      <c r="B49" s="13" t="s">
        <v>39</v>
      </c>
      <c r="C49" s="14" t="s">
        <v>34</v>
      </c>
      <c r="D49" s="14" t="s">
        <v>34</v>
      </c>
      <c r="E49" s="14">
        <v>0</v>
      </c>
      <c r="F49" s="14">
        <v>0</v>
      </c>
      <c r="G49" s="14">
        <v>0</v>
      </c>
      <c r="H49" s="14">
        <v>0</v>
      </c>
      <c r="I49" s="14">
        <v>0</v>
      </c>
      <c r="J49" s="14">
        <v>0</v>
      </c>
      <c r="K49" s="14">
        <v>0</v>
      </c>
      <c r="L49" s="14">
        <v>0</v>
      </c>
      <c r="M49" s="14">
        <v>0</v>
      </c>
      <c r="N49" s="14">
        <v>0</v>
      </c>
      <c r="O49" s="14">
        <v>0</v>
      </c>
      <c r="P49" s="14">
        <v>0</v>
      </c>
      <c r="Q49" s="14">
        <v>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0</v>
      </c>
      <c r="Y49" s="14">
        <v>0</v>
      </c>
      <c r="Z49" s="14">
        <v>0</v>
      </c>
      <c r="AA49" s="14">
        <v>0</v>
      </c>
      <c r="AB49" s="14">
        <v>0</v>
      </c>
      <c r="AC49" s="14">
        <v>0</v>
      </c>
      <c r="AD49" s="14">
        <v>0</v>
      </c>
      <c r="AE49" s="14">
        <v>0</v>
      </c>
      <c r="AF49" s="14">
        <v>0</v>
      </c>
      <c r="AG49" s="14">
        <v>0</v>
      </c>
      <c r="AH49" s="14">
        <v>0</v>
      </c>
      <c r="AI49" s="14">
        <v>0</v>
      </c>
      <c r="AJ49" s="14">
        <v>0</v>
      </c>
      <c r="AK49" s="15" t="s">
        <v>34</v>
      </c>
    </row>
    <row r="50" spans="1:37" ht="15" customHeight="1" x14ac:dyDescent="0.75">
      <c r="A50" s="6" t="s">
        <v>62</v>
      </c>
      <c r="B50" s="13" t="s">
        <v>41</v>
      </c>
      <c r="C50" s="14" t="s">
        <v>34</v>
      </c>
      <c r="D50" s="14" t="s">
        <v>34</v>
      </c>
      <c r="E50" s="14">
        <v>0</v>
      </c>
      <c r="F50" s="14">
        <v>0</v>
      </c>
      <c r="G50" s="14">
        <v>0</v>
      </c>
      <c r="H50" s="14">
        <v>0</v>
      </c>
      <c r="I50" s="14">
        <v>0</v>
      </c>
      <c r="J50" s="14">
        <v>0</v>
      </c>
      <c r="K50" s="14">
        <v>0</v>
      </c>
      <c r="L50" s="14">
        <v>0</v>
      </c>
      <c r="M50" s="14">
        <v>0</v>
      </c>
      <c r="N50" s="14">
        <v>0</v>
      </c>
      <c r="O50" s="14">
        <v>0</v>
      </c>
      <c r="P50" s="14">
        <v>0</v>
      </c>
      <c r="Q50" s="14">
        <v>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0</v>
      </c>
      <c r="Y50" s="14">
        <v>0</v>
      </c>
      <c r="Z50" s="14">
        <v>0</v>
      </c>
      <c r="AA50" s="14">
        <v>0</v>
      </c>
      <c r="AB50" s="14">
        <v>0</v>
      </c>
      <c r="AC50" s="14">
        <v>0</v>
      </c>
      <c r="AD50" s="14">
        <v>0</v>
      </c>
      <c r="AE50" s="14">
        <v>0</v>
      </c>
      <c r="AF50" s="14">
        <v>0</v>
      </c>
      <c r="AG50" s="14">
        <v>0</v>
      </c>
      <c r="AH50" s="14">
        <v>0</v>
      </c>
      <c r="AI50" s="14">
        <v>0</v>
      </c>
      <c r="AJ50" s="14">
        <v>0</v>
      </c>
      <c r="AK50" s="15" t="s">
        <v>34</v>
      </c>
    </row>
    <row r="51" spans="1:37" ht="15" customHeight="1" x14ac:dyDescent="0.75">
      <c r="A51" s="6" t="s">
        <v>63</v>
      </c>
      <c r="B51" s="13" t="s">
        <v>19</v>
      </c>
      <c r="C51" s="14" t="s">
        <v>34</v>
      </c>
      <c r="D51" s="14" t="s">
        <v>34</v>
      </c>
      <c r="E51" s="14">
        <v>0</v>
      </c>
      <c r="F51" s="14">
        <v>0</v>
      </c>
      <c r="G51" s="14">
        <v>16.172312000000002</v>
      </c>
      <c r="H51" s="14">
        <v>23.957146000000002</v>
      </c>
      <c r="I51" s="14">
        <v>34.546452000000002</v>
      </c>
      <c r="J51" s="14">
        <v>47.853344</v>
      </c>
      <c r="K51" s="14">
        <v>62.525557999999997</v>
      </c>
      <c r="L51" s="14">
        <v>70.576279</v>
      </c>
      <c r="M51" s="14">
        <v>79.701988</v>
      </c>
      <c r="N51" s="14">
        <v>84.579200999999998</v>
      </c>
      <c r="O51" s="14">
        <v>89.560531999999995</v>
      </c>
      <c r="P51" s="14">
        <v>99.850470999999999</v>
      </c>
      <c r="Q51" s="14">
        <v>105.643738</v>
      </c>
      <c r="R51" s="14">
        <v>116.295929</v>
      </c>
      <c r="S51" s="14">
        <v>123.62101</v>
      </c>
      <c r="T51" s="14">
        <v>134.60720800000001</v>
      </c>
      <c r="U51" s="14">
        <v>138.96077</v>
      </c>
      <c r="V51" s="14">
        <v>145.168869</v>
      </c>
      <c r="W51" s="14">
        <v>155.14613299999999</v>
      </c>
      <c r="X51" s="14">
        <v>159.369675</v>
      </c>
      <c r="Y51" s="14">
        <v>165.933899</v>
      </c>
      <c r="Z51" s="14">
        <v>172.380844</v>
      </c>
      <c r="AA51" s="14">
        <v>180.41255200000001</v>
      </c>
      <c r="AB51" s="14">
        <v>186.41949500000001</v>
      </c>
      <c r="AC51" s="14">
        <v>194.73234600000001</v>
      </c>
      <c r="AD51" s="14">
        <v>201.904053</v>
      </c>
      <c r="AE51" s="14">
        <v>210.50782799999999</v>
      </c>
      <c r="AF51" s="14">
        <v>218.021378</v>
      </c>
      <c r="AG51" s="14">
        <v>221.83097799999999</v>
      </c>
      <c r="AH51" s="14">
        <v>228.13879399999999</v>
      </c>
      <c r="AI51" s="14">
        <v>232.49783300000001</v>
      </c>
      <c r="AJ51" s="14">
        <v>238.95971700000001</v>
      </c>
      <c r="AK51" s="15" t="s">
        <v>34</v>
      </c>
    </row>
    <row r="52" spans="1:37" ht="15" customHeight="1" x14ac:dyDescent="0.75">
      <c r="A52" s="6" t="s">
        <v>64</v>
      </c>
      <c r="B52" s="13" t="s">
        <v>21</v>
      </c>
      <c r="C52" s="14" t="s">
        <v>34</v>
      </c>
      <c r="D52" s="14" t="s">
        <v>34</v>
      </c>
      <c r="E52" s="14">
        <v>4.9505270000000001</v>
      </c>
      <c r="F52" s="14">
        <v>7.0903</v>
      </c>
      <c r="G52" s="14">
        <v>7.0903</v>
      </c>
      <c r="H52" s="14">
        <v>7.6268310000000001</v>
      </c>
      <c r="I52" s="14">
        <v>8.4259459999999997</v>
      </c>
      <c r="J52" s="14">
        <v>9.0516400000000008</v>
      </c>
      <c r="K52" s="14">
        <v>9.9866569999999992</v>
      </c>
      <c r="L52" s="14">
        <v>11.664781</v>
      </c>
      <c r="M52" s="14">
        <v>13.628036</v>
      </c>
      <c r="N52" s="14">
        <v>15.069537</v>
      </c>
      <c r="O52" s="14">
        <v>15.79344</v>
      </c>
      <c r="P52" s="14">
        <v>15.917452000000001</v>
      </c>
      <c r="Q52" s="14">
        <v>17.074687999999998</v>
      </c>
      <c r="R52" s="14">
        <v>17.393163999999999</v>
      </c>
      <c r="S52" s="14">
        <v>17.812252000000001</v>
      </c>
      <c r="T52" s="14">
        <v>17.837396999999999</v>
      </c>
      <c r="U52" s="14">
        <v>18.958048000000002</v>
      </c>
      <c r="V52" s="14">
        <v>19.880524000000001</v>
      </c>
      <c r="W52" s="14">
        <v>19.880524000000001</v>
      </c>
      <c r="X52" s="14">
        <v>20.884153000000001</v>
      </c>
      <c r="Y52" s="14">
        <v>22.376754999999999</v>
      </c>
      <c r="Z52" s="14">
        <v>23.882300999999998</v>
      </c>
      <c r="AA52" s="14">
        <v>25.613676000000002</v>
      </c>
      <c r="AB52" s="14">
        <v>27.169405000000001</v>
      </c>
      <c r="AC52" s="14">
        <v>27.590069</v>
      </c>
      <c r="AD52" s="14">
        <v>29.200244999999999</v>
      </c>
      <c r="AE52" s="14">
        <v>31.051950000000001</v>
      </c>
      <c r="AF52" s="14">
        <v>33.181412000000002</v>
      </c>
      <c r="AG52" s="14">
        <v>35.698642999999997</v>
      </c>
      <c r="AH52" s="14">
        <v>38.599564000000001</v>
      </c>
      <c r="AI52" s="14">
        <v>41.935626999999997</v>
      </c>
      <c r="AJ52" s="14">
        <v>43.970664999999997</v>
      </c>
      <c r="AK52" s="15" t="s">
        <v>34</v>
      </c>
    </row>
    <row r="53" spans="1:37" ht="15" customHeight="1" x14ac:dyDescent="0.75">
      <c r="A53" s="6" t="s">
        <v>65</v>
      </c>
      <c r="B53" s="13" t="s">
        <v>52</v>
      </c>
      <c r="C53" s="14" t="s">
        <v>34</v>
      </c>
      <c r="D53" s="14" t="s">
        <v>34</v>
      </c>
      <c r="E53" s="14">
        <v>0</v>
      </c>
      <c r="F53" s="14">
        <v>0</v>
      </c>
      <c r="G53" s="14">
        <v>0</v>
      </c>
      <c r="H53" s="14">
        <v>0</v>
      </c>
      <c r="I53" s="14">
        <v>0</v>
      </c>
      <c r="J53" s="14">
        <v>0</v>
      </c>
      <c r="K53" s="14">
        <v>0</v>
      </c>
      <c r="L53" s="14">
        <v>0</v>
      </c>
      <c r="M53" s="14">
        <v>0</v>
      </c>
      <c r="N53" s="14">
        <v>0</v>
      </c>
      <c r="O53" s="14">
        <v>0</v>
      </c>
      <c r="P53" s="14">
        <v>0</v>
      </c>
      <c r="Q53" s="14">
        <v>0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0</v>
      </c>
      <c r="Y53" s="14">
        <v>0</v>
      </c>
      <c r="Z53" s="14">
        <v>0</v>
      </c>
      <c r="AA53" s="14">
        <v>0</v>
      </c>
      <c r="AB53" s="14">
        <v>0</v>
      </c>
      <c r="AC53" s="14">
        <v>0</v>
      </c>
      <c r="AD53" s="14">
        <v>0</v>
      </c>
      <c r="AE53" s="14">
        <v>0</v>
      </c>
      <c r="AF53" s="14">
        <v>0</v>
      </c>
      <c r="AG53" s="14">
        <v>0</v>
      </c>
      <c r="AH53" s="14">
        <v>0</v>
      </c>
      <c r="AI53" s="14">
        <v>0</v>
      </c>
      <c r="AJ53" s="14">
        <v>0</v>
      </c>
      <c r="AK53" s="15" t="s">
        <v>34</v>
      </c>
    </row>
    <row r="54" spans="1:37" ht="15" customHeight="1" x14ac:dyDescent="0.75">
      <c r="A54" s="6" t="s">
        <v>66</v>
      </c>
      <c r="B54" s="13" t="s">
        <v>25</v>
      </c>
      <c r="C54" s="14" t="s">
        <v>34</v>
      </c>
      <c r="D54" s="14" t="s">
        <v>34</v>
      </c>
      <c r="E54" s="14">
        <v>0</v>
      </c>
      <c r="F54" s="14">
        <v>0</v>
      </c>
      <c r="G54" s="14">
        <v>0</v>
      </c>
      <c r="H54" s="14">
        <v>0</v>
      </c>
      <c r="I54" s="14">
        <v>0</v>
      </c>
      <c r="J54" s="14">
        <v>0</v>
      </c>
      <c r="K54" s="14">
        <v>0</v>
      </c>
      <c r="L54" s="14">
        <v>0</v>
      </c>
      <c r="M54" s="14">
        <v>0</v>
      </c>
      <c r="N54" s="14">
        <v>0</v>
      </c>
      <c r="O54" s="14">
        <v>0</v>
      </c>
      <c r="P54" s="14">
        <v>0</v>
      </c>
      <c r="Q54" s="14">
        <v>0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0</v>
      </c>
      <c r="Y54" s="14">
        <v>0</v>
      </c>
      <c r="Z54" s="14">
        <v>0</v>
      </c>
      <c r="AA54" s="14">
        <v>0</v>
      </c>
      <c r="AB54" s="14">
        <v>0</v>
      </c>
      <c r="AC54" s="14">
        <v>0</v>
      </c>
      <c r="AD54" s="14">
        <v>0</v>
      </c>
      <c r="AE54" s="14">
        <v>0</v>
      </c>
      <c r="AF54" s="14">
        <v>0</v>
      </c>
      <c r="AG54" s="14">
        <v>0</v>
      </c>
      <c r="AH54" s="14">
        <v>0</v>
      </c>
      <c r="AI54" s="14">
        <v>0</v>
      </c>
      <c r="AJ54" s="14">
        <v>0</v>
      </c>
      <c r="AK54" s="15" t="s">
        <v>34</v>
      </c>
    </row>
    <row r="55" spans="1:37" ht="15" customHeight="1" x14ac:dyDescent="0.75">
      <c r="A55" s="6" t="s">
        <v>67</v>
      </c>
      <c r="B55" s="13" t="s">
        <v>27</v>
      </c>
      <c r="C55" s="14" t="s">
        <v>34</v>
      </c>
      <c r="D55" s="14" t="s">
        <v>34</v>
      </c>
      <c r="E55" s="14">
        <v>0</v>
      </c>
      <c r="F55" s="14">
        <v>0</v>
      </c>
      <c r="G55" s="14">
        <v>0</v>
      </c>
      <c r="H55" s="14">
        <v>0</v>
      </c>
      <c r="I55" s="14">
        <v>0</v>
      </c>
      <c r="J55" s="14">
        <v>0</v>
      </c>
      <c r="K55" s="14">
        <v>0</v>
      </c>
      <c r="L55" s="14">
        <v>0</v>
      </c>
      <c r="M55" s="14">
        <v>0</v>
      </c>
      <c r="N55" s="14">
        <v>0</v>
      </c>
      <c r="O55" s="14">
        <v>0</v>
      </c>
      <c r="P55" s="14">
        <v>0</v>
      </c>
      <c r="Q55" s="14">
        <v>2.7970000000000002</v>
      </c>
      <c r="R55" s="14">
        <v>3.79494</v>
      </c>
      <c r="S55" s="14">
        <v>3.79494</v>
      </c>
      <c r="T55" s="14">
        <v>4.5569290000000002</v>
      </c>
      <c r="U55" s="14">
        <v>6.0829579999999996</v>
      </c>
      <c r="V55" s="14">
        <v>7.3543989999999999</v>
      </c>
      <c r="W55" s="14">
        <v>7.362806</v>
      </c>
      <c r="X55" s="14">
        <v>10.278807</v>
      </c>
      <c r="Y55" s="14">
        <v>10.520714999999999</v>
      </c>
      <c r="Z55" s="14">
        <v>13.538774</v>
      </c>
      <c r="AA55" s="14">
        <v>16.664776</v>
      </c>
      <c r="AB55" s="14">
        <v>16.900314000000002</v>
      </c>
      <c r="AC55" s="14">
        <v>18.245070999999999</v>
      </c>
      <c r="AD55" s="14">
        <v>18.885211999999999</v>
      </c>
      <c r="AE55" s="14">
        <v>20.038672999999999</v>
      </c>
      <c r="AF55" s="14">
        <v>21.186077000000001</v>
      </c>
      <c r="AG55" s="14">
        <v>24.186077000000001</v>
      </c>
      <c r="AH55" s="14">
        <v>25.901876000000001</v>
      </c>
      <c r="AI55" s="14">
        <v>25.901876000000001</v>
      </c>
      <c r="AJ55" s="14">
        <v>28.901876000000001</v>
      </c>
      <c r="AK55" s="15" t="s">
        <v>34</v>
      </c>
    </row>
    <row r="56" spans="1:37" ht="15" customHeight="1" x14ac:dyDescent="0.75">
      <c r="A56" s="6" t="s">
        <v>68</v>
      </c>
      <c r="B56" s="13" t="s">
        <v>29</v>
      </c>
      <c r="C56" s="14" t="s">
        <v>34</v>
      </c>
      <c r="D56" s="14" t="s">
        <v>34</v>
      </c>
      <c r="E56" s="14">
        <v>0</v>
      </c>
      <c r="F56" s="14">
        <v>0</v>
      </c>
      <c r="G56" s="14">
        <v>8.1000000000000004E-5</v>
      </c>
      <c r="H56" s="14">
        <v>1.6200000000000001E-4</v>
      </c>
      <c r="I56" s="14">
        <v>2.43E-4</v>
      </c>
      <c r="J56" s="14">
        <v>3.2400000000000001E-4</v>
      </c>
      <c r="K56" s="14">
        <v>4.0499999999999998E-4</v>
      </c>
      <c r="L56" s="14">
        <v>4.86E-4</v>
      </c>
      <c r="M56" s="14">
        <v>5.6700000000000001E-4</v>
      </c>
      <c r="N56" s="14">
        <v>6.4800000000000003E-4</v>
      </c>
      <c r="O56" s="14">
        <v>7.2900000000000005E-4</v>
      </c>
      <c r="P56" s="14">
        <v>8.0999999999999996E-4</v>
      </c>
      <c r="Q56" s="14">
        <v>8.9099999999999997E-4</v>
      </c>
      <c r="R56" s="14">
        <v>9.7199999999999999E-4</v>
      </c>
      <c r="S56" s="14">
        <v>1.054E-3</v>
      </c>
      <c r="T56" s="14">
        <v>1.1100000000000001E-3</v>
      </c>
      <c r="U56" s="14">
        <v>1.1360000000000001E-3</v>
      </c>
      <c r="V56" s="14">
        <v>1.147E-3</v>
      </c>
      <c r="W56" s="14">
        <v>1.1529999999999999E-3</v>
      </c>
      <c r="X56" s="14">
        <v>1.1590000000000001E-3</v>
      </c>
      <c r="Y56" s="14">
        <v>1.16E-3</v>
      </c>
      <c r="Z56" s="14">
        <v>1.1609999999999999E-3</v>
      </c>
      <c r="AA56" s="14">
        <v>1.1620000000000001E-3</v>
      </c>
      <c r="AB56" s="14">
        <v>1.163E-3</v>
      </c>
      <c r="AC56" s="14">
        <v>1.1640000000000001E-3</v>
      </c>
      <c r="AD56" s="14">
        <v>1.165E-3</v>
      </c>
      <c r="AE56" s="14">
        <v>1.1659999999999999E-3</v>
      </c>
      <c r="AF56" s="14">
        <v>3.4759999999999999E-3</v>
      </c>
      <c r="AG56" s="14">
        <v>5.4980000000000003E-3</v>
      </c>
      <c r="AH56" s="14">
        <v>5.4980000000000003E-3</v>
      </c>
      <c r="AI56" s="14">
        <v>5.4980000000000003E-3</v>
      </c>
      <c r="AJ56" s="14">
        <v>7.0689999999999998E-3</v>
      </c>
      <c r="AK56" s="15" t="s">
        <v>34</v>
      </c>
    </row>
    <row r="57" spans="1:37" ht="15" customHeight="1" x14ac:dyDescent="0.75">
      <c r="A57" s="6" t="s">
        <v>69</v>
      </c>
      <c r="B57" s="13" t="s">
        <v>31</v>
      </c>
      <c r="C57" s="14" t="s">
        <v>34</v>
      </c>
      <c r="D57" s="14" t="s">
        <v>34</v>
      </c>
      <c r="E57" s="14">
        <v>3.0349999999999999E-3</v>
      </c>
      <c r="F57" s="14">
        <v>4.007403</v>
      </c>
      <c r="G57" s="14">
        <v>18.502424000000001</v>
      </c>
      <c r="H57" s="14">
        <v>29.277674000000001</v>
      </c>
      <c r="I57" s="14">
        <v>40.572113000000002</v>
      </c>
      <c r="J57" s="14">
        <v>44.113644000000001</v>
      </c>
      <c r="K57" s="14">
        <v>47.700634000000001</v>
      </c>
      <c r="L57" s="14">
        <v>50.226643000000003</v>
      </c>
      <c r="M57" s="14">
        <v>53.766292999999997</v>
      </c>
      <c r="N57" s="14">
        <v>57.403064999999998</v>
      </c>
      <c r="O57" s="14">
        <v>64.114699999999999</v>
      </c>
      <c r="P57" s="14">
        <v>66.393073999999999</v>
      </c>
      <c r="Q57" s="14">
        <v>72.625945999999999</v>
      </c>
      <c r="R57" s="14">
        <v>73.287505999999993</v>
      </c>
      <c r="S57" s="14">
        <v>77.036452999999995</v>
      </c>
      <c r="T57" s="14">
        <v>82.852385999999996</v>
      </c>
      <c r="U57" s="14">
        <v>89.674132999999998</v>
      </c>
      <c r="V57" s="14">
        <v>98.618270999999993</v>
      </c>
      <c r="W57" s="14">
        <v>107.022919</v>
      </c>
      <c r="X57" s="14">
        <v>116.70212600000001</v>
      </c>
      <c r="Y57" s="14">
        <v>127.955406</v>
      </c>
      <c r="Z57" s="14">
        <v>128.924744</v>
      </c>
      <c r="AA57" s="14">
        <v>140.16407799999999</v>
      </c>
      <c r="AB57" s="14">
        <v>141.550659</v>
      </c>
      <c r="AC57" s="14">
        <v>153.52050800000001</v>
      </c>
      <c r="AD57" s="14">
        <v>155.657104</v>
      </c>
      <c r="AE57" s="14">
        <v>159.410721</v>
      </c>
      <c r="AF57" s="14">
        <v>172.06961100000001</v>
      </c>
      <c r="AG57" s="14">
        <v>185.401993</v>
      </c>
      <c r="AH57" s="14">
        <v>188.23898299999999</v>
      </c>
      <c r="AI57" s="14">
        <v>201.04933199999999</v>
      </c>
      <c r="AJ57" s="14">
        <v>208.50817900000001</v>
      </c>
      <c r="AK57" s="15" t="s">
        <v>34</v>
      </c>
    </row>
    <row r="58" spans="1:37" ht="15" customHeight="1" x14ac:dyDescent="0.75">
      <c r="A58" s="6" t="s">
        <v>70</v>
      </c>
      <c r="B58" s="13" t="s">
        <v>58</v>
      </c>
      <c r="C58" s="14" t="s">
        <v>34</v>
      </c>
      <c r="D58" s="14" t="s">
        <v>34</v>
      </c>
      <c r="E58" s="14">
        <v>0</v>
      </c>
      <c r="F58" s="14">
        <v>1.549955</v>
      </c>
      <c r="G58" s="14">
        <v>1.737015</v>
      </c>
      <c r="H58" s="14">
        <v>1.9216139999999999</v>
      </c>
      <c r="I58" s="14">
        <v>2.1300249999999998</v>
      </c>
      <c r="J58" s="14">
        <v>2.3810440000000002</v>
      </c>
      <c r="K58" s="14">
        <v>2.6740729999999999</v>
      </c>
      <c r="L58" s="14">
        <v>3.043898</v>
      </c>
      <c r="M58" s="14">
        <v>3.4392390000000002</v>
      </c>
      <c r="N58" s="14">
        <v>3.898479</v>
      </c>
      <c r="O58" s="14">
        <v>4.4138760000000001</v>
      </c>
      <c r="P58" s="14">
        <v>4.959581</v>
      </c>
      <c r="Q58" s="14">
        <v>5.4664989999999998</v>
      </c>
      <c r="R58" s="14">
        <v>6.1122639999999997</v>
      </c>
      <c r="S58" s="14">
        <v>6.7578430000000003</v>
      </c>
      <c r="T58" s="14">
        <v>7.5212870000000001</v>
      </c>
      <c r="U58" s="14">
        <v>8.4065849999999998</v>
      </c>
      <c r="V58" s="14">
        <v>9.3650470000000006</v>
      </c>
      <c r="W58" s="14">
        <v>10.470656999999999</v>
      </c>
      <c r="X58" s="14">
        <v>11.609406</v>
      </c>
      <c r="Y58" s="14">
        <v>12.832675999999999</v>
      </c>
      <c r="Z58" s="14">
        <v>14.179005999999999</v>
      </c>
      <c r="AA58" s="14">
        <v>15.613872000000001</v>
      </c>
      <c r="AB58" s="14">
        <v>17.131450999999998</v>
      </c>
      <c r="AC58" s="14">
        <v>18.720569999999999</v>
      </c>
      <c r="AD58" s="14">
        <v>20.528061000000001</v>
      </c>
      <c r="AE58" s="14">
        <v>22.37632</v>
      </c>
      <c r="AF58" s="14">
        <v>24.270847</v>
      </c>
      <c r="AG58" s="14">
        <v>26.195222999999999</v>
      </c>
      <c r="AH58" s="14">
        <v>27.978928</v>
      </c>
      <c r="AI58" s="14">
        <v>29.724710000000002</v>
      </c>
      <c r="AJ58" s="14">
        <v>31.575861</v>
      </c>
      <c r="AK58" s="15" t="s">
        <v>34</v>
      </c>
    </row>
    <row r="59" spans="1:37" ht="15" customHeight="1" x14ac:dyDescent="0.75">
      <c r="A59" s="6" t="s">
        <v>71</v>
      </c>
      <c r="B59" s="12" t="s">
        <v>36</v>
      </c>
      <c r="C59" s="16" t="s">
        <v>34</v>
      </c>
      <c r="D59" s="16" t="s">
        <v>34</v>
      </c>
      <c r="E59" s="16">
        <v>4.9535619999999998</v>
      </c>
      <c r="F59" s="16">
        <v>12.64766</v>
      </c>
      <c r="G59" s="16">
        <v>43.502128999999996</v>
      </c>
      <c r="H59" s="16">
        <v>62.783436000000002</v>
      </c>
      <c r="I59" s="16">
        <v>85.674781999999993</v>
      </c>
      <c r="J59" s="16">
        <v>103.399979</v>
      </c>
      <c r="K59" s="16">
        <v>122.887314</v>
      </c>
      <c r="L59" s="16">
        <v>135.51208500000001</v>
      </c>
      <c r="M59" s="16">
        <v>150.536148</v>
      </c>
      <c r="N59" s="16">
        <v>160.950928</v>
      </c>
      <c r="O59" s="16">
        <v>173.88327000000001</v>
      </c>
      <c r="P59" s="16">
        <v>187.121399</v>
      </c>
      <c r="Q59" s="16">
        <v>203.60876500000001</v>
      </c>
      <c r="R59" s="16">
        <v>216.884781</v>
      </c>
      <c r="S59" s="16">
        <v>229.02354399999999</v>
      </c>
      <c r="T59" s="16">
        <v>247.376282</v>
      </c>
      <c r="U59" s="16">
        <v>262.08364899999998</v>
      </c>
      <c r="V59" s="16">
        <v>280.388214</v>
      </c>
      <c r="W59" s="16">
        <v>299.884186</v>
      </c>
      <c r="X59" s="16">
        <v>318.84533699999997</v>
      </c>
      <c r="Y59" s="16">
        <v>339.62063599999999</v>
      </c>
      <c r="Z59" s="16">
        <v>352.906769</v>
      </c>
      <c r="AA59" s="16">
        <v>378.47018400000002</v>
      </c>
      <c r="AB59" s="16">
        <v>389.17260700000003</v>
      </c>
      <c r="AC59" s="16">
        <v>412.809753</v>
      </c>
      <c r="AD59" s="16">
        <v>426.17587300000002</v>
      </c>
      <c r="AE59" s="16">
        <v>443.38671900000003</v>
      </c>
      <c r="AF59" s="16">
        <v>468.73275799999999</v>
      </c>
      <c r="AG59" s="16">
        <v>493.31842</v>
      </c>
      <c r="AH59" s="16">
        <v>508.86361699999998</v>
      </c>
      <c r="AI59" s="16">
        <v>531.11499000000003</v>
      </c>
      <c r="AJ59" s="16">
        <v>551.92334000000005</v>
      </c>
      <c r="AK59" s="17" t="s">
        <v>34</v>
      </c>
    </row>
    <row r="60" spans="1:37" ht="15" customHeight="1" x14ac:dyDescent="0.75">
      <c r="A60" s="6" t="s">
        <v>72</v>
      </c>
      <c r="B60" s="12" t="s">
        <v>131</v>
      </c>
      <c r="C60" s="16" t="s">
        <v>34</v>
      </c>
      <c r="D60" s="16" t="s">
        <v>34</v>
      </c>
      <c r="E60" s="16">
        <v>29.146664000000001</v>
      </c>
      <c r="F60" s="16">
        <v>59.732857000000003</v>
      </c>
      <c r="G60" s="16">
        <v>93.248322000000002</v>
      </c>
      <c r="H60" s="16">
        <v>112.779633</v>
      </c>
      <c r="I60" s="16">
        <v>135.920975</v>
      </c>
      <c r="J60" s="16">
        <v>153.89617899999999</v>
      </c>
      <c r="K60" s="16">
        <v>173.38351399999999</v>
      </c>
      <c r="L60" s="16">
        <v>186.00827000000001</v>
      </c>
      <c r="M60" s="16">
        <v>201.03234900000001</v>
      </c>
      <c r="N60" s="16">
        <v>211.447113</v>
      </c>
      <c r="O60" s="16">
        <v>224.379456</v>
      </c>
      <c r="P60" s="16">
        <v>237.61758399999999</v>
      </c>
      <c r="Q60" s="16">
        <v>254.10495</v>
      </c>
      <c r="R60" s="16">
        <v>267.38098100000002</v>
      </c>
      <c r="S60" s="16">
        <v>279.519745</v>
      </c>
      <c r="T60" s="16">
        <v>297.87246699999997</v>
      </c>
      <c r="U60" s="16">
        <v>312.57983400000001</v>
      </c>
      <c r="V60" s="16">
        <v>330.88439899999997</v>
      </c>
      <c r="W60" s="16">
        <v>350.38037100000003</v>
      </c>
      <c r="X60" s="16">
        <v>369.341522</v>
      </c>
      <c r="Y60" s="16">
        <v>390.11682100000002</v>
      </c>
      <c r="Z60" s="16">
        <v>403.40295400000002</v>
      </c>
      <c r="AA60" s="16">
        <v>428.96636999999998</v>
      </c>
      <c r="AB60" s="16">
        <v>439.66879299999999</v>
      </c>
      <c r="AC60" s="16">
        <v>463.30593900000002</v>
      </c>
      <c r="AD60" s="16">
        <v>476.67205799999999</v>
      </c>
      <c r="AE60" s="16">
        <v>493.882904</v>
      </c>
      <c r="AF60" s="16">
        <v>519.22894299999996</v>
      </c>
      <c r="AG60" s="16">
        <v>543.81463599999995</v>
      </c>
      <c r="AH60" s="16">
        <v>559.35980199999995</v>
      </c>
      <c r="AI60" s="16">
        <v>581.61120600000004</v>
      </c>
      <c r="AJ60" s="16">
        <v>602.41955600000006</v>
      </c>
      <c r="AK60" s="17" t="s">
        <v>34</v>
      </c>
    </row>
    <row r="62" spans="1:37" ht="15" customHeight="1" x14ac:dyDescent="0.75">
      <c r="B62" s="12" t="s">
        <v>73</v>
      </c>
    </row>
    <row r="63" spans="1:37" ht="15" customHeight="1" x14ac:dyDescent="0.75">
      <c r="A63" s="6" t="s">
        <v>74</v>
      </c>
      <c r="B63" s="13" t="s">
        <v>39</v>
      </c>
      <c r="C63" s="14" t="s">
        <v>34</v>
      </c>
      <c r="D63" s="14" t="s">
        <v>34</v>
      </c>
      <c r="E63" s="14">
        <v>6.7482980000000001</v>
      </c>
      <c r="F63" s="14">
        <v>9.2919</v>
      </c>
      <c r="G63" s="14">
        <v>17.430095999999999</v>
      </c>
      <c r="H63" s="14">
        <v>25.719798999999998</v>
      </c>
      <c r="I63" s="14">
        <v>37.818604000000001</v>
      </c>
      <c r="J63" s="14">
        <v>50.083205999999997</v>
      </c>
      <c r="K63" s="14">
        <v>60.668694000000002</v>
      </c>
      <c r="L63" s="14">
        <v>65.969193000000004</v>
      </c>
      <c r="M63" s="14">
        <v>69.623810000000006</v>
      </c>
      <c r="N63" s="14">
        <v>71.704200999999998</v>
      </c>
      <c r="O63" s="14">
        <v>72.250197999999997</v>
      </c>
      <c r="P63" s="14">
        <v>75.162200999999996</v>
      </c>
      <c r="Q63" s="14">
        <v>77.806206000000003</v>
      </c>
      <c r="R63" s="14">
        <v>82.641220000000004</v>
      </c>
      <c r="S63" s="14">
        <v>82.641220000000004</v>
      </c>
      <c r="T63" s="14">
        <v>85.542320000000004</v>
      </c>
      <c r="U63" s="14">
        <v>85.542320000000004</v>
      </c>
      <c r="V63" s="14">
        <v>85.542320000000004</v>
      </c>
      <c r="W63" s="14">
        <v>86.706421000000006</v>
      </c>
      <c r="X63" s="14">
        <v>86.706421000000006</v>
      </c>
      <c r="Y63" s="14">
        <v>86.706421000000006</v>
      </c>
      <c r="Z63" s="14">
        <v>86.706421000000006</v>
      </c>
      <c r="AA63" s="14">
        <v>87.923416000000003</v>
      </c>
      <c r="AB63" s="14">
        <v>87.923416000000003</v>
      </c>
      <c r="AC63" s="14">
        <v>88.487419000000003</v>
      </c>
      <c r="AD63" s="14">
        <v>88.487419000000003</v>
      </c>
      <c r="AE63" s="14">
        <v>88.487419000000003</v>
      </c>
      <c r="AF63" s="14">
        <v>88.487419000000003</v>
      </c>
      <c r="AG63" s="14">
        <v>88.487419000000003</v>
      </c>
      <c r="AH63" s="14">
        <v>88.487419000000003</v>
      </c>
      <c r="AI63" s="14">
        <v>88.487419000000003</v>
      </c>
      <c r="AJ63" s="14">
        <v>88.487419000000003</v>
      </c>
      <c r="AK63" s="15" t="s">
        <v>34</v>
      </c>
    </row>
    <row r="64" spans="1:37" ht="15" customHeight="1" x14ac:dyDescent="0.75">
      <c r="A64" s="6" t="s">
        <v>75</v>
      </c>
      <c r="B64" s="13" t="s">
        <v>41</v>
      </c>
      <c r="C64" s="14" t="s">
        <v>34</v>
      </c>
      <c r="D64" s="14" t="s">
        <v>34</v>
      </c>
      <c r="E64" s="14">
        <v>1.8480000000000001</v>
      </c>
      <c r="F64" s="14">
        <v>3.3708999999999998</v>
      </c>
      <c r="G64" s="14">
        <v>10.140300999999999</v>
      </c>
      <c r="H64" s="14">
        <v>12.286600999999999</v>
      </c>
      <c r="I64" s="14">
        <v>14.054202</v>
      </c>
      <c r="J64" s="14">
        <v>17.129802999999999</v>
      </c>
      <c r="K64" s="14">
        <v>18.587001999999998</v>
      </c>
      <c r="L64" s="14">
        <v>22.247398</v>
      </c>
      <c r="M64" s="14">
        <v>22.769401999999999</v>
      </c>
      <c r="N64" s="14">
        <v>23.568901</v>
      </c>
      <c r="O64" s="14">
        <v>25.212204</v>
      </c>
      <c r="P64" s="14">
        <v>25.212204</v>
      </c>
      <c r="Q64" s="14">
        <v>25.322205</v>
      </c>
      <c r="R64" s="14">
        <v>25.322205</v>
      </c>
      <c r="S64" s="14">
        <v>25.557200999999999</v>
      </c>
      <c r="T64" s="14">
        <v>25.637198999999999</v>
      </c>
      <c r="U64" s="14">
        <v>25.736198000000002</v>
      </c>
      <c r="V64" s="14">
        <v>26.036200999999998</v>
      </c>
      <c r="W64" s="14">
        <v>26.036200999999998</v>
      </c>
      <c r="X64" s="14">
        <v>26.258202000000001</v>
      </c>
      <c r="Y64" s="14">
        <v>26.258202000000001</v>
      </c>
      <c r="Z64" s="14">
        <v>26.258202000000001</v>
      </c>
      <c r="AA64" s="14">
        <v>26.480201999999998</v>
      </c>
      <c r="AB64" s="14">
        <v>26.877200999999999</v>
      </c>
      <c r="AC64" s="14">
        <v>26.877200999999999</v>
      </c>
      <c r="AD64" s="14">
        <v>26.877200999999999</v>
      </c>
      <c r="AE64" s="14">
        <v>27.003201000000001</v>
      </c>
      <c r="AF64" s="14">
        <v>27.003201000000001</v>
      </c>
      <c r="AG64" s="14">
        <v>27.003201000000001</v>
      </c>
      <c r="AH64" s="14">
        <v>27.003201000000001</v>
      </c>
      <c r="AI64" s="14">
        <v>27.003201000000001</v>
      </c>
      <c r="AJ64" s="14">
        <v>27.003201000000001</v>
      </c>
      <c r="AK64" s="15" t="s">
        <v>34</v>
      </c>
    </row>
    <row r="65" spans="1:37" ht="15" customHeight="1" x14ac:dyDescent="0.75">
      <c r="A65" s="6" t="s">
        <v>76</v>
      </c>
      <c r="B65" s="13" t="s">
        <v>19</v>
      </c>
      <c r="C65" s="14" t="s">
        <v>34</v>
      </c>
      <c r="D65" s="14" t="s">
        <v>34</v>
      </c>
      <c r="E65" s="14">
        <v>0.05</v>
      </c>
      <c r="F65" s="14">
        <v>0.05</v>
      </c>
      <c r="G65" s="14">
        <v>1.056</v>
      </c>
      <c r="H65" s="14">
        <v>2.6177999999999999</v>
      </c>
      <c r="I65" s="14">
        <v>3.5823369999999999</v>
      </c>
      <c r="J65" s="14">
        <v>4.3242039999999999</v>
      </c>
      <c r="K65" s="14">
        <v>5.0061030000000004</v>
      </c>
      <c r="L65" s="14">
        <v>5.097003</v>
      </c>
      <c r="M65" s="14">
        <v>5.5030039999999998</v>
      </c>
      <c r="N65" s="14">
        <v>5.5083039999999999</v>
      </c>
      <c r="O65" s="14">
        <v>5.5083039999999999</v>
      </c>
      <c r="P65" s="14">
        <v>5.7343039999999998</v>
      </c>
      <c r="Q65" s="14">
        <v>6.0050039999999996</v>
      </c>
      <c r="R65" s="14">
        <v>6.5150040000000002</v>
      </c>
      <c r="S65" s="14">
        <v>6.5200040000000001</v>
      </c>
      <c r="T65" s="14">
        <v>6.8890039999999999</v>
      </c>
      <c r="U65" s="14">
        <v>8.1576039999999992</v>
      </c>
      <c r="V65" s="14">
        <v>8.3564030000000002</v>
      </c>
      <c r="W65" s="14">
        <v>8.3564030000000002</v>
      </c>
      <c r="X65" s="14">
        <v>9.4858039999999999</v>
      </c>
      <c r="Y65" s="14">
        <v>9.7318040000000003</v>
      </c>
      <c r="Z65" s="14">
        <v>9.7318040000000003</v>
      </c>
      <c r="AA65" s="14">
        <v>9.7318040000000003</v>
      </c>
      <c r="AB65" s="14">
        <v>10.233803999999999</v>
      </c>
      <c r="AC65" s="14">
        <v>11.961804000000001</v>
      </c>
      <c r="AD65" s="14">
        <v>11.961804000000001</v>
      </c>
      <c r="AE65" s="14">
        <v>12.277805000000001</v>
      </c>
      <c r="AF65" s="14">
        <v>12.738806</v>
      </c>
      <c r="AG65" s="14">
        <v>13.423705</v>
      </c>
      <c r="AH65" s="14">
        <v>13.423705</v>
      </c>
      <c r="AI65" s="14">
        <v>13.423705</v>
      </c>
      <c r="AJ65" s="14">
        <v>13.426905</v>
      </c>
      <c r="AK65" s="15" t="s">
        <v>34</v>
      </c>
    </row>
    <row r="66" spans="1:37" ht="15" customHeight="1" x14ac:dyDescent="0.75">
      <c r="A66" s="6" t="s">
        <v>77</v>
      </c>
      <c r="B66" s="13" t="s">
        <v>21</v>
      </c>
      <c r="C66" s="14" t="s">
        <v>34</v>
      </c>
      <c r="D66" s="14" t="s">
        <v>34</v>
      </c>
      <c r="E66" s="14">
        <v>0.24590000000000001</v>
      </c>
      <c r="F66" s="14">
        <v>0.31850000000000001</v>
      </c>
      <c r="G66" s="14">
        <v>1.6755</v>
      </c>
      <c r="H66" s="14">
        <v>1.7495000000000001</v>
      </c>
      <c r="I66" s="14">
        <v>2.7568000000000001</v>
      </c>
      <c r="J66" s="14">
        <v>3.0318000000000001</v>
      </c>
      <c r="K66" s="14">
        <v>3.2770999999999999</v>
      </c>
      <c r="L66" s="14">
        <v>4.1784999999999997</v>
      </c>
      <c r="M66" s="14">
        <v>4.3424990000000001</v>
      </c>
      <c r="N66" s="14">
        <v>4.9180000000000001</v>
      </c>
      <c r="O66" s="14">
        <v>5.7674989999999999</v>
      </c>
      <c r="P66" s="14">
        <v>5.7962990000000003</v>
      </c>
      <c r="Q66" s="14">
        <v>6.0537000000000001</v>
      </c>
      <c r="R66" s="14">
        <v>6.0537000000000001</v>
      </c>
      <c r="S66" s="14">
        <v>6.0537000000000001</v>
      </c>
      <c r="T66" s="14">
        <v>6.0537000000000001</v>
      </c>
      <c r="U66" s="14">
        <v>6.0537000000000001</v>
      </c>
      <c r="V66" s="14">
        <v>6.1223999999999998</v>
      </c>
      <c r="W66" s="14">
        <v>6.1223999999999998</v>
      </c>
      <c r="X66" s="14">
        <v>6.4173999999999998</v>
      </c>
      <c r="Y66" s="14">
        <v>6.4173999999999998</v>
      </c>
      <c r="Z66" s="14">
        <v>6.5206999999999997</v>
      </c>
      <c r="AA66" s="14">
        <v>7.7777010000000004</v>
      </c>
      <c r="AB66" s="14">
        <v>7.8097000000000003</v>
      </c>
      <c r="AC66" s="14">
        <v>7.9137009999999997</v>
      </c>
      <c r="AD66" s="14">
        <v>7.9137009999999997</v>
      </c>
      <c r="AE66" s="14">
        <v>8.0040010000000006</v>
      </c>
      <c r="AF66" s="14">
        <v>8.1185010000000002</v>
      </c>
      <c r="AG66" s="14">
        <v>8.1185010000000002</v>
      </c>
      <c r="AH66" s="14">
        <v>8.1185010000000002</v>
      </c>
      <c r="AI66" s="14">
        <v>8.1185010000000002</v>
      </c>
      <c r="AJ66" s="14">
        <v>8.1185010000000002</v>
      </c>
      <c r="AK66" s="15" t="s">
        <v>34</v>
      </c>
    </row>
    <row r="67" spans="1:37" ht="15" customHeight="1" x14ac:dyDescent="0.75">
      <c r="A67" s="6" t="s">
        <v>78</v>
      </c>
      <c r="B67" s="13" t="s">
        <v>52</v>
      </c>
      <c r="C67" s="14" t="s">
        <v>34</v>
      </c>
      <c r="D67" s="14" t="s">
        <v>34</v>
      </c>
      <c r="E67" s="14">
        <v>1.48</v>
      </c>
      <c r="F67" s="14">
        <v>3.3744000000000001</v>
      </c>
      <c r="G67" s="14">
        <v>8.8351000000000006</v>
      </c>
      <c r="H67" s="14">
        <v>12.395902</v>
      </c>
      <c r="I67" s="14">
        <v>15.7784</v>
      </c>
      <c r="J67" s="14">
        <v>15.7784</v>
      </c>
      <c r="K67" s="14">
        <v>19.001802000000001</v>
      </c>
      <c r="L67" s="14">
        <v>20.119802</v>
      </c>
      <c r="M67" s="14">
        <v>20.119802</v>
      </c>
      <c r="N67" s="14">
        <v>20.119802</v>
      </c>
      <c r="O67" s="14">
        <v>20.119802</v>
      </c>
      <c r="P67" s="14">
        <v>20.119802</v>
      </c>
      <c r="Q67" s="14">
        <v>20.119802</v>
      </c>
      <c r="R67" s="14">
        <v>21.552800999999999</v>
      </c>
      <c r="S67" s="14">
        <v>21.552800999999999</v>
      </c>
      <c r="T67" s="14">
        <v>21.552800999999999</v>
      </c>
      <c r="U67" s="14">
        <v>21.552800999999999</v>
      </c>
      <c r="V67" s="14">
        <v>21.552800999999999</v>
      </c>
      <c r="W67" s="14">
        <v>21.552800999999999</v>
      </c>
      <c r="X67" s="14">
        <v>21.552800999999999</v>
      </c>
      <c r="Y67" s="14">
        <v>21.552800999999999</v>
      </c>
      <c r="Z67" s="14">
        <v>21.552800999999999</v>
      </c>
      <c r="AA67" s="14">
        <v>21.552800999999999</v>
      </c>
      <c r="AB67" s="14">
        <v>21.552800999999999</v>
      </c>
      <c r="AC67" s="14">
        <v>21.552800999999999</v>
      </c>
      <c r="AD67" s="14">
        <v>21.552800999999999</v>
      </c>
      <c r="AE67" s="14">
        <v>21.552800999999999</v>
      </c>
      <c r="AF67" s="14">
        <v>21.552800999999999</v>
      </c>
      <c r="AG67" s="14">
        <v>21.552800999999999</v>
      </c>
      <c r="AH67" s="14">
        <v>21.552800999999999</v>
      </c>
      <c r="AI67" s="14">
        <v>21.552800999999999</v>
      </c>
      <c r="AJ67" s="14">
        <v>21.552800999999999</v>
      </c>
      <c r="AK67" s="15" t="s">
        <v>34</v>
      </c>
    </row>
    <row r="68" spans="1:37" ht="15" customHeight="1" x14ac:dyDescent="0.75">
      <c r="A68" s="6" t="s">
        <v>79</v>
      </c>
      <c r="B68" s="13" t="s">
        <v>25</v>
      </c>
      <c r="C68" s="14" t="s">
        <v>34</v>
      </c>
      <c r="D68" s="14" t="s">
        <v>34</v>
      </c>
      <c r="E68" s="14">
        <v>0</v>
      </c>
      <c r="F68" s="14">
        <v>0</v>
      </c>
      <c r="G68" s="14">
        <v>0</v>
      </c>
      <c r="H68" s="14">
        <v>0</v>
      </c>
      <c r="I68" s="14">
        <v>0</v>
      </c>
      <c r="J68" s="14">
        <v>0</v>
      </c>
      <c r="K68" s="14">
        <v>0</v>
      </c>
      <c r="L68" s="14">
        <v>0</v>
      </c>
      <c r="M68" s="14">
        <v>0</v>
      </c>
      <c r="N68" s="14">
        <v>0</v>
      </c>
      <c r="O68" s="14">
        <v>0</v>
      </c>
      <c r="P68" s="14">
        <v>0</v>
      </c>
      <c r="Q68" s="14">
        <v>0</v>
      </c>
      <c r="R68" s="14">
        <v>0</v>
      </c>
      <c r="S68" s="14">
        <v>0</v>
      </c>
      <c r="T68" s="14">
        <v>0</v>
      </c>
      <c r="U68" s="14">
        <v>0</v>
      </c>
      <c r="V68" s="14">
        <v>0</v>
      </c>
      <c r="W68" s="14">
        <v>0</v>
      </c>
      <c r="X68" s="14">
        <v>0</v>
      </c>
      <c r="Y68" s="14">
        <v>0</v>
      </c>
      <c r="Z68" s="14">
        <v>0</v>
      </c>
      <c r="AA68" s="14">
        <v>0</v>
      </c>
      <c r="AB68" s="14">
        <v>0</v>
      </c>
      <c r="AC68" s="14">
        <v>0</v>
      </c>
      <c r="AD68" s="14">
        <v>0</v>
      </c>
      <c r="AE68" s="14">
        <v>0</v>
      </c>
      <c r="AF68" s="14">
        <v>0</v>
      </c>
      <c r="AG68" s="14">
        <v>0</v>
      </c>
      <c r="AH68" s="14">
        <v>0</v>
      </c>
      <c r="AI68" s="14">
        <v>0</v>
      </c>
      <c r="AJ68" s="14">
        <v>0</v>
      </c>
      <c r="AK68" s="15" t="s">
        <v>34</v>
      </c>
    </row>
    <row r="69" spans="1:37" ht="15" customHeight="1" x14ac:dyDescent="0.75">
      <c r="A69" s="6" t="s">
        <v>80</v>
      </c>
      <c r="B69" s="13" t="s">
        <v>27</v>
      </c>
      <c r="C69" s="14" t="s">
        <v>34</v>
      </c>
      <c r="D69" s="14" t="s">
        <v>34</v>
      </c>
      <c r="E69" s="14">
        <v>0</v>
      </c>
      <c r="F69" s="14">
        <v>0</v>
      </c>
      <c r="G69" s="14">
        <v>0</v>
      </c>
      <c r="H69" s="14">
        <v>0</v>
      </c>
      <c r="I69" s="14">
        <v>0</v>
      </c>
      <c r="J69" s="14">
        <v>0</v>
      </c>
      <c r="K69" s="14">
        <v>0</v>
      </c>
      <c r="L69" s="14">
        <v>0</v>
      </c>
      <c r="M69" s="14">
        <v>0</v>
      </c>
      <c r="N69" s="14">
        <v>0</v>
      </c>
      <c r="O69" s="14">
        <v>0</v>
      </c>
      <c r="P69" s="14">
        <v>0</v>
      </c>
      <c r="Q69" s="14">
        <v>0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0</v>
      </c>
      <c r="Y69" s="14">
        <v>0</v>
      </c>
      <c r="Z69" s="14">
        <v>0</v>
      </c>
      <c r="AA69" s="14">
        <v>0</v>
      </c>
      <c r="AB69" s="14">
        <v>0</v>
      </c>
      <c r="AC69" s="14">
        <v>0</v>
      </c>
      <c r="AD69" s="14">
        <v>0</v>
      </c>
      <c r="AE69" s="14">
        <v>0</v>
      </c>
      <c r="AF69" s="14">
        <v>0</v>
      </c>
      <c r="AG69" s="14">
        <v>0</v>
      </c>
      <c r="AH69" s="14">
        <v>0</v>
      </c>
      <c r="AI69" s="14">
        <v>0</v>
      </c>
      <c r="AJ69" s="14">
        <v>0</v>
      </c>
      <c r="AK69" s="15" t="s">
        <v>34</v>
      </c>
    </row>
    <row r="70" spans="1:37" ht="15" customHeight="1" x14ac:dyDescent="0.75">
      <c r="A70" s="6" t="s">
        <v>81</v>
      </c>
      <c r="B70" s="13" t="s">
        <v>29</v>
      </c>
      <c r="C70" s="14" t="s">
        <v>34</v>
      </c>
      <c r="D70" s="14" t="s">
        <v>34</v>
      </c>
      <c r="E70" s="14">
        <v>0</v>
      </c>
      <c r="F70" s="14">
        <v>1.1000000000000001E-3</v>
      </c>
      <c r="G70" s="14">
        <v>1.1000000000000001E-3</v>
      </c>
      <c r="H70" s="14">
        <v>1.1000000000000001E-3</v>
      </c>
      <c r="I70" s="14">
        <v>1.1000000000000001E-3</v>
      </c>
      <c r="J70" s="14">
        <v>1.1000000000000001E-3</v>
      </c>
      <c r="K70" s="14">
        <v>1.1000000000000001E-3</v>
      </c>
      <c r="L70" s="14">
        <v>1.1000000000000001E-3</v>
      </c>
      <c r="M70" s="14">
        <v>1.1000000000000001E-3</v>
      </c>
      <c r="N70" s="14">
        <v>1.1000000000000001E-3</v>
      </c>
      <c r="O70" s="14">
        <v>1.1000000000000001E-3</v>
      </c>
      <c r="P70" s="14">
        <v>1.1000000000000001E-3</v>
      </c>
      <c r="Q70" s="14">
        <v>1.1000000000000001E-3</v>
      </c>
      <c r="R70" s="14">
        <v>1.1000000000000001E-3</v>
      </c>
      <c r="S70" s="14">
        <v>1.1000000000000001E-3</v>
      </c>
      <c r="T70" s="14">
        <v>1.1000000000000001E-3</v>
      </c>
      <c r="U70" s="14">
        <v>1.1000000000000001E-3</v>
      </c>
      <c r="V70" s="14">
        <v>1.1000000000000001E-3</v>
      </c>
      <c r="W70" s="14">
        <v>1.1000000000000001E-3</v>
      </c>
      <c r="X70" s="14">
        <v>1.1000000000000001E-3</v>
      </c>
      <c r="Y70" s="14">
        <v>1.1000000000000001E-3</v>
      </c>
      <c r="Z70" s="14">
        <v>1.1000000000000001E-3</v>
      </c>
      <c r="AA70" s="14">
        <v>1.1000000000000001E-3</v>
      </c>
      <c r="AB70" s="14">
        <v>1.1000000000000001E-3</v>
      </c>
      <c r="AC70" s="14">
        <v>1.1000000000000001E-3</v>
      </c>
      <c r="AD70" s="14">
        <v>1.1000000000000001E-3</v>
      </c>
      <c r="AE70" s="14">
        <v>1.1000000000000001E-3</v>
      </c>
      <c r="AF70" s="14">
        <v>1.1000000000000001E-3</v>
      </c>
      <c r="AG70" s="14">
        <v>1.1000000000000001E-3</v>
      </c>
      <c r="AH70" s="14">
        <v>1.1000000000000001E-3</v>
      </c>
      <c r="AI70" s="14">
        <v>1.1000000000000001E-3</v>
      </c>
      <c r="AJ70" s="14">
        <v>1.1000000000000001E-3</v>
      </c>
      <c r="AK70" s="15" t="s">
        <v>34</v>
      </c>
    </row>
    <row r="71" spans="1:37" ht="15" customHeight="1" x14ac:dyDescent="0.75">
      <c r="A71" s="6" t="s">
        <v>82</v>
      </c>
      <c r="B71" s="13" t="s">
        <v>31</v>
      </c>
      <c r="C71" s="14" t="s">
        <v>34</v>
      </c>
      <c r="D71" s="14" t="s">
        <v>34</v>
      </c>
      <c r="E71" s="14">
        <v>1.2200000000000001E-2</v>
      </c>
      <c r="F71" s="14">
        <v>1.32E-2</v>
      </c>
      <c r="G71" s="14">
        <v>1.4E-2</v>
      </c>
      <c r="H71" s="14">
        <v>3.39E-2</v>
      </c>
      <c r="I71" s="14">
        <v>4.0399999999999998E-2</v>
      </c>
      <c r="J71" s="14">
        <v>5.6399999999999999E-2</v>
      </c>
      <c r="K71" s="14">
        <v>5.8900000000000001E-2</v>
      </c>
      <c r="L71" s="14">
        <v>6.0900000000000003E-2</v>
      </c>
      <c r="M71" s="14">
        <v>6.0900000000000003E-2</v>
      </c>
      <c r="N71" s="14">
        <v>6.0900000000000003E-2</v>
      </c>
      <c r="O71" s="14">
        <v>0.13589999999999999</v>
      </c>
      <c r="P71" s="14">
        <v>0.13589999999999999</v>
      </c>
      <c r="Q71" s="14">
        <v>0.13589999999999999</v>
      </c>
      <c r="R71" s="14">
        <v>0.13589999999999999</v>
      </c>
      <c r="S71" s="14">
        <v>0.13589999999999999</v>
      </c>
      <c r="T71" s="14">
        <v>0.13589999999999999</v>
      </c>
      <c r="U71" s="14">
        <v>0.13589999999999999</v>
      </c>
      <c r="V71" s="14">
        <v>0.13589999999999999</v>
      </c>
      <c r="W71" s="14">
        <v>0.13589999999999999</v>
      </c>
      <c r="X71" s="14">
        <v>0.13589999999999999</v>
      </c>
      <c r="Y71" s="14">
        <v>0.13589999999999999</v>
      </c>
      <c r="Z71" s="14">
        <v>0.13589999999999999</v>
      </c>
      <c r="AA71" s="14">
        <v>0.13589999999999999</v>
      </c>
      <c r="AB71" s="14">
        <v>0.13589999999999999</v>
      </c>
      <c r="AC71" s="14">
        <v>0.13589999999999999</v>
      </c>
      <c r="AD71" s="14">
        <v>0.13589999999999999</v>
      </c>
      <c r="AE71" s="14">
        <v>0.13589999999999999</v>
      </c>
      <c r="AF71" s="14">
        <v>0.13589999999999999</v>
      </c>
      <c r="AG71" s="14">
        <v>0.1789</v>
      </c>
      <c r="AH71" s="14">
        <v>0.1789</v>
      </c>
      <c r="AI71" s="14">
        <v>0.1789</v>
      </c>
      <c r="AJ71" s="14">
        <v>0.1789</v>
      </c>
      <c r="AK71" s="15" t="s">
        <v>34</v>
      </c>
    </row>
    <row r="72" spans="1:37" ht="15" customHeight="1" x14ac:dyDescent="0.75">
      <c r="A72" s="6" t="s">
        <v>83</v>
      </c>
      <c r="B72" s="12" t="s">
        <v>36</v>
      </c>
      <c r="C72" s="16" t="s">
        <v>34</v>
      </c>
      <c r="D72" s="16" t="s">
        <v>34</v>
      </c>
      <c r="E72" s="16">
        <v>10.384415000000001</v>
      </c>
      <c r="F72" s="16">
        <v>16.420014999999999</v>
      </c>
      <c r="G72" s="16">
        <v>39.152099999999997</v>
      </c>
      <c r="H72" s="16">
        <v>54.804588000000003</v>
      </c>
      <c r="I72" s="16">
        <v>74.031859999999995</v>
      </c>
      <c r="J72" s="16">
        <v>90.405929999999998</v>
      </c>
      <c r="K72" s="16">
        <v>106.601715</v>
      </c>
      <c r="L72" s="16">
        <v>117.67491099999999</v>
      </c>
      <c r="M72" s="16">
        <v>122.421509</v>
      </c>
      <c r="N72" s="16">
        <v>125.882217</v>
      </c>
      <c r="O72" s="16">
        <v>128.99601699999999</v>
      </c>
      <c r="P72" s="16">
        <v>132.16282699999999</v>
      </c>
      <c r="Q72" s="16">
        <v>135.444931</v>
      </c>
      <c r="R72" s="16">
        <v>142.222916</v>
      </c>
      <c r="S72" s="16">
        <v>142.462906</v>
      </c>
      <c r="T72" s="16">
        <v>145.81303399999999</v>
      </c>
      <c r="U72" s="16">
        <v>147.180634</v>
      </c>
      <c r="V72" s="16">
        <v>147.748108</v>
      </c>
      <c r="W72" s="16">
        <v>148.912216</v>
      </c>
      <c r="X72" s="16">
        <v>150.55860899999999</v>
      </c>
      <c r="Y72" s="16">
        <v>150.80461099999999</v>
      </c>
      <c r="Z72" s="16">
        <v>150.90791300000001</v>
      </c>
      <c r="AA72" s="16">
        <v>153.60389699999999</v>
      </c>
      <c r="AB72" s="16">
        <v>154.53488200000001</v>
      </c>
      <c r="AC72" s="16">
        <v>156.93087800000001</v>
      </c>
      <c r="AD72" s="16">
        <v>156.93087800000001</v>
      </c>
      <c r="AE72" s="16">
        <v>157.46319600000001</v>
      </c>
      <c r="AF72" s="16">
        <v>158.03869599999999</v>
      </c>
      <c r="AG72" s="16">
        <v>158.76660200000001</v>
      </c>
      <c r="AH72" s="16">
        <v>158.76660200000001</v>
      </c>
      <c r="AI72" s="16">
        <v>158.76660200000001</v>
      </c>
      <c r="AJ72" s="16">
        <v>158.76980599999999</v>
      </c>
      <c r="AK72" s="17" t="s">
        <v>34</v>
      </c>
    </row>
    <row r="74" spans="1:37" ht="15" customHeight="1" x14ac:dyDescent="0.75">
      <c r="A74" s="6" t="s">
        <v>84</v>
      </c>
      <c r="B74" s="12" t="s">
        <v>85</v>
      </c>
      <c r="C74" s="16">
        <v>1043.869751</v>
      </c>
      <c r="D74" s="16">
        <v>1059.4221190000001</v>
      </c>
      <c r="E74" s="16">
        <v>1078.6495359999999</v>
      </c>
      <c r="F74" s="16">
        <v>1103.2001949999999</v>
      </c>
      <c r="G74" s="16">
        <v>1113.9835210000001</v>
      </c>
      <c r="H74" s="16">
        <v>1117.8623050000001</v>
      </c>
      <c r="I74" s="16">
        <v>1121.7763669999999</v>
      </c>
      <c r="J74" s="16">
        <v>1123.3773189999999</v>
      </c>
      <c r="K74" s="16">
        <v>1126.668823</v>
      </c>
      <c r="L74" s="16">
        <v>1128.220337</v>
      </c>
      <c r="M74" s="16">
        <v>1138.497803</v>
      </c>
      <c r="N74" s="16">
        <v>1145.451904</v>
      </c>
      <c r="O74" s="16">
        <v>1155.2955320000001</v>
      </c>
      <c r="P74" s="16">
        <v>1165.41687</v>
      </c>
      <c r="Q74" s="16">
        <v>1178.6972659999999</v>
      </c>
      <c r="R74" s="16">
        <v>1185.2954099999999</v>
      </c>
      <c r="S74" s="16">
        <v>1197.319336</v>
      </c>
      <c r="T74" s="16">
        <v>1212.4470209999999</v>
      </c>
      <c r="U74" s="16">
        <v>1225.911865</v>
      </c>
      <c r="V74" s="16">
        <v>1243.7741699999999</v>
      </c>
      <c r="W74" s="16">
        <v>1262.2312010000001</v>
      </c>
      <c r="X74" s="16">
        <v>1279.6710210000001</v>
      </c>
      <c r="Y74" s="16">
        <v>1300.325439</v>
      </c>
      <c r="Z74" s="16">
        <v>1313.6335449999999</v>
      </c>
      <c r="AA74" s="16">
        <v>1336.6259769999999</v>
      </c>
      <c r="AB74" s="16">
        <v>1346.522461</v>
      </c>
      <c r="AC74" s="16">
        <v>1367.8889160000001</v>
      </c>
      <c r="AD74" s="16">
        <v>1381.380005</v>
      </c>
      <c r="AE74" s="16">
        <v>1398.183716</v>
      </c>
      <c r="AF74" s="16">
        <v>1423.0794679999999</v>
      </c>
      <c r="AG74" s="16">
        <v>1447.0623780000001</v>
      </c>
      <c r="AH74" s="16">
        <v>1462.7326660000001</v>
      </c>
      <c r="AI74" s="16">
        <v>1485.109009</v>
      </c>
      <c r="AJ74" s="16">
        <v>1506.0395510000001</v>
      </c>
      <c r="AK74" s="17">
        <v>1.1053E-2</v>
      </c>
    </row>
    <row r="76" spans="1:37" ht="15" customHeight="1" x14ac:dyDescent="0.75">
      <c r="B76" s="12" t="s">
        <v>86</v>
      </c>
    </row>
    <row r="77" spans="1:37" ht="15" customHeight="1" x14ac:dyDescent="0.75">
      <c r="A77" s="6" t="s">
        <v>87</v>
      </c>
      <c r="B77" s="13" t="s">
        <v>39</v>
      </c>
      <c r="C77" s="14">
        <v>2.8090700000000002</v>
      </c>
      <c r="D77" s="14">
        <v>2.8294220000000001</v>
      </c>
      <c r="E77" s="14">
        <v>2.8143950000000002</v>
      </c>
      <c r="F77" s="14">
        <v>2.751887</v>
      </c>
      <c r="G77" s="14">
        <v>2.707497</v>
      </c>
      <c r="H77" s="14">
        <v>2.6968350000000001</v>
      </c>
      <c r="I77" s="14">
        <v>2.6748280000000002</v>
      </c>
      <c r="J77" s="14">
        <v>2.6577280000000001</v>
      </c>
      <c r="K77" s="14">
        <v>2.6425589999999999</v>
      </c>
      <c r="L77" s="14">
        <v>2.6240389999999998</v>
      </c>
      <c r="M77" s="14">
        <v>2.598665</v>
      </c>
      <c r="N77" s="14">
        <v>2.5801460000000001</v>
      </c>
      <c r="O77" s="14">
        <v>2.5564249999999999</v>
      </c>
      <c r="P77" s="14">
        <v>2.534081</v>
      </c>
      <c r="Q77" s="14">
        <v>2.5127160000000002</v>
      </c>
      <c r="R77" s="14">
        <v>2.4900669999999998</v>
      </c>
      <c r="S77" s="14">
        <v>2.470507</v>
      </c>
      <c r="T77" s="14">
        <v>2.4516689999999999</v>
      </c>
      <c r="U77" s="14">
        <v>2.4322560000000002</v>
      </c>
      <c r="V77" s="14">
        <v>2.4122409999999999</v>
      </c>
      <c r="W77" s="14">
        <v>2.3954650000000002</v>
      </c>
      <c r="X77" s="14">
        <v>2.3756080000000002</v>
      </c>
      <c r="Y77" s="14">
        <v>2.3538420000000002</v>
      </c>
      <c r="Z77" s="14">
        <v>2.3294329999999999</v>
      </c>
      <c r="AA77" s="14">
        <v>2.306187</v>
      </c>
      <c r="AB77" s="14">
        <v>2.2809900000000001</v>
      </c>
      <c r="AC77" s="14">
        <v>2.2574730000000001</v>
      </c>
      <c r="AD77" s="14">
        <v>2.2334480000000001</v>
      </c>
      <c r="AE77" s="14">
        <v>2.211741</v>
      </c>
      <c r="AF77" s="14">
        <v>2.1874859999999998</v>
      </c>
      <c r="AG77" s="14">
        <v>2.1649419999999999</v>
      </c>
      <c r="AH77" s="14">
        <v>2.1414520000000001</v>
      </c>
      <c r="AI77" s="14">
        <v>2.1181480000000001</v>
      </c>
      <c r="AJ77" s="14">
        <v>2.09388</v>
      </c>
      <c r="AK77" s="15">
        <v>-9.3640000000000008E-3</v>
      </c>
    </row>
    <row r="78" spans="1:37" ht="15" customHeight="1" x14ac:dyDescent="0.75">
      <c r="A78" s="6" t="s">
        <v>88</v>
      </c>
      <c r="B78" s="13" t="s">
        <v>89</v>
      </c>
      <c r="C78" s="14">
        <v>0.60187599999999997</v>
      </c>
      <c r="D78" s="14">
        <v>0.56111200000000006</v>
      </c>
      <c r="E78" s="14">
        <v>0.56123999999999996</v>
      </c>
      <c r="F78" s="14">
        <v>0.51933600000000002</v>
      </c>
      <c r="G78" s="14">
        <v>0.51947699999999997</v>
      </c>
      <c r="H78" s="14">
        <v>0.51967099999999999</v>
      </c>
      <c r="I78" s="14">
        <v>0.519872</v>
      </c>
      <c r="J78" s="14">
        <v>0.52008299999999996</v>
      </c>
      <c r="K78" s="14">
        <v>0.52029099999999995</v>
      </c>
      <c r="L78" s="14">
        <v>0.52048300000000003</v>
      </c>
      <c r="M78" s="14">
        <v>0.52058700000000002</v>
      </c>
      <c r="N78" s="14">
        <v>0.520729</v>
      </c>
      <c r="O78" s="14">
        <v>0.52080000000000004</v>
      </c>
      <c r="P78" s="14">
        <v>0.52084299999999994</v>
      </c>
      <c r="Q78" s="14">
        <v>0.52089399999999997</v>
      </c>
      <c r="R78" s="14">
        <v>0.52093900000000004</v>
      </c>
      <c r="S78" s="14">
        <v>0.52103500000000003</v>
      </c>
      <c r="T78" s="14">
        <v>0.52115</v>
      </c>
      <c r="U78" s="14">
        <v>0.52129199999999998</v>
      </c>
      <c r="V78" s="14">
        <v>0.52144800000000002</v>
      </c>
      <c r="W78" s="14">
        <v>0.52163199999999998</v>
      </c>
      <c r="X78" s="14">
        <v>0.52182600000000001</v>
      </c>
      <c r="Y78" s="14">
        <v>0.52202499999999996</v>
      </c>
      <c r="Z78" s="14">
        <v>0.52221499999999998</v>
      </c>
      <c r="AA78" s="14">
        <v>0.52242299999999997</v>
      </c>
      <c r="AB78" s="14">
        <v>0.52264299999999997</v>
      </c>
      <c r="AC78" s="14">
        <v>0.52292799999999995</v>
      </c>
      <c r="AD78" s="14">
        <v>0.52324599999999999</v>
      </c>
      <c r="AE78" s="14">
        <v>0.52360799999999996</v>
      </c>
      <c r="AF78" s="14">
        <v>0.52398</v>
      </c>
      <c r="AG78" s="14">
        <v>0.52438200000000001</v>
      </c>
      <c r="AH78" s="14">
        <v>0.52479299999999995</v>
      </c>
      <c r="AI78" s="14">
        <v>0.52522100000000005</v>
      </c>
      <c r="AJ78" s="14">
        <v>0.52563800000000005</v>
      </c>
      <c r="AK78" s="15">
        <v>-2.039E-3</v>
      </c>
    </row>
    <row r="79" spans="1:37" ht="15" customHeight="1" x14ac:dyDescent="0.75">
      <c r="A79" s="6" t="s">
        <v>90</v>
      </c>
      <c r="B79" s="13" t="s">
        <v>91</v>
      </c>
      <c r="C79" s="14">
        <v>16.550146000000002</v>
      </c>
      <c r="D79" s="14">
        <v>17.000043999999999</v>
      </c>
      <c r="E79" s="14">
        <v>17.661366999999998</v>
      </c>
      <c r="F79" s="14">
        <v>18.192609999999998</v>
      </c>
      <c r="G79" s="14">
        <v>18.523696999999999</v>
      </c>
      <c r="H79" s="14">
        <v>18.881478999999999</v>
      </c>
      <c r="I79" s="14">
        <v>19.254021000000002</v>
      </c>
      <c r="J79" s="14">
        <v>19.649028999999999</v>
      </c>
      <c r="K79" s="14">
        <v>20.075354000000001</v>
      </c>
      <c r="L79" s="14">
        <v>20.530176000000001</v>
      </c>
      <c r="M79" s="14">
        <v>21.008945000000001</v>
      </c>
      <c r="N79" s="14">
        <v>21.517927</v>
      </c>
      <c r="O79" s="14">
        <v>21.898712</v>
      </c>
      <c r="P79" s="14">
        <v>22.411719999999999</v>
      </c>
      <c r="Q79" s="14">
        <v>22.894997</v>
      </c>
      <c r="R79" s="14">
        <v>23.430418</v>
      </c>
      <c r="S79" s="14">
        <v>23.968340000000001</v>
      </c>
      <c r="T79" s="14">
        <v>24.586416</v>
      </c>
      <c r="U79" s="14">
        <v>25.184086000000001</v>
      </c>
      <c r="V79" s="14">
        <v>25.818956</v>
      </c>
      <c r="W79" s="14">
        <v>26.457961999999998</v>
      </c>
      <c r="X79" s="14">
        <v>27.134406999999999</v>
      </c>
      <c r="Y79" s="14">
        <v>27.822490999999999</v>
      </c>
      <c r="Z79" s="14">
        <v>28.548615999999999</v>
      </c>
      <c r="AA79" s="14">
        <v>29.307970000000001</v>
      </c>
      <c r="AB79" s="14">
        <v>30.064495000000001</v>
      </c>
      <c r="AC79" s="14">
        <v>30.895098000000001</v>
      </c>
      <c r="AD79" s="14">
        <v>31.764026999999999</v>
      </c>
      <c r="AE79" s="14">
        <v>32.729435000000002</v>
      </c>
      <c r="AF79" s="14">
        <v>33.678168999999997</v>
      </c>
      <c r="AG79" s="14">
        <v>34.662864999999996</v>
      </c>
      <c r="AH79" s="14">
        <v>35.675156000000001</v>
      </c>
      <c r="AI79" s="14">
        <v>36.704326999999999</v>
      </c>
      <c r="AJ79" s="14">
        <v>37.760554999999997</v>
      </c>
      <c r="AK79" s="15">
        <v>2.5253000000000001E-2</v>
      </c>
    </row>
    <row r="80" spans="1:37" ht="15" customHeight="1" x14ac:dyDescent="0.75">
      <c r="A80" s="6" t="s">
        <v>92</v>
      </c>
      <c r="B80" s="13" t="s">
        <v>93</v>
      </c>
      <c r="C80" s="14">
        <v>2.86477</v>
      </c>
      <c r="D80" s="14">
        <v>3.0662500000000001</v>
      </c>
      <c r="E80" s="14">
        <v>3.09165</v>
      </c>
      <c r="F80" s="14">
        <v>3.0005730000000002</v>
      </c>
      <c r="G80" s="14">
        <v>3.0005730000000002</v>
      </c>
      <c r="H80" s="14">
        <v>3.0005730000000002</v>
      </c>
      <c r="I80" s="14">
        <v>3.0005730000000002</v>
      </c>
      <c r="J80" s="14">
        <v>3.0005730000000002</v>
      </c>
      <c r="K80" s="14">
        <v>3.0005730000000002</v>
      </c>
      <c r="L80" s="14">
        <v>3.0005730000000002</v>
      </c>
      <c r="M80" s="14">
        <v>3.0005730000000002</v>
      </c>
      <c r="N80" s="14">
        <v>3.0005730000000002</v>
      </c>
      <c r="O80" s="14">
        <v>2.9544329999999999</v>
      </c>
      <c r="P80" s="14">
        <v>2.962799</v>
      </c>
      <c r="Q80" s="14">
        <v>2.9472360000000002</v>
      </c>
      <c r="R80" s="14">
        <v>2.9446539999999999</v>
      </c>
      <c r="S80" s="14">
        <v>2.9323169999999998</v>
      </c>
      <c r="T80" s="14">
        <v>2.9502259999999998</v>
      </c>
      <c r="U80" s="14">
        <v>2.9470580000000002</v>
      </c>
      <c r="V80" s="14">
        <v>2.9477370000000001</v>
      </c>
      <c r="W80" s="14">
        <v>2.9376530000000001</v>
      </c>
      <c r="X80" s="14">
        <v>2.9355069999999999</v>
      </c>
      <c r="Y80" s="14">
        <v>2.9302250000000001</v>
      </c>
      <c r="Z80" s="14">
        <v>2.9397099999999998</v>
      </c>
      <c r="AA80" s="14">
        <v>2.9456639999999998</v>
      </c>
      <c r="AB80" s="14">
        <v>2.933996</v>
      </c>
      <c r="AC80" s="14">
        <v>2.93988</v>
      </c>
      <c r="AD80" s="14">
        <v>2.945551</v>
      </c>
      <c r="AE80" s="14">
        <v>2.976127</v>
      </c>
      <c r="AF80" s="14">
        <v>2.9741689999999998</v>
      </c>
      <c r="AG80" s="14">
        <v>2.9789479999999999</v>
      </c>
      <c r="AH80" s="14">
        <v>2.9858669999999998</v>
      </c>
      <c r="AI80" s="14">
        <v>2.9908999999999999</v>
      </c>
      <c r="AJ80" s="14">
        <v>2.9975239999999999</v>
      </c>
      <c r="AK80" s="15">
        <v>-7.0799999999999997E-4</v>
      </c>
    </row>
    <row r="81" spans="1:37" ht="15" customHeight="1" x14ac:dyDescent="0.75">
      <c r="A81" s="6" t="s">
        <v>94</v>
      </c>
      <c r="B81" s="13" t="s">
        <v>31</v>
      </c>
      <c r="C81" s="14">
        <v>25.920618000000001</v>
      </c>
      <c r="D81" s="14">
        <v>29.844747999999999</v>
      </c>
      <c r="E81" s="14">
        <v>34.453121000000003</v>
      </c>
      <c r="F81" s="14">
        <v>39.500785999999998</v>
      </c>
      <c r="G81" s="14">
        <v>44.149078000000003</v>
      </c>
      <c r="H81" s="14">
        <v>48.499355000000001</v>
      </c>
      <c r="I81" s="14">
        <v>52.524948000000002</v>
      </c>
      <c r="J81" s="14">
        <v>56.023991000000002</v>
      </c>
      <c r="K81" s="14">
        <v>58.900844999999997</v>
      </c>
      <c r="L81" s="14">
        <v>61.974850000000004</v>
      </c>
      <c r="M81" s="14">
        <v>65.193916000000002</v>
      </c>
      <c r="N81" s="14">
        <v>68.619681999999997</v>
      </c>
      <c r="O81" s="14">
        <v>72.239288000000002</v>
      </c>
      <c r="P81" s="14">
        <v>76.013641000000007</v>
      </c>
      <c r="Q81" s="14">
        <v>79.974632</v>
      </c>
      <c r="R81" s="14">
        <v>84.122489999999999</v>
      </c>
      <c r="S81" s="14">
        <v>88.472649000000004</v>
      </c>
      <c r="T81" s="14">
        <v>93.023323000000005</v>
      </c>
      <c r="U81" s="14">
        <v>97.770972999999998</v>
      </c>
      <c r="V81" s="14">
        <v>102.772758</v>
      </c>
      <c r="W81" s="14">
        <v>108.000626</v>
      </c>
      <c r="X81" s="14">
        <v>113.44832599999999</v>
      </c>
      <c r="Y81" s="14">
        <v>119.08805099999999</v>
      </c>
      <c r="Z81" s="14">
        <v>124.89795700000001</v>
      </c>
      <c r="AA81" s="14">
        <v>130.901321</v>
      </c>
      <c r="AB81" s="14">
        <v>137.08963</v>
      </c>
      <c r="AC81" s="14">
        <v>143.505493</v>
      </c>
      <c r="AD81" s="14">
        <v>150.120285</v>
      </c>
      <c r="AE81" s="14">
        <v>157.02271999999999</v>
      </c>
      <c r="AF81" s="14">
        <v>164.17160000000001</v>
      </c>
      <c r="AG81" s="14">
        <v>171.62394699999999</v>
      </c>
      <c r="AH81" s="14">
        <v>179.344223</v>
      </c>
      <c r="AI81" s="14">
        <v>187.32080099999999</v>
      </c>
      <c r="AJ81" s="14">
        <v>195.53801000000001</v>
      </c>
      <c r="AK81" s="15">
        <v>6.0502E-2</v>
      </c>
    </row>
    <row r="82" spans="1:37" ht="15" customHeight="1" x14ac:dyDescent="0.75">
      <c r="A82" s="6" t="s">
        <v>95</v>
      </c>
      <c r="B82" s="13" t="s">
        <v>96</v>
      </c>
      <c r="C82" s="14">
        <v>0.43790000000000001</v>
      </c>
      <c r="D82" s="14">
        <v>0.45290000000000002</v>
      </c>
      <c r="E82" s="14">
        <v>0.50290000000000001</v>
      </c>
      <c r="F82" s="14">
        <v>0.50290000000000001</v>
      </c>
      <c r="G82" s="14">
        <v>0.51490000000000002</v>
      </c>
      <c r="H82" s="14">
        <v>0.51490000000000002</v>
      </c>
      <c r="I82" s="14">
        <v>0.51490000000000002</v>
      </c>
      <c r="J82" s="14">
        <v>0.51490000000000002</v>
      </c>
      <c r="K82" s="14">
        <v>0.51490000000000002</v>
      </c>
      <c r="L82" s="14">
        <v>0.51490000000000002</v>
      </c>
      <c r="M82" s="14">
        <v>0.51490000000000002</v>
      </c>
      <c r="N82" s="14">
        <v>0.51490000000000002</v>
      </c>
      <c r="O82" s="14">
        <v>0.51490000000000002</v>
      </c>
      <c r="P82" s="14">
        <v>0.51490000000000002</v>
      </c>
      <c r="Q82" s="14">
        <v>0.51490000000000002</v>
      </c>
      <c r="R82" s="14">
        <v>0.51490000000000002</v>
      </c>
      <c r="S82" s="14">
        <v>0.51490000000000002</v>
      </c>
      <c r="T82" s="14">
        <v>0.51490000000000002</v>
      </c>
      <c r="U82" s="14">
        <v>0.51490000000000002</v>
      </c>
      <c r="V82" s="14">
        <v>0.51490000000000002</v>
      </c>
      <c r="W82" s="14">
        <v>0.51490000000000002</v>
      </c>
      <c r="X82" s="14">
        <v>0.51490000000000002</v>
      </c>
      <c r="Y82" s="14">
        <v>0.51490000000000002</v>
      </c>
      <c r="Z82" s="14">
        <v>0.51490000000000002</v>
      </c>
      <c r="AA82" s="14">
        <v>0.51490000000000002</v>
      </c>
      <c r="AB82" s="14">
        <v>0.51490000000000002</v>
      </c>
      <c r="AC82" s="14">
        <v>0.51490000000000002</v>
      </c>
      <c r="AD82" s="14">
        <v>0.51490000000000002</v>
      </c>
      <c r="AE82" s="14">
        <v>0.51490000000000002</v>
      </c>
      <c r="AF82" s="14">
        <v>0.51490000000000002</v>
      </c>
      <c r="AG82" s="14">
        <v>0.51490000000000002</v>
      </c>
      <c r="AH82" s="14">
        <v>0.51490000000000002</v>
      </c>
      <c r="AI82" s="14">
        <v>0.51490000000000002</v>
      </c>
      <c r="AJ82" s="14">
        <v>0.51490000000000002</v>
      </c>
      <c r="AK82" s="15">
        <v>4.0169999999999997E-3</v>
      </c>
    </row>
    <row r="83" spans="1:37" ht="15" customHeight="1" x14ac:dyDescent="0.75">
      <c r="A83" s="6" t="s">
        <v>97</v>
      </c>
      <c r="B83" s="12" t="s">
        <v>36</v>
      </c>
      <c r="C83" s="16">
        <v>49.184379999999997</v>
      </c>
      <c r="D83" s="16">
        <v>53.754474999999999</v>
      </c>
      <c r="E83" s="16">
        <v>59.084671</v>
      </c>
      <c r="F83" s="16">
        <v>64.468093999999994</v>
      </c>
      <c r="G83" s="16">
        <v>69.415222</v>
      </c>
      <c r="H83" s="16">
        <v>74.112808000000001</v>
      </c>
      <c r="I83" s="16">
        <v>78.489142999999999</v>
      </c>
      <c r="J83" s="16">
        <v>82.366302000000005</v>
      </c>
      <c r="K83" s="16">
        <v>85.654526000000004</v>
      </c>
      <c r="L83" s="16">
        <v>89.165024000000003</v>
      </c>
      <c r="M83" s="16">
        <v>92.837585000000004</v>
      </c>
      <c r="N83" s="16">
        <v>96.753967000000003</v>
      </c>
      <c r="O83" s="16">
        <v>100.684555</v>
      </c>
      <c r="P83" s="16">
        <v>104.95798499999999</v>
      </c>
      <c r="Q83" s="16">
        <v>109.36537199999999</v>
      </c>
      <c r="R83" s="16">
        <v>114.02346799999999</v>
      </c>
      <c r="S83" s="16">
        <v>118.879745</v>
      </c>
      <c r="T83" s="16">
        <v>124.047684</v>
      </c>
      <c r="U83" s="16">
        <v>129.370575</v>
      </c>
      <c r="V83" s="16">
        <v>134.98803699999999</v>
      </c>
      <c r="W83" s="16">
        <v>140.82823200000001</v>
      </c>
      <c r="X83" s="16">
        <v>146.93057300000001</v>
      </c>
      <c r="Y83" s="16">
        <v>153.231537</v>
      </c>
      <c r="Z83" s="16">
        <v>159.752838</v>
      </c>
      <c r="AA83" s="16">
        <v>166.49847399999999</v>
      </c>
      <c r="AB83" s="16">
        <v>173.40664699999999</v>
      </c>
      <c r="AC83" s="16">
        <v>180.635773</v>
      </c>
      <c r="AD83" s="16">
        <v>188.10145600000001</v>
      </c>
      <c r="AE83" s="16">
        <v>195.97854599999999</v>
      </c>
      <c r="AF83" s="16">
        <v>204.050308</v>
      </c>
      <c r="AG83" s="16">
        <v>212.46998600000001</v>
      </c>
      <c r="AH83" s="16">
        <v>221.186386</v>
      </c>
      <c r="AI83" s="16">
        <v>230.17430100000001</v>
      </c>
      <c r="AJ83" s="16">
        <v>239.430511</v>
      </c>
      <c r="AK83" s="17">
        <v>4.7788999999999998E-2</v>
      </c>
    </row>
    <row r="85" spans="1:37" ht="15" customHeight="1" x14ac:dyDescent="0.75">
      <c r="A85" s="6" t="s">
        <v>98</v>
      </c>
      <c r="B85" s="12" t="s">
        <v>99</v>
      </c>
      <c r="C85" s="16" t="s">
        <v>34</v>
      </c>
      <c r="D85" s="16" t="s">
        <v>34</v>
      </c>
      <c r="E85" s="16">
        <v>5.3452279999999996</v>
      </c>
      <c r="F85" s="16">
        <v>11.538671000000001</v>
      </c>
      <c r="G85" s="16">
        <v>16.530194999999999</v>
      </c>
      <c r="H85" s="16">
        <v>21.238444999999999</v>
      </c>
      <c r="I85" s="16">
        <v>25.636772000000001</v>
      </c>
      <c r="J85" s="16">
        <v>29.531030999999999</v>
      </c>
      <c r="K85" s="16">
        <v>32.834418999999997</v>
      </c>
      <c r="L85" s="16">
        <v>36.363438000000002</v>
      </c>
      <c r="M85" s="16">
        <v>40.061366999999997</v>
      </c>
      <c r="N85" s="16">
        <v>43.996257999999997</v>
      </c>
      <c r="O85" s="16">
        <v>48.089123000000001</v>
      </c>
      <c r="P85" s="16">
        <v>52.384903000000001</v>
      </c>
      <c r="Q85" s="16">
        <v>56.860405</v>
      </c>
      <c r="R85" s="16">
        <v>61.548901000000001</v>
      </c>
      <c r="S85" s="16">
        <v>66.461783999999994</v>
      </c>
      <c r="T85" s="16">
        <v>71.648544000000001</v>
      </c>
      <c r="U85" s="16">
        <v>77.000327999999996</v>
      </c>
      <c r="V85" s="16">
        <v>82.637810000000002</v>
      </c>
      <c r="W85" s="16">
        <v>88.525063000000003</v>
      </c>
      <c r="X85" s="16">
        <v>94.653671000000003</v>
      </c>
      <c r="Y85" s="16">
        <v>100.99221799999999</v>
      </c>
      <c r="Z85" s="16">
        <v>107.53788</v>
      </c>
      <c r="AA85" s="16">
        <v>114.30671700000001</v>
      </c>
      <c r="AB85" s="16">
        <v>121.27512400000001</v>
      </c>
      <c r="AC85" s="16">
        <v>128.52761799999999</v>
      </c>
      <c r="AD85" s="16">
        <v>136.01724200000001</v>
      </c>
      <c r="AE85" s="16">
        <v>143.91589400000001</v>
      </c>
      <c r="AF85" s="16">
        <v>152.01774599999999</v>
      </c>
      <c r="AG85" s="16">
        <v>160.45976300000001</v>
      </c>
      <c r="AH85" s="16">
        <v>169.199478</v>
      </c>
      <c r="AI85" s="16">
        <v>178.21051</v>
      </c>
      <c r="AJ85" s="16">
        <v>187.49087499999999</v>
      </c>
      <c r="AK85" s="17" t="s">
        <v>34</v>
      </c>
    </row>
    <row r="86" spans="1:37" ht="15" customHeight="1" thickBot="1" x14ac:dyDescent="0.9"/>
    <row r="87" spans="1:37" ht="15" customHeight="1" x14ac:dyDescent="0.75">
      <c r="B87" s="28" t="s">
        <v>100</v>
      </c>
      <c r="C87" s="28"/>
      <c r="D87" s="28"/>
      <c r="E87" s="28"/>
      <c r="F87" s="28"/>
      <c r="G87" s="28"/>
      <c r="H87" s="28"/>
      <c r="I87" s="28"/>
      <c r="J87" s="28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  <c r="AI87" s="28"/>
      <c r="AJ87" s="28"/>
      <c r="AK87" s="28"/>
    </row>
    <row r="88" spans="1:37" ht="15" customHeight="1" x14ac:dyDescent="0.75">
      <c r="B88" s="7" t="s">
        <v>101</v>
      </c>
    </row>
    <row r="89" spans="1:37" ht="15" customHeight="1" x14ac:dyDescent="0.75">
      <c r="B89" s="7" t="s">
        <v>102</v>
      </c>
    </row>
    <row r="90" spans="1:37" ht="15" customHeight="1" x14ac:dyDescent="0.75">
      <c r="B90" s="7" t="s">
        <v>103</v>
      </c>
    </row>
    <row r="91" spans="1:37" ht="15" customHeight="1" x14ac:dyDescent="0.75">
      <c r="B91" s="7" t="s">
        <v>104</v>
      </c>
    </row>
    <row r="92" spans="1:37" ht="15" customHeight="1" x14ac:dyDescent="0.75">
      <c r="B92" s="7" t="s">
        <v>117</v>
      </c>
    </row>
    <row r="93" spans="1:37" ht="15" customHeight="1" x14ac:dyDescent="0.75">
      <c r="B93" s="7" t="s">
        <v>118</v>
      </c>
    </row>
    <row r="94" spans="1:37" ht="15" customHeight="1" x14ac:dyDescent="0.75">
      <c r="B94" s="7" t="s">
        <v>105</v>
      </c>
    </row>
    <row r="95" spans="1:37" ht="15" customHeight="1" x14ac:dyDescent="0.75">
      <c r="B95" s="7" t="s">
        <v>132</v>
      </c>
    </row>
    <row r="96" spans="1:37" ht="15" customHeight="1" x14ac:dyDescent="0.75">
      <c r="B96" s="7" t="s">
        <v>106</v>
      </c>
    </row>
    <row r="97" spans="2:2" ht="15" customHeight="1" x14ac:dyDescent="0.75">
      <c r="B97" s="7" t="s">
        <v>107</v>
      </c>
    </row>
    <row r="98" spans="2:2" ht="15" customHeight="1" x14ac:dyDescent="0.75">
      <c r="B98" s="7" t="s">
        <v>108</v>
      </c>
    </row>
    <row r="99" spans="2:2" ht="15" customHeight="1" x14ac:dyDescent="0.75">
      <c r="B99" s="7" t="s">
        <v>109</v>
      </c>
    </row>
    <row r="100" spans="2:2" ht="15" customHeight="1" x14ac:dyDescent="0.75">
      <c r="B100" s="7" t="s">
        <v>110</v>
      </c>
    </row>
    <row r="101" spans="2:2" ht="15" customHeight="1" x14ac:dyDescent="0.75">
      <c r="B101" s="7" t="s">
        <v>133</v>
      </c>
    </row>
    <row r="102" spans="2:2" ht="15" customHeight="1" x14ac:dyDescent="0.75">
      <c r="B102" s="7" t="s">
        <v>134</v>
      </c>
    </row>
    <row r="103" spans="2:2" ht="15" customHeight="1" x14ac:dyDescent="0.75">
      <c r="B103" s="7" t="s">
        <v>111</v>
      </c>
    </row>
    <row r="104" spans="2:2" ht="15" customHeight="1" x14ac:dyDescent="0.75">
      <c r="B104" s="7" t="s">
        <v>112</v>
      </c>
    </row>
    <row r="105" spans="2:2" ht="15" customHeight="1" x14ac:dyDescent="0.75">
      <c r="B105" s="7" t="s">
        <v>113</v>
      </c>
    </row>
    <row r="106" spans="2:2" ht="15" customHeight="1" x14ac:dyDescent="0.75">
      <c r="B106" s="7" t="s">
        <v>114</v>
      </c>
    </row>
    <row r="107" spans="2:2" ht="15" customHeight="1" x14ac:dyDescent="0.75">
      <c r="B107" s="7" t="s">
        <v>115</v>
      </c>
    </row>
    <row r="108" spans="2:2" ht="15" customHeight="1" x14ac:dyDescent="0.75">
      <c r="B108" s="7" t="s">
        <v>116</v>
      </c>
    </row>
    <row r="109" spans="2:2" ht="15" customHeight="1" x14ac:dyDescent="0.75">
      <c r="B109" s="7" t="s">
        <v>135</v>
      </c>
    </row>
    <row r="110" spans="2:2" ht="15" customHeight="1" x14ac:dyDescent="0.75">
      <c r="B110" s="7" t="s">
        <v>136</v>
      </c>
    </row>
    <row r="111" spans="2:2" ht="15" customHeight="1" x14ac:dyDescent="0.75">
      <c r="B111" s="7" t="s">
        <v>137</v>
      </c>
    </row>
    <row r="112" spans="2:2" ht="15" customHeight="1" x14ac:dyDescent="0.75">
      <c r="B112" s="7" t="s">
        <v>138</v>
      </c>
    </row>
    <row r="113" spans="2:2" ht="15" customHeight="1" x14ac:dyDescent="0.75">
      <c r="B113" s="7" t="s">
        <v>139</v>
      </c>
    </row>
    <row r="114" spans="2:2" ht="15" customHeight="1" x14ac:dyDescent="0.75">
      <c r="B114" s="7" t="s">
        <v>140</v>
      </c>
    </row>
  </sheetData>
  <mergeCells count="1">
    <mergeCell ref="B87:AK8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D5981-48BD-41D9-874F-AD0ABE8C2D21}">
  <dimension ref="A1:AG75"/>
  <sheetViews>
    <sheetView workbookViewId="0">
      <selection activeCell="A14" sqref="A14:XFD14"/>
    </sheetView>
  </sheetViews>
  <sheetFormatPr defaultRowHeight="14.75" x14ac:dyDescent="0.75"/>
  <cols>
    <col min="1" max="1" width="37.86328125" customWidth="1"/>
  </cols>
  <sheetData>
    <row r="1" spans="1:33" x14ac:dyDescent="0.75">
      <c r="A1" t="s">
        <v>316</v>
      </c>
    </row>
    <row r="2" spans="1:33" x14ac:dyDescent="0.75">
      <c r="A2" t="s">
        <v>315</v>
      </c>
    </row>
    <row r="3" spans="1:33" x14ac:dyDescent="0.75">
      <c r="A3" t="s">
        <v>314</v>
      </c>
    </row>
    <row r="4" spans="1:33" x14ac:dyDescent="0.75">
      <c r="A4" t="s">
        <v>313</v>
      </c>
    </row>
    <row r="5" spans="1:33" x14ac:dyDescent="0.75">
      <c r="B5" t="s">
        <v>312</v>
      </c>
      <c r="C5" t="s">
        <v>311</v>
      </c>
      <c r="D5" t="s">
        <v>310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309</v>
      </c>
    </row>
    <row r="6" spans="1:33" x14ac:dyDescent="0.75">
      <c r="A6" t="s">
        <v>308</v>
      </c>
    </row>
    <row r="7" spans="1:33" x14ac:dyDescent="0.75">
      <c r="A7" t="s">
        <v>307</v>
      </c>
    </row>
    <row r="8" spans="1:33" x14ac:dyDescent="0.75">
      <c r="A8" t="s">
        <v>180</v>
      </c>
      <c r="B8" t="s">
        <v>306</v>
      </c>
      <c r="C8" t="s">
        <v>305</v>
      </c>
      <c r="D8" t="s">
        <v>156</v>
      </c>
      <c r="F8">
        <v>168.483093</v>
      </c>
      <c r="G8">
        <v>162.39898700000001</v>
      </c>
      <c r="H8">
        <v>155.599503</v>
      </c>
      <c r="I8">
        <v>146.34429900000001</v>
      </c>
      <c r="J8">
        <v>123.490303</v>
      </c>
      <c r="K8">
        <v>98.793716000000003</v>
      </c>
      <c r="L8">
        <v>64.981216000000003</v>
      </c>
      <c r="M8">
        <v>57.867911999999997</v>
      </c>
      <c r="N8">
        <v>3.7953000000000001</v>
      </c>
      <c r="O8">
        <v>3.7547999999999999</v>
      </c>
      <c r="P8">
        <v>3.7547999999999999</v>
      </c>
      <c r="Q8">
        <v>3.7547999999999999</v>
      </c>
      <c r="R8">
        <v>3.7547999999999999</v>
      </c>
      <c r="S8">
        <v>3.7547999999999999</v>
      </c>
      <c r="T8">
        <v>3.7547999999999999</v>
      </c>
      <c r="U8">
        <v>3.7547999999999999</v>
      </c>
      <c r="V8">
        <v>3.7547999999999999</v>
      </c>
      <c r="W8">
        <v>3.7547999999999999</v>
      </c>
      <c r="X8">
        <v>3.7547999999999999</v>
      </c>
      <c r="Y8">
        <v>3.7547999999999999</v>
      </c>
      <c r="Z8">
        <v>3.7547999999999999</v>
      </c>
      <c r="AA8">
        <v>3.7547999999999999</v>
      </c>
      <c r="AB8">
        <v>0.6452</v>
      </c>
      <c r="AC8">
        <v>0.6452</v>
      </c>
      <c r="AD8">
        <v>0.6452</v>
      </c>
      <c r="AE8">
        <v>0.6452</v>
      </c>
      <c r="AF8">
        <v>0.6452</v>
      </c>
      <c r="AG8" s="26">
        <v>-0.193</v>
      </c>
    </row>
    <row r="9" spans="1:33" x14ac:dyDescent="0.75">
      <c r="A9" t="s">
        <v>211</v>
      </c>
      <c r="B9" t="s">
        <v>304</v>
      </c>
      <c r="C9" t="s">
        <v>303</v>
      </c>
      <c r="D9" t="s">
        <v>156</v>
      </c>
      <c r="F9">
        <v>82.045105000000007</v>
      </c>
      <c r="G9">
        <v>79.386100999999996</v>
      </c>
      <c r="H9">
        <v>75.381705999999994</v>
      </c>
      <c r="I9">
        <v>74.696014000000005</v>
      </c>
      <c r="J9">
        <v>74.852401999999998</v>
      </c>
      <c r="K9">
        <v>79.293602000000007</v>
      </c>
      <c r="L9">
        <v>97.920410000000004</v>
      </c>
      <c r="M9">
        <v>95.788307000000003</v>
      </c>
      <c r="N9">
        <v>95.455307000000005</v>
      </c>
      <c r="O9">
        <v>93.989699999999999</v>
      </c>
      <c r="P9">
        <v>92.731003000000001</v>
      </c>
      <c r="Q9">
        <v>91.029503000000005</v>
      </c>
      <c r="R9">
        <v>90.392105000000001</v>
      </c>
      <c r="S9">
        <v>90.392105000000001</v>
      </c>
      <c r="T9">
        <v>90.392105000000001</v>
      </c>
      <c r="U9">
        <v>56.759402999999999</v>
      </c>
      <c r="V9">
        <v>56.759402999999999</v>
      </c>
      <c r="W9">
        <v>56.759402999999999</v>
      </c>
      <c r="X9">
        <v>56.759402999999999</v>
      </c>
      <c r="Y9">
        <v>56.759402999999999</v>
      </c>
      <c r="Z9">
        <v>56.759402999999999</v>
      </c>
      <c r="AA9">
        <v>56.759402999999999</v>
      </c>
      <c r="AB9">
        <v>56.759402999999999</v>
      </c>
      <c r="AC9">
        <v>56.727302999999999</v>
      </c>
      <c r="AD9">
        <v>56.727302999999999</v>
      </c>
      <c r="AE9">
        <v>56.727302999999999</v>
      </c>
      <c r="AF9">
        <v>56.727302999999999</v>
      </c>
      <c r="AG9" s="26">
        <v>-1.4E-2</v>
      </c>
    </row>
    <row r="10" spans="1:33" x14ac:dyDescent="0.75">
      <c r="A10" t="s">
        <v>208</v>
      </c>
      <c r="B10" t="s">
        <v>302</v>
      </c>
      <c r="C10" t="s">
        <v>301</v>
      </c>
      <c r="D10" t="s">
        <v>156</v>
      </c>
      <c r="F10">
        <v>262.734375</v>
      </c>
      <c r="G10">
        <v>265.26934799999998</v>
      </c>
      <c r="H10">
        <v>267.38610799999998</v>
      </c>
      <c r="I10">
        <v>270.83538800000002</v>
      </c>
      <c r="J10">
        <v>275.79199199999999</v>
      </c>
      <c r="K10">
        <v>282.01226800000001</v>
      </c>
      <c r="L10">
        <v>289.52316300000001</v>
      </c>
      <c r="M10">
        <v>290.33227499999998</v>
      </c>
      <c r="N10">
        <v>309.756531</v>
      </c>
      <c r="O10">
        <v>311.31057700000002</v>
      </c>
      <c r="P10">
        <v>312.98980699999998</v>
      </c>
      <c r="Q10">
        <v>316.52917500000001</v>
      </c>
      <c r="R10">
        <v>318.86605800000001</v>
      </c>
      <c r="S10">
        <v>322.217285</v>
      </c>
      <c r="T10">
        <v>325.122589</v>
      </c>
      <c r="U10">
        <v>335.74041699999998</v>
      </c>
      <c r="V10">
        <v>342.76275600000002</v>
      </c>
      <c r="W10">
        <v>347.81878699999999</v>
      </c>
      <c r="X10">
        <v>350.37200899999999</v>
      </c>
      <c r="Y10">
        <v>354.70666499999999</v>
      </c>
      <c r="Z10">
        <v>358.468658</v>
      </c>
      <c r="AA10">
        <v>363.062927</v>
      </c>
      <c r="AB10">
        <v>368.062927</v>
      </c>
      <c r="AC10">
        <v>373.65234400000003</v>
      </c>
      <c r="AD10">
        <v>377.572632</v>
      </c>
      <c r="AE10">
        <v>382.35922199999999</v>
      </c>
      <c r="AF10">
        <v>388.496216</v>
      </c>
      <c r="AG10" s="26">
        <v>1.4999999999999999E-2</v>
      </c>
    </row>
    <row r="11" spans="1:33" x14ac:dyDescent="0.75">
      <c r="A11" t="s">
        <v>205</v>
      </c>
      <c r="B11" t="s">
        <v>300</v>
      </c>
      <c r="C11" t="s">
        <v>299</v>
      </c>
      <c r="D11" t="s">
        <v>156</v>
      </c>
      <c r="F11">
        <v>146.24633800000001</v>
      </c>
      <c r="G11">
        <v>151.699692</v>
      </c>
      <c r="H11">
        <v>160.94577000000001</v>
      </c>
      <c r="I11">
        <v>170.74226400000001</v>
      </c>
      <c r="J11">
        <v>182.67575099999999</v>
      </c>
      <c r="K11">
        <v>193.69993600000001</v>
      </c>
      <c r="L11">
        <v>207.24787900000001</v>
      </c>
      <c r="M11">
        <v>224.155304</v>
      </c>
      <c r="N11">
        <v>257.516571</v>
      </c>
      <c r="O11">
        <v>270.036316</v>
      </c>
      <c r="P11">
        <v>283.14666699999998</v>
      </c>
      <c r="Q11">
        <v>298.40685999999999</v>
      </c>
      <c r="R11">
        <v>309.27417000000003</v>
      </c>
      <c r="S11">
        <v>321.84338400000001</v>
      </c>
      <c r="T11">
        <v>335.57171599999998</v>
      </c>
      <c r="U11">
        <v>363.02838100000002</v>
      </c>
      <c r="V11">
        <v>378.44500699999998</v>
      </c>
      <c r="W11">
        <v>390.95568800000001</v>
      </c>
      <c r="X11">
        <v>404.78247099999999</v>
      </c>
      <c r="Y11">
        <v>416.93240400000002</v>
      </c>
      <c r="Z11">
        <v>428.79443400000002</v>
      </c>
      <c r="AA11">
        <v>439.12939499999999</v>
      </c>
      <c r="AB11">
        <v>449.14681999999999</v>
      </c>
      <c r="AC11">
        <v>459.413208</v>
      </c>
      <c r="AD11">
        <v>469.43331899999998</v>
      </c>
      <c r="AE11">
        <v>480.41439800000001</v>
      </c>
      <c r="AF11">
        <v>487.23507699999999</v>
      </c>
      <c r="AG11" s="26">
        <v>4.7E-2</v>
      </c>
    </row>
    <row r="12" spans="1:33" x14ac:dyDescent="0.75">
      <c r="A12" t="s">
        <v>202</v>
      </c>
      <c r="B12" t="s">
        <v>298</v>
      </c>
      <c r="C12" t="s">
        <v>297</v>
      </c>
      <c r="D12" t="s">
        <v>156</v>
      </c>
      <c r="F12">
        <v>97.639708999999996</v>
      </c>
      <c r="G12">
        <v>97.639708999999996</v>
      </c>
      <c r="H12">
        <v>97.639708999999996</v>
      </c>
      <c r="I12">
        <v>97.639708999999996</v>
      </c>
      <c r="J12">
        <v>97.639708999999996</v>
      </c>
      <c r="K12">
        <v>96.517707999999999</v>
      </c>
      <c r="L12">
        <v>95.399704</v>
      </c>
      <c r="M12">
        <v>95.399704</v>
      </c>
      <c r="N12">
        <v>95.399704</v>
      </c>
      <c r="O12">
        <v>95.399704</v>
      </c>
      <c r="P12">
        <v>95.399704</v>
      </c>
      <c r="Q12">
        <v>95.399704</v>
      </c>
      <c r="R12">
        <v>95.399704</v>
      </c>
      <c r="S12">
        <v>95.399704</v>
      </c>
      <c r="T12">
        <v>95.399704</v>
      </c>
      <c r="U12">
        <v>95.399704</v>
      </c>
      <c r="V12">
        <v>95.399704</v>
      </c>
      <c r="W12">
        <v>95.399704</v>
      </c>
      <c r="X12">
        <v>95.399704</v>
      </c>
      <c r="Y12">
        <v>95.399704</v>
      </c>
      <c r="Z12">
        <v>95.399704</v>
      </c>
      <c r="AA12">
        <v>95.399704</v>
      </c>
      <c r="AB12">
        <v>95.399704</v>
      </c>
      <c r="AC12">
        <v>95.399704</v>
      </c>
      <c r="AD12">
        <v>95.399704</v>
      </c>
      <c r="AE12">
        <v>95.399704</v>
      </c>
      <c r="AF12">
        <v>95.399704</v>
      </c>
      <c r="AG12" s="26">
        <v>-1E-3</v>
      </c>
    </row>
    <row r="13" spans="1:33" x14ac:dyDescent="0.75">
      <c r="A13" t="s">
        <v>199</v>
      </c>
      <c r="B13" t="s">
        <v>296</v>
      </c>
      <c r="C13" t="s">
        <v>295</v>
      </c>
      <c r="D13" t="s">
        <v>156</v>
      </c>
      <c r="F13">
        <v>23.147407999999999</v>
      </c>
      <c r="G13">
        <v>23.147407999999999</v>
      </c>
      <c r="H13">
        <v>23.147407999999999</v>
      </c>
      <c r="I13">
        <v>23.147407999999999</v>
      </c>
      <c r="J13">
        <v>23.147407999999999</v>
      </c>
      <c r="K13">
        <v>23.147407999999999</v>
      </c>
      <c r="L13">
        <v>23.147407999999999</v>
      </c>
      <c r="M13">
        <v>23.147407999999999</v>
      </c>
      <c r="N13">
        <v>23.147407999999999</v>
      </c>
      <c r="O13">
        <v>23.147407999999999</v>
      </c>
      <c r="P13">
        <v>23.147407999999999</v>
      </c>
      <c r="Q13">
        <v>23.147407999999999</v>
      </c>
      <c r="R13">
        <v>23.147407999999999</v>
      </c>
      <c r="S13">
        <v>23.147407999999999</v>
      </c>
      <c r="T13">
        <v>23.147407999999999</v>
      </c>
      <c r="U13">
        <v>23.147407999999999</v>
      </c>
      <c r="V13">
        <v>23.147407999999999</v>
      </c>
      <c r="W13">
        <v>23.147407999999999</v>
      </c>
      <c r="X13">
        <v>23.147407999999999</v>
      </c>
      <c r="Y13">
        <v>23.147407999999999</v>
      </c>
      <c r="Z13">
        <v>23.147407999999999</v>
      </c>
      <c r="AA13">
        <v>23.147407999999999</v>
      </c>
      <c r="AB13">
        <v>23.147407999999999</v>
      </c>
      <c r="AC13">
        <v>23.147407999999999</v>
      </c>
      <c r="AD13">
        <v>23.147407999999999</v>
      </c>
      <c r="AE13">
        <v>23.147407999999999</v>
      </c>
      <c r="AF13">
        <v>23.147407999999999</v>
      </c>
      <c r="AG13" s="26">
        <v>0</v>
      </c>
    </row>
    <row r="14" spans="1:33" s="19" customFormat="1" x14ac:dyDescent="0.75">
      <c r="A14" s="19" t="s">
        <v>196</v>
      </c>
      <c r="B14" s="19" t="s">
        <v>294</v>
      </c>
      <c r="C14" s="19" t="s">
        <v>293</v>
      </c>
      <c r="D14" s="19" t="s">
        <v>156</v>
      </c>
      <c r="F14" s="19">
        <v>20.295507000000001</v>
      </c>
      <c r="G14" s="19">
        <v>32.201709999999999</v>
      </c>
      <c r="H14" s="19">
        <v>38.126609999999999</v>
      </c>
      <c r="I14" s="19">
        <v>40.570610000000002</v>
      </c>
      <c r="J14" s="19">
        <v>42.694611000000002</v>
      </c>
      <c r="K14" s="19">
        <v>45.138610999999997</v>
      </c>
      <c r="L14" s="19">
        <v>47.582611</v>
      </c>
      <c r="M14" s="19">
        <v>48.234611999999998</v>
      </c>
      <c r="N14" s="19">
        <v>48.876708999999998</v>
      </c>
      <c r="O14" s="19">
        <v>49.528708999999999</v>
      </c>
      <c r="P14" s="19">
        <v>49.809711</v>
      </c>
      <c r="Q14" s="19">
        <v>50.090713999999998</v>
      </c>
      <c r="R14" s="19">
        <v>50.141356999999999</v>
      </c>
      <c r="S14" s="19">
        <v>50.456291</v>
      </c>
      <c r="T14" s="19">
        <v>50.681972999999999</v>
      </c>
      <c r="U14" s="19">
        <v>53.681975999999999</v>
      </c>
      <c r="V14" s="19">
        <v>53.869109999999999</v>
      </c>
      <c r="W14" s="19">
        <v>54.001700999999997</v>
      </c>
      <c r="X14" s="19">
        <v>54.119751000000001</v>
      </c>
      <c r="Y14" s="19">
        <v>54.324581000000002</v>
      </c>
      <c r="Z14" s="19">
        <v>54.560527999999998</v>
      </c>
      <c r="AA14" s="19">
        <v>54.834763000000002</v>
      </c>
      <c r="AB14" s="19">
        <v>54.992722000000001</v>
      </c>
      <c r="AC14" s="19">
        <v>55.155997999999997</v>
      </c>
      <c r="AD14" s="19">
        <v>55.351730000000003</v>
      </c>
      <c r="AE14" s="19">
        <v>55.563789</v>
      </c>
      <c r="AF14" s="19">
        <v>56.665202999999998</v>
      </c>
      <c r="AG14" s="27">
        <v>0.04</v>
      </c>
    </row>
    <row r="15" spans="1:33" x14ac:dyDescent="0.75">
      <c r="A15" t="s">
        <v>193</v>
      </c>
      <c r="B15" t="s">
        <v>292</v>
      </c>
      <c r="C15" t="s">
        <v>291</v>
      </c>
      <c r="D15" t="s">
        <v>156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2.4</v>
      </c>
      <c r="O15">
        <v>2.4</v>
      </c>
      <c r="P15">
        <v>2.4</v>
      </c>
      <c r="Q15">
        <v>2.4</v>
      </c>
      <c r="R15">
        <v>2.4</v>
      </c>
      <c r="S15">
        <v>2.4</v>
      </c>
      <c r="T15">
        <v>2.4</v>
      </c>
      <c r="U15">
        <v>4.8</v>
      </c>
      <c r="V15">
        <v>4.8</v>
      </c>
      <c r="W15">
        <v>4.8</v>
      </c>
      <c r="X15">
        <v>4.8</v>
      </c>
      <c r="Y15">
        <v>4.8</v>
      </c>
      <c r="Z15">
        <v>4.8</v>
      </c>
      <c r="AA15">
        <v>4.8</v>
      </c>
      <c r="AB15">
        <v>4.8</v>
      </c>
      <c r="AC15">
        <v>4.8</v>
      </c>
      <c r="AD15">
        <v>4.8</v>
      </c>
      <c r="AE15">
        <v>4.8</v>
      </c>
      <c r="AF15">
        <v>4.8</v>
      </c>
      <c r="AG15" t="s">
        <v>34</v>
      </c>
    </row>
    <row r="16" spans="1:33" x14ac:dyDescent="0.75">
      <c r="A16" t="s">
        <v>190</v>
      </c>
      <c r="B16" t="s">
        <v>290</v>
      </c>
      <c r="C16" t="s">
        <v>289</v>
      </c>
      <c r="D16" t="s">
        <v>156</v>
      </c>
      <c r="F16">
        <v>0.32129999999999997</v>
      </c>
      <c r="G16">
        <v>0.32129999999999997</v>
      </c>
      <c r="H16">
        <v>0.32129999999999997</v>
      </c>
      <c r="I16">
        <v>0.34596900000000003</v>
      </c>
      <c r="J16">
        <v>0.34955399999999998</v>
      </c>
      <c r="K16">
        <v>0.34955399999999998</v>
      </c>
      <c r="L16">
        <v>0.34955399999999998</v>
      </c>
      <c r="M16">
        <v>0.34845399999999999</v>
      </c>
      <c r="N16">
        <v>0.34845399999999999</v>
      </c>
      <c r="O16">
        <v>0.34845399999999999</v>
      </c>
      <c r="P16">
        <v>0.34845399999999999</v>
      </c>
      <c r="Q16">
        <v>0.34845399999999999</v>
      </c>
      <c r="R16">
        <v>0.34845399999999999</v>
      </c>
      <c r="S16">
        <v>0.34845399999999999</v>
      </c>
      <c r="T16">
        <v>0.34845399999999999</v>
      </c>
      <c r="U16">
        <v>0.34845399999999999</v>
      </c>
      <c r="V16">
        <v>0.34845399999999999</v>
      </c>
      <c r="W16">
        <v>0.34845399999999999</v>
      </c>
      <c r="X16">
        <v>0.34845399999999999</v>
      </c>
      <c r="Y16">
        <v>0.34845399999999999</v>
      </c>
      <c r="Z16">
        <v>0.34845399999999999</v>
      </c>
      <c r="AA16">
        <v>0.34845399999999999</v>
      </c>
      <c r="AB16">
        <v>0.34845399999999999</v>
      </c>
      <c r="AC16">
        <v>0.34845399999999999</v>
      </c>
      <c r="AD16">
        <v>0.34845399999999999</v>
      </c>
      <c r="AE16">
        <v>0.34845399999999999</v>
      </c>
      <c r="AF16">
        <v>0.34845399999999999</v>
      </c>
      <c r="AG16" s="26">
        <v>3.0000000000000001E-3</v>
      </c>
    </row>
    <row r="17" spans="1:33" x14ac:dyDescent="0.75">
      <c r="A17" t="s">
        <v>168</v>
      </c>
      <c r="B17" t="s">
        <v>288</v>
      </c>
      <c r="C17" t="s">
        <v>287</v>
      </c>
      <c r="D17" t="s">
        <v>156</v>
      </c>
      <c r="F17">
        <v>367.37643400000002</v>
      </c>
      <c r="G17">
        <v>404.18817100000001</v>
      </c>
      <c r="H17">
        <v>437.38888500000002</v>
      </c>
      <c r="I17">
        <v>443.16876200000002</v>
      </c>
      <c r="J17">
        <v>457.05621300000001</v>
      </c>
      <c r="K17">
        <v>478.96545400000002</v>
      </c>
      <c r="L17">
        <v>512.44317599999999</v>
      </c>
      <c r="M17">
        <v>548.55328399999996</v>
      </c>
      <c r="N17">
        <v>592.25799600000005</v>
      </c>
      <c r="O17">
        <v>632.49462900000003</v>
      </c>
      <c r="P17">
        <v>682.567139</v>
      </c>
      <c r="Q17">
        <v>743.81030299999998</v>
      </c>
      <c r="R17">
        <v>792.90637200000003</v>
      </c>
      <c r="S17">
        <v>862.00732400000004</v>
      </c>
      <c r="T17">
        <v>900.41668700000002</v>
      </c>
      <c r="U17">
        <v>970.12176499999998</v>
      </c>
      <c r="V17">
        <v>987.87170400000002</v>
      </c>
      <c r="W17">
        <v>999.32824700000003</v>
      </c>
      <c r="X17">
        <v>1015.456604</v>
      </c>
      <c r="Y17">
        <v>1040.0886230000001</v>
      </c>
      <c r="Z17">
        <v>1055.623779</v>
      </c>
      <c r="AA17">
        <v>1077.139893</v>
      </c>
      <c r="AB17">
        <v>1101.228394</v>
      </c>
      <c r="AC17">
        <v>1119.5351559999999</v>
      </c>
      <c r="AD17">
        <v>1137.4564210000001</v>
      </c>
      <c r="AE17">
        <v>1159.633423</v>
      </c>
      <c r="AF17">
        <v>1187.3251949999999</v>
      </c>
      <c r="AG17" s="26">
        <v>4.5999999999999999E-2</v>
      </c>
    </row>
    <row r="18" spans="1:33" x14ac:dyDescent="0.75">
      <c r="A18" t="s">
        <v>286</v>
      </c>
      <c r="B18" t="s">
        <v>285</v>
      </c>
      <c r="C18" t="s">
        <v>284</v>
      </c>
      <c r="D18" t="s">
        <v>156</v>
      </c>
      <c r="F18">
        <v>0</v>
      </c>
      <c r="G18">
        <v>0</v>
      </c>
      <c r="H18">
        <v>0.12171999999999999</v>
      </c>
      <c r="I18">
        <v>0.31421700000000002</v>
      </c>
      <c r="J18">
        <v>0.56746099999999999</v>
      </c>
      <c r="K18">
        <v>0.87938400000000005</v>
      </c>
      <c r="L18">
        <v>1.4138390000000001</v>
      </c>
      <c r="M18">
        <v>2.0194109999999998</v>
      </c>
      <c r="N18">
        <v>5.1442019999999999</v>
      </c>
      <c r="O18">
        <v>6.0398930000000002</v>
      </c>
      <c r="P18">
        <v>7.2216469999999999</v>
      </c>
      <c r="Q18">
        <v>8.5455070000000006</v>
      </c>
      <c r="R18">
        <v>9.7899720000000006</v>
      </c>
      <c r="S18">
        <v>11.133853</v>
      </c>
      <c r="T18">
        <v>12.520564</v>
      </c>
      <c r="U18">
        <v>16.530239000000002</v>
      </c>
      <c r="V18">
        <v>18.016812999999999</v>
      </c>
      <c r="W18">
        <v>19.483158</v>
      </c>
      <c r="X18">
        <v>20.937989999999999</v>
      </c>
      <c r="Y18">
        <v>22.326350999999999</v>
      </c>
      <c r="Z18">
        <v>23.658096</v>
      </c>
      <c r="AA18">
        <v>24.941368000000001</v>
      </c>
      <c r="AB18">
        <v>26.255763999999999</v>
      </c>
      <c r="AC18">
        <v>27.633778</v>
      </c>
      <c r="AD18">
        <v>28.971487</v>
      </c>
      <c r="AE18">
        <v>30.366505</v>
      </c>
      <c r="AF18">
        <v>31.843841999999999</v>
      </c>
      <c r="AG18" t="s">
        <v>34</v>
      </c>
    </row>
    <row r="19" spans="1:33" x14ac:dyDescent="0.75">
      <c r="A19" t="s">
        <v>162</v>
      </c>
      <c r="B19" t="s">
        <v>283</v>
      </c>
      <c r="C19" t="s">
        <v>282</v>
      </c>
      <c r="D19" t="s">
        <v>156</v>
      </c>
      <c r="F19">
        <v>1168.289307</v>
      </c>
      <c r="G19">
        <v>1216.2524410000001</v>
      </c>
      <c r="H19">
        <v>1256.058716</v>
      </c>
      <c r="I19">
        <v>1267.8045649999999</v>
      </c>
      <c r="J19">
        <v>1278.2653809999999</v>
      </c>
      <c r="K19">
        <v>1298.797607</v>
      </c>
      <c r="L19">
        <v>1340.0089109999999</v>
      </c>
      <c r="M19">
        <v>1385.8466800000001</v>
      </c>
      <c r="N19">
        <v>1434.0981449999999</v>
      </c>
      <c r="O19">
        <v>1488.450317</v>
      </c>
      <c r="P19">
        <v>1553.516357</v>
      </c>
      <c r="Q19">
        <v>1633.462524</v>
      </c>
      <c r="R19">
        <v>1696.4204099999999</v>
      </c>
      <c r="S19">
        <v>1783.1007079999999</v>
      </c>
      <c r="T19">
        <v>1839.755981</v>
      </c>
      <c r="U19">
        <v>1923.3126219999999</v>
      </c>
      <c r="V19">
        <v>1965.175293</v>
      </c>
      <c r="W19">
        <v>1995.7973629999999</v>
      </c>
      <c r="X19">
        <v>2029.8786620000001</v>
      </c>
      <c r="Y19">
        <v>2072.5883789999998</v>
      </c>
      <c r="Z19">
        <v>2105.3151859999998</v>
      </c>
      <c r="AA19">
        <v>2143.318115</v>
      </c>
      <c r="AB19">
        <v>2180.786865</v>
      </c>
      <c r="AC19">
        <v>2216.4584960000002</v>
      </c>
      <c r="AD19">
        <v>2249.85376</v>
      </c>
      <c r="AE19">
        <v>2289.405518</v>
      </c>
      <c r="AF19">
        <v>2332.633789</v>
      </c>
      <c r="AG19" s="26">
        <v>2.7E-2</v>
      </c>
    </row>
    <row r="20" spans="1:33" x14ac:dyDescent="0.75">
      <c r="A20" t="s">
        <v>281</v>
      </c>
    </row>
    <row r="21" spans="1:33" x14ac:dyDescent="0.75">
      <c r="A21" t="s">
        <v>180</v>
      </c>
      <c r="B21" t="s">
        <v>280</v>
      </c>
      <c r="C21" t="s">
        <v>279</v>
      </c>
      <c r="D21" t="s">
        <v>156</v>
      </c>
      <c r="F21">
        <v>0.98929999999999996</v>
      </c>
      <c r="G21">
        <v>0.98929999999999996</v>
      </c>
      <c r="H21">
        <v>0.98929999999999996</v>
      </c>
      <c r="I21">
        <v>0.98929999999999996</v>
      </c>
      <c r="J21">
        <v>0.98929999999999996</v>
      </c>
      <c r="K21">
        <v>0.98929999999999996</v>
      </c>
      <c r="L21">
        <v>0.98929999999999996</v>
      </c>
      <c r="M21">
        <v>0.98929999999999996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s="26">
        <v>-1</v>
      </c>
    </row>
    <row r="22" spans="1:33" x14ac:dyDescent="0.75">
      <c r="A22" t="s">
        <v>211</v>
      </c>
      <c r="B22" t="s">
        <v>278</v>
      </c>
      <c r="C22" t="s">
        <v>277</v>
      </c>
      <c r="D22" t="s">
        <v>156</v>
      </c>
      <c r="F22">
        <v>0.32179999999999997</v>
      </c>
      <c r="G22">
        <v>0.32179999999999997</v>
      </c>
      <c r="H22">
        <v>0.32179999999999997</v>
      </c>
      <c r="I22">
        <v>0.32179999999999997</v>
      </c>
      <c r="J22">
        <v>0.32179999999999997</v>
      </c>
      <c r="K22">
        <v>0.32179999999999997</v>
      </c>
      <c r="L22">
        <v>0.32179999999999997</v>
      </c>
      <c r="M22">
        <v>0.32179999999999997</v>
      </c>
      <c r="N22">
        <v>0.32179999999999997</v>
      </c>
      <c r="O22">
        <v>0.32179999999999997</v>
      </c>
      <c r="P22">
        <v>0.32179999999999997</v>
      </c>
      <c r="Q22">
        <v>0.32179999999999997</v>
      </c>
      <c r="R22">
        <v>0.32179999999999997</v>
      </c>
      <c r="S22">
        <v>0.32179999999999997</v>
      </c>
      <c r="T22">
        <v>0.32179999999999997</v>
      </c>
      <c r="U22">
        <v>0.32179999999999997</v>
      </c>
      <c r="V22">
        <v>0.32179999999999997</v>
      </c>
      <c r="W22">
        <v>0.32179999999999997</v>
      </c>
      <c r="X22">
        <v>0.32179999999999997</v>
      </c>
      <c r="Y22">
        <v>0.32179999999999997</v>
      </c>
      <c r="Z22">
        <v>0.32179999999999997</v>
      </c>
      <c r="AA22">
        <v>0.32179999999999997</v>
      </c>
      <c r="AB22">
        <v>0.32179999999999997</v>
      </c>
      <c r="AC22">
        <v>0.32179999999999997</v>
      </c>
      <c r="AD22">
        <v>0.32179999999999997</v>
      </c>
      <c r="AE22">
        <v>0.32179999999999997</v>
      </c>
      <c r="AF22">
        <v>0.32179999999999997</v>
      </c>
      <c r="AG22" s="26">
        <v>0</v>
      </c>
    </row>
    <row r="23" spans="1:33" x14ac:dyDescent="0.75">
      <c r="A23" t="s">
        <v>208</v>
      </c>
      <c r="B23" t="s">
        <v>276</v>
      </c>
      <c r="C23" t="s">
        <v>275</v>
      </c>
      <c r="D23" t="s">
        <v>156</v>
      </c>
      <c r="F23">
        <v>21.319102999999998</v>
      </c>
      <c r="G23">
        <v>21.319102999999998</v>
      </c>
      <c r="H23">
        <v>21.319102999999998</v>
      </c>
      <c r="I23">
        <v>21.319102999999998</v>
      </c>
      <c r="J23">
        <v>21.319102999999998</v>
      </c>
      <c r="K23">
        <v>21.319102999999998</v>
      </c>
      <c r="L23">
        <v>21.226004</v>
      </c>
      <c r="M23">
        <v>21.226004</v>
      </c>
      <c r="N23">
        <v>21.226004</v>
      </c>
      <c r="O23">
        <v>21.039503</v>
      </c>
      <c r="P23">
        <v>21.039503</v>
      </c>
      <c r="Q23">
        <v>21.039503</v>
      </c>
      <c r="R23">
        <v>21.039503</v>
      </c>
      <c r="S23">
        <v>21.039503</v>
      </c>
      <c r="T23">
        <v>21.039503</v>
      </c>
      <c r="U23">
        <v>21.039503</v>
      </c>
      <c r="V23">
        <v>21.039503</v>
      </c>
      <c r="W23">
        <v>21.039503</v>
      </c>
      <c r="X23">
        <v>21.039503</v>
      </c>
      <c r="Y23">
        <v>21.039503</v>
      </c>
      <c r="Z23">
        <v>21.039503</v>
      </c>
      <c r="AA23">
        <v>21.039503</v>
      </c>
      <c r="AB23">
        <v>21.039503</v>
      </c>
      <c r="AC23">
        <v>21.039503</v>
      </c>
      <c r="AD23">
        <v>21.039503</v>
      </c>
      <c r="AE23">
        <v>21.039503</v>
      </c>
      <c r="AF23">
        <v>21.039503</v>
      </c>
      <c r="AG23" s="26">
        <v>-1E-3</v>
      </c>
    </row>
    <row r="24" spans="1:33" x14ac:dyDescent="0.75">
      <c r="A24" t="s">
        <v>205</v>
      </c>
      <c r="B24" t="s">
        <v>274</v>
      </c>
      <c r="C24" t="s">
        <v>273</v>
      </c>
      <c r="D24" t="s">
        <v>156</v>
      </c>
      <c r="F24">
        <v>2.7412000000000001</v>
      </c>
      <c r="G24">
        <v>2.7465000000000002</v>
      </c>
      <c r="H24">
        <v>2.7465000000000002</v>
      </c>
      <c r="I24">
        <v>2.7465000000000002</v>
      </c>
      <c r="J24">
        <v>2.7465000000000002</v>
      </c>
      <c r="K24">
        <v>2.7465000000000002</v>
      </c>
      <c r="L24">
        <v>2.7465000000000002</v>
      </c>
      <c r="M24">
        <v>2.7465000000000002</v>
      </c>
      <c r="N24">
        <v>2.7465000000000002</v>
      </c>
      <c r="O24">
        <v>2.7465000000000002</v>
      </c>
      <c r="P24">
        <v>2.7465000000000002</v>
      </c>
      <c r="Q24">
        <v>2.7465000000000002</v>
      </c>
      <c r="R24">
        <v>2.7465000000000002</v>
      </c>
      <c r="S24">
        <v>2.7465000000000002</v>
      </c>
      <c r="T24">
        <v>2.7465000000000002</v>
      </c>
      <c r="U24">
        <v>2.7465000000000002</v>
      </c>
      <c r="V24">
        <v>2.7465000000000002</v>
      </c>
      <c r="W24">
        <v>2.7465000000000002</v>
      </c>
      <c r="X24">
        <v>2.7465000000000002</v>
      </c>
      <c r="Y24">
        <v>2.7465000000000002</v>
      </c>
      <c r="Z24">
        <v>2.7465000000000002</v>
      </c>
      <c r="AA24">
        <v>2.7465000000000002</v>
      </c>
      <c r="AB24">
        <v>2.7465000000000002</v>
      </c>
      <c r="AC24">
        <v>2.7465000000000002</v>
      </c>
      <c r="AD24">
        <v>2.7465000000000002</v>
      </c>
      <c r="AE24">
        <v>2.7465000000000002</v>
      </c>
      <c r="AF24">
        <v>2.7465000000000002</v>
      </c>
      <c r="AG24" s="26">
        <v>0</v>
      </c>
    </row>
    <row r="25" spans="1:33" x14ac:dyDescent="0.75">
      <c r="A25" t="s">
        <v>168</v>
      </c>
      <c r="B25" t="s">
        <v>272</v>
      </c>
      <c r="C25" t="s">
        <v>271</v>
      </c>
      <c r="D25" t="s">
        <v>156</v>
      </c>
      <c r="F25">
        <v>0.71750000000000003</v>
      </c>
      <c r="G25">
        <v>0.72009999999999996</v>
      </c>
      <c r="H25">
        <v>0.72009999999999996</v>
      </c>
      <c r="I25">
        <v>0.72009999999999996</v>
      </c>
      <c r="J25">
        <v>0.72009999999999996</v>
      </c>
      <c r="K25">
        <v>0.72009999999999996</v>
      </c>
      <c r="L25">
        <v>0.72009999999999996</v>
      </c>
      <c r="M25">
        <v>0.72009999999999996</v>
      </c>
      <c r="N25">
        <v>0.72009999999999996</v>
      </c>
      <c r="O25">
        <v>0.72009999999999996</v>
      </c>
      <c r="P25">
        <v>0.72009999999999996</v>
      </c>
      <c r="Q25">
        <v>0.72009999999999996</v>
      </c>
      <c r="R25">
        <v>0.72009999999999996</v>
      </c>
      <c r="S25">
        <v>0.72009999999999996</v>
      </c>
      <c r="T25">
        <v>0.72009999999999996</v>
      </c>
      <c r="U25">
        <v>0.72009999999999996</v>
      </c>
      <c r="V25">
        <v>0.72009999999999996</v>
      </c>
      <c r="W25">
        <v>0.72009999999999996</v>
      </c>
      <c r="X25">
        <v>0.72009999999999996</v>
      </c>
      <c r="Y25">
        <v>0.72009999999999996</v>
      </c>
      <c r="Z25">
        <v>0.72009999999999996</v>
      </c>
      <c r="AA25">
        <v>0.72009999999999996</v>
      </c>
      <c r="AB25">
        <v>0.72009999999999996</v>
      </c>
      <c r="AC25">
        <v>0.72009999999999996</v>
      </c>
      <c r="AD25">
        <v>0.72009999999999996</v>
      </c>
      <c r="AE25">
        <v>0.72009999999999996</v>
      </c>
      <c r="AF25">
        <v>0.72009999999999996</v>
      </c>
      <c r="AG25" s="26">
        <v>0</v>
      </c>
    </row>
    <row r="26" spans="1:33" x14ac:dyDescent="0.75">
      <c r="A26" t="s">
        <v>162</v>
      </c>
      <c r="B26" t="s">
        <v>270</v>
      </c>
      <c r="C26" t="s">
        <v>269</v>
      </c>
      <c r="D26" t="s">
        <v>156</v>
      </c>
      <c r="F26">
        <v>26.088902999999998</v>
      </c>
      <c r="G26">
        <v>26.096803999999999</v>
      </c>
      <c r="H26">
        <v>26.096803999999999</v>
      </c>
      <c r="I26">
        <v>26.096803999999999</v>
      </c>
      <c r="J26">
        <v>26.096803999999999</v>
      </c>
      <c r="K26">
        <v>26.096803999999999</v>
      </c>
      <c r="L26">
        <v>26.003703999999999</v>
      </c>
      <c r="M26">
        <v>26.003703999999999</v>
      </c>
      <c r="N26">
        <v>25.014403999999999</v>
      </c>
      <c r="O26">
        <v>24.827904</v>
      </c>
      <c r="P26">
        <v>24.827904</v>
      </c>
      <c r="Q26">
        <v>24.827904</v>
      </c>
      <c r="R26">
        <v>24.827904</v>
      </c>
      <c r="S26">
        <v>24.827904</v>
      </c>
      <c r="T26">
        <v>24.827904</v>
      </c>
      <c r="U26">
        <v>24.827904</v>
      </c>
      <c r="V26">
        <v>24.827904</v>
      </c>
      <c r="W26">
        <v>24.827904</v>
      </c>
      <c r="X26">
        <v>24.827904</v>
      </c>
      <c r="Y26">
        <v>24.827904</v>
      </c>
      <c r="Z26">
        <v>24.827904</v>
      </c>
      <c r="AA26">
        <v>24.827904</v>
      </c>
      <c r="AB26">
        <v>24.827904</v>
      </c>
      <c r="AC26">
        <v>24.827904</v>
      </c>
      <c r="AD26">
        <v>24.827904</v>
      </c>
      <c r="AE26">
        <v>24.827904</v>
      </c>
      <c r="AF26">
        <v>24.827904</v>
      </c>
      <c r="AG26" s="26">
        <v>-2E-3</v>
      </c>
    </row>
    <row r="27" spans="1:33" x14ac:dyDescent="0.75">
      <c r="A27" t="s">
        <v>268</v>
      </c>
    </row>
    <row r="28" spans="1:33" x14ac:dyDescent="0.75">
      <c r="A28" t="s">
        <v>180</v>
      </c>
      <c r="B28" t="s">
        <v>267</v>
      </c>
      <c r="C28" t="s">
        <v>266</v>
      </c>
      <c r="D28" t="s">
        <v>156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34</v>
      </c>
    </row>
    <row r="29" spans="1:33" x14ac:dyDescent="0.75">
      <c r="A29" t="s">
        <v>211</v>
      </c>
      <c r="B29" t="s">
        <v>265</v>
      </c>
      <c r="C29" t="s">
        <v>264</v>
      </c>
      <c r="D29" t="s">
        <v>156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34</v>
      </c>
    </row>
    <row r="30" spans="1:33" x14ac:dyDescent="0.75">
      <c r="A30" t="s">
        <v>208</v>
      </c>
      <c r="B30" t="s">
        <v>263</v>
      </c>
      <c r="C30" t="s">
        <v>262</v>
      </c>
      <c r="D30" t="s">
        <v>156</v>
      </c>
      <c r="F30">
        <v>0</v>
      </c>
      <c r="G30">
        <v>2.5350000000000001</v>
      </c>
      <c r="H30">
        <v>5.1814999999999998</v>
      </c>
      <c r="I30">
        <v>5.1814999999999998</v>
      </c>
      <c r="J30">
        <v>5.1814999999999998</v>
      </c>
      <c r="K30">
        <v>5.1814999999999998</v>
      </c>
      <c r="L30">
        <v>5.1814999999999998</v>
      </c>
      <c r="M30">
        <v>5.1814999999999998</v>
      </c>
      <c r="N30">
        <v>5.1814999999999998</v>
      </c>
      <c r="O30">
        <v>5.1814999999999998</v>
      </c>
      <c r="P30">
        <v>5.1814999999999998</v>
      </c>
      <c r="Q30">
        <v>5.1814999999999998</v>
      </c>
      <c r="R30">
        <v>5.1814999999999998</v>
      </c>
      <c r="S30">
        <v>5.1814999999999998</v>
      </c>
      <c r="T30">
        <v>5.1814999999999998</v>
      </c>
      <c r="U30">
        <v>5.1814999999999998</v>
      </c>
      <c r="V30">
        <v>5.1814999999999998</v>
      </c>
      <c r="W30">
        <v>5.1814999999999998</v>
      </c>
      <c r="X30">
        <v>5.1814999999999998</v>
      </c>
      <c r="Y30">
        <v>5.1814999999999998</v>
      </c>
      <c r="Z30">
        <v>5.1814999999999998</v>
      </c>
      <c r="AA30">
        <v>5.1814999999999998</v>
      </c>
      <c r="AB30">
        <v>5.1814999999999998</v>
      </c>
      <c r="AC30">
        <v>5.1814999999999998</v>
      </c>
      <c r="AD30">
        <v>5.1814999999999998</v>
      </c>
      <c r="AE30">
        <v>5.1814999999999998</v>
      </c>
      <c r="AF30">
        <v>5.1814999999999998</v>
      </c>
      <c r="AG30" t="s">
        <v>34</v>
      </c>
    </row>
    <row r="31" spans="1:33" x14ac:dyDescent="0.75">
      <c r="A31" t="s">
        <v>205</v>
      </c>
      <c r="B31" t="s">
        <v>261</v>
      </c>
      <c r="C31" t="s">
        <v>260</v>
      </c>
      <c r="D31" t="s">
        <v>156</v>
      </c>
      <c r="F31">
        <v>0</v>
      </c>
      <c r="G31">
        <v>2.1457000000000002</v>
      </c>
      <c r="H31">
        <v>3.8205</v>
      </c>
      <c r="I31">
        <v>3.8205</v>
      </c>
      <c r="J31">
        <v>3.8205</v>
      </c>
      <c r="K31">
        <v>3.8205</v>
      </c>
      <c r="L31">
        <v>3.8205</v>
      </c>
      <c r="M31">
        <v>3.8205</v>
      </c>
      <c r="N31">
        <v>3.8205</v>
      </c>
      <c r="O31">
        <v>3.8205</v>
      </c>
      <c r="P31">
        <v>3.8205</v>
      </c>
      <c r="Q31">
        <v>3.8205</v>
      </c>
      <c r="R31">
        <v>3.8205</v>
      </c>
      <c r="S31">
        <v>3.8205</v>
      </c>
      <c r="T31">
        <v>3.8205</v>
      </c>
      <c r="U31">
        <v>3.8205</v>
      </c>
      <c r="V31">
        <v>3.8205</v>
      </c>
      <c r="W31">
        <v>3.8205</v>
      </c>
      <c r="X31">
        <v>3.8205</v>
      </c>
      <c r="Y31">
        <v>3.8205</v>
      </c>
      <c r="Z31">
        <v>3.8205</v>
      </c>
      <c r="AA31">
        <v>3.8205</v>
      </c>
      <c r="AB31">
        <v>3.8205</v>
      </c>
      <c r="AC31">
        <v>3.8205</v>
      </c>
      <c r="AD31">
        <v>3.8205</v>
      </c>
      <c r="AE31">
        <v>3.8205</v>
      </c>
      <c r="AF31">
        <v>3.8205</v>
      </c>
      <c r="AG31" t="s">
        <v>34</v>
      </c>
    </row>
    <row r="32" spans="1:33" x14ac:dyDescent="0.75">
      <c r="A32" t="s">
        <v>202</v>
      </c>
      <c r="B32" t="s">
        <v>259</v>
      </c>
      <c r="C32" t="s">
        <v>258</v>
      </c>
      <c r="D32" t="s">
        <v>156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34</v>
      </c>
    </row>
    <row r="33" spans="1:33" x14ac:dyDescent="0.75">
      <c r="A33" t="s">
        <v>199</v>
      </c>
      <c r="B33" t="s">
        <v>257</v>
      </c>
      <c r="C33" t="s">
        <v>256</v>
      </c>
      <c r="D33" t="s">
        <v>156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34</v>
      </c>
    </row>
    <row r="34" spans="1:33" x14ac:dyDescent="0.75">
      <c r="A34" t="s">
        <v>196</v>
      </c>
      <c r="B34" t="s">
        <v>255</v>
      </c>
      <c r="C34" t="s">
        <v>254</v>
      </c>
      <c r="D34" t="s">
        <v>156</v>
      </c>
      <c r="F34">
        <v>0</v>
      </c>
      <c r="G34">
        <v>10.309303</v>
      </c>
      <c r="H34">
        <v>16.241199000000002</v>
      </c>
      <c r="I34">
        <v>18.685199999999998</v>
      </c>
      <c r="J34">
        <v>20.809200000000001</v>
      </c>
      <c r="K34">
        <v>23.253201000000001</v>
      </c>
      <c r="L34">
        <v>25.697201</v>
      </c>
      <c r="M34">
        <v>26.349201000000001</v>
      </c>
      <c r="N34">
        <v>27.001201999999999</v>
      </c>
      <c r="O34">
        <v>27.653202</v>
      </c>
      <c r="P34">
        <v>27.934200000000001</v>
      </c>
      <c r="Q34">
        <v>28.215202000000001</v>
      </c>
      <c r="R34">
        <v>28.215202000000001</v>
      </c>
      <c r="S34">
        <v>28.215202000000001</v>
      </c>
      <c r="T34">
        <v>28.215202000000001</v>
      </c>
      <c r="U34">
        <v>28.215202000000001</v>
      </c>
      <c r="V34">
        <v>28.215202000000001</v>
      </c>
      <c r="W34">
        <v>28.215202000000001</v>
      </c>
      <c r="X34">
        <v>28.215202000000001</v>
      </c>
      <c r="Y34">
        <v>28.215202000000001</v>
      </c>
      <c r="Z34">
        <v>28.215202000000001</v>
      </c>
      <c r="AA34">
        <v>28.215202000000001</v>
      </c>
      <c r="AB34">
        <v>28.215202000000001</v>
      </c>
      <c r="AC34">
        <v>28.215202000000001</v>
      </c>
      <c r="AD34">
        <v>28.215202000000001</v>
      </c>
      <c r="AE34">
        <v>28.215202000000001</v>
      </c>
      <c r="AF34">
        <v>28.215202000000001</v>
      </c>
      <c r="AG34" t="s">
        <v>34</v>
      </c>
    </row>
    <row r="35" spans="1:33" x14ac:dyDescent="0.75">
      <c r="A35" t="s">
        <v>190</v>
      </c>
      <c r="B35" t="s">
        <v>253</v>
      </c>
      <c r="C35" t="s">
        <v>252</v>
      </c>
      <c r="D35" t="s">
        <v>156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34</v>
      </c>
    </row>
    <row r="36" spans="1:33" x14ac:dyDescent="0.75">
      <c r="A36" t="s">
        <v>193</v>
      </c>
      <c r="B36" t="s">
        <v>251</v>
      </c>
      <c r="C36" t="s">
        <v>250</v>
      </c>
      <c r="D36" t="s">
        <v>156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34</v>
      </c>
    </row>
    <row r="37" spans="1:33" x14ac:dyDescent="0.75">
      <c r="A37" t="s">
        <v>168</v>
      </c>
      <c r="B37" t="s">
        <v>249</v>
      </c>
      <c r="C37" t="s">
        <v>248</v>
      </c>
      <c r="D37" t="s">
        <v>156</v>
      </c>
      <c r="F37">
        <v>0</v>
      </c>
      <c r="G37">
        <v>36.712215</v>
      </c>
      <c r="H37">
        <v>69.713798999999995</v>
      </c>
      <c r="I37">
        <v>73.574791000000005</v>
      </c>
      <c r="J37">
        <v>77.699791000000005</v>
      </c>
      <c r="K37">
        <v>83.603188000000003</v>
      </c>
      <c r="L37">
        <v>88.708290000000005</v>
      </c>
      <c r="M37">
        <v>93.029297</v>
      </c>
      <c r="N37">
        <v>95.345298999999997</v>
      </c>
      <c r="O37">
        <v>97.661293000000001</v>
      </c>
      <c r="P37">
        <v>99.977287000000004</v>
      </c>
      <c r="Q37">
        <v>101.773293</v>
      </c>
      <c r="R37">
        <v>102.783295</v>
      </c>
      <c r="S37">
        <v>103.793297</v>
      </c>
      <c r="T37">
        <v>104.803291</v>
      </c>
      <c r="U37">
        <v>105.83229799999999</v>
      </c>
      <c r="V37">
        <v>106.842293</v>
      </c>
      <c r="W37">
        <v>107.056297</v>
      </c>
      <c r="X37">
        <v>107.270302</v>
      </c>
      <c r="Y37">
        <v>107.48429899999999</v>
      </c>
      <c r="Z37">
        <v>107.698296</v>
      </c>
      <c r="AA37">
        <v>107.9123</v>
      </c>
      <c r="AB37">
        <v>108.126305</v>
      </c>
      <c r="AC37">
        <v>108.340294</v>
      </c>
      <c r="AD37">
        <v>108.554298</v>
      </c>
      <c r="AE37">
        <v>108.768303</v>
      </c>
      <c r="AF37">
        <v>108.982292</v>
      </c>
      <c r="AG37" t="s">
        <v>34</v>
      </c>
    </row>
    <row r="38" spans="1:33" x14ac:dyDescent="0.75">
      <c r="A38" t="s">
        <v>222</v>
      </c>
      <c r="B38" t="s">
        <v>247</v>
      </c>
      <c r="C38" t="s">
        <v>246</v>
      </c>
      <c r="D38" t="s">
        <v>156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34</v>
      </c>
    </row>
    <row r="39" spans="1:33" x14ac:dyDescent="0.75">
      <c r="A39" t="s">
        <v>162</v>
      </c>
      <c r="B39" t="s">
        <v>245</v>
      </c>
      <c r="C39" t="s">
        <v>244</v>
      </c>
      <c r="D39" t="s">
        <v>156</v>
      </c>
      <c r="F39">
        <v>0</v>
      </c>
      <c r="G39">
        <v>51.702202</v>
      </c>
      <c r="H39">
        <v>94.957015999999996</v>
      </c>
      <c r="I39">
        <v>101.262016</v>
      </c>
      <c r="J39">
        <v>107.511009</v>
      </c>
      <c r="K39">
        <v>115.858414</v>
      </c>
      <c r="L39">
        <v>123.407516</v>
      </c>
      <c r="M39">
        <v>128.38052400000001</v>
      </c>
      <c r="N39">
        <v>131.348511</v>
      </c>
      <c r="O39">
        <v>134.31651299999999</v>
      </c>
      <c r="P39">
        <v>136.91351299999999</v>
      </c>
      <c r="Q39">
        <v>138.990509</v>
      </c>
      <c r="R39">
        <v>140.00050400000001</v>
      </c>
      <c r="S39">
        <v>141.010513</v>
      </c>
      <c r="T39">
        <v>142.02050800000001</v>
      </c>
      <c r="U39">
        <v>143.04951500000001</v>
      </c>
      <c r="V39">
        <v>144.05950899999999</v>
      </c>
      <c r="W39">
        <v>144.27349899999999</v>
      </c>
      <c r="X39">
        <v>144.48751799999999</v>
      </c>
      <c r="Y39">
        <v>144.70150799999999</v>
      </c>
      <c r="Z39">
        <v>144.91551200000001</v>
      </c>
      <c r="AA39">
        <v>145.12951699999999</v>
      </c>
      <c r="AB39">
        <v>145.34350599999999</v>
      </c>
      <c r="AC39">
        <v>145.55751000000001</v>
      </c>
      <c r="AD39">
        <v>145.77151499999999</v>
      </c>
      <c r="AE39">
        <v>145.98550399999999</v>
      </c>
      <c r="AF39">
        <v>146.199524</v>
      </c>
      <c r="AG39" t="s">
        <v>34</v>
      </c>
    </row>
    <row r="40" spans="1:33" x14ac:dyDescent="0.75">
      <c r="A40" t="s">
        <v>243</v>
      </c>
    </row>
    <row r="41" spans="1:33" x14ac:dyDescent="0.75">
      <c r="A41" t="s">
        <v>180</v>
      </c>
      <c r="B41" t="s">
        <v>242</v>
      </c>
      <c r="C41" t="s">
        <v>241</v>
      </c>
      <c r="D41" t="s">
        <v>156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34</v>
      </c>
    </row>
    <row r="42" spans="1:33" x14ac:dyDescent="0.75">
      <c r="A42" t="s">
        <v>211</v>
      </c>
      <c r="B42" t="s">
        <v>240</v>
      </c>
      <c r="C42" t="s">
        <v>239</v>
      </c>
      <c r="D42" t="s">
        <v>156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34</v>
      </c>
    </row>
    <row r="43" spans="1:33" x14ac:dyDescent="0.75">
      <c r="A43" t="s">
        <v>208</v>
      </c>
      <c r="B43" t="s">
        <v>238</v>
      </c>
      <c r="C43" t="s">
        <v>237</v>
      </c>
      <c r="D43" t="s">
        <v>156</v>
      </c>
      <c r="F43">
        <v>0</v>
      </c>
      <c r="G43">
        <v>0</v>
      </c>
      <c r="H43">
        <v>0</v>
      </c>
      <c r="I43">
        <v>4.7163539999999999</v>
      </c>
      <c r="J43">
        <v>9.7163550000000001</v>
      </c>
      <c r="K43">
        <v>15.966355999999999</v>
      </c>
      <c r="L43">
        <v>23.943232999999999</v>
      </c>
      <c r="M43">
        <v>24.845027999999999</v>
      </c>
      <c r="N43">
        <v>44.771312999999999</v>
      </c>
      <c r="O43">
        <v>46.401485000000001</v>
      </c>
      <c r="P43">
        <v>48.080703999999997</v>
      </c>
      <c r="Q43">
        <v>51.620029000000002</v>
      </c>
      <c r="R43">
        <v>54.314346</v>
      </c>
      <c r="S43">
        <v>57.665562000000001</v>
      </c>
      <c r="T43">
        <v>60.570884999999997</v>
      </c>
      <c r="U43">
        <v>71.188744</v>
      </c>
      <c r="V43">
        <v>78.211082000000005</v>
      </c>
      <c r="W43">
        <v>83.267089999999996</v>
      </c>
      <c r="X43">
        <v>86.480309000000005</v>
      </c>
      <c r="Y43">
        <v>90.814980000000006</v>
      </c>
      <c r="Z43">
        <v>95.053978000000001</v>
      </c>
      <c r="AA43">
        <v>99.648246999999998</v>
      </c>
      <c r="AB43">
        <v>104.64825399999999</v>
      </c>
      <c r="AC43">
        <v>110.23762499999999</v>
      </c>
      <c r="AD43">
        <v>114.34296399999999</v>
      </c>
      <c r="AE43">
        <v>119.25256299999999</v>
      </c>
      <c r="AF43">
        <v>125.389557</v>
      </c>
      <c r="AG43" t="s">
        <v>34</v>
      </c>
    </row>
    <row r="44" spans="1:33" x14ac:dyDescent="0.75">
      <c r="A44" t="s">
        <v>205</v>
      </c>
      <c r="B44" t="s">
        <v>236</v>
      </c>
      <c r="C44" t="s">
        <v>235</v>
      </c>
      <c r="D44" t="s">
        <v>156</v>
      </c>
      <c r="F44">
        <v>0</v>
      </c>
      <c r="G44">
        <v>4.5361399999999996</v>
      </c>
      <c r="H44">
        <v>12.879827000000001</v>
      </c>
      <c r="I44">
        <v>23.222017000000001</v>
      </c>
      <c r="J44">
        <v>35.162292000000001</v>
      </c>
      <c r="K44">
        <v>46.189864999999998</v>
      </c>
      <c r="L44">
        <v>59.974342</v>
      </c>
      <c r="M44">
        <v>76.944771000000003</v>
      </c>
      <c r="N44">
        <v>110.88563499999999</v>
      </c>
      <c r="O44">
        <v>123.521446</v>
      </c>
      <c r="P44">
        <v>136.750854</v>
      </c>
      <c r="Q44">
        <v>152.02799999999999</v>
      </c>
      <c r="R44">
        <v>163.102295</v>
      </c>
      <c r="S44">
        <v>175.718628</v>
      </c>
      <c r="T44">
        <v>189.44697600000001</v>
      </c>
      <c r="U44">
        <v>216.90364099999999</v>
      </c>
      <c r="V44">
        <v>232.320312</v>
      </c>
      <c r="W44">
        <v>245.03993199999999</v>
      </c>
      <c r="X44">
        <v>258.89877300000001</v>
      </c>
      <c r="Y44">
        <v>271.048676</v>
      </c>
      <c r="Z44">
        <v>282.91076700000002</v>
      </c>
      <c r="AA44">
        <v>293.24569700000001</v>
      </c>
      <c r="AB44">
        <v>303.26315299999999</v>
      </c>
      <c r="AC44">
        <v>313.52951000000002</v>
      </c>
      <c r="AD44">
        <v>323.549622</v>
      </c>
      <c r="AE44">
        <v>334.530731</v>
      </c>
      <c r="AF44">
        <v>341.35137900000001</v>
      </c>
      <c r="AG44" t="s">
        <v>34</v>
      </c>
    </row>
    <row r="45" spans="1:33" x14ac:dyDescent="0.75">
      <c r="A45" t="s">
        <v>202</v>
      </c>
      <c r="B45" t="s">
        <v>234</v>
      </c>
      <c r="C45" t="s">
        <v>233</v>
      </c>
      <c r="D45" t="s">
        <v>156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34</v>
      </c>
    </row>
    <row r="46" spans="1:33" x14ac:dyDescent="0.75">
      <c r="A46" t="s">
        <v>199</v>
      </c>
      <c r="B46" t="s">
        <v>232</v>
      </c>
      <c r="C46" t="s">
        <v>231</v>
      </c>
      <c r="D46" t="s">
        <v>156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34</v>
      </c>
    </row>
    <row r="47" spans="1:33" x14ac:dyDescent="0.75">
      <c r="A47" t="s">
        <v>196</v>
      </c>
      <c r="B47" t="s">
        <v>230</v>
      </c>
      <c r="C47" t="s">
        <v>229</v>
      </c>
      <c r="D47" t="s">
        <v>156</v>
      </c>
      <c r="F47">
        <v>0</v>
      </c>
      <c r="G47">
        <v>1.596903</v>
      </c>
      <c r="H47">
        <v>1.596903</v>
      </c>
      <c r="I47">
        <v>1.596903</v>
      </c>
      <c r="J47">
        <v>1.596903</v>
      </c>
      <c r="K47">
        <v>1.596903</v>
      </c>
      <c r="L47">
        <v>1.596903</v>
      </c>
      <c r="M47">
        <v>1.596903</v>
      </c>
      <c r="N47">
        <v>1.596903</v>
      </c>
      <c r="O47">
        <v>1.596903</v>
      </c>
      <c r="P47">
        <v>1.596903</v>
      </c>
      <c r="Q47">
        <v>1.596903</v>
      </c>
      <c r="R47">
        <v>1.647546</v>
      </c>
      <c r="S47">
        <v>1.9624820000000001</v>
      </c>
      <c r="T47">
        <v>2.1881629999999999</v>
      </c>
      <c r="U47">
        <v>5.1881630000000003</v>
      </c>
      <c r="V47">
        <v>5.3752950000000004</v>
      </c>
      <c r="W47">
        <v>5.518885</v>
      </c>
      <c r="X47">
        <v>5.8369340000000003</v>
      </c>
      <c r="Y47">
        <v>6.0417610000000002</v>
      </c>
      <c r="Z47">
        <v>6.2777099999999999</v>
      </c>
      <c r="AA47">
        <v>6.551946</v>
      </c>
      <c r="AB47">
        <v>6.709905</v>
      </c>
      <c r="AC47">
        <v>6.873183</v>
      </c>
      <c r="AD47">
        <v>7.0689120000000001</v>
      </c>
      <c r="AE47">
        <v>7.2809720000000002</v>
      </c>
      <c r="AF47">
        <v>8.3823880000000006</v>
      </c>
      <c r="AG47" t="s">
        <v>34</v>
      </c>
    </row>
    <row r="48" spans="1:33" x14ac:dyDescent="0.75">
      <c r="A48" t="s">
        <v>193</v>
      </c>
      <c r="B48" t="s">
        <v>228</v>
      </c>
      <c r="C48" t="s">
        <v>227</v>
      </c>
      <c r="D48" t="s">
        <v>156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2.4</v>
      </c>
      <c r="O48">
        <v>2.4</v>
      </c>
      <c r="P48">
        <v>2.4</v>
      </c>
      <c r="Q48">
        <v>2.4</v>
      </c>
      <c r="R48">
        <v>2.4</v>
      </c>
      <c r="S48">
        <v>2.4</v>
      </c>
      <c r="T48">
        <v>2.4</v>
      </c>
      <c r="U48">
        <v>4.8</v>
      </c>
      <c r="V48">
        <v>4.8</v>
      </c>
      <c r="W48">
        <v>4.8</v>
      </c>
      <c r="X48">
        <v>4.8</v>
      </c>
      <c r="Y48">
        <v>4.8</v>
      </c>
      <c r="Z48">
        <v>4.8</v>
      </c>
      <c r="AA48">
        <v>4.8</v>
      </c>
      <c r="AB48">
        <v>4.8</v>
      </c>
      <c r="AC48">
        <v>4.8</v>
      </c>
      <c r="AD48">
        <v>4.8</v>
      </c>
      <c r="AE48">
        <v>4.8</v>
      </c>
      <c r="AF48">
        <v>4.8</v>
      </c>
      <c r="AG48" t="s">
        <v>34</v>
      </c>
    </row>
    <row r="49" spans="1:33" x14ac:dyDescent="0.75">
      <c r="A49" t="s">
        <v>190</v>
      </c>
      <c r="B49" t="s">
        <v>226</v>
      </c>
      <c r="C49" t="s">
        <v>225</v>
      </c>
      <c r="D49" t="s">
        <v>156</v>
      </c>
      <c r="F49">
        <v>0</v>
      </c>
      <c r="G49">
        <v>0</v>
      </c>
      <c r="H49">
        <v>0</v>
      </c>
      <c r="I49">
        <v>2.4669E-2</v>
      </c>
      <c r="J49">
        <v>2.8254000000000001E-2</v>
      </c>
      <c r="K49">
        <v>2.8254000000000001E-2</v>
      </c>
      <c r="L49">
        <v>2.8254000000000001E-2</v>
      </c>
      <c r="M49">
        <v>2.8254000000000001E-2</v>
      </c>
      <c r="N49">
        <v>2.8254000000000001E-2</v>
      </c>
      <c r="O49">
        <v>2.8254000000000001E-2</v>
      </c>
      <c r="P49">
        <v>2.8254000000000001E-2</v>
      </c>
      <c r="Q49">
        <v>2.8254000000000001E-2</v>
      </c>
      <c r="R49">
        <v>2.8254000000000001E-2</v>
      </c>
      <c r="S49">
        <v>2.8254000000000001E-2</v>
      </c>
      <c r="T49">
        <v>2.8254000000000001E-2</v>
      </c>
      <c r="U49">
        <v>2.8254000000000001E-2</v>
      </c>
      <c r="V49">
        <v>2.8254000000000001E-2</v>
      </c>
      <c r="W49">
        <v>2.8254000000000001E-2</v>
      </c>
      <c r="X49">
        <v>2.8254000000000001E-2</v>
      </c>
      <c r="Y49">
        <v>2.8254000000000001E-2</v>
      </c>
      <c r="Z49">
        <v>2.8254000000000001E-2</v>
      </c>
      <c r="AA49">
        <v>2.8254000000000001E-2</v>
      </c>
      <c r="AB49">
        <v>2.8254000000000001E-2</v>
      </c>
      <c r="AC49">
        <v>2.8254000000000001E-2</v>
      </c>
      <c r="AD49">
        <v>2.8254000000000001E-2</v>
      </c>
      <c r="AE49">
        <v>2.8254000000000001E-2</v>
      </c>
      <c r="AF49">
        <v>2.8254000000000001E-2</v>
      </c>
      <c r="AG49" t="s">
        <v>34</v>
      </c>
    </row>
    <row r="50" spans="1:33" x14ac:dyDescent="0.75">
      <c r="A50" t="s">
        <v>168</v>
      </c>
      <c r="B50" t="s">
        <v>224</v>
      </c>
      <c r="C50" t="s">
        <v>223</v>
      </c>
      <c r="D50" t="s">
        <v>156</v>
      </c>
      <c r="F50">
        <v>0</v>
      </c>
      <c r="G50">
        <v>0.11246100000000001</v>
      </c>
      <c r="H50">
        <v>0.32205899999999998</v>
      </c>
      <c r="I50">
        <v>2.3263600000000002</v>
      </c>
      <c r="J50">
        <v>12.987215000000001</v>
      </c>
      <c r="K50">
        <v>29.516871999999999</v>
      </c>
      <c r="L50">
        <v>59.024044000000004</v>
      </c>
      <c r="M50">
        <v>91.476601000000002</v>
      </c>
      <c r="N50">
        <v>133.01828</v>
      </c>
      <c r="O50">
        <v>171.01326</v>
      </c>
      <c r="P50">
        <v>218.78872699999999</v>
      </c>
      <c r="Q50">
        <v>278.38394199999999</v>
      </c>
      <c r="R50">
        <v>326.47024499999998</v>
      </c>
      <c r="S50">
        <v>394.561218</v>
      </c>
      <c r="T50">
        <v>431.96060199999999</v>
      </c>
      <c r="U50">
        <v>501.03933699999999</v>
      </c>
      <c r="V50">
        <v>518.27770999999996</v>
      </c>
      <c r="W50">
        <v>529.52014199999996</v>
      </c>
      <c r="X50">
        <v>545.88189699999998</v>
      </c>
      <c r="Y50">
        <v>570.31878700000004</v>
      </c>
      <c r="Z50">
        <v>585.71984899999995</v>
      </c>
      <c r="AA50">
        <v>607.02343800000006</v>
      </c>
      <c r="AB50">
        <v>630.90051300000005</v>
      </c>
      <c r="AC50">
        <v>649.00787400000002</v>
      </c>
      <c r="AD50">
        <v>666.715149</v>
      </c>
      <c r="AE50">
        <v>688.714294</v>
      </c>
      <c r="AF50">
        <v>716.191956</v>
      </c>
      <c r="AG50" t="s">
        <v>34</v>
      </c>
    </row>
    <row r="51" spans="1:33" x14ac:dyDescent="0.75">
      <c r="A51" t="s">
        <v>222</v>
      </c>
      <c r="B51" t="s">
        <v>221</v>
      </c>
      <c r="C51" t="s">
        <v>220</v>
      </c>
      <c r="D51" t="s">
        <v>156</v>
      </c>
      <c r="F51">
        <v>0</v>
      </c>
      <c r="G51">
        <v>0</v>
      </c>
      <c r="H51">
        <v>0.12171999999999999</v>
      </c>
      <c r="I51">
        <v>0.31421700000000002</v>
      </c>
      <c r="J51">
        <v>0.56746099999999999</v>
      </c>
      <c r="K51">
        <v>0.87938400000000005</v>
      </c>
      <c r="L51">
        <v>1.4138390000000001</v>
      </c>
      <c r="M51">
        <v>2.0194109999999998</v>
      </c>
      <c r="N51">
        <v>5.1442019999999999</v>
      </c>
      <c r="O51">
        <v>6.0398930000000002</v>
      </c>
      <c r="P51">
        <v>7.2216469999999999</v>
      </c>
      <c r="Q51">
        <v>8.5455070000000006</v>
      </c>
      <c r="R51">
        <v>9.7899720000000006</v>
      </c>
      <c r="S51">
        <v>11.133853</v>
      </c>
      <c r="T51">
        <v>12.520564</v>
      </c>
      <c r="U51">
        <v>16.530239000000002</v>
      </c>
      <c r="V51">
        <v>18.016812999999999</v>
      </c>
      <c r="W51">
        <v>19.483158</v>
      </c>
      <c r="X51">
        <v>20.937989999999999</v>
      </c>
      <c r="Y51">
        <v>22.326350999999999</v>
      </c>
      <c r="Z51">
        <v>23.658096</v>
      </c>
      <c r="AA51">
        <v>24.941368000000001</v>
      </c>
      <c r="AB51">
        <v>26.255763999999999</v>
      </c>
      <c r="AC51">
        <v>27.633778</v>
      </c>
      <c r="AD51">
        <v>28.971487</v>
      </c>
      <c r="AE51">
        <v>30.366505</v>
      </c>
      <c r="AF51">
        <v>31.843841999999999</v>
      </c>
      <c r="AG51" t="s">
        <v>34</v>
      </c>
    </row>
    <row r="52" spans="1:33" x14ac:dyDescent="0.75">
      <c r="A52" t="s">
        <v>162</v>
      </c>
      <c r="B52" t="s">
        <v>219</v>
      </c>
      <c r="C52" t="s">
        <v>218</v>
      </c>
      <c r="D52" t="s">
        <v>156</v>
      </c>
      <c r="F52">
        <v>0</v>
      </c>
      <c r="G52">
        <v>6.2455049999999996</v>
      </c>
      <c r="H52">
        <v>14.920508999999999</v>
      </c>
      <c r="I52">
        <v>32.200516</v>
      </c>
      <c r="J52">
        <v>60.058478999999998</v>
      </c>
      <c r="K52">
        <v>94.177643000000003</v>
      </c>
      <c r="L52">
        <v>145.98060599999999</v>
      </c>
      <c r="M52">
        <v>196.91098</v>
      </c>
      <c r="N52">
        <v>297.84454299999999</v>
      </c>
      <c r="O52">
        <v>351.00106799999998</v>
      </c>
      <c r="P52">
        <v>414.86697400000003</v>
      </c>
      <c r="Q52">
        <v>494.60253899999998</v>
      </c>
      <c r="R52">
        <v>557.75268600000004</v>
      </c>
      <c r="S52">
        <v>643.47021500000005</v>
      </c>
      <c r="T52">
        <v>699.11578399999996</v>
      </c>
      <c r="U52">
        <v>815.67852800000003</v>
      </c>
      <c r="V52">
        <v>857.02966300000003</v>
      </c>
      <c r="W52">
        <v>887.65765399999998</v>
      </c>
      <c r="X52">
        <v>922.86407499999996</v>
      </c>
      <c r="Y52">
        <v>965.378601</v>
      </c>
      <c r="Z52">
        <v>998.44854699999996</v>
      </c>
      <c r="AA52">
        <v>1036.2387699999999</v>
      </c>
      <c r="AB52">
        <v>1076.6054690000001</v>
      </c>
      <c r="AC52">
        <v>1112.1098629999999</v>
      </c>
      <c r="AD52">
        <v>1145.4761960000001</v>
      </c>
      <c r="AE52">
        <v>1184.9731449999999</v>
      </c>
      <c r="AF52">
        <v>1227.987061</v>
      </c>
      <c r="AG52" t="s">
        <v>34</v>
      </c>
    </row>
    <row r="53" spans="1:33" x14ac:dyDescent="0.75">
      <c r="A53" t="s">
        <v>217</v>
      </c>
      <c r="B53" t="s">
        <v>216</v>
      </c>
      <c r="C53" t="s">
        <v>215</v>
      </c>
      <c r="D53" t="s">
        <v>156</v>
      </c>
      <c r="F53">
        <v>0</v>
      </c>
      <c r="G53">
        <v>57.947707999999999</v>
      </c>
      <c r="H53">
        <v>109.87752500000001</v>
      </c>
      <c r="I53">
        <v>133.46253999999999</v>
      </c>
      <c r="J53">
        <v>167.569489</v>
      </c>
      <c r="K53">
        <v>210.036057</v>
      </c>
      <c r="L53">
        <v>269.38812300000001</v>
      </c>
      <c r="M53">
        <v>325.29150399999997</v>
      </c>
      <c r="N53">
        <v>429.19305400000002</v>
      </c>
      <c r="O53">
        <v>485.317566</v>
      </c>
      <c r="P53">
        <v>551.78045699999996</v>
      </c>
      <c r="Q53">
        <v>633.59301800000003</v>
      </c>
      <c r="R53">
        <v>697.75317399999994</v>
      </c>
      <c r="S53">
        <v>784.48071300000004</v>
      </c>
      <c r="T53">
        <v>841.13629200000003</v>
      </c>
      <c r="U53">
        <v>958.728027</v>
      </c>
      <c r="V53">
        <v>1001.089172</v>
      </c>
      <c r="W53">
        <v>1031.9311520000001</v>
      </c>
      <c r="X53">
        <v>1067.3515620000001</v>
      </c>
      <c r="Y53">
        <v>1110.080078</v>
      </c>
      <c r="Z53">
        <v>1143.364014</v>
      </c>
      <c r="AA53">
        <v>1181.3682859999999</v>
      </c>
      <c r="AB53">
        <v>1221.948975</v>
      </c>
      <c r="AC53">
        <v>1257.6673579999999</v>
      </c>
      <c r="AD53">
        <v>1291.2476810000001</v>
      </c>
      <c r="AE53">
        <v>1330.9586179999999</v>
      </c>
      <c r="AF53">
        <v>1374.1865230000001</v>
      </c>
      <c r="AG53" t="s">
        <v>34</v>
      </c>
    </row>
    <row r="54" spans="1:33" x14ac:dyDescent="0.75">
      <c r="A54" t="s">
        <v>214</v>
      </c>
    </row>
    <row r="55" spans="1:33" x14ac:dyDescent="0.75">
      <c r="A55" t="s">
        <v>180</v>
      </c>
      <c r="B55" t="s">
        <v>213</v>
      </c>
      <c r="C55" t="s">
        <v>212</v>
      </c>
      <c r="D55" t="s">
        <v>156</v>
      </c>
      <c r="F55">
        <v>0</v>
      </c>
      <c r="G55">
        <v>6.0840990000000001</v>
      </c>
      <c r="H55">
        <v>12.883599999999999</v>
      </c>
      <c r="I55">
        <v>18.729800999999998</v>
      </c>
      <c r="J55">
        <v>39.186802</v>
      </c>
      <c r="K55">
        <v>57.629897999999997</v>
      </c>
      <c r="L55">
        <v>69.259108999999995</v>
      </c>
      <c r="M55">
        <v>76.372421000000003</v>
      </c>
      <c r="N55">
        <v>131.43429599999999</v>
      </c>
      <c r="O55">
        <v>131.47479200000001</v>
      </c>
      <c r="P55">
        <v>131.47479200000001</v>
      </c>
      <c r="Q55">
        <v>131.47479200000001</v>
      </c>
      <c r="R55">
        <v>131.47479200000001</v>
      </c>
      <c r="S55">
        <v>131.47479200000001</v>
      </c>
      <c r="T55">
        <v>131.47479200000001</v>
      </c>
      <c r="U55">
        <v>131.47479200000001</v>
      </c>
      <c r="V55">
        <v>131.47479200000001</v>
      </c>
      <c r="W55">
        <v>131.47479200000001</v>
      </c>
      <c r="X55">
        <v>131.47479200000001</v>
      </c>
      <c r="Y55">
        <v>131.47479200000001</v>
      </c>
      <c r="Z55">
        <v>131.47479200000001</v>
      </c>
      <c r="AA55">
        <v>131.47479200000001</v>
      </c>
      <c r="AB55">
        <v>133.70794699999999</v>
      </c>
      <c r="AC55">
        <v>133.70794699999999</v>
      </c>
      <c r="AD55">
        <v>133.70794699999999</v>
      </c>
      <c r="AE55">
        <v>133.70794699999999</v>
      </c>
      <c r="AF55">
        <v>133.70794699999999</v>
      </c>
      <c r="AG55" t="s">
        <v>34</v>
      </c>
    </row>
    <row r="56" spans="1:33" x14ac:dyDescent="0.75">
      <c r="A56" t="s">
        <v>211</v>
      </c>
      <c r="B56" t="s">
        <v>210</v>
      </c>
      <c r="C56" t="s">
        <v>209</v>
      </c>
      <c r="D56" t="s">
        <v>156</v>
      </c>
      <c r="F56">
        <v>0</v>
      </c>
      <c r="G56">
        <v>2.6589999999999998</v>
      </c>
      <c r="H56">
        <v>6.6634019999999996</v>
      </c>
      <c r="I56">
        <v>10.758101</v>
      </c>
      <c r="J56">
        <v>12.998701000000001</v>
      </c>
      <c r="K56">
        <v>14.811000999999999</v>
      </c>
      <c r="L56">
        <v>18.3675</v>
      </c>
      <c r="M56">
        <v>20.499600999999998</v>
      </c>
      <c r="N56">
        <v>20.832602000000001</v>
      </c>
      <c r="O56">
        <v>22.298203000000001</v>
      </c>
      <c r="P56">
        <v>23.556899999999999</v>
      </c>
      <c r="Q56">
        <v>25.258400000000002</v>
      </c>
      <c r="R56">
        <v>25.895800000000001</v>
      </c>
      <c r="S56">
        <v>25.895800000000001</v>
      </c>
      <c r="T56">
        <v>25.895800000000001</v>
      </c>
      <c r="U56">
        <v>59.528495999999997</v>
      </c>
      <c r="V56">
        <v>59.528495999999997</v>
      </c>
      <c r="W56">
        <v>59.528495999999997</v>
      </c>
      <c r="X56">
        <v>59.528495999999997</v>
      </c>
      <c r="Y56">
        <v>59.528495999999997</v>
      </c>
      <c r="Z56">
        <v>59.528495999999997</v>
      </c>
      <c r="AA56">
        <v>59.528495999999997</v>
      </c>
      <c r="AB56">
        <v>59.528495999999997</v>
      </c>
      <c r="AC56">
        <v>59.560600000000001</v>
      </c>
      <c r="AD56">
        <v>59.560600000000001</v>
      </c>
      <c r="AE56">
        <v>59.560600000000001</v>
      </c>
      <c r="AF56">
        <v>59.560600000000001</v>
      </c>
      <c r="AG56" t="s">
        <v>34</v>
      </c>
    </row>
    <row r="57" spans="1:33" x14ac:dyDescent="0.75">
      <c r="A57" t="s">
        <v>208</v>
      </c>
      <c r="B57" t="s">
        <v>207</v>
      </c>
      <c r="C57" t="s">
        <v>206</v>
      </c>
      <c r="D57" t="s">
        <v>156</v>
      </c>
      <c r="F57">
        <v>0</v>
      </c>
      <c r="G57">
        <v>0</v>
      </c>
      <c r="H57">
        <v>0.52974900000000003</v>
      </c>
      <c r="I57">
        <v>1.7968489999999999</v>
      </c>
      <c r="J57">
        <v>1.840249</v>
      </c>
      <c r="K57">
        <v>1.8699490000000001</v>
      </c>
      <c r="L57">
        <v>2.429049</v>
      </c>
      <c r="M57">
        <v>2.5217489999999998</v>
      </c>
      <c r="N57">
        <v>3.023749</v>
      </c>
      <c r="O57">
        <v>3.286349</v>
      </c>
      <c r="P57">
        <v>3.286349</v>
      </c>
      <c r="Q57">
        <v>3.286349</v>
      </c>
      <c r="R57">
        <v>3.6437490000000001</v>
      </c>
      <c r="S57">
        <v>3.6437490000000001</v>
      </c>
      <c r="T57">
        <v>3.6437490000000001</v>
      </c>
      <c r="U57">
        <v>3.6437490000000001</v>
      </c>
      <c r="V57">
        <v>3.6437490000000001</v>
      </c>
      <c r="W57">
        <v>3.6437490000000001</v>
      </c>
      <c r="X57">
        <v>4.3037489999999998</v>
      </c>
      <c r="Y57">
        <v>4.3037489999999998</v>
      </c>
      <c r="Z57">
        <v>4.7807490000000001</v>
      </c>
      <c r="AA57">
        <v>4.7807490000000001</v>
      </c>
      <c r="AB57">
        <v>4.7807490000000001</v>
      </c>
      <c r="AC57">
        <v>4.7807490000000001</v>
      </c>
      <c r="AD57">
        <v>4.9657489999999997</v>
      </c>
      <c r="AE57">
        <v>5.088749</v>
      </c>
      <c r="AF57">
        <v>5.088749</v>
      </c>
      <c r="AG57" t="s">
        <v>34</v>
      </c>
    </row>
    <row r="58" spans="1:33" x14ac:dyDescent="0.75">
      <c r="A58" t="s">
        <v>205</v>
      </c>
      <c r="B58" t="s">
        <v>204</v>
      </c>
      <c r="C58" t="s">
        <v>203</v>
      </c>
      <c r="D58" t="s">
        <v>156</v>
      </c>
      <c r="F58">
        <v>0</v>
      </c>
      <c r="G58">
        <v>1.2232000000000001</v>
      </c>
      <c r="H58">
        <v>1.9956</v>
      </c>
      <c r="I58">
        <v>2.5413000000000001</v>
      </c>
      <c r="J58">
        <v>2.5480999999999998</v>
      </c>
      <c r="K58">
        <v>2.5514999999999999</v>
      </c>
      <c r="L58">
        <v>2.7879999999999998</v>
      </c>
      <c r="M58">
        <v>2.851</v>
      </c>
      <c r="N58">
        <v>3.4306000000000001</v>
      </c>
      <c r="O58">
        <v>3.5467</v>
      </c>
      <c r="P58">
        <v>3.6657000000000002</v>
      </c>
      <c r="Q58">
        <v>3.6827000000000001</v>
      </c>
      <c r="R58">
        <v>3.8896999999999999</v>
      </c>
      <c r="S58">
        <v>3.9367999999999999</v>
      </c>
      <c r="T58">
        <v>3.9367999999999999</v>
      </c>
      <c r="U58">
        <v>3.9367999999999999</v>
      </c>
      <c r="V58">
        <v>3.9367999999999999</v>
      </c>
      <c r="W58">
        <v>4.1458009999999996</v>
      </c>
      <c r="X58">
        <v>4.1778000000000004</v>
      </c>
      <c r="Y58">
        <v>4.1778000000000004</v>
      </c>
      <c r="Z58">
        <v>4.1778000000000004</v>
      </c>
      <c r="AA58">
        <v>4.1778000000000004</v>
      </c>
      <c r="AB58">
        <v>4.1778000000000004</v>
      </c>
      <c r="AC58">
        <v>4.1778000000000004</v>
      </c>
      <c r="AD58">
        <v>4.1778000000000004</v>
      </c>
      <c r="AE58">
        <v>4.1778000000000004</v>
      </c>
      <c r="AF58">
        <v>4.1778000000000004</v>
      </c>
      <c r="AG58" t="s">
        <v>34</v>
      </c>
    </row>
    <row r="59" spans="1:33" x14ac:dyDescent="0.75">
      <c r="A59" t="s">
        <v>202</v>
      </c>
      <c r="B59" t="s">
        <v>201</v>
      </c>
      <c r="C59" t="s">
        <v>200</v>
      </c>
      <c r="D59" t="s">
        <v>156</v>
      </c>
      <c r="F59">
        <v>0</v>
      </c>
      <c r="G59">
        <v>0</v>
      </c>
      <c r="H59">
        <v>0</v>
      </c>
      <c r="I59">
        <v>0</v>
      </c>
      <c r="J59">
        <v>0</v>
      </c>
      <c r="K59">
        <v>1.1220000000000001</v>
      </c>
      <c r="L59">
        <v>2.2400000000000002</v>
      </c>
      <c r="M59">
        <v>2.2400000000000002</v>
      </c>
      <c r="N59">
        <v>2.2400000000000002</v>
      </c>
      <c r="O59">
        <v>2.2400000000000002</v>
      </c>
      <c r="P59">
        <v>2.2400000000000002</v>
      </c>
      <c r="Q59">
        <v>2.2400000000000002</v>
      </c>
      <c r="R59">
        <v>2.2400000000000002</v>
      </c>
      <c r="S59">
        <v>2.2400000000000002</v>
      </c>
      <c r="T59">
        <v>2.2400000000000002</v>
      </c>
      <c r="U59">
        <v>2.2400000000000002</v>
      </c>
      <c r="V59">
        <v>2.2400000000000002</v>
      </c>
      <c r="W59">
        <v>2.2400000000000002</v>
      </c>
      <c r="X59">
        <v>2.2400000000000002</v>
      </c>
      <c r="Y59">
        <v>2.2400000000000002</v>
      </c>
      <c r="Z59">
        <v>2.2400000000000002</v>
      </c>
      <c r="AA59">
        <v>2.2400000000000002</v>
      </c>
      <c r="AB59">
        <v>2.2400000000000002</v>
      </c>
      <c r="AC59">
        <v>2.2400000000000002</v>
      </c>
      <c r="AD59">
        <v>2.2400000000000002</v>
      </c>
      <c r="AE59">
        <v>2.2400000000000002</v>
      </c>
      <c r="AF59">
        <v>2.2400000000000002</v>
      </c>
      <c r="AG59" t="s">
        <v>34</v>
      </c>
    </row>
    <row r="60" spans="1:33" x14ac:dyDescent="0.75">
      <c r="A60" t="s">
        <v>199</v>
      </c>
      <c r="B60" t="s">
        <v>198</v>
      </c>
      <c r="C60" t="s">
        <v>197</v>
      </c>
      <c r="D60" t="s">
        <v>156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t="s">
        <v>34</v>
      </c>
    </row>
    <row r="61" spans="1:33" x14ac:dyDescent="0.75">
      <c r="A61" t="s">
        <v>196</v>
      </c>
      <c r="B61" t="s">
        <v>195</v>
      </c>
      <c r="C61" t="s">
        <v>194</v>
      </c>
      <c r="D61" t="s">
        <v>156</v>
      </c>
      <c r="F61">
        <v>0</v>
      </c>
      <c r="G61">
        <v>0</v>
      </c>
      <c r="H61">
        <v>7.0000000000000001E-3</v>
      </c>
      <c r="I61">
        <v>7.0000000000000001E-3</v>
      </c>
      <c r="J61">
        <v>7.0000000000000001E-3</v>
      </c>
      <c r="K61">
        <v>7.0000000000000001E-3</v>
      </c>
      <c r="L61">
        <v>7.0000000000000001E-3</v>
      </c>
      <c r="M61">
        <v>7.0000000000000001E-3</v>
      </c>
      <c r="N61">
        <v>1.6899999999999998E-2</v>
      </c>
      <c r="O61">
        <v>1.6899999999999998E-2</v>
      </c>
      <c r="P61">
        <v>1.6899999999999998E-2</v>
      </c>
      <c r="Q61">
        <v>1.6899999999999998E-2</v>
      </c>
      <c r="R61">
        <v>1.6899999999999998E-2</v>
      </c>
      <c r="S61">
        <v>1.6899999999999998E-2</v>
      </c>
      <c r="T61">
        <v>1.6899999999999998E-2</v>
      </c>
      <c r="U61">
        <v>1.6899999999999998E-2</v>
      </c>
      <c r="V61">
        <v>1.6899999999999998E-2</v>
      </c>
      <c r="W61">
        <v>2.7900000000000001E-2</v>
      </c>
      <c r="X61">
        <v>0.22789999999999999</v>
      </c>
      <c r="Y61">
        <v>0.22789999999999999</v>
      </c>
      <c r="Z61">
        <v>0.22789999999999999</v>
      </c>
      <c r="AA61">
        <v>0.22789999999999999</v>
      </c>
      <c r="AB61">
        <v>0.22789999999999999</v>
      </c>
      <c r="AC61">
        <v>0.22789999999999999</v>
      </c>
      <c r="AD61">
        <v>0.22789999999999999</v>
      </c>
      <c r="AE61">
        <v>0.22789999999999999</v>
      </c>
      <c r="AF61">
        <v>0.22789999999999999</v>
      </c>
      <c r="AG61" t="s">
        <v>34</v>
      </c>
    </row>
    <row r="62" spans="1:33" x14ac:dyDescent="0.75">
      <c r="A62" t="s">
        <v>193</v>
      </c>
      <c r="B62" t="s">
        <v>192</v>
      </c>
      <c r="C62" t="s">
        <v>191</v>
      </c>
      <c r="D62" t="s">
        <v>156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t="s">
        <v>34</v>
      </c>
    </row>
    <row r="63" spans="1:33" x14ac:dyDescent="0.75">
      <c r="A63" t="s">
        <v>190</v>
      </c>
      <c r="B63" t="s">
        <v>189</v>
      </c>
      <c r="C63" t="s">
        <v>188</v>
      </c>
      <c r="D63" t="s">
        <v>156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1.1000000000000001E-3</v>
      </c>
      <c r="N63">
        <v>1.1000000000000001E-3</v>
      </c>
      <c r="O63">
        <v>1.1000000000000001E-3</v>
      </c>
      <c r="P63">
        <v>1.1000000000000001E-3</v>
      </c>
      <c r="Q63">
        <v>1.1000000000000001E-3</v>
      </c>
      <c r="R63">
        <v>1.1000000000000001E-3</v>
      </c>
      <c r="S63">
        <v>1.1000000000000001E-3</v>
      </c>
      <c r="T63">
        <v>1.1000000000000001E-3</v>
      </c>
      <c r="U63">
        <v>1.1000000000000001E-3</v>
      </c>
      <c r="V63">
        <v>1.1000000000000001E-3</v>
      </c>
      <c r="W63">
        <v>1.1000000000000001E-3</v>
      </c>
      <c r="X63">
        <v>1.1000000000000001E-3</v>
      </c>
      <c r="Y63">
        <v>1.1000000000000001E-3</v>
      </c>
      <c r="Z63">
        <v>1.1000000000000001E-3</v>
      </c>
      <c r="AA63">
        <v>1.1000000000000001E-3</v>
      </c>
      <c r="AB63">
        <v>1.1000000000000001E-3</v>
      </c>
      <c r="AC63">
        <v>1.1000000000000001E-3</v>
      </c>
      <c r="AD63">
        <v>1.1000000000000001E-3</v>
      </c>
      <c r="AE63">
        <v>1.1000000000000001E-3</v>
      </c>
      <c r="AF63">
        <v>1.1000000000000001E-3</v>
      </c>
      <c r="AG63" t="s">
        <v>34</v>
      </c>
    </row>
    <row r="64" spans="1:33" x14ac:dyDescent="0.75">
      <c r="A64" t="s">
        <v>168</v>
      </c>
      <c r="B64" t="s">
        <v>187</v>
      </c>
      <c r="C64" t="s">
        <v>186</v>
      </c>
      <c r="D64" t="s">
        <v>156</v>
      </c>
      <c r="F64">
        <v>0</v>
      </c>
      <c r="G64">
        <v>1.03E-2</v>
      </c>
      <c r="H64">
        <v>2.0799999999999999E-2</v>
      </c>
      <c r="I64">
        <v>0.1062</v>
      </c>
      <c r="J64">
        <v>1.0045999999999999</v>
      </c>
      <c r="K64">
        <v>1.5284</v>
      </c>
      <c r="L64">
        <v>2.663001</v>
      </c>
      <c r="M64">
        <v>3.3264999999999998</v>
      </c>
      <c r="N64">
        <v>3.479501</v>
      </c>
      <c r="O64">
        <v>3.553801</v>
      </c>
      <c r="P64">
        <v>3.5728010000000001</v>
      </c>
      <c r="Q64">
        <v>3.7208000000000001</v>
      </c>
      <c r="R64">
        <v>3.7210030000000001</v>
      </c>
      <c r="S64">
        <v>3.7210030000000001</v>
      </c>
      <c r="T64">
        <v>3.7210030000000001</v>
      </c>
      <c r="U64">
        <v>4.1237019999999998</v>
      </c>
      <c r="V64">
        <v>4.6221019999999999</v>
      </c>
      <c r="W64">
        <v>4.6221019999999999</v>
      </c>
      <c r="X64">
        <v>5.069502</v>
      </c>
      <c r="Y64">
        <v>5.0884020000000003</v>
      </c>
      <c r="Z64">
        <v>5.1683029999999999</v>
      </c>
      <c r="AA64">
        <v>5.1697030000000002</v>
      </c>
      <c r="AB64">
        <v>5.1723030000000003</v>
      </c>
      <c r="AC64">
        <v>5.1867020000000004</v>
      </c>
      <c r="AD64">
        <v>5.1867020000000004</v>
      </c>
      <c r="AE64">
        <v>5.222702</v>
      </c>
      <c r="AF64">
        <v>5.222702</v>
      </c>
      <c r="AG64" t="s">
        <v>34</v>
      </c>
    </row>
    <row r="65" spans="1:33" x14ac:dyDescent="0.75">
      <c r="A65" t="s">
        <v>162</v>
      </c>
      <c r="B65" t="s">
        <v>185</v>
      </c>
      <c r="C65" t="s">
        <v>184</v>
      </c>
      <c r="D65" t="s">
        <v>156</v>
      </c>
      <c r="F65">
        <v>0</v>
      </c>
      <c r="G65">
        <v>9.9766019999999997</v>
      </c>
      <c r="H65">
        <v>22.100147</v>
      </c>
      <c r="I65">
        <v>33.939247000000002</v>
      </c>
      <c r="J65">
        <v>57.585442</v>
      </c>
      <c r="K65">
        <v>79.519774999999996</v>
      </c>
      <c r="L65">
        <v>97.75367</v>
      </c>
      <c r="M65">
        <v>107.819397</v>
      </c>
      <c r="N65">
        <v>164.45874000000001</v>
      </c>
      <c r="O65">
        <v>166.41786200000001</v>
      </c>
      <c r="P65">
        <v>167.81459000000001</v>
      </c>
      <c r="Q65">
        <v>169.68109100000001</v>
      </c>
      <c r="R65">
        <v>170.883072</v>
      </c>
      <c r="S65">
        <v>170.93019100000001</v>
      </c>
      <c r="T65">
        <v>170.93019100000001</v>
      </c>
      <c r="U65">
        <v>204.96559099999999</v>
      </c>
      <c r="V65">
        <v>205.46400499999999</v>
      </c>
      <c r="W65">
        <v>205.68400600000001</v>
      </c>
      <c r="X65">
        <v>207.02340699999999</v>
      </c>
      <c r="Y65">
        <v>207.04229699999999</v>
      </c>
      <c r="Z65">
        <v>207.59921299999999</v>
      </c>
      <c r="AA65">
        <v>207.600616</v>
      </c>
      <c r="AB65">
        <v>209.83634900000001</v>
      </c>
      <c r="AC65">
        <v>209.882858</v>
      </c>
      <c r="AD65">
        <v>210.06785600000001</v>
      </c>
      <c r="AE65">
        <v>210.22685200000001</v>
      </c>
      <c r="AF65">
        <v>210.22685200000001</v>
      </c>
      <c r="AG65" t="s">
        <v>34</v>
      </c>
    </row>
    <row r="66" spans="1:33" x14ac:dyDescent="0.75">
      <c r="A66" t="s">
        <v>85</v>
      </c>
      <c r="B66" t="s">
        <v>183</v>
      </c>
      <c r="C66" t="s">
        <v>182</v>
      </c>
      <c r="D66" t="s">
        <v>156</v>
      </c>
      <c r="F66">
        <v>1194.3781739999999</v>
      </c>
      <c r="G66">
        <v>1242.3492429999999</v>
      </c>
      <c r="H66">
        <v>1282.155518</v>
      </c>
      <c r="I66">
        <v>1293.9013669999999</v>
      </c>
      <c r="J66">
        <v>1304.362183</v>
      </c>
      <c r="K66">
        <v>1324.894409</v>
      </c>
      <c r="L66">
        <v>1366.012573</v>
      </c>
      <c r="M66">
        <v>1411.850342</v>
      </c>
      <c r="N66">
        <v>1459.1125489999999</v>
      </c>
      <c r="O66">
        <v>1513.278198</v>
      </c>
      <c r="P66">
        <v>1578.3442379999999</v>
      </c>
      <c r="Q66">
        <v>1658.290405</v>
      </c>
      <c r="R66">
        <v>1721.2482910000001</v>
      </c>
      <c r="S66">
        <v>1807.9285890000001</v>
      </c>
      <c r="T66">
        <v>1864.583862</v>
      </c>
      <c r="U66">
        <v>1948.1405030000001</v>
      </c>
      <c r="V66">
        <v>1990.0031739999999</v>
      </c>
      <c r="W66">
        <v>2020.6252440000001</v>
      </c>
      <c r="X66">
        <v>2054.7065429999998</v>
      </c>
      <c r="Y66">
        <v>2097.41626</v>
      </c>
      <c r="Z66">
        <v>2130.1430660000001</v>
      </c>
      <c r="AA66">
        <v>2168.1459960000002</v>
      </c>
      <c r="AB66">
        <v>2205.6147460000002</v>
      </c>
      <c r="AC66">
        <v>2241.2863769999999</v>
      </c>
      <c r="AD66">
        <v>2274.6816410000001</v>
      </c>
      <c r="AE66">
        <v>2314.2333979999999</v>
      </c>
      <c r="AF66">
        <v>2357.4616700000001</v>
      </c>
      <c r="AG66" s="26">
        <v>2.5999999999999999E-2</v>
      </c>
    </row>
    <row r="67" spans="1:33" x14ac:dyDescent="0.75">
      <c r="A67" t="s">
        <v>181</v>
      </c>
    </row>
    <row r="68" spans="1:33" x14ac:dyDescent="0.75">
      <c r="A68" t="s">
        <v>180</v>
      </c>
      <c r="B68" t="s">
        <v>179</v>
      </c>
      <c r="C68" t="s">
        <v>178</v>
      </c>
      <c r="D68" t="s">
        <v>156</v>
      </c>
      <c r="F68">
        <v>1.4583029999999999</v>
      </c>
      <c r="G68">
        <v>1.454469</v>
      </c>
      <c r="H68">
        <v>1.4509879999999999</v>
      </c>
      <c r="I68">
        <v>1.442007</v>
      </c>
      <c r="J68">
        <v>1.4340360000000001</v>
      </c>
      <c r="K68">
        <v>1.4277409999999999</v>
      </c>
      <c r="L68">
        <v>1.4225490000000001</v>
      </c>
      <c r="M68">
        <v>1.4188540000000001</v>
      </c>
      <c r="N68">
        <v>1.4146430000000001</v>
      </c>
      <c r="O68">
        <v>1.4095230000000001</v>
      </c>
      <c r="P68">
        <v>1.4058790000000001</v>
      </c>
      <c r="Q68">
        <v>1.402158</v>
      </c>
      <c r="R68">
        <v>1.39855</v>
      </c>
      <c r="S68">
        <v>1.3948</v>
      </c>
      <c r="T68">
        <v>1.391202</v>
      </c>
      <c r="U68">
        <v>1.3881969999999999</v>
      </c>
      <c r="V68">
        <v>1.38533</v>
      </c>
      <c r="W68">
        <v>1.381799</v>
      </c>
      <c r="X68">
        <v>1.3782700000000001</v>
      </c>
      <c r="Y68">
        <v>1.374539</v>
      </c>
      <c r="Z68">
        <v>1.371305</v>
      </c>
      <c r="AA68">
        <v>1.3674379999999999</v>
      </c>
      <c r="AB68">
        <v>1.3637360000000001</v>
      </c>
      <c r="AC68">
        <v>1.3600030000000001</v>
      </c>
      <c r="AD68">
        <v>1.356028</v>
      </c>
      <c r="AE68">
        <v>1.3518060000000001</v>
      </c>
      <c r="AF68">
        <v>1.347539</v>
      </c>
      <c r="AG68" s="26">
        <v>-3.0000000000000001E-3</v>
      </c>
    </row>
    <row r="69" spans="1:33" x14ac:dyDescent="0.75">
      <c r="A69" t="s">
        <v>177</v>
      </c>
      <c r="B69" t="s">
        <v>176</v>
      </c>
      <c r="C69" t="s">
        <v>175</v>
      </c>
      <c r="D69" t="s">
        <v>156</v>
      </c>
      <c r="F69">
        <v>0.55230999999999997</v>
      </c>
      <c r="G69">
        <v>0.55167900000000003</v>
      </c>
      <c r="H69">
        <v>0.55104299999999995</v>
      </c>
      <c r="I69">
        <v>0.549508</v>
      </c>
      <c r="J69">
        <v>0.54822199999999999</v>
      </c>
      <c r="K69">
        <v>0.54723200000000005</v>
      </c>
      <c r="L69">
        <v>0.5464</v>
      </c>
      <c r="M69">
        <v>0.54583700000000002</v>
      </c>
      <c r="N69">
        <v>0.54517899999999997</v>
      </c>
      <c r="O69">
        <v>0.544408</v>
      </c>
      <c r="P69">
        <v>0.54388400000000003</v>
      </c>
      <c r="Q69">
        <v>0.54335100000000003</v>
      </c>
      <c r="R69">
        <v>0.54284500000000002</v>
      </c>
      <c r="S69">
        <v>0.54229000000000005</v>
      </c>
      <c r="T69">
        <v>0.54177900000000001</v>
      </c>
      <c r="U69">
        <v>0.54138699999999995</v>
      </c>
      <c r="V69">
        <v>0.54100700000000002</v>
      </c>
      <c r="W69">
        <v>0.54051800000000005</v>
      </c>
      <c r="X69">
        <v>0.54003900000000005</v>
      </c>
      <c r="Y69">
        <v>0.53951300000000002</v>
      </c>
      <c r="Z69">
        <v>0.53909300000000004</v>
      </c>
      <c r="AA69">
        <v>0.53856000000000004</v>
      </c>
      <c r="AB69">
        <v>0.53806399999999999</v>
      </c>
      <c r="AC69">
        <v>0.53755699999999995</v>
      </c>
      <c r="AD69">
        <v>0.53701200000000004</v>
      </c>
      <c r="AE69">
        <v>0.53642000000000001</v>
      </c>
      <c r="AF69">
        <v>0.53581999999999996</v>
      </c>
      <c r="AG69" s="26">
        <v>-1E-3</v>
      </c>
    </row>
    <row r="70" spans="1:33" x14ac:dyDescent="0.75">
      <c r="A70" t="s">
        <v>174</v>
      </c>
      <c r="B70" t="s">
        <v>173</v>
      </c>
      <c r="C70" t="s">
        <v>172</v>
      </c>
      <c r="D70" t="s">
        <v>156</v>
      </c>
      <c r="F70">
        <v>18.515474000000001</v>
      </c>
      <c r="G70">
        <v>18.653956999999998</v>
      </c>
      <c r="H70">
        <v>18.749247</v>
      </c>
      <c r="I70">
        <v>18.813078000000001</v>
      </c>
      <c r="J70">
        <v>18.886139</v>
      </c>
      <c r="K70">
        <v>18.971498</v>
      </c>
      <c r="L70">
        <v>19.132294000000002</v>
      </c>
      <c r="M70">
        <v>19.239601</v>
      </c>
      <c r="N70">
        <v>19.343485000000001</v>
      </c>
      <c r="O70">
        <v>19.447434999999999</v>
      </c>
      <c r="P70">
        <v>19.561741000000001</v>
      </c>
      <c r="Q70">
        <v>19.676779</v>
      </c>
      <c r="R70">
        <v>19.795691999999999</v>
      </c>
      <c r="S70">
        <v>19.917916999999999</v>
      </c>
      <c r="T70">
        <v>20.047422000000001</v>
      </c>
      <c r="U70">
        <v>20.182925999999998</v>
      </c>
      <c r="V70">
        <v>20.324213</v>
      </c>
      <c r="W70">
        <v>20.464924</v>
      </c>
      <c r="X70">
        <v>20.609846000000001</v>
      </c>
      <c r="Y70">
        <v>20.757422999999999</v>
      </c>
      <c r="Z70">
        <v>20.913882999999998</v>
      </c>
      <c r="AA70">
        <v>21.068653000000001</v>
      </c>
      <c r="AB70">
        <v>21.228394000000002</v>
      </c>
      <c r="AC70">
        <v>21.395254000000001</v>
      </c>
      <c r="AD70">
        <v>21.564823000000001</v>
      </c>
      <c r="AE70">
        <v>21.735749999999999</v>
      </c>
      <c r="AF70">
        <v>21.910757</v>
      </c>
      <c r="AG70" s="26">
        <v>6.0000000000000001E-3</v>
      </c>
    </row>
    <row r="71" spans="1:33" x14ac:dyDescent="0.75">
      <c r="A71" t="s">
        <v>171</v>
      </c>
      <c r="B71" t="s">
        <v>170</v>
      </c>
      <c r="C71" t="s">
        <v>169</v>
      </c>
      <c r="D71" t="s">
        <v>156</v>
      </c>
      <c r="F71">
        <v>2.2090999999999998</v>
      </c>
      <c r="G71">
        <v>2.2526000000000002</v>
      </c>
      <c r="H71">
        <v>2.2526000000000002</v>
      </c>
      <c r="I71">
        <v>2.2526000000000002</v>
      </c>
      <c r="J71">
        <v>2.2526000000000002</v>
      </c>
      <c r="K71">
        <v>2.2526000000000002</v>
      </c>
      <c r="L71">
        <v>2.2526000000000002</v>
      </c>
      <c r="M71">
        <v>2.2526000000000002</v>
      </c>
      <c r="N71">
        <v>2.2526000000000002</v>
      </c>
      <c r="O71">
        <v>2.2526000000000002</v>
      </c>
      <c r="P71">
        <v>2.2526000000000002</v>
      </c>
      <c r="Q71">
        <v>2.2526000000000002</v>
      </c>
      <c r="R71">
        <v>2.2526000000000002</v>
      </c>
      <c r="S71">
        <v>2.2526000000000002</v>
      </c>
      <c r="T71">
        <v>2.2526000000000002</v>
      </c>
      <c r="U71">
        <v>2.2526000000000002</v>
      </c>
      <c r="V71">
        <v>2.2526000000000002</v>
      </c>
      <c r="W71">
        <v>2.2526000000000002</v>
      </c>
      <c r="X71">
        <v>2.2526000000000002</v>
      </c>
      <c r="Y71">
        <v>2.2526000000000002</v>
      </c>
      <c r="Z71">
        <v>2.2526000000000002</v>
      </c>
      <c r="AA71">
        <v>2.2526000000000002</v>
      </c>
      <c r="AB71">
        <v>2.2526000000000002</v>
      </c>
      <c r="AC71">
        <v>2.2526000000000002</v>
      </c>
      <c r="AD71">
        <v>2.2526000000000002</v>
      </c>
      <c r="AE71">
        <v>2.2526000000000002</v>
      </c>
      <c r="AF71">
        <v>2.2526000000000002</v>
      </c>
      <c r="AG71" s="26">
        <v>1E-3</v>
      </c>
    </row>
    <row r="72" spans="1:33" x14ac:dyDescent="0.75">
      <c r="A72" t="s">
        <v>168</v>
      </c>
      <c r="B72" t="s">
        <v>167</v>
      </c>
      <c r="C72" t="s">
        <v>166</v>
      </c>
      <c r="D72" t="s">
        <v>156</v>
      </c>
      <c r="F72">
        <v>77.231566999999998</v>
      </c>
      <c r="G72">
        <v>87.361937999999995</v>
      </c>
      <c r="H72">
        <v>97.447556000000006</v>
      </c>
      <c r="I72">
        <v>104.87653400000001</v>
      </c>
      <c r="J72">
        <v>112.445869</v>
      </c>
      <c r="K72">
        <v>120.809601</v>
      </c>
      <c r="L72">
        <v>130.14033499999999</v>
      </c>
      <c r="M72">
        <v>140.81475800000001</v>
      </c>
      <c r="N72">
        <v>151.086151</v>
      </c>
      <c r="O72">
        <v>162.07965100000001</v>
      </c>
      <c r="P72">
        <v>171.708786</v>
      </c>
      <c r="Q72">
        <v>178.736908</v>
      </c>
      <c r="R72">
        <v>185.727859</v>
      </c>
      <c r="S72">
        <v>192.85562100000001</v>
      </c>
      <c r="T72">
        <v>201.03199799999999</v>
      </c>
      <c r="U72">
        <v>208.30552700000001</v>
      </c>
      <c r="V72">
        <v>215.86198400000001</v>
      </c>
      <c r="W72">
        <v>224.093842</v>
      </c>
      <c r="X72">
        <v>232.52496300000001</v>
      </c>
      <c r="Y72">
        <v>241.210983</v>
      </c>
      <c r="Z72">
        <v>250.00920099999999</v>
      </c>
      <c r="AA72">
        <v>259.09387199999998</v>
      </c>
      <c r="AB72">
        <v>268.15197799999999</v>
      </c>
      <c r="AC72">
        <v>277.76324499999998</v>
      </c>
      <c r="AD72">
        <v>287.61883499999999</v>
      </c>
      <c r="AE72">
        <v>297.56634500000001</v>
      </c>
      <c r="AF72">
        <v>307.83496100000002</v>
      </c>
      <c r="AG72" s="26">
        <v>5.5E-2</v>
      </c>
    </row>
    <row r="73" spans="1:33" x14ac:dyDescent="0.75">
      <c r="A73" t="s">
        <v>165</v>
      </c>
      <c r="B73" t="s">
        <v>164</v>
      </c>
      <c r="C73" t="s">
        <v>163</v>
      </c>
      <c r="D73" t="s">
        <v>156</v>
      </c>
      <c r="F73">
        <v>0.37109999999999999</v>
      </c>
      <c r="G73">
        <v>0.37109999999999999</v>
      </c>
      <c r="H73">
        <v>0.42109999999999997</v>
      </c>
      <c r="I73">
        <v>0.42109999999999997</v>
      </c>
      <c r="J73">
        <v>0.42109999999999997</v>
      </c>
      <c r="K73">
        <v>0.42109999999999997</v>
      </c>
      <c r="L73">
        <v>0.42109999999999997</v>
      </c>
      <c r="M73">
        <v>0.42109999999999997</v>
      </c>
      <c r="N73">
        <v>0.42109999999999997</v>
      </c>
      <c r="O73">
        <v>0.42109999999999997</v>
      </c>
      <c r="P73">
        <v>0.42109999999999997</v>
      </c>
      <c r="Q73">
        <v>0.42109999999999997</v>
      </c>
      <c r="R73">
        <v>0.42109999999999997</v>
      </c>
      <c r="S73">
        <v>0.42109999999999997</v>
      </c>
      <c r="T73">
        <v>0.42109999999999997</v>
      </c>
      <c r="U73">
        <v>0.42109999999999997</v>
      </c>
      <c r="V73">
        <v>0.42109999999999997</v>
      </c>
      <c r="W73">
        <v>0.42109999999999997</v>
      </c>
      <c r="X73">
        <v>0.42109999999999997</v>
      </c>
      <c r="Y73">
        <v>0.42109999999999997</v>
      </c>
      <c r="Z73">
        <v>0.42109999999999997</v>
      </c>
      <c r="AA73">
        <v>0.42109999999999997</v>
      </c>
      <c r="AB73">
        <v>0.42109999999999997</v>
      </c>
      <c r="AC73">
        <v>0.42109999999999997</v>
      </c>
      <c r="AD73">
        <v>0.42109999999999997</v>
      </c>
      <c r="AE73">
        <v>0.42109999999999997</v>
      </c>
      <c r="AF73">
        <v>0.42109999999999997</v>
      </c>
      <c r="AG73" s="26">
        <v>5.0000000000000001E-3</v>
      </c>
    </row>
    <row r="74" spans="1:33" x14ac:dyDescent="0.75">
      <c r="A74" t="s">
        <v>162</v>
      </c>
      <c r="B74" t="s">
        <v>161</v>
      </c>
      <c r="C74" t="s">
        <v>160</v>
      </c>
      <c r="D74" t="s">
        <v>156</v>
      </c>
      <c r="F74">
        <v>100.337852</v>
      </c>
      <c r="G74">
        <v>110.64574399999999</v>
      </c>
      <c r="H74">
        <v>120.872528</v>
      </c>
      <c r="I74">
        <v>128.354828</v>
      </c>
      <c r="J74">
        <v>135.98796100000001</v>
      </c>
      <c r="K74">
        <v>144.42976400000001</v>
      </c>
      <c r="L74">
        <v>153.915268</v>
      </c>
      <c r="M74">
        <v>164.69274899999999</v>
      </c>
      <c r="N74">
        <v>175.06315599999999</v>
      </c>
      <c r="O74">
        <v>186.154709</v>
      </c>
      <c r="P74">
        <v>195.89398199999999</v>
      </c>
      <c r="Q74">
        <v>203.03289799999999</v>
      </c>
      <c r="R74">
        <v>210.13864100000001</v>
      </c>
      <c r="S74">
        <v>217.38432299999999</v>
      </c>
      <c r="T74">
        <v>225.68609599999999</v>
      </c>
      <c r="U74">
        <v>233.091736</v>
      </c>
      <c r="V74">
        <v>240.786224</v>
      </c>
      <c r="W74">
        <v>249.154785</v>
      </c>
      <c r="X74">
        <v>257.72683699999999</v>
      </c>
      <c r="Y74">
        <v>266.55618299999998</v>
      </c>
      <c r="Z74">
        <v>275.50720200000001</v>
      </c>
      <c r="AA74">
        <v>284.74224900000002</v>
      </c>
      <c r="AB74">
        <v>293.955872</v>
      </c>
      <c r="AC74">
        <v>303.72976699999998</v>
      </c>
      <c r="AD74">
        <v>313.75039700000002</v>
      </c>
      <c r="AE74">
        <v>323.86404399999998</v>
      </c>
      <c r="AF74">
        <v>334.302795</v>
      </c>
      <c r="AG74" s="26">
        <v>4.7E-2</v>
      </c>
    </row>
    <row r="75" spans="1:33" x14ac:dyDescent="0.75">
      <c r="A75" t="s">
        <v>159</v>
      </c>
      <c r="B75" t="s">
        <v>158</v>
      </c>
      <c r="C75" t="s">
        <v>157</v>
      </c>
      <c r="D75" t="s">
        <v>156</v>
      </c>
      <c r="F75">
        <v>0</v>
      </c>
      <c r="G75">
        <v>10.312381999999999</v>
      </c>
      <c r="H75">
        <v>20.543445999999999</v>
      </c>
      <c r="I75">
        <v>28.084707000000002</v>
      </c>
      <c r="J75">
        <v>35.756950000000003</v>
      </c>
      <c r="K75">
        <v>44.212059000000004</v>
      </c>
      <c r="L75">
        <v>53.703594000000002</v>
      </c>
      <c r="M75">
        <v>64.485305999999994</v>
      </c>
      <c r="N75">
        <v>74.860579999999999</v>
      </c>
      <c r="O75">
        <v>85.958031000000005</v>
      </c>
      <c r="P75">
        <v>95.701499999999996</v>
      </c>
      <c r="Q75">
        <v>102.84468099999999</v>
      </c>
      <c r="R75">
        <v>109.95450599999999</v>
      </c>
      <c r="S75">
        <v>117.204544</v>
      </c>
      <c r="T75">
        <v>125.510406</v>
      </c>
      <c r="U75">
        <v>132.91944899999999</v>
      </c>
      <c r="V75">
        <v>140.61717200000001</v>
      </c>
      <c r="W75">
        <v>148.989746</v>
      </c>
      <c r="X75">
        <v>157.56578099999999</v>
      </c>
      <c r="Y75">
        <v>166.399384</v>
      </c>
      <c r="Z75">
        <v>175.35408000000001</v>
      </c>
      <c r="AA75">
        <v>184.59350599999999</v>
      </c>
      <c r="AB75">
        <v>193.811386</v>
      </c>
      <c r="AC75">
        <v>203.58947800000001</v>
      </c>
      <c r="AD75">
        <v>213.61462399999999</v>
      </c>
      <c r="AE75">
        <v>223.733093</v>
      </c>
      <c r="AF75">
        <v>234.176682</v>
      </c>
      <c r="AG75" t="s">
        <v>34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B3"/>
  <sheetViews>
    <sheetView workbookViewId="0">
      <selection activeCell="B2" sqref="B2"/>
    </sheetView>
  </sheetViews>
  <sheetFormatPr defaultColWidth="9.1328125" defaultRowHeight="14.75" x14ac:dyDescent="0.75"/>
  <cols>
    <col min="1" max="1" width="11.40625" customWidth="1"/>
    <col min="2" max="2" width="12.40625" customWidth="1"/>
  </cols>
  <sheetData>
    <row r="1" spans="1:2" x14ac:dyDescent="0.75">
      <c r="A1" s="8" t="s">
        <v>121</v>
      </c>
      <c r="B1" t="s">
        <v>122</v>
      </c>
    </row>
    <row r="2" spans="1:2" x14ac:dyDescent="0.75">
      <c r="A2" t="s">
        <v>124</v>
      </c>
      <c r="B2">
        <f>'AEO 2025 Table 9'!F14*gigwatts_to_megawatts</f>
        <v>20295.507000000001</v>
      </c>
    </row>
    <row r="3" spans="1:2" x14ac:dyDescent="0.75">
      <c r="B3" s="4"/>
    </row>
  </sheetData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75C28-B52F-4DAC-B5FC-A0EDB4410349}">
  <sheetPr>
    <tabColor theme="3"/>
  </sheetPr>
  <dimension ref="A1:B2"/>
  <sheetViews>
    <sheetView workbookViewId="0">
      <selection activeCell="C23" sqref="C23"/>
    </sheetView>
  </sheetViews>
  <sheetFormatPr defaultRowHeight="14.75" x14ac:dyDescent="0.75"/>
  <cols>
    <col min="1" max="1" width="28.1328125" customWidth="1"/>
  </cols>
  <sheetData>
    <row r="1" spans="1:2" x14ac:dyDescent="0.75">
      <c r="A1" s="8" t="s">
        <v>148</v>
      </c>
      <c r="B1" s="24" t="s">
        <v>150</v>
      </c>
    </row>
    <row r="2" spans="1:2" ht="29.5" x14ac:dyDescent="0.75">
      <c r="A2" s="20" t="s">
        <v>149</v>
      </c>
      <c r="B2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About</vt:lpstr>
      <vt:lpstr>AEO Table 9 (2019)</vt:lpstr>
      <vt:lpstr>AEO 2025 Table 9</vt:lpstr>
      <vt:lpstr>SYGBSC</vt:lpstr>
      <vt:lpstr>GBDSD</vt:lpstr>
      <vt:lpstr>gigwatts_to_megawatts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2014-08-26T20:23:01Z</dcterms:created>
  <dcterms:modified xsi:type="dcterms:W3CDTF">2025-12-19T20:45:51Z</dcterms:modified>
</cp:coreProperties>
</file>