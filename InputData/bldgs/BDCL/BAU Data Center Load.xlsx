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RobbieOrvis\Models\EPS Structure Research\eps-us-dc-replay\InputData\bldgs\BDCL\"/>
    </mc:Choice>
  </mc:AlternateContent>
  <xr:revisionPtr revIDLastSave="0" documentId="13_ncr:1_{89127F1B-F7AB-4943-BC98-04DFDAE3683D}" xr6:coauthVersionLast="47" xr6:coauthVersionMax="47" xr10:uidLastSave="{00000000-0000-0000-0000-000000000000}"/>
  <bookViews>
    <workbookView xWindow="-120" yWindow="-120" windowWidth="57840" windowHeight="23520" activeTab="2" xr2:uid="{00000000-000D-0000-FFFF-FFFF00000000}"/>
  </bookViews>
  <sheets>
    <sheet name="About" sheetId="1" r:id="rId1"/>
    <sheet name="Low_Mid_High Scenarios" sheetId="10" r:id="rId2"/>
    <sheet name="End Use Split" sheetId="34" r:id="rId3"/>
    <sheet name="EPRI" sheetId="31" r:id="rId4"/>
    <sheet name="IEA" sheetId="32" r:id="rId5"/>
    <sheet name="AEO 2026 Table 5" sheetId="33" r:id="rId6"/>
    <sheet name="Evolved Energy ADP 2024" sheetId="18" r:id="rId7"/>
    <sheet name="BDCL-low" sheetId="6" r:id="rId8"/>
    <sheet name="BDCL-mid" sheetId="2" r:id="rId9"/>
    <sheet name="BDCL-high" sheetId="7" r:id="rId10"/>
  </sheets>
  <externalReferences>
    <externalReference r:id="rId11"/>
  </externalReferences>
  <definedNames>
    <definedName name="Fraction_coal">[1]About!$C$53</definedName>
    <definedName name="gal_per_barrel">#REF!</definedName>
    <definedName name="Percent_rural">[1]About!$A$75</definedName>
    <definedName name="Percent_urban">[1]About!$A$74</definedName>
    <definedName name="quadrillion">[1]About!$B$77</definedName>
    <definedName name="Table4">#REF!</definedName>
    <definedName name="Table4_1">#REF!</definedName>
    <definedName name="Table4_1_22">#REF!</definedName>
    <definedName name="Table4_22">#REF!</definedName>
    <definedName name="Table4_A">#REF!</definedName>
    <definedName name="Table4_A_22">#REF!</definedName>
    <definedName name="Table5">#REF!</definedName>
    <definedName name="Table5_1">#REF!</definedName>
    <definedName name="Table5_1_22">#REF!</definedName>
    <definedName name="Table5_22">#REF!</definedName>
    <definedName name="Table5_A">#REF!</definedName>
    <definedName name="Table5_A_2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C6" i="7"/>
  <c r="D6" i="7"/>
  <c r="E6" i="7"/>
  <c r="F6" i="7"/>
  <c r="G6" i="7"/>
  <c r="H6" i="7"/>
  <c r="I6" i="7"/>
  <c r="J6" i="7"/>
  <c r="K6" i="7"/>
  <c r="L6" i="7"/>
  <c r="M6" i="7"/>
  <c r="N6" i="7"/>
  <c r="O6" i="7"/>
  <c r="P6" i="7"/>
  <c r="Q6" i="7"/>
  <c r="R6" i="7"/>
  <c r="S6" i="7"/>
  <c r="T6" i="7"/>
  <c r="U6" i="7"/>
  <c r="V6" i="7"/>
  <c r="W6" i="7"/>
  <c r="X6" i="7"/>
  <c r="Y6" i="7"/>
  <c r="Z6" i="7"/>
  <c r="AA6" i="7"/>
  <c r="AB6" i="7"/>
  <c r="B5" i="7"/>
  <c r="C5" i="7"/>
  <c r="D5" i="7"/>
  <c r="E5" i="7"/>
  <c r="F5" i="7"/>
  <c r="G5" i="7"/>
  <c r="H5" i="7"/>
  <c r="I5" i="7"/>
  <c r="J5" i="7"/>
  <c r="K5" i="7"/>
  <c r="L5" i="7"/>
  <c r="M5" i="7"/>
  <c r="N5" i="7"/>
  <c r="O5" i="7"/>
  <c r="P5" i="7"/>
  <c r="Q5" i="7"/>
  <c r="R5" i="7"/>
  <c r="S5" i="7"/>
  <c r="T5" i="7"/>
  <c r="U5" i="7"/>
  <c r="V5" i="7"/>
  <c r="W5" i="7"/>
  <c r="X5" i="7"/>
  <c r="Y5" i="7"/>
  <c r="Z5" i="7"/>
  <c r="AA5" i="7"/>
  <c r="AB5" i="7"/>
  <c r="B4" i="7"/>
  <c r="C4" i="7"/>
  <c r="D4" i="7"/>
  <c r="E4" i="7"/>
  <c r="F4" i="7"/>
  <c r="G4" i="7"/>
  <c r="H4" i="7"/>
  <c r="I4" i="7"/>
  <c r="J4" i="7"/>
  <c r="K4" i="7"/>
  <c r="L4" i="7"/>
  <c r="M4" i="7"/>
  <c r="N4" i="7"/>
  <c r="O4" i="7"/>
  <c r="P4" i="7"/>
  <c r="Q4" i="7"/>
  <c r="R4" i="7"/>
  <c r="S4" i="7"/>
  <c r="T4" i="7"/>
  <c r="U4" i="7"/>
  <c r="V4" i="7"/>
  <c r="W4" i="7"/>
  <c r="X4" i="7"/>
  <c r="Y4" i="7"/>
  <c r="Z4" i="7"/>
  <c r="AA4" i="7"/>
  <c r="AB4" i="7"/>
  <c r="B2" i="7"/>
  <c r="C2" i="7"/>
  <c r="D2" i="7"/>
  <c r="E2" i="7"/>
  <c r="F2" i="7"/>
  <c r="G2" i="7"/>
  <c r="H2" i="7"/>
  <c r="I2" i="7"/>
  <c r="J2" i="7"/>
  <c r="K2" i="7"/>
  <c r="L2" i="7"/>
  <c r="M2" i="7"/>
  <c r="N2" i="7"/>
  <c r="O2" i="7"/>
  <c r="P2" i="7"/>
  <c r="Q2" i="7"/>
  <c r="R2" i="7"/>
  <c r="S2" i="7"/>
  <c r="T2" i="7"/>
  <c r="U2" i="7"/>
  <c r="V2" i="7"/>
  <c r="W2" i="7"/>
  <c r="X2" i="7"/>
  <c r="Y2" i="7"/>
  <c r="Z2" i="7"/>
  <c r="AA2" i="7"/>
  <c r="AB2" i="7"/>
  <c r="B6" i="2"/>
  <c r="C6" i="2"/>
  <c r="D6" i="2"/>
  <c r="E6" i="2"/>
  <c r="F6" i="2"/>
  <c r="G6" i="2"/>
  <c r="H6" i="2"/>
  <c r="I6" i="2"/>
  <c r="J6" i="2"/>
  <c r="K6" i="2"/>
  <c r="L6" i="2"/>
  <c r="M6" i="2"/>
  <c r="N6" i="2"/>
  <c r="O6" i="2"/>
  <c r="P6" i="2"/>
  <c r="Q6" i="2"/>
  <c r="R6" i="2"/>
  <c r="S6" i="2"/>
  <c r="T6" i="2"/>
  <c r="U6" i="2"/>
  <c r="V6" i="2"/>
  <c r="W6" i="2"/>
  <c r="X6" i="2"/>
  <c r="Y6" i="2"/>
  <c r="Z6" i="2"/>
  <c r="AA6" i="2"/>
  <c r="AB6" i="2"/>
  <c r="B5" i="2"/>
  <c r="C5" i="2"/>
  <c r="D5" i="2"/>
  <c r="E5" i="2"/>
  <c r="F5" i="2"/>
  <c r="G5" i="2"/>
  <c r="H5" i="2"/>
  <c r="I5" i="2"/>
  <c r="J5" i="2"/>
  <c r="K5" i="2"/>
  <c r="L5" i="2"/>
  <c r="M5" i="2"/>
  <c r="N5" i="2"/>
  <c r="O5" i="2"/>
  <c r="P5" i="2"/>
  <c r="Q5" i="2"/>
  <c r="R5" i="2"/>
  <c r="S5" i="2"/>
  <c r="T5" i="2"/>
  <c r="U5" i="2"/>
  <c r="V5" i="2"/>
  <c r="W5" i="2"/>
  <c r="X5" i="2"/>
  <c r="Y5" i="2"/>
  <c r="Z5" i="2"/>
  <c r="AA5" i="2"/>
  <c r="AB5" i="2"/>
  <c r="B4" i="2"/>
  <c r="C4" i="2"/>
  <c r="D4" i="2"/>
  <c r="E4" i="2"/>
  <c r="F4" i="2"/>
  <c r="G4" i="2"/>
  <c r="H4" i="2"/>
  <c r="I4" i="2"/>
  <c r="J4" i="2"/>
  <c r="K4" i="2"/>
  <c r="L4" i="2"/>
  <c r="M4" i="2"/>
  <c r="N4" i="2"/>
  <c r="O4" i="2"/>
  <c r="P4" i="2"/>
  <c r="Q4" i="2"/>
  <c r="R4" i="2"/>
  <c r="S4" i="2"/>
  <c r="T4" i="2"/>
  <c r="U4" i="2"/>
  <c r="V4" i="2"/>
  <c r="W4" i="2"/>
  <c r="X4" i="2"/>
  <c r="Y4" i="2"/>
  <c r="Z4" i="2"/>
  <c r="AA4" i="2"/>
  <c r="AB4" i="2"/>
  <c r="B2" i="2"/>
  <c r="C2" i="2"/>
  <c r="D2" i="2"/>
  <c r="E2" i="2"/>
  <c r="F2" i="2"/>
  <c r="G2" i="2"/>
  <c r="H2" i="2"/>
  <c r="I2" i="2"/>
  <c r="J2" i="2"/>
  <c r="K2" i="2"/>
  <c r="L2" i="2"/>
  <c r="M2" i="2"/>
  <c r="N2" i="2"/>
  <c r="O2" i="2"/>
  <c r="P2" i="2"/>
  <c r="Q2" i="2"/>
  <c r="R2" i="2"/>
  <c r="S2" i="2"/>
  <c r="T2" i="2"/>
  <c r="U2" i="2"/>
  <c r="V2" i="2"/>
  <c r="W2" i="2"/>
  <c r="X2" i="2"/>
  <c r="Y2" i="2"/>
  <c r="Z2" i="2"/>
  <c r="AA2" i="2"/>
  <c r="AB2" i="2"/>
  <c r="B6" i="6"/>
  <c r="C6" i="6"/>
  <c r="D6" i="6"/>
  <c r="E6" i="6"/>
  <c r="F6" i="6"/>
  <c r="G6" i="6"/>
  <c r="H6" i="6"/>
  <c r="I6" i="6"/>
  <c r="J6" i="6"/>
  <c r="K6" i="6"/>
  <c r="L6" i="6"/>
  <c r="M6" i="6"/>
  <c r="N6" i="6"/>
  <c r="O6" i="6"/>
  <c r="P6" i="6"/>
  <c r="Q6" i="6"/>
  <c r="R6" i="6"/>
  <c r="S6" i="6"/>
  <c r="T6" i="6"/>
  <c r="U6" i="6"/>
  <c r="V6" i="6"/>
  <c r="W6" i="6"/>
  <c r="X6" i="6"/>
  <c r="Y6" i="6"/>
  <c r="Z6" i="6"/>
  <c r="AA6" i="6"/>
  <c r="AB6" i="6"/>
  <c r="B5" i="6"/>
  <c r="C5" i="6"/>
  <c r="D5" i="6"/>
  <c r="E5" i="6"/>
  <c r="F5" i="6"/>
  <c r="G5" i="6"/>
  <c r="H5" i="6"/>
  <c r="I5" i="6"/>
  <c r="J5" i="6"/>
  <c r="K5" i="6"/>
  <c r="L5" i="6"/>
  <c r="M5" i="6"/>
  <c r="N5" i="6"/>
  <c r="O5" i="6"/>
  <c r="P5" i="6"/>
  <c r="Q5" i="6"/>
  <c r="R5" i="6"/>
  <c r="S5" i="6"/>
  <c r="T5" i="6"/>
  <c r="U5" i="6"/>
  <c r="V5" i="6"/>
  <c r="W5" i="6"/>
  <c r="X5" i="6"/>
  <c r="Y5" i="6"/>
  <c r="Z5" i="6"/>
  <c r="AA5" i="6"/>
  <c r="AB5" i="6"/>
  <c r="B4" i="6"/>
  <c r="C4" i="6"/>
  <c r="D4" i="6"/>
  <c r="E4" i="6"/>
  <c r="F4" i="6"/>
  <c r="G4" i="6"/>
  <c r="H4" i="6"/>
  <c r="I4" i="6"/>
  <c r="J4" i="6"/>
  <c r="K4" i="6"/>
  <c r="L4" i="6"/>
  <c r="M4" i="6"/>
  <c r="N4" i="6"/>
  <c r="O4" i="6"/>
  <c r="P4" i="6"/>
  <c r="Q4" i="6"/>
  <c r="R4" i="6"/>
  <c r="S4" i="6"/>
  <c r="T4" i="6"/>
  <c r="U4" i="6"/>
  <c r="V4" i="6"/>
  <c r="W4" i="6"/>
  <c r="X4" i="6"/>
  <c r="Y4" i="6"/>
  <c r="Z4" i="6"/>
  <c r="AA4" i="6"/>
  <c r="AB4" i="6"/>
  <c r="B2" i="6"/>
  <c r="C2" i="6"/>
  <c r="D2" i="6"/>
  <c r="E2" i="6"/>
  <c r="F2" i="6"/>
  <c r="G2" i="6"/>
  <c r="H2" i="6"/>
  <c r="I2" i="6"/>
  <c r="J2" i="6"/>
  <c r="K2" i="6"/>
  <c r="L2" i="6"/>
  <c r="M2" i="6"/>
  <c r="N2" i="6"/>
  <c r="O2" i="6"/>
  <c r="P2" i="6"/>
  <c r="Q2" i="6"/>
  <c r="R2" i="6"/>
  <c r="S2" i="6"/>
  <c r="T2" i="6"/>
  <c r="U2" i="6"/>
  <c r="V2" i="6"/>
  <c r="W2" i="6"/>
  <c r="X2" i="6"/>
  <c r="Y2" i="6"/>
  <c r="Z2" i="6"/>
  <c r="AA2" i="6"/>
  <c r="AB2" i="6"/>
  <c r="B10" i="34"/>
  <c r="C10" i="34"/>
  <c r="D10" i="34"/>
  <c r="E10" i="34"/>
  <c r="F10" i="34"/>
  <c r="G10" i="34"/>
  <c r="H10" i="34"/>
  <c r="I10" i="34"/>
  <c r="J10" i="34"/>
  <c r="K10" i="34"/>
  <c r="L10" i="34"/>
  <c r="M10" i="34"/>
  <c r="N10" i="34"/>
  <c r="O10" i="34"/>
  <c r="P10" i="34"/>
  <c r="Q10" i="34"/>
  <c r="R10" i="34"/>
  <c r="S10" i="34"/>
  <c r="T10" i="34"/>
  <c r="U10" i="34"/>
  <c r="V10" i="34"/>
  <c r="W10" i="34"/>
  <c r="X10" i="34"/>
  <c r="Y10" i="34"/>
  <c r="Z10" i="34"/>
  <c r="AA10" i="34"/>
  <c r="AB10" i="34"/>
  <c r="G26" i="31"/>
  <c r="G25" i="31"/>
  <c r="G24" i="31"/>
  <c r="G23" i="31"/>
  <c r="G22" i="31"/>
  <c r="G19" i="31"/>
  <c r="G18" i="31"/>
  <c r="G17" i="31"/>
  <c r="G16" i="31"/>
  <c r="G15" i="31"/>
  <c r="G12" i="31"/>
  <c r="G11" i="31"/>
  <c r="G10" i="31"/>
  <c r="G9" i="31"/>
  <c r="G8" i="31"/>
  <c r="C5" i="10"/>
  <c r="C4" i="10"/>
  <c r="C3" i="10"/>
  <c r="C6" i="10"/>
  <c r="B3" i="10"/>
  <c r="D23" i="10"/>
  <c r="E23" i="10"/>
  <c r="F23" i="10"/>
  <c r="G23" i="10"/>
  <c r="C23" i="10"/>
  <c r="C31" i="10" s="1"/>
  <c r="H30" i="10"/>
  <c r="H31" i="10" s="1"/>
  <c r="H26" i="10"/>
  <c r="C4" i="18"/>
  <c r="C22" i="10" s="1"/>
  <c r="C27" i="10" s="1"/>
  <c r="B11" i="34" l="1"/>
  <c r="B12" i="34"/>
  <c r="C11" i="34"/>
  <c r="C12" i="34"/>
  <c r="D12" i="34"/>
  <c r="D11" i="34"/>
  <c r="E11" i="34"/>
  <c r="E12" i="34"/>
  <c r="F11" i="34"/>
  <c r="F12" i="34"/>
  <c r="G11" i="34"/>
  <c r="G12" i="34"/>
  <c r="H12" i="34"/>
  <c r="H11" i="34"/>
  <c r="I11" i="34"/>
  <c r="I12" i="34"/>
  <c r="J12" i="34"/>
  <c r="J11" i="34"/>
  <c r="K12" i="34"/>
  <c r="K11" i="34"/>
  <c r="L12" i="34"/>
  <c r="L11" i="34"/>
  <c r="M12" i="34"/>
  <c r="M11" i="34"/>
  <c r="N11" i="34"/>
  <c r="N12" i="34"/>
  <c r="O11" i="34"/>
  <c r="O12" i="34"/>
  <c r="P11" i="34"/>
  <c r="P12" i="34"/>
  <c r="Q12" i="34"/>
  <c r="Q11" i="34"/>
  <c r="R11" i="34"/>
  <c r="R12" i="34"/>
  <c r="S12" i="34"/>
  <c r="S11" i="34"/>
  <c r="T11" i="34"/>
  <c r="T12" i="34"/>
  <c r="U11" i="34"/>
  <c r="U12" i="34"/>
  <c r="V12" i="34"/>
  <c r="V11" i="34"/>
  <c r="W12" i="34"/>
  <c r="W11" i="34"/>
  <c r="X11" i="34"/>
  <c r="X12" i="34"/>
  <c r="Y11" i="34"/>
  <c r="Y12" i="34"/>
  <c r="Z11" i="34"/>
  <c r="Z12" i="34"/>
  <c r="AA12" i="34"/>
  <c r="AA11" i="34"/>
  <c r="AB12" i="34"/>
  <c r="AB11" i="34"/>
  <c r="D5" i="10" a="1"/>
  <c r="C3" i="7"/>
  <c r="C7" i="7"/>
  <c r="D4" i="10" a="1"/>
  <c r="C7" i="2"/>
  <c r="C3" i="2"/>
  <c r="D3" i="10" a="1"/>
  <c r="C7" i="6"/>
  <c r="C3" i="6"/>
  <c r="B7" i="6"/>
  <c r="B3" i="6"/>
  <c r="F31" i="10" a="1"/>
  <c r="G31" i="10" a="1"/>
  <c r="E31" i="10" a="1"/>
  <c r="D31" i="10" a="1"/>
  <c r="I26" i="10"/>
  <c r="I30" i="10"/>
  <c r="G3" i="7" l="1"/>
  <c r="E7" i="7"/>
  <c r="D7" i="7"/>
  <c r="H3" i="7"/>
  <c r="F3" i="7"/>
  <c r="F7" i="7"/>
  <c r="G7" i="7"/>
  <c r="H7" i="7"/>
  <c r="E3" i="7"/>
  <c r="D3" i="7"/>
  <c r="G6" i="10"/>
  <c r="E6" i="10"/>
  <c r="G7" i="2"/>
  <c r="F7" i="2"/>
  <c r="H3" i="2"/>
  <c r="G3" i="2"/>
  <c r="F3" i="2"/>
  <c r="E3" i="2"/>
  <c r="D3" i="2"/>
  <c r="H7" i="2"/>
  <c r="F6" i="10"/>
  <c r="H6" i="10"/>
  <c r="D7" i="2"/>
  <c r="E7" i="2"/>
  <c r="H3" i="6"/>
  <c r="G3" i="6"/>
  <c r="F3" i="6"/>
  <c r="E3" i="6"/>
  <c r="D3" i="6"/>
  <c r="I3" i="10"/>
  <c r="H7" i="6"/>
  <c r="G7" i="6"/>
  <c r="F7" i="6"/>
  <c r="E7" i="6"/>
  <c r="D7" i="6"/>
  <c r="D6" i="10"/>
  <c r="J26" i="10"/>
  <c r="J30" i="10"/>
  <c r="I31" i="10" a="1"/>
  <c r="I5" i="10" s="1"/>
  <c r="I3" i="6" l="1"/>
  <c r="I7" i="6"/>
  <c r="J3" i="10"/>
  <c r="I7" i="7"/>
  <c r="I3" i="7"/>
  <c r="K26" i="10"/>
  <c r="J31" i="10" a="1"/>
  <c r="J5" i="10" s="1"/>
  <c r="K30" i="10"/>
  <c r="I32" i="10"/>
  <c r="H32" i="10" s="1"/>
  <c r="G32" i="10" s="1"/>
  <c r="F32" i="10" s="1"/>
  <c r="E32" i="10" s="1"/>
  <c r="D32" i="10" s="1"/>
  <c r="C32" i="10" s="1"/>
  <c r="J3" i="6" l="1"/>
  <c r="J7" i="6"/>
  <c r="K3" i="10"/>
  <c r="J7" i="7"/>
  <c r="J3" i="7"/>
  <c r="L26" i="10"/>
  <c r="J32" i="10"/>
  <c r="K31" i="10" a="1"/>
  <c r="K5" i="10" s="1"/>
  <c r="L30" i="10"/>
  <c r="K3" i="6" l="1"/>
  <c r="K7" i="6"/>
  <c r="L3" i="10"/>
  <c r="K7" i="7"/>
  <c r="K3" i="7"/>
  <c r="M26" i="10"/>
  <c r="K32" i="10"/>
  <c r="L31" i="10" a="1"/>
  <c r="L5" i="10" s="1"/>
  <c r="M30" i="10"/>
  <c r="L3" i="6" l="1"/>
  <c r="L7" i="6"/>
  <c r="M3" i="10"/>
  <c r="L7" i="7"/>
  <c r="L3" i="7"/>
  <c r="M31" i="10"/>
  <c r="M32" i="10" s="1"/>
  <c r="N30" i="10"/>
  <c r="N26" i="10"/>
  <c r="L32" i="10"/>
  <c r="M3" i="6" l="1"/>
  <c r="M7" i="6"/>
  <c r="N3" i="10"/>
  <c r="M5" i="10"/>
  <c r="O26" i="10"/>
  <c r="O30" i="10"/>
  <c r="N31" i="10" a="1"/>
  <c r="N32" i="10" s="1"/>
  <c r="B4" i="10"/>
  <c r="B5" i="10"/>
  <c r="N3" i="6" l="1"/>
  <c r="N7" i="6"/>
  <c r="O3" i="10"/>
  <c r="M7" i="7"/>
  <c r="M3" i="7"/>
  <c r="B7" i="2"/>
  <c r="B3" i="2"/>
  <c r="B7" i="7"/>
  <c r="B3" i="7"/>
  <c r="N5" i="10"/>
  <c r="P26" i="10"/>
  <c r="O31" i="10" a="1"/>
  <c r="O32" i="10" s="1"/>
  <c r="P30" i="10"/>
  <c r="G4" i="18"/>
  <c r="G22" i="10" s="1"/>
  <c r="F4" i="18"/>
  <c r="F22" i="10" s="1"/>
  <c r="E4" i="18"/>
  <c r="E22" i="10" s="1"/>
  <c r="D4" i="18"/>
  <c r="D22" i="10" s="1"/>
  <c r="D3" i="18"/>
  <c r="O3" i="6" l="1"/>
  <c r="O7" i="6"/>
  <c r="P3" i="10"/>
  <c r="N7" i="7"/>
  <c r="N3" i="7"/>
  <c r="O27" i="10" a="1"/>
  <c r="N27" i="10" a="1"/>
  <c r="N28" i="10" s="1"/>
  <c r="M27" i="10"/>
  <c r="L27" i="10" a="1"/>
  <c r="K27" i="10" a="1"/>
  <c r="J27" i="10" a="1"/>
  <c r="I27" i="10" a="1"/>
  <c r="G27" i="10" a="1"/>
  <c r="D27" i="10" a="1"/>
  <c r="E27" i="10" a="1"/>
  <c r="F27" i="10" a="1"/>
  <c r="H27" i="10"/>
  <c r="O5" i="10"/>
  <c r="Q30" i="10"/>
  <c r="P31" i="10" a="1"/>
  <c r="P32" i="10" s="1"/>
  <c r="Q26" i="10"/>
  <c r="P27" i="10" a="1"/>
  <c r="C2" i="10"/>
  <c r="P3" i="6" l="1"/>
  <c r="P7" i="6"/>
  <c r="Q3" i="10"/>
  <c r="I28" i="10"/>
  <c r="H28" i="10" s="1"/>
  <c r="G28" i="10" s="1"/>
  <c r="F28" i="10" s="1"/>
  <c r="E28" i="10" s="1"/>
  <c r="D28" i="10" s="1"/>
  <c r="I4" i="10"/>
  <c r="O28" i="10"/>
  <c r="P28" i="10"/>
  <c r="M28" i="10"/>
  <c r="L28" i="10"/>
  <c r="K28" i="10"/>
  <c r="J28" i="10"/>
  <c r="O7" i="7"/>
  <c r="O3" i="7"/>
  <c r="P5" i="10"/>
  <c r="R26" i="10"/>
  <c r="Q27" i="10" a="1"/>
  <c r="Q28" i="10" s="1"/>
  <c r="R30" i="10"/>
  <c r="Q31" i="10" a="1"/>
  <c r="Q32" i="10" s="1"/>
  <c r="D2" i="10"/>
  <c r="Q3" i="6" l="1"/>
  <c r="Q7" i="6"/>
  <c r="R3" i="10"/>
  <c r="J4" i="10"/>
  <c r="I6" i="10"/>
  <c r="I3" i="2"/>
  <c r="I7" i="2"/>
  <c r="P7" i="7"/>
  <c r="P3" i="7"/>
  <c r="Q5" i="10"/>
  <c r="R31" i="10"/>
  <c r="R32" i="10" s="1"/>
  <c r="S30" i="10"/>
  <c r="R27" i="10"/>
  <c r="R28" i="10" s="1"/>
  <c r="S26" i="10"/>
  <c r="E2" i="10"/>
  <c r="R3" i="6" l="1"/>
  <c r="R7" i="6"/>
  <c r="S3" i="10"/>
  <c r="J6" i="10"/>
  <c r="K4" i="10"/>
  <c r="J3" i="2"/>
  <c r="J7" i="2"/>
  <c r="Q7" i="7"/>
  <c r="Q3" i="7"/>
  <c r="R5" i="10"/>
  <c r="S31" i="10" a="1"/>
  <c r="S32" i="10" s="1"/>
  <c r="T30" i="10"/>
  <c r="T26" i="10"/>
  <c r="S27" i="10" a="1"/>
  <c r="S28" i="10" s="1"/>
  <c r="F2" i="10"/>
  <c r="S3" i="6" l="1"/>
  <c r="S7" i="6"/>
  <c r="T3" i="10"/>
  <c r="L4" i="10"/>
  <c r="K6" i="10"/>
  <c r="K3" i="2"/>
  <c r="K7" i="2"/>
  <c r="R7" i="7"/>
  <c r="R3" i="7"/>
  <c r="S5" i="10"/>
  <c r="T27" i="10" a="1"/>
  <c r="T28" i="10" s="1"/>
  <c r="U26" i="10"/>
  <c r="T31" i="10" a="1"/>
  <c r="T32" i="10" s="1"/>
  <c r="U30" i="10"/>
  <c r="G2" i="10"/>
  <c r="T3" i="6" l="1"/>
  <c r="T7" i="6"/>
  <c r="U3" i="10"/>
  <c r="L6" i="10"/>
  <c r="M4" i="10"/>
  <c r="L3" i="2"/>
  <c r="L7" i="2"/>
  <c r="S7" i="7"/>
  <c r="S3" i="7"/>
  <c r="T5" i="10"/>
  <c r="V30" i="10"/>
  <c r="U31" i="10" a="1"/>
  <c r="U32" i="10" s="1"/>
  <c r="U27" i="10" a="1"/>
  <c r="U28" i="10" s="1"/>
  <c r="V26" i="10"/>
  <c r="H2" i="10"/>
  <c r="U3" i="6" l="1"/>
  <c r="U7" i="6"/>
  <c r="V3" i="10"/>
  <c r="N4" i="10"/>
  <c r="M6" i="10"/>
  <c r="M3" i="2"/>
  <c r="M7" i="2"/>
  <c r="T7" i="7"/>
  <c r="T3" i="7"/>
  <c r="U5" i="10"/>
  <c r="V27" i="10" a="1"/>
  <c r="V28" i="10" s="1"/>
  <c r="W26" i="10"/>
  <c r="W30" i="10"/>
  <c r="V31" i="10" a="1"/>
  <c r="V32" i="10" s="1"/>
  <c r="I2" i="10"/>
  <c r="V3" i="6" l="1"/>
  <c r="V7" i="6"/>
  <c r="W3" i="10"/>
  <c r="N6" i="10"/>
  <c r="O4" i="10"/>
  <c r="N3" i="2"/>
  <c r="N7" i="2"/>
  <c r="U7" i="7"/>
  <c r="U3" i="7"/>
  <c r="V5" i="10"/>
  <c r="X30" i="10"/>
  <c r="W31" i="10" a="1"/>
  <c r="W32" i="10" s="1"/>
  <c r="W27" i="10" a="1"/>
  <c r="W28" i="10" s="1"/>
  <c r="X26" i="10"/>
  <c r="J2" i="10"/>
  <c r="W3" i="6" l="1"/>
  <c r="W7" i="6"/>
  <c r="X3" i="10"/>
  <c r="O6" i="10"/>
  <c r="P4" i="10"/>
  <c r="O3" i="2"/>
  <c r="O7" i="2"/>
  <c r="V7" i="7"/>
  <c r="V3" i="7"/>
  <c r="W5" i="10"/>
  <c r="X31" i="10" a="1"/>
  <c r="X32" i="10" s="1"/>
  <c r="Y30" i="10"/>
  <c r="X27" i="10" a="1"/>
  <c r="X28" i="10" s="1"/>
  <c r="Y26" i="10"/>
  <c r="K2" i="10"/>
  <c r="L2" i="10" s="1"/>
  <c r="M2" i="10" s="1"/>
  <c r="N2" i="10" s="1"/>
  <c r="O2" i="10" s="1"/>
  <c r="P2" i="10" s="1"/>
  <c r="Q2" i="10" s="1"/>
  <c r="R2" i="10" s="1"/>
  <c r="S2" i="10" s="1"/>
  <c r="T2" i="10" s="1"/>
  <c r="U2" i="10" s="1"/>
  <c r="V2" i="10" s="1"/>
  <c r="W2" i="10" s="1"/>
  <c r="X2" i="10" s="1"/>
  <c r="Y2" i="10" s="1"/>
  <c r="Z2" i="10" s="1"/>
  <c r="AA2" i="10" s="1"/>
  <c r="AB2" i="10" s="1"/>
  <c r="X3" i="6" l="1"/>
  <c r="X7" i="6"/>
  <c r="Y3" i="10"/>
  <c r="P6" i="10"/>
  <c r="Q4" i="10"/>
  <c r="P3" i="2"/>
  <c r="P7" i="2"/>
  <c r="W7" i="7"/>
  <c r="W3" i="7"/>
  <c r="X5" i="10"/>
  <c r="Z26" i="10"/>
  <c r="Y27" i="10" a="1"/>
  <c r="Y28" i="10" s="1"/>
  <c r="Y31" i="10" a="1"/>
  <c r="Y32" i="10" s="1"/>
  <c r="Z30" i="10"/>
  <c r="Y3" i="6" l="1"/>
  <c r="Y7" i="6"/>
  <c r="Z3" i="10"/>
  <c r="Q6" i="10"/>
  <c r="R4" i="10"/>
  <c r="Q3" i="2"/>
  <c r="Q7" i="2"/>
  <c r="X7" i="7"/>
  <c r="X3" i="7"/>
  <c r="Y5" i="10"/>
  <c r="Z31" i="10" a="1"/>
  <c r="Z32" i="10" s="1"/>
  <c r="AA30" i="10"/>
  <c r="AA26" i="10"/>
  <c r="Z27" i="10" a="1"/>
  <c r="Z28" i="10" s="1"/>
  <c r="Z3" i="6" l="1"/>
  <c r="Z7" i="6"/>
  <c r="AA3" i="10"/>
  <c r="S4" i="10"/>
  <c r="R6" i="10"/>
  <c r="R3" i="2"/>
  <c r="R7" i="2"/>
  <c r="Y7" i="7"/>
  <c r="Y3" i="7"/>
  <c r="Z5" i="10"/>
  <c r="AA27" i="10" a="1"/>
  <c r="AA28" i="10" s="1"/>
  <c r="AB26" i="10"/>
  <c r="AB27" i="10" s="1"/>
  <c r="AB30" i="10"/>
  <c r="AB31" i="10" s="1"/>
  <c r="AA31" i="10" a="1"/>
  <c r="AA32" i="10" s="1"/>
  <c r="AA7" i="6" l="1"/>
  <c r="AA3" i="6"/>
  <c r="AB3" i="10"/>
  <c r="S6" i="10"/>
  <c r="T4" i="10"/>
  <c r="S3" i="2"/>
  <c r="S7" i="2"/>
  <c r="Z7" i="7"/>
  <c r="Z3" i="7"/>
  <c r="AA5" i="10"/>
  <c r="AB28" i="10"/>
  <c r="AB32" i="10"/>
  <c r="AB3" i="6" l="1"/>
  <c r="AB7" i="6"/>
  <c r="T6" i="10"/>
  <c r="U4" i="10"/>
  <c r="T3" i="2"/>
  <c r="T7" i="2"/>
  <c r="AB5" i="10"/>
  <c r="AA7" i="7"/>
  <c r="AA3" i="7"/>
  <c r="U6" i="10" l="1"/>
  <c r="V4" i="10"/>
  <c r="U3" i="2"/>
  <c r="U7" i="2"/>
  <c r="AB3" i="7"/>
  <c r="AB7" i="7"/>
  <c r="W4" i="10" l="1"/>
  <c r="V6" i="10"/>
  <c r="V3" i="2"/>
  <c r="V7" i="2"/>
  <c r="W6" i="10" l="1"/>
  <c r="X4" i="10"/>
  <c r="W3" i="2"/>
  <c r="W7" i="2"/>
  <c r="X6" i="10" l="1"/>
  <c r="Y4" i="10"/>
  <c r="X3" i="2"/>
  <c r="X7" i="2"/>
  <c r="Y6" i="10" l="1"/>
  <c r="Z4" i="10"/>
  <c r="Y3" i="2"/>
  <c r="Y7" i="2"/>
  <c r="Z6" i="10" l="1"/>
  <c r="AA4" i="10"/>
  <c r="Z3" i="2"/>
  <c r="Z7" i="2"/>
  <c r="AA6" i="10" l="1"/>
  <c r="AB4" i="10"/>
  <c r="AA3" i="2"/>
  <c r="AA7" i="2"/>
  <c r="AB3" i="2" l="1"/>
  <c r="AB7" i="2"/>
  <c r="AB6"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<sst xmlns="http://schemas.openxmlformats.org/spreadsheetml/2006/main" count="990" uniqueCount="353">
  <si>
    <t>Year</t>
  </si>
  <si>
    <t>Scenario</t>
  </si>
  <si>
    <t>Sources:</t>
  </si>
  <si>
    <t>Notes on Data Center Load in AEO</t>
  </si>
  <si>
    <t>BDCL BAU Data Center Load</t>
  </si>
  <si>
    <t>Source</t>
  </si>
  <si>
    <t>mid</t>
  </si>
  <si>
    <t>growth rate</t>
  </si>
  <si>
    <t>low</t>
  </si>
  <si>
    <t>high</t>
  </si>
  <si>
    <t>use mid case growth trajectory from Evolved Energy</t>
  </si>
  <si>
    <t>Growth Rate Estimates</t>
  </si>
  <si>
    <t>evolved energy mid</t>
  </si>
  <si>
    <t>evolved energy high</t>
  </si>
  <si>
    <t>ADP</t>
  </si>
  <si>
    <t>ADP high</t>
  </si>
  <si>
    <t>AEO</t>
  </si>
  <si>
    <t>Full Time Series</t>
  </si>
  <si>
    <t>Link</t>
  </si>
  <si>
    <t>Projections</t>
  </si>
  <si>
    <t>Total</t>
  </si>
  <si>
    <r>
      <t>2024 Annual Decarbonization Perspective (</t>
    </r>
    <r>
      <rPr>
        <b/>
        <sz val="14"/>
        <color rgb="FF606060"/>
        <rFont val="Arial"/>
        <family val="2"/>
      </rPr>
      <t>ADP 2024</t>
    </r>
    <r>
      <rPr>
        <sz val="14"/>
        <color rgb="FF606060"/>
        <rFont val="Arial"/>
        <family val="2"/>
      </rPr>
      <t>)</t>
    </r>
  </si>
  <si>
    <t xml:space="preserve">https://www.evolved.energy/us-adp-2024 </t>
  </si>
  <si>
    <t>Current Policy</t>
  </si>
  <si>
    <t>To||Outputs Group Aggregate (group)</t>
  </si>
  <si>
    <t>Hydrogen Electrolysis</t>
  </si>
  <si>
    <t>% of Total SUM([Value])/1e3 along To||Outputs Group Aggregate (group)</t>
  </si>
  <si>
    <t>SUM([Value])/1e3</t>
  </si>
  <si>
    <t>Industrial Boilers</t>
  </si>
  <si>
    <t>Data Centers</t>
  </si>
  <si>
    <t>Other End-Use Loads</t>
  </si>
  <si>
    <t>Run Name</t>
  </si>
  <si>
    <t>Zone</t>
  </si>
  <si>
    <t>Latitude</t>
  </si>
  <si>
    <t>Longitude</t>
  </si>
  <si>
    <t>Value</t>
  </si>
  <si>
    <t>northwest_emm</t>
  </si>
  <si>
    <t>upper mississippi valley_emm</t>
  </si>
  <si>
    <t>northern great plains_emm</t>
  </si>
  <si>
    <t>michigan_emm</t>
  </si>
  <si>
    <t>new england_emm</t>
  </si>
  <si>
    <t>upstate new york_emm</t>
  </si>
  <si>
    <t>metropolitan chicago_emm</t>
  </si>
  <si>
    <t>great basin_emm</t>
  </si>
  <si>
    <t>metropolitan new york_emm</t>
  </si>
  <si>
    <t>rockies_emm</t>
  </si>
  <si>
    <t>mid-atlantic_emm</t>
  </si>
  <si>
    <t>ohio valley_emm</t>
  </si>
  <si>
    <t>middle mississippi valley_emm</t>
  </si>
  <si>
    <t>central great plains_emm</t>
  </si>
  <si>
    <t>northern california_emm</t>
  </si>
  <si>
    <t>virginia_emm</t>
  </si>
  <si>
    <t>tennessee valley_emm</t>
  </si>
  <si>
    <t>southern california_emm</t>
  </si>
  <si>
    <t>carolinas_emm</t>
  </si>
  <si>
    <t>southern great plains_emm</t>
  </si>
  <si>
    <t>southwest_emm</t>
  </si>
  <si>
    <t>mississippi delta_emm</t>
  </si>
  <si>
    <t>southeast_emm</t>
  </si>
  <si>
    <t>texas_emm</t>
  </si>
  <si>
    <t>florida_emm</t>
  </si>
  <si>
    <t>Low Demand Scenario</t>
  </si>
  <si>
    <t>EIA</t>
  </si>
  <si>
    <t>https://www.eia.gov/outlooks/aeo/</t>
  </si>
  <si>
    <t>Table 5</t>
  </si>
  <si>
    <t>Evolved Energy Research</t>
  </si>
  <si>
    <t>2024 U.S. Annual Decarbonization Perspective</t>
  </si>
  <si>
    <t>https://www.evolved.energy/us-adp-2024</t>
  </si>
  <si>
    <t>Table 5.  Commercial Sector Key Indicators and Consumption</t>
  </si>
  <si>
    <t>Source: U.S. Energy Information Administration</t>
  </si>
  <si>
    <t>full name</t>
  </si>
  <si>
    <t>api key</t>
  </si>
  <si>
    <t>units</t>
  </si>
  <si>
    <t>Key Indicators</t>
  </si>
  <si>
    <t>Total Floorspace (billion square feet)</t>
  </si>
  <si>
    <t>Surviving</t>
  </si>
  <si>
    <t>billion sq ft</t>
  </si>
  <si>
    <t>New Additions</t>
  </si>
  <si>
    <t>Energy Consumption Intensity</t>
  </si>
  <si>
    <t>(thousand Btu per square foot)</t>
  </si>
  <si>
    <t>Gross End-use Consumption</t>
  </si>
  <si>
    <t>thousand Btu/sq ft</t>
  </si>
  <si>
    <t>Delivered Energy Consumption</t>
  </si>
  <si>
    <t>Energy Consumption by Fuel</t>
  </si>
  <si>
    <t>Electricity</t>
  </si>
  <si>
    <t>Space Heating</t>
  </si>
  <si>
    <t>quads</t>
  </si>
  <si>
    <t>Water Heating</t>
  </si>
  <si>
    <t>Ventilation</t>
  </si>
  <si>
    <t>Cooking</t>
  </si>
  <si>
    <t>Lighting</t>
  </si>
  <si>
    <t>Refrigeration</t>
  </si>
  <si>
    <t>Other Uses</t>
  </si>
  <si>
    <t>Gross End-use Electricity Consumption</t>
  </si>
  <si>
    <t>Purchased Electricity for Electric Vehicle Charging</t>
  </si>
  <si>
    <t>On-site Generation for Own Use</t>
  </si>
  <si>
    <t>Purchased Electricity at Commercial Location</t>
  </si>
  <si>
    <t>Natural Gas</t>
  </si>
  <si>
    <t>Space Cooling</t>
  </si>
  <si>
    <t>Delivered Energy</t>
  </si>
  <si>
    <t>Distillate Fuel Oil</t>
  </si>
  <si>
    <t>Marketed Renewables (biomass)</t>
  </si>
  <si>
    <t>Other Fuels</t>
  </si>
  <si>
    <t>Energy Consumption by End Use</t>
  </si>
  <si>
    <t>Electricity Related Losses</t>
  </si>
  <si>
    <t>Total Energy Consumption by End Use</t>
  </si>
  <si>
    <t>Total Gross End-use Consumption</t>
  </si>
  <si>
    <t>Total Energy</t>
  </si>
  <si>
    <t>Nonmarketed Renewable Fuels</t>
  </si>
  <si>
    <t>Solar Thermal</t>
  </si>
  <si>
    <t>Solar Photovoltaic</t>
  </si>
  <si>
    <t>Wind</t>
  </si>
  <si>
    <t>Heating Degree Days</t>
  </si>
  <si>
    <t>New England</t>
  </si>
  <si>
    <t>HDD</t>
  </si>
  <si>
    <t>Middle Atlantic</t>
  </si>
  <si>
    <t>East North Central</t>
  </si>
  <si>
    <t>West North Central</t>
  </si>
  <si>
    <t>South Atlantic</t>
  </si>
  <si>
    <t>East South Central</t>
  </si>
  <si>
    <t>West South Central</t>
  </si>
  <si>
    <t>Mountain</t>
  </si>
  <si>
    <t>Pacific</t>
  </si>
  <si>
    <t>United States</t>
  </si>
  <si>
    <t>Cooling Degree Days</t>
  </si>
  <si>
    <t>CDD</t>
  </si>
  <si>
    <t>quad to TWh</t>
  </si>
  <si>
    <t>Color Code</t>
  </si>
  <si>
    <t>Extrapolated ADO Trajectories</t>
  </si>
  <si>
    <t>2030-2050 Demand for Mid and High Scenarios</t>
  </si>
  <si>
    <t>ADP mid growth rate</t>
  </si>
  <si>
    <t>State</t>
  </si>
  <si>
    <t>Nominal Capacity (GW)</t>
  </si>
  <si>
    <t>Peak Load (GW)</t>
  </si>
  <si>
    <t>Annual Energy (TWh)</t>
  </si>
  <si>
    <t>Historical</t>
  </si>
  <si>
    <t>US</t>
  </si>
  <si>
    <t>Low</t>
  </si>
  <si>
    <t>Medium</t>
  </si>
  <si>
    <t>High</t>
  </si>
  <si>
    <t>EPRI Historical</t>
  </si>
  <si>
    <t>EPRI Mid</t>
  </si>
  <si>
    <t>EPRI High</t>
  </si>
  <si>
    <t>ADP high growth rate</t>
  </si>
  <si>
    <t>Historic Demand, Projected Demand for mid and high scenarios</t>
  </si>
  <si>
    <t>EPRI</t>
  </si>
  <si>
    <t>Powering Intelligence 2026</t>
  </si>
  <si>
    <t>https://powering-intelligence.epri.com/</t>
  </si>
  <si>
    <t>U.S. National data download</t>
  </si>
  <si>
    <t>Projected Demand through 2030</t>
  </si>
  <si>
    <t>IEA</t>
  </si>
  <si>
    <t>Key Questions on Energy and AI</t>
  </si>
  <si>
    <t>https://www.iea.org/reports/key-questions-on-energy-and-ai</t>
  </si>
  <si>
    <t xml:space="preserve">Table A.4: Data centres electricity consumption by region </t>
  </si>
  <si>
    <t>IEA Historical</t>
  </si>
  <si>
    <t>TWh</t>
  </si>
  <si>
    <t>EPRI Low</t>
  </si>
  <si>
    <t>AEO.2026.ELECTRNP.KEI_NA_COMM_NA_NA_NA_USA_CDD.A</t>
  </si>
  <si>
    <t>Commercial: Cooling Degree Days: United States: Alternative Electricity and Transportation</t>
  </si>
  <si>
    <t>AEO.2026.ELECTRNP.KEI_NA_COMM_NA_NA_NA_PCF_CDD.A</t>
  </si>
  <si>
    <t>Commercial: Cooling Degree Days: Pacific: Alternative Electricity and Transportation</t>
  </si>
  <si>
    <t>AEO.2026.ELECTRNP.KEI_NA_COMM_NA_NA_NA_MTN_CDD.A</t>
  </si>
  <si>
    <t>Commercial: Cooling Degree Days: Mountain: Alternative Electricity and Transportation</t>
  </si>
  <si>
    <t>AEO.2026.ELECTRNP.KEI_NA_COMM_NA_NA_NA_WSC_CDD.A</t>
  </si>
  <si>
    <t>Commercial: Cooling Degree Days: West South Central: Alternative Electricity and Transportation</t>
  </si>
  <si>
    <t>AEO.2026.ELECTRNP.KEI_NA_COMM_NA_NA_NA_ESC_CDD.A</t>
  </si>
  <si>
    <t>Commercial: Cooling Degree Days: East South Central: Alternative Electricity and Transportation</t>
  </si>
  <si>
    <t>AEO.2026.ELECTRNP.KEI_NA_COMM_NA_NA_NA_SATL_CDD.A</t>
  </si>
  <si>
    <t>Commercial: Cooling Degree Days: South Atlantic: Alternative Electricity and Transportation</t>
  </si>
  <si>
    <t>AEO.2026.ELECTRNP.KEI_NA_COMM_NA_NA_NA_WNC_CDD.A</t>
  </si>
  <si>
    <t>Commercial: Cooling Degree Days: West North Central: Alternative Electricity and Transportation</t>
  </si>
  <si>
    <t>AEO.2026.ELECTRNP.KEI_NA_COMM_NA_NA_NA_ENC_CDD.A</t>
  </si>
  <si>
    <t>Commercial: Cooling Degree Days: East North Central: Alternative Electricity and Transportation</t>
  </si>
  <si>
    <t>AEO.2026.ELECTRNP.KEI_NA_COMM_NA_NA_NA_MATL_CDD.A</t>
  </si>
  <si>
    <t>Commercial: Cooling Degree Days: Middle Atlantic: Alternative Electricity and Transportation</t>
  </si>
  <si>
    <t>AEO.2026.ELECTRNP.KEI_NA_COMM_NA_NA_NA_NENGL_CDD.A</t>
  </si>
  <si>
    <t>Commercial: Cooling Degree Days: New England: Alternative Electricity and Transportation</t>
  </si>
  <si>
    <t>AEO.2026.ELECTRNP.KEI_NA_COMM_NA_NA_NA_USA_HDD.A</t>
  </si>
  <si>
    <t>Commercial: Heating Degree Days: United States: Alternative Electricity and Transportation</t>
  </si>
  <si>
    <t>AEO.2026.ELECTRNP.KEI_NA_COMM_NA_NA_NA_PCF_HDD.A</t>
  </si>
  <si>
    <t>Commercial: Heating Degree Days: Pacific: Alternative Electricity and Transportation</t>
  </si>
  <si>
    <t>AEO.2026.ELECTRNP.KEI_NA_COMM_NA_NA_NA_MTN_HDD.A</t>
  </si>
  <si>
    <t>Commercial: Heating Degree Days: Mountain: Alternative Electricity and Transportation</t>
  </si>
  <si>
    <t>AEO.2026.ELECTRNP.KEI_NA_COMM_NA_NA_NA_WSC_HDD.A</t>
  </si>
  <si>
    <t>Commercial: Heating Degree Days: West South Central: Alternative Electricity and Transportation</t>
  </si>
  <si>
    <t>AEO.2026.ELECTRNP.KEI_NA_COMM_NA_NA_NA_ESC_HDD.A</t>
  </si>
  <si>
    <t>Commercial: Heating Degree Days: East South Central: Alternative Electricity and Transportation</t>
  </si>
  <si>
    <t>AEO.2026.ELECTRNP.KEI_NA_COMM_NA_NA_NA_SATL_HDD.A</t>
  </si>
  <si>
    <t>Commercial: Heating Degree Days: South Atlantic: Alternative Electricity and Transportation</t>
  </si>
  <si>
    <t>AEO.2026.ELECTRNP.KEI_NA_COMM_NA_NA_NA_WNC_HDD.A</t>
  </si>
  <si>
    <t>Commercial: Heating Degree Days: West North Central: Alternative Electricity and Transportation</t>
  </si>
  <si>
    <t>AEO.2026.ELECTRNP.KEI_NA_COMM_NA_NA_NA_ENC_HDD.A</t>
  </si>
  <si>
    <t>Commercial: Heating Degree Days: East North Central: Alternative Electricity and Transportation</t>
  </si>
  <si>
    <t>AEO.2026.ELECTRNP.KEI_NA_COMM_NA_NA_NA_MATL_HDD.A</t>
  </si>
  <si>
    <t>Commercial: Heating Degree Days: Middle Atlantic: Alternative Electricity and Transportation</t>
  </si>
  <si>
    <t>AEO.2026.ELECTRNP.KEI_NA_COMM_NA_NA_NA_NENGL_HDD.A</t>
  </si>
  <si>
    <t>Commercial: Heating Degree Days: New England: Alternative Electricity and Transportation</t>
  </si>
  <si>
    <t>AEO.2026.ELECTRNP.CNSM_NA_COMM_NA_NRF_TOT_USA_QBTU.A</t>
  </si>
  <si>
    <t>Commercial: Nonmarketed Renewable Fuels: Total: Alternative Electricity and Transportation</t>
  </si>
  <si>
    <t>AEO.2026.ELECTRNP.CNSM_NA_COMM_NA_NRF_WND_USA_QBTU.A</t>
  </si>
  <si>
    <t>Commercial: Nonmarketed Renewable Fuels: Wind: Alternative Electricity and Transportation</t>
  </si>
  <si>
    <t>AEO.2026.ELECTRNP.CNSM_NA_COMM_NA_NRF_SOPH_USA_QBTU.A</t>
  </si>
  <si>
    <t>Commercial: Nonmarketed Renewable Fuels: Solar Photovoltaic: Alternative Electricity and Transportation</t>
  </si>
  <si>
    <t>AEO.2026.ELECTRNP.CNSM_NA_COMM_NA_NRF_SOTH_USA_QBTU.A</t>
  </si>
  <si>
    <t>Commercial: Nonmarketed Renewable Fuels: Solar Thermal: Alternative Electricity and Transportation</t>
  </si>
  <si>
    <t>AEO.2026.ELECTRNP.GEN_GFO_COMM_NA_TEE_TOT_USA_QBTU.A</t>
  </si>
  <si>
    <t>Commercial: Total Energy Use by End Use: Total Net Own-use Generation: Alternative Electricity and Transportation</t>
  </si>
  <si>
    <t>AEO.2026.ELECTRNP.GEN_GFO_COMM_NA_TEE_NA_USA_QBTU.A</t>
  </si>
  <si>
    <t>Commercial: Total Energy Use by End Use: Generation for Own Use: Alternative Electricity and Transportation</t>
  </si>
  <si>
    <t>Commercial: Total Energy Use by End Use: Purchased Electricity for EV Charging: Alternative Electricity and Transportation</t>
  </si>
  <si>
    <t>AEO.2026.ELECTRNP.CNSM_NA_COMM_NA_TEE_NA_USA_QBTU.A</t>
  </si>
  <si>
    <t>Commercial: Total Energy Use by End Use: Total Gross End-use Consumption: Alternative Electricity and Transportation</t>
  </si>
  <si>
    <t>AEO.2026.ELECTRNP.CNSM_NA_COMM_NA_TEE_OTHU_USA_QBTU.A</t>
  </si>
  <si>
    <t>Commercial: Total Energy Use by End Use: Other Uses: Alternative Electricity and Transportation</t>
  </si>
  <si>
    <t>AEO.2026.ELECTRNP.CNSM_NA_COMM_NA_TEE_OFEQP_USA_QBTU.A</t>
  </si>
  <si>
    <t>Commercial: Total Energy Use by End Use: Computers and Office Equipment: Alternative Electricity and Transportation</t>
  </si>
  <si>
    <t>Computers and office equipment</t>
  </si>
  <si>
    <t>AEO.2026.ELECTRNP.CNSM_NA_COMM_NA_TEE_DATACTRSERV_USA_QBTU.A</t>
  </si>
  <si>
    <t>Commercial: Total Energy Use by End Use: Data Center Servers: Alternative Electricity and Transportation</t>
  </si>
  <si>
    <t>Data Center Servers</t>
  </si>
  <si>
    <t>AEO.2026.ELECTRNP.CNSM_NA_COMM_NA_TEE_REFR_USA_QBTU.A</t>
  </si>
  <si>
    <t>Commercial: Total Energy Use by End Use: Refrigeration: Alternative Electricity and Transportation</t>
  </si>
  <si>
    <t>AEO.2026.ELECTRNP.CNSM_NA_COMM_NA_TEE_LGHTNG_USA_QBTU.A</t>
  </si>
  <si>
    <t>Commercial: Total Energy Use by End Use: Lighting: Alternative Electricity and Transportation</t>
  </si>
  <si>
    <t>AEO.2026.ELECTRNP.CNSM_NA_COMM_NA_TEE_CGR_USA_QBTU.A</t>
  </si>
  <si>
    <t>Commercial: Total Energy Use by End Use: Cooking: Alternative Electricity and Transportation</t>
  </si>
  <si>
    <t>AEO.2026.ELECTRNP.CNSM_NA_COMM_NA_TEE_VNTC_USA_QBTU.A</t>
  </si>
  <si>
    <t>Commercial: Total Energy Use by End Use: Ventilation: Alternative Electricity and Transportation</t>
  </si>
  <si>
    <t>AEO.2026.ELECTRNP.CNSM_NA_COMM_NA_TEE_WTHT_USA_QBTU.A</t>
  </si>
  <si>
    <t>Commercial: Total Energy Use by End Use: Water Heating: Alternative Electricity and Transportation</t>
  </si>
  <si>
    <t>AEO.2026.ELECTRNP.CNSM_NA_COMM_NA_TEE_SPC_USA_QBTU.A</t>
  </si>
  <si>
    <t>Commercial: Total Energy Use by End Use: Space Cooling: Alternative Electricity and Transportation</t>
  </si>
  <si>
    <t>AEO.2026.ELECTRNP.CNSM_NA_COMM_NA_TEE_SPH_USA_QBTU.A</t>
  </si>
  <si>
    <t>Commercial: Total Energy Use by End Use: Space Heating: Alternative Electricity and Transportation</t>
  </si>
  <si>
    <t>AEO.2026.ELECTRNP.CNSM_NA_COMM_NA_ERL_NA_USA_QBTU.A</t>
  </si>
  <si>
    <t>Commercial: Electricity Related Losses: Alternative Electricity and Transportation</t>
  </si>
  <si>
    <t>AEO.2026.ELECTRNP.CNSM_NA_COMM_NA_DEE_NA_USA_QBTU.A</t>
  </si>
  <si>
    <t>Commercial: Energy Consumption by End Use: Delivered Energy: Alternative Electricity and Transportation</t>
  </si>
  <si>
    <t>AEO.2026.ELECTRNP.GEN_NA_COMM_NA_DEE_GFO_USA_QBTU.A</t>
  </si>
  <si>
    <t>Commercial: Energy Consumption by End Use: Generation for Own Use: Alternative Electricity and Transportation</t>
  </si>
  <si>
    <t>AEO.2026.ELECTRNP.CNSM_NA_COMM_NA_DEE_EVCHA_USA_QBTU.A</t>
  </si>
  <si>
    <t>Commercial: Energy Consumption by End Use: Purchased Electricity for EV Charging: Alternative Electricity and Transportation</t>
  </si>
  <si>
    <t>Commercial: Delivered Energy Use by End Use: Gross End-use Consumption: Alternative Electricity and Transportation</t>
  </si>
  <si>
    <t>AEO.2026.ELECTRNP.CNSM_NA_COMM_NA_DEE_OTHU_USA_QBTU.A</t>
  </si>
  <si>
    <t>Commercial: Delivered Energy Use by End Use: Other Uses: Alternative Electricity and Transportation</t>
  </si>
  <si>
    <t>AEO.2026.ELECTRNP.CNSM_NA_COMM_NA_DEE_OFEQP_USA_QBTU.A</t>
  </si>
  <si>
    <t>Commercial: Delivered Energy Use by End Use: Computers and Office Equipment: Alternative Electricity and Transportation</t>
  </si>
  <si>
    <t>AEO.2026.ELECTRNP.CNSM_NA_COMM_NA_DEE_DATACTRSERV_USA_QBTU.A</t>
  </si>
  <si>
    <t>Commercial: Delivered Energy Use by End Use: Data Center Servers: Alternative Electricity and Transportation</t>
  </si>
  <si>
    <t>AEO.2026.ELECTRNP.CNSM_NA_COMM_NA_DEE_REFR_USA_QBTU.A</t>
  </si>
  <si>
    <t>Commercial: Delivered Energy Use by End Use: Refrigeration: Alternative Electricity and Transportation</t>
  </si>
  <si>
    <t>AEO.2026.ELECTRNP.CNSM_NA_COMM_NA_DEE_LGHTNG_USA_QBTU.A</t>
  </si>
  <si>
    <t>Commercial: Delivered Energy Use by End Use: Lighting: Alternative Electricity and Transportation</t>
  </si>
  <si>
    <t>AEO.2026.ELECTRNP.CNSM_NA_COMM_NA_DEE_CGR_USA_QBTU.A</t>
  </si>
  <si>
    <t>Commercial: Delivered Energy Use by End Use: Cooking: Alternative Electricity and Transportation</t>
  </si>
  <si>
    <t>AEO.2026.ELECTRNP.CNSM_NA_COMM_NA_DEE_VNTC_USA_QBTU.A</t>
  </si>
  <si>
    <t>Commercial: Delivered Energy Use by End Use: Ventilation: Alternative Electricity and Transportation</t>
  </si>
  <si>
    <t>AEO.2026.ELECTRNP.CNSM_NA_COMM_NA_DEE_WTHT_USA_QBTU.A</t>
  </si>
  <si>
    <t>Commercial: Delivered Energy Use by End Use: Water Heating: Alternative Electricity and Transportation</t>
  </si>
  <si>
    <t>AEO.2026.ELECTRNP.CNSM_NA_COMM_NA_DEE_SPC_USA_QBTU.A</t>
  </si>
  <si>
    <t>Commercial: Delivered Energy Use by End Use: Space Cooling: Alternative Electricity and Transportation</t>
  </si>
  <si>
    <t>AEO.2026.ELECTRNP.CNSM_NA_COMM_NA_DEE_SPH_USA_QBTU.A</t>
  </si>
  <si>
    <t>Commercial: Delivered Energy Use by End Use: Space Heating: Alternative Electricity and Transportation</t>
  </si>
  <si>
    <t>AEO.2026.ELECTRNP.CNSM_NA_COMM_NA_OFU_NA_USA_QBTU.A</t>
  </si>
  <si>
    <t>Commercial: Other Fuels: Alternative Electricity and Transportation</t>
  </si>
  <si>
    <t>AEO.2026.ELECTRNP.CNSM_NA_COMM_NA_BMS_NA_USA_QBTU.A</t>
  </si>
  <si>
    <t>Commercial: Marketed Renewables (biomass): Alternative Electricity and Transportation</t>
  </si>
  <si>
    <t>AEO.2026.ELECTRNP.CNSM_NA_COMM_NA_DFO_DELE_USA_QBTU.A</t>
  </si>
  <si>
    <t>Commercial: Distillate Fuel Oil: Delivered Energy: Alternative Electricity and Transportation</t>
  </si>
  <si>
    <t>AEO.2026.ELECTRNP.CNSM_NA_COMM_NA_DFO_OTHU_USA_QBTU.A</t>
  </si>
  <si>
    <t>Commercial: Distillate Fuel Oil: Other Uses: Alternative Electricity and Transportation</t>
  </si>
  <si>
    <t>AEO.2026.ELECTRNP.CNSM_NA_COMM_NA_DFO_WTHT_USA_QBTU.A</t>
  </si>
  <si>
    <t>Commercial: Distillate Fuel Oil: Water Heating: Alternative Electricity and Transportation</t>
  </si>
  <si>
    <t>AEO.2026.ELECTRNP.CNSM_NA_COMM_NA_DFO_SPH_USA_QBTU.A</t>
  </si>
  <si>
    <t>Commercial: Distillate Fuel Oil: Space Heating: Alternative Electricity and Transportation</t>
  </si>
  <si>
    <t>AEO.2026.ELECTRNP.CNSM_NA_COMM_NA_NG_DELE_USA_QBTU.A</t>
  </si>
  <si>
    <t>Commercial: Natural Gas: Delivered Energy: Alternative Electricity and Transportation</t>
  </si>
  <si>
    <t>AEO.2026.ELECTRNP.CNSM_NA_COMM_NA_NG_OTHU_USA_QBTU.A</t>
  </si>
  <si>
    <t>Commercial: Natural Gas: Other Uses: Alternative Electricity and Transportation</t>
  </si>
  <si>
    <t>AEO.2026.ELECTRNP.CNSM_NA_COMM_NA_NG_CGR_USA_QBTU.A</t>
  </si>
  <si>
    <t>Commercial: Natural Gas: Cooking: Alternative Electricity and Transportation</t>
  </si>
  <si>
    <t>AEO.2026.ELECTRNP.CNSM_NA_COMM_NA_NG_WTHT_USA_QBTU.A</t>
  </si>
  <si>
    <t>Commercial: Natural Gas: Water Heating: Alternative Electricity and Transportation</t>
  </si>
  <si>
    <t>AEO.2026.ELECTRNP.CNSM_NA_COMM_NA_NG_SPC_USA_QBTU.A</t>
  </si>
  <si>
    <t>Commercial: Natural Gas: Space Cooling: Alternative Electricity and Transportation</t>
  </si>
  <si>
    <t>AEO.2026.ELECTRNP.CNSM_NA_COMM_NA_NG_SPH_USA_QBTU.A</t>
  </si>
  <si>
    <t>Commercial: Natural Gas: Space Heating: Alternative Electricity and Transportation</t>
  </si>
  <si>
    <t>AEO.2026.ELECTRNP.CNSM_NA_COMM_NA_DELE_ELC_USA_QBTU.A</t>
  </si>
  <si>
    <t>Commercial: Energy Consumption by Fuel: Purchased Electricity: Alternative Electricity and Transportation</t>
  </si>
  <si>
    <t>AEO.2026.ELECTRNP.GEN_NA_COMM_NA_GFO_ELC_USA_QBTU.A</t>
  </si>
  <si>
    <t>Commercial: Energy Consumption by Fuel: Generation for Own Use: Alternative Electricity and Transportation</t>
  </si>
  <si>
    <t>AEO.2026.ELECTRNP.GEN_NA_COMM_NA_PRC_EVCHA_USA_QBTU.A</t>
  </si>
  <si>
    <t>Commercial: Energy Consumption by Fuel: Purchased Electricity for EV Charging: Alternative Electricity and Transportation</t>
  </si>
  <si>
    <t>AEO.2026.ELECTRNP.CNSM_NA_COMM_NA_PRC_DELE_USA_QBTU.A</t>
  </si>
  <si>
    <t>Commercial: Energy Consumption by Fuel: Electricity Subtotal: Alternative Electricity and Transportation</t>
  </si>
  <si>
    <t>AEO.2026.ELECTRNP.CNSM_NA_COMM_NA_PRC_OTHU_USA_QBTU.A</t>
  </si>
  <si>
    <t>Commercial: Purchased Electricity: Other Uses: Alternative Electricity and Transportation</t>
  </si>
  <si>
    <t>AEO.2026.ELECTRNP.CNSM_NA_COMM_NA_PRC_OTHEQP_USA_QBTU.A</t>
  </si>
  <si>
    <t>Commercial: Purchased Electricity: Computers and Office Equipment: Alternative Electricity and Transportation</t>
  </si>
  <si>
    <t>AEO.2026.ELECTRNP.CNSM_NA_COMM_NA_PRC_DATACTRSERV_USA_QBTU.A</t>
  </si>
  <si>
    <t>Commercial: Purchased Electricity: Data Center Servers: Alternative Electricity and Transportation</t>
  </si>
  <si>
    <t>AEO.2026.ELECTRNP.CNSM_NA_COMM_NA_PRC_REFR_USA_QBTU.A</t>
  </si>
  <si>
    <t>Commercial: Purchased Electricity: Refrigeration: Alternative Electricity and Transportation</t>
  </si>
  <si>
    <t>AEO.2026.ELECTRNP.CNSM_NA_COMM_NA_PRC_LGHTNG_USA_QBTU.A</t>
  </si>
  <si>
    <t>Commercial: Purchased Electricity: Lighting: Alternative Electricity and Transportation</t>
  </si>
  <si>
    <t>AEO.2026.ELECTRNP.CNSM_NA_COMM_NA_PRC_CGR_USA_QBTU.A</t>
  </si>
  <si>
    <t>Commercial: Purchased Electricity: Cooking: Alternative Electricity and Transportation</t>
  </si>
  <si>
    <t>AEO.2026.ELECTRNP.CNSM_NA_COMM_NA_PRC_VNTC_USA_QBTU.A</t>
  </si>
  <si>
    <t>Commercial: Purchased Electricity: Ventilation: Alternative Electricity and Transportation</t>
  </si>
  <si>
    <t>AEO.2026.ELECTRNP.CNSM_NA_COMM_NA_PRC_WTHT_USA_QBTU.A</t>
  </si>
  <si>
    <t>Commercial: Purchased Electricity: Water Heating: Alternative Electricity and Transportation</t>
  </si>
  <si>
    <t>AEO.2026.ELECTRNP.CNSM_NA_COMM_NA_PRC_SPC_USA_QBTU.A</t>
  </si>
  <si>
    <t>Commercial: Purchased Electricity: Space Cooling: Alternative Electricity and Transportation</t>
  </si>
  <si>
    <t>AEO.2026.ELECTRNP.CNSM_NA_COMM_NA_PRC_SPH_USA_QBTU.A</t>
  </si>
  <si>
    <t>Commercial: Purchased Electricity: Space Heating: Alternative Electricity and Transportation</t>
  </si>
  <si>
    <t>AEO.2026.ELECTRNP.INY_NA_COMM_NA_EUI_ERL_USA_THBTUPSQFT.A</t>
  </si>
  <si>
    <t>Commercial: Energy Use Intensity: Delivered Energy Consumption: Alternative Electricity and Transportation</t>
  </si>
  <si>
    <t>AEO.2026.ELECTRNP.INY_NA_COMM_NA_EUI_DLENCONS_USA_THBTUPSQFT.A</t>
  </si>
  <si>
    <t>Commercial: Energy Use Intensity: Gross End-use Consumption: Alternative Electricity and Transportation</t>
  </si>
  <si>
    <t>AEO.2026.ELECTRNP.KEI_NA_COMM_NA_TFP_TOT_USA_BLNSQFT.A</t>
  </si>
  <si>
    <t>Commercial: Total Floorspace: Total: Alternative Electricity and Transportation</t>
  </si>
  <si>
    <t>AEO.2026.ELECTRNP.KEI_NA_COMM_NA_TFP_NADN_USA_BLNSQFT.A</t>
  </si>
  <si>
    <t>Commercial: Total Floorspace: New Additions: Alternative Electricity and Transportation</t>
  </si>
  <si>
    <t>AEO.2026.ELECTRNP.KEI_NA_COMM_NA_TFP_SURV_USA_BLNSQFT.A</t>
  </si>
  <si>
    <t>Commercial: Total Floorspace: Surviving: Alternative Electricity and Transportation</t>
  </si>
  <si>
    <t>Growth (2025-2050)</t>
  </si>
  <si>
    <t>Wed May 13 2026 10:18:16 GMT-0400 (Eastern Daylight Time)</t>
  </si>
  <si>
    <t>https://www.eia.gov/outlooks/aeo/data/browser/#/?id=5-AEO2026&amp;cases=electrnp&amp;sourcekey=0</t>
  </si>
  <si>
    <t>AEO 2026 breaks out data center server demand explicitly, but leaves associated cooling and</t>
  </si>
  <si>
    <t>ventilation baked into other commercial building end uses. We use the data center server</t>
  </si>
  <si>
    <t xml:space="preserve">We use EPRI forecasts through 2030 for our low-, medium-, and high-demand projections. </t>
  </si>
  <si>
    <t>After 2030, we use AEO for the low scenario, and Evolved Energy's Annual Decarbonization</t>
  </si>
  <si>
    <t xml:space="preserve">Perspective mid- and high-growth scenarios for the EPS equivalents. </t>
  </si>
  <si>
    <t xml:space="preserve">demand alone for the "low" scenario forecasting in EPS. </t>
  </si>
  <si>
    <t>Annual Energy Outlook 2026</t>
  </si>
  <si>
    <t>mid share of AEO commercial</t>
  </si>
  <si>
    <t>Data center end-use split (facility vs IT load)</t>
  </si>
  <si>
    <t>PUE = total facility electricity / IT electricity. IT load goes to the 'other component' row, facility load (cooling, ventilation, power distribution) to 'cooling and ventilation'. Source: LBNL, 2024 United States Data Center Energy Usage Report (Shehabi et al., LBNL-2001637, Dec 2024): US average PUE 1.4 in 2023 (p. 47; infrastructure 30% of total electricity, p. 53) falling to 1.15-1.35 by 2028 (p. 47, Fig. 4.6). The path used here starts at 1.40 in 2024 and falls in a straight line to 1.25 in 2028 (the middle of LBNL's range), then holds flat; the same path is used for all three load scenarios. To use a different path, change cells B4:B7.</t>
  </si>
  <si>
    <t>PUE in first year</t>
  </si>
  <si>
    <t>First year</t>
  </si>
  <si>
    <t>PUE in target year</t>
  </si>
  <si>
    <t>Target year (held flat after)</t>
  </si>
  <si>
    <t>PUE</t>
  </si>
  <si>
    <t>Facility share (cooling and ventilation) = 1 - 1/PUE</t>
  </si>
  <si>
    <t>IT share (other component) = 1/PUE</t>
  </si>
  <si>
    <t>heating</t>
  </si>
  <si>
    <t>cooling and ventilation</t>
  </si>
  <si>
    <t>envelope</t>
  </si>
  <si>
    <t>lighting</t>
  </si>
  <si>
    <t>appliances</t>
  </si>
  <si>
    <t>other component</t>
  </si>
  <si>
    <t>End-use split</t>
  </si>
  <si>
    <t>Each scenario's data center load is split into two end uses that the model treats separately: IT load (the 'other component' row) and facility load for cooling, ventilation and power distribution (the 'cooling and ventilation' row). The split comes from the power usage effectiveness (PUE) path on the 'End Use Split' tab. Totals are unchanged by the split.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</si>
</sst>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u/>
      <sz val="11"/>
      <color theme="10"/>
      <name val="Calibri"/>
      <family val="2"/>
      <scheme val="minor"/>
    </font>
    <font>
      <i/>
      <sz val="11"/>
      <color theme="1"/>
      <name val="Calibri"/>
      <family val="2"/>
      <scheme val="minor"/>
    </font>
    <font>
      <b/>
      <sz val="14"/>
      <color rgb="FF606060"/>
      <name val="Arial"/>
      <family val="2"/>
    </font>
    <font>
      <sz val="14"/>
      <color rgb="FF606060"/>
      <name val="Arial"/>
      <family val="2"/>
    </font>
    <font>
      <sz val="11"/>
      <color rgb="FF000000"/>
      <name val="Calibri"/>
      <family val="2"/>
      <scheme val="minor"/>
    </font>
    <font>
      <b/>
      <sz val="11"/>
      <color rgb="FF000000"/>
      <name val="Calibri"/>
      <family val="2"/>
      <scheme val="minor"/>
    </font>
  </fonts>
  <fills count="14">
    <fill>
      <patternFill patternType="none"/>
    </fill>
    <fill>
      <patternFill patternType="gray125"/>
    </fill>
    <fill>
      <patternFill patternType="solid">
        <fgColor theme="7" tint="0.79998168889431442"/>
        <bgColor indexed="64"/>
      </patternFill>
    </fill>
    <fill>
      <patternFill patternType="solid">
        <fgColor rgb="FFFDF6CF"/>
        <bgColor indexed="64"/>
      </patternFill>
    </fill>
    <fill>
      <patternFill patternType="solid">
        <fgColor theme="0" tint="-0.249977111117893"/>
        <bgColor indexed="64"/>
      </patternFill>
    </fill>
    <fill>
      <patternFill patternType="solid">
        <fgColor rgb="FFFFFF0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9"/>
        <bgColor indexed="64"/>
      </patternFill>
    </fill>
    <fill>
      <patternFill patternType="solid">
        <fgColor theme="5" tint="0.59999389629810485"/>
        <bgColor indexed="64"/>
      </patternFill>
    </fill>
    <fill>
      <patternFill patternType="solid">
        <fgColor theme="4"/>
        <bgColor indexed="64"/>
      </patternFill>
    </fill>
    <fill>
      <patternFill patternType="solid">
        <fgColor theme="9" tint="0.59999389629810485"/>
        <bgColor indexed="64"/>
      </patternFill>
    </fill>
    <fill>
      <patternFill patternType="solid">
        <fgColor theme="9" tint="0.39997558519241921"/>
        <bgColor indexed="64"/>
      </patternFill>
    </fill>
  </fills>
  <borders count="6">
    <border>
      <left/>
      <right/>
      <top/>
      <bottom/>
      <diagonal/>
    </border>
    <border>
      <left/>
      <right/>
      <top/>
      <bottom style="thick">
        <color rgb="FF0096D7"/>
      </bottom>
      <diagonal/>
    </border>
    <border>
      <left/>
      <right/>
      <top/>
      <bottom style="dashed">
        <color rgb="FFBFBFBF"/>
      </bottom>
      <diagonal/>
    </border>
    <border>
      <left/>
      <right/>
      <top/>
      <bottom style="thin">
        <color rgb="FFBFBFBF"/>
      </bottom>
      <diagonal/>
    </border>
    <border>
      <left/>
      <right/>
      <top style="medium">
        <color rgb="FF0096D7"/>
      </top>
      <bottom/>
      <diagonal/>
    </border>
    <border>
      <left style="thin">
        <color indexed="64"/>
      </left>
      <right style="thin">
        <color indexed="64"/>
      </right>
      <top style="thin">
        <color indexed="64"/>
      </top>
      <bottom style="thin">
        <color indexed="64"/>
      </bottom>
      <diagonal/>
    </border>
  </borders>
  <cellStyleXfs count="9">
    <xf numFmtId="0" fontId="0" fillId="0" borderId="0"/>
    <xf numFmtId="9" fontId="1" fillId="0" borderId="0" applyFont="0" applyFill="0" applyBorder="0" applyAlignment="0" applyProtection="0"/>
    <xf numFmtId="0" fontId="3" fillId="0" borderId="0"/>
    <xf numFmtId="0" fontId="4" fillId="0" borderId="1">
      <alignment wrapText="1"/>
    </xf>
    <xf numFmtId="0" fontId="3" fillId="0" borderId="2">
      <alignment wrapText="1"/>
    </xf>
    <xf numFmtId="0" fontId="4" fillId="0" borderId="3">
      <alignment wrapText="1"/>
    </xf>
    <xf numFmtId="0" fontId="3" fillId="0" borderId="4">
      <alignment wrapText="1"/>
    </xf>
    <xf numFmtId="0" fontId="5" fillId="0" borderId="0" applyNumberFormat="0" applyFill="0" applyBorder="0" applyAlignment="0" applyProtection="0"/>
    <xf numFmtId="0" fontId="9" fillId="0" borderId="0"/>
  </cellStyleXfs>
  <cellXfs count="42">
    <xf numFmtId="0" fontId="0" fillId="0" borderId="0" xfId="0"/>
    <xf numFmtId="2" fontId="0" fillId="0" borderId="0" xfId="1" applyNumberFormat="1" applyFont="1"/>
    <xf numFmtId="0" fontId="5" fillId="0" borderId="0" xfId="7"/>
    <xf numFmtId="1" fontId="0" fillId="0" borderId="0" xfId="0" applyNumberFormat="1"/>
    <xf numFmtId="0" fontId="2" fillId="0" borderId="0" xfId="0" applyFont="1"/>
    <xf numFmtId="0" fontId="2" fillId="4" borderId="0" xfId="0" applyFont="1" applyFill="1"/>
    <xf numFmtId="0" fontId="0" fillId="0" borderId="0" xfId="0" applyAlignment="1">
      <alignment horizontal="left"/>
    </xf>
    <xf numFmtId="9" fontId="0" fillId="0" borderId="0" xfId="1" applyFont="1"/>
    <xf numFmtId="0" fontId="0" fillId="3" borderId="0" xfId="0" applyFill="1"/>
    <xf numFmtId="0" fontId="0" fillId="0" borderId="5" xfId="0" applyBorder="1"/>
    <xf numFmtId="0" fontId="0" fillId="5" borderId="0" xfId="0" applyFill="1"/>
    <xf numFmtId="0" fontId="2" fillId="0" borderId="0" xfId="0" applyFont="1" applyAlignment="1">
      <alignment horizontal="left" indent="1"/>
    </xf>
    <xf numFmtId="0" fontId="0" fillId="0" borderId="0" xfId="0" applyAlignment="1">
      <alignment wrapText="1"/>
    </xf>
    <xf numFmtId="164" fontId="0" fillId="0" borderId="0" xfId="1" applyNumberFormat="1" applyFont="1"/>
    <xf numFmtId="0" fontId="0" fillId="7" borderId="0" xfId="0" applyFill="1"/>
    <xf numFmtId="9" fontId="0" fillId="0" borderId="0" xfId="0" applyNumberFormat="1"/>
    <xf numFmtId="0" fontId="2" fillId="8" borderId="0" xfId="0" applyFont="1" applyFill="1"/>
    <xf numFmtId="3" fontId="0" fillId="0" borderId="0" xfId="0" applyNumberFormat="1"/>
    <xf numFmtId="10" fontId="0" fillId="0" borderId="0" xfId="0" applyNumberFormat="1"/>
    <xf numFmtId="10" fontId="0" fillId="5" borderId="0" xfId="0" applyNumberFormat="1" applyFill="1"/>
    <xf numFmtId="1" fontId="0" fillId="9" borderId="5" xfId="0" applyNumberFormat="1" applyFill="1" applyBorder="1"/>
    <xf numFmtId="0" fontId="0" fillId="9" borderId="0" xfId="0" applyFill="1"/>
    <xf numFmtId="1" fontId="0" fillId="2" borderId="5" xfId="0" applyNumberFormat="1" applyFill="1" applyBorder="1"/>
    <xf numFmtId="0" fontId="0" fillId="2" borderId="0" xfId="0" applyFill="1"/>
    <xf numFmtId="0" fontId="0" fillId="6" borderId="0" xfId="0" applyFill="1"/>
    <xf numFmtId="9" fontId="6" fillId="0" borderId="0" xfId="0" applyNumberFormat="1" applyFont="1"/>
    <xf numFmtId="0" fontId="9" fillId="0" borderId="0" xfId="8"/>
    <xf numFmtId="0" fontId="10" fillId="0" borderId="0" xfId="8" applyFont="1"/>
    <xf numFmtId="0" fontId="0" fillId="10" borderId="0" xfId="0" applyFill="1"/>
    <xf numFmtId="1" fontId="0" fillId="6" borderId="5" xfId="0" applyNumberFormat="1" applyFill="1" applyBorder="1"/>
    <xf numFmtId="1" fontId="0" fillId="10" borderId="5" xfId="0" applyNumberFormat="1" applyFill="1" applyBorder="1"/>
    <xf numFmtId="0" fontId="0" fillId="11" borderId="0" xfId="0" applyFill="1"/>
    <xf numFmtId="1" fontId="0" fillId="11" borderId="5" xfId="0" applyNumberFormat="1" applyFill="1" applyBorder="1"/>
    <xf numFmtId="1" fontId="0" fillId="8" borderId="5" xfId="0" applyNumberFormat="1" applyFill="1" applyBorder="1"/>
    <xf numFmtId="1" fontId="0" fillId="12" borderId="5" xfId="0" applyNumberFormat="1" applyFill="1" applyBorder="1"/>
    <xf numFmtId="1" fontId="0" fillId="13" borderId="5" xfId="0" applyNumberFormat="1" applyFill="1" applyBorder="1"/>
    <xf numFmtId="0" fontId="0" fillId="8" borderId="5" xfId="0" applyFill="1" applyBorder="1"/>
    <xf numFmtId="0" fontId="0" fillId="8" borderId="0" xfId="0" applyFill="1"/>
    <xf numFmtId="0" fontId="0" fillId="12" borderId="0" xfId="0" applyFill="1"/>
    <xf numFmtId="0" fontId="0" fillId="13" borderId="0" xfId="0" applyFill="1"/>
    <xf numFmtId="9" fontId="6" fillId="0" borderId="0" xfId="1" applyFont="1"/>
    <xf numFmtId="0" fontId="0" fillId="0" borderId="0" xfId="0" applyAlignment="1">
      <alignment horizontal="left" vertical="top" wrapText="1"/>
    </xf>
  </cellXfs>
  <cellStyles count="9">
    <cellStyle name="Body: normal cell 2 2" xfId="4" xr:uid="{8826D916-A56A-49C8-BC7B-1C7173429BE0}"/>
    <cellStyle name="Footnotes: top row 2 2" xfId="6" xr:uid="{47E9C91E-6EC7-41DA-8AA7-D903CF4BC43A}"/>
    <cellStyle name="Header: bottom row 2 2" xfId="3" xr:uid="{392BA950-59C6-4B9B-9EFE-CDA5D326A746}"/>
    <cellStyle name="Hyperlink" xfId="7" builtinId="8"/>
    <cellStyle name="Normal" xfId="0" builtinId="0"/>
    <cellStyle name="Normal 2" xfId="2" xr:uid="{8234889B-6E37-4A53-8A9B-E869E279CD06}"/>
    <cellStyle name="Normal 3" xfId="8" xr:uid="{DC34A715-970A-4690-AD00-A76DAA6B5E26}"/>
    <cellStyle name="Parent row 2 2" xfId="5" xr:uid="{EDFA25B6-E8BA-45F4-8914-989DAA4F9F94}"/>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Data</a:t>
            </a:r>
            <a:r>
              <a:rPr lang="en-US" baseline="0"/>
              <a:t> Center Demand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lotArea>
      <c:layout/>
      <c:scatterChart>
        <c:scatterStyle val="lineMarker"/>
        <c:varyColors val="0"/>
        <c:ser>
          <c:idx val="0"/>
          <c:order val="0"/>
          <c:tx>
            <c:strRef>
              <c:f>'Low_Mid_High Scenarios'!$A$3</c:f>
              <c:strCache>
                <c:ptCount val="1"/>
                <c:pt idx="0">
                  <c:v>low</c:v>
                </c:pt>
              </c:strCache>
            </c:strRef>
          </c:tx>
          <c:spPr>
            <a:ln w="19050" cap="rnd">
              <a:solidFill>
                <a:schemeClr val="accent6">
                  <a:lumMod val="40000"/>
                  <a:lumOff val="60000"/>
                </a:schemeClr>
              </a:solidFill>
              <a:round/>
            </a:ln>
            <a:effectLst/>
          </c:spPr>
          <c:marker>
            <c:symbol val="none"/>
          </c:marker>
          <c:xVal>
            <c:numRef>
              <c:f>'Low_Mid_High Scenarios'!$B$2:$AB$2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'Low_Mid_High Scenarios'!$B$3:$AB$3</c:f>
              <c:numCache>
                <c:formatCode>0</c:formatCode>
                <c:ptCount val="27"/>
                <c:pt idx="0">
                  <c:v>184</c:v>
                </c:pt>
                <c:pt idx="1">
                  <c:v>224</c:v>
                </c:pt>
                <c:pt idx="2" formatCode="General">
                  <c:v>263</c:v>
                </c:pt>
                <c:pt idx="3">
                  <c:v>308</c:v>
                </c:pt>
                <c:pt idx="4">
                  <c:v>345</c:v>
                </c:pt>
                <c:pt idx="5">
                  <c:v>371</c:v>
                </c:pt>
                <c:pt idx="6">
                  <c:v>396</c:v>
                </c:pt>
                <c:pt idx="7">
                  <c:v>411.49090999999999</c:v>
                </c:pt>
                <c:pt idx="8">
                  <c:v>427.27921499999997</c:v>
                </c:pt>
                <c:pt idx="9">
                  <c:v>443.35700399999996</c:v>
                </c:pt>
                <c:pt idx="10">
                  <c:v>459.66919299999995</c:v>
                </c:pt>
                <c:pt idx="11">
                  <c:v>476.16831599999995</c:v>
                </c:pt>
                <c:pt idx="12">
                  <c:v>492.77203999999995</c:v>
                </c:pt>
                <c:pt idx="13">
                  <c:v>509.40359899999993</c:v>
                </c:pt>
                <c:pt idx="14">
                  <c:v>525.85730699999988</c:v>
                </c:pt>
                <c:pt idx="15">
                  <c:v>541.98812899999996</c:v>
                </c:pt>
                <c:pt idx="16">
                  <c:v>557.64663499999995</c:v>
                </c:pt>
                <c:pt idx="17">
                  <c:v>572.77334599999995</c:v>
                </c:pt>
                <c:pt idx="18">
                  <c:v>587.12858799999992</c:v>
                </c:pt>
                <c:pt idx="19">
                  <c:v>600.72613199999989</c:v>
                </c:pt>
                <c:pt idx="20">
                  <c:v>613.33128499999987</c:v>
                </c:pt>
                <c:pt idx="21">
                  <c:v>624.94814899999994</c:v>
                </c:pt>
                <c:pt idx="22">
                  <c:v>635.29808099999991</c:v>
                </c:pt>
                <c:pt idx="23">
                  <c:v>644.2914229999999</c:v>
                </c:pt>
                <c:pt idx="24">
                  <c:v>651.82972699999993</c:v>
                </c:pt>
                <c:pt idx="25">
                  <c:v>657.85703000000001</c:v>
                </c:pt>
                <c:pt idx="26">
                  <c:v>663.20984699999997</c:v>
                </c:pt>
              </c:numCache>
            </c:numRef>
          </c:yVal>
          <c:smooth val="0"/>
          <c:extLst>
            <c:ext xmlns:c16="http://schemas.microsoft.com/office/drawing/2014/chart" uri="{C3380CC4-5D6E-409C-BE32-E72D297353CC}">
              <c16:uniqueId val="{00000000-C8A9-40BC-B784-0F4684030D7B}"/>
            </c:ext>
          </c:extLst>
        </c:ser>
        <c:ser>
          <c:idx val="1"/>
          <c:order val="1"/>
          <c:tx>
            <c:strRef>
              <c:f>'Low_Mid_High Scenarios'!$A$5</c:f>
              <c:strCache>
                <c:ptCount val="1"/>
                <c:pt idx="0">
                  <c:v>high</c:v>
                </c:pt>
              </c:strCache>
            </c:strRef>
          </c:tx>
          <c:spPr>
            <a:ln w="19050" cap="rnd">
              <a:solidFill>
                <a:schemeClr val="accent6"/>
              </a:solidFill>
              <a:round/>
            </a:ln>
            <a:effectLst/>
          </c:spPr>
          <c:marker>
            <c:symbol val="none"/>
          </c:marker>
          <c:xVal>
            <c:numRef>
              <c:f>'Low_Mid_High Scenarios'!$B$2:$AB$2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'Low_Mid_High Scenarios'!$B$5:$AB$5</c:f>
              <c:numCache>
                <c:formatCode>0</c:formatCode>
                <c:ptCount val="27"/>
                <c:pt idx="0">
                  <c:v>184</c:v>
                </c:pt>
                <c:pt idx="1">
                  <c:v>224</c:v>
                </c:pt>
                <c:pt idx="2">
                  <c:v>314</c:v>
                </c:pt>
                <c:pt idx="3">
                  <c:v>425</c:v>
                </c:pt>
                <c:pt idx="4">
                  <c:v>544</c:v>
                </c:pt>
                <c:pt idx="5">
                  <c:v>653</c:v>
                </c:pt>
                <c:pt idx="6">
                  <c:v>760</c:v>
                </c:pt>
                <c:pt idx="7">
                  <c:v>825</c:v>
                </c:pt>
                <c:pt idx="8">
                  <c:v>890</c:v>
                </c:pt>
                <c:pt idx="9">
                  <c:v>955</c:v>
                </c:pt>
                <c:pt idx="10">
                  <c:v>1020</c:v>
                </c:pt>
                <c:pt idx="11">
                  <c:v>1085</c:v>
                </c:pt>
                <c:pt idx="12">
                  <c:v>1120.7999999999884</c:v>
                </c:pt>
                <c:pt idx="13">
                  <c:v>1156.5999999999913</c:v>
                </c:pt>
                <c:pt idx="14">
                  <c:v>1192.3999999999942</c:v>
                </c:pt>
                <c:pt idx="15">
                  <c:v>1228.1999999999971</c:v>
                </c:pt>
                <c:pt idx="16">
                  <c:v>1264</c:v>
                </c:pt>
                <c:pt idx="17">
                  <c:v>1309.7000000000116</c:v>
                </c:pt>
                <c:pt idx="18">
                  <c:v>1355.4000000000087</c:v>
                </c:pt>
                <c:pt idx="19">
                  <c:v>1401.1000000000058</c:v>
                </c:pt>
                <c:pt idx="20">
                  <c:v>1446.8000000000029</c:v>
                </c:pt>
                <c:pt idx="21">
                  <c:v>1492.5</c:v>
                </c:pt>
                <c:pt idx="22">
                  <c:v>1538.2000000000116</c:v>
                </c:pt>
                <c:pt idx="23">
                  <c:v>1583.9000000000087</c:v>
                </c:pt>
                <c:pt idx="24">
                  <c:v>1629.6000000000058</c:v>
                </c:pt>
                <c:pt idx="25">
                  <c:v>1675.3000000000029</c:v>
                </c:pt>
                <c:pt idx="26">
                  <c:v>1721</c:v>
                </c:pt>
              </c:numCache>
            </c:numRef>
          </c:yVal>
          <c:smooth val="0"/>
          <c:extLst>
            <c:ext xmlns:c16="http://schemas.microsoft.com/office/drawing/2014/chart" uri="{C3380CC4-5D6E-409C-BE32-E72D297353CC}">
              <c16:uniqueId val="{00000001-C8A9-40BC-B784-0F4684030D7B}"/>
            </c:ext>
          </c:extLst>
        </c:ser>
        <c:ser>
          <c:idx val="2"/>
          <c:order val="2"/>
          <c:tx>
            <c:strRef>
              <c:f>'Low_Mid_High Scenarios'!$A$4</c:f>
              <c:strCache>
                <c:ptCount val="1"/>
                <c:pt idx="0">
                  <c:v>mid</c:v>
                </c:pt>
              </c:strCache>
            </c:strRef>
          </c:tx>
          <c:spPr>
            <a:ln w="19050" cap="rnd">
              <a:solidFill>
                <a:schemeClr val="accent6">
                  <a:lumMod val="60000"/>
                  <a:lumOff val="40000"/>
                </a:schemeClr>
              </a:solidFill>
              <a:round/>
            </a:ln>
            <a:effectLst/>
          </c:spPr>
          <c:marker>
            <c:symbol val="none"/>
          </c:marker>
          <c:xVal>
            <c:numRef>
              <c:f>'Low_Mid_High Scenarios'!$B$2:$AB$2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'Low_Mid_High Scenarios'!$B$4:$AB$4</c:f>
              <c:numCache>
                <c:formatCode>0</c:formatCode>
                <c:ptCount val="27"/>
                <c:pt idx="0">
                  <c:v>184</c:v>
                </c:pt>
                <c:pt idx="1">
                  <c:v>224</c:v>
                </c:pt>
                <c:pt idx="2">
                  <c:v>290</c:v>
                </c:pt>
                <c:pt idx="3">
                  <c:v>369</c:v>
                </c:pt>
                <c:pt idx="4">
                  <c:v>448</c:v>
                </c:pt>
                <c:pt idx="5">
                  <c:v>518</c:v>
                </c:pt>
                <c:pt idx="6">
                  <c:v>585</c:v>
                </c:pt>
                <c:pt idx="7">
                  <c:v>615.39999999999418</c:v>
                </c:pt>
                <c:pt idx="8">
                  <c:v>645.79999999999563</c:v>
                </c:pt>
                <c:pt idx="9">
                  <c:v>676.19999999999709</c:v>
                </c:pt>
                <c:pt idx="10">
                  <c:v>706.59999999999854</c:v>
                </c:pt>
                <c:pt idx="11">
                  <c:v>737</c:v>
                </c:pt>
                <c:pt idx="12">
                  <c:v>753.60000000000582</c:v>
                </c:pt>
                <c:pt idx="13">
                  <c:v>770.20000000000437</c:v>
                </c:pt>
                <c:pt idx="14">
                  <c:v>786.80000000000291</c:v>
                </c:pt>
                <c:pt idx="15">
                  <c:v>803.40000000000146</c:v>
                </c:pt>
                <c:pt idx="16">
                  <c:v>820</c:v>
                </c:pt>
                <c:pt idx="17">
                  <c:v>829.40000000000146</c:v>
                </c:pt>
                <c:pt idx="18">
                  <c:v>838.79999999999927</c:v>
                </c:pt>
                <c:pt idx="19">
                  <c:v>848.20000000000073</c:v>
                </c:pt>
                <c:pt idx="20">
                  <c:v>857.60000000000218</c:v>
                </c:pt>
                <c:pt idx="21">
                  <c:v>867</c:v>
                </c:pt>
                <c:pt idx="22">
                  <c:v>876.40000000000146</c:v>
                </c:pt>
                <c:pt idx="23">
                  <c:v>885.79999999999927</c:v>
                </c:pt>
                <c:pt idx="24">
                  <c:v>895.20000000000073</c:v>
                </c:pt>
                <c:pt idx="25">
                  <c:v>904.60000000000218</c:v>
                </c:pt>
                <c:pt idx="26">
                  <c:v>914</c:v>
                </c:pt>
              </c:numCache>
            </c:numRef>
          </c:yVal>
          <c:smooth val="0"/>
          <c:extLst>
            <c:ext xmlns:c16="http://schemas.microsoft.com/office/drawing/2014/chart" uri="{C3380CC4-5D6E-409C-BE32-E72D297353CC}">
              <c16:uniqueId val="{00000002-C8A9-40BC-B784-0F4684030D7B}"/>
            </c:ext>
          </c:extLst>
        </c:ser>
        <c:ser>
          <c:idx val="3"/>
          <c:order val="3"/>
          <c:tx>
            <c:v>IEA</c:v>
          </c:tx>
          <c:spPr>
            <a:ln w="25400" cap="rnd">
              <a:noFill/>
              <a:round/>
            </a:ln>
            <a:effectLst/>
          </c:spPr>
          <c:marker>
            <c:symbol val="circle"/>
            <c:size val="5"/>
            <c:spPr>
              <a:solidFill>
                <a:schemeClr val="accent4"/>
              </a:solidFill>
              <a:ln w="9525">
                <a:solidFill>
                  <a:schemeClr val="accent4"/>
                </a:solidFill>
              </a:ln>
              <a:effectLst/>
            </c:spPr>
          </c:marker>
          <c:xVal>
            <c:numRef>
              <c:f>IEA!$D$23:$E$23</c:f>
              <c:numCache>
                <c:formatCode>General</c:formatCode>
                <c:ptCount val="2"/>
                <c:pt idx="0">
                  <c:v>2025</c:v>
                </c:pt>
                <c:pt idx="1">
                  <c:v>2030</c:v>
                </c:pt>
              </c:numCache>
            </c:numRef>
          </c:xVal>
          <c:yVal>
            <c:numRef>
              <c:f>IEA!$D$24:$E$24</c:f>
              <c:numCache>
                <c:formatCode>General</c:formatCode>
                <c:ptCount val="2"/>
                <c:pt idx="0">
                  <c:v>224</c:v>
                </c:pt>
                <c:pt idx="1">
                  <c:v>426</c:v>
                </c:pt>
              </c:numCache>
            </c:numRef>
          </c:yVal>
          <c:smooth val="0"/>
          <c:extLst>
            <c:ext xmlns:c16="http://schemas.microsoft.com/office/drawing/2014/chart" uri="{C3380CC4-5D6E-409C-BE32-E72D297353CC}">
              <c16:uniqueId val="{00000000-439D-4AD7-A330-54A6695025FC}"/>
            </c:ext>
          </c:extLst>
        </c:ser>
        <c:dLbls>
          <c:showLegendKey val="0"/>
          <c:showVal val="0"/>
          <c:showCatName val="0"/>
          <c:showSerName val="0"/>
          <c:showPercent val="0"/>
          <c:showBubbleSize val="0"/>
        </c:dLbls>
        <c:axId val="2085314000"/>
        <c:axId val="2085316520"/>
      </c:scatterChart>
      <c:scatterChart>
        <c:scatterStyle val="lineMarker"/>
        <c:varyColors val="0"/>
        <c:ser>
          <c:idx val="4"/>
          <c:order val="4"/>
          <c:tx>
            <c:strRef>
              <c:f>'Low_Mid_High Scenarios'!$A$6</c:f>
              <c:strCache>
                <c:ptCount val="1"/>
                <c:pt idx="0">
                  <c:v>mid share of AEO commercial</c:v>
                </c:pt>
              </c:strCache>
            </c:strRef>
          </c:tx>
          <c:spPr>
            <a:ln w="19050" cap="rnd">
              <a:solidFill>
                <a:schemeClr val="accent2"/>
              </a:solidFill>
              <a:prstDash val="dash"/>
              <a:round/>
            </a:ln>
            <a:effectLst/>
          </c:spPr>
          <c:marker>
            <c:symbol val="none"/>
          </c:marker>
          <c:xVal>
            <c:numRef>
              <c:f>'Low_Mid_High Scenarios'!$C$2:$AB$2</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xVal>
          <c:yVal>
            <c:numRef>
              <c:f>'Low_Mid_High Scenarios'!$C$6:$AB$6</c:f>
              <c:numCache>
                <c:formatCode>0%</c:formatCode>
                <c:ptCount val="26"/>
                <c:pt idx="0">
                  <c:v>0.15212902991557539</c:v>
                </c:pt>
                <c:pt idx="1">
                  <c:v>0.18839537329183526</c:v>
                </c:pt>
                <c:pt idx="2">
                  <c:v>0.23731044824730663</c:v>
                </c:pt>
                <c:pt idx="3">
                  <c:v>0.28444521813543777</c:v>
                </c:pt>
                <c:pt idx="4">
                  <c:v>0.32478630968472066</c:v>
                </c:pt>
                <c:pt idx="5">
                  <c:v>0.36370222906443861</c:v>
                </c:pt>
                <c:pt idx="6">
                  <c:v>0.37910935995770323</c:v>
                </c:pt>
                <c:pt idx="7">
                  <c:v>0.393889889520806</c:v>
                </c:pt>
                <c:pt idx="8">
                  <c:v>0.40795230489516748</c:v>
                </c:pt>
                <c:pt idx="9">
                  <c:v>0.42153246534950545</c:v>
                </c:pt>
                <c:pt idx="10">
                  <c:v>0.43447014056945377</c:v>
                </c:pt>
                <c:pt idx="11">
                  <c:v>0.43853129145878789</c:v>
                </c:pt>
                <c:pt idx="12">
                  <c:v>0.44252598201787247</c:v>
                </c:pt>
                <c:pt idx="13">
                  <c:v>0.44631937052831533</c:v>
                </c:pt>
                <c:pt idx="14">
                  <c:v>0.45011744216215338</c:v>
                </c:pt>
                <c:pt idx="15">
                  <c:v>0.45392465948153865</c:v>
                </c:pt>
                <c:pt idx="16">
                  <c:v>0.45342323526859618</c:v>
                </c:pt>
                <c:pt idx="17">
                  <c:v>0.45303152656763168</c:v>
                </c:pt>
                <c:pt idx="18">
                  <c:v>0.45246959280043314</c:v>
                </c:pt>
                <c:pt idx="19">
                  <c:v>0.45199543911725426</c:v>
                </c:pt>
                <c:pt idx="20">
                  <c:v>0.4515255687360209</c:v>
                </c:pt>
                <c:pt idx="21">
                  <c:v>0.45149219036973348</c:v>
                </c:pt>
                <c:pt idx="22">
                  <c:v>0.45198315310712572</c:v>
                </c:pt>
                <c:pt idx="23">
                  <c:v>0.45279622953463944</c:v>
                </c:pt>
                <c:pt idx="24">
                  <c:v>0.45373450568766144</c:v>
                </c:pt>
                <c:pt idx="25">
                  <c:v>0.45488002187811655</c:v>
                </c:pt>
              </c:numCache>
            </c:numRef>
          </c:yVal>
          <c:smooth val="0"/>
          <c:extLst>
            <c:ext xmlns:c16="http://schemas.microsoft.com/office/drawing/2014/chart" uri="{C3380CC4-5D6E-409C-BE32-E72D297353CC}">
              <c16:uniqueId val="{00000000-5B12-4DC2-99FD-259E42580A79}"/>
            </c:ext>
          </c:extLst>
        </c:ser>
        <c:dLbls>
          <c:showLegendKey val="0"/>
          <c:showVal val="0"/>
          <c:showCatName val="0"/>
          <c:showSerName val="0"/>
          <c:showPercent val="0"/>
          <c:showBubbleSize val="0"/>
        </c:dLbls>
        <c:axId val="237986032"/>
        <c:axId val="1979247568"/>
      </c:scatterChart>
      <c:valAx>
        <c:axId val="208531400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2085316520"/>
        <c:crosses val="autoZero"/>
        <c:crossBetween val="midCat"/>
      </c:valAx>
      <c:valAx>
        <c:axId val="2085316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entury Gothic" panose="020B0502020202020204" pitchFamily="34" charset="0"/>
                    <a:ea typeface="+mn-ea"/>
                    <a:cs typeface="+mn-cs"/>
                  </a:defRPr>
                </a:pPr>
                <a:r>
                  <a:rPr lang="en-US"/>
                  <a:t>TWh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title>
        <c:numFmt formatCode="0" sourceLinked="1"/>
        <c:majorTickMark val="in"/>
        <c:minorTickMark val="none"/>
        <c:tickLblPos val="nextTo"/>
        <c:spPr>
          <a:noFill/>
          <a:ln w="25400" cap="flat" cmpd="sng" algn="ctr">
            <a:solidFill>
              <a:schemeClr val="accent6"/>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2085314000"/>
        <c:crosses val="autoZero"/>
        <c:crossBetween val="midCat"/>
      </c:valAx>
      <c:valAx>
        <c:axId val="1979247568"/>
        <c:scaling>
          <c:orientation val="minMax"/>
        </c:scaling>
        <c:delete val="0"/>
        <c:axPos val="r"/>
        <c:numFmt formatCode="0%" sourceLinked="1"/>
        <c:majorTickMark val="in"/>
        <c:minorTickMark val="none"/>
        <c:tickLblPos val="nextTo"/>
        <c:spPr>
          <a:noFill/>
          <a:ln w="25400" cap="flat" cmpd="sng" algn="ctr">
            <a:solidFill>
              <a:schemeClr val="accent2"/>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237986032"/>
        <c:crosses val="max"/>
        <c:crossBetween val="midCat"/>
      </c:valAx>
      <c:valAx>
        <c:axId val="237986032"/>
        <c:scaling>
          <c:orientation val="minMax"/>
        </c:scaling>
        <c:delete val="1"/>
        <c:axPos val="b"/>
        <c:numFmt formatCode="General" sourceLinked="1"/>
        <c:majorTickMark val="out"/>
        <c:minorTickMark val="none"/>
        <c:tickLblPos val="nextTo"/>
        <c:crossAx val="1979247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entury Gothic" panose="020B0502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455612</xdr:colOff>
      <xdr:row>8</xdr:row>
      <xdr:rowOff>47624</xdr:rowOff>
    </xdr:from>
    <xdr:to>
      <xdr:col>15</xdr:col>
      <xdr:colOff>226218</xdr:colOff>
      <xdr:row>24</xdr:row>
      <xdr:rowOff>115886</xdr:rowOff>
    </xdr:to>
    <xdr:graphicFrame macro="">
      <xdr:nvGraphicFramePr>
        <xdr:cNvPr id="2" name="Chart 1">
          <a:extLst>
            <a:ext uri="{FF2B5EF4-FFF2-40B4-BE49-F238E27FC236}">
              <a16:creationId xmlns:a16="http://schemas.microsoft.com/office/drawing/2014/main" id="{8E4A25E5-B3B1-411B-BE77-9ABC8C2EE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201622</xdr:colOff>
      <xdr:row>21</xdr:row>
      <xdr:rowOff>76200</xdr:rowOff>
    </xdr:to>
    <xdr:pic>
      <xdr:nvPicPr>
        <xdr:cNvPr id="2" name="Picture 1">
          <a:extLst>
            <a:ext uri="{FF2B5EF4-FFF2-40B4-BE49-F238E27FC236}">
              <a16:creationId xmlns:a16="http://schemas.microsoft.com/office/drawing/2014/main" id="{597BE280-FC34-2E75-3B0A-C18D9A2747C9}"/>
            </a:ext>
          </a:extLst>
        </xdr:cNvPr>
        <xdr:cNvPicPr>
          <a:picLocks noChangeAspect="1"/>
        </xdr:cNvPicPr>
      </xdr:nvPicPr>
      <xdr:blipFill>
        <a:blip xmlns:r="http://schemas.openxmlformats.org/officeDocument/2006/relationships" r:embed="rId1"/>
        <a:stretch>
          <a:fillRect/>
        </a:stretch>
      </xdr:blipFill>
      <xdr:spPr>
        <a:xfrm>
          <a:off x="609600" y="190500"/>
          <a:ext cx="5326901" cy="3886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790575</xdr:colOff>
      <xdr:row>15</xdr:row>
      <xdr:rowOff>175450</xdr:rowOff>
    </xdr:from>
    <xdr:to>
      <xdr:col>23</xdr:col>
      <xdr:colOff>382719</xdr:colOff>
      <xdr:row>39</xdr:row>
      <xdr:rowOff>48486</xdr:rowOff>
    </xdr:to>
    <xdr:pic>
      <xdr:nvPicPr>
        <xdr:cNvPr id="2" name="Picture 1">
          <a:extLst>
            <a:ext uri="{FF2B5EF4-FFF2-40B4-BE49-F238E27FC236}">
              <a16:creationId xmlns:a16="http://schemas.microsoft.com/office/drawing/2014/main" id="{DB230C55-6325-4F59-B287-53727B1D00F4}"/>
            </a:ext>
          </a:extLst>
        </xdr:cNvPr>
        <xdr:cNvPicPr>
          <a:picLocks noChangeAspect="1"/>
        </xdr:cNvPicPr>
      </xdr:nvPicPr>
      <xdr:blipFill>
        <a:blip xmlns:r="http://schemas.openxmlformats.org/officeDocument/2006/relationships" r:embed="rId1"/>
        <a:stretch>
          <a:fillRect/>
        </a:stretch>
      </xdr:blipFill>
      <xdr:spPr>
        <a:xfrm>
          <a:off x="10607675" y="3121850"/>
          <a:ext cx="8967919" cy="421008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bldgs/BCEU/BAU%20Components%20Energy%20Use.xlsx" TargetMode="External"/><Relationship Id="rId2" Type="http://schemas.openxmlformats.org/officeDocument/2006/relationships/externalLinkPath" Target="file:///C:\Users\MeganMahajan\Documents\eps-us\InputData\bldgs\BCEU\BAU%20Components%20Energy%20Use.xlsx" TargetMode="External"/><Relationship Id="rId1" Type="http://schemas.openxmlformats.org/officeDocument/2006/relationships/externalLinkPath" Target="/Users/MeganMahajan/Documents/eps-us/InputData/bldgs/BCEU/BAU%20Components%20Energy%20U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Source Data&gt;"/>
      <sheetName val="RECS HC2.1"/>
      <sheetName val="Table_4._Residential_Sector_Key"/>
      <sheetName val="AEO 2025 Table 5"/>
      <sheetName val="AEO 2023 Table 5"/>
      <sheetName val="AEO Data Center Load"/>
      <sheetName val="Water and Waste"/>
      <sheetName val="Calcs&gt;"/>
      <sheetName val="Crosswalk AEO to EPS Summary"/>
      <sheetName val="Calculations"/>
      <sheetName val="BCEU-urban-residential-heating"/>
      <sheetName val="BCEU-urban-residential-cooling"/>
      <sheetName val="BCEU-urban-residential-lighting"/>
      <sheetName val="BCEU-urban-residential-appl"/>
      <sheetName val="BCEU-urban-residential-other"/>
      <sheetName val="BCEU-rural-residential-heating"/>
      <sheetName val="BCEU-rural-residential-cooling"/>
      <sheetName val="BCEU-rural-residential-lighting"/>
      <sheetName val="BCEU-rural-residential-appl"/>
      <sheetName val="BCEU-rural-residential-other"/>
      <sheetName val="BCEU-commercial-heating"/>
      <sheetName val="BCEU-commercial-cooling"/>
      <sheetName val="BCEU-commercial-lighting"/>
      <sheetName val="BCEU-commercial-appl"/>
      <sheetName val="BCEU-commercial-other"/>
      <sheetName val="BCEU-all-envelope"/>
    </sheetNames>
    <sheetDataSet>
      <sheetData sheetId="0">
        <row r="53">
          <cell r="C53">
            <v>0.04</v>
          </cell>
        </row>
        <row r="74">
          <cell r="A74">
            <v>0.81308184246741677</v>
          </cell>
        </row>
        <row r="75">
          <cell r="A75">
            <v>0.18691815753258317</v>
          </cell>
        </row>
        <row r="77">
          <cell r="B77">
            <v>1000000000000000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evolved.energy/us-adp-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workbookViewId="0">
      <selection activeCell="D36" sqref="D36"/>
    </sheetView>
  </sheetViews>
  <sheetFormatPr defaultRowHeight="15" x14ac:dyDescent="0.25"/>
  <cols>
    <col min="2" max="2" width="46.7109375" customWidth="1"/>
    <col min="4" max="4" width="58.140625" bestFit="1" customWidth="1"/>
  </cols>
  <sheetData>
    <row r="1" spans="1:4" x14ac:dyDescent="0.25">
      <c r="A1" t="s">
        <v>4</v>
      </c>
    </row>
    <row r="3" spans="1:4" x14ac:dyDescent="0.25">
      <c r="A3" s="4" t="s">
        <v>2</v>
      </c>
      <c r="B3" s="5" t="s">
        <v>149</v>
      </c>
      <c r="D3" s="5" t="s">
        <v>144</v>
      </c>
    </row>
    <row r="4" spans="1:4" x14ac:dyDescent="0.25">
      <c r="B4" t="s">
        <v>145</v>
      </c>
      <c r="D4" t="s">
        <v>150</v>
      </c>
    </row>
    <row r="5" spans="1:4" x14ac:dyDescent="0.25">
      <c r="B5" s="6">
        <v>2026</v>
      </c>
      <c r="D5" s="6">
        <v>2026</v>
      </c>
    </row>
    <row r="6" spans="1:4" x14ac:dyDescent="0.25">
      <c r="B6" s="6" t="s">
        <v>146</v>
      </c>
      <c r="D6" s="6" t="s">
        <v>151</v>
      </c>
    </row>
    <row r="7" spans="1:4" x14ac:dyDescent="0.25">
      <c r="B7" s="6" t="s">
        <v>147</v>
      </c>
      <c r="D7" s="6" t="s">
        <v>152</v>
      </c>
    </row>
    <row r="8" spans="1:4" x14ac:dyDescent="0.25">
      <c r="B8" s="6" t="s">
        <v>148</v>
      </c>
      <c r="D8" s="6" t="s">
        <v>153</v>
      </c>
    </row>
    <row r="10" spans="1:4" x14ac:dyDescent="0.25">
      <c r="B10" s="5" t="s">
        <v>61</v>
      </c>
    </row>
    <row r="11" spans="1:4" x14ac:dyDescent="0.25">
      <c r="B11" t="s">
        <v>62</v>
      </c>
    </row>
    <row r="12" spans="1:4" x14ac:dyDescent="0.25">
      <c r="B12" s="6">
        <v>2025</v>
      </c>
    </row>
    <row r="13" spans="1:4" x14ac:dyDescent="0.25">
      <c r="B13" s="6" t="s">
        <v>334</v>
      </c>
    </row>
    <row r="14" spans="1:4" x14ac:dyDescent="0.25">
      <c r="B14" s="2" t="s">
        <v>63</v>
      </c>
    </row>
    <row r="15" spans="1:4" x14ac:dyDescent="0.25">
      <c r="B15" t="s">
        <v>64</v>
      </c>
    </row>
    <row r="17" spans="1:2" x14ac:dyDescent="0.25">
      <c r="B17" s="5" t="s">
        <v>129</v>
      </c>
    </row>
    <row r="18" spans="1:2" x14ac:dyDescent="0.25">
      <c r="B18" t="s">
        <v>65</v>
      </c>
    </row>
    <row r="19" spans="1:2" x14ac:dyDescent="0.25">
      <c r="B19" s="6">
        <v>2024</v>
      </c>
    </row>
    <row r="20" spans="1:2" x14ac:dyDescent="0.25">
      <c r="B20" s="6" t="s">
        <v>66</v>
      </c>
    </row>
    <row r="21" spans="1:2" x14ac:dyDescent="0.25">
      <c r="B21" s="2" t="s">
        <v>67</v>
      </c>
    </row>
    <row r="23" spans="1:2" x14ac:dyDescent="0.25">
      <c r="A23" t="s">
        <v>330</v>
      </c>
    </row>
    <row r="24" spans="1:2" x14ac:dyDescent="0.25">
      <c r="A24" t="s">
        <v>331</v>
      </c>
    </row>
    <row r="25" spans="1:2" x14ac:dyDescent="0.25">
      <c r="A25" t="s">
        <v>332</v>
      </c>
    </row>
    <row r="27" spans="1:2" x14ac:dyDescent="0.25">
      <c r="A27" s="4" t="s">
        <v>3</v>
      </c>
    </row>
    <row r="28" spans="1:2" x14ac:dyDescent="0.25">
      <c r="A28" t="s">
        <v>328</v>
      </c>
    </row>
    <row r="29" spans="1:2" x14ac:dyDescent="0.25">
      <c r="A29" t="s">
        <v>329</v>
      </c>
    </row>
    <row r="30" spans="1:2" x14ac:dyDescent="0.25">
      <c r="A30" t="s">
        <v>333</v>
      </c>
    </row>
    <row r="33" spans="1:2" x14ac:dyDescent="0.25">
      <c r="A33" t="s">
        <v>126</v>
      </c>
    </row>
    <row r="34" spans="1:2" x14ac:dyDescent="0.25">
      <c r="A34">
        <v>293</v>
      </c>
    </row>
    <row r="36" spans="1:2" ht="120" x14ac:dyDescent="0.25">
      <c r="A36" s="4" t="s">
        <v>351</v>
      </c>
      <c r="B36" s="41" t="s">
        <v>352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4E364-82EC-413B-9E5F-4D9B991497B1}">
  <sheetPr>
    <tabColor theme="9"/>
  </sheetPr>
  <dimension ref="A1:AB32"/>
  <sheetViews>
    <sheetView zoomScale="80" zoomScaleNormal="80" workbookViewId="0">
      <selection activeCell="V13" sqref="V13"/>
    </sheetView>
  </sheetViews>
  <sheetFormatPr defaultRowHeight="15" x14ac:dyDescent="0.25"/>
  <cols>
    <col min="1" max="1" width="25.28515625" customWidth="1"/>
    <col min="2" max="2" width="13.28515625" customWidth="1"/>
  </cols>
  <sheetData>
    <row r="1" spans="1:28" s="16" customFormat="1" x14ac:dyDescent="0.25">
      <c r="B1" s="16" t="s">
        <v>17</v>
      </c>
    </row>
    <row r="2" spans="1:28" x14ac:dyDescent="0.25">
      <c r="A2" s="4" t="s">
        <v>1</v>
      </c>
      <c r="B2" s="4">
        <v>2024</v>
      </c>
      <c r="C2" s="4">
        <f t="shared" ref="C2:AA2" si="0">B2+1</f>
        <v>2025</v>
      </c>
      <c r="D2" s="4">
        <f t="shared" si="0"/>
        <v>2026</v>
      </c>
      <c r="E2" s="4">
        <f t="shared" si="0"/>
        <v>2027</v>
      </c>
      <c r="F2" s="4">
        <f t="shared" si="0"/>
        <v>2028</v>
      </c>
      <c r="G2" s="4">
        <f t="shared" si="0"/>
        <v>2029</v>
      </c>
      <c r="H2" s="4">
        <f t="shared" si="0"/>
        <v>2030</v>
      </c>
      <c r="I2" s="4">
        <f t="shared" si="0"/>
        <v>2031</v>
      </c>
      <c r="J2" s="4">
        <f t="shared" si="0"/>
        <v>2032</v>
      </c>
      <c r="K2" s="4">
        <f t="shared" si="0"/>
        <v>2033</v>
      </c>
      <c r="L2" s="4">
        <f t="shared" si="0"/>
        <v>2034</v>
      </c>
      <c r="M2" s="4">
        <f t="shared" si="0"/>
        <v>2035</v>
      </c>
      <c r="N2" s="4">
        <f t="shared" si="0"/>
        <v>2036</v>
      </c>
      <c r="O2" s="4">
        <f t="shared" si="0"/>
        <v>2037</v>
      </c>
      <c r="P2" s="4">
        <f t="shared" si="0"/>
        <v>2038</v>
      </c>
      <c r="Q2" s="4">
        <f t="shared" si="0"/>
        <v>2039</v>
      </c>
      <c r="R2" s="4">
        <f t="shared" si="0"/>
        <v>2040</v>
      </c>
      <c r="S2" s="4">
        <f t="shared" si="0"/>
        <v>2041</v>
      </c>
      <c r="T2" s="4">
        <f t="shared" si="0"/>
        <v>2042</v>
      </c>
      <c r="U2" s="4">
        <f t="shared" si="0"/>
        <v>2043</v>
      </c>
      <c r="V2" s="4">
        <f t="shared" si="0"/>
        <v>2044</v>
      </c>
      <c r="W2" s="4">
        <f t="shared" si="0"/>
        <v>2045</v>
      </c>
      <c r="X2" s="4">
        <f t="shared" si="0"/>
        <v>2046</v>
      </c>
      <c r="Y2" s="4">
        <f t="shared" si="0"/>
        <v>2047</v>
      </c>
      <c r="Z2" s="4">
        <f>Y2+1</f>
        <v>2048</v>
      </c>
      <c r="AA2" s="4">
        <f t="shared" si="0"/>
        <v>2049</v>
      </c>
      <c r="AB2" s="4">
        <f>AA2+1</f>
        <v>2050</v>
      </c>
    </row>
    <row r="3" spans="1:28" x14ac:dyDescent="0.25">
      <c r="A3" s="9" t="s">
        <v>8</v>
      </c>
      <c r="B3" s="20">
        <f>EPRI!$F$5</f>
        <v>184</v>
      </c>
      <c r="C3" s="32">
        <f>IEA!$D$24</f>
        <v>224</v>
      </c>
      <c r="D3" s="36" cm="1">
        <f t="array" ref="D3:H3">$C$3+TRANSPOSE(EPRI!G8:G12)</f>
        <v>263</v>
      </c>
      <c r="E3" s="33">
        <v>308</v>
      </c>
      <c r="F3" s="33">
        <v>345</v>
      </c>
      <c r="G3" s="33">
        <v>371</v>
      </c>
      <c r="H3" s="33">
        <v>396</v>
      </c>
      <c r="I3" s="22">
        <f>H3+('AEO 2026 Table 5'!K24-'AEO 2026 Table 5'!J24)*About!$A$34</f>
        <v>411.49090999999999</v>
      </c>
      <c r="J3" s="22">
        <f>I3+('AEO 2026 Table 5'!L24-'AEO 2026 Table 5'!K24)*About!$A$34</f>
        <v>427.27921499999997</v>
      </c>
      <c r="K3" s="22">
        <f>J3+('AEO 2026 Table 5'!M24-'AEO 2026 Table 5'!L24)*About!$A$34</f>
        <v>443.35700399999996</v>
      </c>
      <c r="L3" s="22">
        <f>K3+('AEO 2026 Table 5'!N24-'AEO 2026 Table 5'!M24)*About!$A$34</f>
        <v>459.66919299999995</v>
      </c>
      <c r="M3" s="22">
        <f>L3+('AEO 2026 Table 5'!O24-'AEO 2026 Table 5'!N24)*About!$A$34</f>
        <v>476.16831599999995</v>
      </c>
      <c r="N3" s="22">
        <f>M3+('AEO 2026 Table 5'!P24-'AEO 2026 Table 5'!O24)*About!$A$34</f>
        <v>492.77203999999995</v>
      </c>
      <c r="O3" s="22">
        <f>N3+('AEO 2026 Table 5'!Q24-'AEO 2026 Table 5'!P24)*About!$A$34</f>
        <v>509.40359899999993</v>
      </c>
      <c r="P3" s="22">
        <f>O3+('AEO 2026 Table 5'!R24-'AEO 2026 Table 5'!Q24)*About!$A$34</f>
        <v>525.85730699999988</v>
      </c>
      <c r="Q3" s="22">
        <f>P3+('AEO 2026 Table 5'!S24-'AEO 2026 Table 5'!R24)*About!$A$34</f>
        <v>541.98812899999996</v>
      </c>
      <c r="R3" s="22">
        <f>Q3+('AEO 2026 Table 5'!T24-'AEO 2026 Table 5'!S24)*About!$A$34</f>
        <v>557.64663499999995</v>
      </c>
      <c r="S3" s="22">
        <f>R3+('AEO 2026 Table 5'!U24-'AEO 2026 Table 5'!T24)*About!$A$34</f>
        <v>572.77334599999995</v>
      </c>
      <c r="T3" s="22">
        <f>S3+('AEO 2026 Table 5'!V24-'AEO 2026 Table 5'!U24)*About!$A$34</f>
        <v>587.12858799999992</v>
      </c>
      <c r="U3" s="22">
        <f>T3+('AEO 2026 Table 5'!W24-'AEO 2026 Table 5'!V24)*About!$A$34</f>
        <v>600.72613199999989</v>
      </c>
      <c r="V3" s="22">
        <f>U3+('AEO 2026 Table 5'!X24-'AEO 2026 Table 5'!W24)*About!$A$34</f>
        <v>613.33128499999987</v>
      </c>
      <c r="W3" s="22">
        <f>V3+('AEO 2026 Table 5'!Y24-'AEO 2026 Table 5'!X24)*About!$A$34</f>
        <v>624.94814899999994</v>
      </c>
      <c r="X3" s="22">
        <f>W3+('AEO 2026 Table 5'!Z24-'AEO 2026 Table 5'!Y24)*About!$A$34</f>
        <v>635.29808099999991</v>
      </c>
      <c r="Y3" s="22">
        <f>X3+('AEO 2026 Table 5'!AA24-'AEO 2026 Table 5'!Z24)*About!$A$34</f>
        <v>644.2914229999999</v>
      </c>
      <c r="Z3" s="22">
        <f>Y3+('AEO 2026 Table 5'!AB24-'AEO 2026 Table 5'!AA24)*About!$A$34</f>
        <v>651.82972699999993</v>
      </c>
      <c r="AA3" s="22">
        <f>Z3+('AEO 2026 Table 5'!AC24-'AEO 2026 Table 5'!AB24)*About!$A$34</f>
        <v>657.85703000000001</v>
      </c>
      <c r="AB3" s="22">
        <f>AA3+('AEO 2026 Table 5'!AD24-'AEO 2026 Table 5'!AC24)*About!$A$34</f>
        <v>663.20984699999997</v>
      </c>
    </row>
    <row r="4" spans="1:28" x14ac:dyDescent="0.25">
      <c r="A4" s="9" t="s">
        <v>6</v>
      </c>
      <c r="B4" s="20">
        <f>B3</f>
        <v>184</v>
      </c>
      <c r="C4" s="32">
        <f>IEA!$D$24</f>
        <v>224</v>
      </c>
      <c r="D4" s="34" cm="1">
        <f t="array" ref="D4:H4">$C$4+TRANSPOSE(EPRI!G15:G19)</f>
        <v>290</v>
      </c>
      <c r="E4" s="34">
        <v>369</v>
      </c>
      <c r="F4" s="34">
        <v>448</v>
      </c>
      <c r="G4" s="34">
        <v>518</v>
      </c>
      <c r="H4" s="34">
        <v>585</v>
      </c>
      <c r="I4" s="29">
        <f>H4+I27-H27</f>
        <v>615.39999999999418</v>
      </c>
      <c r="J4" s="29">
        <f t="shared" ref="J4:AB4" si="1">I4+J27-I27</f>
        <v>645.79999999999563</v>
      </c>
      <c r="K4" s="29">
        <f t="shared" si="1"/>
        <v>676.19999999999709</v>
      </c>
      <c r="L4" s="29">
        <f t="shared" si="1"/>
        <v>706.59999999999854</v>
      </c>
      <c r="M4" s="29">
        <f t="shared" si="1"/>
        <v>737</v>
      </c>
      <c r="N4" s="29">
        <f t="shared" si="1"/>
        <v>753.60000000000582</v>
      </c>
      <c r="O4" s="29">
        <f t="shared" si="1"/>
        <v>770.20000000000437</v>
      </c>
      <c r="P4" s="29">
        <f t="shared" si="1"/>
        <v>786.80000000000291</v>
      </c>
      <c r="Q4" s="29">
        <f t="shared" si="1"/>
        <v>803.40000000000146</v>
      </c>
      <c r="R4" s="29">
        <f t="shared" si="1"/>
        <v>820</v>
      </c>
      <c r="S4" s="29">
        <f t="shared" si="1"/>
        <v>829.40000000000146</v>
      </c>
      <c r="T4" s="29">
        <f t="shared" si="1"/>
        <v>838.79999999999927</v>
      </c>
      <c r="U4" s="29">
        <f t="shared" si="1"/>
        <v>848.20000000000073</v>
      </c>
      <c r="V4" s="29">
        <f t="shared" si="1"/>
        <v>857.60000000000218</v>
      </c>
      <c r="W4" s="29">
        <f t="shared" si="1"/>
        <v>867</v>
      </c>
      <c r="X4" s="29">
        <f t="shared" si="1"/>
        <v>876.40000000000146</v>
      </c>
      <c r="Y4" s="29">
        <f t="shared" si="1"/>
        <v>885.79999999999927</v>
      </c>
      <c r="Z4" s="29">
        <f t="shared" si="1"/>
        <v>895.20000000000073</v>
      </c>
      <c r="AA4" s="29">
        <f t="shared" si="1"/>
        <v>904.60000000000218</v>
      </c>
      <c r="AB4" s="29">
        <f t="shared" si="1"/>
        <v>914</v>
      </c>
    </row>
    <row r="5" spans="1:28" x14ac:dyDescent="0.25">
      <c r="A5" s="9" t="s">
        <v>9</v>
      </c>
      <c r="B5" s="20">
        <f>B3</f>
        <v>184</v>
      </c>
      <c r="C5" s="32">
        <f>IEA!$D$24</f>
        <v>224</v>
      </c>
      <c r="D5" s="35" cm="1">
        <f t="array" ref="D5:H5">C5+TRANSPOSE(EPRI!G22:G26)</f>
        <v>314</v>
      </c>
      <c r="E5" s="35">
        <v>425</v>
      </c>
      <c r="F5" s="35">
        <v>544</v>
      </c>
      <c r="G5" s="35">
        <v>653</v>
      </c>
      <c r="H5" s="35">
        <v>760</v>
      </c>
      <c r="I5" s="30">
        <f>H5+I31-H31</f>
        <v>825</v>
      </c>
      <c r="J5" s="30">
        <f t="shared" ref="J5:AB5" si="2">I5+J31-I31</f>
        <v>890</v>
      </c>
      <c r="K5" s="30">
        <f t="shared" si="2"/>
        <v>955</v>
      </c>
      <c r="L5" s="30">
        <f t="shared" si="2"/>
        <v>1020</v>
      </c>
      <c r="M5" s="30">
        <f t="shared" si="2"/>
        <v>1085</v>
      </c>
      <c r="N5" s="30">
        <f t="shared" si="2"/>
        <v>1120.7999999999884</v>
      </c>
      <c r="O5" s="30">
        <f t="shared" si="2"/>
        <v>1156.5999999999913</v>
      </c>
      <c r="P5" s="30">
        <f t="shared" si="2"/>
        <v>1192.3999999999942</v>
      </c>
      <c r="Q5" s="30">
        <f t="shared" si="2"/>
        <v>1228.1999999999971</v>
      </c>
      <c r="R5" s="30">
        <f t="shared" si="2"/>
        <v>1264</v>
      </c>
      <c r="S5" s="30">
        <f t="shared" si="2"/>
        <v>1309.7000000000116</v>
      </c>
      <c r="T5" s="30">
        <f t="shared" si="2"/>
        <v>1355.4000000000087</v>
      </c>
      <c r="U5" s="30">
        <f t="shared" si="2"/>
        <v>1401.1000000000058</v>
      </c>
      <c r="V5" s="30">
        <f t="shared" si="2"/>
        <v>1446.8000000000029</v>
      </c>
      <c r="W5" s="30">
        <f t="shared" si="2"/>
        <v>1492.5</v>
      </c>
      <c r="X5" s="30">
        <f t="shared" si="2"/>
        <v>1538.2000000000116</v>
      </c>
      <c r="Y5" s="30">
        <f t="shared" si="2"/>
        <v>1583.9000000000087</v>
      </c>
      <c r="Z5" s="30">
        <f t="shared" si="2"/>
        <v>1629.6000000000058</v>
      </c>
      <c r="AA5" s="30">
        <f t="shared" si="2"/>
        <v>1675.3000000000029</v>
      </c>
      <c r="AB5" s="30">
        <f t="shared" si="2"/>
        <v>1721</v>
      </c>
    </row>
    <row r="6" spans="1:28" x14ac:dyDescent="0.25">
      <c r="A6" t="s">
        <v>335</v>
      </c>
      <c r="C6" s="40">
        <f>C4/'AEO 2026 Table 5'!E30/About!$A$34</f>
        <v>0.15212902991557539</v>
      </c>
      <c r="D6" s="40">
        <f>D4/'AEO 2026 Table 5'!F30/About!$A$34</f>
        <v>0.18839537329183526</v>
      </c>
      <c r="E6" s="40">
        <f>E4/'AEO 2026 Table 5'!G30/About!$A$34</f>
        <v>0.23731044824730663</v>
      </c>
      <c r="F6" s="40">
        <f>F4/'AEO 2026 Table 5'!H30/About!$A$34</f>
        <v>0.28444521813543777</v>
      </c>
      <c r="G6" s="40">
        <f>G4/'AEO 2026 Table 5'!I30/About!$A$34</f>
        <v>0.32478630968472066</v>
      </c>
      <c r="H6" s="40">
        <f>H4/'AEO 2026 Table 5'!J30/About!$A$34</f>
        <v>0.36370222906443861</v>
      </c>
      <c r="I6" s="40">
        <f>I4/'AEO 2026 Table 5'!K30/About!$A$34</f>
        <v>0.37910935995770323</v>
      </c>
      <c r="J6" s="40">
        <f>J4/'AEO 2026 Table 5'!L30/About!$A$34</f>
        <v>0.393889889520806</v>
      </c>
      <c r="K6" s="40">
        <f>K4/'AEO 2026 Table 5'!M30/About!$A$34</f>
        <v>0.40795230489516748</v>
      </c>
      <c r="L6" s="40">
        <f>L4/'AEO 2026 Table 5'!N30/About!$A$34</f>
        <v>0.42153246534950545</v>
      </c>
      <c r="M6" s="40">
        <f>M4/'AEO 2026 Table 5'!O30/About!$A$34</f>
        <v>0.43447014056945377</v>
      </c>
      <c r="N6" s="40">
        <f>N4/'AEO 2026 Table 5'!P30/About!$A$34</f>
        <v>0.43853129145878789</v>
      </c>
      <c r="O6" s="40">
        <f>O4/'AEO 2026 Table 5'!Q30/About!$A$34</f>
        <v>0.44252598201787247</v>
      </c>
      <c r="P6" s="40">
        <f>P4/'AEO 2026 Table 5'!R30/About!$A$34</f>
        <v>0.44631937052831533</v>
      </c>
      <c r="Q6" s="40">
        <f>Q4/'AEO 2026 Table 5'!S30/About!$A$34</f>
        <v>0.45011744216215338</v>
      </c>
      <c r="R6" s="40">
        <f>R4/'AEO 2026 Table 5'!T30/About!$A$34</f>
        <v>0.45392465948153865</v>
      </c>
      <c r="S6" s="40">
        <f>S4/'AEO 2026 Table 5'!U30/About!$A$34</f>
        <v>0.45342323526859618</v>
      </c>
      <c r="T6" s="40">
        <f>T4/'AEO 2026 Table 5'!V30/About!$A$34</f>
        <v>0.45303152656763168</v>
      </c>
      <c r="U6" s="40">
        <f>U4/'AEO 2026 Table 5'!W30/About!$A$34</f>
        <v>0.45246959280043314</v>
      </c>
      <c r="V6" s="40">
        <f>V4/'AEO 2026 Table 5'!X30/About!$A$34</f>
        <v>0.45199543911725426</v>
      </c>
      <c r="W6" s="40">
        <f>W4/'AEO 2026 Table 5'!Y30/About!$A$34</f>
        <v>0.4515255687360209</v>
      </c>
      <c r="X6" s="40">
        <f>X4/'AEO 2026 Table 5'!Z30/About!$A$34</f>
        <v>0.45149219036973348</v>
      </c>
      <c r="Y6" s="40">
        <f>Y4/'AEO 2026 Table 5'!AA30/About!$A$34</f>
        <v>0.45198315310712572</v>
      </c>
      <c r="Z6" s="40">
        <f>Z4/'AEO 2026 Table 5'!AB30/About!$A$34</f>
        <v>0.45279622953463944</v>
      </c>
      <c r="AA6" s="40">
        <f>AA4/'AEO 2026 Table 5'!AC30/About!$A$34</f>
        <v>0.45373450568766144</v>
      </c>
      <c r="AB6" s="40">
        <f>AB4/'AEO 2026 Table 5'!AD30/About!$A$34</f>
        <v>0.45488002187811655</v>
      </c>
    </row>
    <row r="7" spans="1:28" x14ac:dyDescent="0.25">
      <c r="C7" s="40"/>
      <c r="D7" s="40"/>
      <c r="E7" s="40"/>
      <c r="F7" s="40"/>
      <c r="G7" s="40"/>
      <c r="H7" s="40"/>
      <c r="I7" s="40"/>
      <c r="J7" s="40"/>
      <c r="K7" s="40"/>
      <c r="L7" s="40"/>
      <c r="M7" s="40"/>
      <c r="N7" s="40"/>
      <c r="O7" s="40"/>
      <c r="P7" s="40"/>
      <c r="Q7" s="40"/>
      <c r="R7" s="40"/>
      <c r="S7" s="40"/>
      <c r="T7" s="40"/>
      <c r="U7" s="40"/>
      <c r="V7" s="40"/>
      <c r="W7" s="40"/>
      <c r="X7" s="40"/>
      <c r="Y7" s="40"/>
      <c r="Z7" s="40"/>
      <c r="AA7" s="40"/>
      <c r="AB7" s="40"/>
    </row>
    <row r="8" spans="1:28" x14ac:dyDescent="0.25">
      <c r="A8" t="s">
        <v>127</v>
      </c>
    </row>
    <row r="9" spans="1:28" x14ac:dyDescent="0.25">
      <c r="A9" s="21"/>
      <c r="B9" t="s">
        <v>140</v>
      </c>
    </row>
    <row r="10" spans="1:28" x14ac:dyDescent="0.25">
      <c r="A10" s="31"/>
      <c r="B10" t="s">
        <v>154</v>
      </c>
    </row>
    <row r="11" spans="1:28" x14ac:dyDescent="0.25">
      <c r="A11" s="23"/>
      <c r="B11" t="s">
        <v>16</v>
      </c>
    </row>
    <row r="12" spans="1:28" x14ac:dyDescent="0.25">
      <c r="A12" s="37"/>
      <c r="B12" t="s">
        <v>156</v>
      </c>
    </row>
    <row r="13" spans="1:28" x14ac:dyDescent="0.25">
      <c r="A13" s="38"/>
      <c r="B13" t="s">
        <v>141</v>
      </c>
    </row>
    <row r="14" spans="1:28" x14ac:dyDescent="0.25">
      <c r="A14" s="39"/>
      <c r="B14" t="s">
        <v>142</v>
      </c>
    </row>
    <row r="15" spans="1:28" x14ac:dyDescent="0.25">
      <c r="A15" s="24"/>
      <c r="B15" t="s">
        <v>130</v>
      </c>
    </row>
    <row r="16" spans="1:28" x14ac:dyDescent="0.25">
      <c r="A16" s="28"/>
      <c r="B16" t="s">
        <v>143</v>
      </c>
    </row>
    <row r="18" spans="1:28" x14ac:dyDescent="0.25">
      <c r="B18" s="4" t="s">
        <v>128</v>
      </c>
    </row>
    <row r="19" spans="1:28" x14ac:dyDescent="0.25">
      <c r="B19" s="8" t="s">
        <v>10</v>
      </c>
      <c r="C19" s="8"/>
      <c r="D19" s="8"/>
      <c r="E19" s="8"/>
      <c r="F19" s="8"/>
      <c r="G19" s="8"/>
    </row>
    <row r="20" spans="1:28" x14ac:dyDescent="0.25">
      <c r="B20" s="11" t="s">
        <v>11</v>
      </c>
    </row>
    <row r="21" spans="1:28" x14ac:dyDescent="0.25">
      <c r="C21">
        <v>2025</v>
      </c>
      <c r="D21">
        <v>2030</v>
      </c>
      <c r="E21">
        <v>2035</v>
      </c>
      <c r="F21">
        <v>2040</v>
      </c>
      <c r="G21">
        <v>2050</v>
      </c>
    </row>
    <row r="22" spans="1:28" ht="30" x14ac:dyDescent="0.25">
      <c r="B22" s="12" t="s">
        <v>12</v>
      </c>
      <c r="C22">
        <f>'Evolved Energy ADP 2024'!C4</f>
        <v>279</v>
      </c>
      <c r="D22">
        <f>'Evolved Energy ADP 2024'!D4</f>
        <v>541</v>
      </c>
      <c r="E22">
        <f>'Evolved Energy ADP 2024'!E4</f>
        <v>693</v>
      </c>
      <c r="F22">
        <f>'Evolved Energy ADP 2024'!F4</f>
        <v>776</v>
      </c>
      <c r="G22">
        <f>'Evolved Energy ADP 2024'!G4</f>
        <v>870</v>
      </c>
    </row>
    <row r="23" spans="1:28" ht="30" x14ac:dyDescent="0.25">
      <c r="B23" s="12" t="s">
        <v>13</v>
      </c>
      <c r="C23">
        <f>'Evolved Energy ADP 2024'!C5</f>
        <v>279</v>
      </c>
      <c r="D23">
        <f>'Evolved Energy ADP 2024'!D5</f>
        <v>718</v>
      </c>
      <c r="E23">
        <f>'Evolved Energy ADP 2024'!E5</f>
        <v>1043</v>
      </c>
      <c r="F23">
        <f>'Evolved Energy ADP 2024'!F5</f>
        <v>1222</v>
      </c>
      <c r="G23">
        <f>'Evolved Energy ADP 2024'!G5</f>
        <v>1679</v>
      </c>
    </row>
    <row r="24" spans="1:28" x14ac:dyDescent="0.25">
      <c r="D24" s="1"/>
      <c r="E24" s="7"/>
      <c r="F24" s="7"/>
      <c r="G24" s="13"/>
    </row>
    <row r="26" spans="1:28" x14ac:dyDescent="0.25">
      <c r="C26">
        <v>2025</v>
      </c>
      <c r="D26">
        <v>2026</v>
      </c>
      <c r="E26">
        <v>2027</v>
      </c>
      <c r="F26">
        <v>2028</v>
      </c>
      <c r="G26">
        <v>2029</v>
      </c>
      <c r="H26">
        <f>G26+1</f>
        <v>2030</v>
      </c>
      <c r="I26">
        <f t="shared" ref="I26:AB26" si="3">H26+1</f>
        <v>2031</v>
      </c>
      <c r="J26">
        <f t="shared" si="3"/>
        <v>2032</v>
      </c>
      <c r="K26">
        <f t="shared" si="3"/>
        <v>2033</v>
      </c>
      <c r="L26">
        <f t="shared" si="3"/>
        <v>2034</v>
      </c>
      <c r="M26">
        <f t="shared" si="3"/>
        <v>2035</v>
      </c>
      <c r="N26">
        <f t="shared" si="3"/>
        <v>2036</v>
      </c>
      <c r="O26">
        <f t="shared" si="3"/>
        <v>2037</v>
      </c>
      <c r="P26">
        <f t="shared" si="3"/>
        <v>2038</v>
      </c>
      <c r="Q26">
        <f t="shared" si="3"/>
        <v>2039</v>
      </c>
      <c r="R26">
        <f t="shared" si="3"/>
        <v>2040</v>
      </c>
      <c r="S26">
        <f>R26+1</f>
        <v>2041</v>
      </c>
      <c r="T26">
        <f t="shared" si="3"/>
        <v>2042</v>
      </c>
      <c r="U26">
        <f t="shared" si="3"/>
        <v>2043</v>
      </c>
      <c r="V26">
        <f t="shared" si="3"/>
        <v>2044</v>
      </c>
      <c r="W26">
        <f t="shared" si="3"/>
        <v>2045</v>
      </c>
      <c r="X26">
        <f t="shared" si="3"/>
        <v>2046</v>
      </c>
      <c r="Y26">
        <f t="shared" si="3"/>
        <v>2047</v>
      </c>
      <c r="Z26">
        <f>Y26+1</f>
        <v>2048</v>
      </c>
      <c r="AA26">
        <f t="shared" si="3"/>
        <v>2049</v>
      </c>
      <c r="AB26">
        <f t="shared" si="3"/>
        <v>2050</v>
      </c>
    </row>
    <row r="27" spans="1:28" ht="30" x14ac:dyDescent="0.25">
      <c r="B27" s="12" t="s">
        <v>12</v>
      </c>
      <c r="C27" s="14">
        <f>HLOOKUP(C26,$C$21:$G$22,2,FALSE)</f>
        <v>279</v>
      </c>
      <c r="D27" s="3" cm="1">
        <f t="array" ref="D27">TREND($C$22:$D$22,$C$21:$D$21,D26)</f>
        <v>331.39999999999418</v>
      </c>
      <c r="E27" s="3" cm="1">
        <f t="array" ref="E27">TREND($C$22:$D$22,$C$21:$D$21,E26)</f>
        <v>383.80000000000291</v>
      </c>
      <c r="F27" s="3" cm="1">
        <f t="array" ref="F27">TREND($C$22:$D$22,$C$21:$D$21,F26)</f>
        <v>436.19999999999709</v>
      </c>
      <c r="G27" s="3" cm="1">
        <f t="array" ref="G27">TREND($C$22:$D$22,$C$21:$D$21,G26)</f>
        <v>488.59999999999127</v>
      </c>
      <c r="H27" s="14">
        <f>HLOOKUP(H26,$C$21:$G$22,2,FALSE)</f>
        <v>541</v>
      </c>
      <c r="I27" s="3" cm="1">
        <f t="array" ref="I27">TREND($D$22:$E$22,$D$21:$E$21,I26)</f>
        <v>571.39999999999418</v>
      </c>
      <c r="J27" s="3" cm="1">
        <f t="array" ref="J27">TREND($D$22:$E$22,$D$21:$E$21,J26)</f>
        <v>601.79999999999563</v>
      </c>
      <c r="K27" s="3" cm="1">
        <f t="array" ref="K27">TREND($D$22:$E$22,$D$21:$E$21,K26)</f>
        <v>632.19999999999709</v>
      </c>
      <c r="L27" s="3" cm="1">
        <f t="array" ref="L27">TREND($D$22:$E$22,$D$21:$E$21,L26)</f>
        <v>662.59999999999854</v>
      </c>
      <c r="M27" s="14">
        <f>HLOOKUP(M26,$C$21:$G$22,2,FALSE)</f>
        <v>693</v>
      </c>
      <c r="N27" s="3" cm="1">
        <f t="array" ref="N27">TREND($E$22:$F$22,$E$21:$F$21,N26)</f>
        <v>709.60000000000582</v>
      </c>
      <c r="O27" s="3" cm="1">
        <f t="array" ref="O27">TREND($E$22:$F$22,$E$21:$F$21,O26)</f>
        <v>726.20000000000437</v>
      </c>
      <c r="P27" s="3" cm="1">
        <f t="array" ref="P27">TREND($E$22:$F$22,$E$21:$F$21,P26)</f>
        <v>742.80000000000291</v>
      </c>
      <c r="Q27" s="3" cm="1">
        <f t="array" ref="Q27">TREND($E$22:$F$22,$E$21:$F$21,Q26)</f>
        <v>759.40000000000146</v>
      </c>
      <c r="R27" s="14">
        <f>HLOOKUP(R26,$C$21:$G$22,2,FALSE)</f>
        <v>776</v>
      </c>
      <c r="S27" s="3" cm="1">
        <f t="array" ref="S27">TREND($F$22:$G$22,$F$21:$G$21,S26)</f>
        <v>785.40000000000146</v>
      </c>
      <c r="T27" s="3" cm="1">
        <f t="array" ref="T27">TREND($F$22:$G$22,$F$21:$G$21,T26)</f>
        <v>794.79999999999927</v>
      </c>
      <c r="U27" s="3" cm="1">
        <f t="array" ref="U27">TREND($F$22:$G$22,$F$21:$G$21,U26)</f>
        <v>804.20000000000073</v>
      </c>
      <c r="V27" s="3" cm="1">
        <f t="array" ref="V27">TREND($F$22:$G$22,$F$21:$G$21,V26)</f>
        <v>813.60000000000218</v>
      </c>
      <c r="W27" s="3" cm="1">
        <f t="array" ref="W27">TREND($F$22:$G$22,$F$21:$G$21,W26)</f>
        <v>823</v>
      </c>
      <c r="X27" s="3" cm="1">
        <f t="array" ref="X27">TREND($F$22:$G$22,$F$21:$G$21,X26)</f>
        <v>832.40000000000146</v>
      </c>
      <c r="Y27" s="3" cm="1">
        <f t="array" ref="Y27">TREND($F$22:$G$22,$F$21:$G$21,Y26)</f>
        <v>841.79999999999927</v>
      </c>
      <c r="Z27" s="3" cm="1">
        <f t="array" ref="Z27">TREND($F$22:$G$22,$F$21:$G$21,Z26)</f>
        <v>851.20000000000073</v>
      </c>
      <c r="AA27" s="3" cm="1">
        <f t="array" ref="AA27">TREND($F$22:$G$22,$F$21:$G$21,AA26)</f>
        <v>860.60000000000218</v>
      </c>
      <c r="AB27" s="14">
        <f>HLOOKUP(AB26,$C$21:$G$22,2,FALSE)</f>
        <v>870</v>
      </c>
    </row>
    <row r="28" spans="1:28" x14ac:dyDescent="0.25">
      <c r="A28" t="s">
        <v>14</v>
      </c>
      <c r="B28" t="s">
        <v>7</v>
      </c>
      <c r="D28" s="15">
        <f t="shared" ref="D28:F28" si="4">E28</f>
        <v>5.6192236598880285E-2</v>
      </c>
      <c r="E28" s="15">
        <f t="shared" si="4"/>
        <v>5.6192236598880285E-2</v>
      </c>
      <c r="F28" s="15">
        <f t="shared" si="4"/>
        <v>5.6192236598880285E-2</v>
      </c>
      <c r="G28" s="15">
        <f>H28</f>
        <v>5.6192236598880285E-2</v>
      </c>
      <c r="H28" s="15">
        <f>I28</f>
        <v>5.6192236598880285E-2</v>
      </c>
      <c r="I28" s="7">
        <f>I27/H27-1</f>
        <v>5.6192236598880285E-2</v>
      </c>
      <c r="J28" s="7">
        <f>J27/I27-1</f>
        <v>5.3202660133009783E-2</v>
      </c>
      <c r="K28" s="7">
        <f t="shared" ref="K28:Y28" si="5">K27/J27-1</f>
        <v>5.0515121302761257E-2</v>
      </c>
      <c r="L28" s="7">
        <f t="shared" si="5"/>
        <v>4.8086048718762431E-2</v>
      </c>
      <c r="M28" s="7">
        <f>M27/L27-1</f>
        <v>4.5879867189860368E-2</v>
      </c>
      <c r="N28" s="7">
        <f t="shared" si="5"/>
        <v>2.3953823953832387E-2</v>
      </c>
      <c r="O28" s="7">
        <f t="shared" si="5"/>
        <v>2.3393461104845636E-2</v>
      </c>
      <c r="P28" s="7">
        <f t="shared" si="5"/>
        <v>2.2858716606993124E-2</v>
      </c>
      <c r="Q28" s="7">
        <f t="shared" si="5"/>
        <v>2.2347872913298872E-2</v>
      </c>
      <c r="R28" s="7">
        <f t="shared" si="5"/>
        <v>2.1859362654725434E-2</v>
      </c>
      <c r="S28" s="7">
        <f t="shared" si="5"/>
        <v>1.2113402061857625E-2</v>
      </c>
      <c r="T28" s="7">
        <f t="shared" si="5"/>
        <v>1.1968423733126787E-2</v>
      </c>
      <c r="U28" s="7">
        <f t="shared" si="5"/>
        <v>1.1826874685457289E-2</v>
      </c>
      <c r="V28" s="7">
        <f t="shared" si="5"/>
        <v>1.1688634667994746E-2</v>
      </c>
      <c r="W28" s="7">
        <f t="shared" si="5"/>
        <v>1.1553588987214702E-2</v>
      </c>
      <c r="X28" s="7">
        <f t="shared" si="5"/>
        <v>1.142162818955228E-2</v>
      </c>
      <c r="Y28" s="7">
        <f t="shared" si="5"/>
        <v>1.1292647765494657E-2</v>
      </c>
      <c r="Z28" s="7">
        <f>Z27/Y27-1</f>
        <v>1.1166547873605825E-2</v>
      </c>
      <c r="AA28" s="7">
        <f>AA27/Z27-1</f>
        <v>1.1043233082708381E-2</v>
      </c>
      <c r="AB28" s="7">
        <f t="shared" ref="AB28" si="6">AB27/AA27-1</f>
        <v>1.0922612131068821E-2</v>
      </c>
    </row>
    <row r="30" spans="1:28" x14ac:dyDescent="0.25">
      <c r="C30">
        <v>2025</v>
      </c>
      <c r="D30">
        <v>2026</v>
      </c>
      <c r="E30">
        <v>2027</v>
      </c>
      <c r="F30">
        <v>2028</v>
      </c>
      <c r="G30">
        <v>2029</v>
      </c>
      <c r="H30">
        <f>G30+1</f>
        <v>2030</v>
      </c>
      <c r="I30">
        <f t="shared" ref="I30:R30" si="7">H30+1</f>
        <v>2031</v>
      </c>
      <c r="J30">
        <f t="shared" si="7"/>
        <v>2032</v>
      </c>
      <c r="K30">
        <f t="shared" si="7"/>
        <v>2033</v>
      </c>
      <c r="L30">
        <f t="shared" si="7"/>
        <v>2034</v>
      </c>
      <c r="M30">
        <f t="shared" si="7"/>
        <v>2035</v>
      </c>
      <c r="N30">
        <f t="shared" si="7"/>
        <v>2036</v>
      </c>
      <c r="O30">
        <f t="shared" si="7"/>
        <v>2037</v>
      </c>
      <c r="P30">
        <f t="shared" si="7"/>
        <v>2038</v>
      </c>
      <c r="Q30">
        <f t="shared" si="7"/>
        <v>2039</v>
      </c>
      <c r="R30">
        <f t="shared" si="7"/>
        <v>2040</v>
      </c>
      <c r="S30">
        <f>R30+1</f>
        <v>2041</v>
      </c>
      <c r="T30">
        <f t="shared" ref="T30:Y30" si="8">S30+1</f>
        <v>2042</v>
      </c>
      <c r="U30">
        <f t="shared" si="8"/>
        <v>2043</v>
      </c>
      <c r="V30">
        <f t="shared" si="8"/>
        <v>2044</v>
      </c>
      <c r="W30">
        <f t="shared" si="8"/>
        <v>2045</v>
      </c>
      <c r="X30">
        <f t="shared" si="8"/>
        <v>2046</v>
      </c>
      <c r="Y30">
        <f t="shared" si="8"/>
        <v>2047</v>
      </c>
      <c r="Z30">
        <f>Y30+1</f>
        <v>2048</v>
      </c>
      <c r="AA30">
        <f t="shared" ref="AA30:AB30" si="9">Z30+1</f>
        <v>2049</v>
      </c>
      <c r="AB30">
        <f t="shared" si="9"/>
        <v>2050</v>
      </c>
    </row>
    <row r="31" spans="1:28" ht="30" x14ac:dyDescent="0.25">
      <c r="B31" s="12" t="s">
        <v>13</v>
      </c>
      <c r="C31" s="14">
        <f>HLOOKUP(C30,$C$21:$G$23,3,FALSE)</f>
        <v>279</v>
      </c>
      <c r="D31" s="3" cm="1">
        <f t="array" ref="D31">TREND($C$23:$D$23,$C$21:$D$21,D30)</f>
        <v>366.79999999998836</v>
      </c>
      <c r="E31" s="3" cm="1">
        <f t="array" ref="E31">TREND($C$23:$D$23,$C$21:$D$21,E30)</f>
        <v>454.60000000000582</v>
      </c>
      <c r="F31" s="3" cm="1">
        <f t="array" ref="F31">TREND($C$23:$D$23,$C$21:$D$21,F30)</f>
        <v>542.39999999999418</v>
      </c>
      <c r="G31" s="3" cm="1">
        <f t="array" ref="G31">TREND($C$23:$D$23,$C$21:$D$21,G30)</f>
        <v>630.19999999998254</v>
      </c>
      <c r="H31" s="14">
        <f>HLOOKUP(H30,$C$21:$G$23,3,FALSE)</f>
        <v>718</v>
      </c>
      <c r="I31" s="3" cm="1">
        <f t="array" ref="I31">TREND($D$23:$E$23,$D$21:$E$21,I30)</f>
        <v>783</v>
      </c>
      <c r="J31" s="3" cm="1">
        <f t="array" ref="J31">TREND($D$23:$E$23,$D$21:$E$21,J30)</f>
        <v>848</v>
      </c>
      <c r="K31" s="3" cm="1">
        <f t="array" ref="K31">TREND($D$23:$E$23,$D$21:$E$21,K30)</f>
        <v>913</v>
      </c>
      <c r="L31" s="3" cm="1">
        <f t="array" ref="L31">TREND($D$23:$E$23,$D$21:$E$21,L30)</f>
        <v>978</v>
      </c>
      <c r="M31" s="14">
        <f>HLOOKUP(M30,$C$21:$G$23,3,FALSE)</f>
        <v>1043</v>
      </c>
      <c r="N31" s="3" cm="1">
        <f t="array" ref="N31">TREND($E$23:$F$23,$E$21:$F$21,N30)</f>
        <v>1078.7999999999884</v>
      </c>
      <c r="O31" s="3" cm="1">
        <f t="array" ref="O31">TREND($E$23:$F$23,$E$21:$F$21,O30)</f>
        <v>1114.5999999999913</v>
      </c>
      <c r="P31" s="3" cm="1">
        <f t="array" ref="P31">TREND($E$23:$F$23,$E$21:$F$21,P30)</f>
        <v>1150.3999999999942</v>
      </c>
      <c r="Q31" s="3" cm="1">
        <f t="array" ref="Q31">TREND($E$23:$F$23,$E$21:$F$21,Q30)</f>
        <v>1186.1999999999971</v>
      </c>
      <c r="R31" s="14">
        <f>HLOOKUP(R30,$C$21:$G$23,3,FALSE)</f>
        <v>1222</v>
      </c>
      <c r="S31" s="3" cm="1">
        <f t="array" ref="S31">TREND($F$23:$G$23,$F$21:$G$21,S30)</f>
        <v>1267.7000000000116</v>
      </c>
      <c r="T31" s="3" cm="1">
        <f t="array" ref="T31">TREND($F$23:$G$23,$F$21:$G$21,T30)</f>
        <v>1313.4000000000087</v>
      </c>
      <c r="U31" s="3" cm="1">
        <f t="array" ref="U31">TREND($F$23:$G$23,$F$21:$G$21,U30)</f>
        <v>1359.1000000000058</v>
      </c>
      <c r="V31" s="3" cm="1">
        <f t="array" ref="V31">TREND($F$23:$G$23,$F$21:$G$21,V30)</f>
        <v>1404.8000000000029</v>
      </c>
      <c r="W31" s="3" cm="1">
        <f t="array" ref="W31">TREND($F$23:$G$23,$F$21:$G$21,W30)</f>
        <v>1450.5</v>
      </c>
      <c r="X31" s="3" cm="1">
        <f t="array" ref="X31">TREND($F$23:$G$23,$F$21:$G$21,X30)</f>
        <v>1496.2000000000116</v>
      </c>
      <c r="Y31" s="3" cm="1">
        <f t="array" ref="Y31">TREND($F$23:$G$23,$F$21:$G$21,Y30)</f>
        <v>1541.9000000000087</v>
      </c>
      <c r="Z31" s="3" cm="1">
        <f t="array" ref="Z31">TREND($F$23:$G$23,$F$21:$G$21,Z30)</f>
        <v>1587.6000000000058</v>
      </c>
      <c r="AA31" s="3" cm="1">
        <f t="array" ref="AA31">TREND($F$23:$G$23,$F$21:$G$21,AA30)</f>
        <v>1633.3000000000029</v>
      </c>
      <c r="AB31" s="14">
        <f>HLOOKUP(AB30,$C$21:$G$23,3,FALSE)</f>
        <v>1679</v>
      </c>
    </row>
    <row r="32" spans="1:28" x14ac:dyDescent="0.25">
      <c r="A32" t="s">
        <v>15</v>
      </c>
      <c r="B32" t="s">
        <v>7</v>
      </c>
      <c r="C32" s="25">
        <f>D32</f>
        <v>9.0529247910863475E-2</v>
      </c>
      <c r="D32" s="15">
        <f t="shared" ref="D32:F32" si="10">E32</f>
        <v>9.0529247910863475E-2</v>
      </c>
      <c r="E32" s="15">
        <f t="shared" si="10"/>
        <v>9.0529247910863475E-2</v>
      </c>
      <c r="F32" s="15">
        <f t="shared" si="10"/>
        <v>9.0529247910863475E-2</v>
      </c>
      <c r="G32" s="15">
        <f>H32</f>
        <v>9.0529247910863475E-2</v>
      </c>
      <c r="H32" s="15">
        <f>I32</f>
        <v>9.0529247910863475E-2</v>
      </c>
      <c r="I32" s="7">
        <f>I31/H31-1</f>
        <v>9.0529247910863475E-2</v>
      </c>
      <c r="J32" s="7">
        <f>J31/I31-1</f>
        <v>8.3014048531290019E-2</v>
      </c>
      <c r="K32" s="7">
        <f t="shared" ref="K32:L32" si="11">K31/J31-1</f>
        <v>7.6650943396226356E-2</v>
      </c>
      <c r="L32" s="7">
        <f t="shared" si="11"/>
        <v>7.1193866374589243E-2</v>
      </c>
      <c r="M32" s="7">
        <f>M31/L31-1</f>
        <v>6.6462167689161467E-2</v>
      </c>
      <c r="N32" s="7">
        <f t="shared" ref="N32:Y32" si="12">N31/M31-1</f>
        <v>3.4324065196537301E-2</v>
      </c>
      <c r="O32" s="7">
        <f t="shared" si="12"/>
        <v>3.3185020393032394E-2</v>
      </c>
      <c r="P32" s="7">
        <f t="shared" si="12"/>
        <v>3.2119145881933653E-2</v>
      </c>
      <c r="Q32" s="7">
        <f t="shared" si="12"/>
        <v>3.1119610570239153E-2</v>
      </c>
      <c r="R32" s="7">
        <f t="shared" si="12"/>
        <v>3.018040802563049E-2</v>
      </c>
      <c r="S32" s="7">
        <f t="shared" si="12"/>
        <v>3.7397708674314023E-2</v>
      </c>
      <c r="T32" s="7">
        <f t="shared" si="12"/>
        <v>3.6049538534350889E-2</v>
      </c>
      <c r="U32" s="7">
        <f t="shared" si="12"/>
        <v>3.4795188061517379E-2</v>
      </c>
      <c r="V32" s="7">
        <f t="shared" si="12"/>
        <v>3.3625193142518439E-2</v>
      </c>
      <c r="W32" s="7">
        <f t="shared" si="12"/>
        <v>3.2531321184508188E-2</v>
      </c>
      <c r="X32" s="7">
        <f t="shared" si="12"/>
        <v>3.1506377111348849E-2</v>
      </c>
      <c r="Y32" s="7">
        <f t="shared" si="12"/>
        <v>3.0544044913779489E-2</v>
      </c>
      <c r="Z32" s="7">
        <f>Z31/Y31-1</f>
        <v>2.963875737725985E-2</v>
      </c>
      <c r="AA32" s="7">
        <f>AA31/Z31-1</f>
        <v>2.8785588309395926E-2</v>
      </c>
      <c r="AB32" s="7">
        <f t="shared" ref="AB32" si="13">AB31/AA31-1</f>
        <v>2.7980162860464786E-2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C863C-594F-4277-A81D-249F2DDDA14A}">
  <dimension ref="A1:AB12"/>
  <sheetViews>
    <sheetView tabSelected="1" workbookViewId="0"/>
  </sheetViews>
  <sheetFormatPr defaultRowHeight="15" x14ac:dyDescent="0.25"/>
  <sheetData>
    <row r="1" spans="1:28" x14ac:dyDescent="0.25">
      <c r="A1" t="s">
        <v>336</v>
      </c>
    </row>
    <row r="2" spans="1:28" x14ac:dyDescent="0.25">
      <c r="A2" t="s">
        <v>337</v>
      </c>
    </row>
    <row r="4" spans="1:28" x14ac:dyDescent="0.25">
      <c r="A4" t="s">
        <v>338</v>
      </c>
      <c r="B4">
        <v>1.4</v>
      </c>
    </row>
    <row r="5" spans="1:28" x14ac:dyDescent="0.25">
      <c r="A5" t="s">
        <v>339</v>
      </c>
      <c r="B5">
        <v>2024</v>
      </c>
    </row>
    <row r="6" spans="1:28" x14ac:dyDescent="0.25">
      <c r="A6" t="s">
        <v>340</v>
      </c>
      <c r="B6">
        <v>1.25</v>
      </c>
    </row>
    <row r="7" spans="1:28" x14ac:dyDescent="0.25">
      <c r="A7" t="s">
        <v>341</v>
      </c>
      <c r="B7">
        <v>2028</v>
      </c>
    </row>
    <row r="9" spans="1:28" x14ac:dyDescent="0.25">
      <c r="A9" t="s">
        <v>0</v>
      </c>
      <c r="B9">
        <v>2024</v>
      </c>
      <c r="C9">
        <v>2025</v>
      </c>
      <c r="D9">
        <v>2026</v>
      </c>
      <c r="E9">
        <v>2027</v>
      </c>
      <c r="F9">
        <v>2028</v>
      </c>
      <c r="G9">
        <v>2029</v>
      </c>
      <c r="H9">
        <v>2030</v>
      </c>
      <c r="I9">
        <v>2031</v>
      </c>
      <c r="J9">
        <v>2032</v>
      </c>
      <c r="K9">
        <v>2033</v>
      </c>
      <c r="L9">
        <v>2034</v>
      </c>
      <c r="M9">
        <v>2035</v>
      </c>
      <c r="N9">
        <v>2036</v>
      </c>
      <c r="O9">
        <v>2037</v>
      </c>
      <c r="P9">
        <v>2038</v>
      </c>
      <c r="Q9">
        <v>2039</v>
      </c>
      <c r="R9">
        <v>2040</v>
      </c>
      <c r="S9">
        <v>2041</v>
      </c>
      <c r="T9">
        <v>2042</v>
      </c>
      <c r="U9">
        <v>2043</v>
      </c>
      <c r="V9">
        <v>2044</v>
      </c>
      <c r="W9">
        <v>2045</v>
      </c>
      <c r="X9">
        <v>2046</v>
      </c>
      <c r="Y9">
        <v>2047</v>
      </c>
      <c r="Z9">
        <v>2048</v>
      </c>
      <c r="AA9">
        <v>2049</v>
      </c>
      <c r="AB9">
        <v>2050</v>
      </c>
    </row>
    <row r="10" spans="1:28" x14ac:dyDescent="0.25">
      <c r="A10" t="s">
        <v>342</v>
      </c>
      <c r="B10">
        <f t="shared" ref="B10:AB10" si="0">IF(B$9&lt;=$B$5,$B$4,IF(B$9&gt;=$B$7,$B$6,$B$4+($B$6-$B$4)*(B$9-$B$5)/($B$7-$B$5)))</f>
        <v>1.4</v>
      </c>
      <c r="C10">
        <f t="shared" si="0"/>
        <v>1.3624999999999998</v>
      </c>
      <c r="D10">
        <f t="shared" si="0"/>
        <v>1.325</v>
      </c>
      <c r="E10">
        <f t="shared" si="0"/>
        <v>1.2875000000000001</v>
      </c>
      <c r="F10">
        <f t="shared" si="0"/>
        <v>1.25</v>
      </c>
      <c r="G10">
        <f t="shared" si="0"/>
        <v>1.25</v>
      </c>
      <c r="H10">
        <f t="shared" si="0"/>
        <v>1.25</v>
      </c>
      <c r="I10">
        <f t="shared" si="0"/>
        <v>1.25</v>
      </c>
      <c r="J10">
        <f t="shared" si="0"/>
        <v>1.25</v>
      </c>
      <c r="K10">
        <f t="shared" si="0"/>
        <v>1.25</v>
      </c>
      <c r="L10">
        <f t="shared" si="0"/>
        <v>1.25</v>
      </c>
      <c r="M10">
        <f t="shared" si="0"/>
        <v>1.25</v>
      </c>
      <c r="N10">
        <f t="shared" si="0"/>
        <v>1.25</v>
      </c>
      <c r="O10">
        <f t="shared" si="0"/>
        <v>1.25</v>
      </c>
      <c r="P10">
        <f t="shared" si="0"/>
        <v>1.25</v>
      </c>
      <c r="Q10">
        <f t="shared" si="0"/>
        <v>1.25</v>
      </c>
      <c r="R10">
        <f t="shared" si="0"/>
        <v>1.25</v>
      </c>
      <c r="S10">
        <f t="shared" si="0"/>
        <v>1.25</v>
      </c>
      <c r="T10">
        <f t="shared" si="0"/>
        <v>1.25</v>
      </c>
      <c r="U10">
        <f t="shared" si="0"/>
        <v>1.25</v>
      </c>
      <c r="V10">
        <f t="shared" si="0"/>
        <v>1.25</v>
      </c>
      <c r="W10">
        <f t="shared" si="0"/>
        <v>1.25</v>
      </c>
      <c r="X10">
        <f t="shared" si="0"/>
        <v>1.25</v>
      </c>
      <c r="Y10">
        <f t="shared" si="0"/>
        <v>1.25</v>
      </c>
      <c r="Z10">
        <f t="shared" si="0"/>
        <v>1.25</v>
      </c>
      <c r="AA10">
        <f t="shared" si="0"/>
        <v>1.25</v>
      </c>
      <c r="AB10">
        <f t="shared" si="0"/>
        <v>1.25</v>
      </c>
    </row>
    <row r="11" spans="1:28" x14ac:dyDescent="0.25">
      <c r="A11" t="s">
        <v>343</v>
      </c>
      <c r="B11">
        <f t="shared" ref="B11:AB11" si="1">1-1/B10</f>
        <v>0.2857142857142857</v>
      </c>
      <c r="C11">
        <f t="shared" si="1"/>
        <v>0.26605504587155959</v>
      </c>
      <c r="D11">
        <f t="shared" si="1"/>
        <v>0.24528301886792447</v>
      </c>
      <c r="E11">
        <f t="shared" si="1"/>
        <v>0.22330097087378642</v>
      </c>
      <c r="F11">
        <f t="shared" si="1"/>
        <v>0.19999999999999996</v>
      </c>
      <c r="G11">
        <f t="shared" si="1"/>
        <v>0.19999999999999996</v>
      </c>
      <c r="H11">
        <f t="shared" si="1"/>
        <v>0.19999999999999996</v>
      </c>
      <c r="I11">
        <f t="shared" si="1"/>
        <v>0.19999999999999996</v>
      </c>
      <c r="J11">
        <f t="shared" si="1"/>
        <v>0.19999999999999996</v>
      </c>
      <c r="K11">
        <f t="shared" si="1"/>
        <v>0.19999999999999996</v>
      </c>
      <c r="L11">
        <f t="shared" si="1"/>
        <v>0.19999999999999996</v>
      </c>
      <c r="M11">
        <f t="shared" si="1"/>
        <v>0.19999999999999996</v>
      </c>
      <c r="N11">
        <f t="shared" si="1"/>
        <v>0.19999999999999996</v>
      </c>
      <c r="O11">
        <f t="shared" si="1"/>
        <v>0.19999999999999996</v>
      </c>
      <c r="P11">
        <f t="shared" si="1"/>
        <v>0.19999999999999996</v>
      </c>
      <c r="Q11">
        <f t="shared" si="1"/>
        <v>0.19999999999999996</v>
      </c>
      <c r="R11">
        <f t="shared" si="1"/>
        <v>0.19999999999999996</v>
      </c>
      <c r="S11">
        <f t="shared" si="1"/>
        <v>0.19999999999999996</v>
      </c>
      <c r="T11">
        <f t="shared" si="1"/>
        <v>0.19999999999999996</v>
      </c>
      <c r="U11">
        <f t="shared" si="1"/>
        <v>0.19999999999999996</v>
      </c>
      <c r="V11">
        <f t="shared" si="1"/>
        <v>0.19999999999999996</v>
      </c>
      <c r="W11">
        <f t="shared" si="1"/>
        <v>0.19999999999999996</v>
      </c>
      <c r="X11">
        <f t="shared" si="1"/>
        <v>0.19999999999999996</v>
      </c>
      <c r="Y11">
        <f t="shared" si="1"/>
        <v>0.19999999999999996</v>
      </c>
      <c r="Z11">
        <f t="shared" si="1"/>
        <v>0.19999999999999996</v>
      </c>
      <c r="AA11">
        <f t="shared" si="1"/>
        <v>0.19999999999999996</v>
      </c>
      <c r="AB11">
        <f t="shared" si="1"/>
        <v>0.19999999999999996</v>
      </c>
    </row>
    <row r="12" spans="1:28" x14ac:dyDescent="0.25">
      <c r="A12" t="s">
        <v>344</v>
      </c>
      <c r="B12">
        <f t="shared" ref="B12:AB12" si="2">1/B10</f>
        <v>0.7142857142857143</v>
      </c>
      <c r="C12">
        <f t="shared" si="2"/>
        <v>0.73394495412844041</v>
      </c>
      <c r="D12">
        <f t="shared" si="2"/>
        <v>0.75471698113207553</v>
      </c>
      <c r="E12">
        <f t="shared" si="2"/>
        <v>0.77669902912621358</v>
      </c>
      <c r="F12">
        <f t="shared" si="2"/>
        <v>0.8</v>
      </c>
      <c r="G12">
        <f t="shared" si="2"/>
        <v>0.8</v>
      </c>
      <c r="H12">
        <f t="shared" si="2"/>
        <v>0.8</v>
      </c>
      <c r="I12">
        <f t="shared" si="2"/>
        <v>0.8</v>
      </c>
      <c r="J12">
        <f t="shared" si="2"/>
        <v>0.8</v>
      </c>
      <c r="K12">
        <f t="shared" si="2"/>
        <v>0.8</v>
      </c>
      <c r="L12">
        <f t="shared" si="2"/>
        <v>0.8</v>
      </c>
      <c r="M12">
        <f t="shared" si="2"/>
        <v>0.8</v>
      </c>
      <c r="N12">
        <f t="shared" si="2"/>
        <v>0.8</v>
      </c>
      <c r="O12">
        <f t="shared" si="2"/>
        <v>0.8</v>
      </c>
      <c r="P12">
        <f t="shared" si="2"/>
        <v>0.8</v>
      </c>
      <c r="Q12">
        <f t="shared" si="2"/>
        <v>0.8</v>
      </c>
      <c r="R12">
        <f t="shared" si="2"/>
        <v>0.8</v>
      </c>
      <c r="S12">
        <f t="shared" si="2"/>
        <v>0.8</v>
      </c>
      <c r="T12">
        <f t="shared" si="2"/>
        <v>0.8</v>
      </c>
      <c r="U12">
        <f t="shared" si="2"/>
        <v>0.8</v>
      </c>
      <c r="V12">
        <f t="shared" si="2"/>
        <v>0.8</v>
      </c>
      <c r="W12">
        <f t="shared" si="2"/>
        <v>0.8</v>
      </c>
      <c r="X12">
        <f t="shared" si="2"/>
        <v>0.8</v>
      </c>
      <c r="Y12">
        <f t="shared" si="2"/>
        <v>0.8</v>
      </c>
      <c r="Z12">
        <f t="shared" si="2"/>
        <v>0.8</v>
      </c>
      <c r="AA12">
        <f t="shared" si="2"/>
        <v>0.8</v>
      </c>
      <c r="AB12">
        <f t="shared" si="2"/>
        <v>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582FD-BD2B-496B-96D8-0AACE0C2D75C}">
  <dimension ref="A1:G26"/>
  <sheetViews>
    <sheetView workbookViewId="0">
      <selection activeCell="F19" sqref="F19"/>
    </sheetView>
  </sheetViews>
  <sheetFormatPr defaultRowHeight="15" x14ac:dyDescent="0.25"/>
  <sheetData>
    <row r="1" spans="1:7" x14ac:dyDescent="0.25">
      <c r="A1" s="27" t="s">
        <v>1</v>
      </c>
      <c r="B1" s="27" t="s">
        <v>131</v>
      </c>
      <c r="C1" s="27" t="s">
        <v>0</v>
      </c>
      <c r="D1" s="27" t="s">
        <v>132</v>
      </c>
      <c r="E1" s="27" t="s">
        <v>133</v>
      </c>
      <c r="F1" s="27" t="s">
        <v>134</v>
      </c>
    </row>
    <row r="2" spans="1:7" x14ac:dyDescent="0.25">
      <c r="A2" s="26" t="s">
        <v>135</v>
      </c>
      <c r="B2" s="26" t="s">
        <v>136</v>
      </c>
      <c r="C2" s="26">
        <v>2021</v>
      </c>
      <c r="D2" s="26">
        <v>10.5</v>
      </c>
      <c r="E2" s="26">
        <v>10.3</v>
      </c>
      <c r="F2" s="26">
        <v>91.4</v>
      </c>
    </row>
    <row r="3" spans="1:7" x14ac:dyDescent="0.25">
      <c r="A3" s="26" t="s">
        <v>135</v>
      </c>
      <c r="B3" s="26" t="s">
        <v>136</v>
      </c>
      <c r="C3" s="26">
        <v>2022</v>
      </c>
      <c r="D3" s="26">
        <v>16</v>
      </c>
      <c r="E3" s="26">
        <v>13.9</v>
      </c>
      <c r="F3" s="26">
        <v>116</v>
      </c>
    </row>
    <row r="4" spans="1:7" x14ac:dyDescent="0.25">
      <c r="A4" s="26" t="s">
        <v>135</v>
      </c>
      <c r="B4" s="26" t="s">
        <v>136</v>
      </c>
      <c r="C4" s="26">
        <v>2023</v>
      </c>
      <c r="D4" s="26">
        <v>25.5</v>
      </c>
      <c r="E4" s="26">
        <v>16.7</v>
      </c>
      <c r="F4" s="26">
        <v>141</v>
      </c>
    </row>
    <row r="5" spans="1:7" x14ac:dyDescent="0.25">
      <c r="A5" s="26" t="s">
        <v>135</v>
      </c>
      <c r="B5" s="26" t="s">
        <v>136</v>
      </c>
      <c r="C5" s="26">
        <v>2024</v>
      </c>
      <c r="D5" s="26">
        <v>39.799999999999997</v>
      </c>
      <c r="E5" s="26">
        <v>21.5</v>
      </c>
      <c r="F5" s="26">
        <v>184</v>
      </c>
    </row>
    <row r="6" spans="1:7" x14ac:dyDescent="0.25">
      <c r="A6" s="26" t="s">
        <v>137</v>
      </c>
      <c r="B6" s="26" t="s">
        <v>136</v>
      </c>
      <c r="C6" s="26">
        <v>2024</v>
      </c>
      <c r="D6" s="26">
        <v>35.1</v>
      </c>
      <c r="E6" s="26">
        <v>20.7</v>
      </c>
      <c r="F6" s="26">
        <v>177</v>
      </c>
    </row>
    <row r="7" spans="1:7" x14ac:dyDescent="0.25">
      <c r="A7" s="26" t="s">
        <v>137</v>
      </c>
      <c r="B7" s="26" t="s">
        <v>136</v>
      </c>
      <c r="C7" s="26">
        <v>2025</v>
      </c>
      <c r="D7" s="26">
        <v>38.700000000000003</v>
      </c>
      <c r="E7" s="26">
        <v>24.8</v>
      </c>
      <c r="F7" s="26">
        <v>212</v>
      </c>
    </row>
    <row r="8" spans="1:7" x14ac:dyDescent="0.25">
      <c r="A8" s="26" t="s">
        <v>137</v>
      </c>
      <c r="B8" s="26" t="s">
        <v>136</v>
      </c>
      <c r="C8" s="26">
        <v>2026</v>
      </c>
      <c r="D8" s="26">
        <v>42.2</v>
      </c>
      <c r="E8" s="26">
        <v>29.7</v>
      </c>
      <c r="F8" s="26">
        <v>251</v>
      </c>
      <c r="G8">
        <f>F8-$F$7</f>
        <v>39</v>
      </c>
    </row>
    <row r="9" spans="1:7" x14ac:dyDescent="0.25">
      <c r="A9" s="26" t="s">
        <v>137</v>
      </c>
      <c r="B9" s="26" t="s">
        <v>136</v>
      </c>
      <c r="C9" s="26">
        <v>2027</v>
      </c>
      <c r="D9" s="26">
        <v>45.6</v>
      </c>
      <c r="E9" s="26">
        <v>35.1</v>
      </c>
      <c r="F9" s="26">
        <v>296</v>
      </c>
      <c r="G9">
        <f t="shared" ref="G9:G12" si="0">F9-$F$7</f>
        <v>84</v>
      </c>
    </row>
    <row r="10" spans="1:7" x14ac:dyDescent="0.25">
      <c r="A10" s="26" t="s">
        <v>137</v>
      </c>
      <c r="B10" s="26" t="s">
        <v>136</v>
      </c>
      <c r="C10" s="26">
        <v>2028</v>
      </c>
      <c r="D10" s="26">
        <v>49.1</v>
      </c>
      <c r="E10" s="26">
        <v>39.4</v>
      </c>
      <c r="F10" s="26">
        <v>333</v>
      </c>
      <c r="G10">
        <f t="shared" si="0"/>
        <v>121</v>
      </c>
    </row>
    <row r="11" spans="1:7" x14ac:dyDescent="0.25">
      <c r="A11" s="26" t="s">
        <v>137</v>
      </c>
      <c r="B11" s="26" t="s">
        <v>136</v>
      </c>
      <c r="C11" s="26">
        <v>2029</v>
      </c>
      <c r="D11" s="26">
        <v>52.6</v>
      </c>
      <c r="E11" s="26">
        <v>42.5</v>
      </c>
      <c r="F11" s="26">
        <v>359</v>
      </c>
      <c r="G11">
        <f t="shared" si="0"/>
        <v>147</v>
      </c>
    </row>
    <row r="12" spans="1:7" x14ac:dyDescent="0.25">
      <c r="A12" s="26" t="s">
        <v>137</v>
      </c>
      <c r="B12" s="26" t="s">
        <v>136</v>
      </c>
      <c r="C12" s="26">
        <v>2030</v>
      </c>
      <c r="D12" s="26">
        <v>56.1</v>
      </c>
      <c r="E12" s="26">
        <v>45.4</v>
      </c>
      <c r="F12" s="26">
        <v>384</v>
      </c>
      <c r="G12">
        <f t="shared" si="0"/>
        <v>172</v>
      </c>
    </row>
    <row r="13" spans="1:7" x14ac:dyDescent="0.25">
      <c r="A13" s="26" t="s">
        <v>138</v>
      </c>
      <c r="B13" s="26" t="s">
        <v>136</v>
      </c>
      <c r="C13" s="26">
        <v>2024</v>
      </c>
      <c r="D13" s="26">
        <v>39.799999999999997</v>
      </c>
      <c r="E13" s="26">
        <v>21.5</v>
      </c>
      <c r="F13" s="26">
        <v>184</v>
      </c>
    </row>
    <row r="14" spans="1:7" x14ac:dyDescent="0.25">
      <c r="A14" s="26" t="s">
        <v>138</v>
      </c>
      <c r="B14" s="26" t="s">
        <v>136</v>
      </c>
      <c r="C14" s="26">
        <v>2025</v>
      </c>
      <c r="D14" s="26">
        <v>49.1</v>
      </c>
      <c r="E14" s="26">
        <v>27.7</v>
      </c>
      <c r="F14" s="26">
        <v>235</v>
      </c>
    </row>
    <row r="15" spans="1:7" x14ac:dyDescent="0.25">
      <c r="A15" s="26" t="s">
        <v>138</v>
      </c>
      <c r="B15" s="26" t="s">
        <v>136</v>
      </c>
      <c r="C15" s="26">
        <v>2026</v>
      </c>
      <c r="D15" s="26">
        <v>58.5</v>
      </c>
      <c r="E15" s="26">
        <v>35.5</v>
      </c>
      <c r="F15" s="26">
        <v>301</v>
      </c>
      <c r="G15">
        <f>F15-$F$14</f>
        <v>66</v>
      </c>
    </row>
    <row r="16" spans="1:7" x14ac:dyDescent="0.25">
      <c r="A16" s="26" t="s">
        <v>138</v>
      </c>
      <c r="B16" s="26" t="s">
        <v>136</v>
      </c>
      <c r="C16" s="26">
        <v>2027</v>
      </c>
      <c r="D16" s="26">
        <v>67.8</v>
      </c>
      <c r="E16" s="26">
        <v>45</v>
      </c>
      <c r="F16" s="26">
        <v>380</v>
      </c>
      <c r="G16">
        <f t="shared" ref="G16:G19" si="1">F16-$F$14</f>
        <v>145</v>
      </c>
    </row>
    <row r="17" spans="1:7" x14ac:dyDescent="0.25">
      <c r="A17" s="26" t="s">
        <v>138</v>
      </c>
      <c r="B17" s="26" t="s">
        <v>136</v>
      </c>
      <c r="C17" s="26">
        <v>2028</v>
      </c>
      <c r="D17" s="26">
        <v>77.2</v>
      </c>
      <c r="E17" s="26">
        <v>54.4</v>
      </c>
      <c r="F17" s="26">
        <v>459</v>
      </c>
      <c r="G17">
        <f t="shared" si="1"/>
        <v>224</v>
      </c>
    </row>
    <row r="18" spans="1:7" x14ac:dyDescent="0.25">
      <c r="A18" s="26" t="s">
        <v>138</v>
      </c>
      <c r="B18" s="26" t="s">
        <v>136</v>
      </c>
      <c r="C18" s="26">
        <v>2029</v>
      </c>
      <c r="D18" s="26">
        <v>86.5</v>
      </c>
      <c r="E18" s="26">
        <v>62.6</v>
      </c>
      <c r="F18" s="26">
        <v>529</v>
      </c>
      <c r="G18">
        <f t="shared" si="1"/>
        <v>294</v>
      </c>
    </row>
    <row r="19" spans="1:7" x14ac:dyDescent="0.25">
      <c r="A19" s="26" t="s">
        <v>138</v>
      </c>
      <c r="B19" s="26" t="s">
        <v>136</v>
      </c>
      <c r="C19" s="26">
        <v>2030</v>
      </c>
      <c r="D19" s="26">
        <v>95.9</v>
      </c>
      <c r="E19" s="26">
        <v>70.7</v>
      </c>
      <c r="F19" s="26">
        <v>596</v>
      </c>
      <c r="G19">
        <f t="shared" si="1"/>
        <v>361</v>
      </c>
    </row>
    <row r="20" spans="1:7" x14ac:dyDescent="0.25">
      <c r="A20" s="26" t="s">
        <v>139</v>
      </c>
      <c r="B20" s="26" t="s">
        <v>136</v>
      </c>
      <c r="C20" s="26">
        <v>2024</v>
      </c>
      <c r="D20" s="26">
        <v>44.5</v>
      </c>
      <c r="E20" s="26">
        <v>22.4</v>
      </c>
      <c r="F20" s="26">
        <v>192</v>
      </c>
    </row>
    <row r="21" spans="1:7" x14ac:dyDescent="0.25">
      <c r="A21" s="26" t="s">
        <v>139</v>
      </c>
      <c r="B21" s="26" t="s">
        <v>136</v>
      </c>
      <c r="C21" s="26">
        <v>2025</v>
      </c>
      <c r="D21" s="26">
        <v>59.1</v>
      </c>
      <c r="E21" s="26">
        <v>30.4</v>
      </c>
      <c r="F21" s="26">
        <v>258</v>
      </c>
    </row>
    <row r="22" spans="1:7" x14ac:dyDescent="0.25">
      <c r="A22" s="26" t="s">
        <v>139</v>
      </c>
      <c r="B22" s="26" t="s">
        <v>136</v>
      </c>
      <c r="C22" s="26">
        <v>2026</v>
      </c>
      <c r="D22" s="26">
        <v>73.8</v>
      </c>
      <c r="E22" s="26">
        <v>41.1</v>
      </c>
      <c r="F22" s="26">
        <v>348</v>
      </c>
      <c r="G22">
        <f>F22-$F$21</f>
        <v>90</v>
      </c>
    </row>
    <row r="23" spans="1:7" x14ac:dyDescent="0.25">
      <c r="A23" s="26" t="s">
        <v>139</v>
      </c>
      <c r="B23" s="26" t="s">
        <v>136</v>
      </c>
      <c r="C23" s="26">
        <v>2027</v>
      </c>
      <c r="D23" s="26">
        <v>88.5</v>
      </c>
      <c r="E23" s="26">
        <v>54.4</v>
      </c>
      <c r="F23" s="26">
        <v>459</v>
      </c>
      <c r="G23">
        <f t="shared" ref="G23:G26" si="2">F23-$F$21</f>
        <v>201</v>
      </c>
    </row>
    <row r="24" spans="1:7" x14ac:dyDescent="0.25">
      <c r="A24" s="26" t="s">
        <v>139</v>
      </c>
      <c r="B24" s="26" t="s">
        <v>136</v>
      </c>
      <c r="C24" s="26">
        <v>2028</v>
      </c>
      <c r="D24" s="26">
        <v>103</v>
      </c>
      <c r="E24" s="26">
        <v>68.5</v>
      </c>
      <c r="F24" s="26">
        <v>578</v>
      </c>
      <c r="G24">
        <f t="shared" si="2"/>
        <v>320</v>
      </c>
    </row>
    <row r="25" spans="1:7" x14ac:dyDescent="0.25">
      <c r="A25" s="26" t="s">
        <v>139</v>
      </c>
      <c r="B25" s="26" t="s">
        <v>136</v>
      </c>
      <c r="C25" s="26">
        <v>2029</v>
      </c>
      <c r="D25" s="26">
        <v>118</v>
      </c>
      <c r="E25" s="26">
        <v>81.5</v>
      </c>
      <c r="F25" s="26">
        <v>687</v>
      </c>
      <c r="G25">
        <f t="shared" si="2"/>
        <v>429</v>
      </c>
    </row>
    <row r="26" spans="1:7" x14ac:dyDescent="0.25">
      <c r="A26" s="26" t="s">
        <v>139</v>
      </c>
      <c r="B26" s="26" t="s">
        <v>136</v>
      </c>
      <c r="C26" s="26">
        <v>2030</v>
      </c>
      <c r="D26" s="26">
        <v>132</v>
      </c>
      <c r="E26" s="26">
        <v>94</v>
      </c>
      <c r="F26" s="26">
        <v>794</v>
      </c>
      <c r="G26">
        <f t="shared" si="2"/>
        <v>536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87F32-B8F1-4841-987D-BFD200C5A817}">
  <dimension ref="B23:E24"/>
  <sheetViews>
    <sheetView zoomScale="115" zoomScaleNormal="115" workbookViewId="0">
      <selection activeCell="B25" sqref="B25"/>
    </sheetView>
  </sheetViews>
  <sheetFormatPr defaultRowHeight="15" x14ac:dyDescent="0.25"/>
  <cols>
    <col min="2" max="2" width="12.85546875" bestFit="1" customWidth="1"/>
  </cols>
  <sheetData>
    <row r="23" spans="2:5" x14ac:dyDescent="0.25">
      <c r="B23" t="s">
        <v>155</v>
      </c>
      <c r="C23">
        <v>2024</v>
      </c>
      <c r="D23">
        <v>2025</v>
      </c>
      <c r="E23">
        <v>2030</v>
      </c>
    </row>
    <row r="24" spans="2:5" x14ac:dyDescent="0.25">
      <c r="B24" t="s">
        <v>123</v>
      </c>
      <c r="C24">
        <v>183</v>
      </c>
      <c r="D24">
        <v>224</v>
      </c>
      <c r="E24">
        <v>426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097A5-73A8-4B15-AE61-B6D9CB7F97AD}">
  <dimension ref="A1:AE102"/>
  <sheetViews>
    <sheetView workbookViewId="0"/>
  </sheetViews>
  <sheetFormatPr defaultRowHeight="15" x14ac:dyDescent="0.25"/>
  <sheetData>
    <row r="1" spans="1:31" x14ac:dyDescent="0.25">
      <c r="A1" t="s">
        <v>68</v>
      </c>
    </row>
    <row r="2" spans="1:31" x14ac:dyDescent="0.25">
      <c r="A2" t="s">
        <v>327</v>
      </c>
    </row>
    <row r="3" spans="1:31" x14ac:dyDescent="0.25">
      <c r="A3" t="s">
        <v>326</v>
      </c>
    </row>
    <row r="4" spans="1:31" x14ac:dyDescent="0.25">
      <c r="A4" t="s">
        <v>69</v>
      </c>
    </row>
    <row r="5" spans="1:31" x14ac:dyDescent="0.25">
      <c r="B5" t="s">
        <v>70</v>
      </c>
      <c r="C5" t="s">
        <v>71</v>
      </c>
      <c r="D5" t="s">
        <v>72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325</v>
      </c>
    </row>
    <row r="6" spans="1:31" x14ac:dyDescent="0.25">
      <c r="A6" t="s">
        <v>73</v>
      </c>
    </row>
    <row r="7" spans="1:31" x14ac:dyDescent="0.25">
      <c r="A7" t="s">
        <v>74</v>
      </c>
    </row>
    <row r="8" spans="1:31" x14ac:dyDescent="0.25">
      <c r="A8" t="s">
        <v>75</v>
      </c>
      <c r="B8" t="s">
        <v>324</v>
      </c>
      <c r="C8" t="s">
        <v>323</v>
      </c>
      <c r="D8" t="s">
        <v>76</v>
      </c>
      <c r="E8">
        <v>101.845505</v>
      </c>
      <c r="F8">
        <v>103.10442399999999</v>
      </c>
      <c r="G8">
        <v>104.31424699999999</v>
      </c>
      <c r="H8">
        <v>105.48232299999999</v>
      </c>
      <c r="I8">
        <v>106.628433</v>
      </c>
      <c r="J8">
        <v>107.75984200000001</v>
      </c>
      <c r="K8">
        <v>108.90231300000001</v>
      </c>
      <c r="L8">
        <v>110.070587</v>
      </c>
      <c r="M8">
        <v>111.267746</v>
      </c>
      <c r="N8">
        <v>112.50000799999999</v>
      </c>
      <c r="O8">
        <v>113.768677</v>
      </c>
      <c r="P8">
        <v>115.073914</v>
      </c>
      <c r="Q8">
        <v>116.41436</v>
      </c>
      <c r="R8">
        <v>117.78051000000001</v>
      </c>
      <c r="S8">
        <v>119.114738</v>
      </c>
      <c r="T8">
        <v>120.41529800000001</v>
      </c>
      <c r="U8">
        <v>121.684471</v>
      </c>
      <c r="V8">
        <v>122.897865</v>
      </c>
      <c r="W8">
        <v>124.064178</v>
      </c>
      <c r="X8">
        <v>125.198471</v>
      </c>
      <c r="Y8">
        <v>126.307709</v>
      </c>
      <c r="Z8">
        <v>127.400986</v>
      </c>
      <c r="AA8">
        <v>128.481964</v>
      </c>
      <c r="AB8">
        <v>129.55204800000001</v>
      </c>
      <c r="AC8">
        <v>130.612976</v>
      </c>
      <c r="AD8">
        <v>131.665558</v>
      </c>
      <c r="AE8" s="18">
        <v>0.01</v>
      </c>
    </row>
    <row r="9" spans="1:31" x14ac:dyDescent="0.25">
      <c r="A9" t="s">
        <v>77</v>
      </c>
      <c r="B9" t="s">
        <v>322</v>
      </c>
      <c r="C9" t="s">
        <v>321</v>
      </c>
      <c r="D9" t="s">
        <v>76</v>
      </c>
      <c r="E9">
        <v>2.7983539999999998</v>
      </c>
      <c r="F9">
        <v>2.7631329999999998</v>
      </c>
      <c r="G9">
        <v>2.7356199999999999</v>
      </c>
      <c r="H9">
        <v>2.7281330000000001</v>
      </c>
      <c r="I9">
        <v>2.7281270000000002</v>
      </c>
      <c r="J9">
        <v>2.7541440000000001</v>
      </c>
      <c r="K9">
        <v>2.795398</v>
      </c>
      <c r="L9">
        <v>2.8401640000000001</v>
      </c>
      <c r="M9">
        <v>2.8917440000000001</v>
      </c>
      <c r="N9">
        <v>2.9451779999999999</v>
      </c>
      <c r="O9">
        <v>2.9993840000000001</v>
      </c>
      <c r="P9">
        <v>3.0528369999999998</v>
      </c>
      <c r="Q9">
        <v>3.0973130000000002</v>
      </c>
      <c r="R9">
        <v>3.0842869999999998</v>
      </c>
      <c r="S9">
        <v>3.0694240000000002</v>
      </c>
      <c r="T9">
        <v>3.056657</v>
      </c>
      <c r="U9">
        <v>3.0191319999999999</v>
      </c>
      <c r="V9">
        <v>2.9897260000000001</v>
      </c>
      <c r="W9">
        <v>2.974996</v>
      </c>
      <c r="X9">
        <v>2.9668220000000001</v>
      </c>
      <c r="Y9">
        <v>2.9674109999999998</v>
      </c>
      <c r="Z9">
        <v>2.971346</v>
      </c>
      <c r="AA9">
        <v>2.976496</v>
      </c>
      <c r="AB9">
        <v>2.9830369999999999</v>
      </c>
      <c r="AC9">
        <v>2.990272</v>
      </c>
      <c r="AD9">
        <v>2.998542</v>
      </c>
      <c r="AE9" s="18">
        <v>3.0000000000000001E-3</v>
      </c>
    </row>
    <row r="10" spans="1:31" x14ac:dyDescent="0.25">
      <c r="A10" t="s">
        <v>20</v>
      </c>
      <c r="B10" t="s">
        <v>320</v>
      </c>
      <c r="C10" t="s">
        <v>319</v>
      </c>
      <c r="D10" t="s">
        <v>76</v>
      </c>
      <c r="E10">
        <v>104.64386</v>
      </c>
      <c r="F10">
        <v>105.867554</v>
      </c>
      <c r="G10">
        <v>107.04986599999999</v>
      </c>
      <c r="H10">
        <v>108.21045700000001</v>
      </c>
      <c r="I10">
        <v>109.35656</v>
      </c>
      <c r="J10">
        <v>110.51398500000001</v>
      </c>
      <c r="K10">
        <v>111.69770800000001</v>
      </c>
      <c r="L10">
        <v>112.910751</v>
      </c>
      <c r="M10">
        <v>114.159492</v>
      </c>
      <c r="N10">
        <v>115.445183</v>
      </c>
      <c r="O10">
        <v>116.76805899999999</v>
      </c>
      <c r="P10">
        <v>118.12674699999999</v>
      </c>
      <c r="Q10">
        <v>119.511673</v>
      </c>
      <c r="R10">
        <v>120.864799</v>
      </c>
      <c r="S10">
        <v>122.184166</v>
      </c>
      <c r="T10">
        <v>123.471954</v>
      </c>
      <c r="U10">
        <v>124.70360599999999</v>
      </c>
      <c r="V10">
        <v>125.88758900000001</v>
      </c>
      <c r="W10">
        <v>127.039177</v>
      </c>
      <c r="X10">
        <v>128.16529800000001</v>
      </c>
      <c r="Y10">
        <v>129.275116</v>
      </c>
      <c r="Z10">
        <v>130.37233000000001</v>
      </c>
      <c r="AA10">
        <v>131.45846599999999</v>
      </c>
      <c r="AB10">
        <v>132.53507999999999</v>
      </c>
      <c r="AC10">
        <v>133.603241</v>
      </c>
      <c r="AD10">
        <v>134.66409300000001</v>
      </c>
      <c r="AE10" s="18">
        <v>0.01</v>
      </c>
    </row>
    <row r="11" spans="1:31" x14ac:dyDescent="0.25">
      <c r="A11" t="s">
        <v>78</v>
      </c>
    </row>
    <row r="12" spans="1:31" x14ac:dyDescent="0.25">
      <c r="A12" t="s">
        <v>79</v>
      </c>
    </row>
    <row r="13" spans="1:31" x14ac:dyDescent="0.25">
      <c r="A13" t="s">
        <v>80</v>
      </c>
      <c r="B13" t="s">
        <v>318</v>
      </c>
      <c r="C13" t="s">
        <v>317</v>
      </c>
      <c r="D13" t="s">
        <v>81</v>
      </c>
      <c r="E13">
        <v>94.608611999999994</v>
      </c>
      <c r="F13">
        <v>95.200951000000003</v>
      </c>
      <c r="G13">
        <v>94.894547000000003</v>
      </c>
      <c r="H13">
        <v>94.391609000000003</v>
      </c>
      <c r="I13">
        <v>93.678154000000006</v>
      </c>
      <c r="J13">
        <v>92.733329999999995</v>
      </c>
      <c r="K13">
        <v>91.840523000000005</v>
      </c>
      <c r="L13">
        <v>91.140854000000004</v>
      </c>
      <c r="M13">
        <v>90.533225999999999</v>
      </c>
      <c r="N13">
        <v>90.025192000000004</v>
      </c>
      <c r="O13">
        <v>89.527039000000002</v>
      </c>
      <c r="P13">
        <v>89.104965000000007</v>
      </c>
      <c r="Q13">
        <v>88.683937</v>
      </c>
      <c r="R13">
        <v>88.304732999999999</v>
      </c>
      <c r="S13">
        <v>87.952102999999994</v>
      </c>
      <c r="T13">
        <v>87.609711000000004</v>
      </c>
      <c r="U13">
        <v>87.320464999999999</v>
      </c>
      <c r="V13">
        <v>87.099518000000003</v>
      </c>
      <c r="W13">
        <v>86.907027999999997</v>
      </c>
      <c r="X13">
        <v>86.735259999999997</v>
      </c>
      <c r="Y13">
        <v>86.553421</v>
      </c>
      <c r="Z13">
        <v>86.303925000000007</v>
      </c>
      <c r="AA13">
        <v>85.985275000000001</v>
      </c>
      <c r="AB13">
        <v>85.633080000000007</v>
      </c>
      <c r="AC13">
        <v>85.264458000000005</v>
      </c>
      <c r="AD13">
        <v>84.897255000000001</v>
      </c>
      <c r="AE13" s="18">
        <v>-4.0000000000000001E-3</v>
      </c>
    </row>
    <row r="14" spans="1:31" x14ac:dyDescent="0.25">
      <c r="A14" t="s">
        <v>82</v>
      </c>
      <c r="B14" t="s">
        <v>316</v>
      </c>
      <c r="C14" t="s">
        <v>315</v>
      </c>
      <c r="D14" t="s">
        <v>81</v>
      </c>
      <c r="E14">
        <v>93.084305000000001</v>
      </c>
      <c r="F14">
        <v>93.513205999999997</v>
      </c>
      <c r="G14">
        <v>93.074776</v>
      </c>
      <c r="H14">
        <v>92.519630000000006</v>
      </c>
      <c r="I14">
        <v>91.782714999999996</v>
      </c>
      <c r="J14">
        <v>90.809180999999995</v>
      </c>
      <c r="K14">
        <v>89.899635000000004</v>
      </c>
      <c r="L14">
        <v>89.191779999999994</v>
      </c>
      <c r="M14">
        <v>88.573188999999999</v>
      </c>
      <c r="N14">
        <v>88.038452000000007</v>
      </c>
      <c r="O14">
        <v>87.524017000000001</v>
      </c>
      <c r="P14">
        <v>87.092613</v>
      </c>
      <c r="Q14">
        <v>86.638892999999996</v>
      </c>
      <c r="R14">
        <v>86.228638000000004</v>
      </c>
      <c r="S14">
        <v>85.833716999999993</v>
      </c>
      <c r="T14">
        <v>85.458236999999997</v>
      </c>
      <c r="U14">
        <v>85.160706000000005</v>
      </c>
      <c r="V14">
        <v>84.916267000000005</v>
      </c>
      <c r="W14">
        <v>84.720146</v>
      </c>
      <c r="X14">
        <v>84.541443000000001</v>
      </c>
      <c r="Y14">
        <v>84.357269000000002</v>
      </c>
      <c r="Z14">
        <v>84.093650999999994</v>
      </c>
      <c r="AA14">
        <v>83.753242</v>
      </c>
      <c r="AB14">
        <v>83.378760999999997</v>
      </c>
      <c r="AC14">
        <v>82.997833</v>
      </c>
      <c r="AD14">
        <v>82.609665000000007</v>
      </c>
      <c r="AE14" s="18">
        <v>-5.0000000000000001E-3</v>
      </c>
    </row>
    <row r="15" spans="1:31" x14ac:dyDescent="0.25">
      <c r="A15" t="s">
        <v>83</v>
      </c>
    </row>
    <row r="16" spans="1:31" x14ac:dyDescent="0.25">
      <c r="A16" t="s">
        <v>84</v>
      </c>
    </row>
    <row r="17" spans="1:31" x14ac:dyDescent="0.25">
      <c r="A17" t="s">
        <v>85</v>
      </c>
      <c r="B17" t="s">
        <v>314</v>
      </c>
      <c r="C17" t="s">
        <v>313</v>
      </c>
      <c r="D17" t="s">
        <v>86</v>
      </c>
      <c r="E17">
        <v>0.20086000000000001</v>
      </c>
      <c r="F17">
        <v>0.193991</v>
      </c>
      <c r="G17">
        <v>0.19233</v>
      </c>
      <c r="H17">
        <v>0.19123699999999999</v>
      </c>
      <c r="I17">
        <v>0.18969</v>
      </c>
      <c r="J17">
        <v>0.18790200000000001</v>
      </c>
      <c r="K17">
        <v>0.186031</v>
      </c>
      <c r="L17">
        <v>0.18410599999999999</v>
      </c>
      <c r="M17">
        <v>0.18223</v>
      </c>
      <c r="N17">
        <v>0.18024200000000001</v>
      </c>
      <c r="O17">
        <v>0.1782</v>
      </c>
      <c r="P17">
        <v>0.17622699999999999</v>
      </c>
      <c r="Q17">
        <v>0.17410100000000001</v>
      </c>
      <c r="R17">
        <v>0.171933</v>
      </c>
      <c r="S17">
        <v>0.16966300000000001</v>
      </c>
      <c r="T17">
        <v>0.16736599999999999</v>
      </c>
      <c r="U17">
        <v>0.165099</v>
      </c>
      <c r="V17">
        <v>0.16280800000000001</v>
      </c>
      <c r="W17">
        <v>0.16050900000000001</v>
      </c>
      <c r="X17">
        <v>0.15815599999999999</v>
      </c>
      <c r="Y17">
        <v>0.15582399999999999</v>
      </c>
      <c r="Z17">
        <v>0.15335499999999999</v>
      </c>
      <c r="AA17">
        <v>0.15071499999999999</v>
      </c>
      <c r="AB17">
        <v>0.148032</v>
      </c>
      <c r="AC17">
        <v>0.14538499999999999</v>
      </c>
      <c r="AD17">
        <v>0.14267099999999999</v>
      </c>
      <c r="AE17" s="18">
        <v>-1.4E-2</v>
      </c>
    </row>
    <row r="18" spans="1:31" x14ac:dyDescent="0.25">
      <c r="A18" t="s">
        <v>98</v>
      </c>
      <c r="B18" t="s">
        <v>312</v>
      </c>
      <c r="C18" t="s">
        <v>311</v>
      </c>
      <c r="D18" t="s">
        <v>86</v>
      </c>
      <c r="E18">
        <v>0.56683899999999998</v>
      </c>
      <c r="F18">
        <v>0.594472</v>
      </c>
      <c r="G18">
        <v>0.60086099999999998</v>
      </c>
      <c r="H18">
        <v>0.60903200000000002</v>
      </c>
      <c r="I18">
        <v>0.61580999999999997</v>
      </c>
      <c r="J18">
        <v>0.62006600000000001</v>
      </c>
      <c r="K18">
        <v>0.62495599999999996</v>
      </c>
      <c r="L18">
        <v>0.63044599999999995</v>
      </c>
      <c r="M18">
        <v>0.63640799999999997</v>
      </c>
      <c r="N18">
        <v>0.64294499999999999</v>
      </c>
      <c r="O18">
        <v>0.64979900000000002</v>
      </c>
      <c r="P18">
        <v>0.65744899999999995</v>
      </c>
      <c r="Q18">
        <v>0.66526600000000002</v>
      </c>
      <c r="R18">
        <v>0.67322599999999999</v>
      </c>
      <c r="S18">
        <v>0.68110099999999996</v>
      </c>
      <c r="T18">
        <v>0.68931200000000004</v>
      </c>
      <c r="U18">
        <v>0.69798099999999996</v>
      </c>
      <c r="V18">
        <v>0.70710200000000001</v>
      </c>
      <c r="W18">
        <v>0.71693200000000001</v>
      </c>
      <c r="X18">
        <v>0.72700600000000004</v>
      </c>
      <c r="Y18">
        <v>0.73754799999999998</v>
      </c>
      <c r="Z18">
        <v>0.747668</v>
      </c>
      <c r="AA18">
        <v>0.75733799999999996</v>
      </c>
      <c r="AB18">
        <v>0.76694399999999996</v>
      </c>
      <c r="AC18">
        <v>0.77708900000000003</v>
      </c>
      <c r="AD18">
        <v>0.78723699999999996</v>
      </c>
      <c r="AE18" s="18">
        <v>1.2999999999999999E-2</v>
      </c>
    </row>
    <row r="19" spans="1:31" x14ac:dyDescent="0.25">
      <c r="A19" t="s">
        <v>87</v>
      </c>
      <c r="B19" t="s">
        <v>310</v>
      </c>
      <c r="C19" t="s">
        <v>309</v>
      </c>
      <c r="D19" t="s">
        <v>86</v>
      </c>
      <c r="E19">
        <v>7.3797000000000001E-2</v>
      </c>
      <c r="F19">
        <v>7.2725999999999999E-2</v>
      </c>
      <c r="G19">
        <v>7.2052000000000005E-2</v>
      </c>
      <c r="H19">
        <v>7.1639999999999995E-2</v>
      </c>
      <c r="I19">
        <v>7.1070999999999995E-2</v>
      </c>
      <c r="J19">
        <v>7.0186999999999999E-2</v>
      </c>
      <c r="K19">
        <v>6.9282999999999997E-2</v>
      </c>
      <c r="L19">
        <v>6.8399000000000001E-2</v>
      </c>
      <c r="M19">
        <v>6.7566000000000001E-2</v>
      </c>
      <c r="N19">
        <v>6.6746E-2</v>
      </c>
      <c r="O19">
        <v>6.5932000000000004E-2</v>
      </c>
      <c r="P19">
        <v>6.5184000000000006E-2</v>
      </c>
      <c r="Q19">
        <v>6.4424999999999996E-2</v>
      </c>
      <c r="R19">
        <v>6.3672999999999993E-2</v>
      </c>
      <c r="S19">
        <v>6.2916E-2</v>
      </c>
      <c r="T19">
        <v>6.2153E-2</v>
      </c>
      <c r="U19">
        <v>6.1430999999999999E-2</v>
      </c>
      <c r="V19">
        <v>6.0715999999999999E-2</v>
      </c>
      <c r="W19">
        <v>6.0033999999999997E-2</v>
      </c>
      <c r="X19">
        <v>5.9364E-2</v>
      </c>
      <c r="Y19">
        <v>5.8694999999999997E-2</v>
      </c>
      <c r="Z19">
        <v>5.8001999999999998E-2</v>
      </c>
      <c r="AA19">
        <v>5.7258000000000003E-2</v>
      </c>
      <c r="AB19">
        <v>5.6502999999999998E-2</v>
      </c>
      <c r="AC19">
        <v>5.5764000000000001E-2</v>
      </c>
      <c r="AD19">
        <v>5.5010999999999997E-2</v>
      </c>
      <c r="AE19" s="18">
        <v>-1.2E-2</v>
      </c>
    </row>
    <row r="20" spans="1:31" x14ac:dyDescent="0.25">
      <c r="A20" t="s">
        <v>88</v>
      </c>
      <c r="B20" t="s">
        <v>308</v>
      </c>
      <c r="C20" t="s">
        <v>307</v>
      </c>
      <c r="D20" t="s">
        <v>86</v>
      </c>
      <c r="E20">
        <v>0.77257900000000002</v>
      </c>
      <c r="F20">
        <v>0.77808100000000002</v>
      </c>
      <c r="G20">
        <v>0.78721600000000003</v>
      </c>
      <c r="H20">
        <v>0.79894799999999999</v>
      </c>
      <c r="I20">
        <v>0.80861700000000003</v>
      </c>
      <c r="J20">
        <v>0.81284800000000001</v>
      </c>
      <c r="K20">
        <v>0.81740299999999999</v>
      </c>
      <c r="L20">
        <v>0.82248900000000003</v>
      </c>
      <c r="M20">
        <v>0.82842199999999999</v>
      </c>
      <c r="N20">
        <v>0.83473399999999998</v>
      </c>
      <c r="O20">
        <v>0.84140800000000004</v>
      </c>
      <c r="P20">
        <v>0.84894000000000003</v>
      </c>
      <c r="Q20">
        <v>0.85649600000000004</v>
      </c>
      <c r="R20">
        <v>0.86420600000000003</v>
      </c>
      <c r="S20">
        <v>0.87185299999999999</v>
      </c>
      <c r="T20">
        <v>0.87961100000000003</v>
      </c>
      <c r="U20">
        <v>0.88787400000000005</v>
      </c>
      <c r="V20">
        <v>0.89625699999999997</v>
      </c>
      <c r="W20">
        <v>0.90508500000000003</v>
      </c>
      <c r="X20">
        <v>0.91416399999999998</v>
      </c>
      <c r="Y20">
        <v>0.923373</v>
      </c>
      <c r="Z20">
        <v>0.93216900000000003</v>
      </c>
      <c r="AA20">
        <v>0.94026100000000001</v>
      </c>
      <c r="AB20">
        <v>0.94815300000000002</v>
      </c>
      <c r="AC20">
        <v>0.95642499999999997</v>
      </c>
      <c r="AD20">
        <v>0.96451799999999999</v>
      </c>
      <c r="AE20" s="18">
        <v>8.9999999999999993E-3</v>
      </c>
    </row>
    <row r="21" spans="1:31" x14ac:dyDescent="0.25">
      <c r="A21" t="s">
        <v>89</v>
      </c>
      <c r="B21" t="s">
        <v>306</v>
      </c>
      <c r="C21" t="s">
        <v>305</v>
      </c>
      <c r="D21" t="s">
        <v>86</v>
      </c>
      <c r="E21">
        <v>8.3990999999999996E-2</v>
      </c>
      <c r="F21">
        <v>8.3245E-2</v>
      </c>
      <c r="G21">
        <v>8.2881999999999997E-2</v>
      </c>
      <c r="H21">
        <v>8.2750000000000004E-2</v>
      </c>
      <c r="I21">
        <v>8.2395999999999997E-2</v>
      </c>
      <c r="J21">
        <v>8.1708000000000003E-2</v>
      </c>
      <c r="K21">
        <v>8.0997E-2</v>
      </c>
      <c r="L21">
        <v>8.0317E-2</v>
      </c>
      <c r="M21">
        <v>7.9703999999999997E-2</v>
      </c>
      <c r="N21">
        <v>7.9116000000000006E-2</v>
      </c>
      <c r="O21">
        <v>7.8533000000000006E-2</v>
      </c>
      <c r="P21">
        <v>7.7997999999999998E-2</v>
      </c>
      <c r="Q21">
        <v>7.7441999999999997E-2</v>
      </c>
      <c r="R21">
        <v>7.6881000000000005E-2</v>
      </c>
      <c r="S21">
        <v>7.6298000000000005E-2</v>
      </c>
      <c r="T21">
        <v>7.5702000000000005E-2</v>
      </c>
      <c r="U21">
        <v>7.5150999999999996E-2</v>
      </c>
      <c r="V21">
        <v>7.4596999999999997E-2</v>
      </c>
      <c r="W21">
        <v>7.4065000000000006E-2</v>
      </c>
      <c r="X21">
        <v>7.3538000000000006E-2</v>
      </c>
      <c r="Y21">
        <v>7.3001999999999997E-2</v>
      </c>
      <c r="Z21">
        <v>7.2416999999999995E-2</v>
      </c>
      <c r="AA21">
        <v>7.1762999999999993E-2</v>
      </c>
      <c r="AB21">
        <v>7.1082000000000006E-2</v>
      </c>
      <c r="AC21">
        <v>7.0415000000000005E-2</v>
      </c>
      <c r="AD21">
        <v>6.9721000000000005E-2</v>
      </c>
      <c r="AE21" s="18">
        <v>-7.0000000000000001E-3</v>
      </c>
    </row>
    <row r="22" spans="1:31" x14ac:dyDescent="0.25">
      <c r="A22" t="s">
        <v>90</v>
      </c>
      <c r="B22" t="s">
        <v>304</v>
      </c>
      <c r="C22" t="s">
        <v>303</v>
      </c>
      <c r="D22" t="s">
        <v>86</v>
      </c>
      <c r="E22">
        <v>0.56464899999999996</v>
      </c>
      <c r="F22">
        <v>0.55332800000000004</v>
      </c>
      <c r="G22">
        <v>0.54732899999999995</v>
      </c>
      <c r="H22">
        <v>0.54542999999999997</v>
      </c>
      <c r="I22">
        <v>0.54358799999999996</v>
      </c>
      <c r="J22">
        <v>0.53231799999999996</v>
      </c>
      <c r="K22">
        <v>0.52262200000000003</v>
      </c>
      <c r="L22">
        <v>0.51419999999999999</v>
      </c>
      <c r="M22">
        <v>0.50677899999999998</v>
      </c>
      <c r="N22">
        <v>0.499778</v>
      </c>
      <c r="O22">
        <v>0.492952</v>
      </c>
      <c r="P22">
        <v>0.48728900000000003</v>
      </c>
      <c r="Q22">
        <v>0.48248600000000003</v>
      </c>
      <c r="R22">
        <v>0.47849799999999998</v>
      </c>
      <c r="S22">
        <v>0.47511900000000001</v>
      </c>
      <c r="T22">
        <v>0.47012199999999998</v>
      </c>
      <c r="U22">
        <v>0.46640700000000002</v>
      </c>
      <c r="V22">
        <v>0.46348200000000001</v>
      </c>
      <c r="W22">
        <v>0.46129700000000001</v>
      </c>
      <c r="X22">
        <v>0.45964300000000002</v>
      </c>
      <c r="Y22">
        <v>0.458401</v>
      </c>
      <c r="Z22">
        <v>0.457258</v>
      </c>
      <c r="AA22">
        <v>0.45599400000000001</v>
      </c>
      <c r="AB22">
        <v>0.454706</v>
      </c>
      <c r="AC22">
        <v>0.45369199999999998</v>
      </c>
      <c r="AD22">
        <v>0.45269500000000001</v>
      </c>
      <c r="AE22" s="18">
        <v>-8.9999999999999993E-3</v>
      </c>
    </row>
    <row r="23" spans="1:31" x14ac:dyDescent="0.25">
      <c r="A23" t="s">
        <v>91</v>
      </c>
      <c r="B23" t="s">
        <v>302</v>
      </c>
      <c r="C23" t="s">
        <v>301</v>
      </c>
      <c r="D23" t="s">
        <v>86</v>
      </c>
      <c r="E23">
        <v>0.366734</v>
      </c>
      <c r="F23">
        <v>0.36595299999999997</v>
      </c>
      <c r="G23">
        <v>0.366174</v>
      </c>
      <c r="H23">
        <v>0.36699999999999999</v>
      </c>
      <c r="I23">
        <v>0.36756299999999997</v>
      </c>
      <c r="J23">
        <v>0.36664400000000003</v>
      </c>
      <c r="K23">
        <v>0.36620599999999998</v>
      </c>
      <c r="L23">
        <v>0.36610900000000002</v>
      </c>
      <c r="M23">
        <v>0.36638999999999999</v>
      </c>
      <c r="N23">
        <v>0.36695</v>
      </c>
      <c r="O23">
        <v>0.36775600000000003</v>
      </c>
      <c r="P23">
        <v>0.36884800000000001</v>
      </c>
      <c r="Q23">
        <v>0.37004599999999999</v>
      </c>
      <c r="R23">
        <v>0.37123899999999999</v>
      </c>
      <c r="S23">
        <v>0.37238300000000002</v>
      </c>
      <c r="T23">
        <v>0.37348500000000001</v>
      </c>
      <c r="U23">
        <v>0.37482799999999999</v>
      </c>
      <c r="V23">
        <v>0.37610199999999999</v>
      </c>
      <c r="W23">
        <v>0.37739</v>
      </c>
      <c r="X23">
        <v>0.37866300000000003</v>
      </c>
      <c r="Y23">
        <v>0.37990099999999999</v>
      </c>
      <c r="Z23">
        <v>0.38101400000000002</v>
      </c>
      <c r="AA23">
        <v>0.38195499999999999</v>
      </c>
      <c r="AB23">
        <v>0.38280700000000001</v>
      </c>
      <c r="AC23">
        <v>0.383654</v>
      </c>
      <c r="AD23">
        <v>0.38441500000000001</v>
      </c>
      <c r="AE23" s="18">
        <v>2E-3</v>
      </c>
    </row>
    <row r="24" spans="1:31" x14ac:dyDescent="0.25">
      <c r="A24" t="s">
        <v>219</v>
      </c>
      <c r="B24" t="s">
        <v>300</v>
      </c>
      <c r="C24" t="s">
        <v>299</v>
      </c>
      <c r="D24" t="s">
        <v>86</v>
      </c>
      <c r="E24">
        <v>0.35769099999999998</v>
      </c>
      <c r="F24">
        <v>0.403698</v>
      </c>
      <c r="G24">
        <v>0.45296799999999998</v>
      </c>
      <c r="H24">
        <v>0.50386399999999998</v>
      </c>
      <c r="I24">
        <v>0.55580099999999999</v>
      </c>
      <c r="J24">
        <v>0.60810600000000004</v>
      </c>
      <c r="K24">
        <v>0.66097600000000001</v>
      </c>
      <c r="L24">
        <v>0.71486099999999997</v>
      </c>
      <c r="M24">
        <v>0.76973400000000003</v>
      </c>
      <c r="N24">
        <v>0.825407</v>
      </c>
      <c r="O24">
        <v>0.881718</v>
      </c>
      <c r="P24">
        <v>0.93838600000000005</v>
      </c>
      <c r="Q24">
        <v>0.99514899999999995</v>
      </c>
      <c r="R24">
        <v>1.0513049999999999</v>
      </c>
      <c r="S24">
        <v>1.1063590000000001</v>
      </c>
      <c r="T24">
        <v>1.1598010000000001</v>
      </c>
      <c r="U24">
        <v>1.2114279999999999</v>
      </c>
      <c r="V24">
        <v>1.2604219999999999</v>
      </c>
      <c r="W24">
        <v>1.3068299999999999</v>
      </c>
      <c r="X24">
        <v>1.3498509999999999</v>
      </c>
      <c r="Y24">
        <v>1.389499</v>
      </c>
      <c r="Z24">
        <v>1.424823</v>
      </c>
      <c r="AA24">
        <v>1.4555169999999999</v>
      </c>
      <c r="AB24">
        <v>1.4812449999999999</v>
      </c>
      <c r="AC24">
        <v>1.501816</v>
      </c>
      <c r="AD24">
        <v>1.5200849999999999</v>
      </c>
      <c r="AE24" s="18">
        <v>0.06</v>
      </c>
    </row>
    <row r="25" spans="1:31" x14ac:dyDescent="0.25">
      <c r="A25" t="s">
        <v>216</v>
      </c>
      <c r="B25" t="s">
        <v>298</v>
      </c>
      <c r="C25" t="s">
        <v>297</v>
      </c>
      <c r="D25" t="s">
        <v>86</v>
      </c>
      <c r="E25">
        <v>0.21695300000000001</v>
      </c>
      <c r="F25">
        <v>0.21174499999999999</v>
      </c>
      <c r="G25">
        <v>0.207122</v>
      </c>
      <c r="H25">
        <v>0.202684</v>
      </c>
      <c r="I25">
        <v>0.19826199999999999</v>
      </c>
      <c r="J25">
        <v>0.193913</v>
      </c>
      <c r="K25">
        <v>0.189829</v>
      </c>
      <c r="L25">
        <v>0.18572</v>
      </c>
      <c r="M25">
        <v>0.18246499999999999</v>
      </c>
      <c r="N25">
        <v>0.17970900000000001</v>
      </c>
      <c r="O25">
        <v>0.177067</v>
      </c>
      <c r="P25">
        <v>0.175041</v>
      </c>
      <c r="Q25">
        <v>0.173177</v>
      </c>
      <c r="R25">
        <v>0.17144699999999999</v>
      </c>
      <c r="S25">
        <v>0.170381</v>
      </c>
      <c r="T25">
        <v>0.16903399999999999</v>
      </c>
      <c r="U25">
        <v>0.16736699999999999</v>
      </c>
      <c r="V25">
        <v>0.16647999999999999</v>
      </c>
      <c r="W25">
        <v>0.16480900000000001</v>
      </c>
      <c r="X25">
        <v>0.16345199999999999</v>
      </c>
      <c r="Y25">
        <v>0.16186400000000001</v>
      </c>
      <c r="Z25">
        <v>0.16063</v>
      </c>
      <c r="AA25">
        <v>0.15854499999999999</v>
      </c>
      <c r="AB25">
        <v>0.15620999999999999</v>
      </c>
      <c r="AC25">
        <v>0.153638</v>
      </c>
      <c r="AD25">
        <v>0.150807</v>
      </c>
      <c r="AE25" s="18">
        <v>-1.4E-2</v>
      </c>
    </row>
    <row r="26" spans="1:31" x14ac:dyDescent="0.25">
      <c r="A26" t="s">
        <v>92</v>
      </c>
      <c r="B26" t="s">
        <v>296</v>
      </c>
      <c r="C26" t="s">
        <v>295</v>
      </c>
      <c r="D26" t="s">
        <v>86</v>
      </c>
      <c r="E26">
        <v>1.949163</v>
      </c>
      <c r="F26">
        <v>2.1337269999999999</v>
      </c>
      <c r="G26">
        <v>2.139688</v>
      </c>
      <c r="H26">
        <v>2.1391499999999999</v>
      </c>
      <c r="I26">
        <v>2.1382029999999999</v>
      </c>
      <c r="J26">
        <v>2.1360299999999999</v>
      </c>
      <c r="K26">
        <v>2.1342720000000002</v>
      </c>
      <c r="L26">
        <v>2.1334949999999999</v>
      </c>
      <c r="M26">
        <v>2.134242</v>
      </c>
      <c r="N26">
        <v>2.1362719999999999</v>
      </c>
      <c r="O26">
        <v>2.1396160000000002</v>
      </c>
      <c r="P26">
        <v>2.1449530000000001</v>
      </c>
      <c r="Q26">
        <v>2.15116</v>
      </c>
      <c r="R26">
        <v>2.1578780000000002</v>
      </c>
      <c r="S26">
        <v>2.1648679999999998</v>
      </c>
      <c r="T26">
        <v>2.1721889999999999</v>
      </c>
      <c r="U26">
        <v>2.179389</v>
      </c>
      <c r="V26">
        <v>2.1868370000000001</v>
      </c>
      <c r="W26">
        <v>2.1948530000000002</v>
      </c>
      <c r="X26">
        <v>2.2030379999999998</v>
      </c>
      <c r="Y26">
        <v>2.2121149999999998</v>
      </c>
      <c r="Z26">
        <v>2.2210610000000002</v>
      </c>
      <c r="AA26">
        <v>2.2301319999999998</v>
      </c>
      <c r="AB26">
        <v>2.239662</v>
      </c>
      <c r="AC26">
        <v>2.249701</v>
      </c>
      <c r="AD26">
        <v>2.260383</v>
      </c>
      <c r="AE26" s="18">
        <v>6.0000000000000001E-3</v>
      </c>
    </row>
    <row r="27" spans="1:31" x14ac:dyDescent="0.25">
      <c r="A27" t="s">
        <v>93</v>
      </c>
      <c r="B27" t="s">
        <v>294</v>
      </c>
      <c r="C27" t="s">
        <v>293</v>
      </c>
      <c r="D27" t="s">
        <v>86</v>
      </c>
      <c r="E27">
        <v>5.1532549999999997</v>
      </c>
      <c r="F27">
        <v>5.3909659999999997</v>
      </c>
      <c r="G27">
        <v>5.4486230000000004</v>
      </c>
      <c r="H27">
        <v>5.5117349999999998</v>
      </c>
      <c r="I27">
        <v>5.5710030000000001</v>
      </c>
      <c r="J27">
        <v>5.6097219999999997</v>
      </c>
      <c r="K27">
        <v>5.6525759999999998</v>
      </c>
      <c r="L27">
        <v>5.7001429999999997</v>
      </c>
      <c r="M27">
        <v>5.7539410000000002</v>
      </c>
      <c r="N27">
        <v>5.8118990000000004</v>
      </c>
      <c r="O27">
        <v>5.8729810000000002</v>
      </c>
      <c r="P27">
        <v>5.940315</v>
      </c>
      <c r="Q27">
        <v>6.0097480000000001</v>
      </c>
      <c r="R27">
        <v>6.0802860000000001</v>
      </c>
      <c r="S27">
        <v>6.1509410000000004</v>
      </c>
      <c r="T27">
        <v>6.2187760000000001</v>
      </c>
      <c r="U27">
        <v>6.2869549999999998</v>
      </c>
      <c r="V27">
        <v>6.3548049999999998</v>
      </c>
      <c r="W27">
        <v>6.4218029999999997</v>
      </c>
      <c r="X27">
        <v>6.4868730000000001</v>
      </c>
      <c r="Y27">
        <v>6.5502229999999999</v>
      </c>
      <c r="Z27">
        <v>6.6083980000000002</v>
      </c>
      <c r="AA27">
        <v>6.6594790000000001</v>
      </c>
      <c r="AB27">
        <v>6.7053450000000003</v>
      </c>
      <c r="AC27">
        <v>6.7475779999999999</v>
      </c>
      <c r="AD27">
        <v>6.7875439999999996</v>
      </c>
      <c r="AE27" s="18">
        <v>1.0999999999999999E-2</v>
      </c>
    </row>
    <row r="28" spans="1:31" x14ac:dyDescent="0.25">
      <c r="A28" t="s">
        <v>94</v>
      </c>
      <c r="B28" t="s">
        <v>292</v>
      </c>
      <c r="C28" t="s">
        <v>291</v>
      </c>
      <c r="D28" t="s">
        <v>86</v>
      </c>
      <c r="E28">
        <v>3.1625E-2</v>
      </c>
      <c r="F28">
        <v>4.1348999999999997E-2</v>
      </c>
      <c r="G28">
        <v>5.3095000000000003E-2</v>
      </c>
      <c r="H28">
        <v>6.6243999999999997E-2</v>
      </c>
      <c r="I28">
        <v>7.9602999999999993E-2</v>
      </c>
      <c r="J28">
        <v>9.2543E-2</v>
      </c>
      <c r="K28">
        <v>0.10441599999999999</v>
      </c>
      <c r="L28">
        <v>0.115643</v>
      </c>
      <c r="M28">
        <v>0.126972</v>
      </c>
      <c r="N28">
        <v>0.13850199999999999</v>
      </c>
      <c r="O28">
        <v>0.150392</v>
      </c>
      <c r="P28">
        <v>0.16246099999999999</v>
      </c>
      <c r="Q28">
        <v>0.17480399999999999</v>
      </c>
      <c r="R28">
        <v>0.18723899999999999</v>
      </c>
      <c r="S28">
        <v>0.19958999999999999</v>
      </c>
      <c r="T28">
        <v>0.212288</v>
      </c>
      <c r="U28">
        <v>0.22536400000000001</v>
      </c>
      <c r="V28">
        <v>0.23924300000000001</v>
      </c>
      <c r="W28">
        <v>0.253973</v>
      </c>
      <c r="X28">
        <v>0.26994400000000002</v>
      </c>
      <c r="Y28">
        <v>0.28712100000000002</v>
      </c>
      <c r="Z28">
        <v>0.30473800000000001</v>
      </c>
      <c r="AA28">
        <v>0.32270399999999999</v>
      </c>
      <c r="AB28">
        <v>0.34103499999999998</v>
      </c>
      <c r="AC28">
        <v>0.35960799999999998</v>
      </c>
      <c r="AD28">
        <v>0.37826300000000002</v>
      </c>
      <c r="AE28" s="18">
        <v>0.104</v>
      </c>
    </row>
    <row r="29" spans="1:31" x14ac:dyDescent="0.25">
      <c r="A29" t="s">
        <v>95</v>
      </c>
      <c r="B29" t="s">
        <v>290</v>
      </c>
      <c r="C29" t="s">
        <v>289</v>
      </c>
      <c r="D29" t="s">
        <v>86</v>
      </c>
      <c r="E29">
        <v>0.15950900000000001</v>
      </c>
      <c r="F29">
        <v>0.178677</v>
      </c>
      <c r="G29">
        <v>0.19480600000000001</v>
      </c>
      <c r="H29">
        <v>0.202568</v>
      </c>
      <c r="I29">
        <v>0.20727899999999999</v>
      </c>
      <c r="J29">
        <v>0.212645</v>
      </c>
      <c r="K29">
        <v>0.21679300000000001</v>
      </c>
      <c r="L29">
        <v>0.22007099999999999</v>
      </c>
      <c r="M29">
        <v>0.22375700000000001</v>
      </c>
      <c r="N29">
        <v>0.22936000000000001</v>
      </c>
      <c r="O29">
        <v>0.23388900000000001</v>
      </c>
      <c r="P29">
        <v>0.23771300000000001</v>
      </c>
      <c r="Q29">
        <v>0.24440600000000001</v>
      </c>
      <c r="R29">
        <v>0.25092700000000001</v>
      </c>
      <c r="S29">
        <v>0.25883299999999998</v>
      </c>
      <c r="T29">
        <v>0.26564700000000002</v>
      </c>
      <c r="U29">
        <v>0.26933000000000001</v>
      </c>
      <c r="V29">
        <v>0.27484399999999998</v>
      </c>
      <c r="W29">
        <v>0.27782000000000001</v>
      </c>
      <c r="X29">
        <v>0.281171</v>
      </c>
      <c r="Y29">
        <v>0.28390700000000002</v>
      </c>
      <c r="Z29">
        <v>0.28815800000000003</v>
      </c>
      <c r="AA29">
        <v>0.29341899999999999</v>
      </c>
      <c r="AB29">
        <v>0.29877599999999999</v>
      </c>
      <c r="AC29">
        <v>0.30282900000000001</v>
      </c>
      <c r="AD29">
        <v>0.308056</v>
      </c>
      <c r="AE29" s="18">
        <v>2.7E-2</v>
      </c>
    </row>
    <row r="30" spans="1:31" x14ac:dyDescent="0.25">
      <c r="A30" t="s">
        <v>96</v>
      </c>
      <c r="B30" t="s">
        <v>288</v>
      </c>
      <c r="C30" t="s">
        <v>287</v>
      </c>
      <c r="D30" t="s">
        <v>86</v>
      </c>
      <c r="E30">
        <v>5.0253730000000001</v>
      </c>
      <c r="F30">
        <v>5.2536379999999996</v>
      </c>
      <c r="G30">
        <v>5.3069119999999996</v>
      </c>
      <c r="H30">
        <v>5.3754119999999999</v>
      </c>
      <c r="I30">
        <v>5.443327</v>
      </c>
      <c r="J30">
        <v>5.4896200000000004</v>
      </c>
      <c r="K30">
        <v>5.5401990000000003</v>
      </c>
      <c r="L30">
        <v>5.5957150000000002</v>
      </c>
      <c r="M30">
        <v>5.6571559999999996</v>
      </c>
      <c r="N30">
        <v>5.7210400000000003</v>
      </c>
      <c r="O30">
        <v>5.789485</v>
      </c>
      <c r="P30">
        <v>5.8650630000000001</v>
      </c>
      <c r="Q30">
        <v>5.9401460000000004</v>
      </c>
      <c r="R30">
        <v>6.0165980000000001</v>
      </c>
      <c r="S30">
        <v>6.0916980000000001</v>
      </c>
      <c r="T30">
        <v>6.1654169999999997</v>
      </c>
      <c r="U30">
        <v>6.2429899999999998</v>
      </c>
      <c r="V30">
        <v>6.319204</v>
      </c>
      <c r="W30">
        <v>6.3979559999999998</v>
      </c>
      <c r="X30">
        <v>6.4756460000000002</v>
      </c>
      <c r="Y30">
        <v>6.5534369999999997</v>
      </c>
      <c r="Z30">
        <v>6.6249789999999997</v>
      </c>
      <c r="AA30">
        <v>6.6887629999999998</v>
      </c>
      <c r="AB30">
        <v>6.7476050000000001</v>
      </c>
      <c r="AC30">
        <v>6.8043579999999997</v>
      </c>
      <c r="AD30">
        <v>6.8577510000000004</v>
      </c>
      <c r="AE30" s="18">
        <v>1.2999999999999999E-2</v>
      </c>
    </row>
    <row r="31" spans="1:31" x14ac:dyDescent="0.25">
      <c r="A31" t="s">
        <v>97</v>
      </c>
    </row>
    <row r="32" spans="1:31" x14ac:dyDescent="0.25">
      <c r="A32" t="s">
        <v>85</v>
      </c>
      <c r="B32" t="s">
        <v>286</v>
      </c>
      <c r="C32" t="s">
        <v>285</v>
      </c>
      <c r="D32" t="s">
        <v>86</v>
      </c>
      <c r="E32">
        <v>1.677395</v>
      </c>
      <c r="F32">
        <v>1.6589769999999999</v>
      </c>
      <c r="G32">
        <v>1.6553329999999999</v>
      </c>
      <c r="H32">
        <v>1.6402129999999999</v>
      </c>
      <c r="I32">
        <v>1.6146229999999999</v>
      </c>
      <c r="J32">
        <v>1.585396</v>
      </c>
      <c r="K32">
        <v>1.5581529999999999</v>
      </c>
      <c r="L32">
        <v>1.539679</v>
      </c>
      <c r="M32">
        <v>1.5255799999999999</v>
      </c>
      <c r="N32">
        <v>1.5149980000000001</v>
      </c>
      <c r="O32">
        <v>1.504151</v>
      </c>
      <c r="P32">
        <v>1.4947490000000001</v>
      </c>
      <c r="Q32">
        <v>1.4847630000000001</v>
      </c>
      <c r="R32">
        <v>1.474809</v>
      </c>
      <c r="S32">
        <v>1.464232</v>
      </c>
      <c r="T32">
        <v>1.4538169999999999</v>
      </c>
      <c r="U32">
        <v>1.4437610000000001</v>
      </c>
      <c r="V32">
        <v>1.435541</v>
      </c>
      <c r="W32">
        <v>1.427792</v>
      </c>
      <c r="X32">
        <v>1.4207719999999999</v>
      </c>
      <c r="Y32">
        <v>1.4132450000000001</v>
      </c>
      <c r="Z32">
        <v>1.403235</v>
      </c>
      <c r="AA32">
        <v>1.3916379999999999</v>
      </c>
      <c r="AB32">
        <v>1.379734</v>
      </c>
      <c r="AC32">
        <v>1.3678490000000001</v>
      </c>
      <c r="AD32">
        <v>1.356255</v>
      </c>
      <c r="AE32" s="18">
        <v>-8.0000000000000002E-3</v>
      </c>
    </row>
    <row r="33" spans="1:31" x14ac:dyDescent="0.25">
      <c r="A33" t="s">
        <v>98</v>
      </c>
      <c r="B33" t="s">
        <v>284</v>
      </c>
      <c r="C33" t="s">
        <v>283</v>
      </c>
      <c r="D33" t="s">
        <v>86</v>
      </c>
      <c r="E33">
        <v>1.5692000000000001E-2</v>
      </c>
      <c r="F33">
        <v>1.7611999999999999E-2</v>
      </c>
      <c r="G33">
        <v>1.7944999999999999E-2</v>
      </c>
      <c r="H33">
        <v>1.8169000000000001E-2</v>
      </c>
      <c r="I33">
        <v>1.8287000000000001E-2</v>
      </c>
      <c r="J33">
        <v>1.8391999999999999E-2</v>
      </c>
      <c r="K33">
        <v>1.8554999999999999E-2</v>
      </c>
      <c r="L33">
        <v>1.8870999999999999E-2</v>
      </c>
      <c r="M33">
        <v>1.9279999999999999E-2</v>
      </c>
      <c r="N33">
        <v>1.9785000000000001E-2</v>
      </c>
      <c r="O33">
        <v>2.0337999999999998E-2</v>
      </c>
      <c r="P33">
        <v>2.0947E-2</v>
      </c>
      <c r="Q33">
        <v>2.1603000000000001E-2</v>
      </c>
      <c r="R33">
        <v>2.2291999999999999E-2</v>
      </c>
      <c r="S33">
        <v>2.3007E-2</v>
      </c>
      <c r="T33">
        <v>2.3771E-2</v>
      </c>
      <c r="U33">
        <v>2.4568E-2</v>
      </c>
      <c r="V33">
        <v>2.5420999999999999E-2</v>
      </c>
      <c r="W33">
        <v>2.6325999999999999E-2</v>
      </c>
      <c r="X33">
        <v>2.7285E-2</v>
      </c>
      <c r="Y33">
        <v>2.8298E-2</v>
      </c>
      <c r="Z33">
        <v>2.9311E-2</v>
      </c>
      <c r="AA33">
        <v>3.0356000000000001E-2</v>
      </c>
      <c r="AB33">
        <v>3.1434999999999998E-2</v>
      </c>
      <c r="AC33">
        <v>3.2570000000000002E-2</v>
      </c>
      <c r="AD33">
        <v>3.3763000000000001E-2</v>
      </c>
      <c r="AE33" s="18">
        <v>3.1E-2</v>
      </c>
    </row>
    <row r="34" spans="1:31" x14ac:dyDescent="0.25">
      <c r="A34" t="s">
        <v>87</v>
      </c>
      <c r="B34" t="s">
        <v>282</v>
      </c>
      <c r="C34" t="s">
        <v>281</v>
      </c>
      <c r="D34" t="s">
        <v>86</v>
      </c>
      <c r="E34">
        <v>0.27396999999999999</v>
      </c>
      <c r="F34">
        <v>0.28034100000000001</v>
      </c>
      <c r="G34">
        <v>0.28301799999999999</v>
      </c>
      <c r="H34">
        <v>0.28370099999999998</v>
      </c>
      <c r="I34">
        <v>0.28280699999999998</v>
      </c>
      <c r="J34">
        <v>0.28132299999999999</v>
      </c>
      <c r="K34">
        <v>0.280138</v>
      </c>
      <c r="L34">
        <v>0.28065699999999999</v>
      </c>
      <c r="M34">
        <v>0.28179199999999999</v>
      </c>
      <c r="N34">
        <v>0.28385700000000003</v>
      </c>
      <c r="O34">
        <v>0.28610000000000002</v>
      </c>
      <c r="P34">
        <v>0.28878300000000001</v>
      </c>
      <c r="Q34">
        <v>0.29144900000000001</v>
      </c>
      <c r="R34">
        <v>0.29413099999999998</v>
      </c>
      <c r="S34">
        <v>0.29672999999999999</v>
      </c>
      <c r="T34">
        <v>0.29936600000000002</v>
      </c>
      <c r="U34">
        <v>0.30216399999999999</v>
      </c>
      <c r="V34">
        <v>0.30531700000000001</v>
      </c>
      <c r="W34">
        <v>0.30862800000000001</v>
      </c>
      <c r="X34">
        <v>0.312135</v>
      </c>
      <c r="Y34">
        <v>0.31552200000000002</v>
      </c>
      <c r="Z34">
        <v>0.31842900000000002</v>
      </c>
      <c r="AA34">
        <v>0.32100499999999998</v>
      </c>
      <c r="AB34">
        <v>0.32346599999999998</v>
      </c>
      <c r="AC34">
        <v>0.32592300000000002</v>
      </c>
      <c r="AD34">
        <v>0.32842900000000003</v>
      </c>
      <c r="AE34" s="18">
        <v>7.0000000000000001E-3</v>
      </c>
    </row>
    <row r="35" spans="1:31" x14ac:dyDescent="0.25">
      <c r="A35" t="s">
        <v>89</v>
      </c>
      <c r="B35" t="s">
        <v>280</v>
      </c>
      <c r="C35" t="s">
        <v>279</v>
      </c>
      <c r="D35" t="s">
        <v>86</v>
      </c>
      <c r="E35">
        <v>0.40538999999999997</v>
      </c>
      <c r="F35">
        <v>0.41269800000000001</v>
      </c>
      <c r="G35">
        <v>0.41620099999999999</v>
      </c>
      <c r="H35">
        <v>0.416769</v>
      </c>
      <c r="I35">
        <v>0.41515299999999999</v>
      </c>
      <c r="J35">
        <v>0.412603</v>
      </c>
      <c r="K35">
        <v>0.410522</v>
      </c>
      <c r="L35">
        <v>0.41081499999999999</v>
      </c>
      <c r="M35">
        <v>0.41202800000000001</v>
      </c>
      <c r="N35">
        <v>0.414518</v>
      </c>
      <c r="O35">
        <v>0.41720299999999999</v>
      </c>
      <c r="P35">
        <v>0.42046600000000001</v>
      </c>
      <c r="Q35">
        <v>0.42367300000000002</v>
      </c>
      <c r="R35">
        <v>0.42686800000000003</v>
      </c>
      <c r="S35">
        <v>0.429898</v>
      </c>
      <c r="T35">
        <v>0.43293399999999999</v>
      </c>
      <c r="U35">
        <v>0.43624499999999999</v>
      </c>
      <c r="V35">
        <v>0.440058</v>
      </c>
      <c r="W35">
        <v>0.44407600000000003</v>
      </c>
      <c r="X35">
        <v>0.448351</v>
      </c>
      <c r="Y35">
        <v>0.45241599999999998</v>
      </c>
      <c r="Z35">
        <v>0.45573799999999998</v>
      </c>
      <c r="AA35">
        <v>0.45854200000000001</v>
      </c>
      <c r="AB35">
        <v>0.46114699999999997</v>
      </c>
      <c r="AC35">
        <v>0.46372099999999999</v>
      </c>
      <c r="AD35">
        <v>0.46634399999999998</v>
      </c>
      <c r="AE35" s="18">
        <v>6.0000000000000001E-3</v>
      </c>
    </row>
    <row r="36" spans="1:31" x14ac:dyDescent="0.25">
      <c r="A36" t="s">
        <v>92</v>
      </c>
      <c r="B36" t="s">
        <v>278</v>
      </c>
      <c r="C36" t="s">
        <v>277</v>
      </c>
      <c r="D36" t="s">
        <v>86</v>
      </c>
      <c r="E36">
        <v>1.2673559999999999</v>
      </c>
      <c r="F36">
        <v>1.1943330000000001</v>
      </c>
      <c r="G36">
        <v>1.1990430000000001</v>
      </c>
      <c r="H36">
        <v>1.1970860000000001</v>
      </c>
      <c r="I36">
        <v>1.1883330000000001</v>
      </c>
      <c r="J36">
        <v>1.177144</v>
      </c>
      <c r="K36">
        <v>1.166085</v>
      </c>
      <c r="L36">
        <v>1.160668</v>
      </c>
      <c r="M36">
        <v>1.1572070000000001</v>
      </c>
      <c r="N36">
        <v>1.156334</v>
      </c>
      <c r="O36">
        <v>1.1553119999999999</v>
      </c>
      <c r="P36">
        <v>1.1553340000000001</v>
      </c>
      <c r="Q36">
        <v>1.1551670000000001</v>
      </c>
      <c r="R36">
        <v>1.155125</v>
      </c>
      <c r="S36">
        <v>1.154979</v>
      </c>
      <c r="T36">
        <v>1.1551629999999999</v>
      </c>
      <c r="U36">
        <v>1.1555249999999999</v>
      </c>
      <c r="V36">
        <v>1.1573659999999999</v>
      </c>
      <c r="W36">
        <v>1.1597249999999999</v>
      </c>
      <c r="X36">
        <v>1.1629609999999999</v>
      </c>
      <c r="Y36">
        <v>1.165869</v>
      </c>
      <c r="Z36">
        <v>1.1673819999999999</v>
      </c>
      <c r="AA36">
        <v>1.168018</v>
      </c>
      <c r="AB36">
        <v>1.16842</v>
      </c>
      <c r="AC36">
        <v>1.1688689999999999</v>
      </c>
      <c r="AD36">
        <v>1.1696519999999999</v>
      </c>
      <c r="AE36" s="18">
        <v>-3.0000000000000001E-3</v>
      </c>
    </row>
    <row r="37" spans="1:31" x14ac:dyDescent="0.25">
      <c r="A37" t="s">
        <v>99</v>
      </c>
      <c r="B37" t="s">
        <v>276</v>
      </c>
      <c r="C37" t="s">
        <v>275</v>
      </c>
      <c r="D37" t="s">
        <v>86</v>
      </c>
      <c r="E37">
        <v>3.6398039999999998</v>
      </c>
      <c r="F37">
        <v>3.5639609999999999</v>
      </c>
      <c r="G37">
        <v>3.5715400000000002</v>
      </c>
      <c r="H37">
        <v>3.5559379999999998</v>
      </c>
      <c r="I37">
        <v>3.5192030000000001</v>
      </c>
      <c r="J37">
        <v>3.4748570000000001</v>
      </c>
      <c r="K37">
        <v>3.4334530000000001</v>
      </c>
      <c r="L37">
        <v>3.4106900000000002</v>
      </c>
      <c r="M37">
        <v>3.395886</v>
      </c>
      <c r="N37">
        <v>3.3894920000000002</v>
      </c>
      <c r="O37">
        <v>3.3831030000000002</v>
      </c>
      <c r="P37">
        <v>3.3802789999999998</v>
      </c>
      <c r="Q37">
        <v>3.376655</v>
      </c>
      <c r="R37">
        <v>3.373224</v>
      </c>
      <c r="S37">
        <v>3.3688470000000001</v>
      </c>
      <c r="T37">
        <v>3.3650509999999998</v>
      </c>
      <c r="U37">
        <v>3.362263</v>
      </c>
      <c r="V37">
        <v>3.3637030000000001</v>
      </c>
      <c r="W37">
        <v>3.3665470000000002</v>
      </c>
      <c r="X37">
        <v>3.3715039999999998</v>
      </c>
      <c r="Y37">
        <v>3.3753500000000001</v>
      </c>
      <c r="Z37">
        <v>3.3740939999999999</v>
      </c>
      <c r="AA37">
        <v>3.3695590000000002</v>
      </c>
      <c r="AB37">
        <v>3.364201</v>
      </c>
      <c r="AC37">
        <v>3.3589319999999998</v>
      </c>
      <c r="AD37">
        <v>3.3544420000000001</v>
      </c>
      <c r="AE37" s="18">
        <v>-3.0000000000000001E-3</v>
      </c>
    </row>
    <row r="38" spans="1:31" x14ac:dyDescent="0.25">
      <c r="A38" t="s">
        <v>100</v>
      </c>
    </row>
    <row r="39" spans="1:31" x14ac:dyDescent="0.25">
      <c r="A39" t="s">
        <v>85</v>
      </c>
      <c r="B39" t="s">
        <v>274</v>
      </c>
      <c r="C39" t="s">
        <v>273</v>
      </c>
      <c r="D39" t="s">
        <v>86</v>
      </c>
      <c r="E39">
        <v>7.4527999999999997E-2</v>
      </c>
      <c r="F39">
        <v>7.2814000000000004E-2</v>
      </c>
      <c r="G39">
        <v>7.2147000000000003E-2</v>
      </c>
      <c r="H39">
        <v>7.1328000000000003E-2</v>
      </c>
      <c r="I39">
        <v>7.0239999999999997E-2</v>
      </c>
      <c r="J39">
        <v>6.9389999999999993E-2</v>
      </c>
      <c r="K39">
        <v>6.8552000000000002E-2</v>
      </c>
      <c r="L39">
        <v>6.7389000000000004E-2</v>
      </c>
      <c r="M39">
        <v>6.5911999999999998E-2</v>
      </c>
      <c r="N39">
        <v>6.4452999999999996E-2</v>
      </c>
      <c r="O39">
        <v>6.3008999999999996E-2</v>
      </c>
      <c r="P39">
        <v>6.1670000000000003E-2</v>
      </c>
      <c r="Q39">
        <v>6.0345999999999997E-2</v>
      </c>
      <c r="R39">
        <v>5.9039000000000001E-2</v>
      </c>
      <c r="S39">
        <v>5.7779999999999998E-2</v>
      </c>
      <c r="T39">
        <v>5.6542000000000002E-2</v>
      </c>
      <c r="U39">
        <v>5.5330999999999998E-2</v>
      </c>
      <c r="V39">
        <v>5.4154000000000001E-2</v>
      </c>
      <c r="W39">
        <v>5.2975000000000001E-2</v>
      </c>
      <c r="X39">
        <v>5.1813999999999999E-2</v>
      </c>
      <c r="Y39">
        <v>5.0657000000000001E-2</v>
      </c>
      <c r="Z39">
        <v>4.9515999999999998E-2</v>
      </c>
      <c r="AA39">
        <v>4.8376000000000002E-2</v>
      </c>
      <c r="AB39">
        <v>4.7275999999999999E-2</v>
      </c>
      <c r="AC39">
        <v>4.6178999999999998E-2</v>
      </c>
      <c r="AD39">
        <v>4.5136000000000003E-2</v>
      </c>
      <c r="AE39" s="18">
        <v>-0.02</v>
      </c>
    </row>
    <row r="40" spans="1:31" x14ac:dyDescent="0.25">
      <c r="A40" t="s">
        <v>87</v>
      </c>
      <c r="B40" t="s">
        <v>272</v>
      </c>
      <c r="C40" t="s">
        <v>271</v>
      </c>
      <c r="D40" t="s">
        <v>86</v>
      </c>
      <c r="E40">
        <v>3.7680000000000001E-3</v>
      </c>
      <c r="F40">
        <v>3.7829999999999999E-3</v>
      </c>
      <c r="G40">
        <v>3.7720000000000002E-3</v>
      </c>
      <c r="H40">
        <v>3.7559999999999998E-3</v>
      </c>
      <c r="I40">
        <v>3.738E-3</v>
      </c>
      <c r="J40">
        <v>3.7339999999999999E-3</v>
      </c>
      <c r="K40">
        <v>3.7299999999999998E-3</v>
      </c>
      <c r="L40">
        <v>3.7100000000000002E-3</v>
      </c>
      <c r="M40">
        <v>3.6719999999999999E-3</v>
      </c>
      <c r="N40">
        <v>3.6359999999999999E-3</v>
      </c>
      <c r="O40">
        <v>3.6020000000000002E-3</v>
      </c>
      <c r="P40">
        <v>3.5739999999999999E-3</v>
      </c>
      <c r="Q40">
        <v>3.5469999999999998E-3</v>
      </c>
      <c r="R40">
        <v>3.5209999999999998E-3</v>
      </c>
      <c r="S40">
        <v>3.496E-3</v>
      </c>
      <c r="T40">
        <v>3.4719999999999998E-3</v>
      </c>
      <c r="U40">
        <v>3.4480000000000001E-3</v>
      </c>
      <c r="V40">
        <v>3.424E-3</v>
      </c>
      <c r="W40">
        <v>3.3999999999999998E-3</v>
      </c>
      <c r="X40">
        <v>3.3760000000000001E-3</v>
      </c>
      <c r="Y40">
        <v>3.3500000000000001E-3</v>
      </c>
      <c r="Z40">
        <v>3.3240000000000001E-3</v>
      </c>
      <c r="AA40">
        <v>3.2980000000000002E-3</v>
      </c>
      <c r="AB40">
        <v>3.2729999999999999E-3</v>
      </c>
      <c r="AC40">
        <v>3.2460000000000002E-3</v>
      </c>
      <c r="AD40">
        <v>3.222E-3</v>
      </c>
      <c r="AE40" s="18">
        <v>-6.0000000000000001E-3</v>
      </c>
    </row>
    <row r="41" spans="1:31" x14ac:dyDescent="0.25">
      <c r="A41" t="s">
        <v>92</v>
      </c>
      <c r="B41" t="s">
        <v>270</v>
      </c>
      <c r="C41" t="s">
        <v>269</v>
      </c>
      <c r="D41" t="s">
        <v>86</v>
      </c>
      <c r="E41">
        <v>0.237124</v>
      </c>
      <c r="F41">
        <v>0.242392</v>
      </c>
      <c r="G41">
        <v>0.25052600000000003</v>
      </c>
      <c r="H41">
        <v>0.25241000000000002</v>
      </c>
      <c r="I41">
        <v>0.25394099999999997</v>
      </c>
      <c r="J41">
        <v>0.256359</v>
      </c>
      <c r="K41">
        <v>0.25846799999999998</v>
      </c>
      <c r="L41">
        <v>0.25921899999999998</v>
      </c>
      <c r="M41">
        <v>0.258164</v>
      </c>
      <c r="N41">
        <v>0.257158</v>
      </c>
      <c r="O41">
        <v>0.256193</v>
      </c>
      <c r="P41">
        <v>0.25562600000000002</v>
      </c>
      <c r="Q41">
        <v>0.25496200000000002</v>
      </c>
      <c r="R41">
        <v>0.25428000000000001</v>
      </c>
      <c r="S41">
        <v>0.25374799999999997</v>
      </c>
      <c r="T41">
        <v>0.25328899999999999</v>
      </c>
      <c r="U41">
        <v>0.25278</v>
      </c>
      <c r="V41">
        <v>0.25230599999999997</v>
      </c>
      <c r="W41">
        <v>0.251799</v>
      </c>
      <c r="X41">
        <v>0.25126500000000002</v>
      </c>
      <c r="Y41">
        <v>0.25063000000000002</v>
      </c>
      <c r="Z41">
        <v>0.24996199999999999</v>
      </c>
      <c r="AA41">
        <v>0.249195</v>
      </c>
      <c r="AB41">
        <v>0.248498</v>
      </c>
      <c r="AC41">
        <v>0.247697</v>
      </c>
      <c r="AD41">
        <v>0.24707599999999999</v>
      </c>
      <c r="AE41" s="18">
        <v>2E-3</v>
      </c>
    </row>
    <row r="42" spans="1:31" x14ac:dyDescent="0.25">
      <c r="A42" t="s">
        <v>99</v>
      </c>
      <c r="B42" t="s">
        <v>268</v>
      </c>
      <c r="C42" t="s">
        <v>267</v>
      </c>
      <c r="D42" t="s">
        <v>86</v>
      </c>
      <c r="E42">
        <v>0.31541999999999998</v>
      </c>
      <c r="F42">
        <v>0.31898799999999999</v>
      </c>
      <c r="G42">
        <v>0.32644600000000001</v>
      </c>
      <c r="H42">
        <v>0.32749499999999998</v>
      </c>
      <c r="I42">
        <v>0.32791799999999999</v>
      </c>
      <c r="J42">
        <v>0.329482</v>
      </c>
      <c r="K42">
        <v>0.33074900000000002</v>
      </c>
      <c r="L42">
        <v>0.33031700000000003</v>
      </c>
      <c r="M42">
        <v>0.32774799999999998</v>
      </c>
      <c r="N42">
        <v>0.32524599999999998</v>
      </c>
      <c r="O42">
        <v>0.32280300000000001</v>
      </c>
      <c r="P42">
        <v>0.32086999999999999</v>
      </c>
      <c r="Q42">
        <v>0.31885599999999997</v>
      </c>
      <c r="R42">
        <v>0.31683899999999998</v>
      </c>
      <c r="S42">
        <v>0.31502400000000003</v>
      </c>
      <c r="T42">
        <v>0.31330200000000002</v>
      </c>
      <c r="U42">
        <v>0.31156</v>
      </c>
      <c r="V42">
        <v>0.30988500000000002</v>
      </c>
      <c r="W42">
        <v>0.308174</v>
      </c>
      <c r="X42">
        <v>0.30645499999999998</v>
      </c>
      <c r="Y42">
        <v>0.30463699999999999</v>
      </c>
      <c r="Z42">
        <v>0.30280200000000002</v>
      </c>
      <c r="AA42">
        <v>0.300869</v>
      </c>
      <c r="AB42">
        <v>0.29904700000000001</v>
      </c>
      <c r="AC42">
        <v>0.297122</v>
      </c>
      <c r="AD42">
        <v>0.295435</v>
      </c>
      <c r="AE42" s="18">
        <v>-3.0000000000000001E-3</v>
      </c>
    </row>
    <row r="43" spans="1:31" x14ac:dyDescent="0.25">
      <c r="A43" t="s">
        <v>101</v>
      </c>
      <c r="B43" t="s">
        <v>266</v>
      </c>
      <c r="C43" t="s">
        <v>265</v>
      </c>
      <c r="D43" t="s">
        <v>86</v>
      </c>
      <c r="E43">
        <v>0.143682</v>
      </c>
      <c r="F43">
        <v>0.143682</v>
      </c>
      <c r="G43">
        <v>0.143682</v>
      </c>
      <c r="H43">
        <v>0.143682</v>
      </c>
      <c r="I43">
        <v>0.143682</v>
      </c>
      <c r="J43">
        <v>0.143682</v>
      </c>
      <c r="K43">
        <v>0.143682</v>
      </c>
      <c r="L43">
        <v>0.143682</v>
      </c>
      <c r="M43">
        <v>0.143682</v>
      </c>
      <c r="N43">
        <v>0.143682</v>
      </c>
      <c r="O43">
        <v>0.143682</v>
      </c>
      <c r="P43">
        <v>0.143682</v>
      </c>
      <c r="Q43">
        <v>0.143682</v>
      </c>
      <c r="R43">
        <v>0.143682</v>
      </c>
      <c r="S43">
        <v>0.143682</v>
      </c>
      <c r="T43">
        <v>0.143682</v>
      </c>
      <c r="U43">
        <v>0.143682</v>
      </c>
      <c r="V43">
        <v>0.143682</v>
      </c>
      <c r="W43">
        <v>0.143682</v>
      </c>
      <c r="X43">
        <v>0.143682</v>
      </c>
      <c r="Y43">
        <v>0.143682</v>
      </c>
      <c r="Z43">
        <v>0.143682</v>
      </c>
      <c r="AA43">
        <v>0.143682</v>
      </c>
      <c r="AB43">
        <v>0.143682</v>
      </c>
      <c r="AC43">
        <v>0.143682</v>
      </c>
      <c r="AD43">
        <v>0.143682</v>
      </c>
      <c r="AE43" s="18">
        <v>0</v>
      </c>
    </row>
    <row r="44" spans="1:31" x14ac:dyDescent="0.25">
      <c r="A44" t="s">
        <v>102</v>
      </c>
      <c r="B44" t="s">
        <v>264</v>
      </c>
      <c r="C44" t="s">
        <v>263</v>
      </c>
      <c r="D44" t="s">
        <v>86</v>
      </c>
      <c r="E44">
        <v>0.64804899999999999</v>
      </c>
      <c r="F44">
        <v>0.66109399999999996</v>
      </c>
      <c r="G44">
        <v>0.66815899999999995</v>
      </c>
      <c r="H44">
        <v>0.67530999999999997</v>
      </c>
      <c r="I44">
        <v>0.68251499999999998</v>
      </c>
      <c r="J44">
        <v>0.69058600000000003</v>
      </c>
      <c r="K44">
        <v>0.69791700000000001</v>
      </c>
      <c r="L44">
        <v>0.705951</v>
      </c>
      <c r="M44">
        <v>0.71397100000000002</v>
      </c>
      <c r="N44">
        <v>0.72265699999999999</v>
      </c>
      <c r="O44">
        <v>0.73133000000000004</v>
      </c>
      <c r="P44">
        <v>0.74053500000000005</v>
      </c>
      <c r="Q44">
        <v>0.74982300000000002</v>
      </c>
      <c r="R44">
        <v>0.75890299999999999</v>
      </c>
      <c r="S44">
        <v>0.76786100000000002</v>
      </c>
      <c r="T44">
        <v>0.77653099999999997</v>
      </c>
      <c r="U44">
        <v>0.78471800000000003</v>
      </c>
      <c r="V44">
        <v>0.79267399999999999</v>
      </c>
      <c r="W44">
        <v>0.80039300000000002</v>
      </c>
      <c r="X44">
        <v>0.80793800000000005</v>
      </c>
      <c r="Y44">
        <v>0.81531299999999995</v>
      </c>
      <c r="Z44">
        <v>0.82266799999999995</v>
      </c>
      <c r="AA44">
        <v>0.82990399999999998</v>
      </c>
      <c r="AB44">
        <v>0.83711199999999997</v>
      </c>
      <c r="AC44">
        <v>0.84429500000000002</v>
      </c>
      <c r="AD44">
        <v>0.85150899999999996</v>
      </c>
      <c r="AE44" s="18">
        <v>1.0999999999999999E-2</v>
      </c>
    </row>
    <row r="45" spans="1:31" x14ac:dyDescent="0.25">
      <c r="A45" t="s">
        <v>103</v>
      </c>
    </row>
    <row r="46" spans="1:31" x14ac:dyDescent="0.25">
      <c r="A46" t="s">
        <v>85</v>
      </c>
      <c r="B46" t="s">
        <v>262</v>
      </c>
      <c r="C46" t="s">
        <v>261</v>
      </c>
      <c r="D46" t="s">
        <v>86</v>
      </c>
      <c r="E46">
        <v>1.9527829999999999</v>
      </c>
      <c r="F46">
        <v>1.9257820000000001</v>
      </c>
      <c r="G46">
        <v>1.91981</v>
      </c>
      <c r="H46">
        <v>1.9027780000000001</v>
      </c>
      <c r="I46">
        <v>1.874552</v>
      </c>
      <c r="J46">
        <v>1.8426880000000001</v>
      </c>
      <c r="K46">
        <v>1.8127359999999999</v>
      </c>
      <c r="L46">
        <v>1.791174</v>
      </c>
      <c r="M46">
        <v>1.7737210000000001</v>
      </c>
      <c r="N46">
        <v>1.759693</v>
      </c>
      <c r="O46">
        <v>1.74536</v>
      </c>
      <c r="P46">
        <v>1.732645</v>
      </c>
      <c r="Q46">
        <v>1.719209</v>
      </c>
      <c r="R46">
        <v>1.7057800000000001</v>
      </c>
      <c r="S46">
        <v>1.6916739999999999</v>
      </c>
      <c r="T46">
        <v>1.6777249999999999</v>
      </c>
      <c r="U46">
        <v>1.6641919999999999</v>
      </c>
      <c r="V46">
        <v>1.652504</v>
      </c>
      <c r="W46">
        <v>1.641275</v>
      </c>
      <c r="X46">
        <v>1.630741</v>
      </c>
      <c r="Y46">
        <v>1.619726</v>
      </c>
      <c r="Z46">
        <v>1.606106</v>
      </c>
      <c r="AA46">
        <v>1.5907290000000001</v>
      </c>
      <c r="AB46">
        <v>1.5750420000000001</v>
      </c>
      <c r="AC46">
        <v>1.5594129999999999</v>
      </c>
      <c r="AD46">
        <v>1.544062</v>
      </c>
      <c r="AE46" s="18">
        <v>-8.9999999999999993E-3</v>
      </c>
    </row>
    <row r="47" spans="1:31" x14ac:dyDescent="0.25">
      <c r="A47" t="s">
        <v>98</v>
      </c>
      <c r="B47" t="s">
        <v>260</v>
      </c>
      <c r="C47" t="s">
        <v>259</v>
      </c>
      <c r="D47" t="s">
        <v>86</v>
      </c>
      <c r="E47">
        <v>0.58253100000000002</v>
      </c>
      <c r="F47">
        <v>0.61208399999999996</v>
      </c>
      <c r="G47">
        <v>0.61880599999999997</v>
      </c>
      <c r="H47">
        <v>0.62719999999999998</v>
      </c>
      <c r="I47">
        <v>0.63409800000000005</v>
      </c>
      <c r="J47">
        <v>0.63845799999999997</v>
      </c>
      <c r="K47">
        <v>0.64351199999999997</v>
      </c>
      <c r="L47">
        <v>0.64931700000000003</v>
      </c>
      <c r="M47">
        <v>0.65568800000000005</v>
      </c>
      <c r="N47">
        <v>0.66273099999999996</v>
      </c>
      <c r="O47">
        <v>0.67013699999999998</v>
      </c>
      <c r="P47">
        <v>0.678396</v>
      </c>
      <c r="Q47">
        <v>0.68686800000000003</v>
      </c>
      <c r="R47">
        <v>0.69551799999999997</v>
      </c>
      <c r="S47">
        <v>0.70410799999999996</v>
      </c>
      <c r="T47">
        <v>0.71308300000000002</v>
      </c>
      <c r="U47">
        <v>0.72254799999999997</v>
      </c>
      <c r="V47">
        <v>0.73252300000000004</v>
      </c>
      <c r="W47">
        <v>0.74325799999999997</v>
      </c>
      <c r="X47">
        <v>0.75429000000000002</v>
      </c>
      <c r="Y47">
        <v>0.76584600000000003</v>
      </c>
      <c r="Z47">
        <v>0.77697899999999998</v>
      </c>
      <c r="AA47">
        <v>0.78769400000000001</v>
      </c>
      <c r="AB47">
        <v>0.79837899999999995</v>
      </c>
      <c r="AC47">
        <v>0.80965799999999999</v>
      </c>
      <c r="AD47">
        <v>0.82099999999999995</v>
      </c>
      <c r="AE47" s="18">
        <v>1.4E-2</v>
      </c>
    </row>
    <row r="48" spans="1:31" x14ac:dyDescent="0.25">
      <c r="A48" t="s">
        <v>87</v>
      </c>
      <c r="B48" t="s">
        <v>258</v>
      </c>
      <c r="C48" t="s">
        <v>257</v>
      </c>
      <c r="D48" t="s">
        <v>86</v>
      </c>
      <c r="E48">
        <v>0.35153499999999999</v>
      </c>
      <c r="F48">
        <v>0.35685</v>
      </c>
      <c r="G48">
        <v>0.35884300000000002</v>
      </c>
      <c r="H48">
        <v>0.359097</v>
      </c>
      <c r="I48">
        <v>0.35761599999999999</v>
      </c>
      <c r="J48">
        <v>0.35524299999999998</v>
      </c>
      <c r="K48">
        <v>0.35315099999999999</v>
      </c>
      <c r="L48">
        <v>0.35276600000000002</v>
      </c>
      <c r="M48">
        <v>0.35303000000000001</v>
      </c>
      <c r="N48">
        <v>0.35423900000000003</v>
      </c>
      <c r="O48">
        <v>0.35563299999999998</v>
      </c>
      <c r="P48">
        <v>0.357541</v>
      </c>
      <c r="Q48">
        <v>0.35942200000000002</v>
      </c>
      <c r="R48">
        <v>0.36132500000000001</v>
      </c>
      <c r="S48">
        <v>0.36314299999999999</v>
      </c>
      <c r="T48">
        <v>0.36499100000000001</v>
      </c>
      <c r="U48">
        <v>0.36704199999999998</v>
      </c>
      <c r="V48">
        <v>0.36945699999999998</v>
      </c>
      <c r="W48">
        <v>0.37206299999999998</v>
      </c>
      <c r="X48">
        <v>0.37487500000000001</v>
      </c>
      <c r="Y48">
        <v>0.37756699999999999</v>
      </c>
      <c r="Z48">
        <v>0.37975599999999998</v>
      </c>
      <c r="AA48">
        <v>0.38156200000000001</v>
      </c>
      <c r="AB48">
        <v>0.38324200000000003</v>
      </c>
      <c r="AC48">
        <v>0.38493300000000003</v>
      </c>
      <c r="AD48">
        <v>0.38666200000000001</v>
      </c>
      <c r="AE48" s="18">
        <v>4.0000000000000001E-3</v>
      </c>
    </row>
    <row r="49" spans="1:31" x14ac:dyDescent="0.25">
      <c r="A49" t="s">
        <v>88</v>
      </c>
      <c r="B49" t="s">
        <v>256</v>
      </c>
      <c r="C49" t="s">
        <v>255</v>
      </c>
      <c r="D49" t="s">
        <v>86</v>
      </c>
      <c r="E49">
        <v>0.77257900000000002</v>
      </c>
      <c r="F49">
        <v>0.77808100000000002</v>
      </c>
      <c r="G49">
        <v>0.78721600000000003</v>
      </c>
      <c r="H49">
        <v>0.79894799999999999</v>
      </c>
      <c r="I49">
        <v>0.80861700000000003</v>
      </c>
      <c r="J49">
        <v>0.81284800000000001</v>
      </c>
      <c r="K49">
        <v>0.81740299999999999</v>
      </c>
      <c r="L49">
        <v>0.82248900000000003</v>
      </c>
      <c r="M49">
        <v>0.82842199999999999</v>
      </c>
      <c r="N49">
        <v>0.83473399999999998</v>
      </c>
      <c r="O49">
        <v>0.84140800000000004</v>
      </c>
      <c r="P49">
        <v>0.84894000000000003</v>
      </c>
      <c r="Q49">
        <v>0.85649600000000004</v>
      </c>
      <c r="R49">
        <v>0.86420600000000003</v>
      </c>
      <c r="S49">
        <v>0.87185299999999999</v>
      </c>
      <c r="T49">
        <v>0.87961100000000003</v>
      </c>
      <c r="U49">
        <v>0.88787400000000005</v>
      </c>
      <c r="V49">
        <v>0.89625699999999997</v>
      </c>
      <c r="W49">
        <v>0.90508500000000003</v>
      </c>
      <c r="X49">
        <v>0.91416399999999998</v>
      </c>
      <c r="Y49">
        <v>0.923373</v>
      </c>
      <c r="Z49">
        <v>0.93216900000000003</v>
      </c>
      <c r="AA49">
        <v>0.94026100000000001</v>
      </c>
      <c r="AB49">
        <v>0.94815300000000002</v>
      </c>
      <c r="AC49">
        <v>0.95642499999999997</v>
      </c>
      <c r="AD49">
        <v>0.96451799999999999</v>
      </c>
      <c r="AE49" s="18">
        <v>8.9999999999999993E-3</v>
      </c>
    </row>
    <row r="50" spans="1:31" x14ac:dyDescent="0.25">
      <c r="A50" t="s">
        <v>89</v>
      </c>
      <c r="B50" t="s">
        <v>254</v>
      </c>
      <c r="C50" t="s">
        <v>253</v>
      </c>
      <c r="D50" t="s">
        <v>86</v>
      </c>
      <c r="E50">
        <v>0.48938100000000001</v>
      </c>
      <c r="F50">
        <v>0.495944</v>
      </c>
      <c r="G50">
        <v>0.499083</v>
      </c>
      <c r="H50">
        <v>0.49952000000000002</v>
      </c>
      <c r="I50">
        <v>0.49754900000000002</v>
      </c>
      <c r="J50">
        <v>0.49431000000000003</v>
      </c>
      <c r="K50">
        <v>0.49151899999999998</v>
      </c>
      <c r="L50">
        <v>0.49113299999999999</v>
      </c>
      <c r="M50">
        <v>0.491732</v>
      </c>
      <c r="N50">
        <v>0.49363400000000002</v>
      </c>
      <c r="O50">
        <v>0.49573600000000001</v>
      </c>
      <c r="P50">
        <v>0.49846400000000002</v>
      </c>
      <c r="Q50">
        <v>0.50111499999999998</v>
      </c>
      <c r="R50">
        <v>0.503749</v>
      </c>
      <c r="S50">
        <v>0.50619700000000001</v>
      </c>
      <c r="T50">
        <v>0.50863599999999998</v>
      </c>
      <c r="U50">
        <v>0.51139699999999999</v>
      </c>
      <c r="V50">
        <v>0.51465499999999997</v>
      </c>
      <c r="W50">
        <v>0.51814000000000004</v>
      </c>
      <c r="X50">
        <v>0.52188800000000002</v>
      </c>
      <c r="Y50">
        <v>0.52541800000000005</v>
      </c>
      <c r="Z50">
        <v>0.52815500000000004</v>
      </c>
      <c r="AA50">
        <v>0.53030500000000003</v>
      </c>
      <c r="AB50">
        <v>0.53222899999999995</v>
      </c>
      <c r="AC50">
        <v>0.53413600000000006</v>
      </c>
      <c r="AD50">
        <v>0.53606500000000001</v>
      </c>
      <c r="AE50" s="18">
        <v>4.0000000000000001E-3</v>
      </c>
    </row>
    <row r="51" spans="1:31" x14ac:dyDescent="0.25">
      <c r="A51" t="s">
        <v>90</v>
      </c>
      <c r="B51" t="s">
        <v>252</v>
      </c>
      <c r="C51" t="s">
        <v>251</v>
      </c>
      <c r="D51" t="s">
        <v>86</v>
      </c>
      <c r="E51">
        <v>0.56464899999999996</v>
      </c>
      <c r="F51">
        <v>0.55332800000000004</v>
      </c>
      <c r="G51">
        <v>0.54732899999999995</v>
      </c>
      <c r="H51">
        <v>0.54542999999999997</v>
      </c>
      <c r="I51">
        <v>0.54358799999999996</v>
      </c>
      <c r="J51">
        <v>0.53231799999999996</v>
      </c>
      <c r="K51">
        <v>0.52262200000000003</v>
      </c>
      <c r="L51">
        <v>0.51419999999999999</v>
      </c>
      <c r="M51">
        <v>0.50677899999999998</v>
      </c>
      <c r="N51">
        <v>0.499778</v>
      </c>
      <c r="O51">
        <v>0.492952</v>
      </c>
      <c r="P51">
        <v>0.48728900000000003</v>
      </c>
      <c r="Q51">
        <v>0.48248600000000003</v>
      </c>
      <c r="R51">
        <v>0.47849799999999998</v>
      </c>
      <c r="S51">
        <v>0.47511900000000001</v>
      </c>
      <c r="T51">
        <v>0.47012199999999998</v>
      </c>
      <c r="U51">
        <v>0.46640700000000002</v>
      </c>
      <c r="V51">
        <v>0.46348200000000001</v>
      </c>
      <c r="W51">
        <v>0.46129700000000001</v>
      </c>
      <c r="X51">
        <v>0.45964300000000002</v>
      </c>
      <c r="Y51">
        <v>0.458401</v>
      </c>
      <c r="Z51">
        <v>0.457258</v>
      </c>
      <c r="AA51">
        <v>0.45599400000000001</v>
      </c>
      <c r="AB51">
        <v>0.454706</v>
      </c>
      <c r="AC51">
        <v>0.45369199999999998</v>
      </c>
      <c r="AD51">
        <v>0.45269500000000001</v>
      </c>
      <c r="AE51" s="18">
        <v>-8.9999999999999993E-3</v>
      </c>
    </row>
    <row r="52" spans="1:31" x14ac:dyDescent="0.25">
      <c r="A52" t="s">
        <v>91</v>
      </c>
      <c r="B52" t="s">
        <v>250</v>
      </c>
      <c r="C52" t="s">
        <v>249</v>
      </c>
      <c r="D52" t="s">
        <v>86</v>
      </c>
      <c r="E52">
        <v>0.366734</v>
      </c>
      <c r="F52">
        <v>0.36595299999999997</v>
      </c>
      <c r="G52">
        <v>0.366174</v>
      </c>
      <c r="H52">
        <v>0.36699999999999999</v>
      </c>
      <c r="I52">
        <v>0.36756299999999997</v>
      </c>
      <c r="J52">
        <v>0.36664400000000003</v>
      </c>
      <c r="K52">
        <v>0.36620599999999998</v>
      </c>
      <c r="L52">
        <v>0.36610900000000002</v>
      </c>
      <c r="M52">
        <v>0.36638999999999999</v>
      </c>
      <c r="N52">
        <v>0.36695</v>
      </c>
      <c r="O52">
        <v>0.36775600000000003</v>
      </c>
      <c r="P52">
        <v>0.36884800000000001</v>
      </c>
      <c r="Q52">
        <v>0.37004599999999999</v>
      </c>
      <c r="R52">
        <v>0.37123899999999999</v>
      </c>
      <c r="S52">
        <v>0.37238300000000002</v>
      </c>
      <c r="T52">
        <v>0.37348500000000001</v>
      </c>
      <c r="U52">
        <v>0.37482799999999999</v>
      </c>
      <c r="V52">
        <v>0.37610199999999999</v>
      </c>
      <c r="W52">
        <v>0.37739</v>
      </c>
      <c r="X52">
        <v>0.37866300000000003</v>
      </c>
      <c r="Y52">
        <v>0.37990099999999999</v>
      </c>
      <c r="Z52">
        <v>0.38101400000000002</v>
      </c>
      <c r="AA52">
        <v>0.38195499999999999</v>
      </c>
      <c r="AB52">
        <v>0.38280700000000001</v>
      </c>
      <c r="AC52">
        <v>0.383654</v>
      </c>
      <c r="AD52">
        <v>0.38441500000000001</v>
      </c>
      <c r="AE52" s="18">
        <v>2E-3</v>
      </c>
    </row>
    <row r="53" spans="1:31" x14ac:dyDescent="0.25">
      <c r="A53" t="s">
        <v>219</v>
      </c>
      <c r="B53" t="s">
        <v>248</v>
      </c>
      <c r="C53" t="s">
        <v>247</v>
      </c>
      <c r="D53" t="s">
        <v>86</v>
      </c>
      <c r="E53">
        <v>0.35769099999999998</v>
      </c>
      <c r="F53">
        <v>0.403698</v>
      </c>
      <c r="G53">
        <v>0.45296799999999998</v>
      </c>
      <c r="H53">
        <v>0.50386399999999998</v>
      </c>
      <c r="I53">
        <v>0.55580099999999999</v>
      </c>
      <c r="J53">
        <v>0.60810600000000004</v>
      </c>
      <c r="K53">
        <v>0.66097600000000001</v>
      </c>
      <c r="L53">
        <v>0.71486099999999997</v>
      </c>
      <c r="M53">
        <v>0.76973400000000003</v>
      </c>
      <c r="N53">
        <v>0.825407</v>
      </c>
      <c r="O53">
        <v>0.881718</v>
      </c>
      <c r="P53">
        <v>0.93838600000000005</v>
      </c>
      <c r="Q53">
        <v>0.99514899999999995</v>
      </c>
      <c r="R53">
        <v>1.0513049999999999</v>
      </c>
      <c r="S53">
        <v>1.1063590000000001</v>
      </c>
      <c r="T53">
        <v>1.1598010000000001</v>
      </c>
      <c r="U53">
        <v>1.2114279999999999</v>
      </c>
      <c r="V53">
        <v>1.2604219999999999</v>
      </c>
      <c r="W53">
        <v>1.3068299999999999</v>
      </c>
      <c r="X53">
        <v>1.3498509999999999</v>
      </c>
      <c r="Y53">
        <v>1.389499</v>
      </c>
      <c r="Z53">
        <v>1.424823</v>
      </c>
      <c r="AA53">
        <v>1.4555169999999999</v>
      </c>
      <c r="AB53">
        <v>1.4812449999999999</v>
      </c>
      <c r="AC53">
        <v>1.501816</v>
      </c>
      <c r="AD53">
        <v>1.5200849999999999</v>
      </c>
      <c r="AE53" s="18">
        <v>0.06</v>
      </c>
    </row>
    <row r="54" spans="1:31" x14ac:dyDescent="0.25">
      <c r="A54" t="s">
        <v>216</v>
      </c>
      <c r="B54" t="s">
        <v>246</v>
      </c>
      <c r="C54" t="s">
        <v>245</v>
      </c>
      <c r="D54" t="s">
        <v>86</v>
      </c>
      <c r="E54">
        <v>0.21695300000000001</v>
      </c>
      <c r="F54">
        <v>0.21174499999999999</v>
      </c>
      <c r="G54">
        <v>0.207122</v>
      </c>
      <c r="H54">
        <v>0.202684</v>
      </c>
      <c r="I54">
        <v>0.19826199999999999</v>
      </c>
      <c r="J54">
        <v>0.193913</v>
      </c>
      <c r="K54">
        <v>0.189829</v>
      </c>
      <c r="L54">
        <v>0.18572</v>
      </c>
      <c r="M54">
        <v>0.18246499999999999</v>
      </c>
      <c r="N54">
        <v>0.17970900000000001</v>
      </c>
      <c r="O54">
        <v>0.177067</v>
      </c>
      <c r="P54">
        <v>0.175041</v>
      </c>
      <c r="Q54">
        <v>0.173177</v>
      </c>
      <c r="R54">
        <v>0.17144699999999999</v>
      </c>
      <c r="S54">
        <v>0.170381</v>
      </c>
      <c r="T54">
        <v>0.16903399999999999</v>
      </c>
      <c r="U54">
        <v>0.16736699999999999</v>
      </c>
      <c r="V54">
        <v>0.16647999999999999</v>
      </c>
      <c r="W54">
        <v>0.16480900000000001</v>
      </c>
      <c r="X54">
        <v>0.16345199999999999</v>
      </c>
      <c r="Y54">
        <v>0.16186400000000001</v>
      </c>
      <c r="Z54">
        <v>0.16063</v>
      </c>
      <c r="AA54">
        <v>0.15854499999999999</v>
      </c>
      <c r="AB54">
        <v>0.15620999999999999</v>
      </c>
      <c r="AC54">
        <v>0.153638</v>
      </c>
      <c r="AD54">
        <v>0.150807</v>
      </c>
      <c r="AE54" s="18">
        <v>-1.4E-2</v>
      </c>
    </row>
    <row r="55" spans="1:31" x14ac:dyDescent="0.25">
      <c r="A55" t="s">
        <v>92</v>
      </c>
      <c r="B55" t="s">
        <v>244</v>
      </c>
      <c r="C55" t="s">
        <v>243</v>
      </c>
      <c r="D55" t="s">
        <v>86</v>
      </c>
      <c r="E55">
        <v>4.245374</v>
      </c>
      <c r="F55">
        <v>4.3752259999999996</v>
      </c>
      <c r="G55">
        <v>4.401097</v>
      </c>
      <c r="H55">
        <v>4.4076380000000004</v>
      </c>
      <c r="I55">
        <v>4.4066739999999998</v>
      </c>
      <c r="J55">
        <v>4.4038009999999996</v>
      </c>
      <c r="K55">
        <v>4.400423</v>
      </c>
      <c r="L55">
        <v>4.4030139999999998</v>
      </c>
      <c r="M55">
        <v>4.4072680000000002</v>
      </c>
      <c r="N55">
        <v>4.4161010000000003</v>
      </c>
      <c r="O55">
        <v>4.4261330000000001</v>
      </c>
      <c r="P55">
        <v>4.440131</v>
      </c>
      <c r="Q55">
        <v>4.4547949999999998</v>
      </c>
      <c r="R55">
        <v>4.4698669999999998</v>
      </c>
      <c r="S55">
        <v>4.4851390000000002</v>
      </c>
      <c r="T55">
        <v>4.5008530000000002</v>
      </c>
      <c r="U55">
        <v>4.5160939999999998</v>
      </c>
      <c r="V55">
        <v>4.5328670000000004</v>
      </c>
      <c r="W55">
        <v>4.5504509999999998</v>
      </c>
      <c r="X55">
        <v>4.5688839999999997</v>
      </c>
      <c r="Y55">
        <v>4.5876089999999996</v>
      </c>
      <c r="Z55">
        <v>4.6047549999999999</v>
      </c>
      <c r="AA55">
        <v>4.6209309999999997</v>
      </c>
      <c r="AB55">
        <v>4.6373740000000003</v>
      </c>
      <c r="AC55">
        <v>4.6542430000000001</v>
      </c>
      <c r="AD55">
        <v>4.6723020000000002</v>
      </c>
      <c r="AE55" s="18">
        <v>4.0000000000000001E-3</v>
      </c>
    </row>
    <row r="56" spans="1:31" x14ac:dyDescent="0.25">
      <c r="A56" t="s">
        <v>80</v>
      </c>
      <c r="B56" t="s">
        <v>242</v>
      </c>
      <c r="C56" t="s">
        <v>236</v>
      </c>
      <c r="D56" t="s">
        <v>86</v>
      </c>
      <c r="E56">
        <v>9.9002099999999995</v>
      </c>
      <c r="F56">
        <v>10.078690999999999</v>
      </c>
      <c r="G56">
        <v>10.158448999999999</v>
      </c>
      <c r="H56">
        <v>10.21416</v>
      </c>
      <c r="I56">
        <v>10.244320999999999</v>
      </c>
      <c r="J56">
        <v>10.248329999999999</v>
      </c>
      <c r="K56">
        <v>10.258376</v>
      </c>
      <c r="L56">
        <v>10.290782</v>
      </c>
      <c r="M56">
        <v>10.335228000000001</v>
      </c>
      <c r="N56">
        <v>10.392976000000001</v>
      </c>
      <c r="O56">
        <v>10.453898000000001</v>
      </c>
      <c r="P56">
        <v>10.525681000000001</v>
      </c>
      <c r="Q56">
        <v>10.598765</v>
      </c>
      <c r="R56">
        <v>10.672935000000001</v>
      </c>
      <c r="S56">
        <v>10.746354999999999</v>
      </c>
      <c r="T56">
        <v>10.817342999999999</v>
      </c>
      <c r="U56">
        <v>10.889177</v>
      </c>
      <c r="V56">
        <v>10.964748999999999</v>
      </c>
      <c r="W56">
        <v>11.040599</v>
      </c>
      <c r="X56">
        <v>11.11645</v>
      </c>
      <c r="Y56">
        <v>11.189202999999999</v>
      </c>
      <c r="Z56">
        <v>11.251643</v>
      </c>
      <c r="AA56">
        <v>11.303493</v>
      </c>
      <c r="AB56">
        <v>11.349386000000001</v>
      </c>
      <c r="AC56">
        <v>11.391608</v>
      </c>
      <c r="AD56">
        <v>11.432612000000001</v>
      </c>
      <c r="AE56" s="18">
        <v>6.0000000000000001E-3</v>
      </c>
    </row>
    <row r="57" spans="1:31" x14ac:dyDescent="0.25">
      <c r="A57" t="s">
        <v>94</v>
      </c>
      <c r="B57" t="s">
        <v>241</v>
      </c>
      <c r="C57" t="s">
        <v>240</v>
      </c>
      <c r="D57" t="s">
        <v>86</v>
      </c>
      <c r="E57">
        <v>3.1625E-2</v>
      </c>
      <c r="F57">
        <v>4.1348999999999997E-2</v>
      </c>
      <c r="G57">
        <v>5.3095000000000003E-2</v>
      </c>
      <c r="H57">
        <v>6.6243999999999997E-2</v>
      </c>
      <c r="I57">
        <v>7.9602999999999993E-2</v>
      </c>
      <c r="J57">
        <v>9.2543E-2</v>
      </c>
      <c r="K57">
        <v>0.10441599999999999</v>
      </c>
      <c r="L57">
        <v>0.115643</v>
      </c>
      <c r="M57">
        <v>0.126972</v>
      </c>
      <c r="N57">
        <v>0.13850199999999999</v>
      </c>
      <c r="O57">
        <v>0.150392</v>
      </c>
      <c r="P57">
        <v>0.16246099999999999</v>
      </c>
      <c r="Q57">
        <v>0.17480399999999999</v>
      </c>
      <c r="R57">
        <v>0.18723899999999999</v>
      </c>
      <c r="S57">
        <v>0.19958999999999999</v>
      </c>
      <c r="T57">
        <v>0.212288</v>
      </c>
      <c r="U57">
        <v>0.22536400000000001</v>
      </c>
      <c r="V57">
        <v>0.23924300000000001</v>
      </c>
      <c r="W57">
        <v>0.253973</v>
      </c>
      <c r="X57">
        <v>0.26994400000000002</v>
      </c>
      <c r="Y57">
        <v>0.28712100000000002</v>
      </c>
      <c r="Z57">
        <v>0.30473800000000001</v>
      </c>
      <c r="AA57">
        <v>0.32270399999999999</v>
      </c>
      <c r="AB57">
        <v>0.34103499999999998</v>
      </c>
      <c r="AC57">
        <v>0.35960799999999998</v>
      </c>
      <c r="AD57">
        <v>0.37826300000000002</v>
      </c>
      <c r="AE57" s="18">
        <v>0.104</v>
      </c>
    </row>
    <row r="58" spans="1:31" x14ac:dyDescent="0.25">
      <c r="A58" t="s">
        <v>95</v>
      </c>
      <c r="B58" t="s">
        <v>239</v>
      </c>
      <c r="C58" t="s">
        <v>238</v>
      </c>
      <c r="D58" t="s">
        <v>86</v>
      </c>
      <c r="E58">
        <v>0.15950900000000001</v>
      </c>
      <c r="F58">
        <v>0.178677</v>
      </c>
      <c r="G58">
        <v>0.19480600000000001</v>
      </c>
      <c r="H58">
        <v>0.202568</v>
      </c>
      <c r="I58">
        <v>0.20727899999999999</v>
      </c>
      <c r="J58">
        <v>0.212645</v>
      </c>
      <c r="K58">
        <v>0.21679300000000001</v>
      </c>
      <c r="L58">
        <v>0.22007099999999999</v>
      </c>
      <c r="M58">
        <v>0.22375700000000001</v>
      </c>
      <c r="N58">
        <v>0.22936000000000001</v>
      </c>
      <c r="O58">
        <v>0.23388900000000001</v>
      </c>
      <c r="P58">
        <v>0.23771300000000001</v>
      </c>
      <c r="Q58">
        <v>0.24440600000000001</v>
      </c>
      <c r="R58">
        <v>0.25092700000000001</v>
      </c>
      <c r="S58">
        <v>0.25883299999999998</v>
      </c>
      <c r="T58">
        <v>0.26564700000000002</v>
      </c>
      <c r="U58">
        <v>0.26933000000000001</v>
      </c>
      <c r="V58">
        <v>0.27484399999999998</v>
      </c>
      <c r="W58">
        <v>0.27782000000000001</v>
      </c>
      <c r="X58">
        <v>0.281171</v>
      </c>
      <c r="Y58">
        <v>0.28390700000000002</v>
      </c>
      <c r="Z58">
        <v>0.28815800000000003</v>
      </c>
      <c r="AA58">
        <v>0.29341899999999999</v>
      </c>
      <c r="AB58">
        <v>0.29877599999999999</v>
      </c>
      <c r="AC58">
        <v>0.30282900000000001</v>
      </c>
      <c r="AD58">
        <v>0.308056</v>
      </c>
      <c r="AE58" s="18">
        <v>2.7E-2</v>
      </c>
    </row>
    <row r="59" spans="1:31" x14ac:dyDescent="0.25">
      <c r="A59" t="s">
        <v>99</v>
      </c>
      <c r="B59" t="s">
        <v>237</v>
      </c>
      <c r="C59" t="s">
        <v>236</v>
      </c>
      <c r="D59" t="s">
        <v>86</v>
      </c>
      <c r="E59">
        <v>9.7723270000000007</v>
      </c>
      <c r="F59">
        <v>9.9413640000000001</v>
      </c>
      <c r="G59">
        <v>10.016738</v>
      </c>
      <c r="H59">
        <v>10.077836</v>
      </c>
      <c r="I59">
        <v>10.116645</v>
      </c>
      <c r="J59">
        <v>10.128227000000001</v>
      </c>
      <c r="K59">
        <v>10.145999</v>
      </c>
      <c r="L59">
        <v>10.186355000000001</v>
      </c>
      <c r="M59">
        <v>10.238443</v>
      </c>
      <c r="N59">
        <v>10.302117000000001</v>
      </c>
      <c r="O59">
        <v>10.370400999999999</v>
      </c>
      <c r="P59">
        <v>10.450429</v>
      </c>
      <c r="Q59">
        <v>10.529163</v>
      </c>
      <c r="R59">
        <v>10.609246000000001</v>
      </c>
      <c r="S59">
        <v>10.687112000000001</v>
      </c>
      <c r="T59">
        <v>10.763984000000001</v>
      </c>
      <c r="U59">
        <v>10.845211000000001</v>
      </c>
      <c r="V59">
        <v>10.929149000000001</v>
      </c>
      <c r="W59">
        <v>11.016750999999999</v>
      </c>
      <c r="X59">
        <v>11.105224</v>
      </c>
      <c r="Y59">
        <v>11.192418</v>
      </c>
      <c r="Z59">
        <v>11.268224</v>
      </c>
      <c r="AA59">
        <v>11.332779</v>
      </c>
      <c r="AB59">
        <v>11.391646</v>
      </c>
      <c r="AC59">
        <v>11.448387</v>
      </c>
      <c r="AD59">
        <v>11.50282</v>
      </c>
      <c r="AE59" s="18">
        <v>7.0000000000000001E-3</v>
      </c>
    </row>
    <row r="60" spans="1:31" x14ac:dyDescent="0.25">
      <c r="A60" t="s">
        <v>104</v>
      </c>
      <c r="B60" t="s">
        <v>235</v>
      </c>
      <c r="C60" t="s">
        <v>234</v>
      </c>
      <c r="D60" t="s">
        <v>86</v>
      </c>
      <c r="E60">
        <v>6.9051450000000001</v>
      </c>
      <c r="F60">
        <v>7.1494039999999996</v>
      </c>
      <c r="G60">
        <v>6.6704460000000001</v>
      </c>
      <c r="H60">
        <v>6.4662550000000003</v>
      </c>
      <c r="I60">
        <v>6.3998749999999998</v>
      </c>
      <c r="J60">
        <v>6.3392540000000004</v>
      </c>
      <c r="K60">
        <v>6.1938110000000002</v>
      </c>
      <c r="L60">
        <v>6.1338879999999998</v>
      </c>
      <c r="M60">
        <v>6.1266309999999997</v>
      </c>
      <c r="N60">
        <v>6.0747090000000004</v>
      </c>
      <c r="O60">
        <v>6.0557759999999998</v>
      </c>
      <c r="P60">
        <v>6.0407120000000001</v>
      </c>
      <c r="Q60">
        <v>6.0576670000000004</v>
      </c>
      <c r="R60">
        <v>6.0900910000000001</v>
      </c>
      <c r="S60">
        <v>6.1077170000000001</v>
      </c>
      <c r="T60">
        <v>6.1082989999999997</v>
      </c>
      <c r="U60">
        <v>6.1123969999999996</v>
      </c>
      <c r="V60">
        <v>6.1441270000000001</v>
      </c>
      <c r="W60">
        <v>6.1853759999999998</v>
      </c>
      <c r="X60">
        <v>6.2277839999999998</v>
      </c>
      <c r="Y60">
        <v>6.270594</v>
      </c>
      <c r="Z60">
        <v>6.3097649999999996</v>
      </c>
      <c r="AA60">
        <v>6.3475840000000003</v>
      </c>
      <c r="AB60">
        <v>6.3792780000000002</v>
      </c>
      <c r="AC60">
        <v>6.3854930000000003</v>
      </c>
      <c r="AD60">
        <v>6.4081770000000002</v>
      </c>
      <c r="AE60" s="18">
        <v>-3.0000000000000001E-3</v>
      </c>
    </row>
    <row r="61" spans="1:31" x14ac:dyDescent="0.25">
      <c r="A61" t="s">
        <v>105</v>
      </c>
    </row>
    <row r="62" spans="1:31" x14ac:dyDescent="0.25">
      <c r="A62" t="s">
        <v>85</v>
      </c>
      <c r="B62" t="s">
        <v>233</v>
      </c>
      <c r="C62" t="s">
        <v>232</v>
      </c>
      <c r="D62" t="s">
        <v>86</v>
      </c>
      <c r="E62">
        <v>2.2202329999999999</v>
      </c>
      <c r="F62">
        <v>2.181025</v>
      </c>
      <c r="G62">
        <v>2.1529129999999999</v>
      </c>
      <c r="H62">
        <v>2.1243690000000002</v>
      </c>
      <c r="I62">
        <v>2.0892789999999999</v>
      </c>
      <c r="J62">
        <v>2.0514459999999999</v>
      </c>
      <c r="K62">
        <v>2.012737</v>
      </c>
      <c r="L62">
        <v>1.985195</v>
      </c>
      <c r="M62">
        <v>1.9634</v>
      </c>
      <c r="N62">
        <v>1.9435249999999999</v>
      </c>
      <c r="O62">
        <v>1.924334</v>
      </c>
      <c r="P62">
        <v>1.906887</v>
      </c>
      <c r="Q62">
        <v>1.889534</v>
      </c>
      <c r="R62">
        <v>1.8726320000000001</v>
      </c>
      <c r="S62">
        <v>1.854625</v>
      </c>
      <c r="T62">
        <v>1.8364579999999999</v>
      </c>
      <c r="U62">
        <v>1.818913</v>
      </c>
      <c r="V62">
        <v>1.803955</v>
      </c>
      <c r="W62">
        <v>1.7897369999999999</v>
      </c>
      <c r="X62">
        <v>1.776251</v>
      </c>
      <c r="Y62">
        <v>1.7623629999999999</v>
      </c>
      <c r="Z62">
        <v>1.7457959999999999</v>
      </c>
      <c r="AA62">
        <v>1.727454</v>
      </c>
      <c r="AB62">
        <v>1.708758</v>
      </c>
      <c r="AC62">
        <v>1.6897249999999999</v>
      </c>
      <c r="AD62">
        <v>1.6713290000000001</v>
      </c>
      <c r="AE62" s="18">
        <v>-1.0999999999999999E-2</v>
      </c>
    </row>
    <row r="63" spans="1:31" x14ac:dyDescent="0.25">
      <c r="A63" t="s">
        <v>98</v>
      </c>
      <c r="B63" t="s">
        <v>231</v>
      </c>
      <c r="C63" t="s">
        <v>230</v>
      </c>
      <c r="D63" t="s">
        <v>86</v>
      </c>
      <c r="E63">
        <v>1.3372919999999999</v>
      </c>
      <c r="F63">
        <v>1.394258</v>
      </c>
      <c r="G63">
        <v>1.347048</v>
      </c>
      <c r="H63">
        <v>1.3328990000000001</v>
      </c>
      <c r="I63">
        <v>1.3311850000000001</v>
      </c>
      <c r="J63">
        <v>1.32735</v>
      </c>
      <c r="K63">
        <v>1.315402</v>
      </c>
      <c r="L63">
        <v>1.3137160000000001</v>
      </c>
      <c r="M63">
        <v>1.3181080000000001</v>
      </c>
      <c r="N63">
        <v>1.318481</v>
      </c>
      <c r="O63">
        <v>1.322756</v>
      </c>
      <c r="P63">
        <v>1.3284370000000001</v>
      </c>
      <c r="Q63">
        <v>1.3377049999999999</v>
      </c>
      <c r="R63">
        <v>1.3488450000000001</v>
      </c>
      <c r="S63">
        <v>1.3582639999999999</v>
      </c>
      <c r="T63">
        <v>1.3668370000000001</v>
      </c>
      <c r="U63">
        <v>1.3766529999999999</v>
      </c>
      <c r="V63">
        <v>1.390299</v>
      </c>
      <c r="W63">
        <v>1.4063829999999999</v>
      </c>
      <c r="X63">
        <v>1.423163</v>
      </c>
      <c r="Y63">
        <v>1.440974</v>
      </c>
      <c r="Z63">
        <v>1.4580230000000001</v>
      </c>
      <c r="AA63">
        <v>1.4747349999999999</v>
      </c>
      <c r="AB63">
        <v>1.49115</v>
      </c>
      <c r="AC63">
        <v>1.5061819999999999</v>
      </c>
      <c r="AD63">
        <v>1.5232410000000001</v>
      </c>
      <c r="AE63" s="18">
        <v>5.0000000000000001E-3</v>
      </c>
    </row>
    <row r="64" spans="1:31" x14ac:dyDescent="0.25">
      <c r="A64" t="s">
        <v>87</v>
      </c>
      <c r="B64" t="s">
        <v>229</v>
      </c>
      <c r="C64" t="s">
        <v>228</v>
      </c>
      <c r="D64" t="s">
        <v>86</v>
      </c>
      <c r="E64">
        <v>0.44979799999999998</v>
      </c>
      <c r="F64">
        <v>0.45253900000000002</v>
      </c>
      <c r="G64">
        <v>0.44617000000000001</v>
      </c>
      <c r="H64">
        <v>0.442108</v>
      </c>
      <c r="I64">
        <v>0.43806800000000001</v>
      </c>
      <c r="J64">
        <v>0.43322100000000002</v>
      </c>
      <c r="K64">
        <v>0.42763800000000002</v>
      </c>
      <c r="L64">
        <v>0.42484899999999998</v>
      </c>
      <c r="M64">
        <v>0.42335800000000001</v>
      </c>
      <c r="N64">
        <v>0.42231400000000002</v>
      </c>
      <c r="O64">
        <v>0.42185</v>
      </c>
      <c r="P64">
        <v>0.42198999999999998</v>
      </c>
      <c r="Q64">
        <v>0.42244999999999999</v>
      </c>
      <c r="R64">
        <v>0.42311599999999999</v>
      </c>
      <c r="S64">
        <v>0.42357</v>
      </c>
      <c r="T64">
        <v>0.42393700000000001</v>
      </c>
      <c r="U64">
        <v>0.42461199999999999</v>
      </c>
      <c r="V64">
        <v>0.42593799999999998</v>
      </c>
      <c r="W64">
        <v>0.427591</v>
      </c>
      <c r="X64">
        <v>0.42949199999999998</v>
      </c>
      <c r="Y64">
        <v>0.43129400000000001</v>
      </c>
      <c r="Z64">
        <v>0.432589</v>
      </c>
      <c r="AA64">
        <v>0.43350499999999997</v>
      </c>
      <c r="AB64">
        <v>0.43428099999999997</v>
      </c>
      <c r="AC64">
        <v>0.43491600000000002</v>
      </c>
      <c r="AD64">
        <v>0.43573400000000001</v>
      </c>
      <c r="AE64" s="18">
        <v>-1E-3</v>
      </c>
    </row>
    <row r="65" spans="1:31" x14ac:dyDescent="0.25">
      <c r="A65" t="s">
        <v>88</v>
      </c>
      <c r="B65" t="s">
        <v>227</v>
      </c>
      <c r="C65" t="s">
        <v>226</v>
      </c>
      <c r="D65" t="s">
        <v>86</v>
      </c>
      <c r="E65">
        <v>1.8012870000000001</v>
      </c>
      <c r="F65">
        <v>1.801836</v>
      </c>
      <c r="G65">
        <v>1.7413190000000001</v>
      </c>
      <c r="H65">
        <v>1.7247060000000001</v>
      </c>
      <c r="I65">
        <v>1.723959</v>
      </c>
      <c r="J65">
        <v>1.715919</v>
      </c>
      <c r="K65">
        <v>1.696191</v>
      </c>
      <c r="L65">
        <v>1.6892720000000001</v>
      </c>
      <c r="M65">
        <v>1.6907030000000001</v>
      </c>
      <c r="N65">
        <v>1.6860919999999999</v>
      </c>
      <c r="O65">
        <v>1.6864680000000001</v>
      </c>
      <c r="P65">
        <v>1.6883159999999999</v>
      </c>
      <c r="Q65">
        <v>1.6944159999999999</v>
      </c>
      <c r="R65">
        <v>1.7028669999999999</v>
      </c>
      <c r="S65">
        <v>1.7092149999999999</v>
      </c>
      <c r="T65">
        <v>1.713848</v>
      </c>
      <c r="U65">
        <v>1.7199340000000001</v>
      </c>
      <c r="V65">
        <v>1.7299929999999999</v>
      </c>
      <c r="W65">
        <v>1.7422439999999999</v>
      </c>
      <c r="X65">
        <v>1.7552289999999999</v>
      </c>
      <c r="Y65">
        <v>1.768599</v>
      </c>
      <c r="Z65">
        <v>1.7812730000000001</v>
      </c>
      <c r="AA65">
        <v>1.7932459999999999</v>
      </c>
      <c r="AB65">
        <v>1.8046070000000001</v>
      </c>
      <c r="AC65">
        <v>1.8136920000000001</v>
      </c>
      <c r="AD65">
        <v>1.8249</v>
      </c>
      <c r="AE65" s="18">
        <v>1E-3</v>
      </c>
    </row>
    <row r="66" spans="1:31" x14ac:dyDescent="0.25">
      <c r="A66" t="s">
        <v>89</v>
      </c>
      <c r="B66" t="s">
        <v>225</v>
      </c>
      <c r="C66" t="s">
        <v>224</v>
      </c>
      <c r="D66" t="s">
        <v>86</v>
      </c>
      <c r="E66">
        <v>0.601217</v>
      </c>
      <c r="F66">
        <v>0.60547300000000004</v>
      </c>
      <c r="G66">
        <v>0.59953500000000004</v>
      </c>
      <c r="H66">
        <v>0.59540400000000004</v>
      </c>
      <c r="I66">
        <v>0.59082000000000001</v>
      </c>
      <c r="J66">
        <v>0.58508800000000005</v>
      </c>
      <c r="K66">
        <v>0.5786</v>
      </c>
      <c r="L66">
        <v>0.57577599999999995</v>
      </c>
      <c r="M66">
        <v>0.57469400000000004</v>
      </c>
      <c r="N66">
        <v>0.574326</v>
      </c>
      <c r="O66">
        <v>0.57460999999999995</v>
      </c>
      <c r="P66">
        <v>0.57558299999999996</v>
      </c>
      <c r="Q66">
        <v>0.576878</v>
      </c>
      <c r="R66">
        <v>0.57835700000000001</v>
      </c>
      <c r="S66">
        <v>0.57947700000000002</v>
      </c>
      <c r="T66">
        <v>0.58043299999999998</v>
      </c>
      <c r="U66">
        <v>0.58182400000000001</v>
      </c>
      <c r="V66">
        <v>0.58404900000000004</v>
      </c>
      <c r="W66">
        <v>0.586646</v>
      </c>
      <c r="X66">
        <v>0.58954600000000001</v>
      </c>
      <c r="Y66">
        <v>0.59224200000000005</v>
      </c>
      <c r="Z66">
        <v>0.59411999999999998</v>
      </c>
      <c r="AA66">
        <v>0.59540700000000002</v>
      </c>
      <c r="AB66">
        <v>0.59643599999999997</v>
      </c>
      <c r="AC66">
        <v>0.59724999999999995</v>
      </c>
      <c r="AD66">
        <v>0.59825899999999999</v>
      </c>
      <c r="AE66" s="18">
        <v>0</v>
      </c>
    </row>
    <row r="67" spans="1:31" x14ac:dyDescent="0.25">
      <c r="A67" t="s">
        <v>90</v>
      </c>
      <c r="B67" t="s">
        <v>223</v>
      </c>
      <c r="C67" t="s">
        <v>222</v>
      </c>
      <c r="D67" t="s">
        <v>86</v>
      </c>
      <c r="E67">
        <v>1.3164929999999999</v>
      </c>
      <c r="F67">
        <v>1.281366</v>
      </c>
      <c r="G67">
        <v>1.21069</v>
      </c>
      <c r="H67">
        <v>1.1774309999999999</v>
      </c>
      <c r="I67">
        <v>1.1589210000000001</v>
      </c>
      <c r="J67">
        <v>1.1237220000000001</v>
      </c>
      <c r="K67">
        <v>1.0844910000000001</v>
      </c>
      <c r="L67">
        <v>1.0560929999999999</v>
      </c>
      <c r="M67">
        <v>1.0342709999999999</v>
      </c>
      <c r="N67">
        <v>1.009509</v>
      </c>
      <c r="O67">
        <v>0.98804199999999998</v>
      </c>
      <c r="P67">
        <v>0.96908700000000003</v>
      </c>
      <c r="Q67">
        <v>0.95450699999999999</v>
      </c>
      <c r="R67">
        <v>0.94285200000000002</v>
      </c>
      <c r="S67">
        <v>0.93144099999999996</v>
      </c>
      <c r="T67">
        <v>0.91599200000000003</v>
      </c>
      <c r="U67">
        <v>0.90349500000000005</v>
      </c>
      <c r="V67">
        <v>0.89463300000000001</v>
      </c>
      <c r="W67">
        <v>0.88797300000000001</v>
      </c>
      <c r="X67">
        <v>0.88253099999999995</v>
      </c>
      <c r="Y67">
        <v>0.87800699999999998</v>
      </c>
      <c r="Z67">
        <v>0.87377000000000005</v>
      </c>
      <c r="AA67">
        <v>0.86966299999999996</v>
      </c>
      <c r="AB67">
        <v>0.86543700000000001</v>
      </c>
      <c r="AC67">
        <v>0.860348</v>
      </c>
      <c r="AD67">
        <v>0.85651500000000003</v>
      </c>
      <c r="AE67" s="18">
        <v>-1.7000000000000001E-2</v>
      </c>
    </row>
    <row r="68" spans="1:31" x14ac:dyDescent="0.25">
      <c r="A68" t="s">
        <v>91</v>
      </c>
      <c r="B68" t="s">
        <v>221</v>
      </c>
      <c r="C68" t="s">
        <v>220</v>
      </c>
      <c r="D68" t="s">
        <v>86</v>
      </c>
      <c r="E68">
        <v>0.85504899999999995</v>
      </c>
      <c r="F68">
        <v>0.84745499999999996</v>
      </c>
      <c r="G68">
        <v>0.80997399999999997</v>
      </c>
      <c r="H68">
        <v>0.79225100000000004</v>
      </c>
      <c r="I68">
        <v>0.78363899999999997</v>
      </c>
      <c r="J68">
        <v>0.77398500000000003</v>
      </c>
      <c r="K68">
        <v>0.75991399999999998</v>
      </c>
      <c r="L68">
        <v>0.75193500000000002</v>
      </c>
      <c r="M68">
        <v>0.74775599999999998</v>
      </c>
      <c r="N68">
        <v>0.74120699999999995</v>
      </c>
      <c r="O68">
        <v>0.73710699999999996</v>
      </c>
      <c r="P68">
        <v>0.73353999999999997</v>
      </c>
      <c r="Q68">
        <v>0.73206599999999999</v>
      </c>
      <c r="R68">
        <v>0.73150499999999996</v>
      </c>
      <c r="S68">
        <v>0.73003499999999999</v>
      </c>
      <c r="T68">
        <v>0.72770400000000002</v>
      </c>
      <c r="U68">
        <v>0.72609299999999999</v>
      </c>
      <c r="V68">
        <v>0.72596799999999995</v>
      </c>
      <c r="W68">
        <v>0.72645700000000002</v>
      </c>
      <c r="X68">
        <v>0.727047</v>
      </c>
      <c r="Y68">
        <v>0.72765100000000005</v>
      </c>
      <c r="Z68">
        <v>0.72807599999999995</v>
      </c>
      <c r="AA68">
        <v>0.72845800000000005</v>
      </c>
      <c r="AB68">
        <v>0.72859099999999999</v>
      </c>
      <c r="AC68">
        <v>0.72753299999999999</v>
      </c>
      <c r="AD68">
        <v>0.72732600000000003</v>
      </c>
      <c r="AE68" s="18">
        <v>-6.0000000000000001E-3</v>
      </c>
    </row>
    <row r="69" spans="1:31" x14ac:dyDescent="0.25">
      <c r="A69" t="s">
        <v>219</v>
      </c>
      <c r="B69" t="s">
        <v>218</v>
      </c>
      <c r="C69" t="s">
        <v>217</v>
      </c>
      <c r="D69" t="s">
        <v>86</v>
      </c>
      <c r="E69">
        <v>0.83396700000000001</v>
      </c>
      <c r="F69">
        <v>0.93486199999999997</v>
      </c>
      <c r="G69">
        <v>1.0019629999999999</v>
      </c>
      <c r="H69">
        <v>1.0877019999999999</v>
      </c>
      <c r="I69">
        <v>1.1849590000000001</v>
      </c>
      <c r="J69">
        <v>1.283711</v>
      </c>
      <c r="K69">
        <v>1.371591</v>
      </c>
      <c r="L69">
        <v>1.468221</v>
      </c>
      <c r="M69">
        <v>1.570929</v>
      </c>
      <c r="N69">
        <v>1.667252</v>
      </c>
      <c r="O69">
        <v>1.767263</v>
      </c>
      <c r="P69">
        <v>1.8662000000000001</v>
      </c>
      <c r="Q69">
        <v>1.9687140000000001</v>
      </c>
      <c r="R69">
        <v>2.0715349999999999</v>
      </c>
      <c r="S69">
        <v>2.1689479999999999</v>
      </c>
      <c r="T69">
        <v>2.2597740000000002</v>
      </c>
      <c r="U69">
        <v>2.3467039999999999</v>
      </c>
      <c r="V69">
        <v>2.4329209999999999</v>
      </c>
      <c r="W69">
        <v>2.5155810000000001</v>
      </c>
      <c r="X69">
        <v>2.5917659999999998</v>
      </c>
      <c r="Y69">
        <v>2.661403</v>
      </c>
      <c r="Z69">
        <v>2.7226810000000001</v>
      </c>
      <c r="AA69">
        <v>2.7759330000000002</v>
      </c>
      <c r="AB69">
        <v>2.8192360000000001</v>
      </c>
      <c r="AC69">
        <v>2.847931</v>
      </c>
      <c r="AD69">
        <v>2.8760500000000002</v>
      </c>
      <c r="AE69" s="18">
        <v>5.0999999999999997E-2</v>
      </c>
    </row>
    <row r="70" spans="1:31" x14ac:dyDescent="0.25">
      <c r="A70" t="s">
        <v>216</v>
      </c>
      <c r="B70" t="s">
        <v>215</v>
      </c>
      <c r="C70" t="s">
        <v>214</v>
      </c>
      <c r="D70" t="s">
        <v>86</v>
      </c>
      <c r="E70">
        <v>0.50583</v>
      </c>
      <c r="F70">
        <v>0.49034699999999998</v>
      </c>
      <c r="G70">
        <v>0.45815400000000001</v>
      </c>
      <c r="H70">
        <v>0.43753900000000001</v>
      </c>
      <c r="I70">
        <v>0.42269200000000001</v>
      </c>
      <c r="J70">
        <v>0.40934999999999999</v>
      </c>
      <c r="K70">
        <v>0.39391399999999999</v>
      </c>
      <c r="L70">
        <v>0.38144099999999997</v>
      </c>
      <c r="M70">
        <v>0.372388</v>
      </c>
      <c r="N70">
        <v>0.36299700000000001</v>
      </c>
      <c r="O70">
        <v>0.35490300000000002</v>
      </c>
      <c r="P70">
        <v>0.34810999999999998</v>
      </c>
      <c r="Q70">
        <v>0.34259899999999999</v>
      </c>
      <c r="R70">
        <v>0.33782699999999999</v>
      </c>
      <c r="S70">
        <v>0.33402199999999999</v>
      </c>
      <c r="T70">
        <v>0.329349</v>
      </c>
      <c r="U70">
        <v>0.324214</v>
      </c>
      <c r="V70">
        <v>0.32134800000000002</v>
      </c>
      <c r="W70">
        <v>0.317249</v>
      </c>
      <c r="X70">
        <v>0.31383299999999997</v>
      </c>
      <c r="Y70">
        <v>0.310029</v>
      </c>
      <c r="Z70">
        <v>0.306946</v>
      </c>
      <c r="AA70">
        <v>0.302373</v>
      </c>
      <c r="AB70">
        <v>0.29731200000000002</v>
      </c>
      <c r="AC70">
        <v>0.29134700000000002</v>
      </c>
      <c r="AD70">
        <v>0.285331</v>
      </c>
      <c r="AE70" s="18">
        <v>-2.3E-2</v>
      </c>
    </row>
    <row r="71" spans="1:31" x14ac:dyDescent="0.25">
      <c r="A71" t="s">
        <v>92</v>
      </c>
      <c r="B71" t="s">
        <v>213</v>
      </c>
      <c r="C71" t="s">
        <v>212</v>
      </c>
      <c r="D71" t="s">
        <v>86</v>
      </c>
      <c r="E71">
        <v>6.8407340000000003</v>
      </c>
      <c r="F71">
        <v>7.1826650000000001</v>
      </c>
      <c r="G71">
        <v>6.9943910000000002</v>
      </c>
      <c r="H71">
        <v>6.8863180000000002</v>
      </c>
      <c r="I71">
        <v>6.8270850000000003</v>
      </c>
      <c r="J71">
        <v>6.7769259999999996</v>
      </c>
      <c r="K71">
        <v>6.6949759999999996</v>
      </c>
      <c r="L71">
        <v>6.651408</v>
      </c>
      <c r="M71">
        <v>6.6287419999999999</v>
      </c>
      <c r="N71">
        <v>6.5949179999999998</v>
      </c>
      <c r="O71">
        <v>6.5750339999999996</v>
      </c>
      <c r="P71">
        <v>6.560918</v>
      </c>
      <c r="Q71">
        <v>6.5592990000000002</v>
      </c>
      <c r="R71">
        <v>6.5639620000000001</v>
      </c>
      <c r="S71">
        <v>6.564362</v>
      </c>
      <c r="T71">
        <v>6.560988</v>
      </c>
      <c r="U71">
        <v>6.5584819999999997</v>
      </c>
      <c r="V71">
        <v>6.5671569999999999</v>
      </c>
      <c r="W71">
        <v>6.580578</v>
      </c>
      <c r="X71">
        <v>6.5957629999999998</v>
      </c>
      <c r="Y71">
        <v>6.6125080000000001</v>
      </c>
      <c r="Z71">
        <v>6.6278990000000002</v>
      </c>
      <c r="AA71">
        <v>6.6440609999999998</v>
      </c>
      <c r="AB71">
        <v>6.6604340000000004</v>
      </c>
      <c r="AC71">
        <v>6.670706</v>
      </c>
      <c r="AD71">
        <v>6.6886380000000001</v>
      </c>
      <c r="AE71" s="18">
        <v>-1E-3</v>
      </c>
    </row>
    <row r="72" spans="1:31" x14ac:dyDescent="0.25">
      <c r="A72" t="s">
        <v>106</v>
      </c>
      <c r="B72" t="s">
        <v>211</v>
      </c>
      <c r="C72" t="s">
        <v>210</v>
      </c>
      <c r="D72" t="s">
        <v>86</v>
      </c>
      <c r="E72">
        <v>16.761900000000001</v>
      </c>
      <c r="F72">
        <v>17.171824999999998</v>
      </c>
      <c r="G72">
        <v>16.762159</v>
      </c>
      <c r="H72">
        <v>16.600726999999999</v>
      </c>
      <c r="I72">
        <v>16.550605999999998</v>
      </c>
      <c r="J72">
        <v>16.480719000000001</v>
      </c>
      <c r="K72">
        <v>16.335453000000001</v>
      </c>
      <c r="L72">
        <v>16.297905</v>
      </c>
      <c r="M72">
        <v>16.324348000000001</v>
      </c>
      <c r="N72">
        <v>16.320620999999999</v>
      </c>
      <c r="O72">
        <v>16.352364999999999</v>
      </c>
      <c r="P72">
        <v>16.399066999999999</v>
      </c>
      <c r="Q72">
        <v>16.478168</v>
      </c>
      <c r="R72">
        <v>16.573499999999999</v>
      </c>
      <c r="S72">
        <v>16.653956999999998</v>
      </c>
      <c r="T72">
        <v>16.715320999999999</v>
      </c>
      <c r="U72">
        <v>16.780923999999999</v>
      </c>
      <c r="V72">
        <v>16.876263000000002</v>
      </c>
      <c r="W72">
        <v>16.980440000000002</v>
      </c>
      <c r="X72">
        <v>17.084620999999999</v>
      </c>
      <c r="Y72">
        <v>17.185068000000001</v>
      </c>
      <c r="Z72">
        <v>17.271172</v>
      </c>
      <c r="AA72">
        <v>17.344833000000001</v>
      </c>
      <c r="AB72">
        <v>17.406241999999999</v>
      </c>
      <c r="AC72">
        <v>17.439630999999999</v>
      </c>
      <c r="AD72">
        <v>17.487321999999999</v>
      </c>
      <c r="AE72" s="18">
        <v>2E-3</v>
      </c>
    </row>
    <row r="73" spans="1:31" x14ac:dyDescent="0.25">
      <c r="A73" t="s">
        <v>94</v>
      </c>
      <c r="B73" t="s">
        <v>209</v>
      </c>
      <c r="C73" t="s">
        <v>207</v>
      </c>
      <c r="D73" t="s">
        <v>86</v>
      </c>
      <c r="E73">
        <v>7.5079999999999994E-2</v>
      </c>
      <c r="F73">
        <v>9.7618999999999997E-2</v>
      </c>
      <c r="G73">
        <v>0.119833</v>
      </c>
      <c r="H73">
        <v>0.14593200000000001</v>
      </c>
      <c r="I73">
        <v>0.17319300000000001</v>
      </c>
      <c r="J73">
        <v>0.199409</v>
      </c>
      <c r="K73">
        <v>0.22115000000000001</v>
      </c>
      <c r="L73">
        <v>0.24240800000000001</v>
      </c>
      <c r="M73">
        <v>0.26448199999999999</v>
      </c>
      <c r="N73">
        <v>0.28556500000000001</v>
      </c>
      <c r="O73">
        <v>0.307701</v>
      </c>
      <c r="P73">
        <v>0.32978800000000003</v>
      </c>
      <c r="Q73">
        <v>0.35306599999999999</v>
      </c>
      <c r="R73">
        <v>0.37676500000000002</v>
      </c>
      <c r="S73">
        <v>0.399704</v>
      </c>
      <c r="T73">
        <v>0.42260900000000001</v>
      </c>
      <c r="U73">
        <v>0.44601400000000002</v>
      </c>
      <c r="V73">
        <v>0.47185899999999997</v>
      </c>
      <c r="W73">
        <v>0.49950800000000001</v>
      </c>
      <c r="X73">
        <v>0.52955600000000003</v>
      </c>
      <c r="Y73">
        <v>0.56185099999999999</v>
      </c>
      <c r="Z73">
        <v>0.59497699999999998</v>
      </c>
      <c r="AA73">
        <v>0.62894799999999995</v>
      </c>
      <c r="AB73">
        <v>0.66345500000000002</v>
      </c>
      <c r="AC73">
        <v>0.697079</v>
      </c>
      <c r="AD73">
        <v>0.73172800000000005</v>
      </c>
      <c r="AE73" s="18">
        <v>9.5000000000000001E-2</v>
      </c>
    </row>
    <row r="74" spans="1:31" x14ac:dyDescent="0.25">
      <c r="A74" t="s">
        <v>95</v>
      </c>
      <c r="B74" t="s">
        <v>208</v>
      </c>
      <c r="C74" t="s">
        <v>207</v>
      </c>
      <c r="D74" t="s">
        <v>86</v>
      </c>
      <c r="E74">
        <v>0.15950900000000001</v>
      </c>
      <c r="F74">
        <v>0.178677</v>
      </c>
      <c r="G74">
        <v>0.19480600000000001</v>
      </c>
      <c r="H74">
        <v>0.202568</v>
      </c>
      <c r="I74">
        <v>0.20727899999999999</v>
      </c>
      <c r="J74">
        <v>0.212645</v>
      </c>
      <c r="K74">
        <v>0.21679300000000001</v>
      </c>
      <c r="L74">
        <v>0.22007099999999999</v>
      </c>
      <c r="M74">
        <v>0.22375700000000001</v>
      </c>
      <c r="N74">
        <v>0.22936000000000001</v>
      </c>
      <c r="O74">
        <v>0.23388900000000001</v>
      </c>
      <c r="P74">
        <v>0.23771300000000001</v>
      </c>
      <c r="Q74">
        <v>0.24440600000000001</v>
      </c>
      <c r="R74">
        <v>0.25092700000000001</v>
      </c>
      <c r="S74">
        <v>0.25883299999999998</v>
      </c>
      <c r="T74">
        <v>0.26564700000000002</v>
      </c>
      <c r="U74">
        <v>0.26933000000000001</v>
      </c>
      <c r="V74">
        <v>0.27484399999999998</v>
      </c>
      <c r="W74">
        <v>0.27782000000000001</v>
      </c>
      <c r="X74">
        <v>0.281171</v>
      </c>
      <c r="Y74">
        <v>0.28390700000000002</v>
      </c>
      <c r="Z74">
        <v>0.28815800000000003</v>
      </c>
      <c r="AA74">
        <v>0.29341899999999999</v>
      </c>
      <c r="AB74">
        <v>0.29877599999999999</v>
      </c>
      <c r="AC74">
        <v>0.30282900000000001</v>
      </c>
      <c r="AD74">
        <v>0.308056</v>
      </c>
      <c r="AE74" s="18">
        <v>2.7E-2</v>
      </c>
    </row>
    <row r="75" spans="1:31" x14ac:dyDescent="0.25">
      <c r="A75" t="s">
        <v>107</v>
      </c>
      <c r="B75" t="s">
        <v>206</v>
      </c>
      <c r="C75" t="s">
        <v>205</v>
      </c>
      <c r="D75" t="s">
        <v>86</v>
      </c>
      <c r="E75">
        <v>16.677472999999999</v>
      </c>
      <c r="F75">
        <v>17.090769000000002</v>
      </c>
      <c r="G75">
        <v>16.687184999999999</v>
      </c>
      <c r="H75">
        <v>16.544090000000001</v>
      </c>
      <c r="I75">
        <v>16.51652</v>
      </c>
      <c r="J75">
        <v>16.467483999999999</v>
      </c>
      <c r="K75">
        <v>16.339808999999999</v>
      </c>
      <c r="L75">
        <v>16.320242</v>
      </c>
      <c r="M75">
        <v>16.365074</v>
      </c>
      <c r="N75">
        <v>16.376826999999999</v>
      </c>
      <c r="O75">
        <v>16.426178</v>
      </c>
      <c r="P75">
        <v>16.491142</v>
      </c>
      <c r="Q75">
        <v>16.586828000000001</v>
      </c>
      <c r="R75">
        <v>16.699337</v>
      </c>
      <c r="S75">
        <v>16.794827999999999</v>
      </c>
      <c r="T75">
        <v>16.872284000000001</v>
      </c>
      <c r="U75">
        <v>16.957609000000001</v>
      </c>
      <c r="V75">
        <v>17.073277999999998</v>
      </c>
      <c r="W75">
        <v>17.202127000000001</v>
      </c>
      <c r="X75">
        <v>17.333006000000001</v>
      </c>
      <c r="Y75">
        <v>17.463013</v>
      </c>
      <c r="Z75">
        <v>17.57799</v>
      </c>
      <c r="AA75">
        <v>17.680363</v>
      </c>
      <c r="AB75">
        <v>17.770921999999999</v>
      </c>
      <c r="AC75">
        <v>17.833881000000002</v>
      </c>
      <c r="AD75">
        <v>17.910993999999999</v>
      </c>
      <c r="AE75" s="18">
        <v>3.0000000000000001E-3</v>
      </c>
    </row>
    <row r="76" spans="1:31" x14ac:dyDescent="0.25">
      <c r="A76" t="s">
        <v>108</v>
      </c>
    </row>
    <row r="77" spans="1:31" x14ac:dyDescent="0.25">
      <c r="A77" t="s">
        <v>109</v>
      </c>
      <c r="B77" t="s">
        <v>204</v>
      </c>
      <c r="C77" t="s">
        <v>203</v>
      </c>
      <c r="D77" t="s">
        <v>86</v>
      </c>
      <c r="E77">
        <v>6.5494999999999998E-2</v>
      </c>
      <c r="F77">
        <v>6.3335000000000002E-2</v>
      </c>
      <c r="G77">
        <v>6.3611000000000001E-2</v>
      </c>
      <c r="H77">
        <v>6.2602000000000005E-2</v>
      </c>
      <c r="I77">
        <v>6.1894999999999999E-2</v>
      </c>
      <c r="J77">
        <v>6.1556E-2</v>
      </c>
      <c r="K77">
        <v>6.1001E-2</v>
      </c>
      <c r="L77">
        <v>5.9719000000000001E-2</v>
      </c>
      <c r="M77">
        <v>5.9400000000000001E-2</v>
      </c>
      <c r="N77">
        <v>5.9207999999999997E-2</v>
      </c>
      <c r="O77">
        <v>5.8635E-2</v>
      </c>
      <c r="P77">
        <v>5.8118999999999997E-2</v>
      </c>
      <c r="Q77">
        <v>5.7820999999999997E-2</v>
      </c>
      <c r="R77">
        <v>5.7597000000000002E-2</v>
      </c>
      <c r="S77">
        <v>5.7361000000000002E-2</v>
      </c>
      <c r="T77">
        <v>5.7211999999999999E-2</v>
      </c>
      <c r="U77">
        <v>5.6903000000000002E-2</v>
      </c>
      <c r="V77">
        <v>5.6644E-2</v>
      </c>
      <c r="W77">
        <v>5.6244000000000002E-2</v>
      </c>
      <c r="X77">
        <v>5.5780999999999997E-2</v>
      </c>
      <c r="Y77">
        <v>5.5392999999999998E-2</v>
      </c>
      <c r="Z77">
        <v>5.4973000000000001E-2</v>
      </c>
      <c r="AA77">
        <v>5.4613000000000002E-2</v>
      </c>
      <c r="AB77">
        <v>5.4244000000000001E-2</v>
      </c>
      <c r="AC77">
        <v>5.3925000000000001E-2</v>
      </c>
      <c r="AD77">
        <v>5.3518999999999997E-2</v>
      </c>
      <c r="AE77" s="18">
        <v>-8.0000000000000002E-3</v>
      </c>
    </row>
    <row r="78" spans="1:31" x14ac:dyDescent="0.25">
      <c r="A78" t="s">
        <v>110</v>
      </c>
      <c r="B78" t="s">
        <v>202</v>
      </c>
      <c r="C78" t="s">
        <v>201</v>
      </c>
      <c r="D78" t="s">
        <v>86</v>
      </c>
      <c r="E78">
        <v>0.15757299999999999</v>
      </c>
      <c r="F78">
        <v>0.176538</v>
      </c>
      <c r="G78">
        <v>0.19264600000000001</v>
      </c>
      <c r="H78">
        <v>0.20038900000000001</v>
      </c>
      <c r="I78">
        <v>0.205067</v>
      </c>
      <c r="J78">
        <v>0.210395</v>
      </c>
      <c r="K78">
        <v>0.21450900000000001</v>
      </c>
      <c r="L78">
        <v>0.21775</v>
      </c>
      <c r="M78">
        <v>0.22139800000000001</v>
      </c>
      <c r="N78">
        <v>0.226933</v>
      </c>
      <c r="O78">
        <v>0.23141999999999999</v>
      </c>
      <c r="P78">
        <v>0.23519699999999999</v>
      </c>
      <c r="Q78">
        <v>0.24181900000000001</v>
      </c>
      <c r="R78">
        <v>0.24828800000000001</v>
      </c>
      <c r="S78">
        <v>0.25614199999999998</v>
      </c>
      <c r="T78">
        <v>0.26291700000000001</v>
      </c>
      <c r="U78">
        <v>0.266571</v>
      </c>
      <c r="V78">
        <v>0.27200800000000003</v>
      </c>
      <c r="W78">
        <v>0.27494499999999999</v>
      </c>
      <c r="X78">
        <v>0.27825100000000003</v>
      </c>
      <c r="Y78">
        <v>0.28095700000000001</v>
      </c>
      <c r="Z78">
        <v>0.28517100000000001</v>
      </c>
      <c r="AA78">
        <v>0.29038199999999997</v>
      </c>
      <c r="AB78">
        <v>0.29569099999999998</v>
      </c>
      <c r="AC78">
        <v>0.29971399999999998</v>
      </c>
      <c r="AD78">
        <v>0.30489699999999997</v>
      </c>
      <c r="AE78" s="18">
        <v>2.7E-2</v>
      </c>
    </row>
    <row r="79" spans="1:31" x14ac:dyDescent="0.25">
      <c r="A79" t="s">
        <v>111</v>
      </c>
      <c r="B79" t="s">
        <v>200</v>
      </c>
      <c r="C79" t="s">
        <v>199</v>
      </c>
      <c r="D79" t="s">
        <v>86</v>
      </c>
      <c r="E79">
        <v>2.5240000000000002E-3</v>
      </c>
      <c r="F79">
        <v>2.5270000000000002E-3</v>
      </c>
      <c r="G79">
        <v>2.5330000000000001E-3</v>
      </c>
      <c r="H79">
        <v>2.5330000000000001E-3</v>
      </c>
      <c r="I79">
        <v>2.5360000000000001E-3</v>
      </c>
      <c r="J79">
        <v>2.5400000000000002E-3</v>
      </c>
      <c r="K79">
        <v>2.542E-3</v>
      </c>
      <c r="L79">
        <v>2.545E-3</v>
      </c>
      <c r="M79">
        <v>2.5490000000000001E-3</v>
      </c>
      <c r="N79">
        <v>2.552E-3</v>
      </c>
      <c r="O79">
        <v>2.5530000000000001E-3</v>
      </c>
      <c r="P79">
        <v>2.5539999999999998E-3</v>
      </c>
      <c r="Q79">
        <v>2.555E-3</v>
      </c>
      <c r="R79">
        <v>2.5569999999999998E-3</v>
      </c>
      <c r="S79">
        <v>2.5579999999999999E-3</v>
      </c>
      <c r="T79">
        <v>2.5600000000000002E-3</v>
      </c>
      <c r="U79">
        <v>2.5609999999999999E-3</v>
      </c>
      <c r="V79">
        <v>2.565E-3</v>
      </c>
      <c r="W79">
        <v>2.5660000000000001E-3</v>
      </c>
      <c r="X79">
        <v>2.568E-3</v>
      </c>
      <c r="Y79">
        <v>2.568E-3</v>
      </c>
      <c r="Z79">
        <v>2.5690000000000001E-3</v>
      </c>
      <c r="AA79">
        <v>2.5720000000000001E-3</v>
      </c>
      <c r="AB79">
        <v>2.5730000000000002E-3</v>
      </c>
      <c r="AC79">
        <v>2.5739999999999999E-3</v>
      </c>
      <c r="AD79">
        <v>2.575E-3</v>
      </c>
      <c r="AE79" s="18">
        <v>1E-3</v>
      </c>
    </row>
    <row r="80" spans="1:31" x14ac:dyDescent="0.25">
      <c r="A80" t="s">
        <v>20</v>
      </c>
      <c r="B80" t="s">
        <v>198</v>
      </c>
      <c r="C80" t="s">
        <v>197</v>
      </c>
      <c r="D80" t="s">
        <v>86</v>
      </c>
      <c r="E80">
        <v>0.22559299999999999</v>
      </c>
      <c r="F80">
        <v>0.24240100000000001</v>
      </c>
      <c r="G80">
        <v>0.25879000000000002</v>
      </c>
      <c r="H80">
        <v>0.26552399999999998</v>
      </c>
      <c r="I80">
        <v>0.26949800000000002</v>
      </c>
      <c r="J80">
        <v>0.27449099999999999</v>
      </c>
      <c r="K80">
        <v>0.27805099999999999</v>
      </c>
      <c r="L80">
        <v>0.28001399999999999</v>
      </c>
      <c r="M80">
        <v>0.28334700000000002</v>
      </c>
      <c r="N80">
        <v>0.28869299999999998</v>
      </c>
      <c r="O80">
        <v>0.29260799999999998</v>
      </c>
      <c r="P80">
        <v>0.29586899999999999</v>
      </c>
      <c r="Q80">
        <v>0.30219499999999999</v>
      </c>
      <c r="R80">
        <v>0.30844100000000002</v>
      </c>
      <c r="S80">
        <v>0.31606099999999998</v>
      </c>
      <c r="T80">
        <v>0.32268999999999998</v>
      </c>
      <c r="U80">
        <v>0.32603500000000002</v>
      </c>
      <c r="V80">
        <v>0.33121699999999998</v>
      </c>
      <c r="W80">
        <v>0.333756</v>
      </c>
      <c r="X80">
        <v>0.33660000000000001</v>
      </c>
      <c r="Y80">
        <v>0.33891900000000003</v>
      </c>
      <c r="Z80">
        <v>0.34271400000000002</v>
      </c>
      <c r="AA80">
        <v>0.34756599999999999</v>
      </c>
      <c r="AB80">
        <v>0.35250900000000002</v>
      </c>
      <c r="AC80">
        <v>0.356213</v>
      </c>
      <c r="AD80">
        <v>0.36099100000000001</v>
      </c>
      <c r="AE80" s="18">
        <v>1.9E-2</v>
      </c>
    </row>
    <row r="81" spans="1:31" x14ac:dyDescent="0.25">
      <c r="A81" t="s">
        <v>112</v>
      </c>
    </row>
    <row r="82" spans="1:31" x14ac:dyDescent="0.25">
      <c r="A82" t="s">
        <v>113</v>
      </c>
      <c r="B82" t="s">
        <v>196</v>
      </c>
      <c r="C82" t="s">
        <v>195</v>
      </c>
      <c r="D82" t="s">
        <v>114</v>
      </c>
      <c r="E82">
        <v>6045</v>
      </c>
      <c r="F82">
        <v>5873</v>
      </c>
      <c r="G82">
        <v>5850</v>
      </c>
      <c r="H82">
        <v>5826</v>
      </c>
      <c r="I82">
        <v>5803</v>
      </c>
      <c r="J82">
        <v>5779</v>
      </c>
      <c r="K82">
        <v>5755</v>
      </c>
      <c r="L82">
        <v>5732</v>
      </c>
      <c r="M82">
        <v>5708</v>
      </c>
      <c r="N82">
        <v>5684</v>
      </c>
      <c r="O82">
        <v>5661</v>
      </c>
      <c r="P82">
        <v>5637</v>
      </c>
      <c r="Q82">
        <v>5613</v>
      </c>
      <c r="R82">
        <v>5589</v>
      </c>
      <c r="S82">
        <v>5566</v>
      </c>
      <c r="T82">
        <v>5542</v>
      </c>
      <c r="U82">
        <v>5518</v>
      </c>
      <c r="V82">
        <v>5495</v>
      </c>
      <c r="W82">
        <v>5471</v>
      </c>
      <c r="X82">
        <v>5447</v>
      </c>
      <c r="Y82">
        <v>5423</v>
      </c>
      <c r="Z82">
        <v>5400</v>
      </c>
      <c r="AA82">
        <v>5376</v>
      </c>
      <c r="AB82">
        <v>5352</v>
      </c>
      <c r="AC82">
        <v>5328</v>
      </c>
      <c r="AD82">
        <v>5305</v>
      </c>
      <c r="AE82" s="18">
        <v>-5.0000000000000001E-3</v>
      </c>
    </row>
    <row r="83" spans="1:31" x14ac:dyDescent="0.25">
      <c r="A83" t="s">
        <v>115</v>
      </c>
      <c r="B83" t="s">
        <v>194</v>
      </c>
      <c r="C83" t="s">
        <v>193</v>
      </c>
      <c r="D83" t="s">
        <v>114</v>
      </c>
      <c r="E83">
        <v>5404</v>
      </c>
      <c r="F83">
        <v>5271</v>
      </c>
      <c r="G83">
        <v>5249</v>
      </c>
      <c r="H83">
        <v>5228</v>
      </c>
      <c r="I83">
        <v>5207</v>
      </c>
      <c r="J83">
        <v>5185</v>
      </c>
      <c r="K83">
        <v>5164</v>
      </c>
      <c r="L83">
        <v>5142</v>
      </c>
      <c r="M83">
        <v>5121</v>
      </c>
      <c r="N83">
        <v>5100</v>
      </c>
      <c r="O83">
        <v>5078</v>
      </c>
      <c r="P83">
        <v>5057</v>
      </c>
      <c r="Q83">
        <v>5035</v>
      </c>
      <c r="R83">
        <v>5014</v>
      </c>
      <c r="S83">
        <v>4993</v>
      </c>
      <c r="T83">
        <v>4971</v>
      </c>
      <c r="U83">
        <v>4950</v>
      </c>
      <c r="V83">
        <v>4929</v>
      </c>
      <c r="W83">
        <v>4907</v>
      </c>
      <c r="X83">
        <v>4886</v>
      </c>
      <c r="Y83">
        <v>4865</v>
      </c>
      <c r="Z83">
        <v>4843</v>
      </c>
      <c r="AA83">
        <v>4822</v>
      </c>
      <c r="AB83">
        <v>4801</v>
      </c>
      <c r="AC83">
        <v>4780</v>
      </c>
      <c r="AD83">
        <v>4758</v>
      </c>
      <c r="AE83" s="18">
        <v>-5.0000000000000001E-3</v>
      </c>
    </row>
    <row r="84" spans="1:31" x14ac:dyDescent="0.25">
      <c r="A84" t="s">
        <v>116</v>
      </c>
      <c r="B84" t="s">
        <v>192</v>
      </c>
      <c r="C84" t="s">
        <v>191</v>
      </c>
      <c r="D84" t="s">
        <v>114</v>
      </c>
      <c r="E84">
        <v>5984</v>
      </c>
      <c r="F84">
        <v>5836</v>
      </c>
      <c r="G84">
        <v>5817</v>
      </c>
      <c r="H84">
        <v>5798</v>
      </c>
      <c r="I84">
        <v>5779</v>
      </c>
      <c r="J84">
        <v>5760</v>
      </c>
      <c r="K84">
        <v>5741</v>
      </c>
      <c r="L84">
        <v>5722</v>
      </c>
      <c r="M84">
        <v>5703</v>
      </c>
      <c r="N84">
        <v>5683</v>
      </c>
      <c r="O84">
        <v>5664</v>
      </c>
      <c r="P84">
        <v>5645</v>
      </c>
      <c r="Q84">
        <v>5626</v>
      </c>
      <c r="R84">
        <v>5607</v>
      </c>
      <c r="S84">
        <v>5588</v>
      </c>
      <c r="T84">
        <v>5569</v>
      </c>
      <c r="U84">
        <v>5549</v>
      </c>
      <c r="V84">
        <v>5530</v>
      </c>
      <c r="W84">
        <v>5511</v>
      </c>
      <c r="X84">
        <v>5492</v>
      </c>
      <c r="Y84">
        <v>5473</v>
      </c>
      <c r="Z84">
        <v>5453</v>
      </c>
      <c r="AA84">
        <v>5434</v>
      </c>
      <c r="AB84">
        <v>5415</v>
      </c>
      <c r="AC84">
        <v>5396</v>
      </c>
      <c r="AD84">
        <v>5377</v>
      </c>
      <c r="AE84" s="18">
        <v>-4.0000000000000001E-3</v>
      </c>
    </row>
    <row r="85" spans="1:31" x14ac:dyDescent="0.25">
      <c r="A85" t="s">
        <v>117</v>
      </c>
      <c r="B85" t="s">
        <v>190</v>
      </c>
      <c r="C85" t="s">
        <v>189</v>
      </c>
      <c r="D85" t="s">
        <v>114</v>
      </c>
      <c r="E85">
        <v>6267</v>
      </c>
      <c r="F85">
        <v>6263</v>
      </c>
      <c r="G85">
        <v>6251</v>
      </c>
      <c r="H85">
        <v>6239</v>
      </c>
      <c r="I85">
        <v>6227</v>
      </c>
      <c r="J85">
        <v>6215</v>
      </c>
      <c r="K85">
        <v>6203</v>
      </c>
      <c r="L85">
        <v>6191</v>
      </c>
      <c r="M85">
        <v>6178</v>
      </c>
      <c r="N85">
        <v>6166</v>
      </c>
      <c r="O85">
        <v>6153</v>
      </c>
      <c r="P85">
        <v>6141</v>
      </c>
      <c r="Q85">
        <v>6128</v>
      </c>
      <c r="R85">
        <v>6116</v>
      </c>
      <c r="S85">
        <v>6103</v>
      </c>
      <c r="T85">
        <v>6091</v>
      </c>
      <c r="U85">
        <v>6078</v>
      </c>
      <c r="V85">
        <v>6066</v>
      </c>
      <c r="W85">
        <v>6053</v>
      </c>
      <c r="X85">
        <v>6040</v>
      </c>
      <c r="Y85">
        <v>6028</v>
      </c>
      <c r="Z85">
        <v>6015</v>
      </c>
      <c r="AA85">
        <v>6002</v>
      </c>
      <c r="AB85">
        <v>5990</v>
      </c>
      <c r="AC85">
        <v>5977</v>
      </c>
      <c r="AD85">
        <v>5964</v>
      </c>
      <c r="AE85" s="18">
        <v>-2E-3</v>
      </c>
    </row>
    <row r="86" spans="1:31" x14ac:dyDescent="0.25">
      <c r="A86" t="s">
        <v>118</v>
      </c>
      <c r="B86" t="s">
        <v>188</v>
      </c>
      <c r="C86" t="s">
        <v>187</v>
      </c>
      <c r="D86" t="s">
        <v>114</v>
      </c>
      <c r="E86">
        <v>2431</v>
      </c>
      <c r="F86">
        <v>2296</v>
      </c>
      <c r="G86">
        <v>2280</v>
      </c>
      <c r="H86">
        <v>2263</v>
      </c>
      <c r="I86">
        <v>2245</v>
      </c>
      <c r="J86">
        <v>2228</v>
      </c>
      <c r="K86">
        <v>2210</v>
      </c>
      <c r="L86">
        <v>2192</v>
      </c>
      <c r="M86">
        <v>2175</v>
      </c>
      <c r="N86">
        <v>2157</v>
      </c>
      <c r="O86">
        <v>2139</v>
      </c>
      <c r="P86">
        <v>2122</v>
      </c>
      <c r="Q86">
        <v>2104</v>
      </c>
      <c r="R86">
        <v>2087</v>
      </c>
      <c r="S86">
        <v>2069</v>
      </c>
      <c r="T86">
        <v>2052</v>
      </c>
      <c r="U86">
        <v>2034</v>
      </c>
      <c r="V86">
        <v>2017</v>
      </c>
      <c r="W86">
        <v>2000</v>
      </c>
      <c r="X86">
        <v>1982</v>
      </c>
      <c r="Y86">
        <v>1965</v>
      </c>
      <c r="Z86">
        <v>1948</v>
      </c>
      <c r="AA86">
        <v>1930</v>
      </c>
      <c r="AB86">
        <v>1913</v>
      </c>
      <c r="AC86">
        <v>1896</v>
      </c>
      <c r="AD86">
        <v>1879</v>
      </c>
      <c r="AE86" s="18">
        <v>-0.01</v>
      </c>
    </row>
    <row r="87" spans="1:31" x14ac:dyDescent="0.25">
      <c r="A87" t="s">
        <v>119</v>
      </c>
      <c r="B87" t="s">
        <v>186</v>
      </c>
      <c r="C87" t="s">
        <v>185</v>
      </c>
      <c r="D87" t="s">
        <v>114</v>
      </c>
      <c r="E87">
        <v>3231</v>
      </c>
      <c r="F87">
        <v>3099</v>
      </c>
      <c r="G87">
        <v>3084</v>
      </c>
      <c r="H87">
        <v>3069</v>
      </c>
      <c r="I87">
        <v>3053</v>
      </c>
      <c r="J87">
        <v>3038</v>
      </c>
      <c r="K87">
        <v>3023</v>
      </c>
      <c r="L87">
        <v>3008</v>
      </c>
      <c r="M87">
        <v>2992</v>
      </c>
      <c r="N87">
        <v>2977</v>
      </c>
      <c r="O87">
        <v>2961</v>
      </c>
      <c r="P87">
        <v>2946</v>
      </c>
      <c r="Q87">
        <v>2930</v>
      </c>
      <c r="R87">
        <v>2915</v>
      </c>
      <c r="S87">
        <v>2900</v>
      </c>
      <c r="T87">
        <v>2884</v>
      </c>
      <c r="U87">
        <v>2869</v>
      </c>
      <c r="V87">
        <v>2853</v>
      </c>
      <c r="W87">
        <v>2838</v>
      </c>
      <c r="X87">
        <v>2822</v>
      </c>
      <c r="Y87">
        <v>2807</v>
      </c>
      <c r="Z87">
        <v>2791</v>
      </c>
      <c r="AA87">
        <v>2776</v>
      </c>
      <c r="AB87">
        <v>2760</v>
      </c>
      <c r="AC87">
        <v>2745</v>
      </c>
      <c r="AD87">
        <v>2730</v>
      </c>
      <c r="AE87" s="18">
        <v>-7.0000000000000001E-3</v>
      </c>
    </row>
    <row r="88" spans="1:31" x14ac:dyDescent="0.25">
      <c r="A88" t="s">
        <v>120</v>
      </c>
      <c r="B88" t="s">
        <v>184</v>
      </c>
      <c r="C88" t="s">
        <v>183</v>
      </c>
      <c r="D88" t="s">
        <v>114</v>
      </c>
      <c r="E88">
        <v>1966</v>
      </c>
      <c r="F88">
        <v>1889</v>
      </c>
      <c r="G88">
        <v>1880</v>
      </c>
      <c r="H88">
        <v>1870</v>
      </c>
      <c r="I88">
        <v>1860</v>
      </c>
      <c r="J88">
        <v>1851</v>
      </c>
      <c r="K88">
        <v>1841</v>
      </c>
      <c r="L88">
        <v>1831</v>
      </c>
      <c r="M88">
        <v>1822</v>
      </c>
      <c r="N88">
        <v>1812</v>
      </c>
      <c r="O88">
        <v>1803</v>
      </c>
      <c r="P88">
        <v>1793</v>
      </c>
      <c r="Q88">
        <v>1784</v>
      </c>
      <c r="R88">
        <v>1774</v>
      </c>
      <c r="S88">
        <v>1765</v>
      </c>
      <c r="T88">
        <v>1756</v>
      </c>
      <c r="U88">
        <v>1746</v>
      </c>
      <c r="V88">
        <v>1737</v>
      </c>
      <c r="W88">
        <v>1728</v>
      </c>
      <c r="X88">
        <v>1718</v>
      </c>
      <c r="Y88">
        <v>1709</v>
      </c>
      <c r="Z88">
        <v>1700</v>
      </c>
      <c r="AA88">
        <v>1690</v>
      </c>
      <c r="AB88">
        <v>1681</v>
      </c>
      <c r="AC88">
        <v>1672</v>
      </c>
      <c r="AD88">
        <v>1663</v>
      </c>
      <c r="AE88" s="18">
        <v>-7.0000000000000001E-3</v>
      </c>
    </row>
    <row r="89" spans="1:31" x14ac:dyDescent="0.25">
      <c r="A89" t="s">
        <v>121</v>
      </c>
      <c r="B89" t="s">
        <v>182</v>
      </c>
      <c r="C89" t="s">
        <v>181</v>
      </c>
      <c r="D89" t="s">
        <v>114</v>
      </c>
      <c r="E89">
        <v>4734</v>
      </c>
      <c r="F89">
        <v>4833</v>
      </c>
      <c r="G89">
        <v>4825</v>
      </c>
      <c r="H89">
        <v>4816</v>
      </c>
      <c r="I89">
        <v>4807</v>
      </c>
      <c r="J89">
        <v>4799</v>
      </c>
      <c r="K89">
        <v>4790</v>
      </c>
      <c r="L89">
        <v>4782</v>
      </c>
      <c r="M89">
        <v>4774</v>
      </c>
      <c r="N89">
        <v>4766</v>
      </c>
      <c r="O89">
        <v>4758</v>
      </c>
      <c r="P89">
        <v>4750</v>
      </c>
      <c r="Q89">
        <v>4742</v>
      </c>
      <c r="R89">
        <v>4734</v>
      </c>
      <c r="S89">
        <v>4726</v>
      </c>
      <c r="T89">
        <v>4718</v>
      </c>
      <c r="U89">
        <v>4710</v>
      </c>
      <c r="V89">
        <v>4702</v>
      </c>
      <c r="W89">
        <v>4694</v>
      </c>
      <c r="X89">
        <v>4687</v>
      </c>
      <c r="Y89">
        <v>4679</v>
      </c>
      <c r="Z89">
        <v>4671</v>
      </c>
      <c r="AA89">
        <v>4664</v>
      </c>
      <c r="AB89">
        <v>4656</v>
      </c>
      <c r="AC89">
        <v>4648</v>
      </c>
      <c r="AD89">
        <v>4641</v>
      </c>
      <c r="AE89" s="18">
        <v>-1E-3</v>
      </c>
    </row>
    <row r="90" spans="1:31" x14ac:dyDescent="0.25">
      <c r="A90" t="s">
        <v>122</v>
      </c>
      <c r="B90" t="s">
        <v>180</v>
      </c>
      <c r="C90" t="s">
        <v>179</v>
      </c>
      <c r="D90" t="s">
        <v>114</v>
      </c>
      <c r="E90">
        <v>3251</v>
      </c>
      <c r="F90">
        <v>3291</v>
      </c>
      <c r="G90">
        <v>3285</v>
      </c>
      <c r="H90">
        <v>3279</v>
      </c>
      <c r="I90">
        <v>3272</v>
      </c>
      <c r="J90">
        <v>3266</v>
      </c>
      <c r="K90">
        <v>3259</v>
      </c>
      <c r="L90">
        <v>3252</v>
      </c>
      <c r="M90">
        <v>3245</v>
      </c>
      <c r="N90">
        <v>3238</v>
      </c>
      <c r="O90">
        <v>3231</v>
      </c>
      <c r="P90">
        <v>3224</v>
      </c>
      <c r="Q90">
        <v>3216</v>
      </c>
      <c r="R90">
        <v>3209</v>
      </c>
      <c r="S90">
        <v>3202</v>
      </c>
      <c r="T90">
        <v>3195</v>
      </c>
      <c r="U90">
        <v>3187</v>
      </c>
      <c r="V90">
        <v>3180</v>
      </c>
      <c r="W90">
        <v>3173</v>
      </c>
      <c r="X90">
        <v>3165</v>
      </c>
      <c r="Y90">
        <v>3158</v>
      </c>
      <c r="Z90">
        <v>3151</v>
      </c>
      <c r="AA90">
        <v>3143</v>
      </c>
      <c r="AB90">
        <v>3136</v>
      </c>
      <c r="AC90">
        <v>3129</v>
      </c>
      <c r="AD90">
        <v>3122</v>
      </c>
      <c r="AE90" s="18">
        <v>-2E-3</v>
      </c>
    </row>
    <row r="91" spans="1:31" x14ac:dyDescent="0.25">
      <c r="A91" t="s">
        <v>123</v>
      </c>
      <c r="B91" t="s">
        <v>178</v>
      </c>
      <c r="C91" t="s">
        <v>177</v>
      </c>
      <c r="D91" t="s">
        <v>114</v>
      </c>
      <c r="E91">
        <v>3989.5722660000001</v>
      </c>
      <c r="F91">
        <v>3910.1059570000002</v>
      </c>
      <c r="G91">
        <v>3891.6015619999998</v>
      </c>
      <c r="H91">
        <v>3872.8251949999999</v>
      </c>
      <c r="I91">
        <v>3853.7155760000001</v>
      </c>
      <c r="J91">
        <v>3835.1279300000001</v>
      </c>
      <c r="K91">
        <v>3816.111328</v>
      </c>
      <c r="L91">
        <v>3797.1376949999999</v>
      </c>
      <c r="M91">
        <v>3778.5009770000001</v>
      </c>
      <c r="N91">
        <v>3759.5527339999999</v>
      </c>
      <c r="O91">
        <v>3740.7109380000002</v>
      </c>
      <c r="P91">
        <v>3722.1608890000002</v>
      </c>
      <c r="Q91">
        <v>3703.157471</v>
      </c>
      <c r="R91">
        <v>3684.6523440000001</v>
      </c>
      <c r="S91">
        <v>3666.0649410000001</v>
      </c>
      <c r="T91">
        <v>3647.5561520000001</v>
      </c>
      <c r="U91">
        <v>3628.524414</v>
      </c>
      <c r="V91">
        <v>3610.1992190000001</v>
      </c>
      <c r="W91">
        <v>3591.7321780000002</v>
      </c>
      <c r="X91">
        <v>3572.9052729999999</v>
      </c>
      <c r="Y91">
        <v>3554.6525879999999</v>
      </c>
      <c r="Z91">
        <v>3536.1577149999998</v>
      </c>
      <c r="AA91">
        <v>3517.584961</v>
      </c>
      <c r="AB91">
        <v>3499.5966800000001</v>
      </c>
      <c r="AC91">
        <v>3481.7885740000002</v>
      </c>
      <c r="AD91">
        <v>3464.116211</v>
      </c>
      <c r="AE91" s="18">
        <v>-6.0000000000000001E-3</v>
      </c>
    </row>
    <row r="92" spans="1:31" x14ac:dyDescent="0.25">
      <c r="A92" t="s">
        <v>124</v>
      </c>
    </row>
    <row r="93" spans="1:31" x14ac:dyDescent="0.25">
      <c r="A93" t="s">
        <v>113</v>
      </c>
      <c r="B93" t="s">
        <v>176</v>
      </c>
      <c r="C93" t="s">
        <v>175</v>
      </c>
      <c r="D93" t="s">
        <v>125</v>
      </c>
      <c r="E93">
        <v>530</v>
      </c>
      <c r="F93">
        <v>626</v>
      </c>
      <c r="G93">
        <v>633</v>
      </c>
      <c r="H93">
        <v>640</v>
      </c>
      <c r="I93">
        <v>647</v>
      </c>
      <c r="J93">
        <v>654</v>
      </c>
      <c r="K93">
        <v>662</v>
      </c>
      <c r="L93">
        <v>669</v>
      </c>
      <c r="M93">
        <v>676</v>
      </c>
      <c r="N93">
        <v>683</v>
      </c>
      <c r="O93">
        <v>690</v>
      </c>
      <c r="P93">
        <v>697</v>
      </c>
      <c r="Q93">
        <v>704</v>
      </c>
      <c r="R93">
        <v>712</v>
      </c>
      <c r="S93">
        <v>719</v>
      </c>
      <c r="T93">
        <v>726</v>
      </c>
      <c r="U93">
        <v>733</v>
      </c>
      <c r="V93">
        <v>740</v>
      </c>
      <c r="W93">
        <v>747</v>
      </c>
      <c r="X93">
        <v>754</v>
      </c>
      <c r="Y93">
        <v>761</v>
      </c>
      <c r="Z93">
        <v>769</v>
      </c>
      <c r="AA93">
        <v>776</v>
      </c>
      <c r="AB93">
        <v>783</v>
      </c>
      <c r="AC93">
        <v>790</v>
      </c>
      <c r="AD93">
        <v>797</v>
      </c>
      <c r="AE93" s="18">
        <v>1.6E-2</v>
      </c>
    </row>
    <row r="94" spans="1:31" x14ac:dyDescent="0.25">
      <c r="A94" t="s">
        <v>115</v>
      </c>
      <c r="B94" t="s">
        <v>174</v>
      </c>
      <c r="C94" t="s">
        <v>173</v>
      </c>
      <c r="D94" t="s">
        <v>125</v>
      </c>
      <c r="E94">
        <v>766</v>
      </c>
      <c r="F94">
        <v>858</v>
      </c>
      <c r="G94">
        <v>866</v>
      </c>
      <c r="H94">
        <v>874</v>
      </c>
      <c r="I94">
        <v>883</v>
      </c>
      <c r="J94">
        <v>891</v>
      </c>
      <c r="K94">
        <v>899</v>
      </c>
      <c r="L94">
        <v>907</v>
      </c>
      <c r="M94">
        <v>915</v>
      </c>
      <c r="N94">
        <v>923</v>
      </c>
      <c r="O94">
        <v>932</v>
      </c>
      <c r="P94">
        <v>940</v>
      </c>
      <c r="Q94">
        <v>948</v>
      </c>
      <c r="R94">
        <v>956</v>
      </c>
      <c r="S94">
        <v>964</v>
      </c>
      <c r="T94">
        <v>973</v>
      </c>
      <c r="U94">
        <v>981</v>
      </c>
      <c r="V94">
        <v>989</v>
      </c>
      <c r="W94">
        <v>997</v>
      </c>
      <c r="X94">
        <v>1005</v>
      </c>
      <c r="Y94">
        <v>1014</v>
      </c>
      <c r="Z94">
        <v>1022</v>
      </c>
      <c r="AA94">
        <v>1030</v>
      </c>
      <c r="AB94">
        <v>1038</v>
      </c>
      <c r="AC94">
        <v>1046</v>
      </c>
      <c r="AD94">
        <v>1055</v>
      </c>
      <c r="AE94" s="18">
        <v>1.2999999999999999E-2</v>
      </c>
    </row>
    <row r="95" spans="1:31" x14ac:dyDescent="0.25">
      <c r="A95" t="s">
        <v>116</v>
      </c>
      <c r="B95" t="s">
        <v>172</v>
      </c>
      <c r="C95" t="s">
        <v>171</v>
      </c>
      <c r="D95" t="s">
        <v>125</v>
      </c>
      <c r="E95">
        <v>873</v>
      </c>
      <c r="F95">
        <v>857</v>
      </c>
      <c r="G95">
        <v>862</v>
      </c>
      <c r="H95">
        <v>867</v>
      </c>
      <c r="I95">
        <v>871</v>
      </c>
      <c r="J95">
        <v>876</v>
      </c>
      <c r="K95">
        <v>881</v>
      </c>
      <c r="L95">
        <v>886</v>
      </c>
      <c r="M95">
        <v>890</v>
      </c>
      <c r="N95">
        <v>895</v>
      </c>
      <c r="O95">
        <v>900</v>
      </c>
      <c r="P95">
        <v>905</v>
      </c>
      <c r="Q95">
        <v>909</v>
      </c>
      <c r="R95">
        <v>914</v>
      </c>
      <c r="S95">
        <v>919</v>
      </c>
      <c r="T95">
        <v>924</v>
      </c>
      <c r="U95">
        <v>928</v>
      </c>
      <c r="V95">
        <v>933</v>
      </c>
      <c r="W95">
        <v>938</v>
      </c>
      <c r="X95">
        <v>943</v>
      </c>
      <c r="Y95">
        <v>948</v>
      </c>
      <c r="Z95">
        <v>952</v>
      </c>
      <c r="AA95">
        <v>957</v>
      </c>
      <c r="AB95">
        <v>962</v>
      </c>
      <c r="AC95">
        <v>967</v>
      </c>
      <c r="AD95">
        <v>972</v>
      </c>
      <c r="AE95" s="18">
        <v>4.0000000000000001E-3</v>
      </c>
    </row>
    <row r="96" spans="1:31" x14ac:dyDescent="0.25">
      <c r="A96" t="s">
        <v>117</v>
      </c>
      <c r="B96" t="s">
        <v>170</v>
      </c>
      <c r="C96" t="s">
        <v>169</v>
      </c>
      <c r="D96" t="s">
        <v>125</v>
      </c>
      <c r="E96">
        <v>1052</v>
      </c>
      <c r="F96">
        <v>1048</v>
      </c>
      <c r="G96">
        <v>1053</v>
      </c>
      <c r="H96">
        <v>1057</v>
      </c>
      <c r="I96">
        <v>1062</v>
      </c>
      <c r="J96">
        <v>1067</v>
      </c>
      <c r="K96">
        <v>1071</v>
      </c>
      <c r="L96">
        <v>1076</v>
      </c>
      <c r="M96">
        <v>1081</v>
      </c>
      <c r="N96">
        <v>1086</v>
      </c>
      <c r="O96">
        <v>1090</v>
      </c>
      <c r="P96">
        <v>1095</v>
      </c>
      <c r="Q96">
        <v>1100</v>
      </c>
      <c r="R96">
        <v>1105</v>
      </c>
      <c r="S96">
        <v>1109</v>
      </c>
      <c r="T96">
        <v>1114</v>
      </c>
      <c r="U96">
        <v>1119</v>
      </c>
      <c r="V96">
        <v>1124</v>
      </c>
      <c r="W96">
        <v>1129</v>
      </c>
      <c r="X96">
        <v>1133</v>
      </c>
      <c r="Y96">
        <v>1138</v>
      </c>
      <c r="Z96">
        <v>1143</v>
      </c>
      <c r="AA96">
        <v>1148</v>
      </c>
      <c r="AB96">
        <v>1153</v>
      </c>
      <c r="AC96">
        <v>1158</v>
      </c>
      <c r="AD96">
        <v>1162</v>
      </c>
      <c r="AE96" s="18">
        <v>4.0000000000000001E-3</v>
      </c>
    </row>
    <row r="97" spans="1:31" x14ac:dyDescent="0.25">
      <c r="A97" t="s">
        <v>118</v>
      </c>
      <c r="B97" t="s">
        <v>168</v>
      </c>
      <c r="C97" t="s">
        <v>167</v>
      </c>
      <c r="D97" t="s">
        <v>125</v>
      </c>
      <c r="E97">
        <v>2319</v>
      </c>
      <c r="F97">
        <v>2427</v>
      </c>
      <c r="G97">
        <v>2442</v>
      </c>
      <c r="H97">
        <v>2458</v>
      </c>
      <c r="I97">
        <v>2473</v>
      </c>
      <c r="J97">
        <v>2489</v>
      </c>
      <c r="K97">
        <v>2505</v>
      </c>
      <c r="L97">
        <v>2522</v>
      </c>
      <c r="M97">
        <v>2538</v>
      </c>
      <c r="N97">
        <v>2554</v>
      </c>
      <c r="O97">
        <v>2570</v>
      </c>
      <c r="P97">
        <v>2586</v>
      </c>
      <c r="Q97">
        <v>2603</v>
      </c>
      <c r="R97">
        <v>2619</v>
      </c>
      <c r="S97">
        <v>2635</v>
      </c>
      <c r="T97">
        <v>2652</v>
      </c>
      <c r="U97">
        <v>2668</v>
      </c>
      <c r="V97">
        <v>2684</v>
      </c>
      <c r="W97">
        <v>2701</v>
      </c>
      <c r="X97">
        <v>2717</v>
      </c>
      <c r="Y97">
        <v>2734</v>
      </c>
      <c r="Z97">
        <v>2750</v>
      </c>
      <c r="AA97">
        <v>2767</v>
      </c>
      <c r="AB97">
        <v>2783</v>
      </c>
      <c r="AC97">
        <v>2800</v>
      </c>
      <c r="AD97">
        <v>2816</v>
      </c>
      <c r="AE97" s="18">
        <v>8.0000000000000002E-3</v>
      </c>
    </row>
    <row r="98" spans="1:31" x14ac:dyDescent="0.25">
      <c r="A98" t="s">
        <v>119</v>
      </c>
      <c r="B98" t="s">
        <v>166</v>
      </c>
      <c r="C98" t="s">
        <v>165</v>
      </c>
      <c r="D98" t="s">
        <v>125</v>
      </c>
      <c r="E98">
        <v>1790</v>
      </c>
      <c r="F98">
        <v>1783</v>
      </c>
      <c r="G98">
        <v>1790</v>
      </c>
      <c r="H98">
        <v>1797</v>
      </c>
      <c r="I98">
        <v>1804</v>
      </c>
      <c r="J98">
        <v>1811</v>
      </c>
      <c r="K98">
        <v>1819</v>
      </c>
      <c r="L98">
        <v>1826</v>
      </c>
      <c r="M98">
        <v>1833</v>
      </c>
      <c r="N98">
        <v>1840</v>
      </c>
      <c r="O98">
        <v>1847</v>
      </c>
      <c r="P98">
        <v>1854</v>
      </c>
      <c r="Q98">
        <v>1862</v>
      </c>
      <c r="R98">
        <v>1869</v>
      </c>
      <c r="S98">
        <v>1876</v>
      </c>
      <c r="T98">
        <v>1883</v>
      </c>
      <c r="U98">
        <v>1890</v>
      </c>
      <c r="V98">
        <v>1898</v>
      </c>
      <c r="W98">
        <v>1905</v>
      </c>
      <c r="X98">
        <v>1912</v>
      </c>
      <c r="Y98">
        <v>1919</v>
      </c>
      <c r="Z98">
        <v>1926</v>
      </c>
      <c r="AA98">
        <v>1934</v>
      </c>
      <c r="AB98">
        <v>1941</v>
      </c>
      <c r="AC98">
        <v>1948</v>
      </c>
      <c r="AD98">
        <v>1955</v>
      </c>
      <c r="AE98" s="18">
        <v>4.0000000000000001E-3</v>
      </c>
    </row>
    <row r="99" spans="1:31" x14ac:dyDescent="0.25">
      <c r="A99" t="s">
        <v>120</v>
      </c>
      <c r="B99" t="s">
        <v>164</v>
      </c>
      <c r="C99" t="s">
        <v>163</v>
      </c>
      <c r="D99" t="s">
        <v>125</v>
      </c>
      <c r="E99">
        <v>2916</v>
      </c>
      <c r="F99">
        <v>2946</v>
      </c>
      <c r="G99">
        <v>2961</v>
      </c>
      <c r="H99">
        <v>2976</v>
      </c>
      <c r="I99">
        <v>2990</v>
      </c>
      <c r="J99">
        <v>3005</v>
      </c>
      <c r="K99">
        <v>3020</v>
      </c>
      <c r="L99">
        <v>3035</v>
      </c>
      <c r="M99">
        <v>3049</v>
      </c>
      <c r="N99">
        <v>3064</v>
      </c>
      <c r="O99">
        <v>3079</v>
      </c>
      <c r="P99">
        <v>3093</v>
      </c>
      <c r="Q99">
        <v>3108</v>
      </c>
      <c r="R99">
        <v>3123</v>
      </c>
      <c r="S99">
        <v>3138</v>
      </c>
      <c r="T99">
        <v>3152</v>
      </c>
      <c r="U99">
        <v>3167</v>
      </c>
      <c r="V99">
        <v>3182</v>
      </c>
      <c r="W99">
        <v>3197</v>
      </c>
      <c r="X99">
        <v>3211</v>
      </c>
      <c r="Y99">
        <v>3226</v>
      </c>
      <c r="Z99">
        <v>3241</v>
      </c>
      <c r="AA99">
        <v>3255</v>
      </c>
      <c r="AB99">
        <v>3270</v>
      </c>
      <c r="AC99">
        <v>3285</v>
      </c>
      <c r="AD99">
        <v>3299</v>
      </c>
      <c r="AE99" s="18">
        <v>5.0000000000000001E-3</v>
      </c>
    </row>
    <row r="100" spans="1:31" x14ac:dyDescent="0.25">
      <c r="A100" t="s">
        <v>121</v>
      </c>
      <c r="B100" t="s">
        <v>162</v>
      </c>
      <c r="C100" t="s">
        <v>161</v>
      </c>
      <c r="D100" t="s">
        <v>125</v>
      </c>
      <c r="E100">
        <v>1515</v>
      </c>
      <c r="F100">
        <v>1608</v>
      </c>
      <c r="G100">
        <v>1617</v>
      </c>
      <c r="H100">
        <v>1627</v>
      </c>
      <c r="I100">
        <v>1636</v>
      </c>
      <c r="J100">
        <v>1645</v>
      </c>
      <c r="K100">
        <v>1655</v>
      </c>
      <c r="L100">
        <v>1664</v>
      </c>
      <c r="M100">
        <v>1673</v>
      </c>
      <c r="N100">
        <v>1682</v>
      </c>
      <c r="O100">
        <v>1691</v>
      </c>
      <c r="P100">
        <v>1701</v>
      </c>
      <c r="Q100">
        <v>1710</v>
      </c>
      <c r="R100">
        <v>1719</v>
      </c>
      <c r="S100">
        <v>1728</v>
      </c>
      <c r="T100">
        <v>1737</v>
      </c>
      <c r="U100">
        <v>1746</v>
      </c>
      <c r="V100">
        <v>1755</v>
      </c>
      <c r="W100">
        <v>1764</v>
      </c>
      <c r="X100">
        <v>1773</v>
      </c>
      <c r="Y100">
        <v>1782</v>
      </c>
      <c r="Z100">
        <v>1791</v>
      </c>
      <c r="AA100">
        <v>1800</v>
      </c>
      <c r="AB100">
        <v>1809</v>
      </c>
      <c r="AC100">
        <v>1818</v>
      </c>
      <c r="AD100">
        <v>1827</v>
      </c>
      <c r="AE100" s="18">
        <v>8.0000000000000002E-3</v>
      </c>
    </row>
    <row r="101" spans="1:31" x14ac:dyDescent="0.25">
      <c r="A101" t="s">
        <v>122</v>
      </c>
      <c r="B101" t="s">
        <v>160</v>
      </c>
      <c r="C101" t="s">
        <v>159</v>
      </c>
      <c r="D101" t="s">
        <v>125</v>
      </c>
      <c r="E101">
        <v>887</v>
      </c>
      <c r="F101">
        <v>1040</v>
      </c>
      <c r="G101">
        <v>1049</v>
      </c>
      <c r="H101">
        <v>1058</v>
      </c>
      <c r="I101">
        <v>1067</v>
      </c>
      <c r="J101">
        <v>1076</v>
      </c>
      <c r="K101">
        <v>1085</v>
      </c>
      <c r="L101">
        <v>1094</v>
      </c>
      <c r="M101">
        <v>1103</v>
      </c>
      <c r="N101">
        <v>1112</v>
      </c>
      <c r="O101">
        <v>1121</v>
      </c>
      <c r="P101">
        <v>1131</v>
      </c>
      <c r="Q101">
        <v>1140</v>
      </c>
      <c r="R101">
        <v>1149</v>
      </c>
      <c r="S101">
        <v>1158</v>
      </c>
      <c r="T101">
        <v>1167</v>
      </c>
      <c r="U101">
        <v>1177</v>
      </c>
      <c r="V101">
        <v>1186</v>
      </c>
      <c r="W101">
        <v>1195</v>
      </c>
      <c r="X101">
        <v>1204</v>
      </c>
      <c r="Y101">
        <v>1213</v>
      </c>
      <c r="Z101">
        <v>1223</v>
      </c>
      <c r="AA101">
        <v>1232</v>
      </c>
      <c r="AB101">
        <v>1241</v>
      </c>
      <c r="AC101">
        <v>1250</v>
      </c>
      <c r="AD101">
        <v>1259</v>
      </c>
      <c r="AE101" s="18">
        <v>1.4E-2</v>
      </c>
    </row>
    <row r="102" spans="1:31" x14ac:dyDescent="0.25">
      <c r="A102" t="s">
        <v>123</v>
      </c>
      <c r="B102" t="s">
        <v>158</v>
      </c>
      <c r="C102" t="s">
        <v>157</v>
      </c>
      <c r="D102" t="s">
        <v>125</v>
      </c>
      <c r="E102">
        <v>1516.4235839999999</v>
      </c>
      <c r="F102">
        <v>1589.852905</v>
      </c>
      <c r="G102">
        <v>1602.154053</v>
      </c>
      <c r="H102">
        <v>1614.6899410000001</v>
      </c>
      <c r="I102">
        <v>1626.874268</v>
      </c>
      <c r="J102">
        <v>1639.4291989999999</v>
      </c>
      <c r="K102">
        <v>1652.126587</v>
      </c>
      <c r="L102">
        <v>1664.940918</v>
      </c>
      <c r="M102">
        <v>1677.306885</v>
      </c>
      <c r="N102">
        <v>1689.963013</v>
      </c>
      <c r="O102">
        <v>1702.6976320000001</v>
      </c>
      <c r="P102">
        <v>1715.525879</v>
      </c>
      <c r="Q102">
        <v>1728.3977050000001</v>
      </c>
      <c r="R102">
        <v>1741.1990969999999</v>
      </c>
      <c r="S102">
        <v>1753.922607</v>
      </c>
      <c r="T102">
        <v>1766.9213870000001</v>
      </c>
      <c r="U102">
        <v>1779.796143</v>
      </c>
      <c r="V102">
        <v>1792.7116699999999</v>
      </c>
      <c r="W102">
        <v>1805.8120120000001</v>
      </c>
      <c r="X102">
        <v>1818.5227050000001</v>
      </c>
      <c r="Y102">
        <v>1831.7783199999999</v>
      </c>
      <c r="Z102">
        <v>1844.803101</v>
      </c>
      <c r="AA102">
        <v>1857.8740230000001</v>
      </c>
      <c r="AB102">
        <v>1870.7852780000001</v>
      </c>
      <c r="AC102">
        <v>1883.8203120000001</v>
      </c>
      <c r="AD102">
        <v>1896.4698490000001</v>
      </c>
      <c r="AE102" s="18">
        <v>8.9999999999999993E-3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5A81C-1964-46D3-8A21-2DF04B841A88}">
  <dimension ref="A1:J170"/>
  <sheetViews>
    <sheetView workbookViewId="0">
      <selection activeCell="C5" sqref="C5"/>
    </sheetView>
  </sheetViews>
  <sheetFormatPr defaultRowHeight="15" x14ac:dyDescent="0.25"/>
  <cols>
    <col min="3" max="10" width="17.5703125" customWidth="1"/>
    <col min="19" max="19" width="11.85546875" bestFit="1" customWidth="1"/>
  </cols>
  <sheetData>
    <row r="1" spans="1:10" ht="18" x14ac:dyDescent="0.25">
      <c r="B1" t="s">
        <v>5</v>
      </c>
      <c r="C1" t="s">
        <v>21</v>
      </c>
    </row>
    <row r="2" spans="1:10" x14ac:dyDescent="0.25">
      <c r="B2" t="s">
        <v>18</v>
      </c>
      <c r="C2" s="2" t="s">
        <v>22</v>
      </c>
    </row>
    <row r="3" spans="1:10" x14ac:dyDescent="0.25">
      <c r="B3" t="s">
        <v>19</v>
      </c>
      <c r="C3">
        <v>2025</v>
      </c>
      <c r="D3">
        <f>C3+5</f>
        <v>2030</v>
      </c>
      <c r="E3">
        <v>2035</v>
      </c>
      <c r="F3">
        <v>2040</v>
      </c>
      <c r="G3">
        <v>2050</v>
      </c>
    </row>
    <row r="4" spans="1:10" x14ac:dyDescent="0.25">
      <c r="A4" t="s">
        <v>6</v>
      </c>
      <c r="C4">
        <f>E13</f>
        <v>279</v>
      </c>
      <c r="D4">
        <f t="shared" ref="D4:G4" si="0">F13</f>
        <v>541</v>
      </c>
      <c r="E4">
        <f t="shared" si="0"/>
        <v>693</v>
      </c>
      <c r="F4">
        <f t="shared" si="0"/>
        <v>776</v>
      </c>
      <c r="G4">
        <f t="shared" si="0"/>
        <v>870</v>
      </c>
    </row>
    <row r="5" spans="1:10" x14ac:dyDescent="0.25">
      <c r="A5" t="s">
        <v>9</v>
      </c>
      <c r="C5">
        <v>279</v>
      </c>
      <c r="D5">
        <v>718</v>
      </c>
      <c r="E5">
        <v>1043</v>
      </c>
      <c r="F5">
        <v>1222</v>
      </c>
      <c r="G5">
        <v>1679</v>
      </c>
    </row>
    <row r="6" spans="1:10" x14ac:dyDescent="0.25">
      <c r="E6" t="s">
        <v>23</v>
      </c>
      <c r="F6" t="s">
        <v>23</v>
      </c>
      <c r="G6" t="s">
        <v>23</v>
      </c>
      <c r="H6" t="s">
        <v>23</v>
      </c>
      <c r="I6" t="s">
        <v>23</v>
      </c>
      <c r="J6" t="s">
        <v>23</v>
      </c>
    </row>
    <row r="7" spans="1:10" x14ac:dyDescent="0.25">
      <c r="C7" t="s">
        <v>24</v>
      </c>
      <c r="E7">
        <v>2024</v>
      </c>
      <c r="F7">
        <v>2030</v>
      </c>
      <c r="G7">
        <v>2035</v>
      </c>
      <c r="H7">
        <v>2040</v>
      </c>
      <c r="I7">
        <v>2045</v>
      </c>
      <c r="J7">
        <v>2050</v>
      </c>
    </row>
    <row r="8" spans="1:10" x14ac:dyDescent="0.25">
      <c r="C8" t="s">
        <v>25</v>
      </c>
      <c r="D8" t="s">
        <v>26</v>
      </c>
      <c r="F8" s="18">
        <v>2.0899999999999998E-2</v>
      </c>
      <c r="G8" s="18">
        <v>7.0300000000000001E-2</v>
      </c>
      <c r="H8" s="18">
        <v>7.1599999999999997E-2</v>
      </c>
      <c r="I8" s="18">
        <v>6.3700000000000007E-2</v>
      </c>
      <c r="J8" s="18">
        <v>6.0299999999999999E-2</v>
      </c>
    </row>
    <row r="9" spans="1:10" x14ac:dyDescent="0.25">
      <c r="C9" t="s">
        <v>25</v>
      </c>
      <c r="D9" t="s">
        <v>27</v>
      </c>
      <c r="F9">
        <v>105</v>
      </c>
      <c r="G9">
        <v>422</v>
      </c>
      <c r="H9">
        <v>489</v>
      </c>
      <c r="I9">
        <v>467</v>
      </c>
      <c r="J9">
        <v>476</v>
      </c>
    </row>
    <row r="10" spans="1:10" x14ac:dyDescent="0.25">
      <c r="C10" t="s">
        <v>28</v>
      </c>
      <c r="D10" t="s">
        <v>26</v>
      </c>
      <c r="F10" s="18">
        <v>8.9999999999999998E-4</v>
      </c>
      <c r="G10" s="18">
        <v>3.8E-3</v>
      </c>
      <c r="H10" s="18">
        <v>8.0999999999999996E-3</v>
      </c>
      <c r="I10" s="18">
        <v>4.0000000000000001E-3</v>
      </c>
      <c r="J10" s="18">
        <v>2.7000000000000001E-3</v>
      </c>
    </row>
    <row r="11" spans="1:10" x14ac:dyDescent="0.25">
      <c r="C11" t="s">
        <v>28</v>
      </c>
      <c r="D11" t="s">
        <v>27</v>
      </c>
      <c r="F11">
        <v>4</v>
      </c>
      <c r="G11">
        <v>23</v>
      </c>
      <c r="H11">
        <v>55</v>
      </c>
      <c r="I11">
        <v>29</v>
      </c>
      <c r="J11">
        <v>21</v>
      </c>
    </row>
    <row r="12" spans="1:10" x14ac:dyDescent="0.25">
      <c r="C12" s="10" t="s">
        <v>29</v>
      </c>
      <c r="D12" s="10" t="s">
        <v>26</v>
      </c>
      <c r="E12" s="19">
        <v>6.4399999999999999E-2</v>
      </c>
      <c r="F12" s="19">
        <v>0.108</v>
      </c>
      <c r="G12" s="19">
        <v>0.1154</v>
      </c>
      <c r="H12" s="19">
        <v>0.1138</v>
      </c>
      <c r="I12" s="19">
        <v>0.1186</v>
      </c>
      <c r="J12" s="19">
        <v>0.1235</v>
      </c>
    </row>
    <row r="13" spans="1:10" x14ac:dyDescent="0.25">
      <c r="C13" s="10" t="s">
        <v>29</v>
      </c>
      <c r="D13" s="10" t="s">
        <v>27</v>
      </c>
      <c r="E13" s="10">
        <v>279</v>
      </c>
      <c r="F13" s="10">
        <v>541</v>
      </c>
      <c r="G13" s="10">
        <v>693</v>
      </c>
      <c r="H13" s="10">
        <v>776</v>
      </c>
      <c r="I13" s="10">
        <v>870</v>
      </c>
      <c r="J13" s="10">
        <v>975</v>
      </c>
    </row>
    <row r="14" spans="1:10" x14ac:dyDescent="0.25">
      <c r="C14" t="s">
        <v>30</v>
      </c>
      <c r="D14" t="s">
        <v>26</v>
      </c>
      <c r="E14" s="18">
        <v>0.93559999999999999</v>
      </c>
      <c r="F14" s="18">
        <v>0.87029999999999996</v>
      </c>
      <c r="G14" s="18">
        <v>0.8105</v>
      </c>
      <c r="H14" s="18">
        <v>0.80640000000000001</v>
      </c>
      <c r="I14" s="18">
        <v>0.81369999999999998</v>
      </c>
      <c r="J14" s="18">
        <v>0.81340000000000001</v>
      </c>
    </row>
    <row r="15" spans="1:10" x14ac:dyDescent="0.25">
      <c r="C15" t="s">
        <v>30</v>
      </c>
      <c r="D15" t="s">
        <v>27</v>
      </c>
      <c r="E15" s="17">
        <v>4055</v>
      </c>
      <c r="F15" s="17">
        <v>4361</v>
      </c>
      <c r="G15" s="17">
        <v>4865</v>
      </c>
      <c r="H15" s="17">
        <v>5498</v>
      </c>
      <c r="I15" s="17">
        <v>5966</v>
      </c>
      <c r="J15" s="17">
        <v>6418</v>
      </c>
    </row>
    <row r="20" spans="3:9" x14ac:dyDescent="0.25">
      <c r="C20" t="s">
        <v>31</v>
      </c>
      <c r="D20" t="s">
        <v>0</v>
      </c>
      <c r="E20" t="s">
        <v>24</v>
      </c>
      <c r="F20" t="s">
        <v>32</v>
      </c>
      <c r="G20" t="s">
        <v>33</v>
      </c>
      <c r="H20" t="s">
        <v>34</v>
      </c>
      <c r="I20" t="s">
        <v>35</v>
      </c>
    </row>
    <row r="21" spans="3:9" x14ac:dyDescent="0.25">
      <c r="C21" t="s">
        <v>23</v>
      </c>
      <c r="D21">
        <v>2024</v>
      </c>
      <c r="E21" t="s">
        <v>29</v>
      </c>
      <c r="F21" t="s">
        <v>36</v>
      </c>
      <c r="G21">
        <v>46.230784960000001</v>
      </c>
      <c r="H21">
        <v>-117.1353519</v>
      </c>
      <c r="I21">
        <v>28096.824666500001</v>
      </c>
    </row>
    <row r="22" spans="3:9" x14ac:dyDescent="0.25">
      <c r="C22" t="s">
        <v>23</v>
      </c>
      <c r="D22">
        <v>2024</v>
      </c>
      <c r="E22" t="s">
        <v>29</v>
      </c>
      <c r="F22" t="s">
        <v>37</v>
      </c>
      <c r="G22">
        <v>44.216160670000001</v>
      </c>
      <c r="H22">
        <v>-92.060173219999996</v>
      </c>
      <c r="I22">
        <v>5610.7274202500003</v>
      </c>
    </row>
    <row r="23" spans="3:9" x14ac:dyDescent="0.25">
      <c r="C23" t="s">
        <v>23</v>
      </c>
      <c r="D23">
        <v>2024</v>
      </c>
      <c r="E23" t="s">
        <v>29</v>
      </c>
      <c r="F23" t="s">
        <v>38</v>
      </c>
      <c r="G23">
        <v>43.892257200000003</v>
      </c>
      <c r="H23">
        <v>-98.937461729999995</v>
      </c>
      <c r="I23">
        <v>11607.793884000001</v>
      </c>
    </row>
    <row r="24" spans="3:9" x14ac:dyDescent="0.25">
      <c r="C24" t="s">
        <v>23</v>
      </c>
      <c r="D24">
        <v>2024</v>
      </c>
      <c r="E24" t="s">
        <v>29</v>
      </c>
      <c r="F24" t="s">
        <v>39</v>
      </c>
      <c r="G24">
        <v>43.659916129999999</v>
      </c>
      <c r="H24">
        <v>-84.577796770000006</v>
      </c>
      <c r="I24">
        <v>584.34284449999996</v>
      </c>
    </row>
    <row r="25" spans="3:9" x14ac:dyDescent="0.25">
      <c r="C25" t="s">
        <v>23</v>
      </c>
      <c r="D25">
        <v>2024</v>
      </c>
      <c r="E25" t="s">
        <v>29</v>
      </c>
      <c r="F25" t="s">
        <v>40</v>
      </c>
      <c r="G25">
        <v>43.27527164</v>
      </c>
      <c r="H25">
        <v>-71.404255219999996</v>
      </c>
      <c r="I25">
        <v>3608.5366079999999</v>
      </c>
    </row>
    <row r="26" spans="3:9" x14ac:dyDescent="0.25">
      <c r="C26" t="s">
        <v>23</v>
      </c>
      <c r="D26">
        <v>2024</v>
      </c>
      <c r="E26" t="s">
        <v>29</v>
      </c>
      <c r="F26" t="s">
        <v>41</v>
      </c>
      <c r="G26">
        <v>42.781516359999998</v>
      </c>
      <c r="H26">
        <v>-75.700387269999993</v>
      </c>
      <c r="I26">
        <v>5256.3649327499998</v>
      </c>
    </row>
    <row r="27" spans="3:9" x14ac:dyDescent="0.25">
      <c r="C27" t="s">
        <v>23</v>
      </c>
      <c r="D27">
        <v>2024</v>
      </c>
      <c r="E27" t="s">
        <v>29</v>
      </c>
      <c r="F27" t="s">
        <v>42</v>
      </c>
      <c r="G27">
        <v>41.581748279999999</v>
      </c>
      <c r="H27">
        <v>-89.046286210000005</v>
      </c>
      <c r="I27">
        <v>13781.692932</v>
      </c>
    </row>
    <row r="28" spans="3:9" x14ac:dyDescent="0.25">
      <c r="C28" t="s">
        <v>23</v>
      </c>
      <c r="D28">
        <v>2024</v>
      </c>
      <c r="E28" t="s">
        <v>29</v>
      </c>
      <c r="F28" t="s">
        <v>43</v>
      </c>
      <c r="G28">
        <v>41.490666300000001</v>
      </c>
      <c r="H28">
        <v>-113.3992641</v>
      </c>
      <c r="I28">
        <v>9760.7391997499999</v>
      </c>
    </row>
    <row r="29" spans="3:9" x14ac:dyDescent="0.25">
      <c r="C29" t="s">
        <v>23</v>
      </c>
      <c r="D29">
        <v>2024</v>
      </c>
      <c r="E29" t="s">
        <v>29</v>
      </c>
      <c r="F29" t="s">
        <v>44</v>
      </c>
      <c r="G29">
        <v>40.795662499999999</v>
      </c>
      <c r="H29">
        <v>-73.749075000000005</v>
      </c>
      <c r="I29">
        <v>1856.41285225</v>
      </c>
    </row>
    <row r="30" spans="3:9" x14ac:dyDescent="0.25">
      <c r="C30" t="s">
        <v>23</v>
      </c>
      <c r="D30">
        <v>2024</v>
      </c>
      <c r="E30" t="s">
        <v>29</v>
      </c>
      <c r="F30" t="s">
        <v>45</v>
      </c>
      <c r="G30">
        <v>40.419861679999997</v>
      </c>
      <c r="H30">
        <v>-105.0432271</v>
      </c>
      <c r="I30">
        <v>6223.8795707500003</v>
      </c>
    </row>
    <row r="31" spans="3:9" x14ac:dyDescent="0.25">
      <c r="C31" t="s">
        <v>23</v>
      </c>
      <c r="D31">
        <v>2024</v>
      </c>
      <c r="E31" t="s">
        <v>29</v>
      </c>
      <c r="F31" t="s">
        <v>46</v>
      </c>
      <c r="G31">
        <v>40.223693619999999</v>
      </c>
      <c r="H31">
        <v>-76.229495740000004</v>
      </c>
      <c r="I31">
        <v>9637.6345267500001</v>
      </c>
    </row>
    <row r="32" spans="3:9" x14ac:dyDescent="0.25">
      <c r="C32" t="s">
        <v>23</v>
      </c>
      <c r="D32">
        <v>2024</v>
      </c>
      <c r="E32" t="s">
        <v>29</v>
      </c>
      <c r="F32" t="s">
        <v>47</v>
      </c>
      <c r="G32">
        <v>39.628317430000003</v>
      </c>
      <c r="H32">
        <v>-82.005115140000001</v>
      </c>
      <c r="I32">
        <v>12588.085208500001</v>
      </c>
    </row>
    <row r="33" spans="3:9" x14ac:dyDescent="0.25">
      <c r="C33" t="s">
        <v>23</v>
      </c>
      <c r="D33">
        <v>2024</v>
      </c>
      <c r="E33" t="s">
        <v>29</v>
      </c>
      <c r="F33" t="s">
        <v>48</v>
      </c>
      <c r="G33">
        <v>39.137839149999998</v>
      </c>
      <c r="H33">
        <v>-89.055620000000005</v>
      </c>
      <c r="I33">
        <v>1494.3254420000001</v>
      </c>
    </row>
    <row r="34" spans="3:9" x14ac:dyDescent="0.25">
      <c r="C34" t="s">
        <v>23</v>
      </c>
      <c r="D34">
        <v>2024</v>
      </c>
      <c r="E34" t="s">
        <v>29</v>
      </c>
      <c r="F34" t="s">
        <v>49</v>
      </c>
      <c r="G34">
        <v>38.531783109999999</v>
      </c>
      <c r="H34">
        <v>-96.892483780000006</v>
      </c>
      <c r="I34">
        <v>1105.1263717500001</v>
      </c>
    </row>
    <row r="35" spans="3:9" x14ac:dyDescent="0.25">
      <c r="C35" t="s">
        <v>23</v>
      </c>
      <c r="D35">
        <v>2024</v>
      </c>
      <c r="E35" t="s">
        <v>29</v>
      </c>
      <c r="F35" t="s">
        <v>50</v>
      </c>
      <c r="G35">
        <v>38.363847919999998</v>
      </c>
      <c r="H35">
        <v>-121.3105083</v>
      </c>
      <c r="I35">
        <v>11080.752926499999</v>
      </c>
    </row>
    <row r="36" spans="3:9" x14ac:dyDescent="0.25">
      <c r="C36" t="s">
        <v>23</v>
      </c>
      <c r="D36">
        <v>2024</v>
      </c>
      <c r="E36" t="s">
        <v>29</v>
      </c>
      <c r="F36" t="s">
        <v>51</v>
      </c>
      <c r="G36">
        <v>37.547360660000002</v>
      </c>
      <c r="H36">
        <v>-77.704687699999994</v>
      </c>
      <c r="I36">
        <v>50491.184628000003</v>
      </c>
    </row>
    <row r="37" spans="3:9" x14ac:dyDescent="0.25">
      <c r="C37" t="s">
        <v>23</v>
      </c>
      <c r="D37">
        <v>2024</v>
      </c>
      <c r="E37" t="s">
        <v>29</v>
      </c>
      <c r="F37" t="s">
        <v>52</v>
      </c>
      <c r="G37">
        <v>36.370182210000003</v>
      </c>
      <c r="H37">
        <v>-85.854596090000001</v>
      </c>
      <c r="I37">
        <v>7589.5534292499997</v>
      </c>
    </row>
    <row r="38" spans="3:9" x14ac:dyDescent="0.25">
      <c r="C38" t="s">
        <v>23</v>
      </c>
      <c r="D38">
        <v>2024</v>
      </c>
      <c r="E38" t="s">
        <v>29</v>
      </c>
      <c r="F38" t="s">
        <v>53</v>
      </c>
      <c r="G38">
        <v>35.070007140000001</v>
      </c>
      <c r="H38">
        <v>-118.0483929</v>
      </c>
      <c r="I38">
        <v>3628.1439970000001</v>
      </c>
    </row>
    <row r="39" spans="3:9" x14ac:dyDescent="0.25">
      <c r="C39" t="s">
        <v>23</v>
      </c>
      <c r="D39">
        <v>2024</v>
      </c>
      <c r="E39" t="s">
        <v>29</v>
      </c>
      <c r="F39" t="s">
        <v>54</v>
      </c>
      <c r="G39">
        <v>34.946099199999999</v>
      </c>
      <c r="H39">
        <v>-80.332142399999995</v>
      </c>
      <c r="I39">
        <v>7685.0808564999998</v>
      </c>
    </row>
    <row r="40" spans="3:9" x14ac:dyDescent="0.25">
      <c r="C40" t="s">
        <v>23</v>
      </c>
      <c r="D40">
        <v>2024</v>
      </c>
      <c r="E40" t="s">
        <v>29</v>
      </c>
      <c r="F40" t="s">
        <v>55</v>
      </c>
      <c r="G40">
        <v>34.407657139999998</v>
      </c>
      <c r="H40">
        <v>-97.417557709999997</v>
      </c>
      <c r="I40">
        <v>2750.62676775</v>
      </c>
    </row>
    <row r="41" spans="3:9" x14ac:dyDescent="0.25">
      <c r="C41" t="s">
        <v>23</v>
      </c>
      <c r="D41">
        <v>2024</v>
      </c>
      <c r="E41" t="s">
        <v>29</v>
      </c>
      <c r="F41" t="s">
        <v>56</v>
      </c>
      <c r="G41">
        <v>34.169836170000004</v>
      </c>
      <c r="H41">
        <v>-107.8247234</v>
      </c>
      <c r="I41">
        <v>12654.510887</v>
      </c>
    </row>
    <row r="42" spans="3:9" x14ac:dyDescent="0.25">
      <c r="C42" t="s">
        <v>23</v>
      </c>
      <c r="D42">
        <v>2024</v>
      </c>
      <c r="E42" t="s">
        <v>29</v>
      </c>
      <c r="F42" t="s">
        <v>57</v>
      </c>
      <c r="G42">
        <v>32.841376609999998</v>
      </c>
      <c r="H42">
        <v>-92.087664329999996</v>
      </c>
      <c r="I42">
        <v>438.25977275000002</v>
      </c>
    </row>
    <row r="43" spans="3:9" x14ac:dyDescent="0.25">
      <c r="C43" t="s">
        <v>23</v>
      </c>
      <c r="D43">
        <v>2024</v>
      </c>
      <c r="E43" t="s">
        <v>29</v>
      </c>
      <c r="F43" t="s">
        <v>58</v>
      </c>
      <c r="G43">
        <v>32.533998199999999</v>
      </c>
      <c r="H43">
        <v>-85.39189245</v>
      </c>
      <c r="I43">
        <v>13461.19784875</v>
      </c>
    </row>
    <row r="44" spans="3:9" x14ac:dyDescent="0.25">
      <c r="C44" t="s">
        <v>23</v>
      </c>
      <c r="D44">
        <v>2024</v>
      </c>
      <c r="E44" t="s">
        <v>29</v>
      </c>
      <c r="F44" t="s">
        <v>59</v>
      </c>
      <c r="G44">
        <v>31.116466500000001</v>
      </c>
      <c r="H44">
        <v>-98.410506499999997</v>
      </c>
      <c r="I44">
        <v>55337.498372249996</v>
      </c>
    </row>
    <row r="45" spans="3:9" x14ac:dyDescent="0.25">
      <c r="C45" t="s">
        <v>23</v>
      </c>
      <c r="D45">
        <v>2024</v>
      </c>
      <c r="E45" t="s">
        <v>29</v>
      </c>
      <c r="F45" t="s">
        <v>60</v>
      </c>
      <c r="G45">
        <v>28.70831695</v>
      </c>
      <c r="H45">
        <v>-82.234216950000004</v>
      </c>
      <c r="I45">
        <v>2576.6180527500001</v>
      </c>
    </row>
    <row r="46" spans="3:9" x14ac:dyDescent="0.25">
      <c r="C46" t="s">
        <v>23</v>
      </c>
      <c r="D46">
        <v>2030</v>
      </c>
      <c r="E46" t="s">
        <v>29</v>
      </c>
      <c r="F46" t="s">
        <v>36</v>
      </c>
      <c r="G46">
        <v>46.230784960000001</v>
      </c>
      <c r="H46">
        <v>-117.1353519</v>
      </c>
      <c r="I46">
        <v>54444.047764000003</v>
      </c>
    </row>
    <row r="47" spans="3:9" x14ac:dyDescent="0.25">
      <c r="C47" t="s">
        <v>23</v>
      </c>
      <c r="D47">
        <v>2030</v>
      </c>
      <c r="E47" t="s">
        <v>29</v>
      </c>
      <c r="F47" t="s">
        <v>37</v>
      </c>
      <c r="G47">
        <v>44.216160670000001</v>
      </c>
      <c r="H47">
        <v>-92.060173219999996</v>
      </c>
      <c r="I47">
        <v>10872.072325749999</v>
      </c>
    </row>
    <row r="48" spans="3:9" x14ac:dyDescent="0.25">
      <c r="C48" t="s">
        <v>23</v>
      </c>
      <c r="D48">
        <v>2030</v>
      </c>
      <c r="E48" t="s">
        <v>29</v>
      </c>
      <c r="F48" t="s">
        <v>38</v>
      </c>
      <c r="G48">
        <v>43.892257200000003</v>
      </c>
      <c r="H48">
        <v>-98.937461729999995</v>
      </c>
      <c r="I48">
        <v>22492.767474749999</v>
      </c>
    </row>
    <row r="49" spans="3:9" x14ac:dyDescent="0.25">
      <c r="C49" t="s">
        <v>23</v>
      </c>
      <c r="D49">
        <v>2030</v>
      </c>
      <c r="E49" t="s">
        <v>29</v>
      </c>
      <c r="F49" t="s">
        <v>39</v>
      </c>
      <c r="G49">
        <v>43.659916129999999</v>
      </c>
      <c r="H49">
        <v>-84.577796770000006</v>
      </c>
      <c r="I49">
        <v>1132.2982095</v>
      </c>
    </row>
    <row r="50" spans="3:9" x14ac:dyDescent="0.25">
      <c r="C50" t="s">
        <v>23</v>
      </c>
      <c r="D50">
        <v>2030</v>
      </c>
      <c r="E50" t="s">
        <v>29</v>
      </c>
      <c r="F50" t="s">
        <v>40</v>
      </c>
      <c r="G50">
        <v>43.27527164</v>
      </c>
      <c r="H50">
        <v>-71.404255219999996</v>
      </c>
      <c r="I50">
        <v>6992.3694974999999</v>
      </c>
    </row>
    <row r="51" spans="3:9" x14ac:dyDescent="0.25">
      <c r="C51" t="s">
        <v>23</v>
      </c>
      <c r="D51">
        <v>2030</v>
      </c>
      <c r="E51" t="s">
        <v>29</v>
      </c>
      <c r="F51" t="s">
        <v>41</v>
      </c>
      <c r="G51">
        <v>42.781516359999998</v>
      </c>
      <c r="H51">
        <v>-75.700387269999993</v>
      </c>
      <c r="I51">
        <v>10185.413581500001</v>
      </c>
    </row>
    <row r="52" spans="3:9" x14ac:dyDescent="0.25">
      <c r="C52" t="s">
        <v>23</v>
      </c>
      <c r="D52">
        <v>2030</v>
      </c>
      <c r="E52" t="s">
        <v>29</v>
      </c>
      <c r="F52" t="s">
        <v>42</v>
      </c>
      <c r="G52">
        <v>41.581748279999999</v>
      </c>
      <c r="H52">
        <v>-89.046286210000005</v>
      </c>
      <c r="I52">
        <v>26705.194138499999</v>
      </c>
    </row>
    <row r="53" spans="3:9" x14ac:dyDescent="0.25">
      <c r="C53" t="s">
        <v>23</v>
      </c>
      <c r="D53">
        <v>2030</v>
      </c>
      <c r="E53" t="s">
        <v>29</v>
      </c>
      <c r="F53" t="s">
        <v>43</v>
      </c>
      <c r="G53">
        <v>41.490666300000001</v>
      </c>
      <c r="H53">
        <v>-113.3992641</v>
      </c>
      <c r="I53">
        <v>18913.673622750001</v>
      </c>
    </row>
    <row r="54" spans="3:9" x14ac:dyDescent="0.25">
      <c r="C54" t="s">
        <v>23</v>
      </c>
      <c r="D54">
        <v>2030</v>
      </c>
      <c r="E54" t="s">
        <v>29</v>
      </c>
      <c r="F54" t="s">
        <v>44</v>
      </c>
      <c r="G54">
        <v>40.795662499999999</v>
      </c>
      <c r="H54">
        <v>-73.749075000000005</v>
      </c>
      <c r="I54">
        <v>3597.22635825</v>
      </c>
    </row>
    <row r="55" spans="3:9" x14ac:dyDescent="0.25">
      <c r="C55" t="s">
        <v>23</v>
      </c>
      <c r="D55">
        <v>2030</v>
      </c>
      <c r="E55" t="s">
        <v>29</v>
      </c>
      <c r="F55" t="s">
        <v>45</v>
      </c>
      <c r="G55">
        <v>40.419861679999997</v>
      </c>
      <c r="H55">
        <v>-105.0432271</v>
      </c>
      <c r="I55">
        <v>12060.195428000001</v>
      </c>
    </row>
    <row r="56" spans="3:9" x14ac:dyDescent="0.25">
      <c r="C56" t="s">
        <v>23</v>
      </c>
      <c r="D56">
        <v>2030</v>
      </c>
      <c r="E56" t="s">
        <v>29</v>
      </c>
      <c r="F56" t="s">
        <v>46</v>
      </c>
      <c r="G56">
        <v>40.223693619999999</v>
      </c>
      <c r="H56">
        <v>-76.229495740000004</v>
      </c>
      <c r="I56">
        <v>18675.129021749999</v>
      </c>
    </row>
    <row r="57" spans="3:9" x14ac:dyDescent="0.25">
      <c r="C57" t="s">
        <v>23</v>
      </c>
      <c r="D57">
        <v>2030</v>
      </c>
      <c r="E57" t="s">
        <v>29</v>
      </c>
      <c r="F57" t="s">
        <v>47</v>
      </c>
      <c r="G57">
        <v>39.628317430000003</v>
      </c>
      <c r="H57">
        <v>-82.005115140000001</v>
      </c>
      <c r="I57">
        <v>24392.305603000001</v>
      </c>
    </row>
    <row r="58" spans="3:9" x14ac:dyDescent="0.25">
      <c r="C58" t="s">
        <v>23</v>
      </c>
      <c r="D58">
        <v>2030</v>
      </c>
      <c r="E58" t="s">
        <v>29</v>
      </c>
      <c r="F58" t="s">
        <v>48</v>
      </c>
      <c r="G58">
        <v>39.137839149999998</v>
      </c>
      <c r="H58">
        <v>-89.055620000000005</v>
      </c>
      <c r="I58">
        <v>2895.5981347500001</v>
      </c>
    </row>
    <row r="59" spans="3:9" x14ac:dyDescent="0.25">
      <c r="C59" t="s">
        <v>23</v>
      </c>
      <c r="D59">
        <v>2030</v>
      </c>
      <c r="E59" t="s">
        <v>29</v>
      </c>
      <c r="F59" t="s">
        <v>49</v>
      </c>
      <c r="G59">
        <v>38.531783109999999</v>
      </c>
      <c r="H59">
        <v>-96.892483780000006</v>
      </c>
      <c r="I59">
        <v>2141.43579125</v>
      </c>
    </row>
    <row r="60" spans="3:9" x14ac:dyDescent="0.25">
      <c r="C60" t="s">
        <v>23</v>
      </c>
      <c r="D60">
        <v>2030</v>
      </c>
      <c r="E60" t="s">
        <v>29</v>
      </c>
      <c r="F60" t="s">
        <v>50</v>
      </c>
      <c r="G60">
        <v>38.363847919999998</v>
      </c>
      <c r="H60">
        <v>-121.3105083</v>
      </c>
      <c r="I60">
        <v>21471.502492750002</v>
      </c>
    </row>
    <row r="61" spans="3:9" x14ac:dyDescent="0.25">
      <c r="C61" t="s">
        <v>23</v>
      </c>
      <c r="D61">
        <v>2030</v>
      </c>
      <c r="E61" t="s">
        <v>29</v>
      </c>
      <c r="F61" t="s">
        <v>51</v>
      </c>
      <c r="G61">
        <v>37.547360660000002</v>
      </c>
      <c r="H61">
        <v>-77.704687699999994</v>
      </c>
      <c r="I61">
        <v>97838.261295999997</v>
      </c>
    </row>
    <row r="62" spans="3:9" x14ac:dyDescent="0.25">
      <c r="C62" t="s">
        <v>23</v>
      </c>
      <c r="D62">
        <v>2030</v>
      </c>
      <c r="E62" t="s">
        <v>29</v>
      </c>
      <c r="F62" t="s">
        <v>52</v>
      </c>
      <c r="G62">
        <v>36.370182210000003</v>
      </c>
      <c r="H62">
        <v>-85.854596090000001</v>
      </c>
      <c r="I62">
        <v>14706.501426749999</v>
      </c>
    </row>
    <row r="63" spans="3:9" x14ac:dyDescent="0.25">
      <c r="C63" t="s">
        <v>23</v>
      </c>
      <c r="D63">
        <v>2030</v>
      </c>
      <c r="E63" t="s">
        <v>29</v>
      </c>
      <c r="F63" t="s">
        <v>53</v>
      </c>
      <c r="G63">
        <v>35.070007140000001</v>
      </c>
      <c r="H63">
        <v>-118.0483929</v>
      </c>
      <c r="I63">
        <v>7030.3617169999998</v>
      </c>
    </row>
    <row r="64" spans="3:9" x14ac:dyDescent="0.25">
      <c r="C64" t="s">
        <v>23</v>
      </c>
      <c r="D64">
        <v>2030</v>
      </c>
      <c r="E64" t="s">
        <v>29</v>
      </c>
      <c r="F64" t="s">
        <v>54</v>
      </c>
      <c r="G64">
        <v>34.946099199999999</v>
      </c>
      <c r="H64">
        <v>-80.332142399999995</v>
      </c>
      <c r="I64">
        <v>14891.608185749999</v>
      </c>
    </row>
    <row r="65" spans="3:9" x14ac:dyDescent="0.25">
      <c r="C65" t="s">
        <v>23</v>
      </c>
      <c r="D65">
        <v>2030</v>
      </c>
      <c r="E65" t="s">
        <v>29</v>
      </c>
      <c r="F65" t="s">
        <v>55</v>
      </c>
      <c r="G65">
        <v>34.407657139999998</v>
      </c>
      <c r="H65">
        <v>-97.417557709999997</v>
      </c>
      <c r="I65">
        <v>5329.9697112499998</v>
      </c>
    </row>
    <row r="66" spans="3:9" x14ac:dyDescent="0.25">
      <c r="C66" t="s">
        <v>23</v>
      </c>
      <c r="D66">
        <v>2030</v>
      </c>
      <c r="E66" t="s">
        <v>29</v>
      </c>
      <c r="F66" t="s">
        <v>56</v>
      </c>
      <c r="G66">
        <v>34.169836170000004</v>
      </c>
      <c r="H66">
        <v>-107.8247234</v>
      </c>
      <c r="I66">
        <v>24521.020531499998</v>
      </c>
    </row>
    <row r="67" spans="3:9" x14ac:dyDescent="0.25">
      <c r="C67" t="s">
        <v>23</v>
      </c>
      <c r="D67">
        <v>2030</v>
      </c>
      <c r="E67" t="s">
        <v>29</v>
      </c>
      <c r="F67" t="s">
        <v>57</v>
      </c>
      <c r="G67">
        <v>32.841376609999998</v>
      </c>
      <c r="H67">
        <v>-92.087664329999996</v>
      </c>
      <c r="I67">
        <v>849.23051950000001</v>
      </c>
    </row>
    <row r="68" spans="3:9" x14ac:dyDescent="0.25">
      <c r="C68" t="s">
        <v>23</v>
      </c>
      <c r="D68">
        <v>2030</v>
      </c>
      <c r="E68" t="s">
        <v>29</v>
      </c>
      <c r="F68" t="s">
        <v>58</v>
      </c>
      <c r="G68">
        <v>32.533998199999999</v>
      </c>
      <c r="H68">
        <v>-85.39189245</v>
      </c>
      <c r="I68">
        <v>26084.16187</v>
      </c>
    </row>
    <row r="69" spans="3:9" x14ac:dyDescent="0.25">
      <c r="C69" t="s">
        <v>23</v>
      </c>
      <c r="D69">
        <v>2030</v>
      </c>
      <c r="E69" t="s">
        <v>29</v>
      </c>
      <c r="F69" t="s">
        <v>59</v>
      </c>
      <c r="G69">
        <v>31.116466500000001</v>
      </c>
      <c r="H69">
        <v>-98.410506499999997</v>
      </c>
      <c r="I69">
        <v>107229.10792575</v>
      </c>
    </row>
    <row r="70" spans="3:9" x14ac:dyDescent="0.25">
      <c r="C70" t="s">
        <v>23</v>
      </c>
      <c r="D70">
        <v>2030</v>
      </c>
      <c r="E70" t="s">
        <v>29</v>
      </c>
      <c r="F70" t="s">
        <v>60</v>
      </c>
      <c r="G70">
        <v>28.70831695</v>
      </c>
      <c r="H70">
        <v>-82.234216950000004</v>
      </c>
      <c r="I70">
        <v>4992.7895550000003</v>
      </c>
    </row>
    <row r="71" spans="3:9" x14ac:dyDescent="0.25">
      <c r="C71" t="s">
        <v>23</v>
      </c>
      <c r="D71">
        <v>2035</v>
      </c>
      <c r="E71" t="s">
        <v>29</v>
      </c>
      <c r="F71" t="s">
        <v>36</v>
      </c>
      <c r="G71">
        <v>46.230784960000001</v>
      </c>
      <c r="H71">
        <v>-117.1353519</v>
      </c>
      <c r="I71">
        <v>62739.695390011002</v>
      </c>
    </row>
    <row r="72" spans="3:9" x14ac:dyDescent="0.25">
      <c r="C72" t="s">
        <v>23</v>
      </c>
      <c r="D72">
        <v>2035</v>
      </c>
      <c r="E72" t="s">
        <v>29</v>
      </c>
      <c r="F72" t="s">
        <v>37</v>
      </c>
      <c r="G72">
        <v>44.216160670000001</v>
      </c>
      <c r="H72">
        <v>-92.060173219999996</v>
      </c>
      <c r="I72">
        <v>13951.394280222999</v>
      </c>
    </row>
    <row r="73" spans="3:9" x14ac:dyDescent="0.25">
      <c r="C73" t="s">
        <v>23</v>
      </c>
      <c r="D73">
        <v>2035</v>
      </c>
      <c r="E73" t="s">
        <v>29</v>
      </c>
      <c r="F73" t="s">
        <v>38</v>
      </c>
      <c r="G73">
        <v>43.892257200000003</v>
      </c>
      <c r="H73">
        <v>-98.937461729999995</v>
      </c>
      <c r="I73">
        <v>55385.961143136003</v>
      </c>
    </row>
    <row r="74" spans="3:9" x14ac:dyDescent="0.25">
      <c r="C74" t="s">
        <v>23</v>
      </c>
      <c r="D74">
        <v>2035</v>
      </c>
      <c r="E74" t="s">
        <v>29</v>
      </c>
      <c r="F74" t="s">
        <v>39</v>
      </c>
      <c r="G74">
        <v>43.659916129999999</v>
      </c>
      <c r="H74">
        <v>-84.577796770000006</v>
      </c>
      <c r="I74">
        <v>1304.824968225</v>
      </c>
    </row>
    <row r="75" spans="3:9" x14ac:dyDescent="0.25">
      <c r="C75" t="s">
        <v>23</v>
      </c>
      <c r="D75">
        <v>2035</v>
      </c>
      <c r="E75" t="s">
        <v>29</v>
      </c>
      <c r="F75" t="s">
        <v>40</v>
      </c>
      <c r="G75">
        <v>43.27527164</v>
      </c>
      <c r="H75">
        <v>-71.404255219999996</v>
      </c>
      <c r="I75">
        <v>8057.7890061750004</v>
      </c>
    </row>
    <row r="76" spans="3:9" x14ac:dyDescent="0.25">
      <c r="C76" t="s">
        <v>23</v>
      </c>
      <c r="D76">
        <v>2035</v>
      </c>
      <c r="E76" t="s">
        <v>29</v>
      </c>
      <c r="F76" t="s">
        <v>41</v>
      </c>
      <c r="G76">
        <v>42.781516359999998</v>
      </c>
      <c r="H76">
        <v>-75.700387269999993</v>
      </c>
      <c r="I76">
        <v>11737.354996124999</v>
      </c>
    </row>
    <row r="77" spans="3:9" x14ac:dyDescent="0.25">
      <c r="C77" t="s">
        <v>23</v>
      </c>
      <c r="D77">
        <v>2035</v>
      </c>
      <c r="E77" t="s">
        <v>29</v>
      </c>
      <c r="F77" t="s">
        <v>42</v>
      </c>
      <c r="G77">
        <v>41.581748279999999</v>
      </c>
      <c r="H77">
        <v>-89.046286210000005</v>
      </c>
      <c r="I77">
        <v>33322.776666644</v>
      </c>
    </row>
    <row r="78" spans="3:9" x14ac:dyDescent="0.25">
      <c r="C78" t="s">
        <v>23</v>
      </c>
      <c r="D78">
        <v>2035</v>
      </c>
      <c r="E78" t="s">
        <v>29</v>
      </c>
      <c r="F78" t="s">
        <v>43</v>
      </c>
      <c r="G78">
        <v>41.490666300000001</v>
      </c>
      <c r="H78">
        <v>-113.3992641</v>
      </c>
      <c r="I78">
        <v>21795.594244710999</v>
      </c>
    </row>
    <row r="79" spans="3:9" x14ac:dyDescent="0.25">
      <c r="C79" t="s">
        <v>23</v>
      </c>
      <c r="D79">
        <v>2035</v>
      </c>
      <c r="E79" t="s">
        <v>29</v>
      </c>
      <c r="F79" t="s">
        <v>44</v>
      </c>
      <c r="G79">
        <v>40.795662499999999</v>
      </c>
      <c r="H79">
        <v>-73.749075000000005</v>
      </c>
      <c r="I79">
        <v>4145.3322731999997</v>
      </c>
    </row>
    <row r="80" spans="3:9" x14ac:dyDescent="0.25">
      <c r="C80" t="s">
        <v>23</v>
      </c>
      <c r="D80">
        <v>2035</v>
      </c>
      <c r="E80" t="s">
        <v>29</v>
      </c>
      <c r="F80" t="s">
        <v>45</v>
      </c>
      <c r="G80">
        <v>40.419861679999997</v>
      </c>
      <c r="H80">
        <v>-105.0432271</v>
      </c>
      <c r="I80">
        <v>15483.410744166</v>
      </c>
    </row>
    <row r="81" spans="3:9" x14ac:dyDescent="0.25">
      <c r="C81" t="s">
        <v>23</v>
      </c>
      <c r="D81">
        <v>2035</v>
      </c>
      <c r="E81" t="s">
        <v>29</v>
      </c>
      <c r="F81" t="s">
        <v>46</v>
      </c>
      <c r="G81">
        <v>40.223693619999999</v>
      </c>
      <c r="H81">
        <v>-76.229495740000004</v>
      </c>
      <c r="I81">
        <v>21520.638998099999</v>
      </c>
    </row>
    <row r="82" spans="3:9" x14ac:dyDescent="0.25">
      <c r="C82" t="s">
        <v>23</v>
      </c>
      <c r="D82">
        <v>2035</v>
      </c>
      <c r="E82" t="s">
        <v>29</v>
      </c>
      <c r="F82" t="s">
        <v>47</v>
      </c>
      <c r="G82">
        <v>39.628317430000003</v>
      </c>
      <c r="H82">
        <v>-82.005115140000001</v>
      </c>
      <c r="I82">
        <v>28108.933907850002</v>
      </c>
    </row>
    <row r="83" spans="3:9" x14ac:dyDescent="0.25">
      <c r="C83" t="s">
        <v>23</v>
      </c>
      <c r="D83">
        <v>2035</v>
      </c>
      <c r="E83" t="s">
        <v>29</v>
      </c>
      <c r="F83" t="s">
        <v>48</v>
      </c>
      <c r="G83">
        <v>39.137839149999998</v>
      </c>
      <c r="H83">
        <v>-89.055620000000005</v>
      </c>
      <c r="I83">
        <v>4050.2753215120001</v>
      </c>
    </row>
    <row r="84" spans="3:9" x14ac:dyDescent="0.25">
      <c r="C84" t="s">
        <v>23</v>
      </c>
      <c r="D84">
        <v>2035</v>
      </c>
      <c r="E84" t="s">
        <v>29</v>
      </c>
      <c r="F84" t="s">
        <v>49</v>
      </c>
      <c r="G84">
        <v>38.531783109999999</v>
      </c>
      <c r="H84">
        <v>-96.892483780000006</v>
      </c>
      <c r="I84">
        <v>3004.8277287679998</v>
      </c>
    </row>
    <row r="85" spans="3:9" x14ac:dyDescent="0.25">
      <c r="C85" t="s">
        <v>23</v>
      </c>
      <c r="D85">
        <v>2035</v>
      </c>
      <c r="E85" t="s">
        <v>29</v>
      </c>
      <c r="F85" t="s">
        <v>50</v>
      </c>
      <c r="G85">
        <v>38.363847919999998</v>
      </c>
      <c r="H85">
        <v>-121.3105083</v>
      </c>
      <c r="I85">
        <v>24743.092898700001</v>
      </c>
    </row>
    <row r="86" spans="3:9" x14ac:dyDescent="0.25">
      <c r="C86" t="s">
        <v>23</v>
      </c>
      <c r="D86">
        <v>2035</v>
      </c>
      <c r="E86" t="s">
        <v>29</v>
      </c>
      <c r="F86" t="s">
        <v>51</v>
      </c>
      <c r="G86">
        <v>37.547360660000002</v>
      </c>
      <c r="H86">
        <v>-77.704687699999994</v>
      </c>
      <c r="I86">
        <v>112745.83785126101</v>
      </c>
    </row>
    <row r="87" spans="3:9" x14ac:dyDescent="0.25">
      <c r="C87" t="s">
        <v>23</v>
      </c>
      <c r="D87">
        <v>2035</v>
      </c>
      <c r="E87" t="s">
        <v>29</v>
      </c>
      <c r="F87" t="s">
        <v>52</v>
      </c>
      <c r="G87">
        <v>36.370182210000003</v>
      </c>
      <c r="H87">
        <v>-85.854596090000001</v>
      </c>
      <c r="I87">
        <v>16947.634184076</v>
      </c>
    </row>
    <row r="88" spans="3:9" x14ac:dyDescent="0.25">
      <c r="C88" t="s">
        <v>23</v>
      </c>
      <c r="D88">
        <v>2035</v>
      </c>
      <c r="E88" t="s">
        <v>29</v>
      </c>
      <c r="F88" t="s">
        <v>53</v>
      </c>
      <c r="G88">
        <v>35.070007140000001</v>
      </c>
      <c r="H88">
        <v>-118.0483929</v>
      </c>
      <c r="I88">
        <v>8101.5711698249997</v>
      </c>
    </row>
    <row r="89" spans="3:9" x14ac:dyDescent="0.25">
      <c r="C89" t="s">
        <v>23</v>
      </c>
      <c r="D89">
        <v>2035</v>
      </c>
      <c r="E89" t="s">
        <v>29</v>
      </c>
      <c r="F89" t="s">
        <v>54</v>
      </c>
      <c r="G89">
        <v>34.946099199999999</v>
      </c>
      <c r="H89">
        <v>-80.332142399999995</v>
      </c>
      <c r="I89">
        <v>17160.627035925001</v>
      </c>
    </row>
    <row r="90" spans="3:9" x14ac:dyDescent="0.25">
      <c r="C90" t="s">
        <v>23</v>
      </c>
      <c r="D90">
        <v>2035</v>
      </c>
      <c r="E90" t="s">
        <v>29</v>
      </c>
      <c r="F90" t="s">
        <v>55</v>
      </c>
      <c r="G90">
        <v>34.407657139999998</v>
      </c>
      <c r="H90">
        <v>-97.417557709999997</v>
      </c>
      <c r="I90">
        <v>12114.39725842</v>
      </c>
    </row>
    <row r="91" spans="3:9" x14ac:dyDescent="0.25">
      <c r="C91" t="s">
        <v>23</v>
      </c>
      <c r="D91">
        <v>2035</v>
      </c>
      <c r="E91" t="s">
        <v>29</v>
      </c>
      <c r="F91" t="s">
        <v>56</v>
      </c>
      <c r="G91">
        <v>34.169836170000004</v>
      </c>
      <c r="H91">
        <v>-107.8247234</v>
      </c>
      <c r="I91">
        <v>28261.933008026001</v>
      </c>
    </row>
    <row r="92" spans="3:9" x14ac:dyDescent="0.25">
      <c r="C92" t="s">
        <v>23</v>
      </c>
      <c r="D92">
        <v>2035</v>
      </c>
      <c r="E92" t="s">
        <v>29</v>
      </c>
      <c r="F92" t="s">
        <v>57</v>
      </c>
      <c r="G92">
        <v>32.841376609999998</v>
      </c>
      <c r="H92">
        <v>-92.087664329999996</v>
      </c>
      <c r="I92">
        <v>1134.0819161229999</v>
      </c>
    </row>
    <row r="93" spans="3:9" x14ac:dyDescent="0.25">
      <c r="C93" t="s">
        <v>23</v>
      </c>
      <c r="D93">
        <v>2035</v>
      </c>
      <c r="E93" t="s">
        <v>29</v>
      </c>
      <c r="F93" t="s">
        <v>58</v>
      </c>
      <c r="G93">
        <v>32.533998199999999</v>
      </c>
      <c r="H93">
        <v>-85.39189245</v>
      </c>
      <c r="I93">
        <v>30058.641954735998</v>
      </c>
    </row>
    <row r="94" spans="3:9" x14ac:dyDescent="0.25">
      <c r="C94" t="s">
        <v>23</v>
      </c>
      <c r="D94">
        <v>2035</v>
      </c>
      <c r="E94" t="s">
        <v>29</v>
      </c>
      <c r="F94" t="s">
        <v>59</v>
      </c>
      <c r="G94">
        <v>31.116466500000001</v>
      </c>
      <c r="H94">
        <v>-98.410506499999997</v>
      </c>
      <c r="I94">
        <v>150357.33283873199</v>
      </c>
    </row>
    <row r="95" spans="3:9" x14ac:dyDescent="0.25">
      <c r="C95" t="s">
        <v>23</v>
      </c>
      <c r="D95">
        <v>2035</v>
      </c>
      <c r="E95" t="s">
        <v>29</v>
      </c>
      <c r="F95" t="s">
        <v>60</v>
      </c>
      <c r="G95">
        <v>28.70831695</v>
      </c>
      <c r="H95">
        <v>-82.234216950000004</v>
      </c>
      <c r="I95">
        <v>5753.5357666500004</v>
      </c>
    </row>
    <row r="96" spans="3:9" x14ac:dyDescent="0.25">
      <c r="C96" t="s">
        <v>23</v>
      </c>
      <c r="D96">
        <v>2040</v>
      </c>
      <c r="E96" t="s">
        <v>29</v>
      </c>
      <c r="F96" t="s">
        <v>36</v>
      </c>
      <c r="G96">
        <v>46.230784960000001</v>
      </c>
      <c r="H96">
        <v>-117.1353519</v>
      </c>
      <c r="I96">
        <v>67986.787736179002</v>
      </c>
    </row>
    <row r="97" spans="3:9" x14ac:dyDescent="0.25">
      <c r="C97" t="s">
        <v>23</v>
      </c>
      <c r="D97">
        <v>2040</v>
      </c>
      <c r="E97" t="s">
        <v>29</v>
      </c>
      <c r="F97" t="s">
        <v>37</v>
      </c>
      <c r="G97">
        <v>44.216160670000001</v>
      </c>
      <c r="H97">
        <v>-92.060173219999996</v>
      </c>
      <c r="I97">
        <v>14550.435410620001</v>
      </c>
    </row>
    <row r="98" spans="3:9" x14ac:dyDescent="0.25">
      <c r="C98" t="s">
        <v>23</v>
      </c>
      <c r="D98">
        <v>2040</v>
      </c>
      <c r="E98" t="s">
        <v>29</v>
      </c>
      <c r="F98" t="s">
        <v>38</v>
      </c>
      <c r="G98">
        <v>43.892257200000003</v>
      </c>
      <c r="H98">
        <v>-98.937461729999995</v>
      </c>
      <c r="I98">
        <v>88270.731429909996</v>
      </c>
    </row>
    <row r="99" spans="3:9" x14ac:dyDescent="0.25">
      <c r="C99" t="s">
        <v>23</v>
      </c>
      <c r="D99">
        <v>2040</v>
      </c>
      <c r="E99" t="s">
        <v>29</v>
      </c>
      <c r="F99" t="s">
        <v>39</v>
      </c>
      <c r="G99">
        <v>43.659916129999999</v>
      </c>
      <c r="H99">
        <v>-84.577796770000006</v>
      </c>
      <c r="I99">
        <v>1305.742548422</v>
      </c>
    </row>
    <row r="100" spans="3:9" x14ac:dyDescent="0.25">
      <c r="C100" t="s">
        <v>23</v>
      </c>
      <c r="D100">
        <v>2040</v>
      </c>
      <c r="E100" t="s">
        <v>29</v>
      </c>
      <c r="F100" t="s">
        <v>40</v>
      </c>
      <c r="G100">
        <v>43.27527164</v>
      </c>
      <c r="H100">
        <v>-71.404255219999996</v>
      </c>
      <c r="I100">
        <v>8058.4379486730004</v>
      </c>
    </row>
    <row r="101" spans="3:9" x14ac:dyDescent="0.25">
      <c r="C101" t="s">
        <v>23</v>
      </c>
      <c r="D101">
        <v>2040</v>
      </c>
      <c r="E101" t="s">
        <v>29</v>
      </c>
      <c r="F101" t="s">
        <v>41</v>
      </c>
      <c r="G101">
        <v>42.781516359999998</v>
      </c>
      <c r="H101">
        <v>-75.700387269999993</v>
      </c>
      <c r="I101">
        <v>11738.301269918</v>
      </c>
    </row>
    <row r="102" spans="3:9" x14ac:dyDescent="0.25">
      <c r="C102" t="s">
        <v>23</v>
      </c>
      <c r="D102">
        <v>2040</v>
      </c>
      <c r="E102" t="s">
        <v>29</v>
      </c>
      <c r="F102" t="s">
        <v>42</v>
      </c>
      <c r="G102">
        <v>41.581748279999999</v>
      </c>
      <c r="H102">
        <v>-89.046286210000005</v>
      </c>
      <c r="I102">
        <v>35049.163455736001</v>
      </c>
    </row>
    <row r="103" spans="3:9" x14ac:dyDescent="0.25">
      <c r="C103" t="s">
        <v>23</v>
      </c>
      <c r="D103">
        <v>2040</v>
      </c>
      <c r="E103" t="s">
        <v>29</v>
      </c>
      <c r="F103" t="s">
        <v>43</v>
      </c>
      <c r="G103">
        <v>41.490666300000001</v>
      </c>
      <c r="H103">
        <v>-113.3992641</v>
      </c>
      <c r="I103">
        <v>23616.273172742</v>
      </c>
    </row>
    <row r="104" spans="3:9" x14ac:dyDescent="0.25">
      <c r="C104" t="s">
        <v>23</v>
      </c>
      <c r="D104">
        <v>2040</v>
      </c>
      <c r="E104" t="s">
        <v>29</v>
      </c>
      <c r="F104" t="s">
        <v>44</v>
      </c>
      <c r="G104">
        <v>40.795662499999999</v>
      </c>
      <c r="H104">
        <v>-73.749075000000005</v>
      </c>
      <c r="I104">
        <v>4146.182479866</v>
      </c>
    </row>
    <row r="105" spans="3:9" x14ac:dyDescent="0.25">
      <c r="C105" t="s">
        <v>23</v>
      </c>
      <c r="D105">
        <v>2040</v>
      </c>
      <c r="E105" t="s">
        <v>29</v>
      </c>
      <c r="F105" t="s">
        <v>45</v>
      </c>
      <c r="G105">
        <v>40.419861679999997</v>
      </c>
      <c r="H105">
        <v>-105.0432271</v>
      </c>
      <c r="I105">
        <v>16138.742611722</v>
      </c>
    </row>
    <row r="106" spans="3:9" x14ac:dyDescent="0.25">
      <c r="C106" t="s">
        <v>23</v>
      </c>
      <c r="D106">
        <v>2040</v>
      </c>
      <c r="E106" t="s">
        <v>29</v>
      </c>
      <c r="F106" t="s">
        <v>46</v>
      </c>
      <c r="G106">
        <v>40.223693619999999</v>
      </c>
      <c r="H106">
        <v>-76.229495740000004</v>
      </c>
      <c r="I106">
        <v>21522.374414612001</v>
      </c>
    </row>
    <row r="107" spans="3:9" x14ac:dyDescent="0.25">
      <c r="C107" t="s">
        <v>23</v>
      </c>
      <c r="D107">
        <v>2040</v>
      </c>
      <c r="E107" t="s">
        <v>29</v>
      </c>
      <c r="F107" t="s">
        <v>47</v>
      </c>
      <c r="G107">
        <v>39.628317430000003</v>
      </c>
      <c r="H107">
        <v>-82.005115140000001</v>
      </c>
      <c r="I107">
        <v>29368.021776138001</v>
      </c>
    </row>
    <row r="108" spans="3:9" x14ac:dyDescent="0.25">
      <c r="C108" t="s">
        <v>23</v>
      </c>
      <c r="D108">
        <v>2040</v>
      </c>
      <c r="E108" t="s">
        <v>29</v>
      </c>
      <c r="F108" t="s">
        <v>48</v>
      </c>
      <c r="G108">
        <v>39.137839149999998</v>
      </c>
      <c r="H108">
        <v>-89.055620000000005</v>
      </c>
      <c r="I108">
        <v>4237.9883581719996</v>
      </c>
    </row>
    <row r="109" spans="3:9" x14ac:dyDescent="0.25">
      <c r="C109" t="s">
        <v>23</v>
      </c>
      <c r="D109">
        <v>2040</v>
      </c>
      <c r="E109" t="s">
        <v>29</v>
      </c>
      <c r="F109" t="s">
        <v>49</v>
      </c>
      <c r="G109">
        <v>38.531783109999999</v>
      </c>
      <c r="H109">
        <v>-96.892483780000006</v>
      </c>
      <c r="I109">
        <v>3866.377606778</v>
      </c>
    </row>
    <row r="110" spans="3:9" x14ac:dyDescent="0.25">
      <c r="C110" t="s">
        <v>23</v>
      </c>
      <c r="D110">
        <v>2040</v>
      </c>
      <c r="E110" t="s">
        <v>29</v>
      </c>
      <c r="F110" t="s">
        <v>50</v>
      </c>
      <c r="G110">
        <v>38.363847919999998</v>
      </c>
      <c r="H110">
        <v>-121.3105083</v>
      </c>
      <c r="I110">
        <v>24745.087492546001</v>
      </c>
    </row>
    <row r="111" spans="3:9" x14ac:dyDescent="0.25">
      <c r="C111" t="s">
        <v>23</v>
      </c>
      <c r="D111">
        <v>2040</v>
      </c>
      <c r="E111" t="s">
        <v>29</v>
      </c>
      <c r="F111" t="s">
        <v>51</v>
      </c>
      <c r="G111">
        <v>37.547360660000002</v>
      </c>
      <c r="H111">
        <v>-77.704687699999994</v>
      </c>
      <c r="I111">
        <v>119296.859055083</v>
      </c>
    </row>
    <row r="112" spans="3:9" x14ac:dyDescent="0.25">
      <c r="C112" t="s">
        <v>23</v>
      </c>
      <c r="D112">
        <v>2040</v>
      </c>
      <c r="E112" t="s">
        <v>29</v>
      </c>
      <c r="F112" t="s">
        <v>52</v>
      </c>
      <c r="G112">
        <v>36.370182210000003</v>
      </c>
      <c r="H112">
        <v>-85.854596090000001</v>
      </c>
      <c r="I112">
        <v>18364.625991047</v>
      </c>
    </row>
    <row r="113" spans="3:9" x14ac:dyDescent="0.25">
      <c r="C113" t="s">
        <v>23</v>
      </c>
      <c r="D113">
        <v>2040</v>
      </c>
      <c r="E113" t="s">
        <v>29</v>
      </c>
      <c r="F113" t="s">
        <v>53</v>
      </c>
      <c r="G113">
        <v>35.070007140000001</v>
      </c>
      <c r="H113">
        <v>-118.0483929</v>
      </c>
      <c r="I113">
        <v>8102.2241613349997</v>
      </c>
    </row>
    <row r="114" spans="3:9" x14ac:dyDescent="0.25">
      <c r="C114" t="s">
        <v>23</v>
      </c>
      <c r="D114">
        <v>2040</v>
      </c>
      <c r="E114" t="s">
        <v>29</v>
      </c>
      <c r="F114" t="s">
        <v>54</v>
      </c>
      <c r="G114">
        <v>34.946099199999999</v>
      </c>
      <c r="H114">
        <v>-80.332142399999995</v>
      </c>
      <c r="I114">
        <v>18593.959112168999</v>
      </c>
    </row>
    <row r="115" spans="3:9" x14ac:dyDescent="0.25">
      <c r="C115" t="s">
        <v>23</v>
      </c>
      <c r="D115">
        <v>2040</v>
      </c>
      <c r="E115" t="s">
        <v>29</v>
      </c>
      <c r="F115" t="s">
        <v>55</v>
      </c>
      <c r="G115">
        <v>34.407657139999998</v>
      </c>
      <c r="H115">
        <v>-97.417557709999997</v>
      </c>
      <c r="I115">
        <v>18902.281020383001</v>
      </c>
    </row>
    <row r="116" spans="3:9" x14ac:dyDescent="0.25">
      <c r="C116" t="s">
        <v>23</v>
      </c>
      <c r="D116">
        <v>2040</v>
      </c>
      <c r="E116" t="s">
        <v>29</v>
      </c>
      <c r="F116" t="s">
        <v>56</v>
      </c>
      <c r="G116">
        <v>34.169836170000004</v>
      </c>
      <c r="H116">
        <v>-107.8247234</v>
      </c>
      <c r="I116">
        <v>30624.020980550002</v>
      </c>
    </row>
    <row r="117" spans="3:9" x14ac:dyDescent="0.25">
      <c r="C117" t="s">
        <v>23</v>
      </c>
      <c r="D117">
        <v>2040</v>
      </c>
      <c r="E117" t="s">
        <v>29</v>
      </c>
      <c r="F117" t="s">
        <v>57</v>
      </c>
      <c r="G117">
        <v>32.841376609999998</v>
      </c>
      <c r="H117">
        <v>-92.087664329999996</v>
      </c>
      <c r="I117">
        <v>1189.3635500109999</v>
      </c>
    </row>
    <row r="118" spans="3:9" x14ac:dyDescent="0.25">
      <c r="C118" t="s">
        <v>23</v>
      </c>
      <c r="D118">
        <v>2040</v>
      </c>
      <c r="E118" t="s">
        <v>29</v>
      </c>
      <c r="F118" t="s">
        <v>58</v>
      </c>
      <c r="G118">
        <v>32.533998199999999</v>
      </c>
      <c r="H118">
        <v>-85.39189245</v>
      </c>
      <c r="I118">
        <v>32568.935050598</v>
      </c>
    </row>
    <row r="119" spans="3:9" x14ac:dyDescent="0.25">
      <c r="C119" t="s">
        <v>23</v>
      </c>
      <c r="D119">
        <v>2040</v>
      </c>
      <c r="E119" t="s">
        <v>29</v>
      </c>
      <c r="F119" t="s">
        <v>59</v>
      </c>
      <c r="G119">
        <v>31.116466500000001</v>
      </c>
      <c r="H119">
        <v>-98.410506499999997</v>
      </c>
      <c r="I119">
        <v>167043.591645835</v>
      </c>
    </row>
    <row r="120" spans="3:9" x14ac:dyDescent="0.25">
      <c r="C120" t="s">
        <v>23</v>
      </c>
      <c r="D120">
        <v>2040</v>
      </c>
      <c r="E120" t="s">
        <v>29</v>
      </c>
      <c r="F120" t="s">
        <v>60</v>
      </c>
      <c r="G120">
        <v>28.70831695</v>
      </c>
      <c r="H120">
        <v>-82.234216950000004</v>
      </c>
      <c r="I120">
        <v>6232.9007293089999</v>
      </c>
    </row>
    <row r="121" spans="3:9" x14ac:dyDescent="0.25">
      <c r="C121" t="s">
        <v>23</v>
      </c>
      <c r="D121">
        <v>2045</v>
      </c>
      <c r="E121" t="s">
        <v>29</v>
      </c>
      <c r="F121" t="s">
        <v>36</v>
      </c>
      <c r="G121">
        <v>46.230784960000001</v>
      </c>
      <c r="H121">
        <v>-117.1353519</v>
      </c>
      <c r="I121">
        <v>73227.699856770996</v>
      </c>
    </row>
    <row r="122" spans="3:9" x14ac:dyDescent="0.25">
      <c r="C122" t="s">
        <v>23</v>
      </c>
      <c r="D122">
        <v>2045</v>
      </c>
      <c r="E122" t="s">
        <v>29</v>
      </c>
      <c r="F122" t="s">
        <v>37</v>
      </c>
      <c r="G122">
        <v>44.216160670000001</v>
      </c>
      <c r="H122">
        <v>-92.060173219999996</v>
      </c>
      <c r="I122">
        <v>15126.723767866</v>
      </c>
    </row>
    <row r="123" spans="3:9" x14ac:dyDescent="0.25">
      <c r="C123" t="s">
        <v>23</v>
      </c>
      <c r="D123">
        <v>2045</v>
      </c>
      <c r="E123" t="s">
        <v>29</v>
      </c>
      <c r="F123" t="s">
        <v>38</v>
      </c>
      <c r="G123">
        <v>43.892257200000003</v>
      </c>
      <c r="H123">
        <v>-98.937461729999995</v>
      </c>
      <c r="I123">
        <v>121158.11992072999</v>
      </c>
    </row>
    <row r="124" spans="3:9" x14ac:dyDescent="0.25">
      <c r="C124" t="s">
        <v>23</v>
      </c>
      <c r="D124">
        <v>2045</v>
      </c>
      <c r="E124" t="s">
        <v>29</v>
      </c>
      <c r="F124" t="s">
        <v>39</v>
      </c>
      <c r="G124">
        <v>43.659916129999999</v>
      </c>
      <c r="H124">
        <v>-84.577796770000006</v>
      </c>
      <c r="I124">
        <v>1456.672801743</v>
      </c>
    </row>
    <row r="125" spans="3:9" x14ac:dyDescent="0.25">
      <c r="C125" t="s">
        <v>23</v>
      </c>
      <c r="D125">
        <v>2045</v>
      </c>
      <c r="E125" t="s">
        <v>29</v>
      </c>
      <c r="F125" t="s">
        <v>40</v>
      </c>
      <c r="G125">
        <v>43.27527164</v>
      </c>
      <c r="H125">
        <v>-71.404255219999996</v>
      </c>
      <c r="I125">
        <v>8994.3742865999993</v>
      </c>
    </row>
    <row r="126" spans="3:9" x14ac:dyDescent="0.25">
      <c r="C126" t="s">
        <v>23</v>
      </c>
      <c r="D126">
        <v>2045</v>
      </c>
      <c r="E126" t="s">
        <v>29</v>
      </c>
      <c r="F126" t="s">
        <v>41</v>
      </c>
      <c r="G126">
        <v>42.781516359999998</v>
      </c>
      <c r="H126">
        <v>-75.700387269999993</v>
      </c>
      <c r="I126">
        <v>13101.630302600001</v>
      </c>
    </row>
    <row r="127" spans="3:9" x14ac:dyDescent="0.25">
      <c r="C127" t="s">
        <v>23</v>
      </c>
      <c r="D127">
        <v>2045</v>
      </c>
      <c r="E127" t="s">
        <v>29</v>
      </c>
      <c r="F127" t="s">
        <v>42</v>
      </c>
      <c r="G127">
        <v>41.581748279999999</v>
      </c>
      <c r="H127">
        <v>-89.046286210000005</v>
      </c>
      <c r="I127">
        <v>36775.671299234004</v>
      </c>
    </row>
    <row r="128" spans="3:9" x14ac:dyDescent="0.25">
      <c r="C128" t="s">
        <v>23</v>
      </c>
      <c r="D128">
        <v>2045</v>
      </c>
      <c r="E128" t="s">
        <v>29</v>
      </c>
      <c r="F128" t="s">
        <v>43</v>
      </c>
      <c r="G128">
        <v>41.490666300000001</v>
      </c>
      <c r="H128">
        <v>-113.3992641</v>
      </c>
      <c r="I128">
        <v>25439.736106765999</v>
      </c>
    </row>
    <row r="129" spans="3:9" x14ac:dyDescent="0.25">
      <c r="C129" t="s">
        <v>23</v>
      </c>
      <c r="D129">
        <v>2045</v>
      </c>
      <c r="E129" t="s">
        <v>29</v>
      </c>
      <c r="F129" t="s">
        <v>44</v>
      </c>
      <c r="G129">
        <v>40.795662499999999</v>
      </c>
      <c r="H129">
        <v>-73.749075000000005</v>
      </c>
      <c r="I129">
        <v>4627.1596811999998</v>
      </c>
    </row>
    <row r="130" spans="3:9" x14ac:dyDescent="0.25">
      <c r="C130" t="s">
        <v>23</v>
      </c>
      <c r="D130">
        <v>2045</v>
      </c>
      <c r="E130" t="s">
        <v>29</v>
      </c>
      <c r="F130" t="s">
        <v>45</v>
      </c>
      <c r="G130">
        <v>40.419861679999997</v>
      </c>
      <c r="H130">
        <v>-105.0432271</v>
      </c>
      <c r="I130">
        <v>16796.001452019002</v>
      </c>
    </row>
    <row r="131" spans="3:9" x14ac:dyDescent="0.25">
      <c r="C131" t="s">
        <v>23</v>
      </c>
      <c r="D131">
        <v>2045</v>
      </c>
      <c r="E131" t="s">
        <v>29</v>
      </c>
      <c r="F131" t="s">
        <v>46</v>
      </c>
      <c r="G131">
        <v>40.223693619999999</v>
      </c>
      <c r="H131">
        <v>-76.229495740000004</v>
      </c>
      <c r="I131">
        <v>24022.061679400002</v>
      </c>
    </row>
    <row r="132" spans="3:9" x14ac:dyDescent="0.25">
      <c r="C132" t="s">
        <v>23</v>
      </c>
      <c r="D132">
        <v>2045</v>
      </c>
      <c r="E132" t="s">
        <v>29</v>
      </c>
      <c r="F132" t="s">
        <v>47</v>
      </c>
      <c r="G132">
        <v>39.628317430000003</v>
      </c>
      <c r="H132">
        <v>-82.005115140000001</v>
      </c>
      <c r="I132">
        <v>31376.538373488998</v>
      </c>
    </row>
    <row r="133" spans="3:9" x14ac:dyDescent="0.25">
      <c r="C133" t="s">
        <v>23</v>
      </c>
      <c r="D133">
        <v>2045</v>
      </c>
      <c r="E133" t="s">
        <v>29</v>
      </c>
      <c r="F133" t="s">
        <v>48</v>
      </c>
      <c r="G133">
        <v>39.137839149999998</v>
      </c>
      <c r="H133">
        <v>-89.055620000000005</v>
      </c>
      <c r="I133">
        <v>4399.5122113850002</v>
      </c>
    </row>
    <row r="134" spans="3:9" x14ac:dyDescent="0.25">
      <c r="C134" t="s">
        <v>23</v>
      </c>
      <c r="D134">
        <v>2045</v>
      </c>
      <c r="E134" t="s">
        <v>29</v>
      </c>
      <c r="F134" t="s">
        <v>49</v>
      </c>
      <c r="G134">
        <v>38.531783109999999</v>
      </c>
      <c r="H134">
        <v>-96.892483780000006</v>
      </c>
      <c r="I134">
        <v>4736.2888411929998</v>
      </c>
    </row>
    <row r="135" spans="3:9" x14ac:dyDescent="0.25">
      <c r="C135" t="s">
        <v>23</v>
      </c>
      <c r="D135">
        <v>2045</v>
      </c>
      <c r="E135" t="s">
        <v>29</v>
      </c>
      <c r="F135" t="s">
        <v>50</v>
      </c>
      <c r="G135">
        <v>38.363847919999998</v>
      </c>
      <c r="H135">
        <v>-121.3105083</v>
      </c>
      <c r="I135">
        <v>27619.0728758</v>
      </c>
    </row>
    <row r="136" spans="3:9" x14ac:dyDescent="0.25">
      <c r="C136" t="s">
        <v>23</v>
      </c>
      <c r="D136">
        <v>2045</v>
      </c>
      <c r="E136" t="s">
        <v>29</v>
      </c>
      <c r="F136" t="s">
        <v>51</v>
      </c>
      <c r="G136">
        <v>37.547360660000002</v>
      </c>
      <c r="H136">
        <v>-77.704687699999994</v>
      </c>
      <c r="I136">
        <v>125850.843546346</v>
      </c>
    </row>
    <row r="137" spans="3:9" x14ac:dyDescent="0.25">
      <c r="C137" t="s">
        <v>23</v>
      </c>
      <c r="D137">
        <v>2045</v>
      </c>
      <c r="E137" t="s">
        <v>29</v>
      </c>
      <c r="F137" t="s">
        <v>52</v>
      </c>
      <c r="G137">
        <v>36.370182210000003</v>
      </c>
      <c r="H137">
        <v>-85.854596090000001</v>
      </c>
      <c r="I137">
        <v>19782.747653009999</v>
      </c>
    </row>
    <row r="138" spans="3:9" x14ac:dyDescent="0.25">
      <c r="C138" t="s">
        <v>23</v>
      </c>
      <c r="D138">
        <v>2045</v>
      </c>
      <c r="E138" t="s">
        <v>29</v>
      </c>
      <c r="F138" t="s">
        <v>53</v>
      </c>
      <c r="G138">
        <v>35.070007140000001</v>
      </c>
      <c r="H138">
        <v>-118.0483929</v>
      </c>
      <c r="I138">
        <v>9043.2462209999994</v>
      </c>
    </row>
    <row r="139" spans="3:9" x14ac:dyDescent="0.25">
      <c r="C139" t="s">
        <v>23</v>
      </c>
      <c r="D139">
        <v>2045</v>
      </c>
      <c r="E139" t="s">
        <v>29</v>
      </c>
      <c r="F139" t="s">
        <v>54</v>
      </c>
      <c r="G139">
        <v>34.946099199999999</v>
      </c>
      <c r="H139">
        <v>-80.332142399999995</v>
      </c>
      <c r="I139">
        <v>20029.709369217999</v>
      </c>
    </row>
    <row r="140" spans="3:9" x14ac:dyDescent="0.25">
      <c r="C140" t="s">
        <v>23</v>
      </c>
      <c r="D140">
        <v>2045</v>
      </c>
      <c r="E140" t="s">
        <v>29</v>
      </c>
      <c r="F140" t="s">
        <v>55</v>
      </c>
      <c r="G140">
        <v>34.407657139999998</v>
      </c>
      <c r="H140">
        <v>-97.417557709999997</v>
      </c>
      <c r="I140">
        <v>25719.442910497</v>
      </c>
    </row>
    <row r="141" spans="3:9" x14ac:dyDescent="0.25">
      <c r="C141" t="s">
        <v>23</v>
      </c>
      <c r="D141">
        <v>2045</v>
      </c>
      <c r="E141" t="s">
        <v>29</v>
      </c>
      <c r="F141" t="s">
        <v>56</v>
      </c>
      <c r="G141">
        <v>34.169836170000004</v>
      </c>
      <c r="H141">
        <v>-107.8247234</v>
      </c>
      <c r="I141">
        <v>32989.318044874999</v>
      </c>
    </row>
    <row r="142" spans="3:9" x14ac:dyDescent="0.25">
      <c r="C142" t="s">
        <v>23</v>
      </c>
      <c r="D142">
        <v>2045</v>
      </c>
      <c r="E142" t="s">
        <v>29</v>
      </c>
      <c r="F142" t="s">
        <v>57</v>
      </c>
      <c r="G142">
        <v>32.841376609999998</v>
      </c>
      <c r="H142">
        <v>-92.087664329999996</v>
      </c>
      <c r="I142">
        <v>1225.570886255</v>
      </c>
    </row>
    <row r="143" spans="3:9" x14ac:dyDescent="0.25">
      <c r="C143" t="s">
        <v>23</v>
      </c>
      <c r="D143">
        <v>2045</v>
      </c>
      <c r="E143" t="s">
        <v>29</v>
      </c>
      <c r="F143" t="s">
        <v>58</v>
      </c>
      <c r="G143">
        <v>32.533998199999999</v>
      </c>
      <c r="H143">
        <v>-85.39189245</v>
      </c>
      <c r="I143">
        <v>35084.049367138003</v>
      </c>
    </row>
    <row r="144" spans="3:9" x14ac:dyDescent="0.25">
      <c r="C144" t="s">
        <v>23</v>
      </c>
      <c r="D144">
        <v>2045</v>
      </c>
      <c r="E144" t="s">
        <v>29</v>
      </c>
      <c r="F144" t="s">
        <v>59</v>
      </c>
      <c r="G144">
        <v>31.116466500000001</v>
      </c>
      <c r="H144">
        <v>-98.410506499999997</v>
      </c>
      <c r="I144">
        <v>183754.16734726899</v>
      </c>
    </row>
    <row r="145" spans="3:9" x14ac:dyDescent="0.25">
      <c r="C145" t="s">
        <v>23</v>
      </c>
      <c r="D145">
        <v>2045</v>
      </c>
      <c r="E145" t="s">
        <v>29</v>
      </c>
      <c r="F145" t="s">
        <v>60</v>
      </c>
      <c r="G145">
        <v>28.70831695</v>
      </c>
      <c r="H145">
        <v>-82.234216950000004</v>
      </c>
      <c r="I145">
        <v>6714.9859911550002</v>
      </c>
    </row>
    <row r="146" spans="3:9" x14ac:dyDescent="0.25">
      <c r="C146" t="s">
        <v>23</v>
      </c>
      <c r="D146">
        <v>2050</v>
      </c>
      <c r="E146" t="s">
        <v>29</v>
      </c>
      <c r="F146" t="s">
        <v>36</v>
      </c>
      <c r="G146">
        <v>46.230784960000001</v>
      </c>
      <c r="H146">
        <v>-117.1353519</v>
      </c>
      <c r="I146">
        <v>78479.073111670994</v>
      </c>
    </row>
    <row r="147" spans="3:9" x14ac:dyDescent="0.25">
      <c r="C147" t="s">
        <v>23</v>
      </c>
      <c r="D147">
        <v>2050</v>
      </c>
      <c r="E147" t="s">
        <v>29</v>
      </c>
      <c r="F147" t="s">
        <v>37</v>
      </c>
      <c r="G147">
        <v>44.216160670000001</v>
      </c>
      <c r="H147">
        <v>-92.060173219999996</v>
      </c>
      <c r="I147">
        <v>15709.752216707</v>
      </c>
    </row>
    <row r="148" spans="3:9" x14ac:dyDescent="0.25">
      <c r="C148" t="s">
        <v>23</v>
      </c>
      <c r="D148">
        <v>2050</v>
      </c>
      <c r="E148" t="s">
        <v>29</v>
      </c>
      <c r="F148" t="s">
        <v>38</v>
      </c>
      <c r="G148">
        <v>43.892257200000003</v>
      </c>
      <c r="H148">
        <v>-98.937461729999995</v>
      </c>
      <c r="I148">
        <v>154052.70616401199</v>
      </c>
    </row>
    <row r="149" spans="3:9" x14ac:dyDescent="0.25">
      <c r="C149" t="s">
        <v>23</v>
      </c>
      <c r="D149">
        <v>2050</v>
      </c>
      <c r="E149" t="s">
        <v>29</v>
      </c>
      <c r="F149" t="s">
        <v>39</v>
      </c>
      <c r="G149">
        <v>43.659916129999999</v>
      </c>
      <c r="H149">
        <v>-84.577796770000006</v>
      </c>
      <c r="I149">
        <v>1632.246155029</v>
      </c>
    </row>
    <row r="150" spans="3:9" x14ac:dyDescent="0.25">
      <c r="C150" t="s">
        <v>23</v>
      </c>
      <c r="D150">
        <v>2050</v>
      </c>
      <c r="E150" t="s">
        <v>29</v>
      </c>
      <c r="F150" t="s">
        <v>40</v>
      </c>
      <c r="G150">
        <v>43.27527164</v>
      </c>
      <c r="H150">
        <v>-71.404255219999996</v>
      </c>
      <c r="I150">
        <v>10079.1709252</v>
      </c>
    </row>
    <row r="151" spans="3:9" x14ac:dyDescent="0.25">
      <c r="C151" t="s">
        <v>23</v>
      </c>
      <c r="D151">
        <v>2050</v>
      </c>
      <c r="E151" t="s">
        <v>29</v>
      </c>
      <c r="F151" t="s">
        <v>41</v>
      </c>
      <c r="G151">
        <v>42.781516359999998</v>
      </c>
      <c r="H151">
        <v>-75.700387269999993</v>
      </c>
      <c r="I151">
        <v>14681.7949764</v>
      </c>
    </row>
    <row r="152" spans="3:9" x14ac:dyDescent="0.25">
      <c r="C152" t="s">
        <v>23</v>
      </c>
      <c r="D152">
        <v>2050</v>
      </c>
      <c r="E152" t="s">
        <v>29</v>
      </c>
      <c r="F152" t="s">
        <v>42</v>
      </c>
      <c r="G152">
        <v>41.581748279999999</v>
      </c>
      <c r="H152">
        <v>-89.046286210000005</v>
      </c>
      <c r="I152">
        <v>38499.314659133997</v>
      </c>
    </row>
    <row r="153" spans="3:9" x14ac:dyDescent="0.25">
      <c r="C153" t="s">
        <v>23</v>
      </c>
      <c r="D153">
        <v>2050</v>
      </c>
      <c r="E153" t="s">
        <v>29</v>
      </c>
      <c r="F153" t="s">
        <v>43</v>
      </c>
      <c r="G153">
        <v>41.490666300000001</v>
      </c>
      <c r="H153">
        <v>-113.3992641</v>
      </c>
      <c r="I153">
        <v>27264.616598847999</v>
      </c>
    </row>
    <row r="154" spans="3:9" x14ac:dyDescent="0.25">
      <c r="C154" t="s">
        <v>23</v>
      </c>
      <c r="D154">
        <v>2050</v>
      </c>
      <c r="E154" t="s">
        <v>29</v>
      </c>
      <c r="F154" t="s">
        <v>44</v>
      </c>
      <c r="G154">
        <v>40.795662499999999</v>
      </c>
      <c r="H154">
        <v>-73.749075000000005</v>
      </c>
      <c r="I154">
        <v>5185.2333541999997</v>
      </c>
    </row>
    <row r="155" spans="3:9" x14ac:dyDescent="0.25">
      <c r="C155" t="s">
        <v>23</v>
      </c>
      <c r="D155">
        <v>2050</v>
      </c>
      <c r="E155" t="s">
        <v>29</v>
      </c>
      <c r="F155" t="s">
        <v>45</v>
      </c>
      <c r="G155">
        <v>40.419861679999997</v>
      </c>
      <c r="H155">
        <v>-105.0432271</v>
      </c>
      <c r="I155">
        <v>17451.194719448002</v>
      </c>
    </row>
    <row r="156" spans="3:9" x14ac:dyDescent="0.25">
      <c r="C156" t="s">
        <v>23</v>
      </c>
      <c r="D156">
        <v>2050</v>
      </c>
      <c r="E156" t="s">
        <v>29</v>
      </c>
      <c r="F156" t="s">
        <v>46</v>
      </c>
      <c r="G156">
        <v>40.223693619999999</v>
      </c>
      <c r="H156">
        <v>-76.229495740000004</v>
      </c>
      <c r="I156">
        <v>26919.411370229001</v>
      </c>
    </row>
    <row r="157" spans="3:9" x14ac:dyDescent="0.25">
      <c r="C157" t="s">
        <v>23</v>
      </c>
      <c r="D157">
        <v>2050</v>
      </c>
      <c r="E157" t="s">
        <v>29</v>
      </c>
      <c r="F157" t="s">
        <v>47</v>
      </c>
      <c r="G157">
        <v>39.628317430000003</v>
      </c>
      <c r="H157">
        <v>-82.005115140000001</v>
      </c>
      <c r="I157">
        <v>35160.807634042001</v>
      </c>
    </row>
    <row r="158" spans="3:9" x14ac:dyDescent="0.25">
      <c r="C158" t="s">
        <v>23</v>
      </c>
      <c r="D158">
        <v>2050</v>
      </c>
      <c r="E158" t="s">
        <v>29</v>
      </c>
      <c r="F158" t="s">
        <v>48</v>
      </c>
      <c r="G158">
        <v>39.137839149999998</v>
      </c>
      <c r="H158">
        <v>-89.055620000000005</v>
      </c>
      <c r="I158">
        <v>4575.8716115099996</v>
      </c>
    </row>
    <row r="159" spans="3:9" x14ac:dyDescent="0.25">
      <c r="C159" t="s">
        <v>23</v>
      </c>
      <c r="D159">
        <v>2050</v>
      </c>
      <c r="E159" t="s">
        <v>29</v>
      </c>
      <c r="F159" t="s">
        <v>49</v>
      </c>
      <c r="G159">
        <v>38.531783109999999</v>
      </c>
      <c r="H159">
        <v>-96.892483780000006</v>
      </c>
      <c r="I159">
        <v>5607.0589955900004</v>
      </c>
    </row>
    <row r="160" spans="3:9" x14ac:dyDescent="0.25">
      <c r="C160" t="s">
        <v>23</v>
      </c>
      <c r="D160">
        <v>2050</v>
      </c>
      <c r="E160" t="s">
        <v>29</v>
      </c>
      <c r="F160" t="s">
        <v>50</v>
      </c>
      <c r="G160">
        <v>38.363847919999998</v>
      </c>
      <c r="H160">
        <v>-121.3105083</v>
      </c>
      <c r="I160">
        <v>30950.160917599998</v>
      </c>
    </row>
    <row r="161" spans="3:9" x14ac:dyDescent="0.25">
      <c r="C161" t="s">
        <v>23</v>
      </c>
      <c r="D161">
        <v>2050</v>
      </c>
      <c r="E161" t="s">
        <v>29</v>
      </c>
      <c r="F161" t="s">
        <v>51</v>
      </c>
      <c r="G161">
        <v>37.547360660000002</v>
      </c>
      <c r="H161">
        <v>-77.704687699999994</v>
      </c>
      <c r="I161">
        <v>141029.69802844201</v>
      </c>
    </row>
    <row r="162" spans="3:9" x14ac:dyDescent="0.25">
      <c r="C162" t="s">
        <v>23</v>
      </c>
      <c r="D162">
        <v>2050</v>
      </c>
      <c r="E162" t="s">
        <v>29</v>
      </c>
      <c r="F162" t="s">
        <v>52</v>
      </c>
      <c r="G162">
        <v>36.370182210000003</v>
      </c>
      <c r="H162">
        <v>-85.854596090000001</v>
      </c>
      <c r="I162">
        <v>21202.417829845999</v>
      </c>
    </row>
    <row r="163" spans="3:9" x14ac:dyDescent="0.25">
      <c r="C163" t="s">
        <v>23</v>
      </c>
      <c r="D163">
        <v>2050</v>
      </c>
      <c r="E163" t="s">
        <v>29</v>
      </c>
      <c r="F163" t="s">
        <v>53</v>
      </c>
      <c r="G163">
        <v>35.070007140000001</v>
      </c>
      <c r="H163">
        <v>-118.0483929</v>
      </c>
      <c r="I163">
        <v>10133.9356338</v>
      </c>
    </row>
    <row r="164" spans="3:9" x14ac:dyDescent="0.25">
      <c r="C164" t="s">
        <v>23</v>
      </c>
      <c r="D164">
        <v>2050</v>
      </c>
      <c r="E164" t="s">
        <v>29</v>
      </c>
      <c r="F164" t="s">
        <v>54</v>
      </c>
      <c r="G164">
        <v>34.946099199999999</v>
      </c>
      <c r="H164">
        <v>-80.332142399999995</v>
      </c>
      <c r="I164">
        <v>21466.477524252001</v>
      </c>
    </row>
    <row r="165" spans="3:9" x14ac:dyDescent="0.25">
      <c r="C165" t="s">
        <v>23</v>
      </c>
      <c r="D165">
        <v>2050</v>
      </c>
      <c r="E165" t="s">
        <v>29</v>
      </c>
      <c r="F165" t="s">
        <v>55</v>
      </c>
      <c r="G165">
        <v>34.407657139999998</v>
      </c>
      <c r="H165">
        <v>-97.417557709999997</v>
      </c>
      <c r="I165">
        <v>32493.258313736002</v>
      </c>
    </row>
    <row r="166" spans="3:9" x14ac:dyDescent="0.25">
      <c r="C166" t="s">
        <v>23</v>
      </c>
      <c r="D166">
        <v>2050</v>
      </c>
      <c r="E166" t="s">
        <v>29</v>
      </c>
      <c r="F166" t="s">
        <v>56</v>
      </c>
      <c r="G166">
        <v>34.169836170000004</v>
      </c>
      <c r="H166">
        <v>-107.8247234</v>
      </c>
      <c r="I166">
        <v>35353.457972254</v>
      </c>
    </row>
    <row r="167" spans="3:9" x14ac:dyDescent="0.25">
      <c r="C167" t="s">
        <v>23</v>
      </c>
      <c r="D167">
        <v>2050</v>
      </c>
      <c r="E167" t="s">
        <v>29</v>
      </c>
      <c r="F167" t="s">
        <v>57</v>
      </c>
      <c r="G167">
        <v>32.841376609999998</v>
      </c>
      <c r="H167">
        <v>-92.087664329999996</v>
      </c>
      <c r="I167">
        <v>1272.036015873</v>
      </c>
    </row>
    <row r="168" spans="3:9" x14ac:dyDescent="0.25">
      <c r="C168" t="s">
        <v>23</v>
      </c>
      <c r="D168">
        <v>2050</v>
      </c>
      <c r="E168" t="s">
        <v>29</v>
      </c>
      <c r="F168" t="s">
        <v>58</v>
      </c>
      <c r="G168">
        <v>32.533998199999999</v>
      </c>
      <c r="H168">
        <v>-85.39189245</v>
      </c>
      <c r="I168">
        <v>37600.016589052</v>
      </c>
    </row>
    <row r="169" spans="3:9" x14ac:dyDescent="0.25">
      <c r="C169" t="s">
        <v>23</v>
      </c>
      <c r="D169">
        <v>2050</v>
      </c>
      <c r="E169" t="s">
        <v>29</v>
      </c>
      <c r="F169" t="s">
        <v>59</v>
      </c>
      <c r="G169">
        <v>31.116466500000001</v>
      </c>
      <c r="H169">
        <v>-98.410506499999997</v>
      </c>
      <c r="I169">
        <v>199897.34952277099</v>
      </c>
    </row>
    <row r="170" spans="3:9" x14ac:dyDescent="0.25">
      <c r="C170" t="s">
        <v>23</v>
      </c>
      <c r="D170">
        <v>2050</v>
      </c>
      <c r="E170" t="s">
        <v>29</v>
      </c>
      <c r="F170" t="s">
        <v>60</v>
      </c>
      <c r="G170">
        <v>28.70831695</v>
      </c>
      <c r="H170">
        <v>-82.234216950000004</v>
      </c>
      <c r="I170">
        <v>7197.4108308710001</v>
      </c>
    </row>
  </sheetData>
  <hyperlinks>
    <hyperlink ref="C2" r:id="rId1" xr:uid="{9B60BCE6-36B5-4D72-9EB7-A70249E61463}"/>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6C7AF-6089-471C-9D72-4369B72568F5}">
  <sheetPr>
    <tabColor rgb="FF002060"/>
  </sheetPr>
  <dimension ref="A1:AB7"/>
  <sheetViews>
    <sheetView workbookViewId="0">
      <selection activeCell="B2" sqref="B2"/>
    </sheetView>
  </sheetViews>
  <sheetFormatPr defaultRowHeight="15" x14ac:dyDescent="0.25"/>
  <cols>
    <col min="1" max="1" width="15.5703125" customWidth="1"/>
  </cols>
  <sheetData>
    <row r="1" spans="1:28" x14ac:dyDescent="0.25">
      <c r="A1" t="s">
        <v>0</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345</v>
      </c>
      <c r="B2">
        <f>0</f>
        <v>0</v>
      </c>
      <c r="C2">
        <f>0</f>
        <v>0</v>
      </c>
      <c r="D2">
        <f>0</f>
        <v>0</v>
      </c>
      <c r="E2">
        <f>0</f>
        <v>0</v>
      </c>
      <c r="F2">
        <f>0</f>
        <v>0</v>
      </c>
      <c r="G2">
        <f>0</f>
        <v>0</v>
      </c>
      <c r="H2">
        <f>0</f>
        <v>0</v>
      </c>
      <c r="I2">
        <f>0</f>
        <v>0</v>
      </c>
      <c r="J2">
        <f>0</f>
        <v>0</v>
      </c>
      <c r="K2">
        <f>0</f>
        <v>0</v>
      </c>
      <c r="L2">
        <f>0</f>
        <v>0</v>
      </c>
      <c r="M2">
        <f>0</f>
        <v>0</v>
      </c>
      <c r="N2">
        <f>0</f>
        <v>0</v>
      </c>
      <c r="O2">
        <f>0</f>
        <v>0</v>
      </c>
      <c r="P2">
        <f>0</f>
        <v>0</v>
      </c>
      <c r="Q2">
        <f>0</f>
        <v>0</v>
      </c>
      <c r="R2">
        <f>0</f>
        <v>0</v>
      </c>
      <c r="S2">
        <f>0</f>
        <v>0</v>
      </c>
      <c r="T2">
        <f>0</f>
        <v>0</v>
      </c>
      <c r="U2">
        <f>0</f>
        <v>0</v>
      </c>
      <c r="V2">
        <f>0</f>
        <v>0</v>
      </c>
      <c r="W2">
        <f>0</f>
        <v>0</v>
      </c>
      <c r="X2">
        <f>0</f>
        <v>0</v>
      </c>
      <c r="Y2">
        <f>0</f>
        <v>0</v>
      </c>
      <c r="Z2">
        <f>0</f>
        <v>0</v>
      </c>
      <c r="AA2">
        <f>0</f>
        <v>0</v>
      </c>
      <c r="AB2">
        <f>0</f>
        <v>0</v>
      </c>
    </row>
    <row r="3" spans="1:28" x14ac:dyDescent="0.25">
      <c r="A3" t="s">
        <v>346</v>
      </c>
      <c r="B3">
        <f>'Low_Mid_High Scenarios'!B3*10^6*'End Use Split'!B$11</f>
        <v>52571428.571428567</v>
      </c>
      <c r="C3">
        <f>'Low_Mid_High Scenarios'!C3*10^6*'End Use Split'!C$11</f>
        <v>59596330.27522935</v>
      </c>
      <c r="D3">
        <f>'Low_Mid_High Scenarios'!D3*10^6*'End Use Split'!D$11</f>
        <v>64509433.962264135</v>
      </c>
      <c r="E3">
        <f>'Low_Mid_High Scenarios'!E3*10^6*'End Use Split'!E$11</f>
        <v>68776699.029126212</v>
      </c>
      <c r="F3">
        <f>'Low_Mid_High Scenarios'!F3*10^6*'End Use Split'!F$11</f>
        <v>68999999.999999985</v>
      </c>
      <c r="G3">
        <f>'Low_Mid_High Scenarios'!G3*10^6*'End Use Split'!G$11</f>
        <v>74199999.999999985</v>
      </c>
      <c r="H3">
        <f>'Low_Mid_High Scenarios'!H3*10^6*'End Use Split'!H$11</f>
        <v>79199999.999999985</v>
      </c>
      <c r="I3">
        <f>'Low_Mid_High Scenarios'!I3*10^6*'End Use Split'!I$11</f>
        <v>82298181.999999985</v>
      </c>
      <c r="J3">
        <f>'Low_Mid_High Scenarios'!J3*10^6*'End Use Split'!J$11</f>
        <v>85455842.99999997</v>
      </c>
      <c r="K3">
        <f>'Low_Mid_High Scenarios'!K3*10^6*'End Use Split'!K$11</f>
        <v>88671400.799999967</v>
      </c>
      <c r="L3">
        <f>'Low_Mid_High Scenarios'!L3*10^6*'End Use Split'!L$11</f>
        <v>91933838.599999964</v>
      </c>
      <c r="M3">
        <f>'Low_Mid_High Scenarios'!M3*10^6*'End Use Split'!M$11</f>
        <v>95233663.199999973</v>
      </c>
      <c r="N3">
        <f>'Low_Mid_High Scenarios'!N3*10^6*'End Use Split'!N$11</f>
        <v>98554407.99999997</v>
      </c>
      <c r="O3">
        <f>'Low_Mid_High Scenarios'!O3*10^6*'End Use Split'!O$11</f>
        <v>101880719.79999997</v>
      </c>
      <c r="P3">
        <f>'Low_Mid_High Scenarios'!P3*10^6*'End Use Split'!P$11</f>
        <v>105171461.39999995</v>
      </c>
      <c r="Q3">
        <f>'Low_Mid_High Scenarios'!Q3*10^6*'End Use Split'!Q$11</f>
        <v>108397625.79999998</v>
      </c>
      <c r="R3">
        <f>'Low_Mid_High Scenarios'!R3*10^6*'End Use Split'!R$11</f>
        <v>111529326.99999997</v>
      </c>
      <c r="S3">
        <f>'Low_Mid_High Scenarios'!S3*10^6*'End Use Split'!S$11</f>
        <v>114554669.19999997</v>
      </c>
      <c r="T3">
        <f>'Low_Mid_High Scenarios'!T3*10^6*'End Use Split'!T$11</f>
        <v>117425717.59999995</v>
      </c>
      <c r="U3">
        <f>'Low_Mid_High Scenarios'!U3*10^6*'End Use Split'!U$11</f>
        <v>120145226.39999995</v>
      </c>
      <c r="V3">
        <f>'Low_Mid_High Scenarios'!V3*10^6*'End Use Split'!V$11</f>
        <v>122666256.99999996</v>
      </c>
      <c r="W3">
        <f>'Low_Mid_High Scenarios'!W3*10^6*'End Use Split'!W$11</f>
        <v>124989629.79999997</v>
      </c>
      <c r="X3">
        <f>'Low_Mid_High Scenarios'!X3*10^6*'End Use Split'!X$11</f>
        <v>127059616.19999994</v>
      </c>
      <c r="Y3">
        <f>'Low_Mid_High Scenarios'!Y3*10^6*'End Use Split'!Y$11</f>
        <v>128858284.59999995</v>
      </c>
      <c r="Z3">
        <f>'Low_Mid_High Scenarios'!Z3*10^6*'End Use Split'!Z$11</f>
        <v>130365945.39999995</v>
      </c>
      <c r="AA3">
        <f>'Low_Mid_High Scenarios'!AA3*10^6*'End Use Split'!AA$11</f>
        <v>131571405.99999997</v>
      </c>
      <c r="AB3">
        <f>'Low_Mid_High Scenarios'!AB3*10^6*'End Use Split'!AB$11</f>
        <v>132641969.39999998</v>
      </c>
    </row>
    <row r="4" spans="1:28" x14ac:dyDescent="0.25">
      <c r="A4" t="s">
        <v>347</v>
      </c>
      <c r="B4">
        <f>0</f>
        <v>0</v>
      </c>
      <c r="C4">
        <f>0</f>
        <v>0</v>
      </c>
      <c r="D4">
        <f>0</f>
        <v>0</v>
      </c>
      <c r="E4">
        <f>0</f>
        <v>0</v>
      </c>
      <c r="F4">
        <f>0</f>
        <v>0</v>
      </c>
      <c r="G4">
        <f>0</f>
        <v>0</v>
      </c>
      <c r="H4">
        <f>0</f>
        <v>0</v>
      </c>
      <c r="I4">
        <f>0</f>
        <v>0</v>
      </c>
      <c r="J4">
        <f>0</f>
        <v>0</v>
      </c>
      <c r="K4">
        <f>0</f>
        <v>0</v>
      </c>
      <c r="L4">
        <f>0</f>
        <v>0</v>
      </c>
      <c r="M4">
        <f>0</f>
        <v>0</v>
      </c>
      <c r="N4">
        <f>0</f>
        <v>0</v>
      </c>
      <c r="O4">
        <f>0</f>
        <v>0</v>
      </c>
      <c r="P4">
        <f>0</f>
        <v>0</v>
      </c>
      <c r="Q4">
        <f>0</f>
        <v>0</v>
      </c>
      <c r="R4">
        <f>0</f>
        <v>0</v>
      </c>
      <c r="S4">
        <f>0</f>
        <v>0</v>
      </c>
      <c r="T4">
        <f>0</f>
        <v>0</v>
      </c>
      <c r="U4">
        <f>0</f>
        <v>0</v>
      </c>
      <c r="V4">
        <f>0</f>
        <v>0</v>
      </c>
      <c r="W4">
        <f>0</f>
        <v>0</v>
      </c>
      <c r="X4">
        <f>0</f>
        <v>0</v>
      </c>
      <c r="Y4">
        <f>0</f>
        <v>0</v>
      </c>
      <c r="Z4">
        <f>0</f>
        <v>0</v>
      </c>
      <c r="AA4">
        <f>0</f>
        <v>0</v>
      </c>
      <c r="AB4">
        <f>0</f>
        <v>0</v>
      </c>
    </row>
    <row r="5" spans="1:28" x14ac:dyDescent="0.25">
      <c r="A5" t="s">
        <v>348</v>
      </c>
      <c r="B5">
        <f>0</f>
        <v>0</v>
      </c>
      <c r="C5">
        <f>0</f>
        <v>0</v>
      </c>
      <c r="D5">
        <f>0</f>
        <v>0</v>
      </c>
      <c r="E5">
        <f>0</f>
        <v>0</v>
      </c>
      <c r="F5">
        <f>0</f>
        <v>0</v>
      </c>
      <c r="G5">
        <f>0</f>
        <v>0</v>
      </c>
      <c r="H5">
        <f>0</f>
        <v>0</v>
      </c>
      <c r="I5">
        <f>0</f>
        <v>0</v>
      </c>
      <c r="J5">
        <f>0</f>
        <v>0</v>
      </c>
      <c r="K5">
        <f>0</f>
        <v>0</v>
      </c>
      <c r="L5">
        <f>0</f>
        <v>0</v>
      </c>
      <c r="M5">
        <f>0</f>
        <v>0</v>
      </c>
      <c r="N5">
        <f>0</f>
        <v>0</v>
      </c>
      <c r="O5">
        <f>0</f>
        <v>0</v>
      </c>
      <c r="P5">
        <f>0</f>
        <v>0</v>
      </c>
      <c r="Q5">
        <f>0</f>
        <v>0</v>
      </c>
      <c r="R5">
        <f>0</f>
        <v>0</v>
      </c>
      <c r="S5">
        <f>0</f>
        <v>0</v>
      </c>
      <c r="T5">
        <f>0</f>
        <v>0</v>
      </c>
      <c r="U5">
        <f>0</f>
        <v>0</v>
      </c>
      <c r="V5">
        <f>0</f>
        <v>0</v>
      </c>
      <c r="W5">
        <f>0</f>
        <v>0</v>
      </c>
      <c r="X5">
        <f>0</f>
        <v>0</v>
      </c>
      <c r="Y5">
        <f>0</f>
        <v>0</v>
      </c>
      <c r="Z5">
        <f>0</f>
        <v>0</v>
      </c>
      <c r="AA5">
        <f>0</f>
        <v>0</v>
      </c>
      <c r="AB5">
        <f>0</f>
        <v>0</v>
      </c>
    </row>
    <row r="6" spans="1:28" x14ac:dyDescent="0.25">
      <c r="A6" t="s">
        <v>349</v>
      </c>
      <c r="B6">
        <f>0</f>
        <v>0</v>
      </c>
      <c r="C6">
        <f>0</f>
        <v>0</v>
      </c>
      <c r="D6">
        <f>0</f>
        <v>0</v>
      </c>
      <c r="E6">
        <f>0</f>
        <v>0</v>
      </c>
      <c r="F6">
        <f>0</f>
        <v>0</v>
      </c>
      <c r="G6">
        <f>0</f>
        <v>0</v>
      </c>
      <c r="H6">
        <f>0</f>
        <v>0</v>
      </c>
      <c r="I6">
        <f>0</f>
        <v>0</v>
      </c>
      <c r="J6">
        <f>0</f>
        <v>0</v>
      </c>
      <c r="K6">
        <f>0</f>
        <v>0</v>
      </c>
      <c r="L6">
        <f>0</f>
        <v>0</v>
      </c>
      <c r="M6">
        <f>0</f>
        <v>0</v>
      </c>
      <c r="N6">
        <f>0</f>
        <v>0</v>
      </c>
      <c r="O6">
        <f>0</f>
        <v>0</v>
      </c>
      <c r="P6">
        <f>0</f>
        <v>0</v>
      </c>
      <c r="Q6">
        <f>0</f>
        <v>0</v>
      </c>
      <c r="R6">
        <f>0</f>
        <v>0</v>
      </c>
      <c r="S6">
        <f>0</f>
        <v>0</v>
      </c>
      <c r="T6">
        <f>0</f>
        <v>0</v>
      </c>
      <c r="U6">
        <f>0</f>
        <v>0</v>
      </c>
      <c r="V6">
        <f>0</f>
        <v>0</v>
      </c>
      <c r="W6">
        <f>0</f>
        <v>0</v>
      </c>
      <c r="X6">
        <f>0</f>
        <v>0</v>
      </c>
      <c r="Y6">
        <f>0</f>
        <v>0</v>
      </c>
      <c r="Z6">
        <f>0</f>
        <v>0</v>
      </c>
      <c r="AA6">
        <f>0</f>
        <v>0</v>
      </c>
      <c r="AB6">
        <f>0</f>
        <v>0</v>
      </c>
    </row>
    <row r="7" spans="1:28" x14ac:dyDescent="0.25">
      <c r="A7" t="s">
        <v>350</v>
      </c>
      <c r="B7">
        <f>'Low_Mid_High Scenarios'!B3*10^6*'End Use Split'!B$12</f>
        <v>131428571.42857143</v>
      </c>
      <c r="C7">
        <f>'Low_Mid_High Scenarios'!C3*10^6*'End Use Split'!C$12</f>
        <v>164403669.72477067</v>
      </c>
      <c r="D7">
        <f>'Low_Mid_High Scenarios'!D3*10^6*'End Use Split'!D$12</f>
        <v>198490566.03773585</v>
      </c>
      <c r="E7">
        <f>'Low_Mid_High Scenarios'!E3*10^6*'End Use Split'!E$12</f>
        <v>239223300.97087377</v>
      </c>
      <c r="F7">
        <f>'Low_Mid_High Scenarios'!F3*10^6*'End Use Split'!F$12</f>
        <v>276000000</v>
      </c>
      <c r="G7">
        <f>'Low_Mid_High Scenarios'!G3*10^6*'End Use Split'!G$12</f>
        <v>296800000</v>
      </c>
      <c r="H7">
        <f>'Low_Mid_High Scenarios'!H3*10^6*'End Use Split'!H$12</f>
        <v>316800000</v>
      </c>
      <c r="I7">
        <f>'Low_Mid_High Scenarios'!I3*10^6*'End Use Split'!I$12</f>
        <v>329192728</v>
      </c>
      <c r="J7">
        <f>'Low_Mid_High Scenarios'!J3*10^6*'End Use Split'!J$12</f>
        <v>341823372</v>
      </c>
      <c r="K7">
        <f>'Low_Mid_High Scenarios'!K3*10^6*'End Use Split'!K$12</f>
        <v>354685603.19999999</v>
      </c>
      <c r="L7">
        <f>'Low_Mid_High Scenarios'!L3*10^6*'End Use Split'!L$12</f>
        <v>367735354.39999998</v>
      </c>
      <c r="M7">
        <f>'Low_Mid_High Scenarios'!M3*10^6*'End Use Split'!M$12</f>
        <v>380934652.79999995</v>
      </c>
      <c r="N7">
        <f>'Low_Mid_High Scenarios'!N3*10^6*'End Use Split'!N$12</f>
        <v>394217632</v>
      </c>
      <c r="O7">
        <f>'Low_Mid_High Scenarios'!O3*10^6*'End Use Split'!O$12</f>
        <v>407522879.19999999</v>
      </c>
      <c r="P7">
        <f>'Low_Mid_High Scenarios'!P3*10^6*'End Use Split'!P$12</f>
        <v>420685845.5999999</v>
      </c>
      <c r="Q7">
        <f>'Low_Mid_High Scenarios'!Q3*10^6*'End Use Split'!Q$12</f>
        <v>433590503.20000005</v>
      </c>
      <c r="R7">
        <f>'Low_Mid_High Scenarios'!R3*10^6*'End Use Split'!R$12</f>
        <v>446117308</v>
      </c>
      <c r="S7">
        <f>'Low_Mid_High Scenarios'!S3*10^6*'End Use Split'!S$12</f>
        <v>458218676.80000001</v>
      </c>
      <c r="T7">
        <f>'Low_Mid_High Scenarios'!T3*10^6*'End Use Split'!T$12</f>
        <v>469702870.39999992</v>
      </c>
      <c r="U7">
        <f>'Low_Mid_High Scenarios'!U3*10^6*'End Use Split'!U$12</f>
        <v>480580905.5999999</v>
      </c>
      <c r="V7">
        <f>'Low_Mid_High Scenarios'!V3*10^6*'End Use Split'!V$12</f>
        <v>490665027.99999994</v>
      </c>
      <c r="W7">
        <f>'Low_Mid_High Scenarios'!W3*10^6*'End Use Split'!W$12</f>
        <v>499958519.20000005</v>
      </c>
      <c r="X7">
        <f>'Low_Mid_High Scenarios'!X3*10^6*'End Use Split'!X$12</f>
        <v>508238464.79999995</v>
      </c>
      <c r="Y7">
        <f>'Low_Mid_High Scenarios'!Y3*10^6*'End Use Split'!Y$12</f>
        <v>515433138.39999992</v>
      </c>
      <c r="Z7">
        <f>'Low_Mid_High Scenarios'!Z3*10^6*'End Use Split'!Z$12</f>
        <v>521463781.5999999</v>
      </c>
      <c r="AA7">
        <f>'Low_Mid_High Scenarios'!AA3*10^6*'End Use Split'!AA$12</f>
        <v>526285624</v>
      </c>
      <c r="AB7">
        <f>'Low_Mid_High Scenarios'!AB3*10^6*'End Use Split'!AB$12</f>
        <v>530567877.60000002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57CC6-6156-4D64-A44E-01D101893DEE}">
  <sheetPr>
    <tabColor rgb="FF002060"/>
  </sheetPr>
  <dimension ref="A1:AB7"/>
  <sheetViews>
    <sheetView workbookViewId="0">
      <selection activeCell="B2" sqref="B2"/>
    </sheetView>
  </sheetViews>
  <sheetFormatPr defaultRowHeight="15" x14ac:dyDescent="0.25"/>
  <cols>
    <col min="1" max="1" width="15.5703125" customWidth="1"/>
  </cols>
  <sheetData>
    <row r="1" spans="1:28" x14ac:dyDescent="0.25">
      <c r="A1" t="s">
        <v>0</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345</v>
      </c>
      <c r="B2">
        <f>0</f>
        <v>0</v>
      </c>
      <c r="C2">
        <f>0</f>
        <v>0</v>
      </c>
      <c r="D2">
        <f>0</f>
        <v>0</v>
      </c>
      <c r="E2">
        <f>0</f>
        <v>0</v>
      </c>
      <c r="F2">
        <f>0</f>
        <v>0</v>
      </c>
      <c r="G2">
        <f>0</f>
        <v>0</v>
      </c>
      <c r="H2">
        <f>0</f>
        <v>0</v>
      </c>
      <c r="I2">
        <f>0</f>
        <v>0</v>
      </c>
      <c r="J2">
        <f>0</f>
        <v>0</v>
      </c>
      <c r="K2">
        <f>0</f>
        <v>0</v>
      </c>
      <c r="L2">
        <f>0</f>
        <v>0</v>
      </c>
      <c r="M2">
        <f>0</f>
        <v>0</v>
      </c>
      <c r="N2">
        <f>0</f>
        <v>0</v>
      </c>
      <c r="O2">
        <f>0</f>
        <v>0</v>
      </c>
      <c r="P2">
        <f>0</f>
        <v>0</v>
      </c>
      <c r="Q2">
        <f>0</f>
        <v>0</v>
      </c>
      <c r="R2">
        <f>0</f>
        <v>0</v>
      </c>
      <c r="S2">
        <f>0</f>
        <v>0</v>
      </c>
      <c r="T2">
        <f>0</f>
        <v>0</v>
      </c>
      <c r="U2">
        <f>0</f>
        <v>0</v>
      </c>
      <c r="V2">
        <f>0</f>
        <v>0</v>
      </c>
      <c r="W2">
        <f>0</f>
        <v>0</v>
      </c>
      <c r="X2">
        <f>0</f>
        <v>0</v>
      </c>
      <c r="Y2">
        <f>0</f>
        <v>0</v>
      </c>
      <c r="Z2">
        <f>0</f>
        <v>0</v>
      </c>
      <c r="AA2">
        <f>0</f>
        <v>0</v>
      </c>
      <c r="AB2">
        <f>0</f>
        <v>0</v>
      </c>
    </row>
    <row r="3" spans="1:28" x14ac:dyDescent="0.25">
      <c r="A3" t="s">
        <v>346</v>
      </c>
      <c r="B3">
        <f>'Low_Mid_High Scenarios'!B4*10^6*'End Use Split'!B$11</f>
        <v>52571428.571428567</v>
      </c>
      <c r="C3">
        <f>'Low_Mid_High Scenarios'!C4*10^6*'End Use Split'!C$11</f>
        <v>59596330.27522935</v>
      </c>
      <c r="D3">
        <f>'Low_Mid_High Scenarios'!D4*10^6*'End Use Split'!D$11</f>
        <v>71132075.47169809</v>
      </c>
      <c r="E3">
        <f>'Low_Mid_High Scenarios'!E4*10^6*'End Use Split'!E$11</f>
        <v>82398058.252427191</v>
      </c>
      <c r="F3">
        <f>'Low_Mid_High Scenarios'!F4*10^6*'End Use Split'!F$11</f>
        <v>89599999.999999985</v>
      </c>
      <c r="G3">
        <f>'Low_Mid_High Scenarios'!G4*10^6*'End Use Split'!G$11</f>
        <v>103599999.99999997</v>
      </c>
      <c r="H3">
        <f>'Low_Mid_High Scenarios'!H4*10^6*'End Use Split'!H$11</f>
        <v>116999999.99999997</v>
      </c>
      <c r="I3">
        <f>'Low_Mid_High Scenarios'!I4*10^6*'End Use Split'!I$11</f>
        <v>123079999.99999881</v>
      </c>
      <c r="J3">
        <f>'Low_Mid_High Scenarios'!J4*10^6*'End Use Split'!J$11</f>
        <v>129159999.99999909</v>
      </c>
      <c r="K3">
        <f>'Low_Mid_High Scenarios'!K4*10^6*'End Use Split'!K$11</f>
        <v>135239999.9999994</v>
      </c>
      <c r="L3">
        <f>'Low_Mid_High Scenarios'!L4*10^6*'End Use Split'!L$11</f>
        <v>141319999.99999967</v>
      </c>
      <c r="M3">
        <f>'Low_Mid_High Scenarios'!M4*10^6*'End Use Split'!M$11</f>
        <v>147399999.99999997</v>
      </c>
      <c r="N3">
        <f>'Low_Mid_High Scenarios'!N4*10^6*'End Use Split'!N$11</f>
        <v>150720000.00000113</v>
      </c>
      <c r="O3">
        <f>'Low_Mid_High Scenarios'!O4*10^6*'End Use Split'!O$11</f>
        <v>154040000.00000083</v>
      </c>
      <c r="P3">
        <f>'Low_Mid_High Scenarios'!P4*10^6*'End Use Split'!P$11</f>
        <v>157360000.00000054</v>
      </c>
      <c r="Q3">
        <f>'Low_Mid_High Scenarios'!Q4*10^6*'End Use Split'!Q$11</f>
        <v>160680000.00000024</v>
      </c>
      <c r="R3">
        <f>'Low_Mid_High Scenarios'!R4*10^6*'End Use Split'!R$11</f>
        <v>163999999.99999997</v>
      </c>
      <c r="S3">
        <f>'Low_Mid_High Scenarios'!S4*10^6*'End Use Split'!S$11</f>
        <v>165880000.00000024</v>
      </c>
      <c r="T3">
        <f>'Low_Mid_High Scenarios'!T4*10^6*'End Use Split'!T$11</f>
        <v>167759999.99999982</v>
      </c>
      <c r="U3">
        <f>'Low_Mid_High Scenarios'!U4*10^6*'End Use Split'!U$11</f>
        <v>169640000.00000012</v>
      </c>
      <c r="V3">
        <f>'Low_Mid_High Scenarios'!V4*10^6*'End Use Split'!V$11</f>
        <v>171520000.00000039</v>
      </c>
      <c r="W3">
        <f>'Low_Mid_High Scenarios'!W4*10^6*'End Use Split'!W$11</f>
        <v>173399999.99999997</v>
      </c>
      <c r="X3">
        <f>'Low_Mid_High Scenarios'!X4*10^6*'End Use Split'!X$11</f>
        <v>175280000.00000024</v>
      </c>
      <c r="Y3">
        <f>'Low_Mid_High Scenarios'!Y4*10^6*'End Use Split'!Y$11</f>
        <v>177159999.99999982</v>
      </c>
      <c r="Z3">
        <f>'Low_Mid_High Scenarios'!Z4*10^6*'End Use Split'!Z$11</f>
        <v>179040000.00000009</v>
      </c>
      <c r="AA3">
        <f>'Low_Mid_High Scenarios'!AA4*10^6*'End Use Split'!AA$11</f>
        <v>180920000.00000039</v>
      </c>
      <c r="AB3">
        <f>'Low_Mid_High Scenarios'!AB4*10^6*'End Use Split'!AB$11</f>
        <v>182799999.99999997</v>
      </c>
    </row>
    <row r="4" spans="1:28" x14ac:dyDescent="0.25">
      <c r="A4" t="s">
        <v>347</v>
      </c>
      <c r="B4">
        <f>0</f>
        <v>0</v>
      </c>
      <c r="C4">
        <f>0</f>
        <v>0</v>
      </c>
      <c r="D4">
        <f>0</f>
        <v>0</v>
      </c>
      <c r="E4">
        <f>0</f>
        <v>0</v>
      </c>
      <c r="F4">
        <f>0</f>
        <v>0</v>
      </c>
      <c r="G4">
        <f>0</f>
        <v>0</v>
      </c>
      <c r="H4">
        <f>0</f>
        <v>0</v>
      </c>
      <c r="I4">
        <f>0</f>
        <v>0</v>
      </c>
      <c r="J4">
        <f>0</f>
        <v>0</v>
      </c>
      <c r="K4">
        <f>0</f>
        <v>0</v>
      </c>
      <c r="L4">
        <f>0</f>
        <v>0</v>
      </c>
      <c r="M4">
        <f>0</f>
        <v>0</v>
      </c>
      <c r="N4">
        <f>0</f>
        <v>0</v>
      </c>
      <c r="O4">
        <f>0</f>
        <v>0</v>
      </c>
      <c r="P4">
        <f>0</f>
        <v>0</v>
      </c>
      <c r="Q4">
        <f>0</f>
        <v>0</v>
      </c>
      <c r="R4">
        <f>0</f>
        <v>0</v>
      </c>
      <c r="S4">
        <f>0</f>
        <v>0</v>
      </c>
      <c r="T4">
        <f>0</f>
        <v>0</v>
      </c>
      <c r="U4">
        <f>0</f>
        <v>0</v>
      </c>
      <c r="V4">
        <f>0</f>
        <v>0</v>
      </c>
      <c r="W4">
        <f>0</f>
        <v>0</v>
      </c>
      <c r="X4">
        <f>0</f>
        <v>0</v>
      </c>
      <c r="Y4">
        <f>0</f>
        <v>0</v>
      </c>
      <c r="Z4">
        <f>0</f>
        <v>0</v>
      </c>
      <c r="AA4">
        <f>0</f>
        <v>0</v>
      </c>
      <c r="AB4">
        <f>0</f>
        <v>0</v>
      </c>
    </row>
    <row r="5" spans="1:28" x14ac:dyDescent="0.25">
      <c r="A5" t="s">
        <v>348</v>
      </c>
      <c r="B5">
        <f>0</f>
        <v>0</v>
      </c>
      <c r="C5">
        <f>0</f>
        <v>0</v>
      </c>
      <c r="D5">
        <f>0</f>
        <v>0</v>
      </c>
      <c r="E5">
        <f>0</f>
        <v>0</v>
      </c>
      <c r="F5">
        <f>0</f>
        <v>0</v>
      </c>
      <c r="G5">
        <f>0</f>
        <v>0</v>
      </c>
      <c r="H5">
        <f>0</f>
        <v>0</v>
      </c>
      <c r="I5">
        <f>0</f>
        <v>0</v>
      </c>
      <c r="J5">
        <f>0</f>
        <v>0</v>
      </c>
      <c r="K5">
        <f>0</f>
        <v>0</v>
      </c>
      <c r="L5">
        <f>0</f>
        <v>0</v>
      </c>
      <c r="M5">
        <f>0</f>
        <v>0</v>
      </c>
      <c r="N5">
        <f>0</f>
        <v>0</v>
      </c>
      <c r="O5">
        <f>0</f>
        <v>0</v>
      </c>
      <c r="P5">
        <f>0</f>
        <v>0</v>
      </c>
      <c r="Q5">
        <f>0</f>
        <v>0</v>
      </c>
      <c r="R5">
        <f>0</f>
        <v>0</v>
      </c>
      <c r="S5">
        <f>0</f>
        <v>0</v>
      </c>
      <c r="T5">
        <f>0</f>
        <v>0</v>
      </c>
      <c r="U5">
        <f>0</f>
        <v>0</v>
      </c>
      <c r="V5">
        <f>0</f>
        <v>0</v>
      </c>
      <c r="W5">
        <f>0</f>
        <v>0</v>
      </c>
      <c r="X5">
        <f>0</f>
        <v>0</v>
      </c>
      <c r="Y5">
        <f>0</f>
        <v>0</v>
      </c>
      <c r="Z5">
        <f>0</f>
        <v>0</v>
      </c>
      <c r="AA5">
        <f>0</f>
        <v>0</v>
      </c>
      <c r="AB5">
        <f>0</f>
        <v>0</v>
      </c>
    </row>
    <row r="6" spans="1:28" x14ac:dyDescent="0.25">
      <c r="A6" t="s">
        <v>349</v>
      </c>
      <c r="B6">
        <f>0</f>
        <v>0</v>
      </c>
      <c r="C6">
        <f>0</f>
        <v>0</v>
      </c>
      <c r="D6">
        <f>0</f>
        <v>0</v>
      </c>
      <c r="E6">
        <f>0</f>
        <v>0</v>
      </c>
      <c r="F6">
        <f>0</f>
        <v>0</v>
      </c>
      <c r="G6">
        <f>0</f>
        <v>0</v>
      </c>
      <c r="H6">
        <f>0</f>
        <v>0</v>
      </c>
      <c r="I6">
        <f>0</f>
        <v>0</v>
      </c>
      <c r="J6">
        <f>0</f>
        <v>0</v>
      </c>
      <c r="K6">
        <f>0</f>
        <v>0</v>
      </c>
      <c r="L6">
        <f>0</f>
        <v>0</v>
      </c>
      <c r="M6">
        <f>0</f>
        <v>0</v>
      </c>
      <c r="N6">
        <f>0</f>
        <v>0</v>
      </c>
      <c r="O6">
        <f>0</f>
        <v>0</v>
      </c>
      <c r="P6">
        <f>0</f>
        <v>0</v>
      </c>
      <c r="Q6">
        <f>0</f>
        <v>0</v>
      </c>
      <c r="R6">
        <f>0</f>
        <v>0</v>
      </c>
      <c r="S6">
        <f>0</f>
        <v>0</v>
      </c>
      <c r="T6">
        <f>0</f>
        <v>0</v>
      </c>
      <c r="U6">
        <f>0</f>
        <v>0</v>
      </c>
      <c r="V6">
        <f>0</f>
        <v>0</v>
      </c>
      <c r="W6">
        <f>0</f>
        <v>0</v>
      </c>
      <c r="X6">
        <f>0</f>
        <v>0</v>
      </c>
      <c r="Y6">
        <f>0</f>
        <v>0</v>
      </c>
      <c r="Z6">
        <f>0</f>
        <v>0</v>
      </c>
      <c r="AA6">
        <f>0</f>
        <v>0</v>
      </c>
      <c r="AB6">
        <f>0</f>
        <v>0</v>
      </c>
    </row>
    <row r="7" spans="1:28" x14ac:dyDescent="0.25">
      <c r="A7" t="s">
        <v>350</v>
      </c>
      <c r="B7">
        <f>'Low_Mid_High Scenarios'!B4*10^6*'End Use Split'!B$12</f>
        <v>131428571.42857143</v>
      </c>
      <c r="C7">
        <f>'Low_Mid_High Scenarios'!C4*10^6*'End Use Split'!C$12</f>
        <v>164403669.72477067</v>
      </c>
      <c r="D7">
        <f>'Low_Mid_High Scenarios'!D4*10^6*'End Use Split'!D$12</f>
        <v>218867924.52830189</v>
      </c>
      <c r="E7">
        <f>'Low_Mid_High Scenarios'!E4*10^6*'End Use Split'!E$12</f>
        <v>286601941.74757284</v>
      </c>
      <c r="F7">
        <f>'Low_Mid_High Scenarios'!F4*10^6*'End Use Split'!F$12</f>
        <v>358400000</v>
      </c>
      <c r="G7">
        <f>'Low_Mid_High Scenarios'!G4*10^6*'End Use Split'!G$12</f>
        <v>414400000</v>
      </c>
      <c r="H7">
        <f>'Low_Mid_High Scenarios'!H4*10^6*'End Use Split'!H$12</f>
        <v>468000000</v>
      </c>
      <c r="I7">
        <f>'Low_Mid_High Scenarios'!I4*10^6*'End Use Split'!I$12</f>
        <v>492319999.99999535</v>
      </c>
      <c r="J7">
        <f>'Low_Mid_High Scenarios'!J4*10^6*'End Use Split'!J$12</f>
        <v>516639999.99999648</v>
      </c>
      <c r="K7">
        <f>'Low_Mid_High Scenarios'!K4*10^6*'End Use Split'!K$12</f>
        <v>540959999.99999774</v>
      </c>
      <c r="L7">
        <f>'Low_Mid_High Scenarios'!L4*10^6*'End Use Split'!L$12</f>
        <v>565279999.99999893</v>
      </c>
      <c r="M7">
        <f>'Low_Mid_High Scenarios'!M4*10^6*'End Use Split'!M$12</f>
        <v>589600000</v>
      </c>
      <c r="N7">
        <f>'Low_Mid_High Scenarios'!N4*10^6*'End Use Split'!N$12</f>
        <v>602880000.00000465</v>
      </c>
      <c r="O7">
        <f>'Low_Mid_High Scenarios'!O4*10^6*'End Use Split'!O$12</f>
        <v>616160000.00000358</v>
      </c>
      <c r="P7">
        <f>'Low_Mid_High Scenarios'!P4*10^6*'End Use Split'!P$12</f>
        <v>629440000.00000226</v>
      </c>
      <c r="Q7">
        <f>'Low_Mid_High Scenarios'!Q4*10^6*'End Use Split'!Q$12</f>
        <v>642720000.00000119</v>
      </c>
      <c r="R7">
        <f>'Low_Mid_High Scenarios'!R4*10^6*'End Use Split'!R$12</f>
        <v>656000000</v>
      </c>
      <c r="S7">
        <f>'Low_Mid_High Scenarios'!S4*10^6*'End Use Split'!S$12</f>
        <v>663520000.00000119</v>
      </c>
      <c r="T7">
        <f>'Low_Mid_High Scenarios'!T4*10^6*'End Use Split'!T$12</f>
        <v>671039999.99999952</v>
      </c>
      <c r="U7">
        <f>'Low_Mid_High Scenarios'!U4*10^6*'End Use Split'!U$12</f>
        <v>678560000.0000006</v>
      </c>
      <c r="V7">
        <f>'Low_Mid_High Scenarios'!V4*10^6*'End Use Split'!V$12</f>
        <v>686080000.00000179</v>
      </c>
      <c r="W7">
        <f>'Low_Mid_High Scenarios'!W4*10^6*'End Use Split'!W$12</f>
        <v>693600000</v>
      </c>
      <c r="X7">
        <f>'Low_Mid_High Scenarios'!X4*10^6*'End Use Split'!X$12</f>
        <v>701120000.00000119</v>
      </c>
      <c r="Y7">
        <f>'Low_Mid_High Scenarios'!Y4*10^6*'End Use Split'!Y$12</f>
        <v>708639999.99999952</v>
      </c>
      <c r="Z7">
        <f>'Low_Mid_High Scenarios'!Z4*10^6*'End Use Split'!Z$12</f>
        <v>716160000.0000006</v>
      </c>
      <c r="AA7">
        <f>'Low_Mid_High Scenarios'!AA4*10^6*'End Use Split'!AA$12</f>
        <v>723680000.00000179</v>
      </c>
      <c r="AB7">
        <f>'Low_Mid_High Scenarios'!AB4*10^6*'End Use Split'!AB$12</f>
        <v>731200000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B2C6F-1FBE-4489-B976-BAC29E9763D4}">
  <sheetPr>
    <tabColor rgb="FF002060"/>
  </sheetPr>
  <dimension ref="A1:AB7"/>
  <sheetViews>
    <sheetView workbookViewId="0">
      <selection activeCell="B2" sqref="B2"/>
    </sheetView>
  </sheetViews>
  <sheetFormatPr defaultRowHeight="15" x14ac:dyDescent="0.25"/>
  <cols>
    <col min="1" max="1" width="15.5703125" customWidth="1"/>
  </cols>
  <sheetData>
    <row r="1" spans="1:28" x14ac:dyDescent="0.25">
      <c r="A1" t="s">
        <v>0</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345</v>
      </c>
      <c r="B2">
        <f>0</f>
        <v>0</v>
      </c>
      <c r="C2">
        <f>0</f>
        <v>0</v>
      </c>
      <c r="D2">
        <f>0</f>
        <v>0</v>
      </c>
      <c r="E2">
        <f>0</f>
        <v>0</v>
      </c>
      <c r="F2">
        <f>0</f>
        <v>0</v>
      </c>
      <c r="G2">
        <f>0</f>
        <v>0</v>
      </c>
      <c r="H2">
        <f>0</f>
        <v>0</v>
      </c>
      <c r="I2">
        <f>0</f>
        <v>0</v>
      </c>
      <c r="J2">
        <f>0</f>
        <v>0</v>
      </c>
      <c r="K2">
        <f>0</f>
        <v>0</v>
      </c>
      <c r="L2">
        <f>0</f>
        <v>0</v>
      </c>
      <c r="M2">
        <f>0</f>
        <v>0</v>
      </c>
      <c r="N2">
        <f>0</f>
        <v>0</v>
      </c>
      <c r="O2">
        <f>0</f>
        <v>0</v>
      </c>
      <c r="P2">
        <f>0</f>
        <v>0</v>
      </c>
      <c r="Q2">
        <f>0</f>
        <v>0</v>
      </c>
      <c r="R2">
        <f>0</f>
        <v>0</v>
      </c>
      <c r="S2">
        <f>0</f>
        <v>0</v>
      </c>
      <c r="T2">
        <f>0</f>
        <v>0</v>
      </c>
      <c r="U2">
        <f>0</f>
        <v>0</v>
      </c>
      <c r="V2">
        <f>0</f>
        <v>0</v>
      </c>
      <c r="W2">
        <f>0</f>
        <v>0</v>
      </c>
      <c r="X2">
        <f>0</f>
        <v>0</v>
      </c>
      <c r="Y2">
        <f>0</f>
        <v>0</v>
      </c>
      <c r="Z2">
        <f>0</f>
        <v>0</v>
      </c>
      <c r="AA2">
        <f>0</f>
        <v>0</v>
      </c>
      <c r="AB2">
        <f>0</f>
        <v>0</v>
      </c>
    </row>
    <row r="3" spans="1:28" x14ac:dyDescent="0.25">
      <c r="A3" t="s">
        <v>346</v>
      </c>
      <c r="B3">
        <f>'Low_Mid_High Scenarios'!B5*10^6*'End Use Split'!B$11</f>
        <v>52571428.571428567</v>
      </c>
      <c r="C3">
        <f>'Low_Mid_High Scenarios'!C5*10^6*'End Use Split'!C$11</f>
        <v>59596330.27522935</v>
      </c>
      <c r="D3">
        <f>'Low_Mid_High Scenarios'!D5*10^6*'End Use Split'!D$11</f>
        <v>77018867.924528286</v>
      </c>
      <c r="E3">
        <f>'Low_Mid_High Scenarios'!E5*10^6*'End Use Split'!E$11</f>
        <v>94902912.621359229</v>
      </c>
      <c r="F3">
        <f>'Low_Mid_High Scenarios'!F5*10^6*'End Use Split'!F$11</f>
        <v>108799999.99999997</v>
      </c>
      <c r="G3">
        <f>'Low_Mid_High Scenarios'!G5*10^6*'End Use Split'!G$11</f>
        <v>130599999.99999997</v>
      </c>
      <c r="H3">
        <f>'Low_Mid_High Scenarios'!H5*10^6*'End Use Split'!H$11</f>
        <v>151999999.99999997</v>
      </c>
      <c r="I3">
        <f>'Low_Mid_High Scenarios'!I5*10^6*'End Use Split'!I$11</f>
        <v>164999999.99999997</v>
      </c>
      <c r="J3">
        <f>'Low_Mid_High Scenarios'!J5*10^6*'End Use Split'!J$11</f>
        <v>177999999.99999997</v>
      </c>
      <c r="K3">
        <f>'Low_Mid_High Scenarios'!K5*10^6*'End Use Split'!K$11</f>
        <v>190999999.99999997</v>
      </c>
      <c r="L3">
        <f>'Low_Mid_High Scenarios'!L5*10^6*'End Use Split'!L$11</f>
        <v>203999999.99999994</v>
      </c>
      <c r="M3">
        <f>'Low_Mid_High Scenarios'!M5*10^6*'End Use Split'!M$11</f>
        <v>216999999.99999994</v>
      </c>
      <c r="N3">
        <f>'Low_Mid_High Scenarios'!N5*10^6*'End Use Split'!N$11</f>
        <v>224159999.99999762</v>
      </c>
      <c r="O3">
        <f>'Low_Mid_High Scenarios'!O5*10^6*'End Use Split'!O$11</f>
        <v>231319999.99999818</v>
      </c>
      <c r="P3">
        <f>'Low_Mid_High Scenarios'!P5*10^6*'End Use Split'!P$11</f>
        <v>238479999.99999881</v>
      </c>
      <c r="Q3">
        <f>'Low_Mid_High Scenarios'!Q5*10^6*'End Use Split'!Q$11</f>
        <v>245639999.99999937</v>
      </c>
      <c r="R3">
        <f>'Low_Mid_High Scenarios'!R5*10^6*'End Use Split'!R$11</f>
        <v>252799999.99999994</v>
      </c>
      <c r="S3">
        <f>'Low_Mid_High Scenarios'!S5*10^6*'End Use Split'!S$11</f>
        <v>261940000.00000226</v>
      </c>
      <c r="T3">
        <f>'Low_Mid_High Scenarios'!T5*10^6*'End Use Split'!T$11</f>
        <v>271080000.00000173</v>
      </c>
      <c r="U3">
        <f>'Low_Mid_High Scenarios'!U5*10^6*'End Use Split'!U$11</f>
        <v>280220000.00000107</v>
      </c>
      <c r="V3">
        <f>'Low_Mid_High Scenarios'!V5*10^6*'End Use Split'!V$11</f>
        <v>289360000.00000054</v>
      </c>
      <c r="W3">
        <f>'Low_Mid_High Scenarios'!W5*10^6*'End Use Split'!W$11</f>
        <v>298499999.99999994</v>
      </c>
      <c r="X3">
        <f>'Low_Mid_High Scenarios'!X5*10^6*'End Use Split'!X$11</f>
        <v>307640000.00000226</v>
      </c>
      <c r="Y3">
        <f>'Low_Mid_High Scenarios'!Y5*10^6*'End Use Split'!Y$11</f>
        <v>316780000.00000167</v>
      </c>
      <c r="Z3">
        <f>'Low_Mid_High Scenarios'!Z5*10^6*'End Use Split'!Z$11</f>
        <v>325920000.00000107</v>
      </c>
      <c r="AA3">
        <f>'Low_Mid_High Scenarios'!AA5*10^6*'End Use Split'!AA$11</f>
        <v>335060000.00000048</v>
      </c>
      <c r="AB3">
        <f>'Low_Mid_High Scenarios'!AB5*10^6*'End Use Split'!AB$11</f>
        <v>344199999.99999994</v>
      </c>
    </row>
    <row r="4" spans="1:28" x14ac:dyDescent="0.25">
      <c r="A4" t="s">
        <v>347</v>
      </c>
      <c r="B4">
        <f>0</f>
        <v>0</v>
      </c>
      <c r="C4">
        <f>0</f>
        <v>0</v>
      </c>
      <c r="D4">
        <f>0</f>
        <v>0</v>
      </c>
      <c r="E4">
        <f>0</f>
        <v>0</v>
      </c>
      <c r="F4">
        <f>0</f>
        <v>0</v>
      </c>
      <c r="G4">
        <f>0</f>
        <v>0</v>
      </c>
      <c r="H4">
        <f>0</f>
        <v>0</v>
      </c>
      <c r="I4">
        <f>0</f>
        <v>0</v>
      </c>
      <c r="J4">
        <f>0</f>
        <v>0</v>
      </c>
      <c r="K4">
        <f>0</f>
        <v>0</v>
      </c>
      <c r="L4">
        <f>0</f>
        <v>0</v>
      </c>
      <c r="M4">
        <f>0</f>
        <v>0</v>
      </c>
      <c r="N4">
        <f>0</f>
        <v>0</v>
      </c>
      <c r="O4">
        <f>0</f>
        <v>0</v>
      </c>
      <c r="P4">
        <f>0</f>
        <v>0</v>
      </c>
      <c r="Q4">
        <f>0</f>
        <v>0</v>
      </c>
      <c r="R4">
        <f>0</f>
        <v>0</v>
      </c>
      <c r="S4">
        <f>0</f>
        <v>0</v>
      </c>
      <c r="T4">
        <f>0</f>
        <v>0</v>
      </c>
      <c r="U4">
        <f>0</f>
        <v>0</v>
      </c>
      <c r="V4">
        <f>0</f>
        <v>0</v>
      </c>
      <c r="W4">
        <f>0</f>
        <v>0</v>
      </c>
      <c r="X4">
        <f>0</f>
        <v>0</v>
      </c>
      <c r="Y4">
        <f>0</f>
        <v>0</v>
      </c>
      <c r="Z4">
        <f>0</f>
        <v>0</v>
      </c>
      <c r="AA4">
        <f>0</f>
        <v>0</v>
      </c>
      <c r="AB4">
        <f>0</f>
        <v>0</v>
      </c>
    </row>
    <row r="5" spans="1:28" x14ac:dyDescent="0.25">
      <c r="A5" t="s">
        <v>348</v>
      </c>
      <c r="B5">
        <f>0</f>
        <v>0</v>
      </c>
      <c r="C5">
        <f>0</f>
        <v>0</v>
      </c>
      <c r="D5">
        <f>0</f>
        <v>0</v>
      </c>
      <c r="E5">
        <f>0</f>
        <v>0</v>
      </c>
      <c r="F5">
        <f>0</f>
        <v>0</v>
      </c>
      <c r="G5">
        <f>0</f>
        <v>0</v>
      </c>
      <c r="H5">
        <f>0</f>
        <v>0</v>
      </c>
      <c r="I5">
        <f>0</f>
        <v>0</v>
      </c>
      <c r="J5">
        <f>0</f>
        <v>0</v>
      </c>
      <c r="K5">
        <f>0</f>
        <v>0</v>
      </c>
      <c r="L5">
        <f>0</f>
        <v>0</v>
      </c>
      <c r="M5">
        <f>0</f>
        <v>0</v>
      </c>
      <c r="N5">
        <f>0</f>
        <v>0</v>
      </c>
      <c r="O5">
        <f>0</f>
        <v>0</v>
      </c>
      <c r="P5">
        <f>0</f>
        <v>0</v>
      </c>
      <c r="Q5">
        <f>0</f>
        <v>0</v>
      </c>
      <c r="R5">
        <f>0</f>
        <v>0</v>
      </c>
      <c r="S5">
        <f>0</f>
        <v>0</v>
      </c>
      <c r="T5">
        <f>0</f>
        <v>0</v>
      </c>
      <c r="U5">
        <f>0</f>
        <v>0</v>
      </c>
      <c r="V5">
        <f>0</f>
        <v>0</v>
      </c>
      <c r="W5">
        <f>0</f>
        <v>0</v>
      </c>
      <c r="X5">
        <f>0</f>
        <v>0</v>
      </c>
      <c r="Y5">
        <f>0</f>
        <v>0</v>
      </c>
      <c r="Z5">
        <f>0</f>
        <v>0</v>
      </c>
      <c r="AA5">
        <f>0</f>
        <v>0</v>
      </c>
      <c r="AB5">
        <f>0</f>
        <v>0</v>
      </c>
    </row>
    <row r="6" spans="1:28" x14ac:dyDescent="0.25">
      <c r="A6" t="s">
        <v>349</v>
      </c>
      <c r="B6">
        <f>0</f>
        <v>0</v>
      </c>
      <c r="C6">
        <f>0</f>
        <v>0</v>
      </c>
      <c r="D6">
        <f>0</f>
        <v>0</v>
      </c>
      <c r="E6">
        <f>0</f>
        <v>0</v>
      </c>
      <c r="F6">
        <f>0</f>
        <v>0</v>
      </c>
      <c r="G6">
        <f>0</f>
        <v>0</v>
      </c>
      <c r="H6">
        <f>0</f>
        <v>0</v>
      </c>
      <c r="I6">
        <f>0</f>
        <v>0</v>
      </c>
      <c r="J6">
        <f>0</f>
        <v>0</v>
      </c>
      <c r="K6">
        <f>0</f>
        <v>0</v>
      </c>
      <c r="L6">
        <f>0</f>
        <v>0</v>
      </c>
      <c r="M6">
        <f>0</f>
        <v>0</v>
      </c>
      <c r="N6">
        <f>0</f>
        <v>0</v>
      </c>
      <c r="O6">
        <f>0</f>
        <v>0</v>
      </c>
      <c r="P6">
        <f>0</f>
        <v>0</v>
      </c>
      <c r="Q6">
        <f>0</f>
        <v>0</v>
      </c>
      <c r="R6">
        <f>0</f>
        <v>0</v>
      </c>
      <c r="S6">
        <f>0</f>
        <v>0</v>
      </c>
      <c r="T6">
        <f>0</f>
        <v>0</v>
      </c>
      <c r="U6">
        <f>0</f>
        <v>0</v>
      </c>
      <c r="V6">
        <f>0</f>
        <v>0</v>
      </c>
      <c r="W6">
        <f>0</f>
        <v>0</v>
      </c>
      <c r="X6">
        <f>0</f>
        <v>0</v>
      </c>
      <c r="Y6">
        <f>0</f>
        <v>0</v>
      </c>
      <c r="Z6">
        <f>0</f>
        <v>0</v>
      </c>
      <c r="AA6">
        <f>0</f>
        <v>0</v>
      </c>
      <c r="AB6">
        <f>0</f>
        <v>0</v>
      </c>
    </row>
    <row r="7" spans="1:28" x14ac:dyDescent="0.25">
      <c r="A7" t="s">
        <v>350</v>
      </c>
      <c r="B7">
        <f>'Low_Mid_High Scenarios'!B5*10^6*'End Use Split'!B$12</f>
        <v>131428571.42857143</v>
      </c>
      <c r="C7">
        <f>'Low_Mid_High Scenarios'!C5*10^6*'End Use Split'!C$12</f>
        <v>164403669.72477067</v>
      </c>
      <c r="D7">
        <f>'Low_Mid_High Scenarios'!D5*10^6*'End Use Split'!D$12</f>
        <v>236981132.07547173</v>
      </c>
      <c r="E7">
        <f>'Low_Mid_High Scenarios'!E5*10^6*'End Use Split'!E$12</f>
        <v>330097087.37864077</v>
      </c>
      <c r="F7">
        <f>'Low_Mid_High Scenarios'!F5*10^6*'End Use Split'!F$12</f>
        <v>435200000</v>
      </c>
      <c r="G7">
        <f>'Low_Mid_High Scenarios'!G5*10^6*'End Use Split'!G$12</f>
        <v>522400000</v>
      </c>
      <c r="H7">
        <f>'Low_Mid_High Scenarios'!H5*10^6*'End Use Split'!H$12</f>
        <v>608000000</v>
      </c>
      <c r="I7">
        <f>'Low_Mid_High Scenarios'!I5*10^6*'End Use Split'!I$12</f>
        <v>660000000</v>
      </c>
      <c r="J7">
        <f>'Low_Mid_High Scenarios'!J5*10^6*'End Use Split'!J$12</f>
        <v>712000000</v>
      </c>
      <c r="K7">
        <f>'Low_Mid_High Scenarios'!K5*10^6*'End Use Split'!K$12</f>
        <v>764000000</v>
      </c>
      <c r="L7">
        <f>'Low_Mid_High Scenarios'!L5*10^6*'End Use Split'!L$12</f>
        <v>816000000</v>
      </c>
      <c r="M7">
        <f>'Low_Mid_High Scenarios'!M5*10^6*'End Use Split'!M$12</f>
        <v>868000000</v>
      </c>
      <c r="N7">
        <f>'Low_Mid_High Scenarios'!N5*10^6*'End Use Split'!N$12</f>
        <v>896639999.9999907</v>
      </c>
      <c r="O7">
        <f>'Low_Mid_High Scenarios'!O5*10^6*'End Use Split'!O$12</f>
        <v>925279999.99999297</v>
      </c>
      <c r="P7">
        <f>'Low_Mid_High Scenarios'!P5*10^6*'End Use Split'!P$12</f>
        <v>953919999.99999547</v>
      </c>
      <c r="Q7">
        <f>'Low_Mid_High Scenarios'!Q5*10^6*'End Use Split'!Q$12</f>
        <v>982559999.99999774</v>
      </c>
      <c r="R7">
        <f>'Low_Mid_High Scenarios'!R5*10^6*'End Use Split'!R$12</f>
        <v>1011200000</v>
      </c>
      <c r="S7">
        <f>'Low_Mid_High Scenarios'!S5*10^6*'End Use Split'!S$12</f>
        <v>1047760000.0000094</v>
      </c>
      <c r="T7">
        <f>'Low_Mid_High Scenarios'!T5*10^6*'End Use Split'!T$12</f>
        <v>1084320000.0000072</v>
      </c>
      <c r="U7">
        <f>'Low_Mid_High Scenarios'!U5*10^6*'End Use Split'!U$12</f>
        <v>1120880000.0000045</v>
      </c>
      <c r="V7">
        <f>'Low_Mid_High Scenarios'!V5*10^6*'End Use Split'!V$12</f>
        <v>1157440000.0000024</v>
      </c>
      <c r="W7">
        <f>'Low_Mid_High Scenarios'!W5*10^6*'End Use Split'!W$12</f>
        <v>1194000000</v>
      </c>
      <c r="X7">
        <f>'Low_Mid_High Scenarios'!X5*10^6*'End Use Split'!X$12</f>
        <v>1230560000.0000093</v>
      </c>
      <c r="Y7">
        <f>'Low_Mid_High Scenarios'!Y5*10^6*'End Use Split'!Y$12</f>
        <v>1267120000.0000072</v>
      </c>
      <c r="Z7">
        <f>'Low_Mid_High Scenarios'!Z5*10^6*'End Use Split'!Z$12</f>
        <v>1303680000.0000048</v>
      </c>
      <c r="AA7">
        <f>'Low_Mid_High Scenarios'!AA5*10^6*'End Use Split'!AA$12</f>
        <v>1340240000.0000024</v>
      </c>
      <c r="AB7">
        <f>'Low_Mid_High Scenarios'!AB5*10^6*'End Use Split'!AB$12</f>
        <v>1376800000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vt:lpstr>
      <vt:lpstr>Low_Mid_High Scenarios</vt:lpstr>
      <vt:lpstr>End Use Split</vt:lpstr>
      <vt:lpstr>EPRI</vt:lpstr>
      <vt:lpstr>IEA</vt:lpstr>
      <vt:lpstr>AEO 2026 Table 5</vt:lpstr>
      <vt:lpstr>Evolved Energy ADP 2024</vt:lpstr>
      <vt:lpstr>BDCL-low</vt:lpstr>
      <vt:lpstr>BDCL-mid</vt:lpstr>
      <vt:lpstr>BDCL-high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 Trevisan</dc:creator>
  <cp:lastModifiedBy>Robbie Orvis</cp:lastModifiedBy>
  <dcterms:created xsi:type="dcterms:W3CDTF">2015-06-05T18:17:20Z</dcterms:created>
  <dcterms:modified xsi:type="dcterms:W3CDTF">2026-10-23T18:37:09Z</dcterms:modified>
</cp:coreProperties>
</file>