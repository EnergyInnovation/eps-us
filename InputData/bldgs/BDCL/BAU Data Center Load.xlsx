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bldgs\BDCL\"/>
    </mc:Choice>
  </mc:AlternateContent>
  <xr:revisionPtr revIDLastSave="0" documentId="13_ncr:1_{9A3C9012-AAB1-4DC7-A27F-0F6C12B443BA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About" sheetId="1" r:id="rId1"/>
    <sheet name="Low_Mid_High Scenarios" sheetId="10" r:id="rId2"/>
    <sheet name="EPRI" sheetId="31" r:id="rId3"/>
    <sheet name="AEO 2025 Table 5" sheetId="27" r:id="rId4"/>
    <sheet name="AEO 2023 Table 5" sheetId="28" r:id="rId5"/>
    <sheet name="AEO Data Center Load" sheetId="29" r:id="rId6"/>
    <sheet name="Evolved Energy ADP 2024" sheetId="18" r:id="rId7"/>
    <sheet name="BDCL-low" sheetId="6" r:id="rId8"/>
    <sheet name="BDCL-mid" sheetId="2" r:id="rId9"/>
    <sheet name="BDCL-high" sheetId="7" r:id="rId10"/>
  </sheets>
  <externalReferences>
    <externalReference r:id="rId11"/>
  </externalReferences>
  <definedNames>
    <definedName name="Fraction_coal">[1]About!$C$53</definedName>
    <definedName name="gal_per_barrel">#REF!</definedName>
    <definedName name="Percent_rural">[1]About!$A$75</definedName>
    <definedName name="Percent_urban">[1]About!$A$74</definedName>
    <definedName name="quadrillion">[1]About!$B$77</definedName>
    <definedName name="Table4">#REF!</definedName>
    <definedName name="Table4_1">#REF!</definedName>
    <definedName name="Table4_1_22">#REF!</definedName>
    <definedName name="Table4_22">#REF!</definedName>
    <definedName name="Table4_A">#REF!</definedName>
    <definedName name="Table4_A_22">#REF!</definedName>
    <definedName name="Table5">#REF!</definedName>
    <definedName name="Table5_1">#REF!</definedName>
    <definedName name="Table5_1_22">#REF!</definedName>
    <definedName name="Table5_22">#REF!</definedName>
    <definedName name="Table5_A">#REF!</definedName>
    <definedName name="Table5_A_2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0" l="1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I5" i="10"/>
  <c r="B3" i="10"/>
  <c r="C28" i="10"/>
  <c r="C24" i="10"/>
  <c r="D19" i="10"/>
  <c r="E19" i="10"/>
  <c r="F19" i="10"/>
  <c r="G19" i="10"/>
  <c r="D20" i="10"/>
  <c r="E20" i="10"/>
  <c r="F20" i="10"/>
  <c r="G20" i="10"/>
  <c r="C20" i="10"/>
  <c r="C19" i="10"/>
  <c r="H27" i="10"/>
  <c r="H28" i="10" s="1"/>
  <c r="H23" i="10"/>
  <c r="H24" i="10" s="1"/>
  <c r="C4" i="18"/>
  <c r="F28" i="10" l="1" a="1"/>
  <c r="F28" i="10" s="1"/>
  <c r="G28" i="10" a="1"/>
  <c r="G28" i="10" s="1"/>
  <c r="E28" i="10" a="1"/>
  <c r="E28" i="10" s="1"/>
  <c r="D28" i="10" a="1"/>
  <c r="D28" i="10" s="1"/>
  <c r="D24" i="10" a="1"/>
  <c r="D24" i="10" s="1"/>
  <c r="E24" i="10" a="1"/>
  <c r="E24" i="10" s="1"/>
  <c r="G24" i="10" a="1"/>
  <c r="G24" i="10" s="1"/>
  <c r="F24" i="10" a="1"/>
  <c r="F24" i="10" s="1"/>
  <c r="I23" i="10"/>
  <c r="I27" i="10"/>
  <c r="J23" i="10" l="1"/>
  <c r="I24" i="10" a="1"/>
  <c r="I24" i="10" s="1"/>
  <c r="I25" i="10" s="1"/>
  <c r="H25" i="10" s="1"/>
  <c r="G25" i="10" s="1"/>
  <c r="F25" i="10" s="1"/>
  <c r="E25" i="10" s="1"/>
  <c r="D25" i="10" s="1"/>
  <c r="J27" i="10"/>
  <c r="I28" i="10" a="1"/>
  <c r="I28" i="10" s="1"/>
  <c r="N27" i="10"/>
  <c r="N23" i="10"/>
  <c r="J24" i="10" l="1" a="1"/>
  <c r="J24" i="10" s="1"/>
  <c r="J25" i="10" s="1"/>
  <c r="K23" i="10"/>
  <c r="J28" i="10" a="1"/>
  <c r="J28" i="10" s="1"/>
  <c r="K27" i="10"/>
  <c r="I29" i="10"/>
  <c r="H29" i="10" s="1"/>
  <c r="G29" i="10" s="1"/>
  <c r="F29" i="10" s="1"/>
  <c r="E29" i="10" s="1"/>
  <c r="D29" i="10" s="1"/>
  <c r="C29" i="10" s="1"/>
  <c r="O27" i="10"/>
  <c r="N28" i="10" a="1"/>
  <c r="N28" i="10" s="1"/>
  <c r="O23" i="10"/>
  <c r="N24" i="10" a="1"/>
  <c r="N24" i="10" s="1"/>
  <c r="S23" i="10"/>
  <c r="N25" i="10"/>
  <c r="S27" i="10"/>
  <c r="K24" i="10" l="1" a="1"/>
  <c r="K24" i="10" s="1"/>
  <c r="K25" i="10" s="1"/>
  <c r="L23" i="10"/>
  <c r="J29" i="10"/>
  <c r="K28" i="10" a="1"/>
  <c r="K28" i="10" s="1"/>
  <c r="L27" i="10"/>
  <c r="O28" i="10" a="1"/>
  <c r="O28" i="10" s="1"/>
  <c r="P27" i="10"/>
  <c r="O24" i="10" a="1"/>
  <c r="O24" i="10" s="1"/>
  <c r="O25" i="10" s="1"/>
  <c r="P23" i="10"/>
  <c r="N29" i="10"/>
  <c r="T23" i="10"/>
  <c r="S24" i="10" a="1"/>
  <c r="S24" i="10" s="1"/>
  <c r="S25" i="10" s="1"/>
  <c r="T27" i="10"/>
  <c r="S28" i="10" a="1"/>
  <c r="S28" i="10" s="1"/>
  <c r="AB28" i="10"/>
  <c r="AB24" i="10"/>
  <c r="S29" i="10"/>
  <c r="L24" i="10" l="1" a="1"/>
  <c r="L24" i="10" s="1"/>
  <c r="M23" i="10"/>
  <c r="M24" i="10" s="1"/>
  <c r="K29" i="10"/>
  <c r="L28" i="10" a="1"/>
  <c r="L28" i="10" s="1"/>
  <c r="M27" i="10"/>
  <c r="M28" i="10" s="1"/>
  <c r="O29" i="10"/>
  <c r="P28" i="10" a="1"/>
  <c r="P28" i="10" s="1"/>
  <c r="Q27" i="10"/>
  <c r="P24" i="10" a="1"/>
  <c r="P24" i="10" s="1"/>
  <c r="P25" i="10" s="1"/>
  <c r="Q23" i="10"/>
  <c r="T24" i="10" a="1"/>
  <c r="T24" i="10" s="1"/>
  <c r="T25" i="10" s="1"/>
  <c r="U23" i="10"/>
  <c r="T28" i="10" a="1"/>
  <c r="T28" i="10" s="1"/>
  <c r="U27" i="10"/>
  <c r="M25" i="10" l="1"/>
  <c r="L25" i="10"/>
  <c r="M29" i="10"/>
  <c r="L29" i="10"/>
  <c r="P29" i="10"/>
  <c r="Q28" i="10" a="1"/>
  <c r="Q28" i="10" s="1"/>
  <c r="R27" i="10"/>
  <c r="R28" i="10" s="1"/>
  <c r="Q24" i="10" a="1"/>
  <c r="Q24" i="10" s="1"/>
  <c r="R23" i="10"/>
  <c r="R24" i="10" s="1"/>
  <c r="U24" i="10" a="1"/>
  <c r="U24" i="10" s="1"/>
  <c r="U25" i="10" s="1"/>
  <c r="V23" i="10"/>
  <c r="T29" i="10"/>
  <c r="U28" i="10" a="1"/>
  <c r="U28" i="10" s="1"/>
  <c r="V27" i="10"/>
  <c r="F16" i="28"/>
  <c r="B10" i="29"/>
  <c r="B12" i="29" s="1"/>
  <c r="B14" i="29" s="1"/>
  <c r="B6" i="29"/>
  <c r="AB8" i="29"/>
  <c r="AA8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E8" i="29"/>
  <c r="D8" i="29"/>
  <c r="C8" i="29"/>
  <c r="B8" i="29"/>
  <c r="AB7" i="29"/>
  <c r="AA7" i="29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H7" i="29"/>
  <c r="G7" i="29"/>
  <c r="F7" i="29"/>
  <c r="E7" i="29"/>
  <c r="D7" i="29"/>
  <c r="C7" i="29"/>
  <c r="B7" i="29"/>
  <c r="AB6" i="29"/>
  <c r="AA6" i="29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H6" i="29"/>
  <c r="G6" i="29"/>
  <c r="F6" i="29"/>
  <c r="E6" i="29"/>
  <c r="D6" i="29"/>
  <c r="C6" i="29"/>
  <c r="R29" i="10" l="1"/>
  <c r="Q29" i="10"/>
  <c r="R25" i="10"/>
  <c r="Q25" i="10"/>
  <c r="V24" i="10" a="1"/>
  <c r="V24" i="10" s="1"/>
  <c r="V25" i="10" s="1"/>
  <c r="W23" i="10"/>
  <c r="U29" i="10"/>
  <c r="V28" i="10" a="1"/>
  <c r="V28" i="10" s="1"/>
  <c r="W27" i="10"/>
  <c r="Z10" i="29"/>
  <c r="Z14" i="29" s="1"/>
  <c r="Z3" i="10" s="1"/>
  <c r="L10" i="29"/>
  <c r="L14" i="29" s="1"/>
  <c r="L3" i="10" s="1"/>
  <c r="Y10" i="29"/>
  <c r="Y14" i="29" s="1"/>
  <c r="Y3" i="10" s="1"/>
  <c r="F10" i="29"/>
  <c r="F14" i="29" s="1"/>
  <c r="F3" i="10" s="1"/>
  <c r="E10" i="29"/>
  <c r="E14" i="29" s="1"/>
  <c r="E3" i="10" s="1"/>
  <c r="N10" i="29"/>
  <c r="N14" i="29" s="1"/>
  <c r="N3" i="10" s="1"/>
  <c r="M10" i="29"/>
  <c r="M14" i="29" s="1"/>
  <c r="M3" i="10" s="1"/>
  <c r="K10" i="29"/>
  <c r="K14" i="29" s="1"/>
  <c r="K3" i="10" s="1"/>
  <c r="I10" i="29"/>
  <c r="I14" i="29" s="1"/>
  <c r="I3" i="10" s="1"/>
  <c r="AB10" i="29"/>
  <c r="AB14" i="29" s="1"/>
  <c r="AB3" i="10" s="1"/>
  <c r="H10" i="29"/>
  <c r="H14" i="29" s="1"/>
  <c r="H3" i="10" s="1"/>
  <c r="C10" i="29"/>
  <c r="C14" i="29" s="1"/>
  <c r="C3" i="10" s="1"/>
  <c r="D10" i="29"/>
  <c r="D14" i="29" s="1"/>
  <c r="D3" i="10" s="1"/>
  <c r="W10" i="29"/>
  <c r="W14" i="29" s="1"/>
  <c r="W3" i="10" s="1"/>
  <c r="V10" i="29"/>
  <c r="V14" i="29" s="1"/>
  <c r="V3" i="10" s="1"/>
  <c r="X10" i="29"/>
  <c r="X14" i="29" s="1"/>
  <c r="X3" i="10" s="1"/>
  <c r="U10" i="29"/>
  <c r="U14" i="29" s="1"/>
  <c r="U3" i="10" s="1"/>
  <c r="T10" i="29"/>
  <c r="T14" i="29" s="1"/>
  <c r="T3" i="10" s="1"/>
  <c r="O10" i="29"/>
  <c r="O14" i="29" s="1"/>
  <c r="O3" i="10" s="1"/>
  <c r="J10" i="29"/>
  <c r="J14" i="29" s="1"/>
  <c r="J3" i="10" s="1"/>
  <c r="AA10" i="29"/>
  <c r="AA14" i="29" s="1"/>
  <c r="AA3" i="10" s="1"/>
  <c r="G10" i="29"/>
  <c r="G14" i="29" s="1"/>
  <c r="G3" i="10" s="1"/>
  <c r="Q10" i="29"/>
  <c r="Q14" i="29" s="1"/>
  <c r="Q3" i="10" s="1"/>
  <c r="S10" i="29"/>
  <c r="S14" i="29" s="1"/>
  <c r="S3" i="10" s="1"/>
  <c r="R10" i="29"/>
  <c r="R14" i="29" s="1"/>
  <c r="R3" i="10" s="1"/>
  <c r="P10" i="29"/>
  <c r="P14" i="29" s="1"/>
  <c r="P3" i="10" s="1"/>
  <c r="B4" i="10"/>
  <c r="B5" i="10"/>
  <c r="W24" i="10" l="1" a="1"/>
  <c r="W24" i="10" s="1"/>
  <c r="W25" i="10" s="1"/>
  <c r="X23" i="10"/>
  <c r="V29" i="10"/>
  <c r="W28" i="10" a="1"/>
  <c r="W28" i="10" s="1"/>
  <c r="X27" i="10"/>
  <c r="G4" i="18"/>
  <c r="F4" i="18"/>
  <c r="E4" i="18"/>
  <c r="D4" i="18"/>
  <c r="D3" i="18"/>
  <c r="X24" i="10" l="1" a="1"/>
  <c r="X24" i="10" s="1"/>
  <c r="X25" i="10" s="1"/>
  <c r="Y23" i="10"/>
  <c r="W29" i="10"/>
  <c r="X28" i="10" a="1"/>
  <c r="X28" i="10" s="1"/>
  <c r="Y27" i="10"/>
  <c r="B2" i="7"/>
  <c r="Z2" i="6"/>
  <c r="G2" i="6"/>
  <c r="H2" i="6"/>
  <c r="I2" i="6"/>
  <c r="D2" i="6"/>
  <c r="P2" i="6"/>
  <c r="N2" i="6"/>
  <c r="L2" i="6"/>
  <c r="K2" i="6"/>
  <c r="V2" i="6"/>
  <c r="X2" i="6"/>
  <c r="U2" i="6"/>
  <c r="S2" i="6"/>
  <c r="T2" i="6"/>
  <c r="R2" i="6"/>
  <c r="Q2" i="6"/>
  <c r="M2" i="6"/>
  <c r="E2" i="6"/>
  <c r="AB2" i="6"/>
  <c r="F2" i="6"/>
  <c r="C2" i="10"/>
  <c r="J2" i="6"/>
  <c r="Y2" i="6"/>
  <c r="AA2" i="6"/>
  <c r="Y24" i="10" l="1" a="1"/>
  <c r="Y24" i="10" s="1"/>
  <c r="Y25" i="10" s="1"/>
  <c r="Z23" i="10"/>
  <c r="X29" i="10"/>
  <c r="Y28" i="10" a="1"/>
  <c r="Y28" i="10" s="1"/>
  <c r="Z27" i="10"/>
  <c r="C5" i="10"/>
  <c r="C4" i="10"/>
  <c r="B2" i="6"/>
  <c r="D2" i="10"/>
  <c r="C2" i="6"/>
  <c r="B2" i="2"/>
  <c r="O2" i="6"/>
  <c r="W2" i="6"/>
  <c r="Z24" i="10" l="1" a="1"/>
  <c r="Z24" i="10" s="1"/>
  <c r="Z25" i="10" s="1"/>
  <c r="AA23" i="10"/>
  <c r="Y29" i="10"/>
  <c r="Z28" i="10" a="1"/>
  <c r="Z28" i="10" s="1"/>
  <c r="AA27" i="10"/>
  <c r="D5" i="10"/>
  <c r="D4" i="10"/>
  <c r="E2" i="10"/>
  <c r="C2" i="7"/>
  <c r="C2" i="2"/>
  <c r="AA24" i="10" l="1" a="1"/>
  <c r="AA24" i="10" s="1"/>
  <c r="AB23" i="10"/>
  <c r="Z29" i="10"/>
  <c r="AA28" i="10" a="1"/>
  <c r="AA28" i="10" s="1"/>
  <c r="AB27" i="10"/>
  <c r="E5" i="10"/>
  <c r="E2" i="7" s="1"/>
  <c r="E4" i="10"/>
  <c r="F2" i="10"/>
  <c r="D2" i="7"/>
  <c r="D2" i="2"/>
  <c r="AB25" i="10" l="1"/>
  <c r="AA25" i="10"/>
  <c r="AB29" i="10"/>
  <c r="AA29" i="10"/>
  <c r="F5" i="10"/>
  <c r="F2" i="7" s="1"/>
  <c r="F4" i="10"/>
  <c r="G2" i="10"/>
  <c r="E2" i="2"/>
  <c r="G5" i="10" l="1"/>
  <c r="G2" i="7" s="1"/>
  <c r="G4" i="10"/>
  <c r="F2" i="2"/>
  <c r="H2" i="10"/>
  <c r="H5" i="10" l="1"/>
  <c r="H2" i="7" s="1"/>
  <c r="H4" i="10"/>
  <c r="I2" i="7"/>
  <c r="I2" i="10"/>
  <c r="G2" i="2"/>
  <c r="J4" i="10" l="1"/>
  <c r="K4" i="10" s="1"/>
  <c r="L4" i="10" s="1"/>
  <c r="M4" i="10" s="1"/>
  <c r="N4" i="10" s="1"/>
  <c r="O4" i="10" s="1"/>
  <c r="P4" i="10" s="1"/>
  <c r="Q4" i="10" s="1"/>
  <c r="R4" i="10" s="1"/>
  <c r="S4" i="10" s="1"/>
  <c r="T4" i="10" s="1"/>
  <c r="U4" i="10" s="1"/>
  <c r="V4" i="10" s="1"/>
  <c r="W4" i="10" s="1"/>
  <c r="X4" i="10" s="1"/>
  <c r="Y4" i="10" s="1"/>
  <c r="Z4" i="10" s="1"/>
  <c r="AA4" i="10" s="1"/>
  <c r="AB4" i="10" s="1"/>
  <c r="H2" i="2"/>
  <c r="J2" i="7"/>
  <c r="J2" i="10"/>
  <c r="K2" i="10" l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I2" i="2"/>
  <c r="K2" i="7"/>
  <c r="L2" i="7" l="1"/>
  <c r="J2" i="2"/>
  <c r="K2" i="2" l="1"/>
  <c r="M2" i="7"/>
  <c r="N2" i="7" l="1"/>
  <c r="L2" i="2"/>
  <c r="M2" i="2" l="1"/>
  <c r="O2" i="7"/>
  <c r="P2" i="7" l="1"/>
  <c r="N2" i="2"/>
  <c r="Q2" i="7" l="1"/>
  <c r="O2" i="2"/>
  <c r="R2" i="7" l="1"/>
  <c r="P2" i="2"/>
  <c r="S2" i="7" l="1"/>
  <c r="Q2" i="2"/>
  <c r="R2" i="2" l="1"/>
  <c r="T2" i="7"/>
  <c r="U2" i="7" l="1"/>
  <c r="S2" i="2"/>
  <c r="T2" i="2" l="1"/>
  <c r="V2" i="7"/>
  <c r="W2" i="7" l="1"/>
  <c r="U2" i="2"/>
  <c r="V2" i="2" l="1"/>
  <c r="X2" i="7"/>
  <c r="Y2" i="7" l="1"/>
  <c r="W2" i="2"/>
  <c r="X2" i="2" l="1"/>
  <c r="Z2" i="7"/>
  <c r="AA2" i="7" l="1"/>
  <c r="AB2" i="7"/>
  <c r="Y2" i="2"/>
  <c r="Z2" i="2" l="1"/>
  <c r="AA2" i="2" l="1"/>
  <c r="AB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<sst xmlns="http://schemas.openxmlformats.org/spreadsheetml/2006/main" count="1305" uniqueCount="499">
  <si>
    <t>Year</t>
  </si>
  <si>
    <t>electricity (MWh)</t>
  </si>
  <si>
    <t>Annual Energy Outlook 2025</t>
  </si>
  <si>
    <t>Scenario</t>
  </si>
  <si>
    <t>Sources:</t>
  </si>
  <si>
    <t>Notes on Data Center Load in AEO</t>
  </si>
  <si>
    <t>In AEO 2023 and AEO 2025, data center load is captured in both Ventilation and Other Uses (for on-site data centers) and Computing (for standalone data centers).</t>
  </si>
  <si>
    <t>In AEO 2025, the EIA included projections for data center load growth. With this, EIA included additional documentation of how data center electricity demand is classified in Table 5.</t>
  </si>
  <si>
    <t>BDCL BAU Data Center Load</t>
  </si>
  <si>
    <t>Due to uncertainty in electricity demand growth from data centers in the age of AI, we include three different projections for annual data center electricity load.</t>
  </si>
  <si>
    <t xml:space="preserve">To estimate EIA's projected load growth for data centers, the difference can be taken between the two releases. </t>
  </si>
  <si>
    <t>This data center load is removed from bldgs/BCEU.</t>
  </si>
  <si>
    <t>Source</t>
  </si>
  <si>
    <t>mid</t>
  </si>
  <si>
    <t>growth rate</t>
  </si>
  <si>
    <t>low</t>
  </si>
  <si>
    <t>high</t>
  </si>
  <si>
    <t>use mid case growth trajectory from Evolved Energy</t>
  </si>
  <si>
    <t>Growth Rate Estimates</t>
  </si>
  <si>
    <t>evolved energy mid</t>
  </si>
  <si>
    <t>evolved energy high</t>
  </si>
  <si>
    <t>ADP</t>
  </si>
  <si>
    <t>ADP high</t>
  </si>
  <si>
    <t>AEO</t>
  </si>
  <si>
    <t>Full Time Series</t>
  </si>
  <si>
    <t>Link</t>
  </si>
  <si>
    <t>Projections</t>
  </si>
  <si>
    <t>Total</t>
  </si>
  <si>
    <t>Computing</t>
  </si>
  <si>
    <r>
      <t>2024 Annual Decarbonization Perspective (</t>
    </r>
    <r>
      <rPr>
        <b/>
        <sz val="14"/>
        <color rgb="FF606060"/>
        <rFont val="Arial"/>
        <family val="2"/>
      </rPr>
      <t>ADP 2024</t>
    </r>
    <r>
      <rPr>
        <sz val="14"/>
        <color rgb="FF606060"/>
        <rFont val="Arial"/>
        <family val="2"/>
      </rPr>
      <t>)</t>
    </r>
  </si>
  <si>
    <t xml:space="preserve">https://www.evolved.energy/us-adp-2024 </t>
  </si>
  <si>
    <t>Current Policy</t>
  </si>
  <si>
    <t>To||Outputs Group Aggregate (group)</t>
  </si>
  <si>
    <t>Hydrogen Electrolysis</t>
  </si>
  <si>
    <t>% of Total SUM([Value])/1e3 along To||Outputs Group Aggregate (group)</t>
  </si>
  <si>
    <t>SUM([Value])/1e3</t>
  </si>
  <si>
    <t>Industrial Boilers</t>
  </si>
  <si>
    <t>Data Centers</t>
  </si>
  <si>
    <t>Other End-Use Loads</t>
  </si>
  <si>
    <t>Run Name</t>
  </si>
  <si>
    <t>Zone</t>
  </si>
  <si>
    <t>Latitude</t>
  </si>
  <si>
    <t>Longitude</t>
  </si>
  <si>
    <t>Value</t>
  </si>
  <si>
    <t>northwest_emm</t>
  </si>
  <si>
    <t>upper mississippi valley_emm</t>
  </si>
  <si>
    <t>northern great plains_emm</t>
  </si>
  <si>
    <t>michigan_emm</t>
  </si>
  <si>
    <t>new england_emm</t>
  </si>
  <si>
    <t>upstate new york_emm</t>
  </si>
  <si>
    <t>metropolitan chicago_emm</t>
  </si>
  <si>
    <t>great basin_emm</t>
  </si>
  <si>
    <t>metropolitan new york_emm</t>
  </si>
  <si>
    <t>rockies_emm</t>
  </si>
  <si>
    <t>mid-atlantic_emm</t>
  </si>
  <si>
    <t>ohio valley_emm</t>
  </si>
  <si>
    <t>middle mississippi valley_emm</t>
  </si>
  <si>
    <t>central great plains_emm</t>
  </si>
  <si>
    <t>northern california_emm</t>
  </si>
  <si>
    <t>virginia_emm</t>
  </si>
  <si>
    <t>tennessee valley_emm</t>
  </si>
  <si>
    <t>southern california_emm</t>
  </si>
  <si>
    <t>carolinas_emm</t>
  </si>
  <si>
    <t>southern great plains_emm</t>
  </si>
  <si>
    <t>southwest_emm</t>
  </si>
  <si>
    <t>mississippi delta_emm</t>
  </si>
  <si>
    <t>southeast_emm</t>
  </si>
  <si>
    <t>texas_emm</t>
  </si>
  <si>
    <t>florida_emm</t>
  </si>
  <si>
    <t>Low Demand Scenario</t>
  </si>
  <si>
    <t>EIA</t>
  </si>
  <si>
    <t>https://www.eia.gov/outlooks/aeo/</t>
  </si>
  <si>
    <t>Table 5</t>
  </si>
  <si>
    <t>Evolved Energy Research</t>
  </si>
  <si>
    <t>2024 U.S. Annual Decarbonization Perspective</t>
  </si>
  <si>
    <t>https://www.evolved.energy/us-adp-2024</t>
  </si>
  <si>
    <t>Table 5.  Commercial Sector Key Indicators and Consumption</t>
  </si>
  <si>
    <t>https://www.eia.gov/outlooks/aeo/data/browser/#/?id=5-AEO2025&amp;cases=highZTC&amp;sourcekey=0</t>
  </si>
  <si>
    <t>Tue Dec 02 2025 13:13:07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</si>
  <si>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</si>
  <si>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</si>
  <si>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</si>
  <si>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</si>
  <si>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</si>
  <si>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Key Indicators</t>
  </si>
  <si>
    <t>Total Floorspace (billion square feet)</t>
  </si>
  <si>
    <t>Surviving</t>
  </si>
  <si>
    <t>Commercial: Total Floorspace: Surviving: High Zero-Carbon Technology Cost</t>
  </si>
  <si>
    <t>AEO.2025.HIGHZTC.KEI_NA_COMM_NA_TFP_SURV_USA_BLNSQFT.A</t>
  </si>
  <si>
    <t>billion sq ft</t>
  </si>
  <si>
    <t>New Additions</t>
  </si>
  <si>
    <t>Commercial: Total Floorspace: New Additions: High Zero-Carbon Technology Cost</t>
  </si>
  <si>
    <t>AEO.2025.HIGHZTC.KEI_NA_COMM_NA_TFP_NADN_USA_BLNSQFT.A</t>
  </si>
  <si>
    <t>Commercial: Total Floorspace: Total: High Zero-Carbon Technology Cost</t>
  </si>
  <si>
    <t>AEO.2025.HIGHZTC.KEI_NA_COMM_NA_TFP_TOT_USA_BLNSQFT.A</t>
  </si>
  <si>
    <t>Energy Consumption Intensity</t>
  </si>
  <si>
    <t>(thousand Btu per square foot)</t>
  </si>
  <si>
    <t>Gross End-use Consumption</t>
  </si>
  <si>
    <t>Commercial: Energy Use Intensity: Gross End-use Consumption: High Zero-Carbon Technology Cost</t>
  </si>
  <si>
    <t>AEO.2025.HIGHZTC.INY_NA_COMM_NA_EUI_DLENCONS_USA_THBTUPSQFT.A</t>
  </si>
  <si>
    <t>thousand Btu/sq ft</t>
  </si>
  <si>
    <t>Delivered Energy Consumption</t>
  </si>
  <si>
    <t>Commercial: Energy Use Intensity: Delivered Energy Consumption: High Zero-Carbon Technology Cost</t>
  </si>
  <si>
    <t>AEO.2025.HIGHZTC.INY_NA_COMM_NA_EUI_ERL_USA_THBTUPSQFT.A</t>
  </si>
  <si>
    <t>Energy Consumption by Fuel</t>
  </si>
  <si>
    <t>Electricity</t>
  </si>
  <si>
    <t>Space Heating</t>
  </si>
  <si>
    <t>Commercial: Purchased Electricity: Space Heating: High Zero-Carbon Technology Cost</t>
  </si>
  <si>
    <t>AEO.2025.HIGHZTC.CNSM_NA_COMM_NA_PRC_SPH_USA_QBTU.A</t>
  </si>
  <si>
    <t>quads</t>
  </si>
  <si>
    <t>Space Cooling 3/</t>
  </si>
  <si>
    <t>Commercial: Purchased Electricity: Space Cooling: High Zero-Carbon Technology Cost</t>
  </si>
  <si>
    <t>AEO.2025.HIGHZTC.CNSM_NA_COMM_NA_PRC_SPC_USA_QBTU.A</t>
  </si>
  <si>
    <t>Water Heating</t>
  </si>
  <si>
    <t>Commercial: Purchased Electricity: Water Heating: High Zero-Carbon Technology Cost</t>
  </si>
  <si>
    <t>AEO.2025.HIGHZTC.CNSM_NA_COMM_NA_PRC_WTHT_USA_QBTU.A</t>
  </si>
  <si>
    <t>Ventilation</t>
  </si>
  <si>
    <t>Commercial: Purchased Electricity: Ventilation: High Zero-Carbon Technology Cost</t>
  </si>
  <si>
    <t>AEO.2025.HIGHZTC.CNSM_NA_COMM_NA_PRC_VNTC_USA_QBTU.A</t>
  </si>
  <si>
    <t>Cooking</t>
  </si>
  <si>
    <t>Commercial: Purchased Electricity: Cooking: High Zero-Carbon Technology Cost</t>
  </si>
  <si>
    <t>AEO.2025.HIGHZTC.CNSM_NA_COMM_NA_PRC_CGR_USA_QBTU.A</t>
  </si>
  <si>
    <t>Lighting</t>
  </si>
  <si>
    <t>Commercial: Purchased Electricity: Lighting: High Zero-Carbon Technology Cost</t>
  </si>
  <si>
    <t>AEO.2025.HIGHZTC.CNSM_NA_COMM_NA_PRC_LGHTNG_USA_QBTU.A</t>
  </si>
  <si>
    <t>Refrigeration</t>
  </si>
  <si>
    <t>Commercial: Purchased Electricity: Refrigeration: High Zero-Carbon Technology Cost</t>
  </si>
  <si>
    <t>AEO.2025.HIGHZTC.CNSM_NA_COMM_NA_PRC_REFR_USA_QBTU.A</t>
  </si>
  <si>
    <t>Commercial: Purchased Electricity: Computing: High Zero-Carbon Technology Cost</t>
  </si>
  <si>
    <t>AEO.2025.HIGHZTC.CNSM_NA_COMM_NA_PRC_OTHEQPPC_USA_QBTU.A</t>
  </si>
  <si>
    <t>Office Equipment</t>
  </si>
  <si>
    <t>Commercial: Purchased Electricity: Office Equipment: High Zero-Carbon Technology Cost</t>
  </si>
  <si>
    <t>AEO.2025.HIGHZTC.CNSM_NA_COMM_NA_PRC_OTHEQPNPC_USA_QBTU.A</t>
  </si>
  <si>
    <t>Other Uses</t>
  </si>
  <si>
    <t>Commercial: Purchased Electricity: Other Uses: High Zero-Carbon Technology Cost</t>
  </si>
  <si>
    <t>AEO.2025.HIGHZTC.CNSM_NA_COMM_NA_PRC_OTHU_USA_QBTU.A</t>
  </si>
  <si>
    <t>Gross End-use Electricity Consumption</t>
  </si>
  <si>
    <t>Commercial: Energy Consumption by Fuel: Electricity Subtotal: High Zero-Carbon Technology Cost</t>
  </si>
  <si>
    <t>AEO.2025.HIGHZTC.CNSM_NA_COMM_NA_PRC_DELE_USA_QBTU.A</t>
  </si>
  <si>
    <t>Purchased Electricity for Electric Vehicle Charging</t>
  </si>
  <si>
    <t>Commercial: Energy Consumption by Fuel: Purchased Electricity for EV Charging: High Zero-Carbon Technology Cost</t>
  </si>
  <si>
    <t>AEO.2025.HIGHZTC.GEN_NA_COMM_NA_PRC_EVCHA_USA_QBTU.A</t>
  </si>
  <si>
    <t>On-site Generation for Own Use</t>
  </si>
  <si>
    <t>Commercial: Energy Consumption by Fuel: Generation for Own Use: High Zero-Carbon Technology Cost</t>
  </si>
  <si>
    <t>AEO.2025.HIGHZTC.GEN_NA_COMM_NA_GFO_ELC_USA_QBTU.A</t>
  </si>
  <si>
    <t>Purchased Electricity at Commercial Location</t>
  </si>
  <si>
    <t>Commercial: Energy Consumption by Fuel: Purchased Electricity: High Zero-Carbon Technology Cost</t>
  </si>
  <si>
    <t>AEO.2025.HIGHZTC.CNSM_NA_COMM_NA_DELE_ELC_USA_QBTU.A</t>
  </si>
  <si>
    <t>Natural Gas</t>
  </si>
  <si>
    <t>Commercial: Natural Gas: Space Heating: High Zero-Carbon Technology Cost</t>
  </si>
  <si>
    <t>AEO.2025.HIGHZTC.CNSM_NA_COMM_NA_NG_SPH_USA_QBTU.A</t>
  </si>
  <si>
    <t>Space Cooling</t>
  </si>
  <si>
    <t>Commercial: Natural Gas: Space Cooling: High Zero-Carbon Technology Cost</t>
  </si>
  <si>
    <t>AEO.2025.HIGHZTC.CNSM_NA_COMM_NA_NG_SPC_USA_QBTU.A</t>
  </si>
  <si>
    <t>Commercial: Natural Gas: Water Heating: High Zero-Carbon Technology Cost</t>
  </si>
  <si>
    <t>AEO.2025.HIGHZTC.CNSM_NA_COMM_NA_NG_WTHT_USA_QBTU.A</t>
  </si>
  <si>
    <t>Commercial: Natural Gas: Cooking: High Zero-Carbon Technology Cost</t>
  </si>
  <si>
    <t>AEO.2025.HIGHZTC.CNSM_NA_COMM_NA_NG_CGR_USA_QBTU.A</t>
  </si>
  <si>
    <t>Commercial: Natural Gas: Other Uses: High Zero-Carbon Technology Cost</t>
  </si>
  <si>
    <t>AEO.2025.HIGHZTC.CNSM_NA_COMM_NA_NG_OTHU_USA_QBTU.A</t>
  </si>
  <si>
    <t>Delivered Energy</t>
  </si>
  <si>
    <t>Commercial: Natural Gas: Delivered Energy: High Zero-Carbon Technology Cost</t>
  </si>
  <si>
    <t>AEO.2025.HIGHZTC.CNSM_NA_COMM_NA_NG_DELE_USA_QBTU.A</t>
  </si>
  <si>
    <t>Distillate Fuel Oil</t>
  </si>
  <si>
    <t>Commercial: Distillate Fuel Oil: Space Heating: High Zero-Carbon Technology Cost</t>
  </si>
  <si>
    <t>AEO.2025.HIGHZTC.CNSM_NA_COMM_NA_DFO_SPH_USA_QBTU.A</t>
  </si>
  <si>
    <t>Commercial: Distillate Fuel Oil: Water Heating: High Zero-Carbon Technology Cost</t>
  </si>
  <si>
    <t>AEO.2025.HIGHZTC.CNSM_NA_COMM_NA_DFO_WTHT_USA_QBTU.A</t>
  </si>
  <si>
    <t>Commercial: Distillate Fuel Oil: Other Uses: High Zero-Carbon Technology Cost</t>
  </si>
  <si>
    <t>AEO.2025.HIGHZTC.CNSM_NA_COMM_NA_DFO_OTHU_USA_QBTU.A</t>
  </si>
  <si>
    <t>Commercial: Distillate Fuel Oil: Delivered Energy: High Zero-Carbon Technology Cost</t>
  </si>
  <si>
    <t>AEO.2025.HIGHZTC.CNSM_NA_COMM_NA_DFO_DELE_USA_QBTU.A</t>
  </si>
  <si>
    <t>Marketed Renewables (biomass)</t>
  </si>
  <si>
    <t>Commercial: Marketed Renewables (biomass): High Zero-Carbon Technology Cost</t>
  </si>
  <si>
    <t>AEO.2025.HIGHZTC.CNSM_NA_COMM_NA_BMS_NA_USA_QBTU.A</t>
  </si>
  <si>
    <t>Other Fuels</t>
  </si>
  <si>
    <t>Commercial: Other Fuels: High Zero-Carbon Technology Cost</t>
  </si>
  <si>
    <t>AEO.2025.HIGHZTC.CNSM_NA_COMM_NA_OFU_NA_USA_QBTU.A</t>
  </si>
  <si>
    <t>Energy Consumption by End Use</t>
  </si>
  <si>
    <t>Commercial: Delivered Energy Use by End Use: Space Heating: High Zero-Carbon Technology Cost</t>
  </si>
  <si>
    <t>AEO.2025.HIGHZTC.CNSM_NA_COMM_NA_DEE_SPH_USA_QBTU.A</t>
  </si>
  <si>
    <t>Commercial: Delivered Energy Use by End Use: Space Cooling: High Zero-Carbon Technology Cost</t>
  </si>
  <si>
    <t>AEO.2025.HIGHZTC.CNSM_NA_COMM_NA_DEE_SPC_USA_QBTU.A</t>
  </si>
  <si>
    <t>Commercial: Delivered Energy Use by End Use: Water Heating: High Zero-Carbon Technology Cost</t>
  </si>
  <si>
    <t>AEO.2025.HIGHZTC.CNSM_NA_COMM_NA_DEE_WTHT_USA_QBTU.A</t>
  </si>
  <si>
    <t>Commercial: Delivered Energy Use by End Use: Ventilation: High Zero-Carbon Technology Cost</t>
  </si>
  <si>
    <t>AEO.2025.HIGHZTC.CNSM_NA_COMM_NA_DEE_VNTC_USA_QBTU.A</t>
  </si>
  <si>
    <t>Commercial: Delivered Energy Use by End Use: Cooking: High Zero-Carbon Technology Cost</t>
  </si>
  <si>
    <t>AEO.2025.HIGHZTC.CNSM_NA_COMM_NA_DEE_CGR_USA_QBTU.A</t>
  </si>
  <si>
    <t>Commercial: Delivered Energy Use by End Use: Lighting: High Zero-Carbon Technology Cost</t>
  </si>
  <si>
    <t>AEO.2025.HIGHZTC.CNSM_NA_COMM_NA_DEE_LGHTNG_USA_QBTU.A</t>
  </si>
  <si>
    <t>Commercial: Delivered Energy Use by End Use: Refrigeration: High Zero-Carbon Technology Cost</t>
  </si>
  <si>
    <t>AEO.2025.HIGHZTC.CNSM_NA_COMM_NA_DEE_REFR_USA_QBTU.A</t>
  </si>
  <si>
    <t>Commercial: Delivered Energy Use by End Use: Computing: High Zero-Carbon Technology Cost</t>
  </si>
  <si>
    <t>AEO.2025.HIGHZTC.CNSM_NA_COMM_NA_DEE_OFEQPC_USA_QBTU.A</t>
  </si>
  <si>
    <t>Commercial: Delivered Energy Use by End Use: Office Equipment: High Zero-Carbon Technology Cost</t>
  </si>
  <si>
    <t>AEO.2025.HIGHZTC.CNSM_NA_COMM_NA_DEE_OFEQPNPC_USA_QBTU.A</t>
  </si>
  <si>
    <t>Commercial: Delivered Energy Use by End Use: Other Uses: High Zero-Carbon Technology Cost</t>
  </si>
  <si>
    <t>AEO.2025.HIGHZTC.CNSM_NA_COMM_NA_DEE_OTHU_USA_QBTU.A</t>
  </si>
  <si>
    <t>Commercial: Delivered Energy Use by End Use: Gross End-use Consumption: High Zero-Carbon Technology Cost</t>
  </si>
  <si>
    <t>AEO.2025.HIGHZTC.CNSM_NA_COMM_NA_DEE_NA_USA_QBTU.A</t>
  </si>
  <si>
    <t>Commercial: Energy Consumption by End Use: Purchased Electricity for EV Charging: High Zero-Carbon Technology Cost</t>
  </si>
  <si>
    <t>AEO.2025.HIGHZTC.CNSM_NA_COMM_NA_DEE_EVCHA_USA_QBTU.A</t>
  </si>
  <si>
    <t>Commercial: Energy Consumption by End Use: Generation for Own Use: High Zero-Carbon Technology Cost</t>
  </si>
  <si>
    <t>AEO.2025.HIGHZTC.GEN_NA_COMM_NA_DEE_GFO_USA_QBTU.A</t>
  </si>
  <si>
    <t>Commercial: Energy Consumption by End Use: Delivered Energy: High Zero-Carbon Technology Cost</t>
  </si>
  <si>
    <t>Electricity Related Losses</t>
  </si>
  <si>
    <t>Commercial: Electricity Related Losses: High Zero-Carbon Technology Cost</t>
  </si>
  <si>
    <t>AEO.2025.HIGHZTC.CNSM_NA_COMM_NA_ERL_NA_USA_QBTU.A</t>
  </si>
  <si>
    <t>Total Energy Consumption by End Use</t>
  </si>
  <si>
    <t>Commercial: Total Energy Use by End Use: Space Heating: High Zero-Carbon Technology Cost</t>
  </si>
  <si>
    <t>AEO.2025.HIGHZTC.CNSM_NA_COMM_NA_TEE_SPH_USA_QBTU.A</t>
  </si>
  <si>
    <t>Commercial: Total Energy Use by End Use: Space Cooling: High Zero-Carbon Technology Cost</t>
  </si>
  <si>
    <t>AEO.2025.HIGHZTC.CNSM_NA_COMM_NA_TEE_SPC_USA_QBTU.A</t>
  </si>
  <si>
    <t>Commercial: Total Energy Use by End Use: Water Heating: High Zero-Carbon Technology Cost</t>
  </si>
  <si>
    <t>AEO.2025.HIGHZTC.CNSM_NA_COMM_NA_TEE_WTHT_USA_QBTU.A</t>
  </si>
  <si>
    <t>Commercial: Total Energy Use by End Use: Ventilation: High Zero-Carbon Technology Cost</t>
  </si>
  <si>
    <t>AEO.2025.HIGHZTC.CNSM_NA_COMM_NA_TEE_VNTC_USA_QBTU.A</t>
  </si>
  <si>
    <t>Commercial: Total Energy Use by End Use: Cooking: High Zero-Carbon Technology Cost</t>
  </si>
  <si>
    <t>AEO.2025.HIGHZTC.CNSM_NA_COMM_NA_TEE_CGR_USA_QBTU.A</t>
  </si>
  <si>
    <t>Commercial: Total Energy Use by End Use: Lighting: High Zero-Carbon Technology Cost</t>
  </si>
  <si>
    <t>AEO.2025.HIGHZTC.CNSM_NA_COMM_NA_TEE_LGHTNG_USA_QBTU.A</t>
  </si>
  <si>
    <t>Commercial: Total Energy Use by End Use: Refrigeration: High Zero-Carbon Technology Cost</t>
  </si>
  <si>
    <t>AEO.2025.HIGHZTC.CNSM_NA_COMM_NA_TEE_REFR_USA_QBTU.A</t>
  </si>
  <si>
    <t>Commercial: Total Energy Use by End Use: Computing: High Zero-Carbon Technology Cost</t>
  </si>
  <si>
    <t>AEO.2025.HIGHZTC.CNSM_NA_COMM_NA_TEE_OFEQPC_USA_QBTU.A</t>
  </si>
  <si>
    <t>Commercial: Total Energy Use by End Use: Office Equipment: High Zero-Carbon Technology Cost</t>
  </si>
  <si>
    <t>AEO.2025.HIGHZTC.CNSM_NA_COMM_NA_TEE_OFEQPNPC_USA_QBTU.A</t>
  </si>
  <si>
    <t>Commercial: Total Energy Use by End Use: Other Uses: High Zero-Carbon Technology Cost</t>
  </si>
  <si>
    <t>AEO.2025.HIGHZTC.CNSM_NA_COMM_NA_TEE_OTHU_USA_QBTU.A</t>
  </si>
  <si>
    <t>Total Gross End-use Consumption</t>
  </si>
  <si>
    <t>Commercial: Total Energy Use by End Use: Total Gross End-use Consumption: High Zero-Carbon Technology Cost</t>
  </si>
  <si>
    <t>AEO.2025.HIGHZTC.CNSM_NA_COMM_NA_TEE_NA_USA_QBTU.A</t>
  </si>
  <si>
    <t>Commercial: Total Energy Use by End Use: Purchased Electricity for EV Charging: High Zero-Carbon Technology Cost</t>
  </si>
  <si>
    <t>AEO.2025.HIGHZTC.GEN_GFO_COMM_NA_TEE_NA_USA_QBTU.A</t>
  </si>
  <si>
    <t>Commercial: Total Energy Use by End Use: Generation for Own Use: High Zero-Carbon Technology Cost</t>
  </si>
  <si>
    <t>Total Energy</t>
  </si>
  <si>
    <t>Commercial: Total Energy Use by End Use: Total Net Own-use Generation: High Zero-Carbon Technology Cost</t>
  </si>
  <si>
    <t>AEO.2025.HIGHZTC.GEN_GFO_COMM_NA_TEE_TOT_USA_QBTU.A</t>
  </si>
  <si>
    <t>Nonmarketed Renewable Fuels</t>
  </si>
  <si>
    <t>Solar Thermal</t>
  </si>
  <si>
    <t>Commercial: Nonmarketed Renewable Fuels: Solar Thermal: High Zero-Carbon Technology Cost</t>
  </si>
  <si>
    <t>AEO.2025.HIGHZTC.CNSM_NA_COMM_NA_NRF_SOTH_USA_QBTU.A</t>
  </si>
  <si>
    <t>Solar Photovoltaic</t>
  </si>
  <si>
    <t>Commercial: Nonmarketed Renewable Fuels: Solar Photovoltaic: High Zero-Carbon Technology Cost</t>
  </si>
  <si>
    <t>AEO.2025.HIGHZTC.CNSM_NA_COMM_NA_NRF_SOPH_USA_QBTU.A</t>
  </si>
  <si>
    <t>Wind</t>
  </si>
  <si>
    <t>Commercial: Nonmarketed Renewable Fuels: Wind: High Zero-Carbon Technology Cost</t>
  </si>
  <si>
    <t>AEO.2025.HIGHZTC.CNSM_NA_COMM_NA_NRF_WND_USA_QBTU.A</t>
  </si>
  <si>
    <t>Commercial: Nonmarketed Renewable Fuels: Total: High Zero-Carbon Technology Cost</t>
  </si>
  <si>
    <t>AEO.2025.HIGHZTC.CNSM_NA_COMM_NA_NRF_TOT_USA_QBTU.A</t>
  </si>
  <si>
    <t>Heating Degree Days</t>
  </si>
  <si>
    <t>New England</t>
  </si>
  <si>
    <t>Commercial: Heating Degree Days: New England: High Zero-Carbon Technology Cost</t>
  </si>
  <si>
    <t>AEO.2025.HIGHZTC.KEI_NA_COMM_NA_NA_NA_NENGL_HDD.A</t>
  </si>
  <si>
    <t>HDD</t>
  </si>
  <si>
    <t>Middle Atlantic</t>
  </si>
  <si>
    <t>Commercial: Heating Degree Days: Middle Atlantic: High Zero-Carbon Technology Cost</t>
  </si>
  <si>
    <t>AEO.2025.HIGHZTC.KEI_NA_COMM_NA_NA_NA_MATL_HDD.A</t>
  </si>
  <si>
    <t>East North Central</t>
  </si>
  <si>
    <t>Commercial: Heating Degree Days: East North Central: High Zero-Carbon Technology Cost</t>
  </si>
  <si>
    <t>AEO.2025.HIGHZTC.KEI_NA_COMM_NA_NA_NA_ENC_HDD.A</t>
  </si>
  <si>
    <t>West North Central</t>
  </si>
  <si>
    <t>Commercial: Heating Degree Days: West North Central: High Zero-Carbon Technology Cost</t>
  </si>
  <si>
    <t>AEO.2025.HIGHZTC.KEI_NA_COMM_NA_NA_NA_WNC_HDD.A</t>
  </si>
  <si>
    <t>South Atlantic</t>
  </si>
  <si>
    <t>Commercial: Heating Degree Days: South Atlantic: High Zero-Carbon Technology Cost</t>
  </si>
  <si>
    <t>AEO.2025.HIGHZTC.KEI_NA_COMM_NA_NA_NA_SATL_HDD.A</t>
  </si>
  <si>
    <t>East South Central</t>
  </si>
  <si>
    <t>Commercial: Heating Degree Days: East South Central: High Zero-Carbon Technology Cost</t>
  </si>
  <si>
    <t>AEO.2025.HIGHZTC.KEI_NA_COMM_NA_NA_NA_ESC_HDD.A</t>
  </si>
  <si>
    <t>West South Central</t>
  </si>
  <si>
    <t>Commercial: Heating Degree Days: West South Central: High Zero-Carbon Technology Cost</t>
  </si>
  <si>
    <t>AEO.2025.HIGHZTC.KEI_NA_COMM_NA_NA_NA_WSC_HDD.A</t>
  </si>
  <si>
    <t>Mountain</t>
  </si>
  <si>
    <t>Commercial: Heating Degree Days: Mountain: High Zero-Carbon Technology Cost</t>
  </si>
  <si>
    <t>AEO.2025.HIGHZTC.KEI_NA_COMM_NA_NA_NA_MTN_HDD.A</t>
  </si>
  <si>
    <t>Pacific</t>
  </si>
  <si>
    <t>Commercial: Heating Degree Days: Pacific: High Zero-Carbon Technology Cost</t>
  </si>
  <si>
    <t>AEO.2025.HIGHZTC.KEI_NA_COMM_NA_NA_NA_PCF_HDD.A</t>
  </si>
  <si>
    <t>United States</t>
  </si>
  <si>
    <t>Commercial: Heating Degree Days: United States: High Zero-Carbon Technology Cost</t>
  </si>
  <si>
    <t>AEO.2025.HIGHZTC.KEI_NA_COMM_NA_NA_NA_USA_HDD.A</t>
  </si>
  <si>
    <t>Cooling Degree Days</t>
  </si>
  <si>
    <t>Commercial: Cooling Degree Days: New England: High Zero-Carbon Technology Cost</t>
  </si>
  <si>
    <t>AEO.2025.HIGHZTC.KEI_NA_COMM_NA_NA_NA_NENGL_CDD.A</t>
  </si>
  <si>
    <t>CDD</t>
  </si>
  <si>
    <t>Commercial: Cooling Degree Days: Middle Atlantic: High Zero-Carbon Technology Cost</t>
  </si>
  <si>
    <t>AEO.2025.HIGHZTC.KEI_NA_COMM_NA_NA_NA_MATL_CDD.A</t>
  </si>
  <si>
    <t>Commercial: Cooling Degree Days: East North Central: High Zero-Carbon Technology Cost</t>
  </si>
  <si>
    <t>AEO.2025.HIGHZTC.KEI_NA_COMM_NA_NA_NA_ENC_CDD.A</t>
  </si>
  <si>
    <t>Commercial: Cooling Degree Days: West North Central: High Zero-Carbon Technology Cost</t>
  </si>
  <si>
    <t>AEO.2025.HIGHZTC.KEI_NA_COMM_NA_NA_NA_WNC_CDD.A</t>
  </si>
  <si>
    <t>Commercial: Cooling Degree Days: South Atlantic: High Zero-Carbon Technology Cost</t>
  </si>
  <si>
    <t>AEO.2025.HIGHZTC.KEI_NA_COMM_NA_NA_NA_SATL_CDD.A</t>
  </si>
  <si>
    <t>Commercial: Cooling Degree Days: East South Central: High Zero-Carbon Technology Cost</t>
  </si>
  <si>
    <t>AEO.2025.HIGHZTC.KEI_NA_COMM_NA_NA_NA_ESC_CDD.A</t>
  </si>
  <si>
    <t>Commercial: Cooling Degree Days: West South Central: High Zero-Carbon Technology Cost</t>
  </si>
  <si>
    <t>AEO.2025.HIGHZTC.KEI_NA_COMM_NA_NA_NA_WSC_CDD.A</t>
  </si>
  <si>
    <t>Commercial: Cooling Degree Days: Mountain: High Zero-Carbon Technology Cost</t>
  </si>
  <si>
    <t>AEO.2025.HIGHZTC.KEI_NA_COMM_NA_NA_NA_MTN_CDD.A</t>
  </si>
  <si>
    <t>Commercial: Cooling Degree Days: Pacific: High Zero-Carbon Technology Cost</t>
  </si>
  <si>
    <t>AEO.2025.HIGHZTC.KEI_NA_COMM_NA_NA_NA_PCF_CDD.A</t>
  </si>
  <si>
    <t>Commercial: Cooling Degree Days: United States: High Zero-Carbon Technology Cost</t>
  </si>
  <si>
    <t>AEO.2025.HIGHZTC.KEI_NA_COMM_NA_NA_NA_USA_CDD.A</t>
  </si>
  <si>
    <t>https://www.eia.gov/outlooks/aeo/data/browser/#/?id=5-AEO2023&amp;sourcekey=0</t>
  </si>
  <si>
    <t>Fri Jan 30 2026 11:55:45 GMT-0800 (Pacific Standard Time)</t>
  </si>
  <si>
    <t>Growth (2022-2050)</t>
  </si>
  <si>
    <t>Commercial: Total Floorspace: Surviving: Reference case</t>
  </si>
  <si>
    <t>AEO.2023.REF2023.KEI_NA_COMM_NA_TFP_SURV_USA_BLNSQFT.A</t>
  </si>
  <si>
    <t>Commercial: Total Floorspace: New Additions: Reference case</t>
  </si>
  <si>
    <t>AEO.2023.REF2023.KEI_NA_COMM_NA_TFP_NADN_USA_BLNSQFT.A</t>
  </si>
  <si>
    <t>Commercial: Total Floorspace: Total: Reference case</t>
  </si>
  <si>
    <t>AEO.2023.REF2023.KEI_NA_COMM_NA_TFP_TOT_USA_BLNSQFT.A</t>
  </si>
  <si>
    <t>Commercial: Energy Use Intensity: Gross End-use Consumption: Reference case</t>
  </si>
  <si>
    <t>AEO.2023.REF2023.INY_NA_COMM_NA_EUI_DLENCONS_USA_THBTUPSQFT.A</t>
  </si>
  <si>
    <t>Commercial: Energy Use Intensity: Delivered Energy Consumption: Reference case</t>
  </si>
  <si>
    <t>AEO.2023.REF2023.INY_NA_COMM_NA_EUI_ERL_USA_THBTUPSQFT.A</t>
  </si>
  <si>
    <t>Commercial: Purchased Electricity: Space Heating: Reference case</t>
  </si>
  <si>
    <t>AEO.2023.REF2023.CNSM_NA_COMM_NA_PRC_SPH_USA_QBTU.A</t>
  </si>
  <si>
    <t>Commercial: Purchased Electricity: Space Cooling: Reference case</t>
  </si>
  <si>
    <t>AEO.2023.REF2023.CNSM_NA_COMM_NA_PRC_SPC_USA_QBTU.A</t>
  </si>
  <si>
    <t>Commercial: Purchased Electricity: Water Heating: Reference case</t>
  </si>
  <si>
    <t>AEO.2023.REF2023.CNSM_NA_COMM_NA_PRC_WTHT_USA_QBTU.A</t>
  </si>
  <si>
    <t>Commercial: Purchased Electricity: Ventilation: Reference case</t>
  </si>
  <si>
    <t>AEO.2023.REF2023.CNSM_NA_COMM_NA_PRC_VNTC_USA_QBTU.A</t>
  </si>
  <si>
    <t>Commercial: Purchased Electricity: Cooking: Reference case</t>
  </si>
  <si>
    <t>AEO.2023.REF2023.CNSM_NA_COMM_NA_PRC_CGR_USA_QBTU.A</t>
  </si>
  <si>
    <t>Commercial: Purchased Electricity: Lighting: Reference case</t>
  </si>
  <si>
    <t>AEO.2023.REF2023.CNSM_NA_COMM_NA_PRC_LGHTNG_USA_QBTU.A</t>
  </si>
  <si>
    <t>Commercial: Purchased Electricity: Refrigeration: Reference case</t>
  </si>
  <si>
    <t>AEO.2023.REF2023.CNSM_NA_COMM_NA_PRC_REFR_USA_QBTU.A</t>
  </si>
  <si>
    <t>Commercial: Purchased Electricity: Computing: Reference case</t>
  </si>
  <si>
    <t>AEO.2023.REF2023.CNSM_NA_COMM_NA_PRC_OTHEQPPC_USA_QBTU.A</t>
  </si>
  <si>
    <t>Commercial: Purchased Electricity: Office Equipment: Reference case</t>
  </si>
  <si>
    <t>AEO.2023.REF2023.CNSM_NA_COMM_NA_PRC_OTHEQPNPC_USA_QBTU.A</t>
  </si>
  <si>
    <t>Commercial: Purchased Electricity: Other Uses: Reference case</t>
  </si>
  <si>
    <t>AEO.2023.REF2023.CNSM_NA_COMM_NA_PRC_OTHU_USA_QBTU.A</t>
  </si>
  <si>
    <t>Electricity Subtotal</t>
  </si>
  <si>
    <t>Commercial: Energy Consumption by Fuel: Electricity Subtotal: Reference case</t>
  </si>
  <si>
    <t>AEO.2023.REF2023.CNSM_NA_COMM_NA_PRC_DELE_USA_QBTU.A</t>
  </si>
  <si>
    <t>Commercial: Energy Consumption by Fuel: Generation for Own Use: Reference case</t>
  </si>
  <si>
    <t>AEO.2023.REF2023.GEN_NA_COMM_NA_GFO_ELC_USA_QBTU.A</t>
  </si>
  <si>
    <t>Purchased Electricity</t>
  </si>
  <si>
    <t>Commercial: Energy Consumption by Fuel: Purchased Electricity: Reference case</t>
  </si>
  <si>
    <t>AEO.2023.REF2023.CNSM_NA_COMM_NA_DELE_ELC_USA_QBTU.A</t>
  </si>
  <si>
    <t>Commercial: Natural Gas: Space Heating: Reference case</t>
  </si>
  <si>
    <t>AEO.2023.REF2023.CNSM_NA_COMM_NA_NG_SPH_USA_QBTU.A</t>
  </si>
  <si>
    <t>Commercial: Natural Gas: Space Cooling: Reference case</t>
  </si>
  <si>
    <t>AEO.2023.REF2023.CNSM_NA_COMM_NA_NG_SPC_USA_QBTU.A</t>
  </si>
  <si>
    <t>Commercial: Natural Gas: Water Heating: Reference case</t>
  </si>
  <si>
    <t>AEO.2023.REF2023.CNSM_NA_COMM_NA_NG_WTHT_USA_QBTU.A</t>
  </si>
  <si>
    <t>Commercial: Natural Gas: Cooking: Reference case</t>
  </si>
  <si>
    <t>AEO.2023.REF2023.CNSM_NA_COMM_NA_NG_CGR_USA_QBTU.A</t>
  </si>
  <si>
    <t>Commercial: Natural Gas: Other Uses: Reference case</t>
  </si>
  <si>
    <t>AEO.2023.REF2023.CNSM_NA_COMM_NA_NG_OTHU_USA_QBTU.A</t>
  </si>
  <si>
    <t>Commercial: Natural Gas: Delivered Energy: Reference case</t>
  </si>
  <si>
    <t>AEO.2023.REF2023.CNSM_NA_COMM_NA_NG_DELE_USA_QBTU.A</t>
  </si>
  <si>
    <t>Commercial: Distillate Fuel Oil: Space Heating: Reference case</t>
  </si>
  <si>
    <t>AEO.2023.REF2023.CNSM_NA_COMM_NA_DFO_SPH_USA_QBTU.A</t>
  </si>
  <si>
    <t>Commercial: Distillate Fuel Oil: Water Heating: Reference case</t>
  </si>
  <si>
    <t>AEO.2023.REF2023.CNSM_NA_COMM_NA_DFO_WTHT_USA_QBTU.A</t>
  </si>
  <si>
    <t>Commercial: Distillate Fuel Oil: Other Uses: Reference case</t>
  </si>
  <si>
    <t>AEO.2023.REF2023.CNSM_NA_COMM_NA_DFO_OTHU_USA_QBTU.A</t>
  </si>
  <si>
    <t>Commercial: Distillate Fuel Oil: Delivered Energy: Reference case</t>
  </si>
  <si>
    <t>AEO.2023.REF2023.CNSM_NA_COMM_NA_DFO_DELE_USA_QBTU.A</t>
  </si>
  <si>
    <t>Commercial: Marketed Renewables (biomass): Reference case</t>
  </si>
  <si>
    <t>AEO.2023.REF2023.CNSM_NA_COMM_NA_BMS_NA_USA_QBTU.A</t>
  </si>
  <si>
    <t>Commercial: Other Fuels: Reference case</t>
  </si>
  <si>
    <t>AEO.2023.REF2023.CNSM_NA_COMM_NA_OFU_NA_USA_QBTU.A</t>
  </si>
  <si>
    <t>Commercial: Delivered Energy Use by End Use: Space Heating: Reference case</t>
  </si>
  <si>
    <t>AEO.2023.REF2023.CNSM_NA_COMM_NA_DEE_SPH_USA_QBTU.A</t>
  </si>
  <si>
    <t>Commercial: Delivered Energy Use by End Use: Space Cooling: Reference case</t>
  </si>
  <si>
    <t>AEO.2023.REF2023.CNSM_NA_COMM_NA_DEE_SPC_USA_QBTU.A</t>
  </si>
  <si>
    <t>Commercial: Delivered Energy Use by End Use: Water Heating: Reference case</t>
  </si>
  <si>
    <t>AEO.2023.REF2023.CNSM_NA_COMM_NA_DEE_WTHT_USA_QBTU.A</t>
  </si>
  <si>
    <t>Commercial: Delivered Energy Use by End Use: Ventilation: Reference case</t>
  </si>
  <si>
    <t>AEO.2023.REF2023.CNSM_NA_COMM_NA_DEE_VNTC_USA_QBTU.A</t>
  </si>
  <si>
    <t>Commercial: Delivered Energy Use by End Use: Cooking: Reference case</t>
  </si>
  <si>
    <t>AEO.2023.REF2023.CNSM_NA_COMM_NA_DEE_CGR_USA_QBTU.A</t>
  </si>
  <si>
    <t>Commercial: Delivered Energy Use by End Use: Lighting: Reference case</t>
  </si>
  <si>
    <t>AEO.2023.REF2023.CNSM_NA_COMM_NA_DEE_LGHTNG_USA_QBTU.A</t>
  </si>
  <si>
    <t>Commercial: Delivered Energy Use by End Use: Refrigeration: Reference case</t>
  </si>
  <si>
    <t>AEO.2023.REF2023.CNSM_NA_COMM_NA_DEE_REFR_USA_QBTU.A</t>
  </si>
  <si>
    <t>Commercial: Delivered Energy Use by End Use: Computing: Reference case</t>
  </si>
  <si>
    <t>AEO.2023.REF2023.CNSM_NA_COMM_NA_DEE_OFEQPC_USA_QBTU.A</t>
  </si>
  <si>
    <t>Commercial: Delivered Energy Use by End Use: Office Equipment: Reference case</t>
  </si>
  <si>
    <t>AEO.2023.REF2023.CNSM_NA_COMM_NA_DEE_OFEQPNPC_USA_QBTU.A</t>
  </si>
  <si>
    <t>Commercial: Delivered Energy Use by End Use: Other Uses: Reference case</t>
  </si>
  <si>
    <t>AEO.2023.REF2023.CNSM_NA_COMM_NA_DEE_OTHU_USA_QBTU.A</t>
  </si>
  <si>
    <t>Commercial: Delivered Energy Use by End Use: Gross End-use Consumption: Reference case</t>
  </si>
  <si>
    <t>AEO.2023.REF2023.CNSM_NA_COMM_NA_DEE_NA_USA_QBTU.A</t>
  </si>
  <si>
    <t>Commercial: Energy Consumption by End Use: Generation for Own Use: Reference case</t>
  </si>
  <si>
    <t>AEO.2023.REF2023.GEN_NA_COMM_NA_DEE_GFO_USA_QBTU.A</t>
  </si>
  <si>
    <t>Commercial: Energy Consumption by End Use: Delivered Energy: Reference case</t>
  </si>
  <si>
    <t>Commercial: Electricity Related Losses: Reference case</t>
  </si>
  <si>
    <t>AEO.2023.REF2023.CNSM_NA_COMM_NA_ERL_NA_USA_QBTU.A</t>
  </si>
  <si>
    <t>Commercial: Total Energy Use by End Use: Space Heating: Reference case</t>
  </si>
  <si>
    <t>AEO.2023.REF2023.CNSM_NA_COMM_NA_TEE_SPH_USA_QBTU.A</t>
  </si>
  <si>
    <t>Commercial: Total Energy Use by End Use: Space Cooling: Reference case</t>
  </si>
  <si>
    <t>AEO.2023.REF2023.CNSM_NA_COMM_NA_TEE_SPC_USA_QBTU.A</t>
  </si>
  <si>
    <t>Commercial: Total Energy Use by End Use: Water Heating: Reference case</t>
  </si>
  <si>
    <t>AEO.2023.REF2023.CNSM_NA_COMM_NA_TEE_WTHT_USA_QBTU.A</t>
  </si>
  <si>
    <t>Commercial: Total Energy Use by End Use: Ventilation: Reference case</t>
  </si>
  <si>
    <t>AEO.2023.REF2023.CNSM_NA_COMM_NA_TEE_VNTC_USA_QBTU.A</t>
  </si>
  <si>
    <t>Commercial: Total Energy Use by End Use: Cooking: Reference case</t>
  </si>
  <si>
    <t>AEO.2023.REF2023.CNSM_NA_COMM_NA_TEE_CGR_USA_QBTU.A</t>
  </si>
  <si>
    <t>Commercial: Total Energy Use by End Use: Lighting: Reference case</t>
  </si>
  <si>
    <t>AEO.2023.REF2023.CNSM_NA_COMM_NA_TEE_LGHTNG_USA_QBTU.A</t>
  </si>
  <si>
    <t>Commercial: Total Energy Use by End Use: Refrigeration: Reference case</t>
  </si>
  <si>
    <t>AEO.2023.REF2023.CNSM_NA_COMM_NA_TEE_REFR_USA_QBTU.A</t>
  </si>
  <si>
    <t>Commercial: Total Energy Use by End Use: Computing: Reference case</t>
  </si>
  <si>
    <t>AEO.2023.REF2023.CNSM_NA_COMM_NA_TEE_OFEQPC_USA_QBTU.A</t>
  </si>
  <si>
    <t>Commercial: Total Energy Use by End Use: Office Equipment: Reference case</t>
  </si>
  <si>
    <t>AEO.2023.REF2023.CNSM_NA_COMM_NA_TEE_OFEQPNPC_USA_QBTU.A</t>
  </si>
  <si>
    <t>Commercial: Total Energy Use by End Use: Other Uses: Reference case</t>
  </si>
  <si>
    <t>AEO.2023.REF2023.CNSM_NA_COMM_NA_TEE_OTHU_USA_QBTU.A</t>
  </si>
  <si>
    <t>Commercial: Total Energy Use by End Use: Total Gross End-use Consumption: Reference case</t>
  </si>
  <si>
    <t>AEO.2023.REF2023.CNSM_NA_COMM_NA_TEE_NA_USA_QBTU.A</t>
  </si>
  <si>
    <t>Commercial: Total Energy Use by End Use: Generation for Own Use: Reference case</t>
  </si>
  <si>
    <t>AEO.2023.REF2023.GEN_GFO_COMM_NA_TEE_NA_USA_QBTU.A</t>
  </si>
  <si>
    <t>Total Net Own-use Generation</t>
  </si>
  <si>
    <t>Commercial: Total Energy Use by End Use: Total Net Own-use Generation: Reference case</t>
  </si>
  <si>
    <t>AEO.2023.REF2023.GEN_GFO_COMM_NA_TEE_TOT_USA_QBTU.A</t>
  </si>
  <si>
    <t>Commercial: Nonmarketed Renewable Fuels: Solar Thermal: Reference case</t>
  </si>
  <si>
    <t>AEO.2023.REF2023.CNSM_NA_COMM_NA_NRF_SOTH_USA_QBTU.A</t>
  </si>
  <si>
    <t>Commercial: Nonmarketed Renewable Fuels: Solar Photovoltaic: Reference case</t>
  </si>
  <si>
    <t>AEO.2023.REF2023.CNSM_NA_COMM_NA_NRF_SOPH_USA_QBTU.A</t>
  </si>
  <si>
    <t>Commercial: Nonmarketed Renewable Fuels: Wind: Reference case</t>
  </si>
  <si>
    <t>AEO.2023.REF2023.CNSM_NA_COMM_NA_NRF_WND_USA_QBTU.A</t>
  </si>
  <si>
    <t>Commercial: Nonmarketed Renewable Fuels: Total: Reference case</t>
  </si>
  <si>
    <t>AEO.2023.REF2023.CNSM_NA_COMM_NA_NRF_TOT_USA_QBTU.A</t>
  </si>
  <si>
    <t>Commercial: Heating Degree Days: New England: Reference case</t>
  </si>
  <si>
    <t>AEO.2023.REF2023.KEI_NA_COMM_NA_NA_NA_NENGL_HDD.A</t>
  </si>
  <si>
    <t>Commercial: Heating Degree Days: Middle Atlantic: Reference case</t>
  </si>
  <si>
    <t>AEO.2023.REF2023.KEI_NA_COMM_NA_NA_NA_MATL_HDD.A</t>
  </si>
  <si>
    <t>Commercial: Heating Degree Days: East North Central: Reference case</t>
  </si>
  <si>
    <t>AEO.2023.REF2023.KEI_NA_COMM_NA_NA_NA_ENC_HDD.A</t>
  </si>
  <si>
    <t>Commercial: Heating Degree Days: West North Central: Reference case</t>
  </si>
  <si>
    <t>AEO.2023.REF2023.KEI_NA_COMM_NA_NA_NA_WNC_HDD.A</t>
  </si>
  <si>
    <t>Commercial: Heating Degree Days: South Atlantic: Reference case</t>
  </si>
  <si>
    <t>AEO.2023.REF2023.KEI_NA_COMM_NA_NA_NA_SATL_HDD.A</t>
  </si>
  <si>
    <t>Commercial: Heating Degree Days: East South Central: Reference case</t>
  </si>
  <si>
    <t>AEO.2023.REF2023.KEI_NA_COMM_NA_NA_NA_ESC_HDD.A</t>
  </si>
  <si>
    <t>Commercial: Heating Degree Days: West South Central: Reference case</t>
  </si>
  <si>
    <t>AEO.2023.REF2023.KEI_NA_COMM_NA_NA_NA_WSC_HDD.A</t>
  </si>
  <si>
    <t>Commercial: Heating Degree Days: Mountain: Reference case</t>
  </si>
  <si>
    <t>AEO.2023.REF2023.KEI_NA_COMM_NA_NA_NA_MTN_HDD.A</t>
  </si>
  <si>
    <t>Commercial: Heating Degree Days: Pacific: Reference case</t>
  </si>
  <si>
    <t>AEO.2023.REF2023.KEI_NA_COMM_NA_NA_NA_PCF_HDD.A</t>
  </si>
  <si>
    <t>Commercial: Heating Degree Days: United States: Reference case</t>
  </si>
  <si>
    <t>AEO.2023.REF2023.KEI_NA_COMM_NA_NA_NA_USA_HDD.A</t>
  </si>
  <si>
    <t>Commercial: Cooling Degree Days: New England: Reference case</t>
  </si>
  <si>
    <t>AEO.2023.REF2023.KEI_NA_COMM_NA_NA_NA_NENGL_CDD.A</t>
  </si>
  <si>
    <t>Commercial: Cooling Degree Days: Middle Atlantic: Reference case</t>
  </si>
  <si>
    <t>AEO.2023.REF2023.KEI_NA_COMM_NA_NA_NA_MATL_CDD.A</t>
  </si>
  <si>
    <t>Commercial: Cooling Degree Days: East North Central: Reference case</t>
  </si>
  <si>
    <t>AEO.2023.REF2023.KEI_NA_COMM_NA_NA_NA_ENC_CDD.A</t>
  </si>
  <si>
    <t>Commercial: Cooling Degree Days: West North Central: Reference case</t>
  </si>
  <si>
    <t>AEO.2023.REF2023.KEI_NA_COMM_NA_NA_NA_WNC_CDD.A</t>
  </si>
  <si>
    <t>Commercial: Cooling Degree Days: South Atlantic: Reference case</t>
  </si>
  <si>
    <t>AEO.2023.REF2023.KEI_NA_COMM_NA_NA_NA_SATL_CDD.A</t>
  </si>
  <si>
    <t>Commercial: Cooling Degree Days: East South Central: Reference case</t>
  </si>
  <si>
    <t>AEO.2023.REF2023.KEI_NA_COMM_NA_NA_NA_ESC_CDD.A</t>
  </si>
  <si>
    <t>Commercial: Cooling Degree Days: West South Central: Reference case</t>
  </si>
  <si>
    <t>AEO.2023.REF2023.KEI_NA_COMM_NA_NA_NA_WSC_CDD.A</t>
  </si>
  <si>
    <t>Commercial: Cooling Degree Days: Mountain: Reference case</t>
  </si>
  <si>
    <t>AEO.2023.REF2023.KEI_NA_COMM_NA_NA_NA_MTN_CDD.A</t>
  </si>
  <si>
    <t>Commercial: Cooling Degree Days: Pacific: Reference case</t>
  </si>
  <si>
    <t>AEO.2023.REF2023.KEI_NA_COMM_NA_NA_NA_PCF_CDD.A</t>
  </si>
  <si>
    <t>Commercial: Cooling Degree Days: United States: Reference case</t>
  </si>
  <si>
    <t>AEO.2023.REF2023.KEI_NA_COMM_NA_NA_NA_USA_CDD.A</t>
  </si>
  <si>
    <t>Difference between AEO 2023 and AEO 2025</t>
  </si>
  <si>
    <t>quad to TWh</t>
  </si>
  <si>
    <t>Total Difference in TWh in data center categories</t>
  </si>
  <si>
    <t>Difference between 2024 computed demand and historical</t>
  </si>
  <si>
    <t>Annual Data Center Load</t>
  </si>
  <si>
    <t>Color Code</t>
  </si>
  <si>
    <t>Extrapolated ADO Trajectories</t>
  </si>
  <si>
    <t>2030-2050 Demand for Mid and High Scenarios</t>
  </si>
  <si>
    <t>ADP mid growth rate</t>
  </si>
  <si>
    <t>State</t>
  </si>
  <si>
    <t>Nominal Capacity (GW)</t>
  </si>
  <si>
    <t>Peak Load (GW)</t>
  </si>
  <si>
    <t>Annual Energy (TWh)</t>
  </si>
  <si>
    <t>Historical</t>
  </si>
  <si>
    <t>US</t>
  </si>
  <si>
    <t>Low</t>
  </si>
  <si>
    <t>Medium</t>
  </si>
  <si>
    <t>High</t>
  </si>
  <si>
    <t>EPRI Historical</t>
  </si>
  <si>
    <t>EPRI Mid</t>
  </si>
  <si>
    <t>EPRI High</t>
  </si>
  <si>
    <t>ADP high growth rate</t>
  </si>
  <si>
    <t>Historic Demand, Projected Demand for mid and high scenarios</t>
  </si>
  <si>
    <t>EPRI</t>
  </si>
  <si>
    <t>Powering Intelligence 2026</t>
  </si>
  <si>
    <t>https://powering-intelligence.epri.com/</t>
  </si>
  <si>
    <t>U.S. National data download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</si>
</sst>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rgb="FF606060"/>
      <name val="Arial"/>
      <family val="2"/>
    </font>
    <font>
      <sz val="14"/>
      <color rgb="FF606060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DF6C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1">
      <alignment wrapText="1"/>
    </xf>
    <xf numFmtId="0" fontId="3" fillId="0" borderId="2">
      <alignment wrapText="1"/>
    </xf>
    <xf numFmtId="0" fontId="4" fillId="0" borderId="3">
      <alignment wrapText="1"/>
    </xf>
    <xf numFmtId="0" fontId="3" fillId="0" borderId="4">
      <alignment wrapText="1"/>
    </xf>
    <xf numFmtId="0" fontId="5" fillId="0" borderId="0" applyNumberFormat="0" applyFill="0" applyBorder="0" applyAlignment="0" applyProtection="0"/>
    <xf numFmtId="0" fontId="10" fillId="0" borderId="0"/>
  </cellStyleXfs>
  <cellXfs count="38">
    <xf numFmtId="0" fontId="0" fillId="0" borderId="0" xfId="0"/>
    <xf numFmtId="2" fontId="0" fillId="0" borderId="0" xfId="1" applyNumberFormat="1" applyFont="1"/>
    <xf numFmtId="0" fontId="5" fillId="0" borderId="0" xfId="7"/>
    <xf numFmtId="1" fontId="0" fillId="0" borderId="0" xfId="0" applyNumberFormat="1"/>
    <xf numFmtId="0" fontId="2" fillId="0" borderId="0" xfId="0" applyFont="1"/>
    <xf numFmtId="0" fontId="2" fillId="4" borderId="0" xfId="0" applyFont="1" applyFill="1"/>
    <xf numFmtId="0" fontId="0" fillId="0" borderId="0" xfId="0" applyAlignment="1">
      <alignment horizontal="left"/>
    </xf>
    <xf numFmtId="0" fontId="6" fillId="0" borderId="0" xfId="0" applyFont="1"/>
    <xf numFmtId="9" fontId="0" fillId="0" borderId="0" xfId="1" applyFont="1"/>
    <xf numFmtId="11" fontId="6" fillId="0" borderId="0" xfId="0" applyNumberFormat="1" applyFont="1"/>
    <xf numFmtId="0" fontId="0" fillId="3" borderId="0" xfId="0" applyFill="1"/>
    <xf numFmtId="0" fontId="0" fillId="0" borderId="5" xfId="0" applyBorder="1"/>
    <xf numFmtId="0" fontId="0" fillId="5" borderId="0" xfId="0" applyFill="1"/>
    <xf numFmtId="0" fontId="2" fillId="0" borderId="0" xfId="0" applyFont="1" applyAlignment="1">
      <alignment horizontal="left" indent="1"/>
    </xf>
    <xf numFmtId="0" fontId="0" fillId="0" borderId="0" xfId="0" applyAlignment="1">
      <alignment wrapText="1"/>
    </xf>
    <xf numFmtId="164" fontId="0" fillId="0" borderId="0" xfId="1" applyNumberFormat="1" applyFont="1"/>
    <xf numFmtId="0" fontId="0" fillId="7" borderId="0" xfId="0" applyFill="1"/>
    <xf numFmtId="9" fontId="0" fillId="0" borderId="0" xfId="0" applyNumberFormat="1"/>
    <xf numFmtId="0" fontId="2" fillId="0" borderId="0" xfId="0" applyFont="1" applyAlignment="1">
      <alignment wrapText="1"/>
    </xf>
    <xf numFmtId="0" fontId="2" fillId="8" borderId="0" xfId="0" applyFont="1" applyFill="1"/>
    <xf numFmtId="3" fontId="0" fillId="0" borderId="0" xfId="0" applyNumberFormat="1"/>
    <xf numFmtId="10" fontId="0" fillId="0" borderId="0" xfId="0" applyNumberFormat="1"/>
    <xf numFmtId="10" fontId="0" fillId="5" borderId="0" xfId="0" applyNumberFormat="1" applyFill="1"/>
    <xf numFmtId="1" fontId="0" fillId="9" borderId="5" xfId="0" applyNumberFormat="1" applyFill="1" applyBorder="1"/>
    <xf numFmtId="0" fontId="0" fillId="9" borderId="0" xfId="0" applyFill="1"/>
    <xf numFmtId="1" fontId="0" fillId="2" borderId="5" xfId="0" applyNumberFormat="1" applyFill="1" applyBorder="1"/>
    <xf numFmtId="0" fontId="0" fillId="2" borderId="0" xfId="0" applyFill="1"/>
    <xf numFmtId="1" fontId="0" fillId="10" borderId="5" xfId="0" applyNumberFormat="1" applyFill="1" applyBorder="1"/>
    <xf numFmtId="0" fontId="0" fillId="10" borderId="0" xfId="0" applyFill="1"/>
    <xf numFmtId="0" fontId="0" fillId="6" borderId="0" xfId="0" applyFill="1"/>
    <xf numFmtId="0" fontId="0" fillId="11" borderId="0" xfId="0" applyFill="1"/>
    <xf numFmtId="9" fontId="7" fillId="0" borderId="0" xfId="0" applyNumberFormat="1" applyFont="1"/>
    <xf numFmtId="0" fontId="10" fillId="0" borderId="0" xfId="8"/>
    <xf numFmtId="0" fontId="11" fillId="0" borderId="0" xfId="8" applyFont="1"/>
    <xf numFmtId="0" fontId="0" fillId="12" borderId="0" xfId="0" applyFill="1"/>
    <xf numFmtId="1" fontId="0" fillId="6" borderId="5" xfId="0" applyNumberFormat="1" applyFill="1" applyBorder="1"/>
    <xf numFmtId="1" fontId="0" fillId="11" borderId="5" xfId="0" applyNumberFormat="1" applyFill="1" applyBorder="1"/>
    <xf numFmtId="1" fontId="0" fillId="12" borderId="5" xfId="0" applyNumberFormat="1" applyFill="1" applyBorder="1"/>
  </cellXfs>
  <cellStyles count="9">
    <cellStyle name="Body: normal cell 2 2" xfId="4" xr:uid="{8826D916-A56A-49C8-BC7B-1C7173429BE0}"/>
    <cellStyle name="Footnotes: top row 2 2" xfId="6" xr:uid="{47E9C91E-6EC7-41DA-8AA7-D903CF4BC43A}"/>
    <cellStyle name="Header: bottom row 2 2" xfId="3" xr:uid="{392BA950-59C6-4B9B-9EFE-CDA5D326A746}"/>
    <cellStyle name="Hyperlink" xfId="7" builtinId="8"/>
    <cellStyle name="Normal" xfId="0" builtinId="0"/>
    <cellStyle name="Normal 2" xfId="2" xr:uid="{8234889B-6E37-4A53-8A9B-E869E279CD06}"/>
    <cellStyle name="Normal 3" xfId="8" xr:uid="{DC34A715-970A-4690-AD00-A76DAA6B5E26}"/>
    <cellStyle name="Parent row 2 2" xfId="5" xr:uid="{EDFA25B6-E8BA-45F4-8914-989DAA4F9F94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en-US"/>
              <a:t>Data</a:t>
            </a:r>
            <a:r>
              <a:rPr lang="en-US" baseline="0"/>
              <a:t> Center Demand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'Low_Mid_High Scenarios'!$A$3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'Low_Mid_High Scenarios'!$B$2:$AB$2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xVal>
          <c:yVal>
            <c:numRef>
              <c:f>'Low_Mid_High Scenarios'!$B$3:$AB$3</c:f>
              <c:numCache>
                <c:formatCode>0</c:formatCode>
                <c:ptCount val="27"/>
                <c:pt idx="0">
                  <c:v>184</c:v>
                </c:pt>
                <c:pt idx="1">
                  <c:v>218.49430399999994</c:v>
                </c:pt>
                <c:pt idx="2">
                  <c:v>208.45377999999999</c:v>
                </c:pt>
                <c:pt idx="3">
                  <c:v>217.33753999999993</c:v>
                </c:pt>
                <c:pt idx="4">
                  <c:v>217.77293799999995</c:v>
                </c:pt>
                <c:pt idx="5">
                  <c:v>230.82725999999997</c:v>
                </c:pt>
                <c:pt idx="6">
                  <c:v>241.00168499999995</c:v>
                </c:pt>
                <c:pt idx="7">
                  <c:v>250.50924199999992</c:v>
                </c:pt>
                <c:pt idx="8">
                  <c:v>260.43871899999999</c:v>
                </c:pt>
                <c:pt idx="9">
                  <c:v>271.29524799999996</c:v>
                </c:pt>
                <c:pt idx="10">
                  <c:v>283.65633199999996</c:v>
                </c:pt>
                <c:pt idx="11">
                  <c:v>297.65704400000004</c:v>
                </c:pt>
                <c:pt idx="12">
                  <c:v>312.98211599999991</c:v>
                </c:pt>
                <c:pt idx="13">
                  <c:v>329.64326799999992</c:v>
                </c:pt>
                <c:pt idx="14">
                  <c:v>346.08818600000006</c:v>
                </c:pt>
                <c:pt idx="15">
                  <c:v>363.221654</c:v>
                </c:pt>
                <c:pt idx="16">
                  <c:v>381.048946</c:v>
                </c:pt>
                <c:pt idx="17">
                  <c:v>399.20439800000003</c:v>
                </c:pt>
                <c:pt idx="18">
                  <c:v>417.32029499999999</c:v>
                </c:pt>
                <c:pt idx="19">
                  <c:v>435.50944199999992</c:v>
                </c:pt>
                <c:pt idx="20">
                  <c:v>454.24825699999991</c:v>
                </c:pt>
                <c:pt idx="21">
                  <c:v>472.90708299999994</c:v>
                </c:pt>
                <c:pt idx="22">
                  <c:v>491.53983199999999</c:v>
                </c:pt>
                <c:pt idx="23">
                  <c:v>510.59743099999997</c:v>
                </c:pt>
                <c:pt idx="24">
                  <c:v>529.93455199999983</c:v>
                </c:pt>
                <c:pt idx="25">
                  <c:v>549.39590500000008</c:v>
                </c:pt>
                <c:pt idx="26">
                  <c:v>569.41014899999982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A9-40BC-B784-0F4684030D7B}"/>
            </c:ext>
          </c:extLst>
        </c:ser>
        <c:ser>
          <c:idx val="1"/>
          <c:order val="1"/>
          <c:tx>
            <c:strRef>
              <c:f>'Low_Mid_High Scenarios'!$A$5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'Low_Mid_High Scenarios'!$B$2:$AB$2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xVal>
          <c:yVal>
            <c:numRef>
              <c:f>'Low_Mid_High Scenarios'!$B$5:$AB$5</c:f>
              <c:numCache>
                <c:formatCode>0</c:formatCode>
                <c:ptCount val="27"/>
                <c:pt idx="0">
                  <c:v>184</c:v>
                </c:pt>
                <c:pt idx="1">
                  <c:v>258</c:v>
                </c:pt>
                <c:pt idx="2">
                  <c:v>348</c:v>
                </c:pt>
                <c:pt idx="3">
                  <c:v>459</c:v>
                </c:pt>
                <c:pt idx="4">
                  <c:v>578</c:v>
                </c:pt>
                <c:pt idx="5">
                  <c:v>687</c:v>
                </c:pt>
                <c:pt idx="6">
                  <c:v>794</c:v>
                </c:pt>
                <c:pt idx="7">
                  <c:v>865.88022284122565</c:v>
                </c:pt>
                <c:pt idx="8">
                  <c:v>937.7604456824514</c:v>
                </c:pt>
                <c:pt idx="9">
                  <c:v>1009.6406685236769</c:v>
                </c:pt>
                <c:pt idx="10">
                  <c:v>1081.5208913649026</c:v>
                </c:pt>
                <c:pt idx="11">
                  <c:v>1153.4011142061281</c:v>
                </c:pt>
                <c:pt idx="12">
                  <c:v>1192.9905292478979</c:v>
                </c:pt>
                <c:pt idx="13">
                  <c:v>1232.5799442896839</c:v>
                </c:pt>
                <c:pt idx="14">
                  <c:v>1272.1693593314699</c:v>
                </c:pt>
                <c:pt idx="15">
                  <c:v>1311.7587743732558</c:v>
                </c:pt>
                <c:pt idx="16">
                  <c:v>1351.3481894150416</c:v>
                </c:pt>
                <c:pt idx="17">
                  <c:v>1401.8855153203469</c:v>
                </c:pt>
                <c:pt idx="18">
                  <c:v>1452.4228412256361</c:v>
                </c:pt>
                <c:pt idx="19">
                  <c:v>1502.9601671309256</c:v>
                </c:pt>
                <c:pt idx="20">
                  <c:v>1553.4974930362148</c:v>
                </c:pt>
                <c:pt idx="21">
                  <c:v>1604.0348189415042</c:v>
                </c:pt>
                <c:pt idx="22">
                  <c:v>1654.5721448468094</c:v>
                </c:pt>
                <c:pt idx="23">
                  <c:v>1705.1094707520988</c:v>
                </c:pt>
                <c:pt idx="24">
                  <c:v>1755.6467966573882</c:v>
                </c:pt>
                <c:pt idx="25">
                  <c:v>1806.1841225626774</c:v>
                </c:pt>
                <c:pt idx="26">
                  <c:v>1856.7214484679669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A9-40BC-B784-0F4684030D7B}"/>
            </c:ext>
          </c:extLst>
        </c:ser>
        <c:ser>
          <c:idx val="2"/>
          <c:order val="2"/>
          <c:tx>
            <c:strRef>
              <c:f>'Low_Mid_High Scenarios'!$A$4</c:f>
              <c:strCache>
                <c:ptCount val="1"/>
                <c:pt idx="0">
                  <c:v>mid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'Low_Mid_High Scenarios'!$B$2:$AB$2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xVal>
          <c:yVal>
            <c:numRef>
              <c:f>'Low_Mid_High Scenarios'!$B$4:$AB$4</c:f>
              <c:numCache>
                <c:formatCode>0</c:formatCode>
                <c:ptCount val="27"/>
                <c:pt idx="0">
                  <c:v>184</c:v>
                </c:pt>
                <c:pt idx="1">
                  <c:v>235</c:v>
                </c:pt>
                <c:pt idx="2">
                  <c:v>301</c:v>
                </c:pt>
                <c:pt idx="3">
                  <c:v>380</c:v>
                </c:pt>
                <c:pt idx="4">
                  <c:v>459</c:v>
                </c:pt>
                <c:pt idx="5">
                  <c:v>529</c:v>
                </c:pt>
                <c:pt idx="6">
                  <c:v>596</c:v>
                </c:pt>
                <c:pt idx="7">
                  <c:v>629.4905730129326</c:v>
                </c:pt>
                <c:pt idx="8">
                  <c:v>662.98114602587327</c:v>
                </c:pt>
                <c:pt idx="9">
                  <c:v>696.47171903881394</c:v>
                </c:pt>
                <c:pt idx="10">
                  <c:v>729.96229205175462</c:v>
                </c:pt>
                <c:pt idx="11">
                  <c:v>763.45286506469517</c:v>
                </c:pt>
                <c:pt idx="12">
                  <c:v>781.7404805915038</c:v>
                </c:pt>
                <c:pt idx="13">
                  <c:v>800.02809611830446</c:v>
                </c:pt>
                <c:pt idx="14">
                  <c:v>818.31571164510501</c:v>
                </c:pt>
                <c:pt idx="15">
                  <c:v>836.60332717190556</c:v>
                </c:pt>
                <c:pt idx="16">
                  <c:v>854.89094269870611</c:v>
                </c:pt>
                <c:pt idx="17">
                  <c:v>865.24658040665599</c:v>
                </c:pt>
                <c:pt idx="18">
                  <c:v>875.60221811460178</c:v>
                </c:pt>
                <c:pt idx="19">
                  <c:v>885.95785582255166</c:v>
                </c:pt>
                <c:pt idx="20">
                  <c:v>896.31349353050143</c:v>
                </c:pt>
                <c:pt idx="21">
                  <c:v>906.66913123844733</c:v>
                </c:pt>
                <c:pt idx="22">
                  <c:v>917.02476894639722</c:v>
                </c:pt>
                <c:pt idx="23">
                  <c:v>927.38040665434301</c:v>
                </c:pt>
                <c:pt idx="24">
                  <c:v>937.73604436229277</c:v>
                </c:pt>
                <c:pt idx="25">
                  <c:v>948.09168207024254</c:v>
                </c:pt>
                <c:pt idx="26">
                  <c:v>958.44731977818844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A9-40BC-B784-0F468403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5314000"/>
        <c:axId val="2085316520"/>
      </c:scatterChart>
      <c:valAx>
        <c:axId val="2085314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2085316520"/>
        <c:crosses val="autoZero"/>
        <c:crossBetween val="midCat"/>
      </c:valAx>
      <c:valAx>
        <c:axId val="2085316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r>
                  <a:rPr lang="en-US"/>
                  <a:t>TWh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208531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455612</xdr:colOff>
      <xdr:row>5</xdr:row>
      <xdr:rowOff>123821</xdr:rowOff>
    </xdr:from>
    <xdr:to>
      <xdr:col>14</xdr:col>
      <xdr:colOff>515937</xdr:colOff>
      <xdr:row>21</xdr:row>
      <xdr:rowOff>80168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4A25E5-B3B1-411B-BE77-9ABC8C2EE3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790575</xdr:colOff>
      <xdr:row>15</xdr:row>
      <xdr:rowOff>175450</xdr:rowOff>
    </xdr:from>
    <xdr:to>
      <xdr:col>23</xdr:col>
      <xdr:colOff>382719</xdr:colOff>
      <xdr:row>39</xdr:row>
      <xdr:rowOff>48486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230C55-6325-4F59-B287-53727B1D00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07675" y="3121850"/>
          <a:ext cx="8967919" cy="421008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BCEU/BAU%20Components%20Energy%20Use.xlsx" TargetMode="External"/><Relationship Id="rId2" Type="http://schemas.openxmlformats.org/officeDocument/2006/relationships/externalLinkPath" Target="file:///C:\Users\MeganMahajan\Documents\eps-us\InputData\bldgs\BCEU\BAU%20Components%20Energy%20Use.xlsx" TargetMode="External"/><Relationship Id="rId1" Type="http://schemas.openxmlformats.org/officeDocument/2006/relationships/externalLinkPath" Target="/Users/MeganMahajan/Documents/eps-us/InputData/bldgs/BCEU/BAU%20Components%20Energy%20U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bout"/>
      <sheetName val="Source Data&gt;"/>
      <sheetName val="RECS HC2.1"/>
      <sheetName val="Table_4._Residential_Sector_Key"/>
      <sheetName val="AEO 2025 Table 5"/>
      <sheetName val="AEO 2023 Table 5"/>
      <sheetName val="AEO Data Center Load"/>
      <sheetName val="Water and Waste"/>
      <sheetName val="Calcs&gt;"/>
      <sheetName val="Crosswalk AEO to EPS Summary"/>
      <sheetName val="Calculations"/>
      <sheetName val="BCEU-urban-residential-heating"/>
      <sheetName val="BCEU-urban-residential-cooling"/>
      <sheetName val="BCEU-urban-residential-lighting"/>
      <sheetName val="BCEU-urban-residential-appl"/>
      <sheetName val="BCEU-urban-residential-other"/>
      <sheetName val="BCEU-rural-residential-heating"/>
      <sheetName val="BCEU-rural-residential-cooling"/>
      <sheetName val="BCEU-rural-residential-lighting"/>
      <sheetName val="BCEU-rural-residential-appl"/>
      <sheetName val="BCEU-rural-residential-other"/>
      <sheetName val="BCEU-commercial-heating"/>
      <sheetName val="BCEU-commercial-cooling"/>
      <sheetName val="BCEU-commercial-lighting"/>
      <sheetName val="BCEU-commercial-appl"/>
      <sheetName val="BCEU-commercial-other"/>
      <sheetName val="BCEU-all-envelope"/>
    </sheetNames>
    <sheetDataSet>
      <sheetData sheetId="0">
        <row r="53">
          <cell r="C53">
            <v>0.04</v>
          </cell>
        </row>
        <row r="74">
          <cell r="A74">
            <v>0.81308184246741677</v>
          </cell>
        </row>
        <row r="75">
          <cell r="A75">
            <v>0.18691815753258317</v>
          </cell>
        </row>
        <row r="77">
          <cell r="B77">
            <v>1000000000000000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evolved.energy/us-adp-20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tabSelected="1" workbookViewId="0">
      <selection activeCell="A17" sqref="A17:XFD17"/>
    </sheetView>
  </sheetViews>
  <sheetFormatPr defaultRowHeight="14.5" x14ac:dyDescent="0.35"/>
  <cols>
    <col min="2" max="2" width="34" customWidth="1"/>
  </cols>
  <sheetData>
    <row r="1" spans="1:2" x14ac:dyDescent="0.35">
      <c r="A1" t="s">
        <v>8</v>
      </c>
    </row>
    <row r="3" spans="1:2" x14ac:dyDescent="0.35">
      <c r="A3" s="4" t="s">
        <v>4</v>
      </c>
      <c r="B3" s="5" t="s">
        <v>494</v>
      </c>
    </row>
    <row r="4" spans="1:2" x14ac:dyDescent="0.35">
      <c r="B4" t="s">
        <v>495</v>
      </c>
    </row>
    <row r="5" spans="1:2" x14ac:dyDescent="0.35">
      <c r="B5" s="6">
        <v>2026</v>
      </c>
    </row>
    <row r="6" spans="1:2" x14ac:dyDescent="0.35">
      <c r="B6" s="6" t="s">
        <v>496</v>
      </c>
    </row>
    <row r="7" spans="1:2" x14ac:dyDescent="0.35">
      <c r="B7" s="6" t="s">
        <v>497</v>
      </c>
    </row>
    <row r="8" spans="1:2" x14ac:dyDescent="0.35">
      <c r="B8" s="6" t="s">
        <v>498</v>
      </c>
    </row>
    <row r="10" spans="1:2" x14ac:dyDescent="0.35">
      <c r="B10" s="5" t="s">
        <v>69</v>
      </c>
    </row>
    <row r="11" spans="1:2" x14ac:dyDescent="0.35">
      <c r="B11" t="s">
        <v>70</v>
      </c>
    </row>
    <row r="12" spans="1:2" x14ac:dyDescent="0.35">
      <c r="B12" s="6">
        <v>2025</v>
      </c>
    </row>
    <row r="13" spans="1:2" x14ac:dyDescent="0.35">
      <c r="B13" s="6" t="s">
        <v>2</v>
      </c>
    </row>
    <row r="14" spans="1:2" x14ac:dyDescent="0.35">
      <c r="B14" s="2" t="s">
        <v>71</v>
      </c>
    </row>
    <row r="15" spans="1:2" x14ac:dyDescent="0.35">
      <c r="B15" t="s">
        <v>72</v>
      </c>
    </row>
    <row r="17" spans="1:2" x14ac:dyDescent="0.35">
      <c r="B17" s="5" t="s">
        <v>479</v>
      </c>
    </row>
    <row r="18" spans="1:2" x14ac:dyDescent="0.35">
      <c r="B18" t="s">
        <v>73</v>
      </c>
    </row>
    <row r="19" spans="1:2" x14ac:dyDescent="0.35">
      <c r="B19" s="6">
        <v>2024</v>
      </c>
    </row>
    <row r="20" spans="1:2" x14ac:dyDescent="0.35">
      <c r="B20" s="6" t="s">
        <v>74</v>
      </c>
    </row>
    <row r="21" spans="1:2" x14ac:dyDescent="0.35">
      <c r="B21" s="2" t="s">
        <v>75</v>
      </c>
    </row>
    <row r="23" spans="1:2" x14ac:dyDescent="0.35">
      <c r="A23" s="4" t="s">
        <v>5</v>
      </c>
    </row>
    <row r="24" spans="1:2" x14ac:dyDescent="0.35">
      <c r="A24" t="s">
        <v>7</v>
      </c>
    </row>
    <row r="25" spans="1:2" x14ac:dyDescent="0.35">
      <c r="A25" t="s">
        <v>6</v>
      </c>
    </row>
    <row r="26" spans="1:2" x14ac:dyDescent="0.35">
      <c r="A26" t="s">
        <v>10</v>
      </c>
    </row>
    <row r="27" spans="1:2" x14ac:dyDescent="0.35">
      <c r="A27" t="s">
        <v>11</v>
      </c>
    </row>
    <row r="29" spans="1:2" x14ac:dyDescent="0.35">
      <c r="A29" s="7" t="s">
        <v>9</v>
      </c>
    </row>
    <row r="31" spans="1:2" x14ac:dyDescent="0.35">
      <c r="A31" t="s">
        <v>473</v>
      </c>
      <c r="B31">
        <v>293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E364-82EC-413B-9E5F-4D9B991497B1}">
  <sheetPr>
    <tabColor theme="9"/>
  </sheetPr>
  <dimension ref="A1:AB29"/>
  <sheetViews>
    <sheetView zoomScale="80" zoomScaleNormal="80" workbookViewId="0">
      <selection activeCell="I5" sqref="I5"/>
    </sheetView>
  </sheetViews>
  <sheetFormatPr defaultRowHeight="14.5" x14ac:dyDescent="0.35"/>
  <cols>
    <col min="1" max="1" width="25.26953125" customWidth="1"/>
    <col min="2" max="2" width="13.26953125" customWidth="1"/>
  </cols>
  <sheetData>
    <row r="1" spans="1:28" s="19" customFormat="1" x14ac:dyDescent="0.35">
      <c r="B1" s="19" t="s">
        <v>24</v>
      </c>
    </row>
    <row r="2" spans="1:28" x14ac:dyDescent="0.35">
      <c r="A2" s="4" t="s">
        <v>3</v>
      </c>
      <c r="B2" s="4">
        <v>2024</v>
      </c>
      <c r="C2" s="4">
        <f t="shared" ref="C2:AA2" si="0">B2+1</f>
        <v>2025</v>
      </c>
      <c r="D2" s="4">
        <f t="shared" si="0"/>
        <v>2026</v>
      </c>
      <c r="E2" s="4">
        <f t="shared" si="0"/>
        <v>2027</v>
      </c>
      <c r="F2" s="4">
        <f t="shared" si="0"/>
        <v>2028</v>
      </c>
      <c r="G2" s="4">
        <f t="shared" si="0"/>
        <v>2029</v>
      </c>
      <c r="H2" s="4">
        <f t="shared" si="0"/>
        <v>2030</v>
      </c>
      <c r="I2" s="4">
        <f t="shared" si="0"/>
        <v>2031</v>
      </c>
      <c r="J2" s="4">
        <f t="shared" si="0"/>
        <v>2032</v>
      </c>
      <c r="K2" s="4">
        <f t="shared" si="0"/>
        <v>2033</v>
      </c>
      <c r="L2" s="4">
        <f t="shared" si="0"/>
        <v>2034</v>
      </c>
      <c r="M2" s="4">
        <f t="shared" si="0"/>
        <v>2035</v>
      </c>
      <c r="N2" s="4">
        <f t="shared" si="0"/>
        <v>2036</v>
      </c>
      <c r="O2" s="4">
        <f t="shared" si="0"/>
        <v>2037</v>
      </c>
      <c r="P2" s="4">
        <f t="shared" si="0"/>
        <v>2038</v>
      </c>
      <c r="Q2" s="4">
        <f t="shared" si="0"/>
        <v>2039</v>
      </c>
      <c r="R2" s="4">
        <f t="shared" si="0"/>
        <v>2040</v>
      </c>
      <c r="S2" s="4">
        <f t="shared" si="0"/>
        <v>2041</v>
      </c>
      <c r="T2" s="4">
        <f t="shared" si="0"/>
        <v>2042</v>
      </c>
      <c r="U2" s="4">
        <f t="shared" si="0"/>
        <v>2043</v>
      </c>
      <c r="V2" s="4">
        <f t="shared" si="0"/>
        <v>2044</v>
      </c>
      <c r="W2" s="4">
        <f t="shared" si="0"/>
        <v>2045</v>
      </c>
      <c r="X2" s="4">
        <f t="shared" si="0"/>
        <v>2046</v>
      </c>
      <c r="Y2" s="4">
        <f t="shared" si="0"/>
        <v>2047</v>
      </c>
      <c r="Z2" s="4">
        <f>Y2+1</f>
        <v>2048</v>
      </c>
      <c r="AA2" s="4">
        <f t="shared" si="0"/>
        <v>2049</v>
      </c>
      <c r="AB2" s="4">
        <f>AA2+1</f>
        <v>2050</v>
      </c>
    </row>
    <row r="3" spans="1:28" x14ac:dyDescent="0.35">
      <c r="A3" s="11" t="s">
        <v>15</v>
      </c>
      <c r="B3" s="23">
        <f>EPRI!$F$5</f>
        <v>184</v>
      </c>
      <c r="C3" s="25">
        <f>'AEO Data Center Load'!C14</f>
        <v>218.49430399999994</v>
      </c>
      <c r="D3" s="25">
        <f>'AEO Data Center Load'!D14</f>
        <v>208.45377999999999</v>
      </c>
      <c r="E3" s="25">
        <f>'AEO Data Center Load'!E14</f>
        <v>217.33753999999993</v>
      </c>
      <c r="F3" s="25">
        <f>'AEO Data Center Load'!F14</f>
        <v>217.77293799999995</v>
      </c>
      <c r="G3" s="25">
        <f>'AEO Data Center Load'!G14</f>
        <v>230.82725999999997</v>
      </c>
      <c r="H3" s="25">
        <f>'AEO Data Center Load'!H14</f>
        <v>241.00168499999995</v>
      </c>
      <c r="I3" s="25">
        <f>'AEO Data Center Load'!I14</f>
        <v>250.50924199999992</v>
      </c>
      <c r="J3" s="25">
        <f>'AEO Data Center Load'!J14</f>
        <v>260.43871899999999</v>
      </c>
      <c r="K3" s="25">
        <f>'AEO Data Center Load'!K14</f>
        <v>271.29524799999996</v>
      </c>
      <c r="L3" s="25">
        <f>'AEO Data Center Load'!L14</f>
        <v>283.65633199999996</v>
      </c>
      <c r="M3" s="25">
        <f>'AEO Data Center Load'!M14</f>
        <v>297.65704400000004</v>
      </c>
      <c r="N3" s="25">
        <f>'AEO Data Center Load'!N14</f>
        <v>312.98211599999991</v>
      </c>
      <c r="O3" s="25">
        <f>'AEO Data Center Load'!O14</f>
        <v>329.64326799999992</v>
      </c>
      <c r="P3" s="25">
        <f>'AEO Data Center Load'!P14</f>
        <v>346.08818600000006</v>
      </c>
      <c r="Q3" s="25">
        <f>'AEO Data Center Load'!Q14</f>
        <v>363.221654</v>
      </c>
      <c r="R3" s="25">
        <f>'AEO Data Center Load'!R14</f>
        <v>381.048946</v>
      </c>
      <c r="S3" s="25">
        <f>'AEO Data Center Load'!S14</f>
        <v>399.20439800000003</v>
      </c>
      <c r="T3" s="25">
        <f>'AEO Data Center Load'!T14</f>
        <v>417.32029499999999</v>
      </c>
      <c r="U3" s="25">
        <f>'AEO Data Center Load'!U14</f>
        <v>435.50944199999992</v>
      </c>
      <c r="V3" s="25">
        <f>'AEO Data Center Load'!V14</f>
        <v>454.24825699999991</v>
      </c>
      <c r="W3" s="25">
        <f>'AEO Data Center Load'!W14</f>
        <v>472.90708299999994</v>
      </c>
      <c r="X3" s="25">
        <f>'AEO Data Center Load'!X14</f>
        <v>491.53983199999999</v>
      </c>
      <c r="Y3" s="25">
        <f>'AEO Data Center Load'!Y14</f>
        <v>510.59743099999997</v>
      </c>
      <c r="Z3" s="25">
        <f>'AEO Data Center Load'!Z14</f>
        <v>529.93455199999983</v>
      </c>
      <c r="AA3" s="25">
        <f>'AEO Data Center Load'!AA14</f>
        <v>549.39590500000008</v>
      </c>
      <c r="AB3" s="25">
        <f>'AEO Data Center Load'!AB14</f>
        <v>569.41014899999982</v>
      </c>
    </row>
    <row r="4" spans="1:28" x14ac:dyDescent="0.35">
      <c r="A4" s="11" t="s">
        <v>13</v>
      </c>
      <c r="B4" s="23">
        <f>B3</f>
        <v>184</v>
      </c>
      <c r="C4" s="27">
        <f>INDEX(EPRI!$F$13:$F$19,MATCH('Low_Mid_High Scenarios'!C$2,EPRI!$C$13:$C$19,0))</f>
        <v>235</v>
      </c>
      <c r="D4" s="27">
        <f>INDEX(EPRI!$F$13:$F$19,MATCH('Low_Mid_High Scenarios'!D$2,EPRI!$C$13:$C$19,0))</f>
        <v>301</v>
      </c>
      <c r="E4" s="27">
        <f>INDEX(EPRI!$F$13:$F$19,MATCH('Low_Mid_High Scenarios'!E$2,EPRI!$C$13:$C$19,0))</f>
        <v>380</v>
      </c>
      <c r="F4" s="27">
        <f>INDEX(EPRI!$F$13:$F$19,MATCH('Low_Mid_High Scenarios'!F$2,EPRI!$C$13:$C$19,0))</f>
        <v>459</v>
      </c>
      <c r="G4" s="27">
        <f>INDEX(EPRI!$F$13:$F$19,MATCH('Low_Mid_High Scenarios'!G$2,EPRI!$C$13:$C$19,0))</f>
        <v>529</v>
      </c>
      <c r="H4" s="27">
        <f>INDEX(EPRI!$F$13:$F$19,MATCH('Low_Mid_High Scenarios'!H$2,EPRI!$C$13:$C$19,0))</f>
        <v>596</v>
      </c>
      <c r="I4" s="35">
        <f>H4*(1+I25)</f>
        <v>629.4905730129326</v>
      </c>
      <c r="J4" s="35">
        <f>I4*(1+J25)</f>
        <v>662.98114602587327</v>
      </c>
      <c r="K4" s="35">
        <f>J4*(1+K25)</f>
        <v>696.47171903881394</v>
      </c>
      <c r="L4" s="35">
        <f>K4*(1+L25)</f>
        <v>729.96229205175462</v>
      </c>
      <c r="M4" s="35">
        <f>L4*(1+M25)</f>
        <v>763.45286506469517</v>
      </c>
      <c r="N4" s="35">
        <f>M4*(1+N25)</f>
        <v>781.7404805915038</v>
      </c>
      <c r="O4" s="35">
        <f>N4*(1+O25)</f>
        <v>800.02809611830446</v>
      </c>
      <c r="P4" s="35">
        <f>O4*(1+P25)</f>
        <v>818.31571164510501</v>
      </c>
      <c r="Q4" s="35">
        <f>P4*(1+Q25)</f>
        <v>836.60332717190556</v>
      </c>
      <c r="R4" s="35">
        <f>Q4*(1+R25)</f>
        <v>854.89094269870611</v>
      </c>
      <c r="S4" s="35">
        <f>R4*(1+S25)</f>
        <v>865.24658040665599</v>
      </c>
      <c r="T4" s="35">
        <f>S4*(1+T25)</f>
        <v>875.60221811460178</v>
      </c>
      <c r="U4" s="35">
        <f>T4*(1+U25)</f>
        <v>885.95785582255166</v>
      </c>
      <c r="V4" s="35">
        <f>U4*(1+V25)</f>
        <v>896.31349353050143</v>
      </c>
      <c r="W4" s="35">
        <f>V4*(1+W25)</f>
        <v>906.66913123844733</v>
      </c>
      <c r="X4" s="35">
        <f>W4*(1+X25)</f>
        <v>917.02476894639722</v>
      </c>
      <c r="Y4" s="35">
        <f>X4*(1+Y25)</f>
        <v>927.38040665434301</v>
      </c>
      <c r="Z4" s="35">
        <f>Y4*(1+Z25)</f>
        <v>937.73604436229277</v>
      </c>
      <c r="AA4" s="35">
        <f>Z4*(1+AA25)</f>
        <v>948.09168207024254</v>
      </c>
      <c r="AB4" s="35">
        <f>AA4*(1+AB25)</f>
        <v>958.44731977818844</v>
      </c>
    </row>
    <row r="5" spans="1:28" x14ac:dyDescent="0.35">
      <c r="A5" s="11" t="s">
        <v>16</v>
      </c>
      <c r="B5" s="23">
        <f>B3</f>
        <v>184</v>
      </c>
      <c r="C5" s="36">
        <f>INDEX(EPRI!$F$20:$F$26,MATCH('Low_Mid_High Scenarios'!C$2,EPRI!$C$20:$C$26,0))</f>
        <v>258</v>
      </c>
      <c r="D5" s="36">
        <f>INDEX(EPRI!$F$20:$F$26,MATCH('Low_Mid_High Scenarios'!D$2,EPRI!$C$20:$C$26,0))</f>
        <v>348</v>
      </c>
      <c r="E5" s="36">
        <f>INDEX(EPRI!$F$20:$F$26,MATCH('Low_Mid_High Scenarios'!E$2,EPRI!$C$20:$C$26,0))</f>
        <v>459</v>
      </c>
      <c r="F5" s="36">
        <f>INDEX(EPRI!$F$20:$F$26,MATCH('Low_Mid_High Scenarios'!F$2,EPRI!$C$20:$C$26,0))</f>
        <v>578</v>
      </c>
      <c r="G5" s="36">
        <f>INDEX(EPRI!$F$20:$F$26,MATCH('Low_Mid_High Scenarios'!G$2,EPRI!$C$20:$C$26,0))</f>
        <v>687</v>
      </c>
      <c r="H5" s="36">
        <f>INDEX(EPRI!$F$20:$F$26,MATCH('Low_Mid_High Scenarios'!H$2,EPRI!$C$20:$C$26,0))</f>
        <v>794</v>
      </c>
      <c r="I5" s="37">
        <f>H5*(1+I29)</f>
        <v>865.88022284122565</v>
      </c>
      <c r="J5" s="37">
        <f t="shared" ref="J5:AB5" si="1">I5*(1+J29)</f>
        <v>937.7604456824514</v>
      </c>
      <c r="K5" s="37">
        <f t="shared" si="1"/>
        <v>1009.6406685236769</v>
      </c>
      <c r="L5" s="37">
        <f t="shared" si="1"/>
        <v>1081.5208913649026</v>
      </c>
      <c r="M5" s="37">
        <f t="shared" si="1"/>
        <v>1153.4011142061281</v>
      </c>
      <c r="N5" s="37">
        <f t="shared" si="1"/>
        <v>1192.9905292478979</v>
      </c>
      <c r="O5" s="37">
        <f t="shared" si="1"/>
        <v>1232.5799442896839</v>
      </c>
      <c r="P5" s="37">
        <f t="shared" si="1"/>
        <v>1272.1693593314699</v>
      </c>
      <c r="Q5" s="37">
        <f t="shared" si="1"/>
        <v>1311.7587743732558</v>
      </c>
      <c r="R5" s="37">
        <f t="shared" si="1"/>
        <v>1351.3481894150416</v>
      </c>
      <c r="S5" s="37">
        <f t="shared" si="1"/>
        <v>1401.8855153203469</v>
      </c>
      <c r="T5" s="37">
        <f t="shared" si="1"/>
        <v>1452.4228412256361</v>
      </c>
      <c r="U5" s="37">
        <f t="shared" si="1"/>
        <v>1502.9601671309256</v>
      </c>
      <c r="V5" s="37">
        <f t="shared" si="1"/>
        <v>1553.4974930362148</v>
      </c>
      <c r="W5" s="37">
        <f t="shared" si="1"/>
        <v>1604.0348189415042</v>
      </c>
      <c r="X5" s="37">
        <f t="shared" si="1"/>
        <v>1654.5721448468094</v>
      </c>
      <c r="Y5" s="37">
        <f t="shared" si="1"/>
        <v>1705.1094707520988</v>
      </c>
      <c r="Z5" s="37">
        <f t="shared" si="1"/>
        <v>1755.6467966573882</v>
      </c>
      <c r="AA5" s="37">
        <f t="shared" si="1"/>
        <v>1806.1841225626774</v>
      </c>
      <c r="AB5" s="37">
        <f t="shared" si="1"/>
        <v>1856.7214484679669</v>
      </c>
    </row>
    <row r="7" spans="1:28" x14ac:dyDescent="0.35">
      <c r="A7" t="s">
        <v>477</v>
      </c>
    </row>
    <row r="8" spans="1:28" x14ac:dyDescent="0.35">
      <c r="A8" s="24"/>
      <c r="B8" t="s">
        <v>490</v>
      </c>
    </row>
    <row r="9" spans="1:28" x14ac:dyDescent="0.35">
      <c r="A9" s="26"/>
      <c r="B9" t="s">
        <v>23</v>
      </c>
    </row>
    <row r="10" spans="1:28" x14ac:dyDescent="0.35">
      <c r="A10" s="28"/>
      <c r="B10" t="s">
        <v>491</v>
      </c>
    </row>
    <row r="11" spans="1:28" x14ac:dyDescent="0.35">
      <c r="A11" s="30"/>
      <c r="B11" t="s">
        <v>492</v>
      </c>
    </row>
    <row r="12" spans="1:28" x14ac:dyDescent="0.35">
      <c r="A12" s="29"/>
      <c r="B12" t="s">
        <v>480</v>
      </c>
    </row>
    <row r="13" spans="1:28" x14ac:dyDescent="0.35">
      <c r="A13" s="34"/>
      <c r="B13" t="s">
        <v>493</v>
      </c>
    </row>
    <row r="15" spans="1:28" x14ac:dyDescent="0.35">
      <c r="B15" s="4" t="s">
        <v>478</v>
      </c>
    </row>
    <row r="16" spans="1:28" x14ac:dyDescent="0.35">
      <c r="B16" s="10" t="s">
        <v>17</v>
      </c>
      <c r="C16" s="10"/>
      <c r="D16" s="10"/>
      <c r="E16" s="10"/>
      <c r="F16" s="10"/>
      <c r="G16" s="10"/>
    </row>
    <row r="17" spans="1:28" x14ac:dyDescent="0.35">
      <c r="B17" s="13" t="s">
        <v>18</v>
      </c>
    </row>
    <row r="18" spans="1:28" x14ac:dyDescent="0.35">
      <c r="C18">
        <v>2025</v>
      </c>
      <c r="D18">
        <v>2030</v>
      </c>
      <c r="E18">
        <v>2035</v>
      </c>
      <c r="F18">
        <v>2040</v>
      </c>
      <c r="G18">
        <v>2050</v>
      </c>
    </row>
    <row r="19" spans="1:28" ht="29" x14ac:dyDescent="0.35">
      <c r="B19" s="14" t="s">
        <v>19</v>
      </c>
      <c r="C19">
        <f>'Evolved Energy ADP 2024'!C4</f>
        <v>279</v>
      </c>
      <c r="D19">
        <f>'Evolved Energy ADP 2024'!D4</f>
        <v>541</v>
      </c>
      <c r="E19">
        <f>'Evolved Energy ADP 2024'!E4</f>
        <v>693</v>
      </c>
      <c r="F19">
        <f>'Evolved Energy ADP 2024'!F4</f>
        <v>776</v>
      </c>
      <c r="G19">
        <f>'Evolved Energy ADP 2024'!G4</f>
        <v>870</v>
      </c>
    </row>
    <row r="20" spans="1:28" ht="29" x14ac:dyDescent="0.35">
      <c r="B20" s="14" t="s">
        <v>20</v>
      </c>
      <c r="C20">
        <f>'Evolved Energy ADP 2024'!C5</f>
        <v>279</v>
      </c>
      <c r="D20">
        <f>'Evolved Energy ADP 2024'!D5</f>
        <v>718</v>
      </c>
      <c r="E20">
        <f>'Evolved Energy ADP 2024'!E5</f>
        <v>1043</v>
      </c>
      <c r="F20">
        <f>'Evolved Energy ADP 2024'!F5</f>
        <v>1222</v>
      </c>
      <c r="G20">
        <f>'Evolved Energy ADP 2024'!G5</f>
        <v>1679</v>
      </c>
    </row>
    <row r="21" spans="1:28" x14ac:dyDescent="0.35">
      <c r="D21" s="1"/>
      <c r="E21" s="8"/>
      <c r="F21" s="8"/>
      <c r="G21" s="15"/>
    </row>
    <row r="23" spans="1:28" x14ac:dyDescent="0.35">
      <c r="C23">
        <v>2025</v>
      </c>
      <c r="D23">
        <v>2026</v>
      </c>
      <c r="E23">
        <v>2027</v>
      </c>
      <c r="F23">
        <v>2028</v>
      </c>
      <c r="G23">
        <v>2029</v>
      </c>
      <c r="H23">
        <f>G23+1</f>
        <v>2030</v>
      </c>
      <c r="I23">
        <f t="shared" ref="I23:AB23" si="2">H23+1</f>
        <v>2031</v>
      </c>
      <c r="J23">
        <f t="shared" si="2"/>
        <v>2032</v>
      </c>
      <c r="K23">
        <f t="shared" si="2"/>
        <v>2033</v>
      </c>
      <c r="L23">
        <f t="shared" si="2"/>
        <v>2034</v>
      </c>
      <c r="M23">
        <f t="shared" si="2"/>
        <v>2035</v>
      </c>
      <c r="N23">
        <f t="shared" si="2"/>
        <v>2036</v>
      </c>
      <c r="O23">
        <f t="shared" si="2"/>
        <v>2037</v>
      </c>
      <c r="P23">
        <f t="shared" si="2"/>
        <v>2038</v>
      </c>
      <c r="Q23">
        <f t="shared" si="2"/>
        <v>2039</v>
      </c>
      <c r="R23">
        <f t="shared" si="2"/>
        <v>2040</v>
      </c>
      <c r="S23">
        <f>R23+1</f>
        <v>2041</v>
      </c>
      <c r="T23">
        <f t="shared" si="2"/>
        <v>2042</v>
      </c>
      <c r="U23">
        <f t="shared" si="2"/>
        <v>2043</v>
      </c>
      <c r="V23">
        <f t="shared" si="2"/>
        <v>2044</v>
      </c>
      <c r="W23">
        <f t="shared" si="2"/>
        <v>2045</v>
      </c>
      <c r="X23">
        <f t="shared" si="2"/>
        <v>2046</v>
      </c>
      <c r="Y23">
        <f t="shared" si="2"/>
        <v>2047</v>
      </c>
      <c r="Z23">
        <f>Y23+1</f>
        <v>2048</v>
      </c>
      <c r="AA23">
        <f t="shared" si="2"/>
        <v>2049</v>
      </c>
      <c r="AB23">
        <f t="shared" si="2"/>
        <v>2050</v>
      </c>
    </row>
    <row r="24" spans="1:28" ht="29" x14ac:dyDescent="0.35">
      <c r="B24" s="14" t="s">
        <v>19</v>
      </c>
      <c r="C24" s="16">
        <f>HLOOKUP(C23,$C$18:$G$19,2,FALSE)</f>
        <v>279</v>
      </c>
      <c r="D24" s="3" cm="1">
        <f t="array" ref="D24">TREND($C$19:$D$19,$C$18:$D$18,D23)</f>
        <v>331.39999999999418</v>
      </c>
      <c r="E24" s="3" cm="1">
        <f t="array" ref="E24">TREND($C$19:$D$19,$C$18:$D$18,E23)</f>
        <v>383.80000000000291</v>
      </c>
      <c r="F24" s="3" cm="1">
        <f t="array" ref="F24">TREND($C$19:$D$19,$C$18:$D$18,F23)</f>
        <v>436.19999999999709</v>
      </c>
      <c r="G24" s="3" cm="1">
        <f t="array" ref="G24">TREND($C$19:$D$19,$C$18:$D$18,G23)</f>
        <v>488.59999999999127</v>
      </c>
      <c r="H24" s="16">
        <f>HLOOKUP(H23,$C$18:$G$19,2,FALSE)</f>
        <v>541</v>
      </c>
      <c r="I24" s="3" cm="1">
        <f t="array" ref="I24">TREND($D$19:$E$19,$D$18:$E$18,I23)</f>
        <v>571.39999999999418</v>
      </c>
      <c r="J24" s="3" cm="1">
        <f t="array" ref="J24">TREND($D$19:$E$19,$D$18:$E$18,J23)</f>
        <v>601.79999999999563</v>
      </c>
      <c r="K24" s="3" cm="1">
        <f t="array" ref="K24">TREND($D$19:$E$19,$D$18:$E$18,K23)</f>
        <v>632.19999999999709</v>
      </c>
      <c r="L24" s="3" cm="1">
        <f t="array" ref="L24">TREND($D$19:$E$19,$D$18:$E$18,L23)</f>
        <v>662.59999999999854</v>
      </c>
      <c r="M24" s="16">
        <f>HLOOKUP(M23,$C$18:$G$19,2,FALSE)</f>
        <v>693</v>
      </c>
      <c r="N24" s="3" cm="1">
        <f t="array" ref="N24">TREND($E$19:$F$19,$E$18:$F$18,N23)</f>
        <v>709.60000000000582</v>
      </c>
      <c r="O24" s="3" cm="1">
        <f t="array" ref="O24">TREND($E$19:$F$19,$E$18:$F$18,O23)</f>
        <v>726.20000000000437</v>
      </c>
      <c r="P24" s="3" cm="1">
        <f t="array" ref="P24">TREND($E$19:$F$19,$E$18:$F$18,P23)</f>
        <v>742.80000000000291</v>
      </c>
      <c r="Q24" s="3" cm="1">
        <f t="array" ref="Q24">TREND($E$19:$F$19,$E$18:$F$18,Q23)</f>
        <v>759.40000000000146</v>
      </c>
      <c r="R24" s="16">
        <f>HLOOKUP(R23,$C$18:$G$19,2,FALSE)</f>
        <v>776</v>
      </c>
      <c r="S24" s="3" cm="1">
        <f t="array" ref="S24">TREND($F$19:$G$19,$F$18:$G$18,S23)</f>
        <v>785.40000000000146</v>
      </c>
      <c r="T24" s="3" cm="1">
        <f t="array" ref="T24">TREND($F$19:$G$19,$F$18:$G$18,T23)</f>
        <v>794.79999999999927</v>
      </c>
      <c r="U24" s="3" cm="1">
        <f t="array" ref="U24">TREND($F$19:$G$19,$F$18:$G$18,U23)</f>
        <v>804.20000000000073</v>
      </c>
      <c r="V24" s="3" cm="1">
        <f t="array" ref="V24">TREND($F$19:$G$19,$F$18:$G$18,V23)</f>
        <v>813.60000000000218</v>
      </c>
      <c r="W24" s="3" cm="1">
        <f t="array" ref="W24">TREND($F$19:$G$19,$F$18:$G$18,W23)</f>
        <v>823</v>
      </c>
      <c r="X24" s="3" cm="1">
        <f t="array" ref="X24">TREND($F$19:$G$19,$F$18:$G$18,X23)</f>
        <v>832.40000000000146</v>
      </c>
      <c r="Y24" s="3" cm="1">
        <f t="array" ref="Y24">TREND($F$19:$G$19,$F$18:$G$18,Y23)</f>
        <v>841.79999999999927</v>
      </c>
      <c r="Z24" s="3" cm="1">
        <f t="array" ref="Z24">TREND($F$19:$G$19,$F$18:$G$18,Z23)</f>
        <v>851.20000000000073</v>
      </c>
      <c r="AA24" s="3" cm="1">
        <f t="array" ref="AA24">TREND($F$19:$G$19,$F$18:$G$18,AA23)</f>
        <v>860.60000000000218</v>
      </c>
      <c r="AB24" s="16">
        <f>HLOOKUP(AB23,$C$18:$G$19,2,FALSE)</f>
        <v>870</v>
      </c>
    </row>
    <row r="25" spans="1:28" x14ac:dyDescent="0.35">
      <c r="A25" t="s">
        <v>21</v>
      </c>
      <c r="B25" t="s">
        <v>14</v>
      </c>
      <c r="D25" s="17">
        <f t="shared" ref="D25:F25" si="3">E25</f>
        <v>5.6192236598880285E-2</v>
      </c>
      <c r="E25" s="17">
        <f t="shared" si="3"/>
        <v>5.6192236598880285E-2</v>
      </c>
      <c r="F25" s="17">
        <f t="shared" si="3"/>
        <v>5.6192236598880285E-2</v>
      </c>
      <c r="G25" s="17">
        <f>H25</f>
        <v>5.6192236598880285E-2</v>
      </c>
      <c r="H25" s="17">
        <f>I25</f>
        <v>5.6192236598880285E-2</v>
      </c>
      <c r="I25" s="8">
        <f>I24/H24-1</f>
        <v>5.6192236598880285E-2</v>
      </c>
      <c r="J25" s="8">
        <f>J24/I24-1</f>
        <v>5.3202660133009783E-2</v>
      </c>
      <c r="K25" s="8">
        <f t="shared" ref="K25:Y25" si="4">K24/J24-1</f>
        <v>5.0515121302761257E-2</v>
      </c>
      <c r="L25" s="8">
        <f t="shared" si="4"/>
        <v>4.8086048718762431E-2</v>
      </c>
      <c r="M25" s="8">
        <f>M24/L24-1</f>
        <v>4.5879867189860368E-2</v>
      </c>
      <c r="N25" s="8">
        <f t="shared" si="4"/>
        <v>2.3953823953832387E-2</v>
      </c>
      <c r="O25" s="8">
        <f t="shared" si="4"/>
        <v>2.3393461104845636E-2</v>
      </c>
      <c r="P25" s="8">
        <f t="shared" si="4"/>
        <v>2.2858716606993124E-2</v>
      </c>
      <c r="Q25" s="8">
        <f t="shared" si="4"/>
        <v>2.2347872913298872E-2</v>
      </c>
      <c r="R25" s="8">
        <f t="shared" si="4"/>
        <v>2.1859362654725434E-2</v>
      </c>
      <c r="S25" s="8">
        <f t="shared" si="4"/>
        <v>1.2113402061857625E-2</v>
      </c>
      <c r="T25" s="8">
        <f t="shared" si="4"/>
        <v>1.1968423733126787E-2</v>
      </c>
      <c r="U25" s="8">
        <f t="shared" si="4"/>
        <v>1.1826874685457289E-2</v>
      </c>
      <c r="V25" s="8">
        <f t="shared" si="4"/>
        <v>1.1688634667994746E-2</v>
      </c>
      <c r="W25" s="8">
        <f t="shared" si="4"/>
        <v>1.1553588987214702E-2</v>
      </c>
      <c r="X25" s="8">
        <f t="shared" si="4"/>
        <v>1.142162818955228E-2</v>
      </c>
      <c r="Y25" s="8">
        <f t="shared" si="4"/>
        <v>1.1292647765494657E-2</v>
      </c>
      <c r="Z25" s="8">
        <f>Z24/Y24-1</f>
        <v>1.1166547873605825E-2</v>
      </c>
      <c r="AA25" s="8">
        <f>AA24/Z24-1</f>
        <v>1.1043233082708381E-2</v>
      </c>
      <c r="AB25" s="8">
        <f t="shared" ref="AB25" si="5">AB24/AA24-1</f>
        <v>1.0922612131068821E-2</v>
      </c>
    </row>
    <row r="27" spans="1:28" x14ac:dyDescent="0.35">
      <c r="C27">
        <v>2025</v>
      </c>
      <c r="D27">
        <v>2026</v>
      </c>
      <c r="E27">
        <v>2027</v>
      </c>
      <c r="F27">
        <v>2028</v>
      </c>
      <c r="G27">
        <v>2029</v>
      </c>
      <c r="H27">
        <f>G27+1</f>
        <v>2030</v>
      </c>
      <c r="I27">
        <f t="shared" ref="I27:R27" si="6">H27+1</f>
        <v>2031</v>
      </c>
      <c r="J27">
        <f t="shared" si="6"/>
        <v>2032</v>
      </c>
      <c r="K27">
        <f t="shared" si="6"/>
        <v>2033</v>
      </c>
      <c r="L27">
        <f t="shared" si="6"/>
        <v>2034</v>
      </c>
      <c r="M27">
        <f t="shared" si="6"/>
        <v>2035</v>
      </c>
      <c r="N27">
        <f t="shared" si="6"/>
        <v>2036</v>
      </c>
      <c r="O27">
        <f t="shared" si="6"/>
        <v>2037</v>
      </c>
      <c r="P27">
        <f t="shared" si="6"/>
        <v>2038</v>
      </c>
      <c r="Q27">
        <f t="shared" si="6"/>
        <v>2039</v>
      </c>
      <c r="R27">
        <f t="shared" si="6"/>
        <v>2040</v>
      </c>
      <c r="S27">
        <f>R27+1</f>
        <v>2041</v>
      </c>
      <c r="T27">
        <f t="shared" ref="T27:Y27" si="7">S27+1</f>
        <v>2042</v>
      </c>
      <c r="U27">
        <f t="shared" si="7"/>
        <v>2043</v>
      </c>
      <c r="V27">
        <f t="shared" si="7"/>
        <v>2044</v>
      </c>
      <c r="W27">
        <f t="shared" si="7"/>
        <v>2045</v>
      </c>
      <c r="X27">
        <f t="shared" si="7"/>
        <v>2046</v>
      </c>
      <c r="Y27">
        <f t="shared" si="7"/>
        <v>2047</v>
      </c>
      <c r="Z27">
        <f>Y27+1</f>
        <v>2048</v>
      </c>
      <c r="AA27">
        <f t="shared" ref="AA27:AB27" si="8">Z27+1</f>
        <v>2049</v>
      </c>
      <c r="AB27">
        <f t="shared" si="8"/>
        <v>2050</v>
      </c>
    </row>
    <row r="28" spans="1:28" ht="29" x14ac:dyDescent="0.35">
      <c r="B28" s="14" t="s">
        <v>19</v>
      </c>
      <c r="C28" s="16">
        <f>HLOOKUP(C27,$C$18:$G$20,3,FALSE)</f>
        <v>279</v>
      </c>
      <c r="D28" s="3" cm="1">
        <f t="array" ref="D28">TREND($C$20:$D$20,$C$18:$D$18,D27)</f>
        <v>366.79999999998836</v>
      </c>
      <c r="E28" s="3" cm="1">
        <f t="array" ref="E28">TREND($C$20:$D$20,$C$18:$D$18,E27)</f>
        <v>454.60000000000582</v>
      </c>
      <c r="F28" s="3" cm="1">
        <f t="array" ref="F28">TREND($C$20:$D$20,$C$18:$D$18,F27)</f>
        <v>542.39999999999418</v>
      </c>
      <c r="G28" s="3" cm="1">
        <f t="array" ref="G28">TREND($C$20:$D$20,$C$18:$D$18,G27)</f>
        <v>630.19999999998254</v>
      </c>
      <c r="H28" s="16">
        <f>HLOOKUP(H27,$C$18:$G$20,3,FALSE)</f>
        <v>718</v>
      </c>
      <c r="I28" s="3" cm="1">
        <f t="array" ref="I28">TREND($D$20:$E$20,$D$18:$E$18,I27)</f>
        <v>783</v>
      </c>
      <c r="J28" s="3" cm="1">
        <f t="array" ref="J28">TREND($D$20:$E$20,$D$18:$E$18,J27)</f>
        <v>848</v>
      </c>
      <c r="K28" s="3" cm="1">
        <f t="array" ref="K28">TREND($D$20:$E$20,$D$18:$E$18,K27)</f>
        <v>913</v>
      </c>
      <c r="L28" s="3" cm="1">
        <f t="array" ref="L28">TREND($D$20:$E$20,$D$18:$E$18,L27)</f>
        <v>978</v>
      </c>
      <c r="M28" s="16">
        <f>HLOOKUP(M27,$C$18:$G$20,3,FALSE)</f>
        <v>1043</v>
      </c>
      <c r="N28" s="3" cm="1">
        <f t="array" ref="N28">TREND($E$20:$F$20,$E$18:$F$18,N27)</f>
        <v>1078.7999999999884</v>
      </c>
      <c r="O28" s="3" cm="1">
        <f t="array" ref="O28">TREND($E$20:$F$20,$E$18:$F$18,O27)</f>
        <v>1114.5999999999913</v>
      </c>
      <c r="P28" s="3" cm="1">
        <f t="array" ref="P28">TREND($E$20:$F$20,$E$18:$F$18,P27)</f>
        <v>1150.3999999999942</v>
      </c>
      <c r="Q28" s="3" cm="1">
        <f t="array" ref="Q28">TREND($E$20:$F$20,$E$18:$F$18,Q27)</f>
        <v>1186.1999999999971</v>
      </c>
      <c r="R28" s="16">
        <f>HLOOKUP(R27,$C$18:$G$20,3,FALSE)</f>
        <v>1222</v>
      </c>
      <c r="S28" s="3" cm="1">
        <f t="array" ref="S28">TREND($F$20:$G$20,$F$18:$G$18,S27)</f>
        <v>1267.7000000000116</v>
      </c>
      <c r="T28" s="3" cm="1">
        <f t="array" ref="T28">TREND($F$20:$G$20,$F$18:$G$18,T27)</f>
        <v>1313.4000000000087</v>
      </c>
      <c r="U28" s="3" cm="1">
        <f t="array" ref="U28">TREND($F$20:$G$20,$F$18:$G$18,U27)</f>
        <v>1359.1000000000058</v>
      </c>
      <c r="V28" s="3" cm="1">
        <f t="array" ref="V28">TREND($F$20:$G$20,$F$18:$G$18,V27)</f>
        <v>1404.8000000000029</v>
      </c>
      <c r="W28" s="3" cm="1">
        <f t="array" ref="W28">TREND($F$20:$G$20,$F$18:$G$18,W27)</f>
        <v>1450.5</v>
      </c>
      <c r="X28" s="3" cm="1">
        <f t="array" ref="X28">TREND($F$20:$G$20,$F$18:$G$18,X27)</f>
        <v>1496.2000000000116</v>
      </c>
      <c r="Y28" s="3" cm="1">
        <f t="array" ref="Y28">TREND($F$20:$G$20,$F$18:$G$18,Y27)</f>
        <v>1541.9000000000087</v>
      </c>
      <c r="Z28" s="3" cm="1">
        <f t="array" ref="Z28">TREND($F$20:$G$20,$F$18:$G$18,Z27)</f>
        <v>1587.6000000000058</v>
      </c>
      <c r="AA28" s="3" cm="1">
        <f t="array" ref="AA28">TREND($F$20:$G$20,$F$18:$G$18,AA27)</f>
        <v>1633.3000000000029</v>
      </c>
      <c r="AB28" s="16">
        <f>HLOOKUP(AB27,$C$18:$G$20,3,FALSE)</f>
        <v>1679</v>
      </c>
    </row>
    <row r="29" spans="1:28" x14ac:dyDescent="0.35">
      <c r="A29" t="s">
        <v>22</v>
      </c>
      <c r="B29" t="s">
        <v>14</v>
      </c>
      <c r="C29" s="31">
        <f>D29</f>
        <v>9.0529247910863475E-2</v>
      </c>
      <c r="D29" s="17">
        <f t="shared" ref="D29:F29" si="9">E29</f>
        <v>9.0529247910863475E-2</v>
      </c>
      <c r="E29" s="17">
        <f t="shared" si="9"/>
        <v>9.0529247910863475E-2</v>
      </c>
      <c r="F29" s="17">
        <f t="shared" si="9"/>
        <v>9.0529247910863475E-2</v>
      </c>
      <c r="G29" s="17">
        <f>H29</f>
        <v>9.0529247910863475E-2</v>
      </c>
      <c r="H29" s="17">
        <f>I29</f>
        <v>9.0529247910863475E-2</v>
      </c>
      <c r="I29" s="8">
        <f>I28/H28-1</f>
        <v>9.0529247910863475E-2</v>
      </c>
      <c r="J29" s="8">
        <f>J28/I28-1</f>
        <v>8.3014048531290019E-2</v>
      </c>
      <c r="K29" s="8">
        <f t="shared" ref="K29:L29" si="10">K28/J28-1</f>
        <v>7.6650943396226356E-2</v>
      </c>
      <c r="L29" s="8">
        <f t="shared" si="10"/>
        <v>7.1193866374589243E-2</v>
      </c>
      <c r="M29" s="8">
        <f>M28/L28-1</f>
        <v>6.6462167689161467E-2</v>
      </c>
      <c r="N29" s="8">
        <f t="shared" ref="N29:Y29" si="11">N28/M28-1</f>
        <v>3.4324065196537301E-2</v>
      </c>
      <c r="O29" s="8">
        <f t="shared" si="11"/>
        <v>3.3185020393032394E-2</v>
      </c>
      <c r="P29" s="8">
        <f t="shared" si="11"/>
        <v>3.2119145881933653E-2</v>
      </c>
      <c r="Q29" s="8">
        <f t="shared" si="11"/>
        <v>3.1119610570239153E-2</v>
      </c>
      <c r="R29" s="8">
        <f t="shared" si="11"/>
        <v>3.018040802563049E-2</v>
      </c>
      <c r="S29" s="8">
        <f t="shared" si="11"/>
        <v>3.7397708674314023E-2</v>
      </c>
      <c r="T29" s="8">
        <f t="shared" si="11"/>
        <v>3.6049538534350889E-2</v>
      </c>
      <c r="U29" s="8">
        <f t="shared" si="11"/>
        <v>3.4795188061517379E-2</v>
      </c>
      <c r="V29" s="8">
        <f t="shared" si="11"/>
        <v>3.3625193142518439E-2</v>
      </c>
      <c r="W29" s="8">
        <f t="shared" si="11"/>
        <v>3.2531321184508188E-2</v>
      </c>
      <c r="X29" s="8">
        <f t="shared" si="11"/>
        <v>3.1506377111348849E-2</v>
      </c>
      <c r="Y29" s="8">
        <f t="shared" si="11"/>
        <v>3.0544044913779489E-2</v>
      </c>
      <c r="Z29" s="8">
        <f>Z28/Y28-1</f>
        <v>2.963875737725985E-2</v>
      </c>
      <c r="AA29" s="8">
        <f>AA28/Z28-1</f>
        <v>2.8785588309395926E-2</v>
      </c>
      <c r="AB29" s="8">
        <f t="shared" ref="AB29" si="12">AB28/AA28-1</f>
        <v>2.7980162860464786E-2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582FD-BD2B-496B-96D8-0AACE0C2D75C}">
  <dimension ref="A1:F26"/>
  <sheetViews>
    <sheetView topLeftCell="A4" workbookViewId="0">
      <selection sqref="A1:F26"/>
    </sheetView>
  </sheetViews>
  <sheetFormatPr defaultRowHeight="14.5" x14ac:dyDescent="0.35"/>
  <sheetData>
    <row r="1" spans="1:6" x14ac:dyDescent="0.35">
      <c r="A1" s="33" t="s">
        <v>3</v>
      </c>
      <c r="B1" s="33" t="s">
        <v>481</v>
      </c>
      <c r="C1" s="33" t="s">
        <v>0</v>
      </c>
      <c r="D1" s="33" t="s">
        <v>482</v>
      </c>
      <c r="E1" s="33" t="s">
        <v>483</v>
      </c>
      <c r="F1" s="33" t="s">
        <v>484</v>
      </c>
    </row>
    <row r="2" spans="1:6" x14ac:dyDescent="0.35">
      <c r="A2" s="32" t="s">
        <v>485</v>
      </c>
      <c r="B2" s="32" t="s">
        <v>486</v>
      </c>
      <c r="C2" s="32">
        <v>2021</v>
      </c>
      <c r="D2" s="32">
        <v>10.5</v>
      </c>
      <c r="E2" s="32">
        <v>10.3</v>
      </c>
      <c r="F2" s="32">
        <v>91.4</v>
      </c>
    </row>
    <row r="3" spans="1:6" x14ac:dyDescent="0.35">
      <c r="A3" s="32" t="s">
        <v>485</v>
      </c>
      <c r="B3" s="32" t="s">
        <v>486</v>
      </c>
      <c r="C3" s="32">
        <v>2022</v>
      </c>
      <c r="D3" s="32">
        <v>16</v>
      </c>
      <c r="E3" s="32">
        <v>13.9</v>
      </c>
      <c r="F3" s="32">
        <v>116</v>
      </c>
    </row>
    <row r="4" spans="1:6" x14ac:dyDescent="0.35">
      <c r="A4" s="32" t="s">
        <v>485</v>
      </c>
      <c r="B4" s="32" t="s">
        <v>486</v>
      </c>
      <c r="C4" s="32">
        <v>2023</v>
      </c>
      <c r="D4" s="32">
        <v>25.5</v>
      </c>
      <c r="E4" s="32">
        <v>16.7</v>
      </c>
      <c r="F4" s="32">
        <v>141</v>
      </c>
    </row>
    <row r="5" spans="1:6" x14ac:dyDescent="0.35">
      <c r="A5" s="32" t="s">
        <v>485</v>
      </c>
      <c r="B5" s="32" t="s">
        <v>486</v>
      </c>
      <c r="C5" s="32">
        <v>2024</v>
      </c>
      <c r="D5" s="32">
        <v>39.799999999999997</v>
      </c>
      <c r="E5" s="32">
        <v>21.5</v>
      </c>
      <c r="F5" s="32">
        <v>184</v>
      </c>
    </row>
    <row r="6" spans="1:6" x14ac:dyDescent="0.35">
      <c r="A6" s="32" t="s">
        <v>487</v>
      </c>
      <c r="B6" s="32" t="s">
        <v>486</v>
      </c>
      <c r="C6" s="32">
        <v>2024</v>
      </c>
      <c r="D6" s="32">
        <v>35.1</v>
      </c>
      <c r="E6" s="32">
        <v>20.7</v>
      </c>
      <c r="F6" s="32">
        <v>177</v>
      </c>
    </row>
    <row r="7" spans="1:6" x14ac:dyDescent="0.35">
      <c r="A7" s="32" t="s">
        <v>487</v>
      </c>
      <c r="B7" s="32" t="s">
        <v>486</v>
      </c>
      <c r="C7" s="32">
        <v>2025</v>
      </c>
      <c r="D7" s="32">
        <v>38.700000000000003</v>
      </c>
      <c r="E7" s="32">
        <v>24.8</v>
      </c>
      <c r="F7" s="32">
        <v>212</v>
      </c>
    </row>
    <row r="8" spans="1:6" x14ac:dyDescent="0.35">
      <c r="A8" s="32" t="s">
        <v>487</v>
      </c>
      <c r="B8" s="32" t="s">
        <v>486</v>
      </c>
      <c r="C8" s="32">
        <v>2026</v>
      </c>
      <c r="D8" s="32">
        <v>42.2</v>
      </c>
      <c r="E8" s="32">
        <v>29.7</v>
      </c>
      <c r="F8" s="32">
        <v>251</v>
      </c>
    </row>
    <row r="9" spans="1:6" x14ac:dyDescent="0.35">
      <c r="A9" s="32" t="s">
        <v>487</v>
      </c>
      <c r="B9" s="32" t="s">
        <v>486</v>
      </c>
      <c r="C9" s="32">
        <v>2027</v>
      </c>
      <c r="D9" s="32">
        <v>45.6</v>
      </c>
      <c r="E9" s="32">
        <v>35.1</v>
      </c>
      <c r="F9" s="32">
        <v>296</v>
      </c>
    </row>
    <row r="10" spans="1:6" x14ac:dyDescent="0.35">
      <c r="A10" s="32" t="s">
        <v>487</v>
      </c>
      <c r="B10" s="32" t="s">
        <v>486</v>
      </c>
      <c r="C10" s="32">
        <v>2028</v>
      </c>
      <c r="D10" s="32">
        <v>49.1</v>
      </c>
      <c r="E10" s="32">
        <v>39.4</v>
      </c>
      <c r="F10" s="32">
        <v>333</v>
      </c>
    </row>
    <row r="11" spans="1:6" x14ac:dyDescent="0.35">
      <c r="A11" s="32" t="s">
        <v>487</v>
      </c>
      <c r="B11" s="32" t="s">
        <v>486</v>
      </c>
      <c r="C11" s="32">
        <v>2029</v>
      </c>
      <c r="D11" s="32">
        <v>52.6</v>
      </c>
      <c r="E11" s="32">
        <v>42.5</v>
      </c>
      <c r="F11" s="32">
        <v>359</v>
      </c>
    </row>
    <row r="12" spans="1:6" x14ac:dyDescent="0.35">
      <c r="A12" s="32" t="s">
        <v>487</v>
      </c>
      <c r="B12" s="32" t="s">
        <v>486</v>
      </c>
      <c r="C12" s="32">
        <v>2030</v>
      </c>
      <c r="D12" s="32">
        <v>56.1</v>
      </c>
      <c r="E12" s="32">
        <v>45.4</v>
      </c>
      <c r="F12" s="32">
        <v>384</v>
      </c>
    </row>
    <row r="13" spans="1:6" x14ac:dyDescent="0.35">
      <c r="A13" s="32" t="s">
        <v>488</v>
      </c>
      <c r="B13" s="32" t="s">
        <v>486</v>
      </c>
      <c r="C13" s="32">
        <v>2024</v>
      </c>
      <c r="D13" s="32">
        <v>39.799999999999997</v>
      </c>
      <c r="E13" s="32">
        <v>21.5</v>
      </c>
      <c r="F13" s="32">
        <v>184</v>
      </c>
    </row>
    <row r="14" spans="1:6" x14ac:dyDescent="0.35">
      <c r="A14" s="32" t="s">
        <v>488</v>
      </c>
      <c r="B14" s="32" t="s">
        <v>486</v>
      </c>
      <c r="C14" s="32">
        <v>2025</v>
      </c>
      <c r="D14" s="32">
        <v>49.1</v>
      </c>
      <c r="E14" s="32">
        <v>27.7</v>
      </c>
      <c r="F14" s="32">
        <v>235</v>
      </c>
    </row>
    <row r="15" spans="1:6" x14ac:dyDescent="0.35">
      <c r="A15" s="32" t="s">
        <v>488</v>
      </c>
      <c r="B15" s="32" t="s">
        <v>486</v>
      </c>
      <c r="C15" s="32">
        <v>2026</v>
      </c>
      <c r="D15" s="32">
        <v>58.5</v>
      </c>
      <c r="E15" s="32">
        <v>35.5</v>
      </c>
      <c r="F15" s="32">
        <v>301</v>
      </c>
    </row>
    <row r="16" spans="1:6" x14ac:dyDescent="0.35">
      <c r="A16" s="32" t="s">
        <v>488</v>
      </c>
      <c r="B16" s="32" t="s">
        <v>486</v>
      </c>
      <c r="C16" s="32">
        <v>2027</v>
      </c>
      <c r="D16" s="32">
        <v>67.8</v>
      </c>
      <c r="E16" s="32">
        <v>45</v>
      </c>
      <c r="F16" s="32">
        <v>380</v>
      </c>
    </row>
    <row r="17" spans="1:6" x14ac:dyDescent="0.35">
      <c r="A17" s="32" t="s">
        <v>488</v>
      </c>
      <c r="B17" s="32" t="s">
        <v>486</v>
      </c>
      <c r="C17" s="32">
        <v>2028</v>
      </c>
      <c r="D17" s="32">
        <v>77.2</v>
      </c>
      <c r="E17" s="32">
        <v>54.4</v>
      </c>
      <c r="F17" s="32">
        <v>459</v>
      </c>
    </row>
    <row r="18" spans="1:6" x14ac:dyDescent="0.35">
      <c r="A18" s="32" t="s">
        <v>488</v>
      </c>
      <c r="B18" s="32" t="s">
        <v>486</v>
      </c>
      <c r="C18" s="32">
        <v>2029</v>
      </c>
      <c r="D18" s="32">
        <v>86.5</v>
      </c>
      <c r="E18" s="32">
        <v>62.6</v>
      </c>
      <c r="F18" s="32">
        <v>529</v>
      </c>
    </row>
    <row r="19" spans="1:6" x14ac:dyDescent="0.35">
      <c r="A19" s="32" t="s">
        <v>488</v>
      </c>
      <c r="B19" s="32" t="s">
        <v>486</v>
      </c>
      <c r="C19" s="32">
        <v>2030</v>
      </c>
      <c r="D19" s="32">
        <v>95.9</v>
      </c>
      <c r="E19" s="32">
        <v>70.7</v>
      </c>
      <c r="F19" s="32">
        <v>596</v>
      </c>
    </row>
    <row r="20" spans="1:6" x14ac:dyDescent="0.35">
      <c r="A20" s="32" t="s">
        <v>489</v>
      </c>
      <c r="B20" s="32" t="s">
        <v>486</v>
      </c>
      <c r="C20" s="32">
        <v>2024</v>
      </c>
      <c r="D20" s="32">
        <v>44.5</v>
      </c>
      <c r="E20" s="32">
        <v>22.4</v>
      </c>
      <c r="F20" s="32">
        <v>192</v>
      </c>
    </row>
    <row r="21" spans="1:6" x14ac:dyDescent="0.35">
      <c r="A21" s="32" t="s">
        <v>489</v>
      </c>
      <c r="B21" s="32" t="s">
        <v>486</v>
      </c>
      <c r="C21" s="32">
        <v>2025</v>
      </c>
      <c r="D21" s="32">
        <v>59.1</v>
      </c>
      <c r="E21" s="32">
        <v>30.4</v>
      </c>
      <c r="F21" s="32">
        <v>258</v>
      </c>
    </row>
    <row r="22" spans="1:6" x14ac:dyDescent="0.35">
      <c r="A22" s="32" t="s">
        <v>489</v>
      </c>
      <c r="B22" s="32" t="s">
        <v>486</v>
      </c>
      <c r="C22" s="32">
        <v>2026</v>
      </c>
      <c r="D22" s="32">
        <v>73.8</v>
      </c>
      <c r="E22" s="32">
        <v>41.1</v>
      </c>
      <c r="F22" s="32">
        <v>348</v>
      </c>
    </row>
    <row r="23" spans="1:6" x14ac:dyDescent="0.35">
      <c r="A23" s="32" t="s">
        <v>489</v>
      </c>
      <c r="B23" s="32" t="s">
        <v>486</v>
      </c>
      <c r="C23" s="32">
        <v>2027</v>
      </c>
      <c r="D23" s="32">
        <v>88.5</v>
      </c>
      <c r="E23" s="32">
        <v>54.4</v>
      </c>
      <c r="F23" s="32">
        <v>459</v>
      </c>
    </row>
    <row r="24" spans="1:6" x14ac:dyDescent="0.35">
      <c r="A24" s="32" t="s">
        <v>489</v>
      </c>
      <c r="B24" s="32" t="s">
        <v>486</v>
      </c>
      <c r="C24" s="32">
        <v>2028</v>
      </c>
      <c r="D24" s="32">
        <v>103</v>
      </c>
      <c r="E24" s="32">
        <v>68.5</v>
      </c>
      <c r="F24" s="32">
        <v>578</v>
      </c>
    </row>
    <row r="25" spans="1:6" x14ac:dyDescent="0.35">
      <c r="A25" s="32" t="s">
        <v>489</v>
      </c>
      <c r="B25" s="32" t="s">
        <v>486</v>
      </c>
      <c r="C25" s="32">
        <v>2029</v>
      </c>
      <c r="D25" s="32">
        <v>118</v>
      </c>
      <c r="E25" s="32">
        <v>81.5</v>
      </c>
      <c r="F25" s="32">
        <v>687</v>
      </c>
    </row>
    <row r="26" spans="1:6" x14ac:dyDescent="0.35">
      <c r="A26" s="32" t="s">
        <v>489</v>
      </c>
      <c r="B26" s="32" t="s">
        <v>486</v>
      </c>
      <c r="C26" s="32">
        <v>2030</v>
      </c>
      <c r="D26" s="32">
        <v>132</v>
      </c>
      <c r="E26" s="32">
        <v>94</v>
      </c>
      <c r="F26" s="32">
        <v>794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0A01-31BE-4C9E-855F-F725D7CE1F2A}">
  <dimension ref="A1:AG102"/>
  <sheetViews>
    <sheetView workbookViewId="0">
      <selection activeCell="I15" sqref="I15"/>
    </sheetView>
  </sheetViews>
  <sheetFormatPr defaultRowHeight="14.5" x14ac:dyDescent="0.35"/>
  <cols>
    <col min="1" max="1" width="55" customWidth="1"/>
    <col min="2" max="2" width="108.7265625" bestFit="1" customWidth="1"/>
  </cols>
  <sheetData>
    <row r="1" spans="1:33" x14ac:dyDescent="0.35">
      <c r="A1" t="s">
        <v>76</v>
      </c>
    </row>
    <row r="2" spans="1:33" x14ac:dyDescent="0.35">
      <c r="A2" t="s">
        <v>77</v>
      </c>
    </row>
    <row r="3" spans="1:33" x14ac:dyDescent="0.35">
      <c r="A3" t="s">
        <v>78</v>
      </c>
    </row>
    <row r="4" spans="1:33" x14ac:dyDescent="0.35">
      <c r="A4" t="s">
        <v>79</v>
      </c>
    </row>
    <row r="5" spans="1:33" x14ac:dyDescent="0.35">
      <c r="B5" t="s">
        <v>80</v>
      </c>
      <c r="C5" t="s">
        <v>81</v>
      </c>
      <c r="D5" t="s">
        <v>82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83</v>
      </c>
    </row>
    <row r="6" spans="1:33" x14ac:dyDescent="0.35">
      <c r="A6" t="s">
        <v>84</v>
      </c>
    </row>
    <row r="7" spans="1:33" x14ac:dyDescent="0.35">
      <c r="A7" t="s">
        <v>85</v>
      </c>
    </row>
    <row r="8" spans="1:33" x14ac:dyDescent="0.35">
      <c r="A8" t="s">
        <v>86</v>
      </c>
      <c r="B8" t="s">
        <v>87</v>
      </c>
      <c r="C8" t="s">
        <v>88</v>
      </c>
      <c r="D8" t="s">
        <v>89</v>
      </c>
      <c r="F8">
        <v>100.62979900000001</v>
      </c>
      <c r="G8">
        <v>101.845505</v>
      </c>
      <c r="H8">
        <v>102.983406</v>
      </c>
      <c r="I8">
        <v>104.38230900000001</v>
      </c>
      <c r="J8">
        <v>105.949738</v>
      </c>
      <c r="K8">
        <v>107.606689</v>
      </c>
      <c r="L8">
        <v>109.257599</v>
      </c>
      <c r="M8">
        <v>110.864998</v>
      </c>
      <c r="N8">
        <v>112.44348100000001</v>
      </c>
      <c r="O8">
        <v>114.027519</v>
      </c>
      <c r="P8">
        <v>115.627022</v>
      </c>
      <c r="Q8">
        <v>117.233688</v>
      </c>
      <c r="R8">
        <v>118.833</v>
      </c>
      <c r="S8">
        <v>120.408638</v>
      </c>
      <c r="T8">
        <v>121.95262099999999</v>
      </c>
      <c r="U8">
        <v>123.467499</v>
      </c>
      <c r="V8">
        <v>124.95824399999999</v>
      </c>
      <c r="W8">
        <v>126.430229</v>
      </c>
      <c r="X8">
        <v>127.88880899999999</v>
      </c>
      <c r="Y8">
        <v>129.337433</v>
      </c>
      <c r="Z8">
        <v>130.77920499999999</v>
      </c>
      <c r="AA8">
        <v>132.21798699999999</v>
      </c>
      <c r="AB8">
        <v>133.65730300000001</v>
      </c>
      <c r="AC8">
        <v>135.10043300000001</v>
      </c>
      <c r="AD8">
        <v>136.550049</v>
      </c>
      <c r="AE8">
        <v>138.00769</v>
      </c>
      <c r="AF8">
        <v>139.47395299999999</v>
      </c>
      <c r="AG8" s="21">
        <v>1.2999999999999999E-2</v>
      </c>
    </row>
    <row r="9" spans="1:33" x14ac:dyDescent="0.35">
      <c r="A9" t="s">
        <v>90</v>
      </c>
      <c r="B9" t="s">
        <v>91</v>
      </c>
      <c r="C9" t="s">
        <v>92</v>
      </c>
      <c r="D9" t="s">
        <v>89</v>
      </c>
      <c r="F9">
        <v>2.7420749999999998</v>
      </c>
      <c r="G9">
        <v>2.676447</v>
      </c>
      <c r="H9">
        <v>2.951616</v>
      </c>
      <c r="I9">
        <v>3.1368719999999999</v>
      </c>
      <c r="J9">
        <v>3.2451020000000002</v>
      </c>
      <c r="K9">
        <v>3.2589950000000001</v>
      </c>
      <c r="L9">
        <v>3.2359849999999999</v>
      </c>
      <c r="M9">
        <v>3.227938</v>
      </c>
      <c r="N9">
        <v>3.2548240000000002</v>
      </c>
      <c r="O9">
        <v>3.2921589999999998</v>
      </c>
      <c r="P9">
        <v>3.3216220000000001</v>
      </c>
      <c r="Q9">
        <v>3.3368820000000001</v>
      </c>
      <c r="R9">
        <v>3.3359239999999999</v>
      </c>
      <c r="S9">
        <v>3.3269090000000001</v>
      </c>
      <c r="T9">
        <v>3.3203109999999998</v>
      </c>
      <c r="U9">
        <v>3.3185319999999998</v>
      </c>
      <c r="V9">
        <v>3.3219720000000001</v>
      </c>
      <c r="W9">
        <v>3.3306</v>
      </c>
      <c r="X9">
        <v>3.3425159999999998</v>
      </c>
      <c r="Y9">
        <v>3.3574739999999998</v>
      </c>
      <c r="Z9">
        <v>3.3761589999999999</v>
      </c>
      <c r="AA9">
        <v>3.3983430000000001</v>
      </c>
      <c r="AB9">
        <v>3.4237730000000002</v>
      </c>
      <c r="AC9">
        <v>3.4518680000000002</v>
      </c>
      <c r="AD9">
        <v>3.4815589999999998</v>
      </c>
      <c r="AE9">
        <v>3.5119199999999999</v>
      </c>
      <c r="AF9">
        <v>3.542278</v>
      </c>
      <c r="AG9" s="21">
        <v>0.01</v>
      </c>
    </row>
    <row r="10" spans="1:33" x14ac:dyDescent="0.35">
      <c r="A10" t="s">
        <v>27</v>
      </c>
      <c r="B10" t="s">
        <v>93</v>
      </c>
      <c r="C10" t="s">
        <v>94</v>
      </c>
      <c r="D10" t="s">
        <v>89</v>
      </c>
      <c r="F10">
        <v>103.371872</v>
      </c>
      <c r="G10">
        <v>104.52195</v>
      </c>
      <c r="H10">
        <v>105.93501999999999</v>
      </c>
      <c r="I10">
        <v>107.51918000000001</v>
      </c>
      <c r="J10">
        <v>109.194839</v>
      </c>
      <c r="K10">
        <v>110.865685</v>
      </c>
      <c r="L10">
        <v>112.493584</v>
      </c>
      <c r="M10">
        <v>114.092934</v>
      </c>
      <c r="N10">
        <v>115.698303</v>
      </c>
      <c r="O10">
        <v>117.31967899999999</v>
      </c>
      <c r="P10">
        <v>118.94864699999999</v>
      </c>
      <c r="Q10">
        <v>120.570572</v>
      </c>
      <c r="R10">
        <v>122.16892199999999</v>
      </c>
      <c r="S10">
        <v>123.73555</v>
      </c>
      <c r="T10">
        <v>125.27293400000001</v>
      </c>
      <c r="U10">
        <v>126.786034</v>
      </c>
      <c r="V10">
        <v>128.28021200000001</v>
      </c>
      <c r="W10">
        <v>129.76083399999999</v>
      </c>
      <c r="X10">
        <v>131.231323</v>
      </c>
      <c r="Y10">
        <v>132.69490099999999</v>
      </c>
      <c r="Z10">
        <v>134.15536499999999</v>
      </c>
      <c r="AA10">
        <v>135.616333</v>
      </c>
      <c r="AB10">
        <v>137.08107000000001</v>
      </c>
      <c r="AC10">
        <v>138.55230700000001</v>
      </c>
      <c r="AD10">
        <v>140.03160099999999</v>
      </c>
      <c r="AE10">
        <v>141.51960800000001</v>
      </c>
      <c r="AF10">
        <v>143.01623499999999</v>
      </c>
      <c r="AG10" s="21">
        <v>1.2999999999999999E-2</v>
      </c>
    </row>
    <row r="11" spans="1:33" x14ac:dyDescent="0.35">
      <c r="A11" t="s">
        <v>95</v>
      </c>
    </row>
    <row r="12" spans="1:33" x14ac:dyDescent="0.35">
      <c r="A12" t="s">
        <v>96</v>
      </c>
    </row>
    <row r="13" spans="1:33" x14ac:dyDescent="0.35">
      <c r="A13" t="s">
        <v>97</v>
      </c>
      <c r="B13" t="s">
        <v>98</v>
      </c>
      <c r="C13" t="s">
        <v>99</v>
      </c>
      <c r="D13" t="s">
        <v>100</v>
      </c>
      <c r="F13">
        <v>91.297416999999996</v>
      </c>
      <c r="G13">
        <v>93.066040000000001</v>
      </c>
      <c r="H13">
        <v>92.122139000000004</v>
      </c>
      <c r="I13">
        <v>91.445876999999996</v>
      </c>
      <c r="J13">
        <v>90.480346999999995</v>
      </c>
      <c r="K13">
        <v>89.907691999999997</v>
      </c>
      <c r="L13">
        <v>89.112656000000001</v>
      </c>
      <c r="M13">
        <v>88.379570000000001</v>
      </c>
      <c r="N13">
        <v>87.622482000000005</v>
      </c>
      <c r="O13">
        <v>86.837356999999997</v>
      </c>
      <c r="P13">
        <v>86.167732000000001</v>
      </c>
      <c r="Q13">
        <v>85.690337999999997</v>
      </c>
      <c r="R13">
        <v>85.397948999999997</v>
      </c>
      <c r="S13">
        <v>85.214698999999996</v>
      </c>
      <c r="T13">
        <v>85.044394999999994</v>
      </c>
      <c r="U13">
        <v>84.943207000000001</v>
      </c>
      <c r="V13">
        <v>84.840546000000003</v>
      </c>
      <c r="W13">
        <v>84.733611999999994</v>
      </c>
      <c r="X13">
        <v>84.622826000000003</v>
      </c>
      <c r="Y13">
        <v>84.529892000000004</v>
      </c>
      <c r="Z13">
        <v>84.476494000000002</v>
      </c>
      <c r="AA13">
        <v>84.450005000000004</v>
      </c>
      <c r="AB13">
        <v>84.416839999999993</v>
      </c>
      <c r="AC13">
        <v>84.421028000000007</v>
      </c>
      <c r="AD13">
        <v>84.460350000000005</v>
      </c>
      <c r="AE13">
        <v>84.503151000000003</v>
      </c>
      <c r="AF13">
        <v>84.555496000000005</v>
      </c>
      <c r="AG13" s="21">
        <v>-3.0000000000000001E-3</v>
      </c>
    </row>
    <row r="14" spans="1:33" x14ac:dyDescent="0.35">
      <c r="A14" t="s">
        <v>101</v>
      </c>
      <c r="B14" t="s">
        <v>102</v>
      </c>
      <c r="C14" t="s">
        <v>103</v>
      </c>
      <c r="D14" t="s">
        <v>100</v>
      </c>
      <c r="F14">
        <v>89.926224000000005</v>
      </c>
      <c r="G14">
        <v>91.548018999999996</v>
      </c>
      <c r="H14">
        <v>90.468704000000002</v>
      </c>
      <c r="I14">
        <v>89.751579000000007</v>
      </c>
      <c r="J14">
        <v>88.749549999999999</v>
      </c>
      <c r="K14">
        <v>88.113715999999997</v>
      </c>
      <c r="L14">
        <v>87.240325999999996</v>
      </c>
      <c r="M14">
        <v>86.402923999999999</v>
      </c>
      <c r="N14">
        <v>85.555892999999998</v>
      </c>
      <c r="O14">
        <v>84.661986999999996</v>
      </c>
      <c r="P14">
        <v>83.932784999999996</v>
      </c>
      <c r="Q14">
        <v>83.432761999999997</v>
      </c>
      <c r="R14">
        <v>83.125373999999994</v>
      </c>
      <c r="S14">
        <v>82.923316999999997</v>
      </c>
      <c r="T14">
        <v>82.710251</v>
      </c>
      <c r="U14">
        <v>82.597198000000006</v>
      </c>
      <c r="V14">
        <v>82.477485999999999</v>
      </c>
      <c r="W14">
        <v>82.332970000000003</v>
      </c>
      <c r="X14">
        <v>82.186722000000003</v>
      </c>
      <c r="Y14">
        <v>82.053061999999997</v>
      </c>
      <c r="Z14">
        <v>81.959311999999997</v>
      </c>
      <c r="AA14">
        <v>81.891105999999994</v>
      </c>
      <c r="AB14">
        <v>81.823502000000005</v>
      </c>
      <c r="AC14">
        <v>81.784096000000005</v>
      </c>
      <c r="AD14">
        <v>81.778503000000001</v>
      </c>
      <c r="AE14">
        <v>81.779785000000004</v>
      </c>
      <c r="AF14">
        <v>81.785347000000002</v>
      </c>
      <c r="AG14" s="21">
        <v>-4.0000000000000001E-3</v>
      </c>
    </row>
    <row r="15" spans="1:33" x14ac:dyDescent="0.35">
      <c r="A15" t="s">
        <v>104</v>
      </c>
    </row>
    <row r="16" spans="1:33" x14ac:dyDescent="0.35">
      <c r="A16" t="s">
        <v>105</v>
      </c>
    </row>
    <row r="17" spans="1:33" x14ac:dyDescent="0.35">
      <c r="A17" t="s">
        <v>106</v>
      </c>
      <c r="B17" t="s">
        <v>107</v>
      </c>
      <c r="C17" t="s">
        <v>108</v>
      </c>
      <c r="D17" t="s">
        <v>109</v>
      </c>
      <c r="F17">
        <v>0.18654100000000001</v>
      </c>
      <c r="G17">
        <v>0.19798499999999999</v>
      </c>
      <c r="H17">
        <v>0.198076</v>
      </c>
      <c r="I17">
        <v>0.19905400000000001</v>
      </c>
      <c r="J17">
        <v>0.199048</v>
      </c>
      <c r="K17">
        <v>0.19789100000000001</v>
      </c>
      <c r="L17">
        <v>0.196351</v>
      </c>
      <c r="M17">
        <v>0.19459000000000001</v>
      </c>
      <c r="N17">
        <v>0.192773</v>
      </c>
      <c r="O17">
        <v>0.19006600000000001</v>
      </c>
      <c r="P17">
        <v>0.18767900000000001</v>
      </c>
      <c r="Q17">
        <v>0.18654599999999999</v>
      </c>
      <c r="R17">
        <v>0.18571199999999999</v>
      </c>
      <c r="S17">
        <v>0.18491099999999999</v>
      </c>
      <c r="T17">
        <v>0.18373300000000001</v>
      </c>
      <c r="U17">
        <v>0.18249699999999999</v>
      </c>
      <c r="V17">
        <v>0.18119099999999999</v>
      </c>
      <c r="W17">
        <v>0.179785</v>
      </c>
      <c r="X17">
        <v>0.17821200000000001</v>
      </c>
      <c r="Y17">
        <v>0.176566</v>
      </c>
      <c r="Z17">
        <v>0.17479700000000001</v>
      </c>
      <c r="AA17">
        <v>0.17294899999999999</v>
      </c>
      <c r="AB17">
        <v>0.171014</v>
      </c>
      <c r="AC17">
        <v>0.16902200000000001</v>
      </c>
      <c r="AD17">
        <v>0.166995</v>
      </c>
      <c r="AE17">
        <v>0.165017</v>
      </c>
      <c r="AF17">
        <v>0.163026</v>
      </c>
      <c r="AG17" s="21">
        <v>-5.0000000000000001E-3</v>
      </c>
    </row>
    <row r="18" spans="1:33" x14ac:dyDescent="0.35">
      <c r="A18" t="s">
        <v>110</v>
      </c>
      <c r="B18" t="s">
        <v>111</v>
      </c>
      <c r="C18" t="s">
        <v>112</v>
      </c>
      <c r="D18" t="s">
        <v>109</v>
      </c>
      <c r="F18">
        <v>0.57286300000000001</v>
      </c>
      <c r="G18">
        <v>0.555504</v>
      </c>
      <c r="H18">
        <v>0.56710099999999997</v>
      </c>
      <c r="I18">
        <v>0.58141699999999996</v>
      </c>
      <c r="J18">
        <v>0.59301899999999996</v>
      </c>
      <c r="K18">
        <v>0.600526</v>
      </c>
      <c r="L18">
        <v>0.60565599999999997</v>
      </c>
      <c r="M18">
        <v>0.61051100000000003</v>
      </c>
      <c r="N18">
        <v>0.61591600000000002</v>
      </c>
      <c r="O18">
        <v>0.62055099999999996</v>
      </c>
      <c r="P18">
        <v>0.62640499999999999</v>
      </c>
      <c r="Q18">
        <v>0.63423700000000005</v>
      </c>
      <c r="R18">
        <v>0.64381999999999995</v>
      </c>
      <c r="S18">
        <v>0.65397899999999998</v>
      </c>
      <c r="T18">
        <v>0.66307199999999999</v>
      </c>
      <c r="U18">
        <v>0.67238900000000001</v>
      </c>
      <c r="V18">
        <v>0.68169299999999999</v>
      </c>
      <c r="W18">
        <v>0.69142400000000004</v>
      </c>
      <c r="X18">
        <v>0.70088799999999996</v>
      </c>
      <c r="Y18">
        <v>0.71087299999999998</v>
      </c>
      <c r="Z18">
        <v>0.72087900000000005</v>
      </c>
      <c r="AA18">
        <v>0.73082199999999997</v>
      </c>
      <c r="AB18">
        <v>0.74072300000000002</v>
      </c>
      <c r="AC18">
        <v>0.75073699999999999</v>
      </c>
      <c r="AD18">
        <v>0.76097599999999999</v>
      </c>
      <c r="AE18">
        <v>0.77153000000000005</v>
      </c>
      <c r="AF18">
        <v>0.78222499999999995</v>
      </c>
      <c r="AG18" s="21">
        <v>1.2E-2</v>
      </c>
    </row>
    <row r="19" spans="1:33" x14ac:dyDescent="0.35">
      <c r="A19" t="s">
        <v>113</v>
      </c>
      <c r="B19" t="s">
        <v>114</v>
      </c>
      <c r="C19" t="s">
        <v>115</v>
      </c>
      <c r="D19" t="s">
        <v>109</v>
      </c>
      <c r="F19">
        <v>7.4497999999999995E-2</v>
      </c>
      <c r="G19">
        <v>7.4070999999999998E-2</v>
      </c>
      <c r="H19">
        <v>7.4181999999999998E-2</v>
      </c>
      <c r="I19">
        <v>7.4693999999999997E-2</v>
      </c>
      <c r="J19">
        <v>7.4824000000000002E-2</v>
      </c>
      <c r="K19">
        <v>7.4441999999999994E-2</v>
      </c>
      <c r="L19">
        <v>7.3762999999999995E-2</v>
      </c>
      <c r="M19">
        <v>7.2946999999999998E-2</v>
      </c>
      <c r="N19">
        <v>7.2144E-2</v>
      </c>
      <c r="O19">
        <v>7.1230000000000002E-2</v>
      </c>
      <c r="P19">
        <v>7.0422999999999999E-2</v>
      </c>
      <c r="Q19">
        <v>6.9794999999999996E-2</v>
      </c>
      <c r="R19">
        <v>6.9306000000000006E-2</v>
      </c>
      <c r="S19">
        <v>6.8849999999999995E-2</v>
      </c>
      <c r="T19">
        <v>6.8282999999999996E-2</v>
      </c>
      <c r="U19">
        <v>6.7698999999999995E-2</v>
      </c>
      <c r="V19">
        <v>6.7104999999999998E-2</v>
      </c>
      <c r="W19">
        <v>6.6491999999999996E-2</v>
      </c>
      <c r="X19">
        <v>6.5851999999999994E-2</v>
      </c>
      <c r="Y19">
        <v>6.5211000000000005E-2</v>
      </c>
      <c r="Z19">
        <v>6.4549999999999996E-2</v>
      </c>
      <c r="AA19">
        <v>6.3868999999999995E-2</v>
      </c>
      <c r="AB19">
        <v>6.3171000000000005E-2</v>
      </c>
      <c r="AC19">
        <v>6.2462999999999998E-2</v>
      </c>
      <c r="AD19">
        <v>6.1751E-2</v>
      </c>
      <c r="AE19">
        <v>6.1051000000000001E-2</v>
      </c>
      <c r="AF19">
        <v>6.0345000000000003E-2</v>
      </c>
      <c r="AG19" s="21">
        <v>-8.0000000000000002E-3</v>
      </c>
    </row>
    <row r="20" spans="1:33" x14ac:dyDescent="0.35">
      <c r="A20" t="s">
        <v>116</v>
      </c>
      <c r="B20" t="s">
        <v>117</v>
      </c>
      <c r="C20" t="s">
        <v>118</v>
      </c>
      <c r="D20" t="s">
        <v>109</v>
      </c>
      <c r="F20">
        <v>0.74466100000000002</v>
      </c>
      <c r="G20">
        <v>0.75660300000000003</v>
      </c>
      <c r="H20">
        <v>0.77322599999999997</v>
      </c>
      <c r="I20">
        <v>0.794686</v>
      </c>
      <c r="J20">
        <v>0.81265399999999999</v>
      </c>
      <c r="K20">
        <v>0.82538800000000001</v>
      </c>
      <c r="L20">
        <v>0.83255599999999996</v>
      </c>
      <c r="M20">
        <v>0.83918999999999999</v>
      </c>
      <c r="N20">
        <v>0.84623800000000005</v>
      </c>
      <c r="O20">
        <v>0.85270299999999999</v>
      </c>
      <c r="P20">
        <v>0.86054200000000003</v>
      </c>
      <c r="Q20">
        <v>0.87058199999999997</v>
      </c>
      <c r="R20">
        <v>0.88244599999999995</v>
      </c>
      <c r="S20">
        <v>0.89490700000000001</v>
      </c>
      <c r="T20">
        <v>0.90612800000000004</v>
      </c>
      <c r="U20">
        <v>0.91749000000000003</v>
      </c>
      <c r="V20">
        <v>0.92891400000000002</v>
      </c>
      <c r="W20">
        <v>0.94040800000000002</v>
      </c>
      <c r="X20">
        <v>0.95150500000000005</v>
      </c>
      <c r="Y20">
        <v>0.96264499999999997</v>
      </c>
      <c r="Z20">
        <v>0.97362300000000002</v>
      </c>
      <c r="AA20">
        <v>0.98445099999999996</v>
      </c>
      <c r="AB20">
        <v>0.99525200000000003</v>
      </c>
      <c r="AC20">
        <v>1.006035</v>
      </c>
      <c r="AD20">
        <v>1.016947</v>
      </c>
      <c r="AE20">
        <v>1.0281290000000001</v>
      </c>
      <c r="AF20">
        <v>1.0394589999999999</v>
      </c>
      <c r="AG20" s="21">
        <v>1.2999999999999999E-2</v>
      </c>
    </row>
    <row r="21" spans="1:33" x14ac:dyDescent="0.35">
      <c r="A21" t="s">
        <v>119</v>
      </c>
      <c r="B21" t="s">
        <v>120</v>
      </c>
      <c r="C21" t="s">
        <v>121</v>
      </c>
      <c r="D21" t="s">
        <v>109</v>
      </c>
      <c r="F21">
        <v>8.4362999999999994E-2</v>
      </c>
      <c r="G21">
        <v>8.4583000000000005E-2</v>
      </c>
      <c r="H21">
        <v>8.5052000000000003E-2</v>
      </c>
      <c r="I21">
        <v>8.5953000000000002E-2</v>
      </c>
      <c r="J21">
        <v>8.6428000000000005E-2</v>
      </c>
      <c r="K21">
        <v>8.6317000000000005E-2</v>
      </c>
      <c r="L21">
        <v>8.5872000000000004E-2</v>
      </c>
      <c r="M21">
        <v>8.5313E-2</v>
      </c>
      <c r="N21">
        <v>8.4775000000000003E-2</v>
      </c>
      <c r="O21">
        <v>8.4150000000000003E-2</v>
      </c>
      <c r="P21">
        <v>8.3640999999999993E-2</v>
      </c>
      <c r="Q21">
        <v>8.3323999999999995E-2</v>
      </c>
      <c r="R21">
        <v>8.3155000000000007E-2</v>
      </c>
      <c r="S21">
        <v>8.3003999999999994E-2</v>
      </c>
      <c r="T21">
        <v>8.2700999999999997E-2</v>
      </c>
      <c r="U21">
        <v>8.2369999999999999E-2</v>
      </c>
      <c r="V21">
        <v>8.201E-2</v>
      </c>
      <c r="W21">
        <v>8.1651000000000001E-2</v>
      </c>
      <c r="X21">
        <v>8.1244999999999998E-2</v>
      </c>
      <c r="Y21">
        <v>8.0828999999999998E-2</v>
      </c>
      <c r="Z21">
        <v>8.0369999999999997E-2</v>
      </c>
      <c r="AA21">
        <v>7.9868999999999996E-2</v>
      </c>
      <c r="AB21">
        <v>7.9338000000000006E-2</v>
      </c>
      <c r="AC21">
        <v>7.8785999999999995E-2</v>
      </c>
      <c r="AD21">
        <v>7.8226000000000004E-2</v>
      </c>
      <c r="AE21">
        <v>7.7667E-2</v>
      </c>
      <c r="AF21">
        <v>7.7102000000000004E-2</v>
      </c>
      <c r="AG21" s="21">
        <v>-3.0000000000000001E-3</v>
      </c>
    </row>
    <row r="22" spans="1:33" x14ac:dyDescent="0.35">
      <c r="A22" t="s">
        <v>122</v>
      </c>
      <c r="B22" t="s">
        <v>123</v>
      </c>
      <c r="C22" t="s">
        <v>124</v>
      </c>
      <c r="D22" t="s">
        <v>109</v>
      </c>
      <c r="F22">
        <v>0.57562899999999995</v>
      </c>
      <c r="G22">
        <v>0.56407300000000005</v>
      </c>
      <c r="H22">
        <v>0.561419</v>
      </c>
      <c r="I22">
        <v>0.564836</v>
      </c>
      <c r="J22">
        <v>0.56773899999999999</v>
      </c>
      <c r="K22">
        <v>0.56803800000000004</v>
      </c>
      <c r="L22">
        <v>0.55779599999999996</v>
      </c>
      <c r="M22">
        <v>0.54866800000000004</v>
      </c>
      <c r="N22">
        <v>0.54072299999999995</v>
      </c>
      <c r="O22">
        <v>0.53283599999999998</v>
      </c>
      <c r="P22">
        <v>0.525787</v>
      </c>
      <c r="Q22">
        <v>0.52025200000000005</v>
      </c>
      <c r="R22">
        <v>0.51639699999999999</v>
      </c>
      <c r="S22">
        <v>0.513764</v>
      </c>
      <c r="T22">
        <v>0.51109800000000005</v>
      </c>
      <c r="U22">
        <v>0.50913900000000001</v>
      </c>
      <c r="V22">
        <v>0.50622100000000003</v>
      </c>
      <c r="W22">
        <v>0.50424800000000003</v>
      </c>
      <c r="X22">
        <v>0.50266299999999997</v>
      </c>
      <c r="Y22">
        <v>0.501633</v>
      </c>
      <c r="Z22">
        <v>0.50087099999999996</v>
      </c>
      <c r="AA22">
        <v>0.50036999999999998</v>
      </c>
      <c r="AB22">
        <v>0.50009899999999996</v>
      </c>
      <c r="AC22">
        <v>0.49930799999999997</v>
      </c>
      <c r="AD22">
        <v>0.49875599999999998</v>
      </c>
      <c r="AE22">
        <v>0.49849900000000003</v>
      </c>
      <c r="AF22">
        <v>0.498199</v>
      </c>
      <c r="AG22" s="21">
        <v>-6.0000000000000001E-3</v>
      </c>
    </row>
    <row r="23" spans="1:33" x14ac:dyDescent="0.35">
      <c r="A23" t="s">
        <v>125</v>
      </c>
      <c r="B23" t="s">
        <v>126</v>
      </c>
      <c r="C23" t="s">
        <v>127</v>
      </c>
      <c r="D23" t="s">
        <v>109</v>
      </c>
      <c r="F23">
        <v>0.367309</v>
      </c>
      <c r="G23">
        <v>0.36862400000000001</v>
      </c>
      <c r="H23">
        <v>0.37076599999999998</v>
      </c>
      <c r="I23">
        <v>0.374365</v>
      </c>
      <c r="J23">
        <v>0.37762099999999998</v>
      </c>
      <c r="K23">
        <v>0.38000099999999998</v>
      </c>
      <c r="L23">
        <v>0.380716</v>
      </c>
      <c r="M23">
        <v>0.38166699999999998</v>
      </c>
      <c r="N23">
        <v>0.38290400000000002</v>
      </c>
      <c r="O23">
        <v>0.38422499999999998</v>
      </c>
      <c r="P23">
        <v>0.38594099999999998</v>
      </c>
      <c r="Q23">
        <v>0.38813999999999999</v>
      </c>
      <c r="R23">
        <v>0.39068999999999998</v>
      </c>
      <c r="S23">
        <v>0.39332699999999998</v>
      </c>
      <c r="T23">
        <v>0.39572299999999999</v>
      </c>
      <c r="U23">
        <v>0.39809899999999998</v>
      </c>
      <c r="V23">
        <v>0.40043800000000002</v>
      </c>
      <c r="W23">
        <v>0.40304499999999999</v>
      </c>
      <c r="X23">
        <v>0.40557700000000002</v>
      </c>
      <c r="Y23">
        <v>0.40810299999999999</v>
      </c>
      <c r="Z23">
        <v>0.41056599999999999</v>
      </c>
      <c r="AA23">
        <v>0.41296699999999997</v>
      </c>
      <c r="AB23">
        <v>0.41533300000000001</v>
      </c>
      <c r="AC23">
        <v>0.417661</v>
      </c>
      <c r="AD23">
        <v>0.41996899999999998</v>
      </c>
      <c r="AE23">
        <v>0.42227500000000001</v>
      </c>
      <c r="AF23">
        <v>0.42455399999999999</v>
      </c>
      <c r="AG23" s="21">
        <v>6.0000000000000001E-3</v>
      </c>
    </row>
    <row r="24" spans="1:33" x14ac:dyDescent="0.35">
      <c r="A24" t="s">
        <v>28</v>
      </c>
      <c r="B24" t="s">
        <v>128</v>
      </c>
      <c r="C24" t="s">
        <v>129</v>
      </c>
      <c r="D24" t="s">
        <v>109</v>
      </c>
      <c r="F24">
        <v>0.341028</v>
      </c>
      <c r="G24">
        <v>0.35735299999999998</v>
      </c>
      <c r="H24">
        <v>0.37537300000000001</v>
      </c>
      <c r="I24">
        <v>0.394874</v>
      </c>
      <c r="J24">
        <v>0.41530699999999998</v>
      </c>
      <c r="K24">
        <v>0.43539699999999998</v>
      </c>
      <c r="L24">
        <v>0.45558999999999999</v>
      </c>
      <c r="M24">
        <v>0.47651500000000002</v>
      </c>
      <c r="N24">
        <v>0.49855899999999997</v>
      </c>
      <c r="O24">
        <v>0.52174200000000004</v>
      </c>
      <c r="P24">
        <v>0.54635599999999995</v>
      </c>
      <c r="Q24">
        <v>0.57254700000000003</v>
      </c>
      <c r="R24">
        <v>0.60029699999999997</v>
      </c>
      <c r="S24">
        <v>0.63007800000000003</v>
      </c>
      <c r="T24">
        <v>0.66060300000000005</v>
      </c>
      <c r="U24">
        <v>0.69272100000000003</v>
      </c>
      <c r="V24">
        <v>0.72653599999999996</v>
      </c>
      <c r="W24">
        <v>0.76207000000000003</v>
      </c>
      <c r="X24">
        <v>0.79877200000000004</v>
      </c>
      <c r="Y24">
        <v>0.83676200000000001</v>
      </c>
      <c r="Z24">
        <v>0.87679600000000002</v>
      </c>
      <c r="AA24">
        <v>0.91822599999999999</v>
      </c>
      <c r="AB24">
        <v>0.96115600000000001</v>
      </c>
      <c r="AC24">
        <v>1.0064660000000001</v>
      </c>
      <c r="AD24">
        <v>1.0534829999999999</v>
      </c>
      <c r="AE24">
        <v>1.1014429999999999</v>
      </c>
      <c r="AF24">
        <v>1.1521049999999999</v>
      </c>
      <c r="AG24" s="21">
        <v>4.8000000000000001E-2</v>
      </c>
    </row>
    <row r="25" spans="1:33" x14ac:dyDescent="0.35">
      <c r="A25" t="s">
        <v>130</v>
      </c>
      <c r="B25" t="s">
        <v>131</v>
      </c>
      <c r="C25" t="s">
        <v>132</v>
      </c>
      <c r="D25" t="s">
        <v>109</v>
      </c>
      <c r="F25">
        <v>4.3232E-2</v>
      </c>
      <c r="G25">
        <v>4.3304000000000002E-2</v>
      </c>
      <c r="H25">
        <v>4.3521999999999998E-2</v>
      </c>
      <c r="I25">
        <v>4.3887000000000002E-2</v>
      </c>
      <c r="J25">
        <v>4.4332000000000003E-2</v>
      </c>
      <c r="K25">
        <v>4.4706999999999997E-2</v>
      </c>
      <c r="L25">
        <v>4.5025999999999997E-2</v>
      </c>
      <c r="M25">
        <v>4.5362E-2</v>
      </c>
      <c r="N25">
        <v>4.5696000000000001E-2</v>
      </c>
      <c r="O25">
        <v>4.6077E-2</v>
      </c>
      <c r="P25">
        <v>4.6523000000000002E-2</v>
      </c>
      <c r="Q25">
        <v>4.6986E-2</v>
      </c>
      <c r="R25">
        <v>4.7454999999999997E-2</v>
      </c>
      <c r="S25">
        <v>4.7914999999999999E-2</v>
      </c>
      <c r="T25">
        <v>4.8287999999999998E-2</v>
      </c>
      <c r="U25">
        <v>4.8647000000000003E-2</v>
      </c>
      <c r="V25">
        <v>4.8932999999999997E-2</v>
      </c>
      <c r="W25">
        <v>4.9079999999999999E-2</v>
      </c>
      <c r="X25">
        <v>4.9147000000000003E-2</v>
      </c>
      <c r="Y25">
        <v>4.9140000000000003E-2</v>
      </c>
      <c r="Z25">
        <v>4.8991E-2</v>
      </c>
      <c r="AA25">
        <v>4.8633999999999997E-2</v>
      </c>
      <c r="AB25">
        <v>4.8195000000000002E-2</v>
      </c>
      <c r="AC25">
        <v>4.7543000000000002E-2</v>
      </c>
      <c r="AD25">
        <v>4.6675000000000001E-2</v>
      </c>
      <c r="AE25">
        <v>4.5652999999999999E-2</v>
      </c>
      <c r="AF25">
        <v>4.4405E-2</v>
      </c>
      <c r="AG25" s="21">
        <v>1E-3</v>
      </c>
    </row>
    <row r="26" spans="1:33" x14ac:dyDescent="0.35">
      <c r="A26" t="s">
        <v>133</v>
      </c>
      <c r="B26" t="s">
        <v>134</v>
      </c>
      <c r="C26" t="s">
        <v>135</v>
      </c>
      <c r="D26" t="s">
        <v>109</v>
      </c>
      <c r="F26">
        <v>1.9009560000000001</v>
      </c>
      <c r="G26">
        <v>1.978316</v>
      </c>
      <c r="H26">
        <v>1.9087810000000001</v>
      </c>
      <c r="I26">
        <v>1.8950199999999999</v>
      </c>
      <c r="J26">
        <v>1.879119</v>
      </c>
      <c r="K26">
        <v>1.9135180000000001</v>
      </c>
      <c r="L26">
        <v>1.9444319999999999</v>
      </c>
      <c r="M26">
        <v>1.974445</v>
      </c>
      <c r="N26">
        <v>2.004845</v>
      </c>
      <c r="O26">
        <v>2.0358559999999999</v>
      </c>
      <c r="P26">
        <v>2.0683220000000002</v>
      </c>
      <c r="Q26">
        <v>2.1027650000000002</v>
      </c>
      <c r="R26">
        <v>2.1393689999999999</v>
      </c>
      <c r="S26">
        <v>2.1764999999999999</v>
      </c>
      <c r="T26">
        <v>2.2136990000000001</v>
      </c>
      <c r="U26">
        <v>2.2514560000000001</v>
      </c>
      <c r="V26">
        <v>2.2899370000000001</v>
      </c>
      <c r="W26">
        <v>2.3290630000000001</v>
      </c>
      <c r="X26">
        <v>2.3688410000000002</v>
      </c>
      <c r="Y26">
        <v>2.409592</v>
      </c>
      <c r="Z26">
        <v>2.4511859999999999</v>
      </c>
      <c r="AA26">
        <v>2.493665</v>
      </c>
      <c r="AB26">
        <v>2.536645</v>
      </c>
      <c r="AC26">
        <v>2.5805509999999998</v>
      </c>
      <c r="AD26">
        <v>2.6257799999999998</v>
      </c>
      <c r="AE26">
        <v>2.6718920000000002</v>
      </c>
      <c r="AF26">
        <v>2.7192539999999998</v>
      </c>
      <c r="AG26" s="21">
        <v>1.4E-2</v>
      </c>
    </row>
    <row r="27" spans="1:33" x14ac:dyDescent="0.35">
      <c r="A27" t="s">
        <v>136</v>
      </c>
      <c r="B27" t="s">
        <v>137</v>
      </c>
      <c r="C27" t="s">
        <v>138</v>
      </c>
      <c r="D27" t="s">
        <v>109</v>
      </c>
      <c r="F27">
        <v>4.8910809999999998</v>
      </c>
      <c r="G27">
        <v>4.980416</v>
      </c>
      <c r="H27">
        <v>4.9574980000000002</v>
      </c>
      <c r="I27">
        <v>5.0087859999999997</v>
      </c>
      <c r="J27">
        <v>5.0500920000000002</v>
      </c>
      <c r="K27">
        <v>5.1262249999999998</v>
      </c>
      <c r="L27">
        <v>5.177759</v>
      </c>
      <c r="M27">
        <v>5.2292079999999999</v>
      </c>
      <c r="N27">
        <v>5.2845719999999998</v>
      </c>
      <c r="O27">
        <v>5.3394349999999999</v>
      </c>
      <c r="P27">
        <v>5.4016200000000003</v>
      </c>
      <c r="Q27">
        <v>5.4751729999999998</v>
      </c>
      <c r="R27">
        <v>5.5586479999999998</v>
      </c>
      <c r="S27">
        <v>5.6472350000000002</v>
      </c>
      <c r="T27">
        <v>5.7333280000000002</v>
      </c>
      <c r="U27">
        <v>5.8225059999999997</v>
      </c>
      <c r="V27">
        <v>5.912979</v>
      </c>
      <c r="W27">
        <v>6.0072669999999997</v>
      </c>
      <c r="X27">
        <v>6.1027040000000001</v>
      </c>
      <c r="Y27">
        <v>6.2013530000000001</v>
      </c>
      <c r="Z27">
        <v>6.3026289999999996</v>
      </c>
      <c r="AA27">
        <v>6.4058210000000004</v>
      </c>
      <c r="AB27">
        <v>6.5109250000000003</v>
      </c>
      <c r="AC27">
        <v>6.6185720000000003</v>
      </c>
      <c r="AD27">
        <v>6.7295579999999999</v>
      </c>
      <c r="AE27">
        <v>6.8431559999999996</v>
      </c>
      <c r="AF27">
        <v>6.960674</v>
      </c>
      <c r="AG27" s="21">
        <v>1.4E-2</v>
      </c>
    </row>
    <row r="28" spans="1:33" x14ac:dyDescent="0.35">
      <c r="A28" t="s">
        <v>139</v>
      </c>
      <c r="B28" t="s">
        <v>140</v>
      </c>
      <c r="C28" t="s">
        <v>141</v>
      </c>
      <c r="D28" t="s">
        <v>109</v>
      </c>
      <c r="F28">
        <v>1.8762000000000001E-2</v>
      </c>
      <c r="G28">
        <v>2.8121E-2</v>
      </c>
      <c r="H28">
        <v>4.2235000000000002E-2</v>
      </c>
      <c r="I28">
        <v>6.1641000000000001E-2</v>
      </c>
      <c r="J28">
        <v>8.6249999999999993E-2</v>
      </c>
      <c r="K28">
        <v>0.117048</v>
      </c>
      <c r="L28">
        <v>0.15936900000000001</v>
      </c>
      <c r="M28">
        <v>0.21291599999999999</v>
      </c>
      <c r="N28">
        <v>0.28401900000000002</v>
      </c>
      <c r="O28">
        <v>0.35977700000000001</v>
      </c>
      <c r="P28">
        <v>0.43437399999999998</v>
      </c>
      <c r="Q28">
        <v>0.50603100000000001</v>
      </c>
      <c r="R28">
        <v>0.57409600000000005</v>
      </c>
      <c r="S28">
        <v>0.638567</v>
      </c>
      <c r="T28">
        <v>0.69851600000000003</v>
      </c>
      <c r="U28">
        <v>0.75433700000000004</v>
      </c>
      <c r="V28">
        <v>0.80611299999999997</v>
      </c>
      <c r="W28">
        <v>0.85333000000000003</v>
      </c>
      <c r="X28">
        <v>0.89590400000000003</v>
      </c>
      <c r="Y28">
        <v>0.93331299999999995</v>
      </c>
      <c r="Z28">
        <v>0.96634600000000004</v>
      </c>
      <c r="AA28">
        <v>0.99562600000000001</v>
      </c>
      <c r="AB28">
        <v>1.0219309999999999</v>
      </c>
      <c r="AC28">
        <v>1.045841</v>
      </c>
      <c r="AD28">
        <v>1.066279</v>
      </c>
      <c r="AE28">
        <v>1.084419</v>
      </c>
      <c r="AF28">
        <v>1.1006229999999999</v>
      </c>
      <c r="AG28" s="21">
        <v>0.17</v>
      </c>
    </row>
    <row r="29" spans="1:33" x14ac:dyDescent="0.35">
      <c r="A29" t="s">
        <v>142</v>
      </c>
      <c r="B29" t="s">
        <v>143</v>
      </c>
      <c r="C29" t="s">
        <v>144</v>
      </c>
      <c r="D29" t="s">
        <v>109</v>
      </c>
      <c r="F29">
        <v>0.14174300000000001</v>
      </c>
      <c r="G29">
        <v>0.158667</v>
      </c>
      <c r="H29">
        <v>0.17515800000000001</v>
      </c>
      <c r="I29">
        <v>0.182169</v>
      </c>
      <c r="J29">
        <v>0.188994</v>
      </c>
      <c r="K29">
        <v>0.19889100000000001</v>
      </c>
      <c r="L29">
        <v>0.21062400000000001</v>
      </c>
      <c r="M29">
        <v>0.225521</v>
      </c>
      <c r="N29">
        <v>0.23910000000000001</v>
      </c>
      <c r="O29">
        <v>0.25521300000000002</v>
      </c>
      <c r="P29">
        <v>0.26584400000000002</v>
      </c>
      <c r="Q29">
        <v>0.27219700000000002</v>
      </c>
      <c r="R29">
        <v>0.27763900000000002</v>
      </c>
      <c r="S29">
        <v>0.28352500000000003</v>
      </c>
      <c r="T29">
        <v>0.292406</v>
      </c>
      <c r="U29">
        <v>0.29744199999999998</v>
      </c>
      <c r="V29">
        <v>0.30313400000000001</v>
      </c>
      <c r="W29">
        <v>0.31151000000000001</v>
      </c>
      <c r="X29">
        <v>0.31969399999999998</v>
      </c>
      <c r="Y29">
        <v>0.32866200000000001</v>
      </c>
      <c r="Z29">
        <v>0.33769300000000002</v>
      </c>
      <c r="AA29">
        <v>0.347028</v>
      </c>
      <c r="AB29">
        <v>0.35549700000000001</v>
      </c>
      <c r="AC29">
        <v>0.36535400000000001</v>
      </c>
      <c r="AD29">
        <v>0.37554300000000002</v>
      </c>
      <c r="AE29">
        <v>0.385409</v>
      </c>
      <c r="AF29">
        <v>0.396175</v>
      </c>
      <c r="AG29" s="21">
        <v>0.04</v>
      </c>
    </row>
    <row r="30" spans="1:33" x14ac:dyDescent="0.35">
      <c r="A30" t="s">
        <v>145</v>
      </c>
      <c r="B30" t="s">
        <v>146</v>
      </c>
      <c r="C30" t="s">
        <v>147</v>
      </c>
      <c r="D30" t="s">
        <v>109</v>
      </c>
      <c r="F30">
        <v>4.7680999999999996</v>
      </c>
      <c r="G30">
        <v>4.8498710000000003</v>
      </c>
      <c r="H30">
        <v>4.8245750000000003</v>
      </c>
      <c r="I30">
        <v>4.8882589999999997</v>
      </c>
      <c r="J30">
        <v>4.947349</v>
      </c>
      <c r="K30">
        <v>5.0443829999999998</v>
      </c>
      <c r="L30">
        <v>5.1265029999999996</v>
      </c>
      <c r="M30">
        <v>5.216602</v>
      </c>
      <c r="N30">
        <v>5.3294920000000001</v>
      </c>
      <c r="O30">
        <v>5.444</v>
      </c>
      <c r="P30">
        <v>5.5701510000000001</v>
      </c>
      <c r="Q30">
        <v>5.7090069999999997</v>
      </c>
      <c r="R30">
        <v>5.855105</v>
      </c>
      <c r="S30">
        <v>6.0022760000000002</v>
      </c>
      <c r="T30">
        <v>6.1394380000000002</v>
      </c>
      <c r="U30">
        <v>6.2794030000000003</v>
      </c>
      <c r="V30">
        <v>6.4159579999999998</v>
      </c>
      <c r="W30">
        <v>6.5490870000000001</v>
      </c>
      <c r="X30">
        <v>6.6789139999999998</v>
      </c>
      <c r="Y30">
        <v>6.8060039999999997</v>
      </c>
      <c r="Z30">
        <v>6.9312820000000004</v>
      </c>
      <c r="AA30">
        <v>7.0544200000000004</v>
      </c>
      <c r="AB30">
        <v>7.177359</v>
      </c>
      <c r="AC30">
        <v>7.2990589999999997</v>
      </c>
      <c r="AD30">
        <v>7.4202950000000003</v>
      </c>
      <c r="AE30">
        <v>7.5421649999999998</v>
      </c>
      <c r="AF30">
        <v>7.6651220000000002</v>
      </c>
      <c r="AG30" s="21">
        <v>1.7999999999999999E-2</v>
      </c>
    </row>
    <row r="31" spans="1:33" x14ac:dyDescent="0.35">
      <c r="A31" t="s">
        <v>148</v>
      </c>
    </row>
    <row r="32" spans="1:33" x14ac:dyDescent="0.35">
      <c r="A32" t="s">
        <v>106</v>
      </c>
      <c r="B32" t="s">
        <v>149</v>
      </c>
      <c r="C32" t="s">
        <v>150</v>
      </c>
      <c r="D32" t="s">
        <v>109</v>
      </c>
      <c r="F32">
        <v>1.5374129999999999</v>
      </c>
      <c r="G32">
        <v>1.6974750000000001</v>
      </c>
      <c r="H32">
        <v>1.7168810000000001</v>
      </c>
      <c r="I32">
        <v>1.7210589999999999</v>
      </c>
      <c r="J32">
        <v>1.7170879999999999</v>
      </c>
      <c r="K32">
        <v>1.7084889999999999</v>
      </c>
      <c r="L32">
        <v>1.695878</v>
      </c>
      <c r="M32">
        <v>1.685565</v>
      </c>
      <c r="N32">
        <v>1.671333</v>
      </c>
      <c r="O32">
        <v>1.6556390000000001</v>
      </c>
      <c r="P32">
        <v>1.6419189999999999</v>
      </c>
      <c r="Q32">
        <v>1.6330579999999999</v>
      </c>
      <c r="R32">
        <v>1.628727</v>
      </c>
      <c r="S32">
        <v>1.6268260000000001</v>
      </c>
      <c r="T32">
        <v>1.625526</v>
      </c>
      <c r="U32">
        <v>1.6253299999999999</v>
      </c>
      <c r="V32">
        <v>1.6236969999999999</v>
      </c>
      <c r="W32">
        <v>1.619696</v>
      </c>
      <c r="X32">
        <v>1.6144160000000001</v>
      </c>
      <c r="Y32">
        <v>1.608446</v>
      </c>
      <c r="Z32">
        <v>1.603702</v>
      </c>
      <c r="AA32">
        <v>1.599288</v>
      </c>
      <c r="AB32">
        <v>1.5938159999999999</v>
      </c>
      <c r="AC32">
        <v>1.5893459999999999</v>
      </c>
      <c r="AD32">
        <v>1.585737</v>
      </c>
      <c r="AE32">
        <v>1.581855</v>
      </c>
      <c r="AF32">
        <v>1.577464</v>
      </c>
      <c r="AG32" s="21">
        <v>1E-3</v>
      </c>
    </row>
    <row r="33" spans="1:33" x14ac:dyDescent="0.35">
      <c r="A33" t="s">
        <v>151</v>
      </c>
      <c r="B33" t="s">
        <v>152</v>
      </c>
      <c r="C33" t="s">
        <v>153</v>
      </c>
      <c r="D33" t="s">
        <v>109</v>
      </c>
      <c r="F33">
        <v>1.8319999999999999E-2</v>
      </c>
      <c r="G33">
        <v>1.762E-2</v>
      </c>
      <c r="H33">
        <v>1.7856E-2</v>
      </c>
      <c r="I33">
        <v>1.7985000000000001E-2</v>
      </c>
      <c r="J33">
        <v>1.8026E-2</v>
      </c>
      <c r="K33">
        <v>1.8041999999999999E-2</v>
      </c>
      <c r="L33">
        <v>1.8031999999999999E-2</v>
      </c>
      <c r="M33">
        <v>1.8031999999999999E-2</v>
      </c>
      <c r="N33">
        <v>1.7987E-2</v>
      </c>
      <c r="O33">
        <v>1.7929E-2</v>
      </c>
      <c r="P33">
        <v>1.7895999999999999E-2</v>
      </c>
      <c r="Q33">
        <v>1.7929E-2</v>
      </c>
      <c r="R33">
        <v>1.8023999999999998E-2</v>
      </c>
      <c r="S33">
        <v>1.8159999999999999E-2</v>
      </c>
      <c r="T33">
        <v>1.831E-2</v>
      </c>
      <c r="U33">
        <v>1.8494E-2</v>
      </c>
      <c r="V33">
        <v>1.8662999999999999E-2</v>
      </c>
      <c r="W33">
        <v>1.8817E-2</v>
      </c>
      <c r="X33">
        <v>1.8945E-2</v>
      </c>
      <c r="Y33">
        <v>1.9081000000000001E-2</v>
      </c>
      <c r="Z33">
        <v>1.9247E-2</v>
      </c>
      <c r="AA33">
        <v>1.9418000000000001E-2</v>
      </c>
      <c r="AB33">
        <v>1.9581000000000001E-2</v>
      </c>
      <c r="AC33">
        <v>1.9762999999999999E-2</v>
      </c>
      <c r="AD33">
        <v>1.9966000000000001E-2</v>
      </c>
      <c r="AE33">
        <v>2.0156E-2</v>
      </c>
      <c r="AF33">
        <v>2.0358000000000001E-2</v>
      </c>
      <c r="AG33" s="21">
        <v>4.0000000000000001E-3</v>
      </c>
    </row>
    <row r="34" spans="1:33" x14ac:dyDescent="0.35">
      <c r="A34" t="s">
        <v>113</v>
      </c>
      <c r="B34" t="s">
        <v>154</v>
      </c>
      <c r="C34" t="s">
        <v>155</v>
      </c>
      <c r="D34" t="s">
        <v>109</v>
      </c>
      <c r="F34">
        <v>0.26994499999999999</v>
      </c>
      <c r="G34">
        <v>0.28262500000000002</v>
      </c>
      <c r="H34">
        <v>0.29040300000000002</v>
      </c>
      <c r="I34">
        <v>0.29480000000000001</v>
      </c>
      <c r="J34">
        <v>0.298126</v>
      </c>
      <c r="K34">
        <v>0.30099399999999998</v>
      </c>
      <c r="L34">
        <v>0.30336600000000002</v>
      </c>
      <c r="M34">
        <v>0.30588199999999999</v>
      </c>
      <c r="N34">
        <v>0.30764999999999998</v>
      </c>
      <c r="O34">
        <v>0.30927300000000002</v>
      </c>
      <c r="P34">
        <v>0.31131399999999998</v>
      </c>
      <c r="Q34">
        <v>0.31416300000000003</v>
      </c>
      <c r="R34">
        <v>0.31787399999999999</v>
      </c>
      <c r="S34">
        <v>0.32206499999999999</v>
      </c>
      <c r="T34">
        <v>0.32638899999999998</v>
      </c>
      <c r="U34">
        <v>0.33093800000000001</v>
      </c>
      <c r="V34">
        <v>0.33519700000000002</v>
      </c>
      <c r="W34">
        <v>0.339036</v>
      </c>
      <c r="X34">
        <v>0.34259200000000001</v>
      </c>
      <c r="Y34">
        <v>0.34600599999999998</v>
      </c>
      <c r="Z34">
        <v>0.349657</v>
      </c>
      <c r="AA34">
        <v>0.35336099999999998</v>
      </c>
      <c r="AB34">
        <v>0.35683900000000002</v>
      </c>
      <c r="AC34">
        <v>0.36054700000000001</v>
      </c>
      <c r="AD34">
        <v>0.36444399999999999</v>
      </c>
      <c r="AE34">
        <v>0.36819400000000002</v>
      </c>
      <c r="AF34">
        <v>0.37181199999999998</v>
      </c>
      <c r="AG34" s="21">
        <v>1.2E-2</v>
      </c>
    </row>
    <row r="35" spans="1:33" x14ac:dyDescent="0.35">
      <c r="A35" t="s">
        <v>119</v>
      </c>
      <c r="B35" t="s">
        <v>156</v>
      </c>
      <c r="C35" t="s">
        <v>157</v>
      </c>
      <c r="D35" t="s">
        <v>109</v>
      </c>
      <c r="F35">
        <v>0.40088299999999999</v>
      </c>
      <c r="G35">
        <v>0.41821599999999998</v>
      </c>
      <c r="H35">
        <v>0.42776700000000001</v>
      </c>
      <c r="I35">
        <v>0.434062</v>
      </c>
      <c r="J35">
        <v>0.43857400000000002</v>
      </c>
      <c r="K35">
        <v>0.44231199999999998</v>
      </c>
      <c r="L35">
        <v>0.445268</v>
      </c>
      <c r="M35">
        <v>0.44863399999999998</v>
      </c>
      <c r="N35">
        <v>0.45101799999999997</v>
      </c>
      <c r="O35">
        <v>0.45321099999999997</v>
      </c>
      <c r="P35">
        <v>0.45596700000000001</v>
      </c>
      <c r="Q35">
        <v>0.459839</v>
      </c>
      <c r="R35">
        <v>0.464891</v>
      </c>
      <c r="S35">
        <v>0.47057500000000002</v>
      </c>
      <c r="T35">
        <v>0.47639700000000001</v>
      </c>
      <c r="U35">
        <v>0.48247699999999999</v>
      </c>
      <c r="V35">
        <v>0.48808499999999999</v>
      </c>
      <c r="W35">
        <v>0.49318099999999998</v>
      </c>
      <c r="X35">
        <v>0.497859</v>
      </c>
      <c r="Y35">
        <v>0.50232699999999997</v>
      </c>
      <c r="Z35">
        <v>0.50709199999999999</v>
      </c>
      <c r="AA35">
        <v>0.51191200000000003</v>
      </c>
      <c r="AB35">
        <v>0.51639800000000002</v>
      </c>
      <c r="AC35">
        <v>0.52119199999999999</v>
      </c>
      <c r="AD35">
        <v>0.52622199999999997</v>
      </c>
      <c r="AE35">
        <v>0.53102199999999999</v>
      </c>
      <c r="AF35">
        <v>0.53561800000000004</v>
      </c>
      <c r="AG35" s="21">
        <v>1.0999999999999999E-2</v>
      </c>
    </row>
    <row r="36" spans="1:33" x14ac:dyDescent="0.35">
      <c r="A36" t="s">
        <v>133</v>
      </c>
      <c r="B36" t="s">
        <v>158</v>
      </c>
      <c r="C36" t="s">
        <v>159</v>
      </c>
      <c r="D36" t="s">
        <v>109</v>
      </c>
      <c r="F36">
        <v>1.200143</v>
      </c>
      <c r="G36">
        <v>1.195241</v>
      </c>
      <c r="H36">
        <v>1.1925410000000001</v>
      </c>
      <c r="I36">
        <v>1.1845300000000001</v>
      </c>
      <c r="J36">
        <v>1.1720729999999999</v>
      </c>
      <c r="K36">
        <v>1.174134</v>
      </c>
      <c r="L36">
        <v>1.1742140000000001</v>
      </c>
      <c r="M36">
        <v>1.173943</v>
      </c>
      <c r="N36">
        <v>1.170539</v>
      </c>
      <c r="O36">
        <v>1.1664000000000001</v>
      </c>
      <c r="P36">
        <v>1.1632499999999999</v>
      </c>
      <c r="Q36">
        <v>1.1626719999999999</v>
      </c>
      <c r="R36">
        <v>1.164979</v>
      </c>
      <c r="S36">
        <v>1.1689799999999999</v>
      </c>
      <c r="T36">
        <v>1.1736690000000001</v>
      </c>
      <c r="U36">
        <v>1.1790989999999999</v>
      </c>
      <c r="V36">
        <v>1.1838280000000001</v>
      </c>
      <c r="W36">
        <v>1.1866810000000001</v>
      </c>
      <c r="X36">
        <v>1.1886950000000001</v>
      </c>
      <c r="Y36">
        <v>1.1902509999999999</v>
      </c>
      <c r="Z36">
        <v>1.192779</v>
      </c>
      <c r="AA36">
        <v>1.1953800000000001</v>
      </c>
      <c r="AB36">
        <v>1.197174</v>
      </c>
      <c r="AC36">
        <v>1.199681</v>
      </c>
      <c r="AD36">
        <v>1.2028239999999999</v>
      </c>
      <c r="AE36">
        <v>1.2055419999999999</v>
      </c>
      <c r="AF36">
        <v>1.207929</v>
      </c>
      <c r="AG36" s="21">
        <v>0</v>
      </c>
    </row>
    <row r="37" spans="1:33" x14ac:dyDescent="0.35">
      <c r="A37" t="s">
        <v>160</v>
      </c>
      <c r="B37" t="s">
        <v>161</v>
      </c>
      <c r="C37" t="s">
        <v>162</v>
      </c>
      <c r="D37" t="s">
        <v>109</v>
      </c>
      <c r="F37">
        <v>3.426704</v>
      </c>
      <c r="G37">
        <v>3.6111780000000002</v>
      </c>
      <c r="H37">
        <v>3.645448</v>
      </c>
      <c r="I37">
        <v>3.6524359999999998</v>
      </c>
      <c r="J37">
        <v>3.6438869999999999</v>
      </c>
      <c r="K37">
        <v>3.6439720000000002</v>
      </c>
      <c r="L37">
        <v>3.6367579999999999</v>
      </c>
      <c r="M37">
        <v>3.632056</v>
      </c>
      <c r="N37">
        <v>3.6185269999999998</v>
      </c>
      <c r="O37">
        <v>3.6024530000000001</v>
      </c>
      <c r="P37">
        <v>3.5903450000000001</v>
      </c>
      <c r="Q37">
        <v>3.5876600000000001</v>
      </c>
      <c r="R37">
        <v>3.5944940000000001</v>
      </c>
      <c r="S37">
        <v>3.6066060000000002</v>
      </c>
      <c r="T37">
        <v>3.6202920000000001</v>
      </c>
      <c r="U37">
        <v>3.6363379999999998</v>
      </c>
      <c r="V37">
        <v>3.64947</v>
      </c>
      <c r="W37">
        <v>3.6574110000000002</v>
      </c>
      <c r="X37">
        <v>3.6625070000000002</v>
      </c>
      <c r="Y37">
        <v>3.6661109999999999</v>
      </c>
      <c r="Z37">
        <v>3.6724770000000002</v>
      </c>
      <c r="AA37">
        <v>3.67936</v>
      </c>
      <c r="AB37">
        <v>3.6838069999999998</v>
      </c>
      <c r="AC37">
        <v>3.6905290000000002</v>
      </c>
      <c r="AD37">
        <v>3.6991930000000002</v>
      </c>
      <c r="AE37">
        <v>3.706769</v>
      </c>
      <c r="AF37">
        <v>3.7131810000000001</v>
      </c>
      <c r="AG37" s="21">
        <v>3.0000000000000001E-3</v>
      </c>
    </row>
    <row r="38" spans="1:33" x14ac:dyDescent="0.35">
      <c r="A38" t="s">
        <v>163</v>
      </c>
    </row>
    <row r="39" spans="1:33" x14ac:dyDescent="0.35">
      <c r="A39" t="s">
        <v>106</v>
      </c>
      <c r="B39" t="s">
        <v>164</v>
      </c>
      <c r="C39" t="s">
        <v>165</v>
      </c>
      <c r="D39" t="s">
        <v>109</v>
      </c>
      <c r="F39">
        <v>6.9268999999999997E-2</v>
      </c>
      <c r="G39">
        <v>7.4070999999999998E-2</v>
      </c>
      <c r="H39">
        <v>7.3986999999999997E-2</v>
      </c>
      <c r="I39">
        <v>7.3582999999999996E-2</v>
      </c>
      <c r="J39">
        <v>7.2936000000000001E-2</v>
      </c>
      <c r="K39">
        <v>7.1974999999999997E-2</v>
      </c>
      <c r="L39">
        <v>7.0985999999999994E-2</v>
      </c>
      <c r="M39">
        <v>6.9948999999999997E-2</v>
      </c>
      <c r="N39">
        <v>6.8907999999999997E-2</v>
      </c>
      <c r="O39">
        <v>6.7778000000000005E-2</v>
      </c>
      <c r="P39">
        <v>6.6642000000000007E-2</v>
      </c>
      <c r="Q39">
        <v>6.5495999999999999E-2</v>
      </c>
      <c r="R39">
        <v>6.4415E-2</v>
      </c>
      <c r="S39">
        <v>6.3297999999999993E-2</v>
      </c>
      <c r="T39">
        <v>6.2219999999999998E-2</v>
      </c>
      <c r="U39">
        <v>6.1173999999999999E-2</v>
      </c>
      <c r="V39">
        <v>6.0118999999999999E-2</v>
      </c>
      <c r="W39">
        <v>5.9095000000000002E-2</v>
      </c>
      <c r="X39">
        <v>5.8066E-2</v>
      </c>
      <c r="Y39">
        <v>5.7049000000000002E-2</v>
      </c>
      <c r="Z39">
        <v>5.5952000000000002E-2</v>
      </c>
      <c r="AA39">
        <v>5.5022000000000001E-2</v>
      </c>
      <c r="AB39">
        <v>5.4114000000000002E-2</v>
      </c>
      <c r="AC39">
        <v>5.3303999999999997E-2</v>
      </c>
      <c r="AD39">
        <v>5.2547999999999997E-2</v>
      </c>
      <c r="AE39">
        <v>5.1773E-2</v>
      </c>
      <c r="AF39">
        <v>5.0965000000000003E-2</v>
      </c>
      <c r="AG39" s="21">
        <v>-1.2E-2</v>
      </c>
    </row>
    <row r="40" spans="1:33" x14ac:dyDescent="0.35">
      <c r="A40" t="s">
        <v>113</v>
      </c>
      <c r="B40" t="s">
        <v>166</v>
      </c>
      <c r="C40" t="s">
        <v>167</v>
      </c>
      <c r="D40" t="s">
        <v>109</v>
      </c>
      <c r="F40">
        <v>3.7460000000000002E-3</v>
      </c>
      <c r="G40">
        <v>3.8110000000000002E-3</v>
      </c>
      <c r="H40">
        <v>3.8279999999999998E-3</v>
      </c>
      <c r="I40">
        <v>3.833E-3</v>
      </c>
      <c r="J40">
        <v>3.8289999999999999E-3</v>
      </c>
      <c r="K40">
        <v>3.8189999999999999E-3</v>
      </c>
      <c r="L40">
        <v>3.81E-3</v>
      </c>
      <c r="M40">
        <v>3.7959999999999999E-3</v>
      </c>
      <c r="N40">
        <v>3.7820000000000002E-3</v>
      </c>
      <c r="O40">
        <v>3.7650000000000001E-3</v>
      </c>
      <c r="P40">
        <v>3.7469999999999999E-3</v>
      </c>
      <c r="Q40">
        <v>3.7290000000000001E-3</v>
      </c>
      <c r="R40">
        <v>3.7139999999999999E-3</v>
      </c>
      <c r="S40">
        <v>3.6970000000000002E-3</v>
      </c>
      <c r="T40">
        <v>3.6809999999999998E-3</v>
      </c>
      <c r="U40">
        <v>3.6670000000000001E-3</v>
      </c>
      <c r="V40">
        <v>3.6519999999999999E-3</v>
      </c>
      <c r="W40">
        <v>3.637E-3</v>
      </c>
      <c r="X40">
        <v>3.6210000000000001E-3</v>
      </c>
      <c r="Y40">
        <v>3.6059999999999998E-3</v>
      </c>
      <c r="Z40">
        <v>3.5839999999999999E-3</v>
      </c>
      <c r="AA40">
        <v>3.5720000000000001E-3</v>
      </c>
      <c r="AB40">
        <v>3.5609999999999999E-3</v>
      </c>
      <c r="AC40">
        <v>3.5560000000000001E-3</v>
      </c>
      <c r="AD40">
        <v>3.5530000000000002E-3</v>
      </c>
      <c r="AE40">
        <v>3.5479999999999999E-3</v>
      </c>
      <c r="AF40">
        <v>3.5400000000000002E-3</v>
      </c>
      <c r="AG40" s="21">
        <v>-2E-3</v>
      </c>
    </row>
    <row r="41" spans="1:33" x14ac:dyDescent="0.35">
      <c r="A41" t="s">
        <v>133</v>
      </c>
      <c r="B41" t="s">
        <v>168</v>
      </c>
      <c r="C41" t="s">
        <v>169</v>
      </c>
      <c r="D41" t="s">
        <v>109</v>
      </c>
      <c r="F41">
        <v>0.23526900000000001</v>
      </c>
      <c r="G41">
        <v>0.238648</v>
      </c>
      <c r="H41">
        <v>0.24227599999999999</v>
      </c>
      <c r="I41">
        <v>0.24460699999999999</v>
      </c>
      <c r="J41">
        <v>0.24604799999999999</v>
      </c>
      <c r="K41">
        <v>0.24707699999999999</v>
      </c>
      <c r="L41">
        <v>0.248054</v>
      </c>
      <c r="M41">
        <v>0.24853700000000001</v>
      </c>
      <c r="N41">
        <v>0.24897</v>
      </c>
      <c r="O41">
        <v>0.24893699999999999</v>
      </c>
      <c r="P41">
        <v>0.24878900000000001</v>
      </c>
      <c r="Q41">
        <v>0.24849099999999999</v>
      </c>
      <c r="R41">
        <v>0.24838299999999999</v>
      </c>
      <c r="S41">
        <v>0.24807999999999999</v>
      </c>
      <c r="T41">
        <v>0.24790499999999999</v>
      </c>
      <c r="U41">
        <v>0.247811</v>
      </c>
      <c r="V41">
        <v>0.24762500000000001</v>
      </c>
      <c r="W41">
        <v>0.247337</v>
      </c>
      <c r="X41">
        <v>0.246923</v>
      </c>
      <c r="Y41">
        <v>0.246471</v>
      </c>
      <c r="Z41">
        <v>0.24557499999999999</v>
      </c>
      <c r="AA41">
        <v>0.245337</v>
      </c>
      <c r="AB41">
        <v>0.24513699999999999</v>
      </c>
      <c r="AC41">
        <v>0.245284</v>
      </c>
      <c r="AD41">
        <v>0.245618</v>
      </c>
      <c r="AE41">
        <v>0.24573999999999999</v>
      </c>
      <c r="AF41">
        <v>0.24562500000000001</v>
      </c>
      <c r="AG41" s="21">
        <v>2E-3</v>
      </c>
    </row>
    <row r="42" spans="1:33" x14ac:dyDescent="0.35">
      <c r="A42" t="s">
        <v>160</v>
      </c>
      <c r="B42" t="s">
        <v>170</v>
      </c>
      <c r="C42" t="s">
        <v>171</v>
      </c>
      <c r="D42" t="s">
        <v>109</v>
      </c>
      <c r="F42">
        <v>0.308284</v>
      </c>
      <c r="G42">
        <v>0.31653100000000001</v>
      </c>
      <c r="H42">
        <v>0.32009100000000001</v>
      </c>
      <c r="I42">
        <v>0.322023</v>
      </c>
      <c r="J42">
        <v>0.32281300000000002</v>
      </c>
      <c r="K42">
        <v>0.32287100000000002</v>
      </c>
      <c r="L42">
        <v>0.32285000000000003</v>
      </c>
      <c r="M42">
        <v>0.32228200000000001</v>
      </c>
      <c r="N42">
        <v>0.32166</v>
      </c>
      <c r="O42">
        <v>0.32047900000000001</v>
      </c>
      <c r="P42">
        <v>0.31917800000000002</v>
      </c>
      <c r="Q42">
        <v>0.317716</v>
      </c>
      <c r="R42">
        <v>0.31651099999999999</v>
      </c>
      <c r="S42">
        <v>0.31507499999999999</v>
      </c>
      <c r="T42">
        <v>0.313805</v>
      </c>
      <c r="U42">
        <v>0.31265199999999999</v>
      </c>
      <c r="V42">
        <v>0.31139600000000001</v>
      </c>
      <c r="W42">
        <v>0.31006899999999998</v>
      </c>
      <c r="X42">
        <v>0.30861</v>
      </c>
      <c r="Y42">
        <v>0.30712600000000001</v>
      </c>
      <c r="Z42">
        <v>0.30511100000000002</v>
      </c>
      <c r="AA42">
        <v>0.30393100000000001</v>
      </c>
      <c r="AB42">
        <v>0.30281200000000003</v>
      </c>
      <c r="AC42">
        <v>0.30214400000000002</v>
      </c>
      <c r="AD42">
        <v>0.30171900000000001</v>
      </c>
      <c r="AE42">
        <v>0.30105999999999999</v>
      </c>
      <c r="AF42">
        <v>0.30013000000000001</v>
      </c>
      <c r="AG42" s="21">
        <v>-1E-3</v>
      </c>
    </row>
    <row r="43" spans="1:33" x14ac:dyDescent="0.35">
      <c r="A43" t="s">
        <v>172</v>
      </c>
      <c r="B43" t="s">
        <v>173</v>
      </c>
      <c r="C43" t="s">
        <v>174</v>
      </c>
      <c r="D43" t="s">
        <v>109</v>
      </c>
      <c r="F43">
        <v>0.15810399999999999</v>
      </c>
      <c r="G43">
        <v>0.15810399999999999</v>
      </c>
      <c r="H43">
        <v>0.15810399999999999</v>
      </c>
      <c r="I43">
        <v>0.15810399999999999</v>
      </c>
      <c r="J43">
        <v>0.15810399999999999</v>
      </c>
      <c r="K43">
        <v>0.15810399999999999</v>
      </c>
      <c r="L43">
        <v>0.15810399999999999</v>
      </c>
      <c r="M43">
        <v>0.15810399999999999</v>
      </c>
      <c r="N43">
        <v>0.15810399999999999</v>
      </c>
      <c r="O43">
        <v>0.15810399999999999</v>
      </c>
      <c r="P43">
        <v>0.15810399999999999</v>
      </c>
      <c r="Q43">
        <v>0.15810399999999999</v>
      </c>
      <c r="R43">
        <v>0.15810399999999999</v>
      </c>
      <c r="S43">
        <v>0.15810399999999999</v>
      </c>
      <c r="T43">
        <v>0.15810399999999999</v>
      </c>
      <c r="U43">
        <v>0.15810399999999999</v>
      </c>
      <c r="V43">
        <v>0.15810399999999999</v>
      </c>
      <c r="W43">
        <v>0.15810399999999999</v>
      </c>
      <c r="X43">
        <v>0.15810399999999999</v>
      </c>
      <c r="Y43">
        <v>0.15810399999999999</v>
      </c>
      <c r="Z43">
        <v>0.15810399999999999</v>
      </c>
      <c r="AA43">
        <v>0.15810399999999999</v>
      </c>
      <c r="AB43">
        <v>0.15810399999999999</v>
      </c>
      <c r="AC43">
        <v>0.15810399999999999</v>
      </c>
      <c r="AD43">
        <v>0.15810399999999999</v>
      </c>
      <c r="AE43">
        <v>0.15810399999999999</v>
      </c>
      <c r="AF43">
        <v>0.15810399999999999</v>
      </c>
      <c r="AG43" s="21">
        <v>0</v>
      </c>
    </row>
    <row r="44" spans="1:33" x14ac:dyDescent="0.35">
      <c r="A44" t="s">
        <v>175</v>
      </c>
      <c r="B44" t="s">
        <v>176</v>
      </c>
      <c r="C44" t="s">
        <v>177</v>
      </c>
      <c r="D44" t="s">
        <v>109</v>
      </c>
      <c r="F44">
        <v>0.65341099999999996</v>
      </c>
      <c r="G44">
        <v>0.66121399999999997</v>
      </c>
      <c r="H44">
        <v>0.67782100000000001</v>
      </c>
      <c r="I44">
        <v>0.69083600000000001</v>
      </c>
      <c r="J44">
        <v>0.70509100000000002</v>
      </c>
      <c r="K44">
        <v>0.71650599999999998</v>
      </c>
      <c r="L44">
        <v>0.72913099999999997</v>
      </c>
      <c r="M44">
        <v>0.74183500000000002</v>
      </c>
      <c r="N44">
        <v>0.75490900000000005</v>
      </c>
      <c r="O44">
        <v>0.76726000000000005</v>
      </c>
      <c r="P44">
        <v>0.78028799999999998</v>
      </c>
      <c r="Q44">
        <v>0.79308000000000001</v>
      </c>
      <c r="R44">
        <v>0.80521799999999999</v>
      </c>
      <c r="S44">
        <v>0.81706699999999999</v>
      </c>
      <c r="T44">
        <v>0.82823100000000005</v>
      </c>
      <c r="U44">
        <v>0.84001099999999995</v>
      </c>
      <c r="V44">
        <v>0.85141500000000003</v>
      </c>
      <c r="W44">
        <v>0.86225399999999996</v>
      </c>
      <c r="X44">
        <v>0.87324199999999996</v>
      </c>
      <c r="Y44">
        <v>0.88399099999999997</v>
      </c>
      <c r="Z44">
        <v>0.89465399999999995</v>
      </c>
      <c r="AA44">
        <v>0.90558499999999997</v>
      </c>
      <c r="AB44">
        <v>0.91630299999999998</v>
      </c>
      <c r="AC44">
        <v>0.92738200000000004</v>
      </c>
      <c r="AD44">
        <v>0.93854300000000002</v>
      </c>
      <c r="AE44">
        <v>0.94976400000000005</v>
      </c>
      <c r="AF44">
        <v>0.96071899999999999</v>
      </c>
      <c r="AG44" s="21">
        <v>1.4999999999999999E-2</v>
      </c>
    </row>
    <row r="45" spans="1:33" x14ac:dyDescent="0.35">
      <c r="A45" t="s">
        <v>178</v>
      </c>
    </row>
    <row r="46" spans="1:33" x14ac:dyDescent="0.35">
      <c r="A46" t="s">
        <v>106</v>
      </c>
      <c r="B46" t="s">
        <v>179</v>
      </c>
      <c r="C46" t="s">
        <v>180</v>
      </c>
      <c r="D46" t="s">
        <v>109</v>
      </c>
      <c r="F46">
        <v>1.793223</v>
      </c>
      <c r="G46">
        <v>1.9695320000000001</v>
      </c>
      <c r="H46">
        <v>1.988944</v>
      </c>
      <c r="I46">
        <v>1.9936970000000001</v>
      </c>
      <c r="J46">
        <v>1.9890730000000001</v>
      </c>
      <c r="K46">
        <v>1.9783539999999999</v>
      </c>
      <c r="L46">
        <v>1.9632149999999999</v>
      </c>
      <c r="M46">
        <v>1.9501040000000001</v>
      </c>
      <c r="N46">
        <v>1.933014</v>
      </c>
      <c r="O46">
        <v>1.913483</v>
      </c>
      <c r="P46">
        <v>1.8962399999999999</v>
      </c>
      <c r="Q46">
        <v>1.8851</v>
      </c>
      <c r="R46">
        <v>1.878854</v>
      </c>
      <c r="S46">
        <v>1.8750359999999999</v>
      </c>
      <c r="T46">
        <v>1.8714789999999999</v>
      </c>
      <c r="U46">
        <v>1.8690009999999999</v>
      </c>
      <c r="V46">
        <v>1.8650070000000001</v>
      </c>
      <c r="W46">
        <v>1.858576</v>
      </c>
      <c r="X46">
        <v>1.850695</v>
      </c>
      <c r="Y46">
        <v>1.8420609999999999</v>
      </c>
      <c r="Z46">
        <v>1.8344510000000001</v>
      </c>
      <c r="AA46">
        <v>1.827259</v>
      </c>
      <c r="AB46">
        <v>1.818943</v>
      </c>
      <c r="AC46">
        <v>1.811671</v>
      </c>
      <c r="AD46">
        <v>1.80528</v>
      </c>
      <c r="AE46">
        <v>1.798646</v>
      </c>
      <c r="AF46">
        <v>1.791455</v>
      </c>
      <c r="AG46" s="21">
        <v>0</v>
      </c>
    </row>
    <row r="47" spans="1:33" x14ac:dyDescent="0.35">
      <c r="A47" t="s">
        <v>151</v>
      </c>
      <c r="B47" t="s">
        <v>181</v>
      </c>
      <c r="C47" t="s">
        <v>182</v>
      </c>
      <c r="D47" t="s">
        <v>109</v>
      </c>
      <c r="F47">
        <v>0.59118300000000001</v>
      </c>
      <c r="G47">
        <v>0.57312399999999997</v>
      </c>
      <c r="H47">
        <v>0.58495699999999995</v>
      </c>
      <c r="I47">
        <v>0.59940199999999999</v>
      </c>
      <c r="J47">
        <v>0.61104499999999995</v>
      </c>
      <c r="K47">
        <v>0.61856800000000001</v>
      </c>
      <c r="L47">
        <v>0.62368800000000002</v>
      </c>
      <c r="M47">
        <v>0.62854299999999996</v>
      </c>
      <c r="N47">
        <v>0.63390299999999999</v>
      </c>
      <c r="O47">
        <v>0.63848000000000005</v>
      </c>
      <c r="P47">
        <v>0.64430100000000001</v>
      </c>
      <c r="Q47">
        <v>0.65216600000000002</v>
      </c>
      <c r="R47">
        <v>0.66184399999999999</v>
      </c>
      <c r="S47">
        <v>0.67213800000000001</v>
      </c>
      <c r="T47">
        <v>0.68138299999999996</v>
      </c>
      <c r="U47">
        <v>0.69088300000000002</v>
      </c>
      <c r="V47">
        <v>0.70035700000000001</v>
      </c>
      <c r="W47">
        <v>0.71024100000000001</v>
      </c>
      <c r="X47">
        <v>0.71983299999999995</v>
      </c>
      <c r="Y47">
        <v>0.72995399999999999</v>
      </c>
      <c r="Z47">
        <v>0.74012500000000003</v>
      </c>
      <c r="AA47">
        <v>0.75024000000000002</v>
      </c>
      <c r="AB47">
        <v>0.76030399999999998</v>
      </c>
      <c r="AC47">
        <v>0.77049999999999996</v>
      </c>
      <c r="AD47">
        <v>0.780941</v>
      </c>
      <c r="AE47">
        <v>0.791686</v>
      </c>
      <c r="AF47">
        <v>0.80258300000000005</v>
      </c>
      <c r="AG47" s="21">
        <v>1.2E-2</v>
      </c>
    </row>
    <row r="48" spans="1:33" x14ac:dyDescent="0.35">
      <c r="A48" t="s">
        <v>113</v>
      </c>
      <c r="B48" t="s">
        <v>183</v>
      </c>
      <c r="C48" t="s">
        <v>184</v>
      </c>
      <c r="D48" t="s">
        <v>109</v>
      </c>
      <c r="F48">
        <v>0.34818900000000003</v>
      </c>
      <c r="G48">
        <v>0.36050700000000002</v>
      </c>
      <c r="H48">
        <v>0.36841400000000002</v>
      </c>
      <c r="I48">
        <v>0.37332700000000002</v>
      </c>
      <c r="J48">
        <v>0.37677899999999998</v>
      </c>
      <c r="K48">
        <v>0.37925500000000001</v>
      </c>
      <c r="L48">
        <v>0.38093900000000003</v>
      </c>
      <c r="M48">
        <v>0.38262499999999999</v>
      </c>
      <c r="N48">
        <v>0.383577</v>
      </c>
      <c r="O48">
        <v>0.38426700000000003</v>
      </c>
      <c r="P48">
        <v>0.38548399999999999</v>
      </c>
      <c r="Q48">
        <v>0.387687</v>
      </c>
      <c r="R48">
        <v>0.39089400000000002</v>
      </c>
      <c r="S48">
        <v>0.39461200000000002</v>
      </c>
      <c r="T48">
        <v>0.39835199999999998</v>
      </c>
      <c r="U48">
        <v>0.40230300000000002</v>
      </c>
      <c r="V48">
        <v>0.40595300000000001</v>
      </c>
      <c r="W48">
        <v>0.409165</v>
      </c>
      <c r="X48">
        <v>0.41206500000000001</v>
      </c>
      <c r="Y48">
        <v>0.41482200000000002</v>
      </c>
      <c r="Z48">
        <v>0.41779100000000002</v>
      </c>
      <c r="AA48">
        <v>0.42080200000000001</v>
      </c>
      <c r="AB48">
        <v>0.42357</v>
      </c>
      <c r="AC48">
        <v>0.426566</v>
      </c>
      <c r="AD48">
        <v>0.42974800000000002</v>
      </c>
      <c r="AE48">
        <v>0.43279200000000001</v>
      </c>
      <c r="AF48">
        <v>0.43569799999999997</v>
      </c>
      <c r="AG48" s="21">
        <v>8.9999999999999993E-3</v>
      </c>
    </row>
    <row r="49" spans="1:33" x14ac:dyDescent="0.35">
      <c r="A49" t="s">
        <v>116</v>
      </c>
      <c r="B49" t="s">
        <v>185</v>
      </c>
      <c r="C49" t="s">
        <v>186</v>
      </c>
      <c r="D49" t="s">
        <v>109</v>
      </c>
      <c r="F49">
        <v>0.74466100000000002</v>
      </c>
      <c r="G49">
        <v>0.75660300000000003</v>
      </c>
      <c r="H49">
        <v>0.77322599999999997</v>
      </c>
      <c r="I49">
        <v>0.794686</v>
      </c>
      <c r="J49">
        <v>0.81265399999999999</v>
      </c>
      <c r="K49">
        <v>0.82538800000000001</v>
      </c>
      <c r="L49">
        <v>0.83255599999999996</v>
      </c>
      <c r="M49">
        <v>0.83918999999999999</v>
      </c>
      <c r="N49">
        <v>0.84623800000000005</v>
      </c>
      <c r="O49">
        <v>0.85270299999999999</v>
      </c>
      <c r="P49">
        <v>0.86054200000000003</v>
      </c>
      <c r="Q49">
        <v>0.87058199999999997</v>
      </c>
      <c r="R49">
        <v>0.88244599999999995</v>
      </c>
      <c r="S49">
        <v>0.89490700000000001</v>
      </c>
      <c r="T49">
        <v>0.90612800000000004</v>
      </c>
      <c r="U49">
        <v>0.91749000000000003</v>
      </c>
      <c r="V49">
        <v>0.92891400000000002</v>
      </c>
      <c r="W49">
        <v>0.94040800000000002</v>
      </c>
      <c r="X49">
        <v>0.95150500000000005</v>
      </c>
      <c r="Y49">
        <v>0.96264499999999997</v>
      </c>
      <c r="Z49">
        <v>0.97362300000000002</v>
      </c>
      <c r="AA49">
        <v>0.98445099999999996</v>
      </c>
      <c r="AB49">
        <v>0.99525200000000003</v>
      </c>
      <c r="AC49">
        <v>1.006035</v>
      </c>
      <c r="AD49">
        <v>1.016947</v>
      </c>
      <c r="AE49">
        <v>1.0281290000000001</v>
      </c>
      <c r="AF49">
        <v>1.0394589999999999</v>
      </c>
      <c r="AG49" s="21">
        <v>1.2999999999999999E-2</v>
      </c>
    </row>
    <row r="50" spans="1:33" x14ac:dyDescent="0.35">
      <c r="A50" t="s">
        <v>119</v>
      </c>
      <c r="B50" t="s">
        <v>187</v>
      </c>
      <c r="C50" t="s">
        <v>188</v>
      </c>
      <c r="D50" t="s">
        <v>109</v>
      </c>
      <c r="F50">
        <v>0.48524699999999998</v>
      </c>
      <c r="G50">
        <v>0.502799</v>
      </c>
      <c r="H50">
        <v>0.51281900000000002</v>
      </c>
      <c r="I50">
        <v>0.52001600000000003</v>
      </c>
      <c r="J50">
        <v>0.52500199999999997</v>
      </c>
      <c r="K50">
        <v>0.52862900000000002</v>
      </c>
      <c r="L50">
        <v>0.53113999999999995</v>
      </c>
      <c r="M50">
        <v>0.53394699999999995</v>
      </c>
      <c r="N50">
        <v>0.53579200000000005</v>
      </c>
      <c r="O50">
        <v>0.53736099999999998</v>
      </c>
      <c r="P50">
        <v>0.53960799999999998</v>
      </c>
      <c r="Q50">
        <v>0.54316299999999995</v>
      </c>
      <c r="R50">
        <v>0.54804600000000003</v>
      </c>
      <c r="S50">
        <v>0.55357900000000004</v>
      </c>
      <c r="T50">
        <v>0.55909799999999998</v>
      </c>
      <c r="U50">
        <v>0.56484699999999999</v>
      </c>
      <c r="V50">
        <v>0.57009500000000002</v>
      </c>
      <c r="W50">
        <v>0.57483200000000001</v>
      </c>
      <c r="X50">
        <v>0.57910399999999995</v>
      </c>
      <c r="Y50">
        <v>0.58315700000000004</v>
      </c>
      <c r="Z50">
        <v>0.58746200000000004</v>
      </c>
      <c r="AA50">
        <v>0.591781</v>
      </c>
      <c r="AB50">
        <v>0.59573600000000004</v>
      </c>
      <c r="AC50">
        <v>0.59997699999999998</v>
      </c>
      <c r="AD50">
        <v>0.60444699999999996</v>
      </c>
      <c r="AE50">
        <v>0.60868900000000004</v>
      </c>
      <c r="AF50">
        <v>0.61272000000000004</v>
      </c>
      <c r="AG50" s="21">
        <v>8.9999999999999993E-3</v>
      </c>
    </row>
    <row r="51" spans="1:33" x14ac:dyDescent="0.35">
      <c r="A51" t="s">
        <v>122</v>
      </c>
      <c r="B51" t="s">
        <v>189</v>
      </c>
      <c r="C51" t="s">
        <v>190</v>
      </c>
      <c r="D51" t="s">
        <v>109</v>
      </c>
      <c r="F51">
        <v>0.57562899999999995</v>
      </c>
      <c r="G51">
        <v>0.56407300000000005</v>
      </c>
      <c r="H51">
        <v>0.561419</v>
      </c>
      <c r="I51">
        <v>0.564836</v>
      </c>
      <c r="J51">
        <v>0.56773899999999999</v>
      </c>
      <c r="K51">
        <v>0.56803800000000004</v>
      </c>
      <c r="L51">
        <v>0.55779599999999996</v>
      </c>
      <c r="M51">
        <v>0.54866800000000004</v>
      </c>
      <c r="N51">
        <v>0.54072299999999995</v>
      </c>
      <c r="O51">
        <v>0.53283599999999998</v>
      </c>
      <c r="P51">
        <v>0.525787</v>
      </c>
      <c r="Q51">
        <v>0.52025200000000005</v>
      </c>
      <c r="R51">
        <v>0.51639699999999999</v>
      </c>
      <c r="S51">
        <v>0.513764</v>
      </c>
      <c r="T51">
        <v>0.51109800000000005</v>
      </c>
      <c r="U51">
        <v>0.50913900000000001</v>
      </c>
      <c r="V51">
        <v>0.50622100000000003</v>
      </c>
      <c r="W51">
        <v>0.50424800000000003</v>
      </c>
      <c r="X51">
        <v>0.50266299999999997</v>
      </c>
      <c r="Y51">
        <v>0.501633</v>
      </c>
      <c r="Z51">
        <v>0.50087099999999996</v>
      </c>
      <c r="AA51">
        <v>0.50036999999999998</v>
      </c>
      <c r="AB51">
        <v>0.50009899999999996</v>
      </c>
      <c r="AC51">
        <v>0.49930799999999997</v>
      </c>
      <c r="AD51">
        <v>0.49875599999999998</v>
      </c>
      <c r="AE51">
        <v>0.49849900000000003</v>
      </c>
      <c r="AF51">
        <v>0.498199</v>
      </c>
      <c r="AG51" s="21">
        <v>-6.0000000000000001E-3</v>
      </c>
    </row>
    <row r="52" spans="1:33" x14ac:dyDescent="0.35">
      <c r="A52" t="s">
        <v>125</v>
      </c>
      <c r="B52" t="s">
        <v>191</v>
      </c>
      <c r="C52" t="s">
        <v>192</v>
      </c>
      <c r="D52" t="s">
        <v>109</v>
      </c>
      <c r="F52">
        <v>0.367309</v>
      </c>
      <c r="G52">
        <v>0.36862400000000001</v>
      </c>
      <c r="H52">
        <v>0.37076599999999998</v>
      </c>
      <c r="I52">
        <v>0.374365</v>
      </c>
      <c r="J52">
        <v>0.37762099999999998</v>
      </c>
      <c r="K52">
        <v>0.38000099999999998</v>
      </c>
      <c r="L52">
        <v>0.380716</v>
      </c>
      <c r="M52">
        <v>0.38166699999999998</v>
      </c>
      <c r="N52">
        <v>0.38290400000000002</v>
      </c>
      <c r="O52">
        <v>0.38422499999999998</v>
      </c>
      <c r="P52">
        <v>0.38594099999999998</v>
      </c>
      <c r="Q52">
        <v>0.38813999999999999</v>
      </c>
      <c r="R52">
        <v>0.39068999999999998</v>
      </c>
      <c r="S52">
        <v>0.39332699999999998</v>
      </c>
      <c r="T52">
        <v>0.39572299999999999</v>
      </c>
      <c r="U52">
        <v>0.39809899999999998</v>
      </c>
      <c r="V52">
        <v>0.40043800000000002</v>
      </c>
      <c r="W52">
        <v>0.40304499999999999</v>
      </c>
      <c r="X52">
        <v>0.40557700000000002</v>
      </c>
      <c r="Y52">
        <v>0.40810299999999999</v>
      </c>
      <c r="Z52">
        <v>0.41056599999999999</v>
      </c>
      <c r="AA52">
        <v>0.41296699999999997</v>
      </c>
      <c r="AB52">
        <v>0.41533300000000001</v>
      </c>
      <c r="AC52">
        <v>0.417661</v>
      </c>
      <c r="AD52">
        <v>0.41996899999999998</v>
      </c>
      <c r="AE52">
        <v>0.42227500000000001</v>
      </c>
      <c r="AF52">
        <v>0.42455399999999999</v>
      </c>
      <c r="AG52" s="21">
        <v>6.0000000000000001E-3</v>
      </c>
    </row>
    <row r="53" spans="1:33" x14ac:dyDescent="0.35">
      <c r="A53" t="s">
        <v>28</v>
      </c>
      <c r="B53" t="s">
        <v>193</v>
      </c>
      <c r="C53" t="s">
        <v>194</v>
      </c>
      <c r="D53" t="s">
        <v>109</v>
      </c>
      <c r="F53">
        <v>0.341028</v>
      </c>
      <c r="G53">
        <v>0.35735299999999998</v>
      </c>
      <c r="H53">
        <v>0.37537300000000001</v>
      </c>
      <c r="I53">
        <v>0.394874</v>
      </c>
      <c r="J53">
        <v>0.41530699999999998</v>
      </c>
      <c r="K53">
        <v>0.43539699999999998</v>
      </c>
      <c r="L53">
        <v>0.45558999999999999</v>
      </c>
      <c r="M53">
        <v>0.47651500000000002</v>
      </c>
      <c r="N53">
        <v>0.49855899999999997</v>
      </c>
      <c r="O53">
        <v>0.52174200000000004</v>
      </c>
      <c r="P53">
        <v>0.54635599999999995</v>
      </c>
      <c r="Q53">
        <v>0.57254700000000003</v>
      </c>
      <c r="R53">
        <v>0.60029699999999997</v>
      </c>
      <c r="S53">
        <v>0.63007800000000003</v>
      </c>
      <c r="T53">
        <v>0.66060300000000005</v>
      </c>
      <c r="U53">
        <v>0.69272100000000003</v>
      </c>
      <c r="V53">
        <v>0.72653599999999996</v>
      </c>
      <c r="W53">
        <v>0.76207000000000003</v>
      </c>
      <c r="X53">
        <v>0.79877200000000004</v>
      </c>
      <c r="Y53">
        <v>0.83676200000000001</v>
      </c>
      <c r="Z53">
        <v>0.87679600000000002</v>
      </c>
      <c r="AA53">
        <v>0.91822599999999999</v>
      </c>
      <c r="AB53">
        <v>0.96115600000000001</v>
      </c>
      <c r="AC53">
        <v>1.0064660000000001</v>
      </c>
      <c r="AD53">
        <v>1.0534829999999999</v>
      </c>
      <c r="AE53">
        <v>1.1014429999999999</v>
      </c>
      <c r="AF53">
        <v>1.1521049999999999</v>
      </c>
      <c r="AG53" s="21">
        <v>4.8000000000000001E-2</v>
      </c>
    </row>
    <row r="54" spans="1:33" x14ac:dyDescent="0.35">
      <c r="A54" t="s">
        <v>130</v>
      </c>
      <c r="B54" t="s">
        <v>195</v>
      </c>
      <c r="C54" t="s">
        <v>196</v>
      </c>
      <c r="D54" t="s">
        <v>109</v>
      </c>
      <c r="F54">
        <v>4.3232E-2</v>
      </c>
      <c r="G54">
        <v>4.3304000000000002E-2</v>
      </c>
      <c r="H54">
        <v>4.3521999999999998E-2</v>
      </c>
      <c r="I54">
        <v>4.3887000000000002E-2</v>
      </c>
      <c r="J54">
        <v>4.4332000000000003E-2</v>
      </c>
      <c r="K54">
        <v>4.4706999999999997E-2</v>
      </c>
      <c r="L54">
        <v>4.5025999999999997E-2</v>
      </c>
      <c r="M54">
        <v>4.5362E-2</v>
      </c>
      <c r="N54">
        <v>4.5696000000000001E-2</v>
      </c>
      <c r="O54">
        <v>4.6077E-2</v>
      </c>
      <c r="P54">
        <v>4.6523000000000002E-2</v>
      </c>
      <c r="Q54">
        <v>4.6986E-2</v>
      </c>
      <c r="R54">
        <v>4.7454999999999997E-2</v>
      </c>
      <c r="S54">
        <v>4.7914999999999999E-2</v>
      </c>
      <c r="T54">
        <v>4.8287999999999998E-2</v>
      </c>
      <c r="U54">
        <v>4.8647000000000003E-2</v>
      </c>
      <c r="V54">
        <v>4.8932999999999997E-2</v>
      </c>
      <c r="W54">
        <v>4.9079999999999999E-2</v>
      </c>
      <c r="X54">
        <v>4.9147000000000003E-2</v>
      </c>
      <c r="Y54">
        <v>4.9140000000000003E-2</v>
      </c>
      <c r="Z54">
        <v>4.8991E-2</v>
      </c>
      <c r="AA54">
        <v>4.8633999999999997E-2</v>
      </c>
      <c r="AB54">
        <v>4.8195000000000002E-2</v>
      </c>
      <c r="AC54">
        <v>4.7543000000000002E-2</v>
      </c>
      <c r="AD54">
        <v>4.6675000000000001E-2</v>
      </c>
      <c r="AE54">
        <v>4.5652999999999999E-2</v>
      </c>
      <c r="AF54">
        <v>4.4405E-2</v>
      </c>
      <c r="AG54" s="21">
        <v>1E-3</v>
      </c>
    </row>
    <row r="55" spans="1:33" x14ac:dyDescent="0.35">
      <c r="A55" t="s">
        <v>133</v>
      </c>
      <c r="B55" t="s">
        <v>197</v>
      </c>
      <c r="C55" t="s">
        <v>198</v>
      </c>
      <c r="D55" t="s">
        <v>109</v>
      </c>
      <c r="F55">
        <v>4.1478830000000002</v>
      </c>
      <c r="G55">
        <v>4.2315250000000004</v>
      </c>
      <c r="H55">
        <v>4.1795229999999997</v>
      </c>
      <c r="I55">
        <v>4.1730970000000003</v>
      </c>
      <c r="J55">
        <v>4.1604359999999998</v>
      </c>
      <c r="K55">
        <v>4.2093400000000001</v>
      </c>
      <c r="L55">
        <v>4.2539350000000002</v>
      </c>
      <c r="M55">
        <v>4.2968640000000002</v>
      </c>
      <c r="N55">
        <v>4.3373670000000004</v>
      </c>
      <c r="O55">
        <v>4.3765580000000002</v>
      </c>
      <c r="P55">
        <v>4.4187539999999998</v>
      </c>
      <c r="Q55">
        <v>4.4651129999999997</v>
      </c>
      <c r="R55">
        <v>4.5160520000000002</v>
      </c>
      <c r="S55">
        <v>4.5687309999999997</v>
      </c>
      <c r="T55">
        <v>4.6216080000000002</v>
      </c>
      <c r="U55">
        <v>4.6764830000000002</v>
      </c>
      <c r="V55">
        <v>4.7309089999999996</v>
      </c>
      <c r="W55">
        <v>4.7834399999999997</v>
      </c>
      <c r="X55">
        <v>4.8358049999999997</v>
      </c>
      <c r="Y55">
        <v>4.8884109999999996</v>
      </c>
      <c r="Z55">
        <v>4.9422980000000001</v>
      </c>
      <c r="AA55">
        <v>4.9980719999999996</v>
      </c>
      <c r="AB55">
        <v>5.053363</v>
      </c>
      <c r="AC55">
        <v>5.111002</v>
      </c>
      <c r="AD55">
        <v>5.1708720000000001</v>
      </c>
      <c r="AE55">
        <v>5.2310410000000003</v>
      </c>
      <c r="AF55">
        <v>5.2916309999999998</v>
      </c>
      <c r="AG55" s="21">
        <v>8.9999999999999993E-3</v>
      </c>
    </row>
    <row r="56" spans="1:33" x14ac:dyDescent="0.35">
      <c r="A56" t="s">
        <v>97</v>
      </c>
      <c r="B56" t="s">
        <v>199</v>
      </c>
      <c r="C56" t="s">
        <v>200</v>
      </c>
      <c r="D56" t="s">
        <v>109</v>
      </c>
      <c r="F56">
        <v>9.4375850000000003</v>
      </c>
      <c r="G56">
        <v>9.7274449999999995</v>
      </c>
      <c r="H56">
        <v>9.7589620000000004</v>
      </c>
      <c r="I56">
        <v>9.8321860000000001</v>
      </c>
      <c r="J56">
        <v>9.8799880000000009</v>
      </c>
      <c r="K56">
        <v>9.9676779999999994</v>
      </c>
      <c r="L56">
        <v>10.024602</v>
      </c>
      <c r="M56">
        <v>10.083485</v>
      </c>
      <c r="N56">
        <v>10.137772999999999</v>
      </c>
      <c r="O56">
        <v>10.187730999999999</v>
      </c>
      <c r="P56">
        <v>10.249536000000001</v>
      </c>
      <c r="Q56">
        <v>10.331735</v>
      </c>
      <c r="R56">
        <v>10.432976999999999</v>
      </c>
      <c r="S56">
        <v>10.544086999999999</v>
      </c>
      <c r="T56">
        <v>10.653760999999999</v>
      </c>
      <c r="U56">
        <v>10.769613</v>
      </c>
      <c r="V56">
        <v>10.883364</v>
      </c>
      <c r="W56">
        <v>10.995106</v>
      </c>
      <c r="X56">
        <v>11.105165</v>
      </c>
      <c r="Y56">
        <v>11.216685999999999</v>
      </c>
      <c r="Z56">
        <v>11.332974999999999</v>
      </c>
      <c r="AA56">
        <v>11.452800999999999</v>
      </c>
      <c r="AB56">
        <v>11.571949999999999</v>
      </c>
      <c r="AC56">
        <v>11.696728999999999</v>
      </c>
      <c r="AD56">
        <v>11.827118</v>
      </c>
      <c r="AE56">
        <v>11.958854000000001</v>
      </c>
      <c r="AF56">
        <v>12.092809000000001</v>
      </c>
      <c r="AG56" s="21">
        <v>0.01</v>
      </c>
    </row>
    <row r="57" spans="1:33" x14ac:dyDescent="0.35">
      <c r="A57" t="s">
        <v>139</v>
      </c>
      <c r="B57" t="s">
        <v>201</v>
      </c>
      <c r="C57" t="s">
        <v>202</v>
      </c>
      <c r="D57" t="s">
        <v>109</v>
      </c>
      <c r="F57">
        <v>1.8762000000000001E-2</v>
      </c>
      <c r="G57">
        <v>2.8121E-2</v>
      </c>
      <c r="H57">
        <v>4.2235000000000002E-2</v>
      </c>
      <c r="I57">
        <v>6.1641000000000001E-2</v>
      </c>
      <c r="J57">
        <v>8.6249999999999993E-2</v>
      </c>
      <c r="K57">
        <v>0.117048</v>
      </c>
      <c r="L57">
        <v>0.15936900000000001</v>
      </c>
      <c r="M57">
        <v>0.21291599999999999</v>
      </c>
      <c r="N57">
        <v>0.28401900000000002</v>
      </c>
      <c r="O57">
        <v>0.35977700000000001</v>
      </c>
      <c r="P57">
        <v>0.43437399999999998</v>
      </c>
      <c r="Q57">
        <v>0.50603100000000001</v>
      </c>
      <c r="R57">
        <v>0.57409600000000005</v>
      </c>
      <c r="S57">
        <v>0.638567</v>
      </c>
      <c r="T57">
        <v>0.69851600000000003</v>
      </c>
      <c r="U57">
        <v>0.75433700000000004</v>
      </c>
      <c r="V57">
        <v>0.80611299999999997</v>
      </c>
      <c r="W57">
        <v>0.85333000000000003</v>
      </c>
      <c r="X57">
        <v>0.89590400000000003</v>
      </c>
      <c r="Y57">
        <v>0.93331299999999995</v>
      </c>
      <c r="Z57">
        <v>0.96634600000000004</v>
      </c>
      <c r="AA57">
        <v>0.99562600000000001</v>
      </c>
      <c r="AB57">
        <v>1.0219309999999999</v>
      </c>
      <c r="AC57">
        <v>1.045841</v>
      </c>
      <c r="AD57">
        <v>1.066279</v>
      </c>
      <c r="AE57">
        <v>1.084419</v>
      </c>
      <c r="AF57">
        <v>1.1006229999999999</v>
      </c>
      <c r="AG57" s="21">
        <v>0.17</v>
      </c>
    </row>
    <row r="58" spans="1:33" x14ac:dyDescent="0.35">
      <c r="A58" t="s">
        <v>142</v>
      </c>
      <c r="B58" t="s">
        <v>203</v>
      </c>
      <c r="C58" t="s">
        <v>204</v>
      </c>
      <c r="D58" t="s">
        <v>109</v>
      </c>
      <c r="F58">
        <v>0.14174300000000001</v>
      </c>
      <c r="G58">
        <v>0.158667</v>
      </c>
      <c r="H58">
        <v>0.17515800000000001</v>
      </c>
      <c r="I58">
        <v>0.182169</v>
      </c>
      <c r="J58">
        <v>0.188994</v>
      </c>
      <c r="K58">
        <v>0.19889100000000001</v>
      </c>
      <c r="L58">
        <v>0.21062400000000001</v>
      </c>
      <c r="M58">
        <v>0.225521</v>
      </c>
      <c r="N58">
        <v>0.23910000000000001</v>
      </c>
      <c r="O58">
        <v>0.25521300000000002</v>
      </c>
      <c r="P58">
        <v>0.26584400000000002</v>
      </c>
      <c r="Q58">
        <v>0.27219700000000002</v>
      </c>
      <c r="R58">
        <v>0.27763900000000002</v>
      </c>
      <c r="S58">
        <v>0.28352500000000003</v>
      </c>
      <c r="T58">
        <v>0.292406</v>
      </c>
      <c r="U58">
        <v>0.29744199999999998</v>
      </c>
      <c r="V58">
        <v>0.30313400000000001</v>
      </c>
      <c r="W58">
        <v>0.31151000000000001</v>
      </c>
      <c r="X58">
        <v>0.31969399999999998</v>
      </c>
      <c r="Y58">
        <v>0.32866200000000001</v>
      </c>
      <c r="Z58">
        <v>0.33769300000000002</v>
      </c>
      <c r="AA58">
        <v>0.347028</v>
      </c>
      <c r="AB58">
        <v>0.35549700000000001</v>
      </c>
      <c r="AC58">
        <v>0.36535400000000001</v>
      </c>
      <c r="AD58">
        <v>0.37554300000000002</v>
      </c>
      <c r="AE58">
        <v>0.385409</v>
      </c>
      <c r="AF58">
        <v>0.396175</v>
      </c>
      <c r="AG58" s="21">
        <v>0.04</v>
      </c>
    </row>
    <row r="59" spans="1:33" x14ac:dyDescent="0.35">
      <c r="A59" t="s">
        <v>160</v>
      </c>
      <c r="B59" t="s">
        <v>205</v>
      </c>
      <c r="C59" t="s">
        <v>200</v>
      </c>
      <c r="D59" t="s">
        <v>109</v>
      </c>
      <c r="F59">
        <v>9.3146039999999992</v>
      </c>
      <c r="G59">
        <v>9.5968990000000005</v>
      </c>
      <c r="H59">
        <v>9.6260390000000005</v>
      </c>
      <c r="I59">
        <v>9.7116579999999999</v>
      </c>
      <c r="J59">
        <v>9.7772439999999996</v>
      </c>
      <c r="K59">
        <v>9.8858359999999994</v>
      </c>
      <c r="L59">
        <v>9.9733470000000004</v>
      </c>
      <c r="M59">
        <v>10.070879</v>
      </c>
      <c r="N59">
        <v>10.182691999999999</v>
      </c>
      <c r="O59">
        <v>10.292294999999999</v>
      </c>
      <c r="P59">
        <v>10.418066</v>
      </c>
      <c r="Q59">
        <v>10.565568000000001</v>
      </c>
      <c r="R59">
        <v>10.729433</v>
      </c>
      <c r="S59">
        <v>10.89913</v>
      </c>
      <c r="T59">
        <v>11.059872</v>
      </c>
      <c r="U59">
        <v>11.226509</v>
      </c>
      <c r="V59">
        <v>11.386343</v>
      </c>
      <c r="W59">
        <v>11.536925999999999</v>
      </c>
      <c r="X59">
        <v>11.681376</v>
      </c>
      <c r="Y59">
        <v>11.821337</v>
      </c>
      <c r="Z59">
        <v>11.961627999999999</v>
      </c>
      <c r="AA59">
        <v>12.101398</v>
      </c>
      <c r="AB59">
        <v>12.238384</v>
      </c>
      <c r="AC59">
        <v>12.377216000000001</v>
      </c>
      <c r="AD59">
        <v>12.517853000000001</v>
      </c>
      <c r="AE59">
        <v>12.657863000000001</v>
      </c>
      <c r="AF59">
        <v>12.797256000000001</v>
      </c>
      <c r="AG59" s="21">
        <v>1.2E-2</v>
      </c>
    </row>
    <row r="60" spans="1:33" x14ac:dyDescent="0.35">
      <c r="A60" t="s">
        <v>206</v>
      </c>
      <c r="B60" t="s">
        <v>207</v>
      </c>
      <c r="C60" t="s">
        <v>208</v>
      </c>
      <c r="D60" t="s">
        <v>109</v>
      </c>
      <c r="F60">
        <v>6.7771059999999999</v>
      </c>
      <c r="G60">
        <v>6.6841359999999996</v>
      </c>
      <c r="H60">
        <v>6.2533690000000002</v>
      </c>
      <c r="I60">
        <v>6.093877</v>
      </c>
      <c r="J60">
        <v>6.0307320000000004</v>
      </c>
      <c r="K60">
        <v>6.0409759999999997</v>
      </c>
      <c r="L60">
        <v>5.8926069999999999</v>
      </c>
      <c r="M60">
        <v>5.8044320000000003</v>
      </c>
      <c r="N60">
        <v>5.5464029999999998</v>
      </c>
      <c r="O60">
        <v>5.4811990000000002</v>
      </c>
      <c r="P60">
        <v>5.4054169999999999</v>
      </c>
      <c r="Q60">
        <v>5.296977</v>
      </c>
      <c r="R60">
        <v>5.2012809999999998</v>
      </c>
      <c r="S60">
        <v>5.0534780000000001</v>
      </c>
      <c r="T60">
        <v>5.0054790000000002</v>
      </c>
      <c r="U60">
        <v>4.8131259999999996</v>
      </c>
      <c r="V60">
        <v>4.8293749999999998</v>
      </c>
      <c r="W60">
        <v>4.9184970000000003</v>
      </c>
      <c r="X60">
        <v>5.0054449999999999</v>
      </c>
      <c r="Y60">
        <v>5.0652609999999996</v>
      </c>
      <c r="Z60">
        <v>5.1314450000000003</v>
      </c>
      <c r="AA60">
        <v>5.1645560000000001</v>
      </c>
      <c r="AB60">
        <v>5.1953170000000002</v>
      </c>
      <c r="AC60">
        <v>5.2421540000000002</v>
      </c>
      <c r="AD60">
        <v>5.3024420000000001</v>
      </c>
      <c r="AE60">
        <v>5.3730289999999998</v>
      </c>
      <c r="AF60">
        <v>5.4022839999999999</v>
      </c>
      <c r="AG60" s="21">
        <v>-8.9999999999999993E-3</v>
      </c>
    </row>
    <row r="61" spans="1:33" x14ac:dyDescent="0.35">
      <c r="A61" t="s">
        <v>209</v>
      </c>
    </row>
    <row r="62" spans="1:33" x14ac:dyDescent="0.35">
      <c r="A62" t="s">
        <v>106</v>
      </c>
      <c r="B62" t="s">
        <v>210</v>
      </c>
      <c r="C62" t="s">
        <v>211</v>
      </c>
      <c r="D62" t="s">
        <v>109</v>
      </c>
      <c r="F62">
        <v>2.050678</v>
      </c>
      <c r="G62">
        <v>2.2337039999999999</v>
      </c>
      <c r="H62">
        <v>2.2366100000000002</v>
      </c>
      <c r="I62">
        <v>2.2328190000000001</v>
      </c>
      <c r="J62">
        <v>2.2226300000000001</v>
      </c>
      <c r="K62">
        <v>2.2061470000000001</v>
      </c>
      <c r="L62">
        <v>2.1797270000000002</v>
      </c>
      <c r="M62">
        <v>2.1572840000000002</v>
      </c>
      <c r="N62">
        <v>2.1245569999999998</v>
      </c>
      <c r="O62">
        <v>2.0956999999999999</v>
      </c>
      <c r="P62">
        <v>2.0694059999999999</v>
      </c>
      <c r="Q62">
        <v>2.0495779999999999</v>
      </c>
      <c r="R62">
        <v>2.0355889999999999</v>
      </c>
      <c r="S62">
        <v>2.0229010000000001</v>
      </c>
      <c r="T62">
        <v>2.0136370000000001</v>
      </c>
      <c r="U62">
        <v>2.001738</v>
      </c>
      <c r="V62">
        <v>1.9944</v>
      </c>
      <c r="W62">
        <v>1.986596</v>
      </c>
      <c r="X62">
        <v>1.977257</v>
      </c>
      <c r="Y62">
        <v>1.9665029999999999</v>
      </c>
      <c r="Z62">
        <v>1.956925</v>
      </c>
      <c r="AA62">
        <v>1.9470160000000001</v>
      </c>
      <c r="AB62">
        <v>1.935972</v>
      </c>
      <c r="AC62">
        <v>1.926361</v>
      </c>
      <c r="AD62">
        <v>1.917953</v>
      </c>
      <c r="AE62">
        <v>1.909583</v>
      </c>
      <c r="AF62">
        <v>1.8998139999999999</v>
      </c>
      <c r="AG62" s="21">
        <v>-3.0000000000000001E-3</v>
      </c>
    </row>
    <row r="63" spans="1:33" x14ac:dyDescent="0.35">
      <c r="A63" t="s">
        <v>151</v>
      </c>
      <c r="B63" t="s">
        <v>212</v>
      </c>
      <c r="C63" t="s">
        <v>213</v>
      </c>
      <c r="D63" t="s">
        <v>109</v>
      </c>
      <c r="F63">
        <v>1.381821</v>
      </c>
      <c r="G63">
        <v>1.314333</v>
      </c>
      <c r="H63">
        <v>1.294033</v>
      </c>
      <c r="I63">
        <v>1.297857</v>
      </c>
      <c r="J63">
        <v>1.306872</v>
      </c>
      <c r="K63">
        <v>1.3098339999999999</v>
      </c>
      <c r="L63">
        <v>1.2915350000000001</v>
      </c>
      <c r="M63">
        <v>1.2785530000000001</v>
      </c>
      <c r="N63">
        <v>1.2458849999999999</v>
      </c>
      <c r="O63">
        <v>1.2334080000000001</v>
      </c>
      <c r="P63">
        <v>1.222264</v>
      </c>
      <c r="Q63">
        <v>1.211373</v>
      </c>
      <c r="R63">
        <v>1.2052050000000001</v>
      </c>
      <c r="S63">
        <v>1.1950970000000001</v>
      </c>
      <c r="T63">
        <v>1.1944140000000001</v>
      </c>
      <c r="U63">
        <v>1.1799379999999999</v>
      </c>
      <c r="V63">
        <v>1.187171</v>
      </c>
      <c r="W63">
        <v>1.2025870000000001</v>
      </c>
      <c r="X63">
        <v>1.21759</v>
      </c>
      <c r="Y63">
        <v>1.230971</v>
      </c>
      <c r="Z63">
        <v>1.24522</v>
      </c>
      <c r="AA63">
        <v>1.256291</v>
      </c>
      <c r="AB63">
        <v>1.2672000000000001</v>
      </c>
      <c r="AC63">
        <v>1.2799130000000001</v>
      </c>
      <c r="AD63">
        <v>1.2943789999999999</v>
      </c>
      <c r="AE63">
        <v>1.3103670000000001</v>
      </c>
      <c r="AF63">
        <v>1.3225070000000001</v>
      </c>
      <c r="AG63" s="21">
        <v>-2E-3</v>
      </c>
    </row>
    <row r="64" spans="1:33" x14ac:dyDescent="0.35">
      <c r="A64" t="s">
        <v>113</v>
      </c>
      <c r="B64" t="s">
        <v>214</v>
      </c>
      <c r="C64" t="s">
        <v>215</v>
      </c>
      <c r="D64" t="s">
        <v>109</v>
      </c>
      <c r="F64">
        <v>0.45100800000000002</v>
      </c>
      <c r="G64">
        <v>0.459339</v>
      </c>
      <c r="H64">
        <v>0.46116800000000002</v>
      </c>
      <c r="I64">
        <v>0.463057</v>
      </c>
      <c r="J64">
        <v>0.46457599999999999</v>
      </c>
      <c r="K64">
        <v>0.464945</v>
      </c>
      <c r="L64">
        <v>0.46227600000000002</v>
      </c>
      <c r="M64">
        <v>0.46029100000000001</v>
      </c>
      <c r="N64">
        <v>0.45526</v>
      </c>
      <c r="O64">
        <v>0.45255499999999999</v>
      </c>
      <c r="P64">
        <v>0.450461</v>
      </c>
      <c r="Q64">
        <v>0.44922499999999999</v>
      </c>
      <c r="R64">
        <v>0.44938499999999998</v>
      </c>
      <c r="S64">
        <v>0.44966800000000001</v>
      </c>
      <c r="T64">
        <v>0.45118399999999997</v>
      </c>
      <c r="U64">
        <v>0.45154300000000003</v>
      </c>
      <c r="V64">
        <v>0.45387499999999997</v>
      </c>
      <c r="W64">
        <v>0.456513</v>
      </c>
      <c r="X64">
        <v>0.45883200000000002</v>
      </c>
      <c r="Y64">
        <v>0.46078200000000002</v>
      </c>
      <c r="Z64">
        <v>0.46301900000000001</v>
      </c>
      <c r="AA64">
        <v>0.46502700000000002</v>
      </c>
      <c r="AB64">
        <v>0.46679999999999999</v>
      </c>
      <c r="AC64">
        <v>0.46894999999999998</v>
      </c>
      <c r="AD64">
        <v>0.47141300000000003</v>
      </c>
      <c r="AE64">
        <v>0.47383500000000001</v>
      </c>
      <c r="AF64">
        <v>0.47580800000000001</v>
      </c>
      <c r="AG64" s="21">
        <v>2E-3</v>
      </c>
    </row>
    <row r="65" spans="1:33" x14ac:dyDescent="0.35">
      <c r="A65" t="s">
        <v>116</v>
      </c>
      <c r="B65" t="s">
        <v>216</v>
      </c>
      <c r="C65" t="s">
        <v>217</v>
      </c>
      <c r="D65" t="s">
        <v>109</v>
      </c>
      <c r="F65">
        <v>1.7724059999999999</v>
      </c>
      <c r="G65">
        <v>1.76614</v>
      </c>
      <c r="H65">
        <v>1.7400310000000001</v>
      </c>
      <c r="I65">
        <v>1.749339</v>
      </c>
      <c r="J65">
        <v>1.766192</v>
      </c>
      <c r="K65">
        <v>1.7754939999999999</v>
      </c>
      <c r="L65">
        <v>1.750602</v>
      </c>
      <c r="M65">
        <v>1.732674</v>
      </c>
      <c r="N65">
        <v>1.687071</v>
      </c>
      <c r="O65">
        <v>1.6701969999999999</v>
      </c>
      <c r="P65">
        <v>1.6545350000000001</v>
      </c>
      <c r="Q65">
        <v>1.6381749999999999</v>
      </c>
      <c r="R65">
        <v>1.6271979999999999</v>
      </c>
      <c r="S65">
        <v>1.6105259999999999</v>
      </c>
      <c r="T65">
        <v>1.607216</v>
      </c>
      <c r="U65">
        <v>1.5848150000000001</v>
      </c>
      <c r="V65">
        <v>1.592274</v>
      </c>
      <c r="W65">
        <v>1.61005</v>
      </c>
      <c r="X65">
        <v>1.6272450000000001</v>
      </c>
      <c r="Y65">
        <v>1.6411089999999999</v>
      </c>
      <c r="Z65">
        <v>1.6558060000000001</v>
      </c>
      <c r="AA65">
        <v>1.666126</v>
      </c>
      <c r="AB65">
        <v>1.676329</v>
      </c>
      <c r="AC65">
        <v>1.68868</v>
      </c>
      <c r="AD65">
        <v>1.7030909999999999</v>
      </c>
      <c r="AE65">
        <v>1.7193160000000001</v>
      </c>
      <c r="AF65">
        <v>1.730359</v>
      </c>
      <c r="AG65" s="21">
        <v>-1E-3</v>
      </c>
    </row>
    <row r="66" spans="1:33" x14ac:dyDescent="0.35">
      <c r="A66" t="s">
        <v>119</v>
      </c>
      <c r="B66" t="s">
        <v>218</v>
      </c>
      <c r="C66" t="s">
        <v>219</v>
      </c>
      <c r="D66" t="s">
        <v>109</v>
      </c>
      <c r="F66">
        <v>0.60168100000000002</v>
      </c>
      <c r="G66">
        <v>0.61565800000000004</v>
      </c>
      <c r="H66">
        <v>0.61916400000000005</v>
      </c>
      <c r="I66">
        <v>0.62327100000000002</v>
      </c>
      <c r="J66">
        <v>0.62641400000000003</v>
      </c>
      <c r="K66">
        <v>0.62798799999999999</v>
      </c>
      <c r="L66">
        <v>0.62583</v>
      </c>
      <c r="M66">
        <v>0.62478</v>
      </c>
      <c r="N66">
        <v>0.62002599999999997</v>
      </c>
      <c r="O66">
        <v>0.61803600000000003</v>
      </c>
      <c r="P66">
        <v>0.61678100000000002</v>
      </c>
      <c r="Q66">
        <v>0.61662899999999998</v>
      </c>
      <c r="R66">
        <v>0.61822600000000005</v>
      </c>
      <c r="S66">
        <v>0.61995299999999998</v>
      </c>
      <c r="T66">
        <v>0.623085</v>
      </c>
      <c r="U66">
        <v>0.62475800000000004</v>
      </c>
      <c r="V66">
        <v>0.62866100000000003</v>
      </c>
      <c r="W66">
        <v>0.63297400000000004</v>
      </c>
      <c r="X66">
        <v>0.63680199999999998</v>
      </c>
      <c r="Y66">
        <v>0.64012500000000006</v>
      </c>
      <c r="Z66">
        <v>0.64377499999999999</v>
      </c>
      <c r="AA66">
        <v>0.64708500000000002</v>
      </c>
      <c r="AB66">
        <v>0.65002899999999997</v>
      </c>
      <c r="AC66">
        <v>0.65343700000000005</v>
      </c>
      <c r="AD66">
        <v>0.65722700000000001</v>
      </c>
      <c r="AE66">
        <v>0.66090199999999999</v>
      </c>
      <c r="AF66">
        <v>0.66396699999999997</v>
      </c>
      <c r="AG66" s="21">
        <v>4.0000000000000001E-3</v>
      </c>
    </row>
    <row r="67" spans="1:33" x14ac:dyDescent="0.35">
      <c r="A67" t="s">
        <v>122</v>
      </c>
      <c r="B67" t="s">
        <v>220</v>
      </c>
      <c r="C67" t="s">
        <v>221</v>
      </c>
      <c r="D67" t="s">
        <v>109</v>
      </c>
      <c r="F67">
        <v>1.3700859999999999</v>
      </c>
      <c r="G67">
        <v>1.3167169999999999</v>
      </c>
      <c r="H67">
        <v>1.26339</v>
      </c>
      <c r="I67">
        <v>1.243371</v>
      </c>
      <c r="J67">
        <v>1.2339020000000001</v>
      </c>
      <c r="K67">
        <v>1.221908</v>
      </c>
      <c r="L67">
        <v>1.1728670000000001</v>
      </c>
      <c r="M67">
        <v>1.132833</v>
      </c>
      <c r="N67">
        <v>1.0779939999999999</v>
      </c>
      <c r="O67">
        <v>1.0436700000000001</v>
      </c>
      <c r="P67">
        <v>1.010913</v>
      </c>
      <c r="Q67">
        <v>0.97895799999999999</v>
      </c>
      <c r="R67">
        <v>0.95221599999999995</v>
      </c>
      <c r="S67">
        <v>0.92459999999999998</v>
      </c>
      <c r="T67">
        <v>0.90654299999999999</v>
      </c>
      <c r="U67">
        <v>0.87945499999999999</v>
      </c>
      <c r="V67">
        <v>0.86772499999999997</v>
      </c>
      <c r="W67">
        <v>0.86331100000000005</v>
      </c>
      <c r="X67">
        <v>0.85964399999999996</v>
      </c>
      <c r="Y67">
        <v>0.85517900000000002</v>
      </c>
      <c r="Z67">
        <v>0.85181399999999996</v>
      </c>
      <c r="AA67">
        <v>0.84684599999999999</v>
      </c>
      <c r="AB67">
        <v>0.84233000000000002</v>
      </c>
      <c r="AC67">
        <v>0.83811400000000003</v>
      </c>
      <c r="AD67">
        <v>0.83527099999999999</v>
      </c>
      <c r="AE67">
        <v>0.83362899999999995</v>
      </c>
      <c r="AF67">
        <v>0.82933999999999997</v>
      </c>
      <c r="AG67" s="21">
        <v>-1.9E-2</v>
      </c>
    </row>
    <row r="68" spans="1:33" x14ac:dyDescent="0.35">
      <c r="A68" t="s">
        <v>125</v>
      </c>
      <c r="B68" t="s">
        <v>222</v>
      </c>
      <c r="C68" t="s">
        <v>223</v>
      </c>
      <c r="D68" t="s">
        <v>109</v>
      </c>
      <c r="F68">
        <v>0.87425200000000003</v>
      </c>
      <c r="G68">
        <v>0.86048000000000002</v>
      </c>
      <c r="H68">
        <v>0.83435599999999999</v>
      </c>
      <c r="I68">
        <v>0.82408800000000004</v>
      </c>
      <c r="J68">
        <v>0.82070699999999996</v>
      </c>
      <c r="K68">
        <v>0.81742099999999995</v>
      </c>
      <c r="L68">
        <v>0.80052500000000004</v>
      </c>
      <c r="M68">
        <v>0.788026</v>
      </c>
      <c r="N68">
        <v>0.76336199999999999</v>
      </c>
      <c r="O68">
        <v>0.75258599999999998</v>
      </c>
      <c r="P68">
        <v>0.742035</v>
      </c>
      <c r="Q68">
        <v>0.73036400000000001</v>
      </c>
      <c r="R68">
        <v>0.720418</v>
      </c>
      <c r="S68">
        <v>0.70785399999999998</v>
      </c>
      <c r="T68">
        <v>0.701901</v>
      </c>
      <c r="U68">
        <v>0.68765200000000004</v>
      </c>
      <c r="V68">
        <v>0.68640100000000004</v>
      </c>
      <c r="W68">
        <v>0.69004399999999999</v>
      </c>
      <c r="X68">
        <v>0.69360999999999995</v>
      </c>
      <c r="Y68">
        <v>0.69572999999999996</v>
      </c>
      <c r="Z68">
        <v>0.69823500000000005</v>
      </c>
      <c r="AA68">
        <v>0.69892200000000004</v>
      </c>
      <c r="AB68">
        <v>0.69955599999999996</v>
      </c>
      <c r="AC68">
        <v>0.70106500000000005</v>
      </c>
      <c r="AD68">
        <v>0.70332499999999998</v>
      </c>
      <c r="AE68">
        <v>0.70616000000000001</v>
      </c>
      <c r="AF68">
        <v>0.70674300000000001</v>
      </c>
      <c r="AG68" s="21">
        <v>-8.0000000000000002E-3</v>
      </c>
    </row>
    <row r="69" spans="1:33" x14ac:dyDescent="0.35">
      <c r="A69" t="s">
        <v>28</v>
      </c>
      <c r="B69" t="s">
        <v>224</v>
      </c>
      <c r="C69" t="s">
        <v>225</v>
      </c>
      <c r="D69" t="s">
        <v>109</v>
      </c>
      <c r="F69">
        <v>0.81169800000000003</v>
      </c>
      <c r="G69">
        <v>0.834171</v>
      </c>
      <c r="H69">
        <v>0.84472199999999997</v>
      </c>
      <c r="I69">
        <v>0.86923399999999995</v>
      </c>
      <c r="J69">
        <v>0.902613</v>
      </c>
      <c r="K69">
        <v>0.93658399999999997</v>
      </c>
      <c r="L69">
        <v>0.95796199999999998</v>
      </c>
      <c r="M69">
        <v>0.98385900000000004</v>
      </c>
      <c r="N69">
        <v>0.99393299999999996</v>
      </c>
      <c r="O69">
        <v>1.0219400000000001</v>
      </c>
      <c r="P69">
        <v>1.0504599999999999</v>
      </c>
      <c r="Q69">
        <v>1.0773619999999999</v>
      </c>
      <c r="R69">
        <v>1.1069249999999999</v>
      </c>
      <c r="S69">
        <v>1.1339239999999999</v>
      </c>
      <c r="T69">
        <v>1.171724</v>
      </c>
      <c r="U69">
        <v>1.196563</v>
      </c>
      <c r="V69">
        <v>1.245374</v>
      </c>
      <c r="W69">
        <v>1.3047219999999999</v>
      </c>
      <c r="X69">
        <v>1.366045</v>
      </c>
      <c r="Y69">
        <v>1.426504</v>
      </c>
      <c r="Z69">
        <v>1.4911369999999999</v>
      </c>
      <c r="AA69">
        <v>1.554044</v>
      </c>
      <c r="AB69">
        <v>1.6189</v>
      </c>
      <c r="AC69">
        <v>1.6894039999999999</v>
      </c>
      <c r="AD69">
        <v>1.7642770000000001</v>
      </c>
      <c r="AE69">
        <v>1.841917</v>
      </c>
      <c r="AF69">
        <v>1.9178789999999999</v>
      </c>
      <c r="AG69" s="21">
        <v>3.4000000000000002E-2</v>
      </c>
    </row>
    <row r="70" spans="1:33" x14ac:dyDescent="0.35">
      <c r="A70" t="s">
        <v>130</v>
      </c>
      <c r="B70" t="s">
        <v>226</v>
      </c>
      <c r="C70" t="s">
        <v>227</v>
      </c>
      <c r="D70" t="s">
        <v>109</v>
      </c>
      <c r="F70">
        <v>0.10290000000000001</v>
      </c>
      <c r="G70">
        <v>0.10108499999999999</v>
      </c>
      <c r="H70">
        <v>9.7939999999999999E-2</v>
      </c>
      <c r="I70">
        <v>9.6607999999999999E-2</v>
      </c>
      <c r="J70">
        <v>9.6350000000000005E-2</v>
      </c>
      <c r="K70">
        <v>9.6170000000000005E-2</v>
      </c>
      <c r="L70">
        <v>9.4674999999999995E-2</v>
      </c>
      <c r="M70">
        <v>9.3659000000000006E-2</v>
      </c>
      <c r="N70">
        <v>9.1101000000000001E-2</v>
      </c>
      <c r="O70">
        <v>9.0250999999999998E-2</v>
      </c>
      <c r="P70">
        <v>8.9448E-2</v>
      </c>
      <c r="Q70">
        <v>8.8413000000000005E-2</v>
      </c>
      <c r="R70">
        <v>8.7506E-2</v>
      </c>
      <c r="S70">
        <v>8.6231000000000002E-2</v>
      </c>
      <c r="T70">
        <v>8.5649000000000003E-2</v>
      </c>
      <c r="U70">
        <v>8.4029999999999994E-2</v>
      </c>
      <c r="V70">
        <v>8.3877999999999994E-2</v>
      </c>
      <c r="W70">
        <v>8.4028000000000005E-2</v>
      </c>
      <c r="X70">
        <v>8.4051000000000001E-2</v>
      </c>
      <c r="Y70">
        <v>8.3773E-2</v>
      </c>
      <c r="Z70">
        <v>8.3317000000000002E-2</v>
      </c>
      <c r="AA70">
        <v>8.2309999999999994E-2</v>
      </c>
      <c r="AB70">
        <v>8.1174999999999997E-2</v>
      </c>
      <c r="AC70">
        <v>7.9802999999999999E-2</v>
      </c>
      <c r="AD70">
        <v>7.8167E-2</v>
      </c>
      <c r="AE70">
        <v>7.6343999999999995E-2</v>
      </c>
      <c r="AF70">
        <v>7.392E-2</v>
      </c>
      <c r="AG70" s="21">
        <v>-1.2999999999999999E-2</v>
      </c>
    </row>
    <row r="71" spans="1:33" x14ac:dyDescent="0.35">
      <c r="A71" t="s">
        <v>133</v>
      </c>
      <c r="B71" t="s">
        <v>228</v>
      </c>
      <c r="C71" t="s">
        <v>229</v>
      </c>
      <c r="D71" t="s">
        <v>109</v>
      </c>
      <c r="F71">
        <v>6.7714930000000004</v>
      </c>
      <c r="G71">
        <v>6.8711960000000003</v>
      </c>
      <c r="H71">
        <v>6.5661750000000003</v>
      </c>
      <c r="I71">
        <v>6.4495750000000003</v>
      </c>
      <c r="J71">
        <v>6.3653259999999996</v>
      </c>
      <c r="K71">
        <v>6.4119919999999997</v>
      </c>
      <c r="L71">
        <v>6.3980259999999998</v>
      </c>
      <c r="M71">
        <v>6.3990499999999999</v>
      </c>
      <c r="N71">
        <v>6.3294079999999999</v>
      </c>
      <c r="O71">
        <v>6.3283509999999996</v>
      </c>
      <c r="P71">
        <v>6.3271240000000004</v>
      </c>
      <c r="Q71">
        <v>6.3191240000000004</v>
      </c>
      <c r="R71">
        <v>6.3216000000000001</v>
      </c>
      <c r="S71">
        <v>6.3091860000000004</v>
      </c>
      <c r="T71">
        <v>6.3343879999999997</v>
      </c>
      <c r="U71">
        <v>6.3140530000000004</v>
      </c>
      <c r="V71">
        <v>6.3662089999999996</v>
      </c>
      <c r="W71">
        <v>6.44191</v>
      </c>
      <c r="X71">
        <v>6.5181100000000001</v>
      </c>
      <c r="Y71">
        <v>6.5866689999999997</v>
      </c>
      <c r="Z71">
        <v>6.6597580000000001</v>
      </c>
      <c r="AA71">
        <v>6.7247890000000003</v>
      </c>
      <c r="AB71">
        <v>6.7892549999999998</v>
      </c>
      <c r="AC71">
        <v>6.8620359999999998</v>
      </c>
      <c r="AD71">
        <v>6.9425090000000003</v>
      </c>
      <c r="AE71">
        <v>7.0272899999999998</v>
      </c>
      <c r="AF71">
        <v>7.0990479999999998</v>
      </c>
      <c r="AG71" s="21">
        <v>2E-3</v>
      </c>
    </row>
    <row r="72" spans="1:33" x14ac:dyDescent="0.35">
      <c r="A72" t="s">
        <v>230</v>
      </c>
      <c r="B72" t="s">
        <v>231</v>
      </c>
      <c r="C72" t="s">
        <v>232</v>
      </c>
      <c r="D72" t="s">
        <v>109</v>
      </c>
      <c r="F72">
        <v>16.188023000000001</v>
      </c>
      <c r="G72">
        <v>16.372821999999999</v>
      </c>
      <c r="H72">
        <v>15.957589</v>
      </c>
      <c r="I72">
        <v>15.849218</v>
      </c>
      <c r="J72">
        <v>15.805581999999999</v>
      </c>
      <c r="K72">
        <v>15.868482</v>
      </c>
      <c r="L72">
        <v>15.734024</v>
      </c>
      <c r="M72">
        <v>15.651011</v>
      </c>
      <c r="N72">
        <v>15.388597000000001</v>
      </c>
      <c r="O72">
        <v>15.306694</v>
      </c>
      <c r="P72">
        <v>15.233425</v>
      </c>
      <c r="Q72">
        <v>15.159203</v>
      </c>
      <c r="R72">
        <v>15.124268000000001</v>
      </c>
      <c r="S72">
        <v>15.059938000000001</v>
      </c>
      <c r="T72">
        <v>15.089740000000001</v>
      </c>
      <c r="U72">
        <v>15.004543</v>
      </c>
      <c r="V72">
        <v>15.105967</v>
      </c>
      <c r="W72">
        <v>15.272736</v>
      </c>
      <c r="X72">
        <v>15.439185999999999</v>
      </c>
      <c r="Y72">
        <v>15.587344999999999</v>
      </c>
      <c r="Z72">
        <v>15.749003999999999</v>
      </c>
      <c r="AA72">
        <v>15.888456</v>
      </c>
      <c r="AB72">
        <v>16.027546000000001</v>
      </c>
      <c r="AC72">
        <v>16.187763</v>
      </c>
      <c r="AD72">
        <v>16.367611</v>
      </c>
      <c r="AE72">
        <v>16.559345</v>
      </c>
      <c r="AF72">
        <v>16.719384999999999</v>
      </c>
      <c r="AG72" s="21">
        <v>1E-3</v>
      </c>
    </row>
    <row r="73" spans="1:33" x14ac:dyDescent="0.35">
      <c r="A73" t="s">
        <v>139</v>
      </c>
      <c r="B73" t="s">
        <v>233</v>
      </c>
      <c r="C73" t="s">
        <v>234</v>
      </c>
      <c r="D73" t="s">
        <v>109</v>
      </c>
      <c r="F73">
        <v>4.5428999999999997E-2</v>
      </c>
      <c r="G73">
        <v>6.6877000000000006E-2</v>
      </c>
      <c r="H73">
        <v>9.6976999999999994E-2</v>
      </c>
      <c r="I73">
        <v>0.138486</v>
      </c>
      <c r="J73">
        <v>0.191387</v>
      </c>
      <c r="K73">
        <v>0.25722099999999998</v>
      </c>
      <c r="L73">
        <v>0.342553</v>
      </c>
      <c r="M73">
        <v>0.449824</v>
      </c>
      <c r="N73">
        <v>0.57959799999999995</v>
      </c>
      <c r="O73">
        <v>0.72201300000000002</v>
      </c>
      <c r="P73">
        <v>0.85590200000000005</v>
      </c>
      <c r="Q73">
        <v>0.97553999999999996</v>
      </c>
      <c r="R73">
        <v>1.0840829999999999</v>
      </c>
      <c r="S73">
        <v>1.176193</v>
      </c>
      <c r="T73">
        <v>1.2680149999999999</v>
      </c>
      <c r="U73">
        <v>1.332532</v>
      </c>
      <c r="V73">
        <v>1.4128849999999999</v>
      </c>
      <c r="W73">
        <v>1.4941979999999999</v>
      </c>
      <c r="X73">
        <v>1.5673299999999999</v>
      </c>
      <c r="Y73">
        <v>1.6279159999999999</v>
      </c>
      <c r="Z73">
        <v>1.681762</v>
      </c>
      <c r="AA73">
        <v>1.724526</v>
      </c>
      <c r="AB73">
        <v>1.7616529999999999</v>
      </c>
      <c r="AC73">
        <v>1.7969599999999999</v>
      </c>
      <c r="AD73">
        <v>1.828227</v>
      </c>
      <c r="AE73">
        <v>1.856957</v>
      </c>
      <c r="AF73">
        <v>1.8763289999999999</v>
      </c>
      <c r="AG73" s="21">
        <v>0.154</v>
      </c>
    </row>
    <row r="74" spans="1:33" x14ac:dyDescent="0.35">
      <c r="A74" t="s">
        <v>142</v>
      </c>
      <c r="B74" t="s">
        <v>235</v>
      </c>
      <c r="C74" t="s">
        <v>234</v>
      </c>
      <c r="D74" t="s">
        <v>109</v>
      </c>
      <c r="F74">
        <v>0.14174300000000001</v>
      </c>
      <c r="G74">
        <v>0.158667</v>
      </c>
      <c r="H74">
        <v>0.17515800000000001</v>
      </c>
      <c r="I74">
        <v>0.182169</v>
      </c>
      <c r="J74">
        <v>0.188994</v>
      </c>
      <c r="K74">
        <v>0.19889100000000001</v>
      </c>
      <c r="L74">
        <v>0.21062400000000001</v>
      </c>
      <c r="M74">
        <v>0.225521</v>
      </c>
      <c r="N74">
        <v>0.23910000000000001</v>
      </c>
      <c r="O74">
        <v>0.25521300000000002</v>
      </c>
      <c r="P74">
        <v>0.26584400000000002</v>
      </c>
      <c r="Q74">
        <v>0.27219700000000002</v>
      </c>
      <c r="R74">
        <v>0.27763900000000002</v>
      </c>
      <c r="S74">
        <v>0.28352500000000003</v>
      </c>
      <c r="T74">
        <v>0.292406</v>
      </c>
      <c r="U74">
        <v>0.29744199999999998</v>
      </c>
      <c r="V74">
        <v>0.30313400000000001</v>
      </c>
      <c r="W74">
        <v>0.31151000000000001</v>
      </c>
      <c r="X74">
        <v>0.31969399999999998</v>
      </c>
      <c r="Y74">
        <v>0.32866200000000001</v>
      </c>
      <c r="Z74">
        <v>0.33769300000000002</v>
      </c>
      <c r="AA74">
        <v>0.347028</v>
      </c>
      <c r="AB74">
        <v>0.35549700000000001</v>
      </c>
      <c r="AC74">
        <v>0.36535400000000001</v>
      </c>
      <c r="AD74">
        <v>0.37554300000000002</v>
      </c>
      <c r="AE74">
        <v>0.385409</v>
      </c>
      <c r="AF74">
        <v>0.396175</v>
      </c>
      <c r="AG74" s="21">
        <v>0.04</v>
      </c>
    </row>
    <row r="75" spans="1:33" x14ac:dyDescent="0.35">
      <c r="A75" t="s">
        <v>236</v>
      </c>
      <c r="B75" t="s">
        <v>237</v>
      </c>
      <c r="C75" t="s">
        <v>238</v>
      </c>
      <c r="D75" t="s">
        <v>109</v>
      </c>
      <c r="F75">
        <v>16.091709000000002</v>
      </c>
      <c r="G75">
        <v>16.281033000000001</v>
      </c>
      <c r="H75">
        <v>15.879408</v>
      </c>
      <c r="I75">
        <v>15.805535000000001</v>
      </c>
      <c r="J75">
        <v>15.807975000000001</v>
      </c>
      <c r="K75">
        <v>15.926811000000001</v>
      </c>
      <c r="L75">
        <v>15.865954</v>
      </c>
      <c r="M75">
        <v>15.875313</v>
      </c>
      <c r="N75">
        <v>15.729094999999999</v>
      </c>
      <c r="O75">
        <v>15.773493</v>
      </c>
      <c r="P75">
        <v>15.823483</v>
      </c>
      <c r="Q75">
        <v>15.862545000000001</v>
      </c>
      <c r="R75">
        <v>15.930712</v>
      </c>
      <c r="S75">
        <v>15.952607</v>
      </c>
      <c r="T75">
        <v>16.065348</v>
      </c>
      <c r="U75">
        <v>16.039635000000001</v>
      </c>
      <c r="V75">
        <v>16.215719</v>
      </c>
      <c r="W75">
        <v>16.455423</v>
      </c>
      <c r="X75">
        <v>16.686820999999998</v>
      </c>
      <c r="Y75">
        <v>16.886599</v>
      </c>
      <c r="Z75">
        <v>17.093074999999999</v>
      </c>
      <c r="AA75">
        <v>17.265953</v>
      </c>
      <c r="AB75">
        <v>17.433702</v>
      </c>
      <c r="AC75">
        <v>17.61937</v>
      </c>
      <c r="AD75">
        <v>17.820292999999999</v>
      </c>
      <c r="AE75">
        <v>18.030891</v>
      </c>
      <c r="AF75">
        <v>18.199539000000001</v>
      </c>
      <c r="AG75" s="21">
        <v>5.0000000000000001E-3</v>
      </c>
    </row>
    <row r="76" spans="1:33" x14ac:dyDescent="0.35">
      <c r="A76" t="s">
        <v>239</v>
      </c>
    </row>
    <row r="77" spans="1:33" x14ac:dyDescent="0.35">
      <c r="A77" t="s">
        <v>240</v>
      </c>
      <c r="B77" t="s">
        <v>241</v>
      </c>
      <c r="C77" t="s">
        <v>242</v>
      </c>
      <c r="D77" t="s">
        <v>109</v>
      </c>
      <c r="F77">
        <v>6.5970000000000001E-2</v>
      </c>
      <c r="G77">
        <v>6.3522999999999996E-2</v>
      </c>
      <c r="H77">
        <v>6.3383999999999996E-2</v>
      </c>
      <c r="I77">
        <v>6.2599000000000002E-2</v>
      </c>
      <c r="J77">
        <v>6.1945E-2</v>
      </c>
      <c r="K77">
        <v>6.1422999999999998E-2</v>
      </c>
      <c r="L77">
        <v>6.1378000000000002E-2</v>
      </c>
      <c r="M77">
        <v>6.0734999999999997E-2</v>
      </c>
      <c r="N77">
        <v>6.0531000000000001E-2</v>
      </c>
      <c r="O77">
        <v>5.8259999999999999E-2</v>
      </c>
      <c r="P77">
        <v>5.8207000000000002E-2</v>
      </c>
      <c r="Q77">
        <v>5.8236999999999997E-2</v>
      </c>
      <c r="R77">
        <v>5.8220000000000001E-2</v>
      </c>
      <c r="S77">
        <v>5.8090999999999997E-2</v>
      </c>
      <c r="T77">
        <v>5.7847999999999997E-2</v>
      </c>
      <c r="U77">
        <v>5.7544999999999999E-2</v>
      </c>
      <c r="V77">
        <v>5.6179E-2</v>
      </c>
      <c r="W77">
        <v>5.5989999999999998E-2</v>
      </c>
      <c r="X77">
        <v>5.5925000000000002E-2</v>
      </c>
      <c r="Y77">
        <v>5.5865999999999999E-2</v>
      </c>
      <c r="Z77">
        <v>5.5857999999999998E-2</v>
      </c>
      <c r="AA77">
        <v>5.5774999999999998E-2</v>
      </c>
      <c r="AB77">
        <v>5.5778000000000001E-2</v>
      </c>
      <c r="AC77">
        <v>5.5605000000000002E-2</v>
      </c>
      <c r="AD77">
        <v>5.5572000000000003E-2</v>
      </c>
      <c r="AE77">
        <v>5.5527E-2</v>
      </c>
      <c r="AF77">
        <v>5.5449999999999999E-2</v>
      </c>
      <c r="AG77" s="21">
        <v>-7.0000000000000001E-3</v>
      </c>
    </row>
    <row r="78" spans="1:33" x14ac:dyDescent="0.35">
      <c r="A78" t="s">
        <v>243</v>
      </c>
      <c r="B78" t="s">
        <v>244</v>
      </c>
      <c r="C78" t="s">
        <v>245</v>
      </c>
      <c r="D78" t="s">
        <v>109</v>
      </c>
      <c r="F78">
        <v>0.13968800000000001</v>
      </c>
      <c r="G78">
        <v>0.15656900000000001</v>
      </c>
      <c r="H78">
        <v>0.173044</v>
      </c>
      <c r="I78">
        <v>0.180036</v>
      </c>
      <c r="J78">
        <v>0.18681900000000001</v>
      </c>
      <c r="K78">
        <v>0.19666700000000001</v>
      </c>
      <c r="L78">
        <v>0.208341</v>
      </c>
      <c r="M78">
        <v>0.223166</v>
      </c>
      <c r="N78">
        <v>0.23669999999999999</v>
      </c>
      <c r="O78">
        <v>0.25273600000000002</v>
      </c>
      <c r="P78">
        <v>0.26331300000000002</v>
      </c>
      <c r="Q78">
        <v>0.26963599999999999</v>
      </c>
      <c r="R78">
        <v>0.27504699999999999</v>
      </c>
      <c r="S78">
        <v>0.28090700000000002</v>
      </c>
      <c r="T78">
        <v>0.28973500000000002</v>
      </c>
      <c r="U78">
        <v>0.29475000000000001</v>
      </c>
      <c r="V78">
        <v>0.30042099999999999</v>
      </c>
      <c r="W78">
        <v>0.30876300000000001</v>
      </c>
      <c r="X78">
        <v>0.31690400000000002</v>
      </c>
      <c r="Y78">
        <v>0.32583099999999998</v>
      </c>
      <c r="Z78">
        <v>0.334814</v>
      </c>
      <c r="AA78">
        <v>0.34411000000000003</v>
      </c>
      <c r="AB78">
        <v>0.35254600000000003</v>
      </c>
      <c r="AC78">
        <v>0.36235699999999998</v>
      </c>
      <c r="AD78">
        <v>0.37249199999999999</v>
      </c>
      <c r="AE78">
        <v>0.38231100000000001</v>
      </c>
      <c r="AF78">
        <v>0.39302799999999999</v>
      </c>
      <c r="AG78" s="21">
        <v>4.1000000000000002E-2</v>
      </c>
    </row>
    <row r="79" spans="1:33" x14ac:dyDescent="0.35">
      <c r="A79" t="s">
        <v>246</v>
      </c>
      <c r="B79" t="s">
        <v>247</v>
      </c>
      <c r="C79" t="s">
        <v>248</v>
      </c>
      <c r="D79" t="s">
        <v>109</v>
      </c>
      <c r="F79">
        <v>2.529E-3</v>
      </c>
      <c r="G79">
        <v>2.5309999999999998E-3</v>
      </c>
      <c r="H79">
        <v>2.5300000000000001E-3</v>
      </c>
      <c r="I79">
        <v>2.5300000000000001E-3</v>
      </c>
      <c r="J79">
        <v>2.5300000000000001E-3</v>
      </c>
      <c r="K79">
        <v>2.5360000000000001E-3</v>
      </c>
      <c r="L79">
        <v>2.542E-3</v>
      </c>
      <c r="M79">
        <v>2.5490000000000001E-3</v>
      </c>
      <c r="N79">
        <v>2.5600000000000002E-3</v>
      </c>
      <c r="O79">
        <v>2.5760000000000002E-3</v>
      </c>
      <c r="P79">
        <v>2.5820000000000001E-3</v>
      </c>
      <c r="Q79">
        <v>2.5829999999999998E-3</v>
      </c>
      <c r="R79">
        <v>2.5839999999999999E-3</v>
      </c>
      <c r="S79">
        <v>2.5850000000000001E-3</v>
      </c>
      <c r="T79">
        <v>2.588E-3</v>
      </c>
      <c r="U79">
        <v>2.5899999999999999E-3</v>
      </c>
      <c r="V79">
        <v>2.5929999999999998E-3</v>
      </c>
      <c r="W79">
        <v>2.5969999999999999E-3</v>
      </c>
      <c r="X79">
        <v>2.5999999999999999E-3</v>
      </c>
      <c r="Y79">
        <v>2.6020000000000001E-3</v>
      </c>
      <c r="Z79">
        <v>2.6059999999999998E-3</v>
      </c>
      <c r="AA79">
        <v>2.611E-3</v>
      </c>
      <c r="AB79">
        <v>2.614E-3</v>
      </c>
      <c r="AC79">
        <v>2.6180000000000001E-3</v>
      </c>
      <c r="AD79">
        <v>2.6220000000000002E-3</v>
      </c>
      <c r="AE79">
        <v>2.6259999999999999E-3</v>
      </c>
      <c r="AF79">
        <v>2.6319999999999998E-3</v>
      </c>
      <c r="AG79" s="21">
        <v>2E-3</v>
      </c>
    </row>
    <row r="80" spans="1:33" x14ac:dyDescent="0.35">
      <c r="A80" t="s">
        <v>27</v>
      </c>
      <c r="B80" t="s">
        <v>249</v>
      </c>
      <c r="C80" t="s">
        <v>250</v>
      </c>
      <c r="D80" t="s">
        <v>109</v>
      </c>
      <c r="F80">
        <v>0.20818700000000001</v>
      </c>
      <c r="G80">
        <v>0.22262299999999999</v>
      </c>
      <c r="H80">
        <v>0.238958</v>
      </c>
      <c r="I80">
        <v>0.24516399999999999</v>
      </c>
      <c r="J80">
        <v>0.25129499999999999</v>
      </c>
      <c r="K80">
        <v>0.26062600000000002</v>
      </c>
      <c r="L80">
        <v>0.27226099999999998</v>
      </c>
      <c r="M80">
        <v>0.28645100000000001</v>
      </c>
      <c r="N80">
        <v>0.29979099999999997</v>
      </c>
      <c r="O80">
        <v>0.31357200000000002</v>
      </c>
      <c r="P80">
        <v>0.32410099999999997</v>
      </c>
      <c r="Q80">
        <v>0.33045600000000003</v>
      </c>
      <c r="R80">
        <v>0.33585100000000001</v>
      </c>
      <c r="S80">
        <v>0.341582</v>
      </c>
      <c r="T80">
        <v>0.35016999999999998</v>
      </c>
      <c r="U80">
        <v>0.35488599999999998</v>
      </c>
      <c r="V80">
        <v>0.35919299999999998</v>
      </c>
      <c r="W80">
        <v>0.36735000000000001</v>
      </c>
      <c r="X80">
        <v>0.37542900000000001</v>
      </c>
      <c r="Y80">
        <v>0.384299</v>
      </c>
      <c r="Z80">
        <v>0.39327800000000002</v>
      </c>
      <c r="AA80">
        <v>0.40249600000000002</v>
      </c>
      <c r="AB80">
        <v>0.41093800000000003</v>
      </c>
      <c r="AC80">
        <v>0.42058000000000001</v>
      </c>
      <c r="AD80">
        <v>0.43068699999999999</v>
      </c>
      <c r="AE80">
        <v>0.44046400000000002</v>
      </c>
      <c r="AF80">
        <v>0.45111099999999998</v>
      </c>
      <c r="AG80" s="21">
        <v>0.03</v>
      </c>
    </row>
    <row r="81" spans="1:33" x14ac:dyDescent="0.35">
      <c r="A81" t="s">
        <v>251</v>
      </c>
    </row>
    <row r="82" spans="1:33" x14ac:dyDescent="0.35">
      <c r="A82" t="s">
        <v>252</v>
      </c>
      <c r="B82" t="s">
        <v>253</v>
      </c>
      <c r="C82" t="s">
        <v>254</v>
      </c>
      <c r="D82" t="s">
        <v>255</v>
      </c>
      <c r="F82">
        <v>5643</v>
      </c>
      <c r="G82">
        <v>5924</v>
      </c>
      <c r="H82">
        <v>5901</v>
      </c>
      <c r="I82">
        <v>5879</v>
      </c>
      <c r="J82">
        <v>5856</v>
      </c>
      <c r="K82">
        <v>5833</v>
      </c>
      <c r="L82">
        <v>5810</v>
      </c>
      <c r="M82">
        <v>5787</v>
      </c>
      <c r="N82">
        <v>5764</v>
      </c>
      <c r="O82">
        <v>5741</v>
      </c>
      <c r="P82">
        <v>5718</v>
      </c>
      <c r="Q82">
        <v>5695</v>
      </c>
      <c r="R82">
        <v>5672</v>
      </c>
      <c r="S82">
        <v>5649</v>
      </c>
      <c r="T82">
        <v>5626</v>
      </c>
      <c r="U82">
        <v>5603</v>
      </c>
      <c r="V82">
        <v>5579</v>
      </c>
      <c r="W82">
        <v>5556</v>
      </c>
      <c r="X82">
        <v>5533</v>
      </c>
      <c r="Y82">
        <v>5510</v>
      </c>
      <c r="Z82">
        <v>5487</v>
      </c>
      <c r="AA82">
        <v>5464</v>
      </c>
      <c r="AB82">
        <v>5440</v>
      </c>
      <c r="AC82">
        <v>5417</v>
      </c>
      <c r="AD82">
        <v>5394</v>
      </c>
      <c r="AE82">
        <v>5371</v>
      </c>
      <c r="AF82">
        <v>5348</v>
      </c>
      <c r="AG82" s="21">
        <v>-2E-3</v>
      </c>
    </row>
    <row r="83" spans="1:33" x14ac:dyDescent="0.35">
      <c r="A83" t="s">
        <v>256</v>
      </c>
      <c r="B83" t="s">
        <v>257</v>
      </c>
      <c r="C83" t="s">
        <v>258</v>
      </c>
      <c r="D83" t="s">
        <v>255</v>
      </c>
      <c r="F83">
        <v>4981</v>
      </c>
      <c r="G83">
        <v>5319</v>
      </c>
      <c r="H83">
        <v>5298</v>
      </c>
      <c r="I83">
        <v>5277</v>
      </c>
      <c r="J83">
        <v>5256</v>
      </c>
      <c r="K83">
        <v>5235</v>
      </c>
      <c r="L83">
        <v>5214</v>
      </c>
      <c r="M83">
        <v>5193</v>
      </c>
      <c r="N83">
        <v>5172</v>
      </c>
      <c r="O83">
        <v>5151</v>
      </c>
      <c r="P83">
        <v>5130</v>
      </c>
      <c r="Q83">
        <v>5109</v>
      </c>
      <c r="R83">
        <v>5088</v>
      </c>
      <c r="S83">
        <v>5068</v>
      </c>
      <c r="T83">
        <v>5047</v>
      </c>
      <c r="U83">
        <v>5026</v>
      </c>
      <c r="V83">
        <v>5005</v>
      </c>
      <c r="W83">
        <v>4984</v>
      </c>
      <c r="X83">
        <v>4963</v>
      </c>
      <c r="Y83">
        <v>4943</v>
      </c>
      <c r="Z83">
        <v>4922</v>
      </c>
      <c r="AA83">
        <v>4901</v>
      </c>
      <c r="AB83">
        <v>4880</v>
      </c>
      <c r="AC83">
        <v>4859</v>
      </c>
      <c r="AD83">
        <v>4838</v>
      </c>
      <c r="AE83">
        <v>4818</v>
      </c>
      <c r="AF83">
        <v>4797</v>
      </c>
      <c r="AG83" s="21">
        <v>-1E-3</v>
      </c>
    </row>
    <row r="84" spans="1:33" x14ac:dyDescent="0.35">
      <c r="A84" t="s">
        <v>259</v>
      </c>
      <c r="B84" t="s">
        <v>260</v>
      </c>
      <c r="C84" t="s">
        <v>261</v>
      </c>
      <c r="D84" t="s">
        <v>255</v>
      </c>
      <c r="F84">
        <v>5306</v>
      </c>
      <c r="G84">
        <v>5952</v>
      </c>
      <c r="H84">
        <v>5937</v>
      </c>
      <c r="I84">
        <v>5923</v>
      </c>
      <c r="J84">
        <v>5908</v>
      </c>
      <c r="K84">
        <v>5894</v>
      </c>
      <c r="L84">
        <v>5879</v>
      </c>
      <c r="M84">
        <v>5864</v>
      </c>
      <c r="N84">
        <v>5850</v>
      </c>
      <c r="O84">
        <v>5835</v>
      </c>
      <c r="P84">
        <v>5820</v>
      </c>
      <c r="Q84">
        <v>5806</v>
      </c>
      <c r="R84">
        <v>5791</v>
      </c>
      <c r="S84">
        <v>5776</v>
      </c>
      <c r="T84">
        <v>5762</v>
      </c>
      <c r="U84">
        <v>5747</v>
      </c>
      <c r="V84">
        <v>5732</v>
      </c>
      <c r="W84">
        <v>5717</v>
      </c>
      <c r="X84">
        <v>5703</v>
      </c>
      <c r="Y84">
        <v>5688</v>
      </c>
      <c r="Z84">
        <v>5673</v>
      </c>
      <c r="AA84">
        <v>5658</v>
      </c>
      <c r="AB84">
        <v>5644</v>
      </c>
      <c r="AC84">
        <v>5629</v>
      </c>
      <c r="AD84">
        <v>5614</v>
      </c>
      <c r="AE84">
        <v>5599</v>
      </c>
      <c r="AF84">
        <v>5585</v>
      </c>
      <c r="AG84" s="21">
        <v>2E-3</v>
      </c>
    </row>
    <row r="85" spans="1:33" x14ac:dyDescent="0.35">
      <c r="A85" t="s">
        <v>262</v>
      </c>
      <c r="B85" t="s">
        <v>263</v>
      </c>
      <c r="C85" t="s">
        <v>264</v>
      </c>
      <c r="D85" t="s">
        <v>255</v>
      </c>
      <c r="F85">
        <v>5716</v>
      </c>
      <c r="G85">
        <v>6383</v>
      </c>
      <c r="H85">
        <v>6376</v>
      </c>
      <c r="I85">
        <v>6369</v>
      </c>
      <c r="J85">
        <v>6362</v>
      </c>
      <c r="K85">
        <v>6355</v>
      </c>
      <c r="L85">
        <v>6348</v>
      </c>
      <c r="M85">
        <v>6341</v>
      </c>
      <c r="N85">
        <v>6334</v>
      </c>
      <c r="O85">
        <v>6327</v>
      </c>
      <c r="P85">
        <v>6319</v>
      </c>
      <c r="Q85">
        <v>6312</v>
      </c>
      <c r="R85">
        <v>6304</v>
      </c>
      <c r="S85">
        <v>6297</v>
      </c>
      <c r="T85">
        <v>6289</v>
      </c>
      <c r="U85">
        <v>6282</v>
      </c>
      <c r="V85">
        <v>6274</v>
      </c>
      <c r="W85">
        <v>6267</v>
      </c>
      <c r="X85">
        <v>6259</v>
      </c>
      <c r="Y85">
        <v>6252</v>
      </c>
      <c r="Z85">
        <v>6244</v>
      </c>
      <c r="AA85">
        <v>6236</v>
      </c>
      <c r="AB85">
        <v>6229</v>
      </c>
      <c r="AC85">
        <v>6221</v>
      </c>
      <c r="AD85">
        <v>6213</v>
      </c>
      <c r="AE85">
        <v>6206</v>
      </c>
      <c r="AF85">
        <v>6198</v>
      </c>
      <c r="AG85" s="21">
        <v>3.0000000000000001E-3</v>
      </c>
    </row>
    <row r="86" spans="1:33" x14ac:dyDescent="0.35">
      <c r="A86" t="s">
        <v>265</v>
      </c>
      <c r="B86" t="s">
        <v>266</v>
      </c>
      <c r="C86" t="s">
        <v>267</v>
      </c>
      <c r="D86" t="s">
        <v>255</v>
      </c>
      <c r="F86">
        <v>2271</v>
      </c>
      <c r="G86">
        <v>2344</v>
      </c>
      <c r="H86">
        <v>2329</v>
      </c>
      <c r="I86">
        <v>2313</v>
      </c>
      <c r="J86">
        <v>2298</v>
      </c>
      <c r="K86">
        <v>2283</v>
      </c>
      <c r="L86">
        <v>2267</v>
      </c>
      <c r="M86">
        <v>2251</v>
      </c>
      <c r="N86">
        <v>2235</v>
      </c>
      <c r="O86">
        <v>2220</v>
      </c>
      <c r="P86">
        <v>2204</v>
      </c>
      <c r="Q86">
        <v>2188</v>
      </c>
      <c r="R86">
        <v>2173</v>
      </c>
      <c r="S86">
        <v>2157</v>
      </c>
      <c r="T86">
        <v>2141</v>
      </c>
      <c r="U86">
        <v>2125</v>
      </c>
      <c r="V86">
        <v>2110</v>
      </c>
      <c r="W86">
        <v>2094</v>
      </c>
      <c r="X86">
        <v>2079</v>
      </c>
      <c r="Y86">
        <v>2063</v>
      </c>
      <c r="Z86">
        <v>2047</v>
      </c>
      <c r="AA86">
        <v>2032</v>
      </c>
      <c r="AB86">
        <v>2016</v>
      </c>
      <c r="AC86">
        <v>2001</v>
      </c>
      <c r="AD86">
        <v>1985</v>
      </c>
      <c r="AE86">
        <v>1970</v>
      </c>
      <c r="AF86">
        <v>1955</v>
      </c>
      <c r="AG86" s="21">
        <v>-6.0000000000000001E-3</v>
      </c>
    </row>
    <row r="87" spans="1:33" x14ac:dyDescent="0.35">
      <c r="A87" t="s">
        <v>268</v>
      </c>
      <c r="B87" t="s">
        <v>269</v>
      </c>
      <c r="C87" t="s">
        <v>270</v>
      </c>
      <c r="D87" t="s">
        <v>255</v>
      </c>
      <c r="F87">
        <v>3024</v>
      </c>
      <c r="G87">
        <v>3161</v>
      </c>
      <c r="H87">
        <v>3148</v>
      </c>
      <c r="I87">
        <v>3136</v>
      </c>
      <c r="J87">
        <v>3123</v>
      </c>
      <c r="K87">
        <v>3111</v>
      </c>
      <c r="L87">
        <v>3098</v>
      </c>
      <c r="M87">
        <v>3086</v>
      </c>
      <c r="N87">
        <v>3073</v>
      </c>
      <c r="O87">
        <v>3060</v>
      </c>
      <c r="P87">
        <v>3048</v>
      </c>
      <c r="Q87">
        <v>3035</v>
      </c>
      <c r="R87">
        <v>3022</v>
      </c>
      <c r="S87">
        <v>3009</v>
      </c>
      <c r="T87">
        <v>2996</v>
      </c>
      <c r="U87">
        <v>2984</v>
      </c>
      <c r="V87">
        <v>2971</v>
      </c>
      <c r="W87">
        <v>2958</v>
      </c>
      <c r="X87">
        <v>2945</v>
      </c>
      <c r="Y87">
        <v>2933</v>
      </c>
      <c r="Z87">
        <v>2920</v>
      </c>
      <c r="AA87">
        <v>2907</v>
      </c>
      <c r="AB87">
        <v>2894</v>
      </c>
      <c r="AC87">
        <v>2881</v>
      </c>
      <c r="AD87">
        <v>2869</v>
      </c>
      <c r="AE87">
        <v>2856</v>
      </c>
      <c r="AF87">
        <v>2843</v>
      </c>
      <c r="AG87" s="21">
        <v>-2E-3</v>
      </c>
    </row>
    <row r="88" spans="1:33" x14ac:dyDescent="0.35">
      <c r="A88" t="s">
        <v>271</v>
      </c>
      <c r="B88" t="s">
        <v>272</v>
      </c>
      <c r="C88" t="s">
        <v>273</v>
      </c>
      <c r="D88" t="s">
        <v>255</v>
      </c>
      <c r="F88">
        <v>1844</v>
      </c>
      <c r="G88">
        <v>1949</v>
      </c>
      <c r="H88">
        <v>1942</v>
      </c>
      <c r="I88">
        <v>1935</v>
      </c>
      <c r="J88">
        <v>1928</v>
      </c>
      <c r="K88">
        <v>1921</v>
      </c>
      <c r="L88">
        <v>1914</v>
      </c>
      <c r="M88">
        <v>1907</v>
      </c>
      <c r="N88">
        <v>1900</v>
      </c>
      <c r="O88">
        <v>1893</v>
      </c>
      <c r="P88">
        <v>1886</v>
      </c>
      <c r="Q88">
        <v>1879</v>
      </c>
      <c r="R88">
        <v>1872</v>
      </c>
      <c r="S88">
        <v>1865</v>
      </c>
      <c r="T88">
        <v>1858</v>
      </c>
      <c r="U88">
        <v>1852</v>
      </c>
      <c r="V88">
        <v>1845</v>
      </c>
      <c r="W88">
        <v>1838</v>
      </c>
      <c r="X88">
        <v>1831</v>
      </c>
      <c r="Y88">
        <v>1825</v>
      </c>
      <c r="Z88">
        <v>1818</v>
      </c>
      <c r="AA88">
        <v>1811</v>
      </c>
      <c r="AB88">
        <v>1805</v>
      </c>
      <c r="AC88">
        <v>1798</v>
      </c>
      <c r="AD88">
        <v>1791</v>
      </c>
      <c r="AE88">
        <v>1785</v>
      </c>
      <c r="AF88">
        <v>1778</v>
      </c>
      <c r="AG88" s="21">
        <v>-1E-3</v>
      </c>
    </row>
    <row r="89" spans="1:33" x14ac:dyDescent="0.35">
      <c r="A89" t="s">
        <v>274</v>
      </c>
      <c r="B89" t="s">
        <v>275</v>
      </c>
      <c r="C89" t="s">
        <v>276</v>
      </c>
      <c r="D89" t="s">
        <v>255</v>
      </c>
      <c r="F89">
        <v>4753</v>
      </c>
      <c r="G89">
        <v>4877</v>
      </c>
      <c r="H89">
        <v>4871</v>
      </c>
      <c r="I89">
        <v>4865</v>
      </c>
      <c r="J89">
        <v>4858</v>
      </c>
      <c r="K89">
        <v>4851</v>
      </c>
      <c r="L89">
        <v>4844</v>
      </c>
      <c r="M89">
        <v>4837</v>
      </c>
      <c r="N89">
        <v>4830</v>
      </c>
      <c r="O89">
        <v>4823</v>
      </c>
      <c r="P89">
        <v>4816</v>
      </c>
      <c r="Q89">
        <v>4809</v>
      </c>
      <c r="R89">
        <v>4802</v>
      </c>
      <c r="S89">
        <v>4796</v>
      </c>
      <c r="T89">
        <v>4789</v>
      </c>
      <c r="U89">
        <v>4782</v>
      </c>
      <c r="V89">
        <v>4776</v>
      </c>
      <c r="W89">
        <v>4769</v>
      </c>
      <c r="X89">
        <v>4763</v>
      </c>
      <c r="Y89">
        <v>4756</v>
      </c>
      <c r="Z89">
        <v>4750</v>
      </c>
      <c r="AA89">
        <v>4744</v>
      </c>
      <c r="AB89">
        <v>4737</v>
      </c>
      <c r="AC89">
        <v>4731</v>
      </c>
      <c r="AD89">
        <v>4725</v>
      </c>
      <c r="AE89">
        <v>4718</v>
      </c>
      <c r="AF89">
        <v>4712</v>
      </c>
      <c r="AG89" s="21">
        <v>0</v>
      </c>
    </row>
    <row r="90" spans="1:33" x14ac:dyDescent="0.35">
      <c r="A90" t="s">
        <v>277</v>
      </c>
      <c r="B90" t="s">
        <v>278</v>
      </c>
      <c r="C90" t="s">
        <v>279</v>
      </c>
      <c r="D90" t="s">
        <v>255</v>
      </c>
      <c r="F90">
        <v>3352</v>
      </c>
      <c r="G90">
        <v>3290</v>
      </c>
      <c r="H90">
        <v>3283</v>
      </c>
      <c r="I90">
        <v>3277</v>
      </c>
      <c r="J90">
        <v>3270</v>
      </c>
      <c r="K90">
        <v>3263</v>
      </c>
      <c r="L90">
        <v>3256</v>
      </c>
      <c r="M90">
        <v>3249</v>
      </c>
      <c r="N90">
        <v>3242</v>
      </c>
      <c r="O90">
        <v>3234</v>
      </c>
      <c r="P90">
        <v>3227</v>
      </c>
      <c r="Q90">
        <v>3219</v>
      </c>
      <c r="R90">
        <v>3212</v>
      </c>
      <c r="S90">
        <v>3204</v>
      </c>
      <c r="T90">
        <v>3197</v>
      </c>
      <c r="U90">
        <v>3189</v>
      </c>
      <c r="V90">
        <v>3181</v>
      </c>
      <c r="W90">
        <v>3174</v>
      </c>
      <c r="X90">
        <v>3166</v>
      </c>
      <c r="Y90">
        <v>3158</v>
      </c>
      <c r="Z90">
        <v>3150</v>
      </c>
      <c r="AA90">
        <v>3143</v>
      </c>
      <c r="AB90">
        <v>3135</v>
      </c>
      <c r="AC90">
        <v>3127</v>
      </c>
      <c r="AD90">
        <v>3119</v>
      </c>
      <c r="AE90">
        <v>3112</v>
      </c>
      <c r="AF90">
        <v>3104</v>
      </c>
      <c r="AG90" s="21">
        <v>-3.0000000000000001E-3</v>
      </c>
    </row>
    <row r="91" spans="1:33" x14ac:dyDescent="0.35">
      <c r="A91" t="s">
        <v>280</v>
      </c>
      <c r="B91" t="s">
        <v>281</v>
      </c>
      <c r="C91" t="s">
        <v>282</v>
      </c>
      <c r="D91" t="s">
        <v>255</v>
      </c>
      <c r="F91">
        <v>3753.9636230000001</v>
      </c>
      <c r="G91">
        <v>3970.7402339999999</v>
      </c>
      <c r="H91">
        <v>3953.6770019999999</v>
      </c>
      <c r="I91">
        <v>3936.8808589999999</v>
      </c>
      <c r="J91">
        <v>3919.869385</v>
      </c>
      <c r="K91">
        <v>3903.1020509999998</v>
      </c>
      <c r="L91">
        <v>3885.9797359999998</v>
      </c>
      <c r="M91">
        <v>3868.9492190000001</v>
      </c>
      <c r="N91">
        <v>3852.031982</v>
      </c>
      <c r="O91">
        <v>3835.0634770000001</v>
      </c>
      <c r="P91">
        <v>3818.0864259999998</v>
      </c>
      <c r="Q91">
        <v>3801.1135250000002</v>
      </c>
      <c r="R91">
        <v>3784.3435060000002</v>
      </c>
      <c r="S91">
        <v>3767.477539</v>
      </c>
      <c r="T91">
        <v>3750.6677249999998</v>
      </c>
      <c r="U91">
        <v>3733.826904</v>
      </c>
      <c r="V91">
        <v>3716.998779</v>
      </c>
      <c r="W91">
        <v>3700.1577149999998</v>
      </c>
      <c r="X91">
        <v>3683.5239259999998</v>
      </c>
      <c r="Y91">
        <v>3666.8364259999998</v>
      </c>
      <c r="Z91">
        <v>3649.8879390000002</v>
      </c>
      <c r="AA91">
        <v>3633.3447270000001</v>
      </c>
      <c r="AB91">
        <v>3616.6767580000001</v>
      </c>
      <c r="AC91">
        <v>3600.1342770000001</v>
      </c>
      <c r="AD91">
        <v>3583.570068</v>
      </c>
      <c r="AE91">
        <v>3567.7377929999998</v>
      </c>
      <c r="AF91">
        <v>3551.7458499999998</v>
      </c>
      <c r="AG91" s="21">
        <v>-2E-3</v>
      </c>
    </row>
    <row r="92" spans="1:33" x14ac:dyDescent="0.35">
      <c r="A92" t="s">
        <v>283</v>
      </c>
    </row>
    <row r="93" spans="1:33" x14ac:dyDescent="0.35">
      <c r="A93" t="s">
        <v>252</v>
      </c>
      <c r="B93" t="s">
        <v>284</v>
      </c>
      <c r="C93" t="s">
        <v>285</v>
      </c>
      <c r="D93" t="s">
        <v>286</v>
      </c>
      <c r="F93">
        <v>620</v>
      </c>
      <c r="G93">
        <v>609</v>
      </c>
      <c r="H93">
        <v>615</v>
      </c>
      <c r="I93">
        <v>621</v>
      </c>
      <c r="J93">
        <v>627</v>
      </c>
      <c r="K93">
        <v>633</v>
      </c>
      <c r="L93">
        <v>640</v>
      </c>
      <c r="M93">
        <v>646</v>
      </c>
      <c r="N93">
        <v>652</v>
      </c>
      <c r="O93">
        <v>659</v>
      </c>
      <c r="P93">
        <v>665</v>
      </c>
      <c r="Q93">
        <v>671</v>
      </c>
      <c r="R93">
        <v>678</v>
      </c>
      <c r="S93">
        <v>684</v>
      </c>
      <c r="T93">
        <v>690</v>
      </c>
      <c r="U93">
        <v>697</v>
      </c>
      <c r="V93">
        <v>703</v>
      </c>
      <c r="W93">
        <v>710</v>
      </c>
      <c r="X93">
        <v>716</v>
      </c>
      <c r="Y93">
        <v>722</v>
      </c>
      <c r="Z93">
        <v>729</v>
      </c>
      <c r="AA93">
        <v>735</v>
      </c>
      <c r="AB93">
        <v>741</v>
      </c>
      <c r="AC93">
        <v>748</v>
      </c>
      <c r="AD93">
        <v>754</v>
      </c>
      <c r="AE93">
        <v>760</v>
      </c>
      <c r="AF93">
        <v>767</v>
      </c>
      <c r="AG93" s="21">
        <v>8.0000000000000002E-3</v>
      </c>
    </row>
    <row r="94" spans="1:33" x14ac:dyDescent="0.35">
      <c r="A94" t="s">
        <v>256</v>
      </c>
      <c r="B94" t="s">
        <v>287</v>
      </c>
      <c r="C94" t="s">
        <v>288</v>
      </c>
      <c r="D94" t="s">
        <v>286</v>
      </c>
      <c r="F94">
        <v>867</v>
      </c>
      <c r="G94">
        <v>845</v>
      </c>
      <c r="H94">
        <v>853</v>
      </c>
      <c r="I94">
        <v>860</v>
      </c>
      <c r="J94">
        <v>868</v>
      </c>
      <c r="K94">
        <v>876</v>
      </c>
      <c r="L94">
        <v>884</v>
      </c>
      <c r="M94">
        <v>892</v>
      </c>
      <c r="N94">
        <v>900</v>
      </c>
      <c r="O94">
        <v>908</v>
      </c>
      <c r="P94">
        <v>915</v>
      </c>
      <c r="Q94">
        <v>923</v>
      </c>
      <c r="R94">
        <v>931</v>
      </c>
      <c r="S94">
        <v>939</v>
      </c>
      <c r="T94">
        <v>947</v>
      </c>
      <c r="U94">
        <v>955</v>
      </c>
      <c r="V94">
        <v>963</v>
      </c>
      <c r="W94">
        <v>971</v>
      </c>
      <c r="X94">
        <v>978</v>
      </c>
      <c r="Y94">
        <v>986</v>
      </c>
      <c r="Z94">
        <v>994</v>
      </c>
      <c r="AA94">
        <v>1002</v>
      </c>
      <c r="AB94">
        <v>1010</v>
      </c>
      <c r="AC94">
        <v>1018</v>
      </c>
      <c r="AD94">
        <v>1026</v>
      </c>
      <c r="AE94">
        <v>1033</v>
      </c>
      <c r="AF94">
        <v>1041</v>
      </c>
      <c r="AG94" s="21">
        <v>7.0000000000000001E-3</v>
      </c>
    </row>
    <row r="95" spans="1:33" x14ac:dyDescent="0.35">
      <c r="A95" t="s">
        <v>259</v>
      </c>
      <c r="B95" t="s">
        <v>289</v>
      </c>
      <c r="C95" t="s">
        <v>290</v>
      </c>
      <c r="D95" t="s">
        <v>286</v>
      </c>
      <c r="F95">
        <v>899</v>
      </c>
      <c r="G95">
        <v>851</v>
      </c>
      <c r="H95">
        <v>856</v>
      </c>
      <c r="I95">
        <v>861</v>
      </c>
      <c r="J95">
        <v>866</v>
      </c>
      <c r="K95">
        <v>871</v>
      </c>
      <c r="L95">
        <v>876</v>
      </c>
      <c r="M95">
        <v>881</v>
      </c>
      <c r="N95">
        <v>886</v>
      </c>
      <c r="O95">
        <v>890</v>
      </c>
      <c r="P95">
        <v>895</v>
      </c>
      <c r="Q95">
        <v>900</v>
      </c>
      <c r="R95">
        <v>905</v>
      </c>
      <c r="S95">
        <v>910</v>
      </c>
      <c r="T95">
        <v>915</v>
      </c>
      <c r="U95">
        <v>920</v>
      </c>
      <c r="V95">
        <v>925</v>
      </c>
      <c r="W95">
        <v>930</v>
      </c>
      <c r="X95">
        <v>935</v>
      </c>
      <c r="Y95">
        <v>940</v>
      </c>
      <c r="Z95">
        <v>945</v>
      </c>
      <c r="AA95">
        <v>950</v>
      </c>
      <c r="AB95">
        <v>955</v>
      </c>
      <c r="AC95">
        <v>960</v>
      </c>
      <c r="AD95">
        <v>965</v>
      </c>
      <c r="AE95">
        <v>970</v>
      </c>
      <c r="AF95">
        <v>975</v>
      </c>
      <c r="AG95" s="21">
        <v>3.0000000000000001E-3</v>
      </c>
    </row>
    <row r="96" spans="1:33" x14ac:dyDescent="0.35">
      <c r="A96" t="s">
        <v>262</v>
      </c>
      <c r="B96" t="s">
        <v>291</v>
      </c>
      <c r="C96" t="s">
        <v>292</v>
      </c>
      <c r="D96" t="s">
        <v>286</v>
      </c>
      <c r="F96">
        <v>1046</v>
      </c>
      <c r="G96">
        <v>1046</v>
      </c>
      <c r="H96">
        <v>1051</v>
      </c>
      <c r="I96">
        <v>1056</v>
      </c>
      <c r="J96">
        <v>1061</v>
      </c>
      <c r="K96">
        <v>1066</v>
      </c>
      <c r="L96">
        <v>1071</v>
      </c>
      <c r="M96">
        <v>1076</v>
      </c>
      <c r="N96">
        <v>1081</v>
      </c>
      <c r="O96">
        <v>1086</v>
      </c>
      <c r="P96">
        <v>1092</v>
      </c>
      <c r="Q96">
        <v>1097</v>
      </c>
      <c r="R96">
        <v>1102</v>
      </c>
      <c r="S96">
        <v>1107</v>
      </c>
      <c r="T96">
        <v>1112</v>
      </c>
      <c r="U96">
        <v>1117</v>
      </c>
      <c r="V96">
        <v>1122</v>
      </c>
      <c r="W96">
        <v>1128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1159</v>
      </c>
      <c r="AD96">
        <v>1164</v>
      </c>
      <c r="AE96">
        <v>1169</v>
      </c>
      <c r="AF96">
        <v>1174</v>
      </c>
      <c r="AG96" s="21">
        <v>4.0000000000000001E-3</v>
      </c>
    </row>
    <row r="97" spans="1:33" x14ac:dyDescent="0.35">
      <c r="A97" t="s">
        <v>265</v>
      </c>
      <c r="B97" t="s">
        <v>293</v>
      </c>
      <c r="C97" t="s">
        <v>294</v>
      </c>
      <c r="D97" t="s">
        <v>286</v>
      </c>
      <c r="F97">
        <v>2399</v>
      </c>
      <c r="G97">
        <v>2400</v>
      </c>
      <c r="H97">
        <v>2415</v>
      </c>
      <c r="I97">
        <v>2430</v>
      </c>
      <c r="J97">
        <v>2445</v>
      </c>
      <c r="K97">
        <v>2460</v>
      </c>
      <c r="L97">
        <v>2476</v>
      </c>
      <c r="M97">
        <v>2491</v>
      </c>
      <c r="N97">
        <v>2507</v>
      </c>
      <c r="O97">
        <v>2522</v>
      </c>
      <c r="P97">
        <v>2538</v>
      </c>
      <c r="Q97">
        <v>2553</v>
      </c>
      <c r="R97">
        <v>2569</v>
      </c>
      <c r="S97">
        <v>2585</v>
      </c>
      <c r="T97">
        <v>2600</v>
      </c>
      <c r="U97">
        <v>2616</v>
      </c>
      <c r="V97">
        <v>2632</v>
      </c>
      <c r="W97">
        <v>2648</v>
      </c>
      <c r="X97">
        <v>2663</v>
      </c>
      <c r="Y97">
        <v>2679</v>
      </c>
      <c r="Z97">
        <v>2695</v>
      </c>
      <c r="AA97">
        <v>2711</v>
      </c>
      <c r="AB97">
        <v>2727</v>
      </c>
      <c r="AC97">
        <v>2742</v>
      </c>
      <c r="AD97">
        <v>2758</v>
      </c>
      <c r="AE97">
        <v>2774</v>
      </c>
      <c r="AF97">
        <v>2790</v>
      </c>
      <c r="AG97" s="21">
        <v>6.0000000000000001E-3</v>
      </c>
    </row>
    <row r="98" spans="1:33" x14ac:dyDescent="0.35">
      <c r="A98" t="s">
        <v>268</v>
      </c>
      <c r="B98" t="s">
        <v>295</v>
      </c>
      <c r="C98" t="s">
        <v>296</v>
      </c>
      <c r="D98" t="s">
        <v>286</v>
      </c>
      <c r="F98">
        <v>1859</v>
      </c>
      <c r="G98">
        <v>1773</v>
      </c>
      <c r="H98">
        <v>1781</v>
      </c>
      <c r="I98">
        <v>1788</v>
      </c>
      <c r="J98">
        <v>1796</v>
      </c>
      <c r="K98">
        <v>1803</v>
      </c>
      <c r="L98">
        <v>1811</v>
      </c>
      <c r="M98">
        <v>1818</v>
      </c>
      <c r="N98">
        <v>1826</v>
      </c>
      <c r="O98">
        <v>1834</v>
      </c>
      <c r="P98">
        <v>1841</v>
      </c>
      <c r="Q98">
        <v>1849</v>
      </c>
      <c r="R98">
        <v>1857</v>
      </c>
      <c r="S98">
        <v>1864</v>
      </c>
      <c r="T98">
        <v>1872</v>
      </c>
      <c r="U98">
        <v>1879</v>
      </c>
      <c r="V98">
        <v>1887</v>
      </c>
      <c r="W98">
        <v>1895</v>
      </c>
      <c r="X98">
        <v>1902</v>
      </c>
      <c r="Y98">
        <v>1910</v>
      </c>
      <c r="Z98">
        <v>1918</v>
      </c>
      <c r="AA98">
        <v>1925</v>
      </c>
      <c r="AB98">
        <v>1933</v>
      </c>
      <c r="AC98">
        <v>1940</v>
      </c>
      <c r="AD98">
        <v>1948</v>
      </c>
      <c r="AE98">
        <v>1956</v>
      </c>
      <c r="AF98">
        <v>1963</v>
      </c>
      <c r="AG98" s="21">
        <v>2E-3</v>
      </c>
    </row>
    <row r="99" spans="1:33" x14ac:dyDescent="0.35">
      <c r="A99" t="s">
        <v>271</v>
      </c>
      <c r="B99" t="s">
        <v>297</v>
      </c>
      <c r="C99" t="s">
        <v>298</v>
      </c>
      <c r="D99" t="s">
        <v>286</v>
      </c>
      <c r="F99">
        <v>3073</v>
      </c>
      <c r="G99">
        <v>2901</v>
      </c>
      <c r="H99">
        <v>2915</v>
      </c>
      <c r="I99">
        <v>2928</v>
      </c>
      <c r="J99">
        <v>2942</v>
      </c>
      <c r="K99">
        <v>2955</v>
      </c>
      <c r="L99">
        <v>2969</v>
      </c>
      <c r="M99">
        <v>2982</v>
      </c>
      <c r="N99">
        <v>2996</v>
      </c>
      <c r="O99">
        <v>3010</v>
      </c>
      <c r="P99">
        <v>3023</v>
      </c>
      <c r="Q99">
        <v>3037</v>
      </c>
      <c r="R99">
        <v>3050</v>
      </c>
      <c r="S99">
        <v>3064</v>
      </c>
      <c r="T99">
        <v>3077</v>
      </c>
      <c r="U99">
        <v>3091</v>
      </c>
      <c r="V99">
        <v>3104</v>
      </c>
      <c r="W99">
        <v>3118</v>
      </c>
      <c r="X99">
        <v>3131</v>
      </c>
      <c r="Y99">
        <v>3145</v>
      </c>
      <c r="Z99">
        <v>3158</v>
      </c>
      <c r="AA99">
        <v>3172</v>
      </c>
      <c r="AB99">
        <v>3185</v>
      </c>
      <c r="AC99">
        <v>3199</v>
      </c>
      <c r="AD99">
        <v>3212</v>
      </c>
      <c r="AE99">
        <v>3226</v>
      </c>
      <c r="AF99">
        <v>3239</v>
      </c>
      <c r="AG99" s="21">
        <v>2E-3</v>
      </c>
    </row>
    <row r="100" spans="1:33" x14ac:dyDescent="0.35">
      <c r="A100" t="s">
        <v>274</v>
      </c>
      <c r="B100" t="s">
        <v>299</v>
      </c>
      <c r="C100" t="s">
        <v>300</v>
      </c>
      <c r="D100" t="s">
        <v>286</v>
      </c>
      <c r="F100">
        <v>1710</v>
      </c>
      <c r="G100">
        <v>1568</v>
      </c>
      <c r="H100">
        <v>1575</v>
      </c>
      <c r="I100">
        <v>1583</v>
      </c>
      <c r="J100">
        <v>1591</v>
      </c>
      <c r="K100">
        <v>1598</v>
      </c>
      <c r="L100">
        <v>1606</v>
      </c>
      <c r="M100">
        <v>1613</v>
      </c>
      <c r="N100">
        <v>1621</v>
      </c>
      <c r="O100">
        <v>1629</v>
      </c>
      <c r="P100">
        <v>1636</v>
      </c>
      <c r="Q100">
        <v>1644</v>
      </c>
      <c r="R100">
        <v>1651</v>
      </c>
      <c r="S100">
        <v>1659</v>
      </c>
      <c r="T100">
        <v>1666</v>
      </c>
      <c r="U100">
        <v>1674</v>
      </c>
      <c r="V100">
        <v>1681</v>
      </c>
      <c r="W100">
        <v>1689</v>
      </c>
      <c r="X100">
        <v>1696</v>
      </c>
      <c r="Y100">
        <v>1703</v>
      </c>
      <c r="Z100">
        <v>1711</v>
      </c>
      <c r="AA100">
        <v>1718</v>
      </c>
      <c r="AB100">
        <v>1725</v>
      </c>
      <c r="AC100">
        <v>1733</v>
      </c>
      <c r="AD100">
        <v>1740</v>
      </c>
      <c r="AE100">
        <v>1747</v>
      </c>
      <c r="AF100">
        <v>1755</v>
      </c>
      <c r="AG100" s="21">
        <v>1E-3</v>
      </c>
    </row>
    <row r="101" spans="1:33" x14ac:dyDescent="0.35">
      <c r="A101" t="s">
        <v>277</v>
      </c>
      <c r="B101" t="s">
        <v>301</v>
      </c>
      <c r="C101" t="s">
        <v>302</v>
      </c>
      <c r="D101" t="s">
        <v>286</v>
      </c>
      <c r="F101">
        <v>1056</v>
      </c>
      <c r="G101">
        <v>1023</v>
      </c>
      <c r="H101">
        <v>1032</v>
      </c>
      <c r="I101">
        <v>1040</v>
      </c>
      <c r="J101">
        <v>1049</v>
      </c>
      <c r="K101">
        <v>1057</v>
      </c>
      <c r="L101">
        <v>1066</v>
      </c>
      <c r="M101">
        <v>1075</v>
      </c>
      <c r="N101">
        <v>1083</v>
      </c>
      <c r="O101">
        <v>1092</v>
      </c>
      <c r="P101">
        <v>1101</v>
      </c>
      <c r="Q101">
        <v>1109</v>
      </c>
      <c r="R101">
        <v>1118</v>
      </c>
      <c r="S101">
        <v>1127</v>
      </c>
      <c r="T101">
        <v>1135</v>
      </c>
      <c r="U101">
        <v>1144</v>
      </c>
      <c r="V101">
        <v>1153</v>
      </c>
      <c r="W101">
        <v>1161</v>
      </c>
      <c r="X101">
        <v>1170</v>
      </c>
      <c r="Y101">
        <v>1179</v>
      </c>
      <c r="Z101">
        <v>1188</v>
      </c>
      <c r="AA101">
        <v>1196</v>
      </c>
      <c r="AB101">
        <v>1205</v>
      </c>
      <c r="AC101">
        <v>1214</v>
      </c>
      <c r="AD101">
        <v>1222</v>
      </c>
      <c r="AE101">
        <v>1231</v>
      </c>
      <c r="AF101">
        <v>1240</v>
      </c>
      <c r="AG101" s="21">
        <v>6.0000000000000001E-3</v>
      </c>
    </row>
    <row r="102" spans="1:33" x14ac:dyDescent="0.35">
      <c r="A102" t="s">
        <v>280</v>
      </c>
      <c r="B102" t="s">
        <v>303</v>
      </c>
      <c r="C102" t="s">
        <v>304</v>
      </c>
      <c r="D102" t="s">
        <v>286</v>
      </c>
      <c r="F102">
        <v>1616.899048</v>
      </c>
      <c r="G102">
        <v>1566.3795170000001</v>
      </c>
      <c r="H102">
        <v>1578.3626710000001</v>
      </c>
      <c r="I102">
        <v>1589.9610600000001</v>
      </c>
      <c r="J102">
        <v>1602.0439449999999</v>
      </c>
      <c r="K102">
        <v>1613.705811</v>
      </c>
      <c r="L102">
        <v>1626.0660399999999</v>
      </c>
      <c r="M102">
        <v>1637.9311520000001</v>
      </c>
      <c r="N102">
        <v>1650.1273189999999</v>
      </c>
      <c r="O102">
        <v>1662.213379</v>
      </c>
      <c r="P102">
        <v>1674.2971190000001</v>
      </c>
      <c r="Q102">
        <v>1686.352173</v>
      </c>
      <c r="R102">
        <v>1698.6342770000001</v>
      </c>
      <c r="S102">
        <v>1711.057495</v>
      </c>
      <c r="T102">
        <v>1722.9598390000001</v>
      </c>
      <c r="U102">
        <v>1735.4678960000001</v>
      </c>
      <c r="V102">
        <v>1747.7921140000001</v>
      </c>
      <c r="W102">
        <v>1760.2924800000001</v>
      </c>
      <c r="X102">
        <v>1772.279053</v>
      </c>
      <c r="Y102">
        <v>1784.803711</v>
      </c>
      <c r="Z102">
        <v>1797.338501</v>
      </c>
      <c r="AA102">
        <v>1809.6791989999999</v>
      </c>
      <c r="AB102">
        <v>1822.108643</v>
      </c>
      <c r="AC102">
        <v>1834.5897219999999</v>
      </c>
      <c r="AD102">
        <v>1846.8101810000001</v>
      </c>
      <c r="AE102">
        <v>1859.140259</v>
      </c>
      <c r="AF102">
        <v>1871.4392089999999</v>
      </c>
      <c r="AG102" s="21">
        <v>6.0000000000000001E-3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49B94-BED6-49D1-8336-63F8C48BFEE8}">
  <dimension ref="A1:AI99"/>
  <sheetViews>
    <sheetView workbookViewId="0">
      <selection activeCell="I15" sqref="I15"/>
    </sheetView>
  </sheetViews>
  <sheetFormatPr defaultRowHeight="14.5" x14ac:dyDescent="0.35"/>
  <cols>
    <col min="1" max="1" width="22.81640625" customWidth="1"/>
  </cols>
  <sheetData>
    <row r="1" spans="1:35" x14ac:dyDescent="0.35">
      <c r="A1" t="s">
        <v>76</v>
      </c>
    </row>
    <row r="2" spans="1:35" x14ac:dyDescent="0.35">
      <c r="A2" t="s">
        <v>305</v>
      </c>
    </row>
    <row r="3" spans="1:35" x14ac:dyDescent="0.35">
      <c r="A3" t="s">
        <v>306</v>
      </c>
    </row>
    <row r="4" spans="1:35" x14ac:dyDescent="0.35">
      <c r="A4" t="s">
        <v>79</v>
      </c>
    </row>
    <row r="5" spans="1:35" x14ac:dyDescent="0.35">
      <c r="B5" t="s">
        <v>80</v>
      </c>
      <c r="C5" t="s">
        <v>81</v>
      </c>
      <c r="D5" t="s">
        <v>82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307</v>
      </c>
    </row>
    <row r="6" spans="1:35" x14ac:dyDescent="0.35">
      <c r="A6" t="s">
        <v>84</v>
      </c>
    </row>
    <row r="7" spans="1:35" x14ac:dyDescent="0.35">
      <c r="A7" t="s">
        <v>85</v>
      </c>
    </row>
    <row r="8" spans="1:35" x14ac:dyDescent="0.35">
      <c r="A8" t="s">
        <v>86</v>
      </c>
      <c r="B8" t="s">
        <v>308</v>
      </c>
      <c r="C8" t="s">
        <v>309</v>
      </c>
      <c r="D8" t="s">
        <v>89</v>
      </c>
      <c r="F8">
        <v>93.44426</v>
      </c>
      <c r="G8">
        <v>94.366943000000006</v>
      </c>
      <c r="H8">
        <v>95.261948000000004</v>
      </c>
      <c r="I8">
        <v>96.233695999999995</v>
      </c>
      <c r="J8">
        <v>97.372681</v>
      </c>
      <c r="K8">
        <v>98.426238999999995</v>
      </c>
      <c r="L8">
        <v>99.435837000000006</v>
      </c>
      <c r="M8">
        <v>100.540588</v>
      </c>
      <c r="N8">
        <v>101.747238</v>
      </c>
      <c r="O8">
        <v>103.031937</v>
      </c>
      <c r="P8">
        <v>104.36438800000001</v>
      </c>
      <c r="Q8">
        <v>105.67115800000001</v>
      </c>
      <c r="R8">
        <v>106.90464</v>
      </c>
      <c r="S8">
        <v>108.064949</v>
      </c>
      <c r="T8">
        <v>109.148827</v>
      </c>
      <c r="U8">
        <v>110.16222399999999</v>
      </c>
      <c r="V8">
        <v>111.118996</v>
      </c>
      <c r="W8">
        <v>112.02248400000001</v>
      </c>
      <c r="X8">
        <v>112.878952</v>
      </c>
      <c r="Y8">
        <v>113.69973</v>
      </c>
      <c r="Z8">
        <v>114.495079</v>
      </c>
      <c r="AA8">
        <v>115.27697000000001</v>
      </c>
      <c r="AB8">
        <v>116.05735</v>
      </c>
      <c r="AC8">
        <v>116.844925</v>
      </c>
      <c r="AD8">
        <v>117.64614899999999</v>
      </c>
      <c r="AE8">
        <v>118.46553</v>
      </c>
      <c r="AF8">
        <v>119.305115</v>
      </c>
      <c r="AG8">
        <v>120.165375</v>
      </c>
      <c r="AH8">
        <v>121.045486</v>
      </c>
      <c r="AI8" s="21">
        <v>8.9999999999999993E-3</v>
      </c>
    </row>
    <row r="9" spans="1:35" x14ac:dyDescent="0.35">
      <c r="A9" t="s">
        <v>90</v>
      </c>
      <c r="B9" t="s">
        <v>310</v>
      </c>
      <c r="C9" t="s">
        <v>311</v>
      </c>
      <c r="D9" t="s">
        <v>89</v>
      </c>
      <c r="F9">
        <v>2.0272770000000002</v>
      </c>
      <c r="G9">
        <v>2.0085120000000001</v>
      </c>
      <c r="H9">
        <v>2.0945999999999998</v>
      </c>
      <c r="I9">
        <v>2.2721680000000002</v>
      </c>
      <c r="J9">
        <v>2.1971470000000002</v>
      </c>
      <c r="K9">
        <v>2.1634509999999998</v>
      </c>
      <c r="L9">
        <v>2.269371</v>
      </c>
      <c r="M9">
        <v>2.382768</v>
      </c>
      <c r="N9">
        <v>2.473055</v>
      </c>
      <c r="O9">
        <v>2.5336780000000001</v>
      </c>
      <c r="P9">
        <v>2.5211169999999998</v>
      </c>
      <c r="Q9">
        <v>2.4608279999999998</v>
      </c>
      <c r="R9">
        <v>2.4002910000000002</v>
      </c>
      <c r="S9">
        <v>2.3361079999999999</v>
      </c>
      <c r="T9">
        <v>2.2773340000000002</v>
      </c>
      <c r="U9">
        <v>2.2319089999999999</v>
      </c>
      <c r="V9">
        <v>2.1893440000000002</v>
      </c>
      <c r="W9">
        <v>2.1525660000000002</v>
      </c>
      <c r="X9">
        <v>2.1266379999999998</v>
      </c>
      <c r="Y9">
        <v>2.1106319999999998</v>
      </c>
      <c r="Z9">
        <v>2.106252</v>
      </c>
      <c r="AA9">
        <v>2.1136330000000001</v>
      </c>
      <c r="AB9">
        <v>2.129588</v>
      </c>
      <c r="AC9">
        <v>2.1519349999999999</v>
      </c>
      <c r="AD9">
        <v>2.1788129999999999</v>
      </c>
      <c r="AE9">
        <v>2.2077830000000001</v>
      </c>
      <c r="AF9">
        <v>2.2373090000000002</v>
      </c>
      <c r="AG9">
        <v>2.2661419999999999</v>
      </c>
      <c r="AH9">
        <v>2.2929360000000001</v>
      </c>
      <c r="AI9" s="21">
        <v>4.0000000000000001E-3</v>
      </c>
    </row>
    <row r="10" spans="1:35" x14ac:dyDescent="0.35">
      <c r="A10" t="s">
        <v>27</v>
      </c>
      <c r="B10" t="s">
        <v>312</v>
      </c>
      <c r="C10" t="s">
        <v>313</v>
      </c>
      <c r="D10" t="s">
        <v>89</v>
      </c>
      <c r="F10">
        <v>95.471535000000003</v>
      </c>
      <c r="G10">
        <v>96.375457999999995</v>
      </c>
      <c r="H10">
        <v>97.356544</v>
      </c>
      <c r="I10">
        <v>98.505866999999995</v>
      </c>
      <c r="J10">
        <v>99.569823999999997</v>
      </c>
      <c r="K10">
        <v>100.589691</v>
      </c>
      <c r="L10">
        <v>101.705208</v>
      </c>
      <c r="M10">
        <v>102.923355</v>
      </c>
      <c r="N10">
        <v>104.220291</v>
      </c>
      <c r="O10">
        <v>105.565613</v>
      </c>
      <c r="P10">
        <v>106.88550600000001</v>
      </c>
      <c r="Q10">
        <v>108.131989</v>
      </c>
      <c r="R10">
        <v>109.30493199999999</v>
      </c>
      <c r="S10">
        <v>110.401054</v>
      </c>
      <c r="T10">
        <v>111.426163</v>
      </c>
      <c r="U10">
        <v>112.39413500000001</v>
      </c>
      <c r="V10">
        <v>113.308342</v>
      </c>
      <c r="W10">
        <v>114.175049</v>
      </c>
      <c r="X10">
        <v>115.00559199999999</v>
      </c>
      <c r="Y10">
        <v>115.81036400000001</v>
      </c>
      <c r="Z10">
        <v>116.60133399999999</v>
      </c>
      <c r="AA10">
        <v>117.390602</v>
      </c>
      <c r="AB10">
        <v>118.18693500000001</v>
      </c>
      <c r="AC10">
        <v>118.99685700000001</v>
      </c>
      <c r="AD10">
        <v>119.82495900000001</v>
      </c>
      <c r="AE10">
        <v>120.673317</v>
      </c>
      <c r="AF10">
        <v>121.542419</v>
      </c>
      <c r="AG10">
        <v>122.43151899999999</v>
      </c>
      <c r="AH10">
        <v>123.338425</v>
      </c>
      <c r="AI10" s="21">
        <v>8.9999999999999993E-3</v>
      </c>
    </row>
    <row r="11" spans="1:35" x14ac:dyDescent="0.35">
      <c r="A11" t="s">
        <v>95</v>
      </c>
    </row>
    <row r="12" spans="1:35" x14ac:dyDescent="0.35">
      <c r="A12" t="s">
        <v>96</v>
      </c>
    </row>
    <row r="13" spans="1:35" x14ac:dyDescent="0.35">
      <c r="A13" t="s">
        <v>97</v>
      </c>
      <c r="B13" t="s">
        <v>314</v>
      </c>
      <c r="C13" t="s">
        <v>315</v>
      </c>
      <c r="D13" t="s">
        <v>100</v>
      </c>
      <c r="F13">
        <v>97.783371000000002</v>
      </c>
      <c r="G13">
        <v>96.373679999999993</v>
      </c>
      <c r="H13">
        <v>94.586517000000001</v>
      </c>
      <c r="I13">
        <v>93.941353000000007</v>
      </c>
      <c r="J13">
        <v>93.461242999999996</v>
      </c>
      <c r="K13">
        <v>92.806595000000002</v>
      </c>
      <c r="L13">
        <v>92.461997999999994</v>
      </c>
      <c r="M13">
        <v>91.902512000000002</v>
      </c>
      <c r="N13">
        <v>91.177718999999996</v>
      </c>
      <c r="O13">
        <v>90.426102</v>
      </c>
      <c r="P13">
        <v>89.704482999999996</v>
      </c>
      <c r="Q13">
        <v>88.942779999999999</v>
      </c>
      <c r="R13">
        <v>88.203415000000007</v>
      </c>
      <c r="S13">
        <v>87.533478000000002</v>
      </c>
      <c r="T13">
        <v>86.942824999999999</v>
      </c>
      <c r="U13">
        <v>86.362342999999996</v>
      </c>
      <c r="V13">
        <v>85.767792</v>
      </c>
      <c r="W13">
        <v>85.219443999999996</v>
      </c>
      <c r="X13">
        <v>84.720359999999999</v>
      </c>
      <c r="Y13">
        <v>84.269615000000002</v>
      </c>
      <c r="Z13">
        <v>83.864127999999994</v>
      </c>
      <c r="AA13">
        <v>83.519119000000003</v>
      </c>
      <c r="AB13">
        <v>83.214995999999999</v>
      </c>
      <c r="AC13">
        <v>82.896759000000003</v>
      </c>
      <c r="AD13">
        <v>82.531181000000004</v>
      </c>
      <c r="AE13">
        <v>82.224677999999997</v>
      </c>
      <c r="AF13">
        <v>81.96669</v>
      </c>
      <c r="AG13">
        <v>81.719336999999996</v>
      </c>
      <c r="AH13">
        <v>81.461876000000004</v>
      </c>
      <c r="AI13" s="21">
        <v>-7.0000000000000001E-3</v>
      </c>
    </row>
    <row r="14" spans="1:35" x14ac:dyDescent="0.35">
      <c r="A14" t="s">
        <v>101</v>
      </c>
      <c r="B14" t="s">
        <v>316</v>
      </c>
      <c r="C14" t="s">
        <v>317</v>
      </c>
      <c r="D14" t="s">
        <v>100</v>
      </c>
      <c r="F14">
        <v>96.520187000000007</v>
      </c>
      <c r="G14">
        <v>94.907600000000002</v>
      </c>
      <c r="H14">
        <v>92.965705999999997</v>
      </c>
      <c r="I14">
        <v>92.204841999999999</v>
      </c>
      <c r="J14">
        <v>91.668807999999999</v>
      </c>
      <c r="K14">
        <v>90.945740000000001</v>
      </c>
      <c r="L14">
        <v>90.547614999999993</v>
      </c>
      <c r="M14">
        <v>89.897819999999996</v>
      </c>
      <c r="N14">
        <v>89.117981</v>
      </c>
      <c r="O14">
        <v>88.313621999999995</v>
      </c>
      <c r="P14">
        <v>87.548271</v>
      </c>
      <c r="Q14">
        <v>86.710746999999998</v>
      </c>
      <c r="R14">
        <v>85.890129000000002</v>
      </c>
      <c r="S14">
        <v>85.181640999999999</v>
      </c>
      <c r="T14">
        <v>84.502601999999996</v>
      </c>
      <c r="U14">
        <v>83.877906999999993</v>
      </c>
      <c r="V14">
        <v>83.211494000000002</v>
      </c>
      <c r="W14">
        <v>82.597617999999997</v>
      </c>
      <c r="X14">
        <v>82.042580000000001</v>
      </c>
      <c r="Y14">
        <v>81.545753000000005</v>
      </c>
      <c r="Z14">
        <v>81.104857999999993</v>
      </c>
      <c r="AA14">
        <v>80.731537000000003</v>
      </c>
      <c r="AB14">
        <v>80.403251999999995</v>
      </c>
      <c r="AC14">
        <v>80.062279000000004</v>
      </c>
      <c r="AD14">
        <v>79.645531000000005</v>
      </c>
      <c r="AE14">
        <v>79.335136000000006</v>
      </c>
      <c r="AF14">
        <v>79.057586999999998</v>
      </c>
      <c r="AG14">
        <v>78.810997</v>
      </c>
      <c r="AH14">
        <v>78.560989000000006</v>
      </c>
      <c r="AI14" s="21">
        <v>-7.0000000000000001E-3</v>
      </c>
    </row>
    <row r="15" spans="1:35" x14ac:dyDescent="0.35">
      <c r="A15" t="s">
        <v>104</v>
      </c>
    </row>
    <row r="16" spans="1:35" x14ac:dyDescent="0.35">
      <c r="A16" t="s">
        <v>105</v>
      </c>
      <c r="F16">
        <f>F24*About!B31</f>
        <v>126.205648</v>
      </c>
    </row>
    <row r="17" spans="1:35" x14ac:dyDescent="0.35">
      <c r="A17" t="s">
        <v>106</v>
      </c>
      <c r="B17" t="s">
        <v>318</v>
      </c>
      <c r="C17" t="s">
        <v>319</v>
      </c>
      <c r="D17" t="s">
        <v>109</v>
      </c>
      <c r="F17">
        <v>0.119273</v>
      </c>
      <c r="G17">
        <v>0.11836099999999999</v>
      </c>
      <c r="H17">
        <v>0.110862</v>
      </c>
      <c r="I17">
        <v>0.111099</v>
      </c>
      <c r="J17">
        <v>0.111147</v>
      </c>
      <c r="K17">
        <v>0.11085399999999999</v>
      </c>
      <c r="L17">
        <v>0.110384</v>
      </c>
      <c r="M17">
        <v>0.109759</v>
      </c>
      <c r="N17">
        <v>0.108987</v>
      </c>
      <c r="O17">
        <v>0.10828500000000001</v>
      </c>
      <c r="P17">
        <v>0.10747900000000001</v>
      </c>
      <c r="Q17">
        <v>0.106449</v>
      </c>
      <c r="R17">
        <v>0.10527499999999999</v>
      </c>
      <c r="S17">
        <v>0.104142</v>
      </c>
      <c r="T17">
        <v>0.10298300000000001</v>
      </c>
      <c r="U17">
        <v>0.10173699999999999</v>
      </c>
      <c r="V17">
        <v>0.10034700000000001</v>
      </c>
      <c r="W17">
        <v>9.8874000000000004E-2</v>
      </c>
      <c r="X17">
        <v>9.7414000000000001E-2</v>
      </c>
      <c r="Y17">
        <v>9.6060000000000006E-2</v>
      </c>
      <c r="Z17">
        <v>9.4757999999999995E-2</v>
      </c>
      <c r="AA17">
        <v>9.3488000000000002E-2</v>
      </c>
      <c r="AB17">
        <v>9.2216000000000006E-2</v>
      </c>
      <c r="AC17">
        <v>9.0939000000000006E-2</v>
      </c>
      <c r="AD17">
        <v>8.9707999999999996E-2</v>
      </c>
      <c r="AE17">
        <v>8.8523000000000004E-2</v>
      </c>
      <c r="AF17">
        <v>8.7315000000000004E-2</v>
      </c>
      <c r="AG17">
        <v>8.6134000000000002E-2</v>
      </c>
      <c r="AH17">
        <v>8.4989999999999996E-2</v>
      </c>
      <c r="AI17" s="21">
        <v>-1.2E-2</v>
      </c>
    </row>
    <row r="18" spans="1:35" x14ac:dyDescent="0.35">
      <c r="A18" t="s">
        <v>151</v>
      </c>
      <c r="B18" t="s">
        <v>320</v>
      </c>
      <c r="C18" t="s">
        <v>321</v>
      </c>
      <c r="D18" t="s">
        <v>109</v>
      </c>
      <c r="F18">
        <v>0.54288000000000003</v>
      </c>
      <c r="G18">
        <v>0.477379</v>
      </c>
      <c r="H18">
        <v>0.55079100000000003</v>
      </c>
      <c r="I18">
        <v>0.56004500000000002</v>
      </c>
      <c r="J18">
        <v>0.56774999999999998</v>
      </c>
      <c r="K18">
        <v>0.57508499999999996</v>
      </c>
      <c r="L18">
        <v>0.58246200000000004</v>
      </c>
      <c r="M18">
        <v>0.58957300000000001</v>
      </c>
      <c r="N18">
        <v>0.59539600000000004</v>
      </c>
      <c r="O18">
        <v>0.601495</v>
      </c>
      <c r="P18">
        <v>0.60778500000000002</v>
      </c>
      <c r="Q18">
        <v>0.61240499999999998</v>
      </c>
      <c r="R18">
        <v>0.61662799999999995</v>
      </c>
      <c r="S18">
        <v>0.62129199999999996</v>
      </c>
      <c r="T18">
        <v>0.62604599999999999</v>
      </c>
      <c r="U18">
        <v>0.63073500000000005</v>
      </c>
      <c r="V18">
        <v>0.63493599999999994</v>
      </c>
      <c r="W18">
        <v>0.63913600000000004</v>
      </c>
      <c r="X18">
        <v>0.64287499999999997</v>
      </c>
      <c r="Y18">
        <v>0.647011</v>
      </c>
      <c r="Z18">
        <v>0.65148700000000004</v>
      </c>
      <c r="AA18">
        <v>0.65618699999999996</v>
      </c>
      <c r="AB18">
        <v>0.66127499999999995</v>
      </c>
      <c r="AC18">
        <v>0.66691500000000004</v>
      </c>
      <c r="AD18">
        <v>0.67370399999999997</v>
      </c>
      <c r="AE18">
        <v>0.68126399999999998</v>
      </c>
      <c r="AF18">
        <v>0.68905400000000006</v>
      </c>
      <c r="AG18">
        <v>0.696994</v>
      </c>
      <c r="AH18">
        <v>0.70569899999999997</v>
      </c>
      <c r="AI18" s="21">
        <v>8.9999999999999993E-3</v>
      </c>
    </row>
    <row r="19" spans="1:35" x14ac:dyDescent="0.35">
      <c r="A19" t="s">
        <v>113</v>
      </c>
      <c r="B19" t="s">
        <v>322</v>
      </c>
      <c r="C19" t="s">
        <v>323</v>
      </c>
      <c r="D19" t="s">
        <v>109</v>
      </c>
      <c r="F19">
        <v>2.4215E-2</v>
      </c>
      <c r="G19">
        <v>2.3555E-2</v>
      </c>
      <c r="H19">
        <v>2.3130000000000001E-2</v>
      </c>
      <c r="I19">
        <v>2.2870000000000001E-2</v>
      </c>
      <c r="J19">
        <v>2.2631999999999999E-2</v>
      </c>
      <c r="K19">
        <v>2.2556E-2</v>
      </c>
      <c r="L19">
        <v>2.2463E-2</v>
      </c>
      <c r="M19">
        <v>2.2349999999999998E-2</v>
      </c>
      <c r="N19">
        <v>2.2206E-2</v>
      </c>
      <c r="O19">
        <v>2.2058999999999999E-2</v>
      </c>
      <c r="P19">
        <v>2.1898999999999998E-2</v>
      </c>
      <c r="Q19">
        <v>2.1687999999999999E-2</v>
      </c>
      <c r="R19">
        <v>2.1453E-2</v>
      </c>
      <c r="S19">
        <v>2.1236000000000001E-2</v>
      </c>
      <c r="T19">
        <v>2.1016E-2</v>
      </c>
      <c r="U19">
        <v>2.0782999999999999E-2</v>
      </c>
      <c r="V19">
        <v>2.0525999999999999E-2</v>
      </c>
      <c r="W19">
        <v>2.0267E-2</v>
      </c>
      <c r="X19">
        <v>2.001E-2</v>
      </c>
      <c r="Y19">
        <v>1.9778E-2</v>
      </c>
      <c r="Z19">
        <v>1.9556E-2</v>
      </c>
      <c r="AA19">
        <v>1.9342000000000002E-2</v>
      </c>
      <c r="AB19">
        <v>1.9133000000000001E-2</v>
      </c>
      <c r="AC19">
        <v>1.8929999999999999E-2</v>
      </c>
      <c r="AD19">
        <v>1.8741000000000001E-2</v>
      </c>
      <c r="AE19">
        <v>1.857E-2</v>
      </c>
      <c r="AF19">
        <v>1.84E-2</v>
      </c>
      <c r="AG19">
        <v>1.8238999999999998E-2</v>
      </c>
      <c r="AH19">
        <v>1.8093999999999999E-2</v>
      </c>
      <c r="AI19" s="21">
        <v>-0.01</v>
      </c>
    </row>
    <row r="20" spans="1:35" x14ac:dyDescent="0.35">
      <c r="A20" t="s">
        <v>116</v>
      </c>
      <c r="B20" t="s">
        <v>324</v>
      </c>
      <c r="C20" t="s">
        <v>325</v>
      </c>
      <c r="D20" t="s">
        <v>109</v>
      </c>
      <c r="F20">
        <v>0.41879300000000003</v>
      </c>
      <c r="G20">
        <v>0.407891</v>
      </c>
      <c r="H20">
        <v>0.40001900000000001</v>
      </c>
      <c r="I20">
        <v>0.394285</v>
      </c>
      <c r="J20">
        <v>0.38813999999999999</v>
      </c>
      <c r="K20">
        <v>0.38119500000000001</v>
      </c>
      <c r="L20">
        <v>0.37394899999999998</v>
      </c>
      <c r="M20">
        <v>0.36649399999999999</v>
      </c>
      <c r="N20">
        <v>0.35841099999999998</v>
      </c>
      <c r="O20">
        <v>0.35066599999999998</v>
      </c>
      <c r="P20">
        <v>0.34295799999999999</v>
      </c>
      <c r="Q20">
        <v>0.33487299999999998</v>
      </c>
      <c r="R20">
        <v>0.32677299999999998</v>
      </c>
      <c r="S20">
        <v>0.31914799999999999</v>
      </c>
      <c r="T20">
        <v>0.311811</v>
      </c>
      <c r="U20">
        <v>0.30456</v>
      </c>
      <c r="V20">
        <v>0.29719499999999999</v>
      </c>
      <c r="W20">
        <v>0.28995700000000002</v>
      </c>
      <c r="X20">
        <v>0.28303099999999998</v>
      </c>
      <c r="Y20">
        <v>0.276615</v>
      </c>
      <c r="Z20">
        <v>0.270569</v>
      </c>
      <c r="AA20">
        <v>0.26481399999999999</v>
      </c>
      <c r="AB20">
        <v>0.25929200000000002</v>
      </c>
      <c r="AC20">
        <v>0.25397799999999998</v>
      </c>
      <c r="AD20">
        <v>0.24892300000000001</v>
      </c>
      <c r="AE20">
        <v>0.24418300000000001</v>
      </c>
      <c r="AF20">
        <v>0.239593</v>
      </c>
      <c r="AG20">
        <v>0.23527899999999999</v>
      </c>
      <c r="AH20">
        <v>0.23125899999999999</v>
      </c>
      <c r="AI20" s="21">
        <v>-2.1000000000000001E-2</v>
      </c>
    </row>
    <row r="21" spans="1:35" x14ac:dyDescent="0.35">
      <c r="A21" t="s">
        <v>119</v>
      </c>
      <c r="B21" t="s">
        <v>326</v>
      </c>
      <c r="C21" t="s">
        <v>327</v>
      </c>
      <c r="D21" t="s">
        <v>109</v>
      </c>
      <c r="F21">
        <v>8.2377000000000006E-2</v>
      </c>
      <c r="G21">
        <v>8.1711000000000006E-2</v>
      </c>
      <c r="H21">
        <v>8.1786999999999999E-2</v>
      </c>
      <c r="I21">
        <v>8.2300999999999999E-2</v>
      </c>
      <c r="J21">
        <v>8.2629999999999995E-2</v>
      </c>
      <c r="K21">
        <v>8.2722000000000004E-2</v>
      </c>
      <c r="L21">
        <v>8.2723000000000005E-2</v>
      </c>
      <c r="M21">
        <v>8.2640000000000005E-2</v>
      </c>
      <c r="N21">
        <v>8.2437999999999997E-2</v>
      </c>
      <c r="O21">
        <v>8.2239999999999994E-2</v>
      </c>
      <c r="P21">
        <v>8.1999000000000002E-2</v>
      </c>
      <c r="Q21">
        <v>8.1576999999999997E-2</v>
      </c>
      <c r="R21">
        <v>8.1060999999999994E-2</v>
      </c>
      <c r="S21">
        <v>8.0576999999999996E-2</v>
      </c>
      <c r="T21">
        <v>8.0064999999999997E-2</v>
      </c>
      <c r="U21">
        <v>7.9491000000000006E-2</v>
      </c>
      <c r="V21">
        <v>7.8826999999999994E-2</v>
      </c>
      <c r="W21">
        <v>7.8130000000000005E-2</v>
      </c>
      <c r="X21">
        <v>7.7412999999999996E-2</v>
      </c>
      <c r="Y21">
        <v>7.6771000000000006E-2</v>
      </c>
      <c r="Z21">
        <v>7.6152999999999998E-2</v>
      </c>
      <c r="AA21">
        <v>7.5556999999999999E-2</v>
      </c>
      <c r="AB21">
        <v>7.4978000000000003E-2</v>
      </c>
      <c r="AC21">
        <v>7.4414999999999995E-2</v>
      </c>
      <c r="AD21">
        <v>7.3903999999999997E-2</v>
      </c>
      <c r="AE21">
        <v>7.3455999999999994E-2</v>
      </c>
      <c r="AF21">
        <v>7.2993000000000002E-2</v>
      </c>
      <c r="AG21">
        <v>7.2537000000000004E-2</v>
      </c>
      <c r="AH21">
        <v>7.2122000000000006E-2</v>
      </c>
      <c r="AI21" s="21">
        <v>-5.0000000000000001E-3</v>
      </c>
    </row>
    <row r="22" spans="1:35" x14ac:dyDescent="0.35">
      <c r="A22" t="s">
        <v>122</v>
      </c>
      <c r="B22" t="s">
        <v>328</v>
      </c>
      <c r="C22" t="s">
        <v>329</v>
      </c>
      <c r="D22" t="s">
        <v>109</v>
      </c>
      <c r="F22">
        <v>0.49728099999999997</v>
      </c>
      <c r="G22">
        <v>0.48855999999999999</v>
      </c>
      <c r="H22">
        <v>0.48579499999999998</v>
      </c>
      <c r="I22">
        <v>0.48757200000000001</v>
      </c>
      <c r="J22">
        <v>0.48936600000000002</v>
      </c>
      <c r="K22">
        <v>0.490566</v>
      </c>
      <c r="L22">
        <v>0.49202499999999999</v>
      </c>
      <c r="M22">
        <v>0.49368899999999999</v>
      </c>
      <c r="N22">
        <v>0.49101899999999998</v>
      </c>
      <c r="O22">
        <v>0.48896099999999998</v>
      </c>
      <c r="P22">
        <v>0.48697299999999999</v>
      </c>
      <c r="Q22">
        <v>0.48422700000000002</v>
      </c>
      <c r="R22">
        <v>0.48097899999999999</v>
      </c>
      <c r="S22">
        <v>0.47800999999999999</v>
      </c>
      <c r="T22">
        <v>0.474966</v>
      </c>
      <c r="U22">
        <v>0.47095500000000001</v>
      </c>
      <c r="V22">
        <v>0.46600999999999998</v>
      </c>
      <c r="W22">
        <v>0.45994200000000002</v>
      </c>
      <c r="X22">
        <v>0.45792899999999997</v>
      </c>
      <c r="Y22">
        <v>0.45681100000000002</v>
      </c>
      <c r="Z22">
        <v>0.45597100000000002</v>
      </c>
      <c r="AA22">
        <v>0.45552999999999999</v>
      </c>
      <c r="AB22">
        <v>0.455459</v>
      </c>
      <c r="AC22">
        <v>0.45567999999999997</v>
      </c>
      <c r="AD22">
        <v>0.45632899999999998</v>
      </c>
      <c r="AE22">
        <v>0.45772200000000002</v>
      </c>
      <c r="AF22">
        <v>0.45915800000000001</v>
      </c>
      <c r="AG22">
        <v>0.460843</v>
      </c>
      <c r="AH22">
        <v>0.46300400000000003</v>
      </c>
      <c r="AI22" s="21">
        <v>-3.0000000000000001E-3</v>
      </c>
    </row>
    <row r="23" spans="1:35" x14ac:dyDescent="0.35">
      <c r="A23" t="s">
        <v>125</v>
      </c>
      <c r="B23" t="s">
        <v>330</v>
      </c>
      <c r="C23" t="s">
        <v>331</v>
      </c>
      <c r="D23" t="s">
        <v>109</v>
      </c>
      <c r="F23">
        <v>0.603352</v>
      </c>
      <c r="G23">
        <v>0.60135499999999997</v>
      </c>
      <c r="H23">
        <v>0.60267999999999999</v>
      </c>
      <c r="I23">
        <v>0.60644600000000004</v>
      </c>
      <c r="J23">
        <v>0.60968599999999995</v>
      </c>
      <c r="K23">
        <v>0.61227900000000002</v>
      </c>
      <c r="L23">
        <v>0.61520399999999997</v>
      </c>
      <c r="M23">
        <v>0.61849299999999996</v>
      </c>
      <c r="N23">
        <v>0.62074799999999997</v>
      </c>
      <c r="O23">
        <v>0.62390000000000001</v>
      </c>
      <c r="P23">
        <v>0.62699000000000005</v>
      </c>
      <c r="Q23">
        <v>0.62938700000000003</v>
      </c>
      <c r="R23">
        <v>0.63132500000000003</v>
      </c>
      <c r="S23">
        <v>0.63321400000000005</v>
      </c>
      <c r="T23">
        <v>0.63485499999999995</v>
      </c>
      <c r="U23">
        <v>0.63615500000000003</v>
      </c>
      <c r="V23">
        <v>0.636938</v>
      </c>
      <c r="W23">
        <v>0.63747399999999999</v>
      </c>
      <c r="X23">
        <v>0.63791900000000001</v>
      </c>
      <c r="Y23">
        <v>0.63905800000000001</v>
      </c>
      <c r="Z23">
        <v>0.64029400000000003</v>
      </c>
      <c r="AA23">
        <v>0.64160899999999998</v>
      </c>
      <c r="AB23">
        <v>0.642984</v>
      </c>
      <c r="AC23">
        <v>0.64441700000000002</v>
      </c>
      <c r="AD23">
        <v>0.64599600000000001</v>
      </c>
      <c r="AE23">
        <v>0.64779299999999995</v>
      </c>
      <c r="AF23">
        <v>0.64965700000000004</v>
      </c>
      <c r="AG23">
        <v>0.65169699999999997</v>
      </c>
      <c r="AH23">
        <v>0.65393400000000002</v>
      </c>
      <c r="AI23" s="21">
        <v>3.0000000000000001E-3</v>
      </c>
    </row>
    <row r="24" spans="1:35" x14ac:dyDescent="0.35">
      <c r="A24" t="s">
        <v>28</v>
      </c>
      <c r="B24" t="s">
        <v>332</v>
      </c>
      <c r="C24" t="s">
        <v>333</v>
      </c>
      <c r="D24" t="s">
        <v>109</v>
      </c>
      <c r="F24">
        <v>0.43073600000000001</v>
      </c>
      <c r="G24">
        <v>0.434585</v>
      </c>
      <c r="H24">
        <v>0.43993500000000002</v>
      </c>
      <c r="I24">
        <v>0.447378</v>
      </c>
      <c r="J24">
        <v>0.45436900000000002</v>
      </c>
      <c r="K24">
        <v>0.46098600000000001</v>
      </c>
      <c r="L24">
        <v>0.46887200000000001</v>
      </c>
      <c r="M24">
        <v>0.477159</v>
      </c>
      <c r="N24">
        <v>0.48619699999999999</v>
      </c>
      <c r="O24">
        <v>0.49543300000000001</v>
      </c>
      <c r="P24">
        <v>0.50508200000000003</v>
      </c>
      <c r="Q24">
        <v>0.51431199999999999</v>
      </c>
      <c r="R24">
        <v>0.52371100000000004</v>
      </c>
      <c r="S24">
        <v>0.53291500000000003</v>
      </c>
      <c r="T24">
        <v>0.54290400000000005</v>
      </c>
      <c r="U24">
        <v>0.55216500000000002</v>
      </c>
      <c r="V24">
        <v>0.56217499999999998</v>
      </c>
      <c r="W24">
        <v>0.57200700000000004</v>
      </c>
      <c r="X24">
        <v>0.58174599999999999</v>
      </c>
      <c r="Y24">
        <v>0.59145400000000004</v>
      </c>
      <c r="Z24">
        <v>0.60173699999999997</v>
      </c>
      <c r="AA24">
        <v>0.61264799999999997</v>
      </c>
      <c r="AB24">
        <v>0.62317100000000003</v>
      </c>
      <c r="AC24">
        <v>0.63440600000000003</v>
      </c>
      <c r="AD24">
        <v>0.64643499999999998</v>
      </c>
      <c r="AE24">
        <v>0.65822099999999995</v>
      </c>
      <c r="AF24">
        <v>0.67073700000000003</v>
      </c>
      <c r="AG24">
        <v>0.68349800000000005</v>
      </c>
      <c r="AH24">
        <v>0.69654000000000005</v>
      </c>
      <c r="AI24" s="21">
        <v>1.7000000000000001E-2</v>
      </c>
    </row>
    <row r="25" spans="1:35" x14ac:dyDescent="0.35">
      <c r="A25" t="s">
        <v>130</v>
      </c>
      <c r="B25" t="s">
        <v>334</v>
      </c>
      <c r="C25" t="s">
        <v>335</v>
      </c>
      <c r="D25" t="s">
        <v>109</v>
      </c>
      <c r="F25">
        <v>0.174708</v>
      </c>
      <c r="G25">
        <v>0.173262</v>
      </c>
      <c r="H25">
        <v>0.17277699999999999</v>
      </c>
      <c r="I25">
        <v>0.17319300000000001</v>
      </c>
      <c r="J25">
        <v>0.17386399999999999</v>
      </c>
      <c r="K25">
        <v>0.174594</v>
      </c>
      <c r="L25">
        <v>0.17566599999999999</v>
      </c>
      <c r="M25">
        <v>0.17710699999999999</v>
      </c>
      <c r="N25">
        <v>0.17887400000000001</v>
      </c>
      <c r="O25">
        <v>0.180673</v>
      </c>
      <c r="P25">
        <v>0.18267900000000001</v>
      </c>
      <c r="Q25">
        <v>0.184498</v>
      </c>
      <c r="R25">
        <v>0.185888</v>
      </c>
      <c r="S25">
        <v>0.18745700000000001</v>
      </c>
      <c r="T25">
        <v>0.18862699999999999</v>
      </c>
      <c r="U25">
        <v>0.18968199999999999</v>
      </c>
      <c r="V25">
        <v>0.190608</v>
      </c>
      <c r="W25">
        <v>0.190859</v>
      </c>
      <c r="X25">
        <v>0.19103999999999999</v>
      </c>
      <c r="Y25">
        <v>0.19087699999999999</v>
      </c>
      <c r="Z25">
        <v>0.19009000000000001</v>
      </c>
      <c r="AA25">
        <v>0.18897900000000001</v>
      </c>
      <c r="AB25">
        <v>0.18754999999999999</v>
      </c>
      <c r="AC25">
        <v>0.1855</v>
      </c>
      <c r="AD25">
        <v>0.183143</v>
      </c>
      <c r="AE25">
        <v>0.180174</v>
      </c>
      <c r="AF25">
        <v>0.176542</v>
      </c>
      <c r="AG25">
        <v>0.17224400000000001</v>
      </c>
      <c r="AH25">
        <v>0.16695299999999999</v>
      </c>
      <c r="AI25" s="21">
        <v>-2E-3</v>
      </c>
    </row>
    <row r="26" spans="1:35" x14ac:dyDescent="0.35">
      <c r="A26" t="s">
        <v>133</v>
      </c>
      <c r="B26" t="s">
        <v>336</v>
      </c>
      <c r="C26" t="s">
        <v>337</v>
      </c>
      <c r="D26" t="s">
        <v>109</v>
      </c>
      <c r="F26">
        <v>1.8214999999999999</v>
      </c>
      <c r="G26">
        <v>1.853537</v>
      </c>
      <c r="H26">
        <v>1.8354539999999999</v>
      </c>
      <c r="I26">
        <v>1.821644</v>
      </c>
      <c r="J26">
        <v>1.820174</v>
      </c>
      <c r="K26">
        <v>1.8173820000000001</v>
      </c>
      <c r="L26">
        <v>1.8377559999999999</v>
      </c>
      <c r="M26">
        <v>1.8595930000000001</v>
      </c>
      <c r="N26">
        <v>1.882188</v>
      </c>
      <c r="O26">
        <v>1.9058200000000001</v>
      </c>
      <c r="P26">
        <v>1.9294819999999999</v>
      </c>
      <c r="Q26">
        <v>1.951943</v>
      </c>
      <c r="R26">
        <v>1.9733750000000001</v>
      </c>
      <c r="S26">
        <v>1.994686</v>
      </c>
      <c r="T26">
        <v>2.0159479999999999</v>
      </c>
      <c r="U26">
        <v>2.0364469999999999</v>
      </c>
      <c r="V26">
        <v>2.0566209999999998</v>
      </c>
      <c r="W26">
        <v>2.0767880000000001</v>
      </c>
      <c r="X26">
        <v>2.096851</v>
      </c>
      <c r="Y26">
        <v>2.1177489999999999</v>
      </c>
      <c r="Z26">
        <v>2.1392600000000002</v>
      </c>
      <c r="AA26">
        <v>2.1619060000000001</v>
      </c>
      <c r="AB26">
        <v>2.1855560000000001</v>
      </c>
      <c r="AC26">
        <v>2.21069</v>
      </c>
      <c r="AD26">
        <v>2.236834</v>
      </c>
      <c r="AE26">
        <v>2.2647439999999999</v>
      </c>
      <c r="AF26">
        <v>2.2939790000000002</v>
      </c>
      <c r="AG26">
        <v>2.3243649999999998</v>
      </c>
      <c r="AH26">
        <v>2.3563890000000001</v>
      </c>
      <c r="AI26" s="21">
        <v>8.9999999999999993E-3</v>
      </c>
    </row>
    <row r="27" spans="1:35" x14ac:dyDescent="0.35">
      <c r="A27" t="s">
        <v>338</v>
      </c>
      <c r="B27" t="s">
        <v>339</v>
      </c>
      <c r="C27" t="s">
        <v>340</v>
      </c>
      <c r="D27" t="s">
        <v>109</v>
      </c>
      <c r="F27">
        <v>4.7151149999999999</v>
      </c>
      <c r="G27">
        <v>4.660196</v>
      </c>
      <c r="H27">
        <v>4.7032290000000003</v>
      </c>
      <c r="I27">
        <v>4.7068329999999996</v>
      </c>
      <c r="J27">
        <v>4.7197579999999997</v>
      </c>
      <c r="K27">
        <v>4.7282190000000002</v>
      </c>
      <c r="L27">
        <v>4.7615030000000003</v>
      </c>
      <c r="M27">
        <v>4.796856</v>
      </c>
      <c r="N27">
        <v>4.8264649999999998</v>
      </c>
      <c r="O27">
        <v>4.8595329999999999</v>
      </c>
      <c r="P27">
        <v>4.8933260000000001</v>
      </c>
      <c r="Q27">
        <v>4.92136</v>
      </c>
      <c r="R27">
        <v>4.9464670000000002</v>
      </c>
      <c r="S27">
        <v>4.9726759999999999</v>
      </c>
      <c r="T27">
        <v>4.9992200000000002</v>
      </c>
      <c r="U27">
        <v>5.0227110000000001</v>
      </c>
      <c r="V27">
        <v>5.0441830000000003</v>
      </c>
      <c r="W27">
        <v>5.063434</v>
      </c>
      <c r="X27">
        <v>5.0862280000000002</v>
      </c>
      <c r="Y27">
        <v>5.1121850000000002</v>
      </c>
      <c r="Z27">
        <v>5.139875</v>
      </c>
      <c r="AA27">
        <v>5.1700590000000002</v>
      </c>
      <c r="AB27">
        <v>5.201613</v>
      </c>
      <c r="AC27">
        <v>5.2358710000000004</v>
      </c>
      <c r="AD27">
        <v>5.2737179999999997</v>
      </c>
      <c r="AE27">
        <v>5.3146490000000002</v>
      </c>
      <c r="AF27">
        <v>5.3574289999999998</v>
      </c>
      <c r="AG27">
        <v>5.4018309999999996</v>
      </c>
      <c r="AH27">
        <v>5.448982</v>
      </c>
      <c r="AI27" s="21">
        <v>5.0000000000000001E-3</v>
      </c>
    </row>
    <row r="28" spans="1:35" x14ac:dyDescent="0.35">
      <c r="A28" t="s">
        <v>142</v>
      </c>
      <c r="B28" t="s">
        <v>341</v>
      </c>
      <c r="C28" t="s">
        <v>342</v>
      </c>
      <c r="D28" t="s">
        <v>109</v>
      </c>
      <c r="F28">
        <v>0.120598</v>
      </c>
      <c r="G28">
        <v>0.141293</v>
      </c>
      <c r="H28">
        <v>0.15779599999999999</v>
      </c>
      <c r="I28">
        <v>0.17105699999999999</v>
      </c>
      <c r="J28">
        <v>0.17847299999999999</v>
      </c>
      <c r="K28">
        <v>0.18718199999999999</v>
      </c>
      <c r="L28">
        <v>0.19470299999999999</v>
      </c>
      <c r="M28">
        <v>0.20632900000000001</v>
      </c>
      <c r="N28">
        <v>0.214666</v>
      </c>
      <c r="O28">
        <v>0.22300600000000001</v>
      </c>
      <c r="P28">
        <v>0.23046800000000001</v>
      </c>
      <c r="Q28">
        <v>0.24135400000000001</v>
      </c>
      <c r="R28">
        <v>0.25285299999999999</v>
      </c>
      <c r="S28">
        <v>0.25964599999999999</v>
      </c>
      <c r="T28">
        <v>0.27190500000000001</v>
      </c>
      <c r="U28">
        <v>0.27923599999999998</v>
      </c>
      <c r="V28">
        <v>0.28964899999999999</v>
      </c>
      <c r="W28">
        <v>0.299346</v>
      </c>
      <c r="X28">
        <v>0.30795899999999998</v>
      </c>
      <c r="Y28">
        <v>0.31545000000000001</v>
      </c>
      <c r="Z28">
        <v>0.32173499999999999</v>
      </c>
      <c r="AA28">
        <v>0.32723600000000003</v>
      </c>
      <c r="AB28">
        <v>0.33231100000000002</v>
      </c>
      <c r="AC28">
        <v>0.33729500000000001</v>
      </c>
      <c r="AD28">
        <v>0.34577400000000003</v>
      </c>
      <c r="AE28">
        <v>0.34869</v>
      </c>
      <c r="AF28">
        <v>0.35358000000000001</v>
      </c>
      <c r="AG28">
        <v>0.35607299999999997</v>
      </c>
      <c r="AH28">
        <v>0.35779100000000003</v>
      </c>
      <c r="AI28" s="21">
        <v>0.04</v>
      </c>
    </row>
    <row r="29" spans="1:35" x14ac:dyDescent="0.35">
      <c r="A29" t="s">
        <v>343</v>
      </c>
      <c r="B29" t="s">
        <v>344</v>
      </c>
      <c r="C29" t="s">
        <v>345</v>
      </c>
      <c r="D29" t="s">
        <v>109</v>
      </c>
      <c r="F29">
        <v>4.5945159999999996</v>
      </c>
      <c r="G29">
        <v>4.5189029999999999</v>
      </c>
      <c r="H29">
        <v>4.5454340000000002</v>
      </c>
      <c r="I29">
        <v>4.5357770000000004</v>
      </c>
      <c r="J29">
        <v>4.5412850000000002</v>
      </c>
      <c r="K29">
        <v>4.5410360000000001</v>
      </c>
      <c r="L29">
        <v>4.5667999999999997</v>
      </c>
      <c r="M29">
        <v>4.5905269999999998</v>
      </c>
      <c r="N29">
        <v>4.6117980000000003</v>
      </c>
      <c r="O29">
        <v>4.6365270000000001</v>
      </c>
      <c r="P29">
        <v>4.6628579999999999</v>
      </c>
      <c r="Q29">
        <v>4.6800059999999997</v>
      </c>
      <c r="R29">
        <v>4.6936140000000002</v>
      </c>
      <c r="S29">
        <v>4.7130299999999998</v>
      </c>
      <c r="T29">
        <v>4.7273149999999999</v>
      </c>
      <c r="U29">
        <v>4.7434750000000001</v>
      </c>
      <c r="V29">
        <v>4.7545330000000003</v>
      </c>
      <c r="W29">
        <v>4.7640880000000001</v>
      </c>
      <c r="X29">
        <v>4.77827</v>
      </c>
      <c r="Y29">
        <v>4.796735</v>
      </c>
      <c r="Z29">
        <v>4.8181409999999998</v>
      </c>
      <c r="AA29">
        <v>4.8428240000000002</v>
      </c>
      <c r="AB29">
        <v>4.8693020000000002</v>
      </c>
      <c r="AC29">
        <v>4.8985760000000003</v>
      </c>
      <c r="AD29">
        <v>4.9279440000000001</v>
      </c>
      <c r="AE29">
        <v>4.9659589999999998</v>
      </c>
      <c r="AF29">
        <v>5.0038489999999998</v>
      </c>
      <c r="AG29">
        <v>5.045757</v>
      </c>
      <c r="AH29">
        <v>5.0911910000000002</v>
      </c>
      <c r="AI29" s="21">
        <v>4.0000000000000001E-3</v>
      </c>
    </row>
    <row r="30" spans="1:35" x14ac:dyDescent="0.35">
      <c r="A30" t="s">
        <v>148</v>
      </c>
    </row>
    <row r="31" spans="1:35" x14ac:dyDescent="0.35">
      <c r="A31" t="s">
        <v>106</v>
      </c>
      <c r="B31" t="s">
        <v>346</v>
      </c>
      <c r="C31" t="s">
        <v>347</v>
      </c>
      <c r="D31" t="s">
        <v>109</v>
      </c>
      <c r="F31">
        <v>1.8254539999999999</v>
      </c>
      <c r="G31">
        <v>1.7947</v>
      </c>
      <c r="H31">
        <v>1.7061729999999999</v>
      </c>
      <c r="I31">
        <v>1.7385660000000001</v>
      </c>
      <c r="J31">
        <v>1.7639400000000001</v>
      </c>
      <c r="K31">
        <v>1.779544</v>
      </c>
      <c r="L31">
        <v>1.788921</v>
      </c>
      <c r="M31">
        <v>1.79061</v>
      </c>
      <c r="N31">
        <v>1.7890999999999999</v>
      </c>
      <c r="O31">
        <v>1.787161</v>
      </c>
      <c r="P31">
        <v>1.7835300000000001</v>
      </c>
      <c r="Q31">
        <v>1.776289</v>
      </c>
      <c r="R31">
        <v>1.7674780000000001</v>
      </c>
      <c r="S31">
        <v>1.757646</v>
      </c>
      <c r="T31">
        <v>1.748321</v>
      </c>
      <c r="U31">
        <v>1.738137</v>
      </c>
      <c r="V31">
        <v>1.7250220000000001</v>
      </c>
      <c r="W31">
        <v>1.7127330000000001</v>
      </c>
      <c r="X31">
        <v>1.699783</v>
      </c>
      <c r="Y31">
        <v>1.686558</v>
      </c>
      <c r="Z31">
        <v>1.6739850000000001</v>
      </c>
      <c r="AA31">
        <v>1.6631689999999999</v>
      </c>
      <c r="AB31">
        <v>1.6539790000000001</v>
      </c>
      <c r="AC31">
        <v>1.642917</v>
      </c>
      <c r="AD31">
        <v>1.629286</v>
      </c>
      <c r="AE31">
        <v>1.6173420000000001</v>
      </c>
      <c r="AF31">
        <v>1.6073139999999999</v>
      </c>
      <c r="AG31">
        <v>1.5970869999999999</v>
      </c>
      <c r="AH31">
        <v>1.5851690000000001</v>
      </c>
      <c r="AI31" s="21">
        <v>-5.0000000000000001E-3</v>
      </c>
    </row>
    <row r="32" spans="1:35" x14ac:dyDescent="0.35">
      <c r="A32" t="s">
        <v>151</v>
      </c>
      <c r="B32" t="s">
        <v>348</v>
      </c>
      <c r="C32" t="s">
        <v>349</v>
      </c>
      <c r="D32" t="s">
        <v>109</v>
      </c>
      <c r="F32">
        <v>2.4829E-2</v>
      </c>
      <c r="G32">
        <v>1.9927E-2</v>
      </c>
      <c r="H32">
        <v>2.5627E-2</v>
      </c>
      <c r="I32">
        <v>2.5995000000000001E-2</v>
      </c>
      <c r="J32">
        <v>2.6231999999999998E-2</v>
      </c>
      <c r="K32">
        <v>2.6372E-2</v>
      </c>
      <c r="L32">
        <v>2.6435E-2</v>
      </c>
      <c r="M32">
        <v>2.6429000000000001E-2</v>
      </c>
      <c r="N32">
        <v>2.6391000000000001E-2</v>
      </c>
      <c r="O32">
        <v>2.6353000000000001E-2</v>
      </c>
      <c r="P32">
        <v>2.6314000000000001E-2</v>
      </c>
      <c r="Q32">
        <v>2.6221000000000001E-2</v>
      </c>
      <c r="R32">
        <v>2.6134999999999999E-2</v>
      </c>
      <c r="S32">
        <v>2.6053E-2</v>
      </c>
      <c r="T32">
        <v>2.5982000000000002E-2</v>
      </c>
      <c r="U32">
        <v>2.5909000000000001E-2</v>
      </c>
      <c r="V32">
        <v>2.5794000000000001E-2</v>
      </c>
      <c r="W32">
        <v>2.5696E-2</v>
      </c>
      <c r="X32">
        <v>2.5607000000000001E-2</v>
      </c>
      <c r="Y32">
        <v>2.5509E-2</v>
      </c>
      <c r="Z32">
        <v>2.5444000000000001E-2</v>
      </c>
      <c r="AA32">
        <v>2.5413000000000002E-2</v>
      </c>
      <c r="AB32">
        <v>2.5411E-2</v>
      </c>
      <c r="AC32">
        <v>2.5387E-2</v>
      </c>
      <c r="AD32">
        <v>2.5342E-2</v>
      </c>
      <c r="AE32">
        <v>2.5319000000000001E-2</v>
      </c>
      <c r="AF32">
        <v>2.5354999999999999E-2</v>
      </c>
      <c r="AG32">
        <v>2.5378999999999999E-2</v>
      </c>
      <c r="AH32">
        <v>2.5378000000000001E-2</v>
      </c>
      <c r="AI32" s="21">
        <v>1E-3</v>
      </c>
    </row>
    <row r="33" spans="1:35" x14ac:dyDescent="0.35">
      <c r="A33" t="s">
        <v>113</v>
      </c>
      <c r="B33" t="s">
        <v>350</v>
      </c>
      <c r="C33" t="s">
        <v>351</v>
      </c>
      <c r="D33" t="s">
        <v>109</v>
      </c>
      <c r="F33">
        <v>0.59203799999999995</v>
      </c>
      <c r="G33">
        <v>0.58703300000000003</v>
      </c>
      <c r="H33">
        <v>0.59738000000000002</v>
      </c>
      <c r="I33">
        <v>0.61275100000000005</v>
      </c>
      <c r="J33">
        <v>0.62566299999999997</v>
      </c>
      <c r="K33">
        <v>0.63552900000000001</v>
      </c>
      <c r="L33">
        <v>0.64377899999999999</v>
      </c>
      <c r="M33">
        <v>0.65003599999999995</v>
      </c>
      <c r="N33">
        <v>0.65564</v>
      </c>
      <c r="O33">
        <v>0.66110400000000002</v>
      </c>
      <c r="P33">
        <v>0.666126</v>
      </c>
      <c r="Q33">
        <v>0.66992099999999999</v>
      </c>
      <c r="R33">
        <v>0.67317300000000002</v>
      </c>
      <c r="S33">
        <v>0.67610800000000004</v>
      </c>
      <c r="T33">
        <v>0.67931799999999998</v>
      </c>
      <c r="U33">
        <v>0.68217899999999998</v>
      </c>
      <c r="V33">
        <v>0.68396299999999999</v>
      </c>
      <c r="W33">
        <v>0.68618299999999999</v>
      </c>
      <c r="X33">
        <v>0.68806199999999995</v>
      </c>
      <c r="Y33">
        <v>0.68995600000000001</v>
      </c>
      <c r="Z33">
        <v>0.69216299999999997</v>
      </c>
      <c r="AA33">
        <v>0.69516</v>
      </c>
      <c r="AB33">
        <v>0.69893400000000006</v>
      </c>
      <c r="AC33">
        <v>0.70184299999999999</v>
      </c>
      <c r="AD33">
        <v>0.70256200000000002</v>
      </c>
      <c r="AE33">
        <v>0.70452400000000004</v>
      </c>
      <c r="AF33">
        <v>0.70795699999999995</v>
      </c>
      <c r="AG33">
        <v>0.71178200000000003</v>
      </c>
      <c r="AH33">
        <v>0.71499199999999996</v>
      </c>
      <c r="AI33" s="21">
        <v>7.0000000000000001E-3</v>
      </c>
    </row>
    <row r="34" spans="1:35" x14ac:dyDescent="0.35">
      <c r="A34" t="s">
        <v>119</v>
      </c>
      <c r="B34" t="s">
        <v>352</v>
      </c>
      <c r="C34" t="s">
        <v>353</v>
      </c>
      <c r="D34" t="s">
        <v>109</v>
      </c>
      <c r="F34">
        <v>0.33065699999999998</v>
      </c>
      <c r="G34">
        <v>0.330951</v>
      </c>
      <c r="H34">
        <v>0.33943200000000001</v>
      </c>
      <c r="I34">
        <v>0.35031800000000002</v>
      </c>
      <c r="J34">
        <v>0.359456</v>
      </c>
      <c r="K34">
        <v>0.366753</v>
      </c>
      <c r="L34">
        <v>0.37310100000000002</v>
      </c>
      <c r="M34">
        <v>0.37848399999999999</v>
      </c>
      <c r="N34">
        <v>0.38350299999999998</v>
      </c>
      <c r="O34">
        <v>0.38850400000000002</v>
      </c>
      <c r="P34">
        <v>0.39315099999999997</v>
      </c>
      <c r="Q34">
        <v>0.39700400000000002</v>
      </c>
      <c r="R34">
        <v>0.40042499999999998</v>
      </c>
      <c r="S34">
        <v>0.403553</v>
      </c>
      <c r="T34">
        <v>0.406752</v>
      </c>
      <c r="U34">
        <v>0.40969699999999998</v>
      </c>
      <c r="V34">
        <v>0.41197600000000001</v>
      </c>
      <c r="W34">
        <v>0.41444500000000001</v>
      </c>
      <c r="X34">
        <v>0.41658800000000001</v>
      </c>
      <c r="Y34">
        <v>0.41879499999999997</v>
      </c>
      <c r="Z34">
        <v>0.42112500000000003</v>
      </c>
      <c r="AA34">
        <v>0.42386699999999999</v>
      </c>
      <c r="AB34">
        <v>0.426979</v>
      </c>
      <c r="AC34">
        <v>0.42966399999999999</v>
      </c>
      <c r="AD34">
        <v>0.43059999999999998</v>
      </c>
      <c r="AE34">
        <v>0.43231700000000001</v>
      </c>
      <c r="AF34">
        <v>0.43499399999999999</v>
      </c>
      <c r="AG34">
        <v>0.43802200000000002</v>
      </c>
      <c r="AH34">
        <v>0.44072099999999997</v>
      </c>
      <c r="AI34" s="21">
        <v>0.01</v>
      </c>
    </row>
    <row r="35" spans="1:35" x14ac:dyDescent="0.35">
      <c r="A35" t="s">
        <v>133</v>
      </c>
      <c r="B35" t="s">
        <v>354</v>
      </c>
      <c r="C35" t="s">
        <v>355</v>
      </c>
      <c r="D35" t="s">
        <v>109</v>
      </c>
      <c r="F35">
        <v>0.82970500000000003</v>
      </c>
      <c r="G35">
        <v>0.87751900000000005</v>
      </c>
      <c r="H35">
        <v>0.83412200000000003</v>
      </c>
      <c r="I35">
        <v>0.81346600000000002</v>
      </c>
      <c r="J35">
        <v>0.80361899999999997</v>
      </c>
      <c r="K35">
        <v>0.790551</v>
      </c>
      <c r="L35">
        <v>0.79605400000000004</v>
      </c>
      <c r="M35">
        <v>0.79901800000000001</v>
      </c>
      <c r="N35">
        <v>0.80105199999999999</v>
      </c>
      <c r="O35">
        <v>0.80231799999999998</v>
      </c>
      <c r="P35">
        <v>0.80347900000000005</v>
      </c>
      <c r="Q35">
        <v>0.80382399999999998</v>
      </c>
      <c r="R35">
        <v>0.80393400000000004</v>
      </c>
      <c r="S35">
        <v>0.80400700000000003</v>
      </c>
      <c r="T35">
        <v>0.80449499999999996</v>
      </c>
      <c r="U35">
        <v>0.80487200000000003</v>
      </c>
      <c r="V35">
        <v>0.80477799999999999</v>
      </c>
      <c r="W35">
        <v>0.80544700000000002</v>
      </c>
      <c r="X35">
        <v>0.80568399999999996</v>
      </c>
      <c r="Y35">
        <v>0.80564000000000002</v>
      </c>
      <c r="Z35">
        <v>0.80598599999999998</v>
      </c>
      <c r="AA35">
        <v>0.80713400000000002</v>
      </c>
      <c r="AB35">
        <v>0.80882299999999996</v>
      </c>
      <c r="AC35">
        <v>0.80998599999999998</v>
      </c>
      <c r="AD35">
        <v>0.81049899999999997</v>
      </c>
      <c r="AE35">
        <v>0.81148799999999999</v>
      </c>
      <c r="AF35">
        <v>0.81317700000000004</v>
      </c>
      <c r="AG35">
        <v>0.814774</v>
      </c>
      <c r="AH35">
        <v>0.81596199999999997</v>
      </c>
      <c r="AI35" s="21">
        <v>-1E-3</v>
      </c>
    </row>
    <row r="36" spans="1:35" x14ac:dyDescent="0.35">
      <c r="A36" t="s">
        <v>160</v>
      </c>
      <c r="B36" t="s">
        <v>356</v>
      </c>
      <c r="C36" t="s">
        <v>357</v>
      </c>
      <c r="D36" t="s">
        <v>109</v>
      </c>
      <c r="F36">
        <v>3.602684</v>
      </c>
      <c r="G36">
        <v>3.610131</v>
      </c>
      <c r="H36">
        <v>3.5027339999999998</v>
      </c>
      <c r="I36">
        <v>3.5410949999999999</v>
      </c>
      <c r="J36">
        <v>3.5789089999999999</v>
      </c>
      <c r="K36">
        <v>3.5987490000000002</v>
      </c>
      <c r="L36">
        <v>3.6282909999999999</v>
      </c>
      <c r="M36">
        <v>3.6445759999999998</v>
      </c>
      <c r="N36">
        <v>3.6556850000000001</v>
      </c>
      <c r="O36">
        <v>3.6654399999999998</v>
      </c>
      <c r="P36">
        <v>3.6726009999999998</v>
      </c>
      <c r="Q36">
        <v>3.6732589999999998</v>
      </c>
      <c r="R36">
        <v>3.6711459999999998</v>
      </c>
      <c r="S36">
        <v>3.667367</v>
      </c>
      <c r="T36">
        <v>3.6648679999999998</v>
      </c>
      <c r="U36">
        <v>3.6607940000000001</v>
      </c>
      <c r="V36">
        <v>3.6515330000000001</v>
      </c>
      <c r="W36">
        <v>3.644504</v>
      </c>
      <c r="X36">
        <v>3.6357249999999999</v>
      </c>
      <c r="Y36">
        <v>3.626458</v>
      </c>
      <c r="Z36">
        <v>3.6187040000000001</v>
      </c>
      <c r="AA36">
        <v>3.6147429999999998</v>
      </c>
      <c r="AB36">
        <v>3.6141260000000002</v>
      </c>
      <c r="AC36">
        <v>3.6097969999999999</v>
      </c>
      <c r="AD36">
        <v>3.5982889999999998</v>
      </c>
      <c r="AE36">
        <v>3.5909900000000001</v>
      </c>
      <c r="AF36">
        <v>3.588797</v>
      </c>
      <c r="AG36">
        <v>3.5870440000000001</v>
      </c>
      <c r="AH36">
        <v>3.5822229999999999</v>
      </c>
      <c r="AI36" s="21">
        <v>0</v>
      </c>
    </row>
    <row r="37" spans="1:35" x14ac:dyDescent="0.35">
      <c r="A37" t="s">
        <v>163</v>
      </c>
    </row>
    <row r="38" spans="1:35" x14ac:dyDescent="0.35">
      <c r="A38" t="s">
        <v>106</v>
      </c>
      <c r="B38" t="s">
        <v>358</v>
      </c>
      <c r="C38" t="s">
        <v>359</v>
      </c>
      <c r="D38" t="s">
        <v>109</v>
      </c>
      <c r="F38">
        <v>0.21207100000000001</v>
      </c>
      <c r="G38">
        <v>0.20616000000000001</v>
      </c>
      <c r="H38">
        <v>0.189944</v>
      </c>
      <c r="I38">
        <v>0.191777</v>
      </c>
      <c r="J38">
        <v>0.193137</v>
      </c>
      <c r="K38">
        <v>0.194076</v>
      </c>
      <c r="L38">
        <v>0.19486300000000001</v>
      </c>
      <c r="M38">
        <v>0.19411800000000001</v>
      </c>
      <c r="N38">
        <v>0.19242799999999999</v>
      </c>
      <c r="O38">
        <v>0.19037799999999999</v>
      </c>
      <c r="P38">
        <v>0.18828600000000001</v>
      </c>
      <c r="Q38">
        <v>0.18609100000000001</v>
      </c>
      <c r="R38">
        <v>0.18387200000000001</v>
      </c>
      <c r="S38">
        <v>0.18149599999999999</v>
      </c>
      <c r="T38">
        <v>0.17910799999999999</v>
      </c>
      <c r="U38">
        <v>0.176649</v>
      </c>
      <c r="V38">
        <v>0.17415</v>
      </c>
      <c r="W38">
        <v>0.17161699999999999</v>
      </c>
      <c r="X38">
        <v>0.16906099999999999</v>
      </c>
      <c r="Y38">
        <v>0.16651299999999999</v>
      </c>
      <c r="Z38">
        <v>0.16403699999999999</v>
      </c>
      <c r="AA38">
        <v>0.161519</v>
      </c>
      <c r="AB38">
        <v>0.159163</v>
      </c>
      <c r="AC38">
        <v>0.15679599999999999</v>
      </c>
      <c r="AD38">
        <v>0.154307</v>
      </c>
      <c r="AE38">
        <v>0.15187</v>
      </c>
      <c r="AF38">
        <v>0.149531</v>
      </c>
      <c r="AG38">
        <v>0.1472</v>
      </c>
      <c r="AH38">
        <v>0.14493500000000001</v>
      </c>
      <c r="AI38" s="21">
        <v>-1.4E-2</v>
      </c>
    </row>
    <row r="39" spans="1:35" x14ac:dyDescent="0.35">
      <c r="A39" t="s">
        <v>113</v>
      </c>
      <c r="B39" t="s">
        <v>360</v>
      </c>
      <c r="C39" t="s">
        <v>361</v>
      </c>
      <c r="D39" t="s">
        <v>109</v>
      </c>
      <c r="F39">
        <v>6.1390000000000004E-3</v>
      </c>
      <c r="G39">
        <v>5.8989999999999997E-3</v>
      </c>
      <c r="H39">
        <v>5.8729999999999997E-3</v>
      </c>
      <c r="I39">
        <v>5.9800000000000001E-3</v>
      </c>
      <c r="J39">
        <v>6.0720000000000001E-3</v>
      </c>
      <c r="K39">
        <v>6.1510000000000002E-3</v>
      </c>
      <c r="L39">
        <v>6.2319999999999997E-3</v>
      </c>
      <c r="M39">
        <v>6.2690000000000003E-3</v>
      </c>
      <c r="N39">
        <v>6.2769999999999996E-3</v>
      </c>
      <c r="O39">
        <v>6.2700000000000004E-3</v>
      </c>
      <c r="P39">
        <v>6.2620000000000002E-3</v>
      </c>
      <c r="Q39">
        <v>6.2490000000000002E-3</v>
      </c>
      <c r="R39">
        <v>6.2350000000000001E-3</v>
      </c>
      <c r="S39">
        <v>6.215E-3</v>
      </c>
      <c r="T39">
        <v>6.1929999999999997E-3</v>
      </c>
      <c r="U39">
        <v>6.1669999999999997E-3</v>
      </c>
      <c r="V39">
        <v>6.1390000000000004E-3</v>
      </c>
      <c r="W39">
        <v>6.1089999999999998E-3</v>
      </c>
      <c r="X39">
        <v>6.0800000000000003E-3</v>
      </c>
      <c r="Y39">
        <v>6.0480000000000004E-3</v>
      </c>
      <c r="Z39">
        <v>6.0179999999999999E-3</v>
      </c>
      <c r="AA39">
        <v>5.986E-3</v>
      </c>
      <c r="AB39">
        <v>5.96E-3</v>
      </c>
      <c r="AC39">
        <v>5.9329999999999999E-3</v>
      </c>
      <c r="AD39">
        <v>5.901E-3</v>
      </c>
      <c r="AE39">
        <v>5.8710000000000004E-3</v>
      </c>
      <c r="AF39">
        <v>5.8389999999999996E-3</v>
      </c>
      <c r="AG39">
        <v>5.8089999999999999E-3</v>
      </c>
      <c r="AH39">
        <v>5.7800000000000004E-3</v>
      </c>
      <c r="AI39" s="21">
        <v>-2E-3</v>
      </c>
    </row>
    <row r="40" spans="1:35" x14ac:dyDescent="0.35">
      <c r="A40" t="s">
        <v>133</v>
      </c>
      <c r="B40" t="s">
        <v>362</v>
      </c>
      <c r="C40" t="s">
        <v>363</v>
      </c>
      <c r="D40" t="s">
        <v>109</v>
      </c>
      <c r="F40">
        <v>7.9482999999999998E-2</v>
      </c>
      <c r="G40">
        <v>8.0017000000000005E-2</v>
      </c>
      <c r="H40">
        <v>8.1899E-2</v>
      </c>
      <c r="I40">
        <v>8.2917000000000005E-2</v>
      </c>
      <c r="J40">
        <v>8.3774000000000001E-2</v>
      </c>
      <c r="K40">
        <v>8.4482000000000002E-2</v>
      </c>
      <c r="L40">
        <v>8.6216000000000001E-2</v>
      </c>
      <c r="M40">
        <v>8.7276000000000006E-2</v>
      </c>
      <c r="N40">
        <v>8.7908E-2</v>
      </c>
      <c r="O40">
        <v>8.8286000000000003E-2</v>
      </c>
      <c r="P40">
        <v>8.8641999999999999E-2</v>
      </c>
      <c r="Q40">
        <v>8.8950000000000001E-2</v>
      </c>
      <c r="R40">
        <v>8.9274000000000006E-2</v>
      </c>
      <c r="S40">
        <v>8.9539999999999995E-2</v>
      </c>
      <c r="T40">
        <v>8.9810000000000001E-2</v>
      </c>
      <c r="U40">
        <v>9.0051999999999993E-2</v>
      </c>
      <c r="V40">
        <v>9.0277999999999997E-2</v>
      </c>
      <c r="W40">
        <v>9.0495999999999993E-2</v>
      </c>
      <c r="X40">
        <v>9.0717000000000006E-2</v>
      </c>
      <c r="Y40">
        <v>9.0885999999999995E-2</v>
      </c>
      <c r="Z40">
        <v>9.1095999999999996E-2</v>
      </c>
      <c r="AA40">
        <v>9.1273999999999994E-2</v>
      </c>
      <c r="AB40">
        <v>9.1533000000000003E-2</v>
      </c>
      <c r="AC40">
        <v>9.1760999999999995E-2</v>
      </c>
      <c r="AD40">
        <v>9.1551999999999994E-2</v>
      </c>
      <c r="AE40">
        <v>9.1488E-2</v>
      </c>
      <c r="AF40">
        <v>9.1622999999999996E-2</v>
      </c>
      <c r="AG40">
        <v>9.1867000000000004E-2</v>
      </c>
      <c r="AH40">
        <v>9.2141000000000001E-2</v>
      </c>
      <c r="AI40" s="21">
        <v>5.0000000000000001E-3</v>
      </c>
    </row>
    <row r="41" spans="1:35" x14ac:dyDescent="0.35">
      <c r="A41" t="s">
        <v>160</v>
      </c>
      <c r="B41" t="s">
        <v>364</v>
      </c>
      <c r="C41" t="s">
        <v>365</v>
      </c>
      <c r="D41" t="s">
        <v>109</v>
      </c>
      <c r="F41">
        <v>0.29769400000000001</v>
      </c>
      <c r="G41">
        <v>0.292076</v>
      </c>
      <c r="H41">
        <v>0.27771600000000002</v>
      </c>
      <c r="I41">
        <v>0.28067399999999998</v>
      </c>
      <c r="J41">
        <v>0.28298299999999998</v>
      </c>
      <c r="K41">
        <v>0.28470800000000002</v>
      </c>
      <c r="L41">
        <v>0.28731099999999998</v>
      </c>
      <c r="M41">
        <v>0.287663</v>
      </c>
      <c r="N41">
        <v>0.28661300000000001</v>
      </c>
      <c r="O41">
        <v>0.28493400000000002</v>
      </c>
      <c r="P41">
        <v>0.28319</v>
      </c>
      <c r="Q41">
        <v>0.28128999999999998</v>
      </c>
      <c r="R41">
        <v>0.27938000000000002</v>
      </c>
      <c r="S41">
        <v>0.27725100000000003</v>
      </c>
      <c r="T41">
        <v>0.27511099999999999</v>
      </c>
      <c r="U41">
        <v>0.272868</v>
      </c>
      <c r="V41">
        <v>0.27056799999999998</v>
      </c>
      <c r="W41">
        <v>0.26822299999999999</v>
      </c>
      <c r="X41">
        <v>0.26585700000000001</v>
      </c>
      <c r="Y41">
        <v>0.26344699999999999</v>
      </c>
      <c r="Z41">
        <v>0.26114999999999999</v>
      </c>
      <c r="AA41">
        <v>0.25877899999999998</v>
      </c>
      <c r="AB41">
        <v>0.25665500000000002</v>
      </c>
      <c r="AC41">
        <v>0.25448999999999999</v>
      </c>
      <c r="AD41">
        <v>0.25175900000000001</v>
      </c>
      <c r="AE41">
        <v>0.24922900000000001</v>
      </c>
      <c r="AF41">
        <v>0.24699299999999999</v>
      </c>
      <c r="AG41">
        <v>0.24487600000000001</v>
      </c>
      <c r="AH41">
        <v>0.24285599999999999</v>
      </c>
      <c r="AI41" s="21">
        <v>-7.0000000000000001E-3</v>
      </c>
    </row>
    <row r="42" spans="1:35" x14ac:dyDescent="0.35">
      <c r="A42" t="s">
        <v>172</v>
      </c>
      <c r="B42" t="s">
        <v>366</v>
      </c>
      <c r="C42" t="s">
        <v>367</v>
      </c>
      <c r="D42" t="s">
        <v>109</v>
      </c>
      <c r="F42">
        <v>0.120805</v>
      </c>
      <c r="G42">
        <v>0.120805</v>
      </c>
      <c r="H42">
        <v>0.120805</v>
      </c>
      <c r="I42">
        <v>0.120805</v>
      </c>
      <c r="J42">
        <v>0.120805</v>
      </c>
      <c r="K42">
        <v>0.120805</v>
      </c>
      <c r="L42">
        <v>0.120805</v>
      </c>
      <c r="M42">
        <v>0.120805</v>
      </c>
      <c r="N42">
        <v>0.120805</v>
      </c>
      <c r="O42">
        <v>0.120805</v>
      </c>
      <c r="P42">
        <v>0.120805</v>
      </c>
      <c r="Q42">
        <v>0.120805</v>
      </c>
      <c r="R42">
        <v>0.120805</v>
      </c>
      <c r="S42">
        <v>0.120805</v>
      </c>
      <c r="T42">
        <v>0.120805</v>
      </c>
      <c r="U42">
        <v>0.120805</v>
      </c>
      <c r="V42">
        <v>0.120805</v>
      </c>
      <c r="W42">
        <v>0.120805</v>
      </c>
      <c r="X42">
        <v>0.120805</v>
      </c>
      <c r="Y42">
        <v>0.120805</v>
      </c>
      <c r="Z42">
        <v>0.120805</v>
      </c>
      <c r="AA42">
        <v>0.120805</v>
      </c>
      <c r="AB42">
        <v>0.120805</v>
      </c>
      <c r="AC42">
        <v>0.120805</v>
      </c>
      <c r="AD42">
        <v>0.120805</v>
      </c>
      <c r="AE42">
        <v>0.120805</v>
      </c>
      <c r="AF42">
        <v>0.120805</v>
      </c>
      <c r="AG42">
        <v>0.120805</v>
      </c>
      <c r="AH42">
        <v>0.120805</v>
      </c>
      <c r="AI42" s="21">
        <v>0</v>
      </c>
    </row>
    <row r="43" spans="1:35" x14ac:dyDescent="0.35">
      <c r="A43" t="s">
        <v>175</v>
      </c>
      <c r="B43" t="s">
        <v>368</v>
      </c>
      <c r="C43" t="s">
        <v>369</v>
      </c>
      <c r="D43" t="s">
        <v>109</v>
      </c>
      <c r="F43">
        <v>0.59923199999999999</v>
      </c>
      <c r="G43">
        <v>0.60484899999999997</v>
      </c>
      <c r="H43">
        <v>0.60413099999999997</v>
      </c>
      <c r="I43">
        <v>0.60436699999999999</v>
      </c>
      <c r="J43">
        <v>0.60346599999999995</v>
      </c>
      <c r="K43">
        <v>0.60290500000000002</v>
      </c>
      <c r="L43">
        <v>0.60595600000000005</v>
      </c>
      <c r="M43">
        <v>0.60901499999999997</v>
      </c>
      <c r="N43">
        <v>0.61300100000000002</v>
      </c>
      <c r="O43">
        <v>0.61517599999999995</v>
      </c>
      <c r="P43">
        <v>0.61818700000000004</v>
      </c>
      <c r="Q43">
        <v>0.62084499999999998</v>
      </c>
      <c r="R43">
        <v>0.62326899999999996</v>
      </c>
      <c r="S43">
        <v>0.62568900000000005</v>
      </c>
      <c r="T43">
        <v>0.62770099999999995</v>
      </c>
      <c r="U43">
        <v>0.62944199999999995</v>
      </c>
      <c r="V43">
        <v>0.63111700000000004</v>
      </c>
      <c r="W43">
        <v>0.63296799999999998</v>
      </c>
      <c r="X43">
        <v>0.63469799999999998</v>
      </c>
      <c r="Y43">
        <v>0.63639999999999997</v>
      </c>
      <c r="Z43">
        <v>0.63813500000000001</v>
      </c>
      <c r="AA43">
        <v>0.63997199999999999</v>
      </c>
      <c r="AB43">
        <v>0.64172499999999999</v>
      </c>
      <c r="AC43">
        <v>0.64349199999999995</v>
      </c>
      <c r="AD43">
        <v>0.64472399999999996</v>
      </c>
      <c r="AE43">
        <v>0.64665099999999998</v>
      </c>
      <c r="AF43">
        <v>0.64840600000000004</v>
      </c>
      <c r="AG43">
        <v>0.65046800000000005</v>
      </c>
      <c r="AH43">
        <v>0.65251300000000001</v>
      </c>
      <c r="AI43" s="21">
        <v>3.0000000000000001E-3</v>
      </c>
    </row>
    <row r="44" spans="1:35" x14ac:dyDescent="0.35">
      <c r="A44" t="s">
        <v>178</v>
      </c>
    </row>
    <row r="45" spans="1:35" x14ac:dyDescent="0.35">
      <c r="A45" t="s">
        <v>106</v>
      </c>
      <c r="B45" t="s">
        <v>370</v>
      </c>
      <c r="C45" t="s">
        <v>371</v>
      </c>
      <c r="D45" t="s">
        <v>109</v>
      </c>
      <c r="F45">
        <v>2.1567989999999999</v>
      </c>
      <c r="G45">
        <v>2.119221</v>
      </c>
      <c r="H45">
        <v>2.0069789999999998</v>
      </c>
      <c r="I45">
        <v>2.0414409999999998</v>
      </c>
      <c r="J45">
        <v>2.0682239999999998</v>
      </c>
      <c r="K45">
        <v>2.0844740000000002</v>
      </c>
      <c r="L45">
        <v>2.0941689999999999</v>
      </c>
      <c r="M45">
        <v>2.0944859999999998</v>
      </c>
      <c r="N45">
        <v>2.0905140000000002</v>
      </c>
      <c r="O45">
        <v>2.0858240000000001</v>
      </c>
      <c r="P45">
        <v>2.0792950000000001</v>
      </c>
      <c r="Q45">
        <v>2.0688300000000002</v>
      </c>
      <c r="R45">
        <v>2.0566239999999998</v>
      </c>
      <c r="S45">
        <v>2.0432839999999999</v>
      </c>
      <c r="T45">
        <v>2.0304120000000001</v>
      </c>
      <c r="U45">
        <v>2.0165229999999998</v>
      </c>
      <c r="V45">
        <v>1.999519</v>
      </c>
      <c r="W45">
        <v>1.9832240000000001</v>
      </c>
      <c r="X45">
        <v>1.9662580000000001</v>
      </c>
      <c r="Y45">
        <v>1.9491309999999999</v>
      </c>
      <c r="Z45">
        <v>1.9327799999999999</v>
      </c>
      <c r="AA45">
        <v>1.9181760000000001</v>
      </c>
      <c r="AB45">
        <v>1.905357</v>
      </c>
      <c r="AC45">
        <v>1.8906529999999999</v>
      </c>
      <c r="AD45">
        <v>1.8733</v>
      </c>
      <c r="AE45">
        <v>1.8577349999999999</v>
      </c>
      <c r="AF45">
        <v>1.84416</v>
      </c>
      <c r="AG45">
        <v>1.8304210000000001</v>
      </c>
      <c r="AH45">
        <v>1.815094</v>
      </c>
      <c r="AI45" s="21">
        <v>-6.0000000000000001E-3</v>
      </c>
    </row>
    <row r="46" spans="1:35" x14ac:dyDescent="0.35">
      <c r="A46" t="s">
        <v>151</v>
      </c>
      <c r="B46" t="s">
        <v>372</v>
      </c>
      <c r="C46" t="s">
        <v>373</v>
      </c>
      <c r="D46" t="s">
        <v>109</v>
      </c>
      <c r="F46">
        <v>0.56770900000000002</v>
      </c>
      <c r="G46">
        <v>0.497307</v>
      </c>
      <c r="H46">
        <v>0.57641799999999999</v>
      </c>
      <c r="I46">
        <v>0.58604000000000001</v>
      </c>
      <c r="J46">
        <v>0.59398200000000001</v>
      </c>
      <c r="K46">
        <v>0.60145700000000002</v>
      </c>
      <c r="L46">
        <v>0.60889700000000002</v>
      </c>
      <c r="M46">
        <v>0.61600200000000005</v>
      </c>
      <c r="N46">
        <v>0.62178699999999998</v>
      </c>
      <c r="O46">
        <v>0.62784799999999996</v>
      </c>
      <c r="P46">
        <v>0.63409899999999997</v>
      </c>
      <c r="Q46">
        <v>0.63862600000000003</v>
      </c>
      <c r="R46">
        <v>0.64276299999999997</v>
      </c>
      <c r="S46">
        <v>0.64734499999999995</v>
      </c>
      <c r="T46">
        <v>0.65202800000000005</v>
      </c>
      <c r="U46">
        <v>0.65664400000000001</v>
      </c>
      <c r="V46">
        <v>0.66073000000000004</v>
      </c>
      <c r="W46">
        <v>0.66483199999999998</v>
      </c>
      <c r="X46">
        <v>0.66848200000000002</v>
      </c>
      <c r="Y46">
        <v>0.67252000000000001</v>
      </c>
      <c r="Z46">
        <v>0.67693099999999995</v>
      </c>
      <c r="AA46">
        <v>0.68160100000000001</v>
      </c>
      <c r="AB46">
        <v>0.68668499999999999</v>
      </c>
      <c r="AC46">
        <v>0.69230199999999997</v>
      </c>
      <c r="AD46">
        <v>0.69904699999999997</v>
      </c>
      <c r="AE46">
        <v>0.70658299999999996</v>
      </c>
      <c r="AF46">
        <v>0.71440800000000004</v>
      </c>
      <c r="AG46">
        <v>0.72237300000000004</v>
      </c>
      <c r="AH46">
        <v>0.73107699999999998</v>
      </c>
      <c r="AI46" s="21">
        <v>8.9999999999999993E-3</v>
      </c>
    </row>
    <row r="47" spans="1:35" x14ac:dyDescent="0.35">
      <c r="A47" t="s">
        <v>113</v>
      </c>
      <c r="B47" t="s">
        <v>374</v>
      </c>
      <c r="C47" t="s">
        <v>375</v>
      </c>
      <c r="D47" t="s">
        <v>109</v>
      </c>
      <c r="F47">
        <v>0.62239199999999995</v>
      </c>
      <c r="G47">
        <v>0.61648700000000001</v>
      </c>
      <c r="H47">
        <v>0.62638199999999999</v>
      </c>
      <c r="I47">
        <v>0.64160099999999998</v>
      </c>
      <c r="J47">
        <v>0.65436700000000003</v>
      </c>
      <c r="K47">
        <v>0.66423600000000005</v>
      </c>
      <c r="L47">
        <v>0.67247500000000004</v>
      </c>
      <c r="M47">
        <v>0.67865399999999998</v>
      </c>
      <c r="N47">
        <v>0.68412200000000001</v>
      </c>
      <c r="O47">
        <v>0.68943200000000004</v>
      </c>
      <c r="P47">
        <v>0.69428699999999999</v>
      </c>
      <c r="Q47">
        <v>0.69785900000000001</v>
      </c>
      <c r="R47">
        <v>0.70086000000000004</v>
      </c>
      <c r="S47">
        <v>0.70355900000000005</v>
      </c>
      <c r="T47">
        <v>0.70652700000000002</v>
      </c>
      <c r="U47">
        <v>0.70912900000000001</v>
      </c>
      <c r="V47">
        <v>0.71062800000000004</v>
      </c>
      <c r="W47">
        <v>0.71255900000000005</v>
      </c>
      <c r="X47">
        <v>0.71415200000000001</v>
      </c>
      <c r="Y47">
        <v>0.71578200000000003</v>
      </c>
      <c r="Z47">
        <v>0.71773699999999996</v>
      </c>
      <c r="AA47">
        <v>0.72048800000000002</v>
      </c>
      <c r="AB47">
        <v>0.72402699999999998</v>
      </c>
      <c r="AC47">
        <v>0.72670500000000005</v>
      </c>
      <c r="AD47">
        <v>0.72720399999999996</v>
      </c>
      <c r="AE47">
        <v>0.72896399999999995</v>
      </c>
      <c r="AF47">
        <v>0.73219699999999999</v>
      </c>
      <c r="AG47">
        <v>0.73582999999999998</v>
      </c>
      <c r="AH47">
        <v>0.73886499999999999</v>
      </c>
      <c r="AI47" s="21">
        <v>6.0000000000000001E-3</v>
      </c>
    </row>
    <row r="48" spans="1:35" x14ac:dyDescent="0.35">
      <c r="A48" t="s">
        <v>116</v>
      </c>
      <c r="B48" t="s">
        <v>376</v>
      </c>
      <c r="C48" t="s">
        <v>377</v>
      </c>
      <c r="D48" t="s">
        <v>109</v>
      </c>
      <c r="F48">
        <v>0.41879300000000003</v>
      </c>
      <c r="G48">
        <v>0.407891</v>
      </c>
      <c r="H48">
        <v>0.40001900000000001</v>
      </c>
      <c r="I48">
        <v>0.394285</v>
      </c>
      <c r="J48">
        <v>0.38813999999999999</v>
      </c>
      <c r="K48">
        <v>0.38119500000000001</v>
      </c>
      <c r="L48">
        <v>0.37394899999999998</v>
      </c>
      <c r="M48">
        <v>0.36649399999999999</v>
      </c>
      <c r="N48">
        <v>0.35841099999999998</v>
      </c>
      <c r="O48">
        <v>0.35066599999999998</v>
      </c>
      <c r="P48">
        <v>0.34295799999999999</v>
      </c>
      <c r="Q48">
        <v>0.33487299999999998</v>
      </c>
      <c r="R48">
        <v>0.32677299999999998</v>
      </c>
      <c r="S48">
        <v>0.31914799999999999</v>
      </c>
      <c r="T48">
        <v>0.311811</v>
      </c>
      <c r="U48">
        <v>0.30456</v>
      </c>
      <c r="V48">
        <v>0.29719499999999999</v>
      </c>
      <c r="W48">
        <v>0.28995700000000002</v>
      </c>
      <c r="X48">
        <v>0.28303099999999998</v>
      </c>
      <c r="Y48">
        <v>0.276615</v>
      </c>
      <c r="Z48">
        <v>0.270569</v>
      </c>
      <c r="AA48">
        <v>0.26481399999999999</v>
      </c>
      <c r="AB48">
        <v>0.25929200000000002</v>
      </c>
      <c r="AC48">
        <v>0.25397799999999998</v>
      </c>
      <c r="AD48">
        <v>0.24892300000000001</v>
      </c>
      <c r="AE48">
        <v>0.24418300000000001</v>
      </c>
      <c r="AF48">
        <v>0.239593</v>
      </c>
      <c r="AG48">
        <v>0.23527899999999999</v>
      </c>
      <c r="AH48">
        <v>0.23125899999999999</v>
      </c>
      <c r="AI48" s="21">
        <v>-2.1000000000000001E-2</v>
      </c>
    </row>
    <row r="49" spans="1:35" x14ac:dyDescent="0.35">
      <c r="A49" t="s">
        <v>119</v>
      </c>
      <c r="B49" t="s">
        <v>378</v>
      </c>
      <c r="C49" t="s">
        <v>379</v>
      </c>
      <c r="D49" t="s">
        <v>109</v>
      </c>
      <c r="F49">
        <v>0.41303499999999999</v>
      </c>
      <c r="G49">
        <v>0.41266199999999997</v>
      </c>
      <c r="H49">
        <v>0.42121900000000001</v>
      </c>
      <c r="I49">
        <v>0.43261899999999998</v>
      </c>
      <c r="J49">
        <v>0.44208500000000001</v>
      </c>
      <c r="K49">
        <v>0.44947500000000001</v>
      </c>
      <c r="L49">
        <v>0.45582400000000001</v>
      </c>
      <c r="M49">
        <v>0.46112399999999998</v>
      </c>
      <c r="N49">
        <v>0.46594099999999999</v>
      </c>
      <c r="O49">
        <v>0.470744</v>
      </c>
      <c r="P49">
        <v>0.47515000000000002</v>
      </c>
      <c r="Q49">
        <v>0.47858099999999998</v>
      </c>
      <c r="R49">
        <v>0.48148600000000003</v>
      </c>
      <c r="S49">
        <v>0.48413</v>
      </c>
      <c r="T49">
        <v>0.486817</v>
      </c>
      <c r="U49">
        <v>0.48918800000000001</v>
      </c>
      <c r="V49">
        <v>0.49080400000000002</v>
      </c>
      <c r="W49">
        <v>0.49257499999999999</v>
      </c>
      <c r="X49">
        <v>0.49400100000000002</v>
      </c>
      <c r="Y49">
        <v>0.49556600000000001</v>
      </c>
      <c r="Z49">
        <v>0.497278</v>
      </c>
      <c r="AA49">
        <v>0.49942399999999998</v>
      </c>
      <c r="AB49">
        <v>0.50195699999999999</v>
      </c>
      <c r="AC49">
        <v>0.50407800000000003</v>
      </c>
      <c r="AD49">
        <v>0.50450399999999995</v>
      </c>
      <c r="AE49">
        <v>0.50577300000000003</v>
      </c>
      <c r="AF49">
        <v>0.50798699999999997</v>
      </c>
      <c r="AG49">
        <v>0.51055899999999999</v>
      </c>
      <c r="AH49">
        <v>0.51284300000000005</v>
      </c>
      <c r="AI49" s="21">
        <v>8.0000000000000002E-3</v>
      </c>
    </row>
    <row r="50" spans="1:35" x14ac:dyDescent="0.35">
      <c r="A50" t="s">
        <v>122</v>
      </c>
      <c r="B50" t="s">
        <v>380</v>
      </c>
      <c r="C50" t="s">
        <v>381</v>
      </c>
      <c r="D50" t="s">
        <v>109</v>
      </c>
      <c r="F50">
        <v>0.49728099999999997</v>
      </c>
      <c r="G50">
        <v>0.48855999999999999</v>
      </c>
      <c r="H50">
        <v>0.48579499999999998</v>
      </c>
      <c r="I50">
        <v>0.48757200000000001</v>
      </c>
      <c r="J50">
        <v>0.48936600000000002</v>
      </c>
      <c r="K50">
        <v>0.490566</v>
      </c>
      <c r="L50">
        <v>0.49202499999999999</v>
      </c>
      <c r="M50">
        <v>0.49368899999999999</v>
      </c>
      <c r="N50">
        <v>0.49101899999999998</v>
      </c>
      <c r="O50">
        <v>0.48896099999999998</v>
      </c>
      <c r="P50">
        <v>0.48697299999999999</v>
      </c>
      <c r="Q50">
        <v>0.48422700000000002</v>
      </c>
      <c r="R50">
        <v>0.48097899999999999</v>
      </c>
      <c r="S50">
        <v>0.47800999999999999</v>
      </c>
      <c r="T50">
        <v>0.474966</v>
      </c>
      <c r="U50">
        <v>0.47095500000000001</v>
      </c>
      <c r="V50">
        <v>0.46600999999999998</v>
      </c>
      <c r="W50">
        <v>0.45994200000000002</v>
      </c>
      <c r="X50">
        <v>0.45792899999999997</v>
      </c>
      <c r="Y50">
        <v>0.45681100000000002</v>
      </c>
      <c r="Z50">
        <v>0.45597100000000002</v>
      </c>
      <c r="AA50">
        <v>0.45552999999999999</v>
      </c>
      <c r="AB50">
        <v>0.455459</v>
      </c>
      <c r="AC50">
        <v>0.45567999999999997</v>
      </c>
      <c r="AD50">
        <v>0.45632899999999998</v>
      </c>
      <c r="AE50">
        <v>0.45772200000000002</v>
      </c>
      <c r="AF50">
        <v>0.45915800000000001</v>
      </c>
      <c r="AG50">
        <v>0.460843</v>
      </c>
      <c r="AH50">
        <v>0.46300400000000003</v>
      </c>
      <c r="AI50" s="21">
        <v>-3.0000000000000001E-3</v>
      </c>
    </row>
    <row r="51" spans="1:35" x14ac:dyDescent="0.35">
      <c r="A51" t="s">
        <v>125</v>
      </c>
      <c r="B51" t="s">
        <v>382</v>
      </c>
      <c r="C51" t="s">
        <v>383</v>
      </c>
      <c r="D51" t="s">
        <v>109</v>
      </c>
      <c r="F51">
        <v>0.603352</v>
      </c>
      <c r="G51">
        <v>0.60135499999999997</v>
      </c>
      <c r="H51">
        <v>0.60267999999999999</v>
      </c>
      <c r="I51">
        <v>0.60644600000000004</v>
      </c>
      <c r="J51">
        <v>0.60968599999999995</v>
      </c>
      <c r="K51">
        <v>0.61227900000000002</v>
      </c>
      <c r="L51">
        <v>0.61520399999999997</v>
      </c>
      <c r="M51">
        <v>0.61849299999999996</v>
      </c>
      <c r="N51">
        <v>0.62074799999999997</v>
      </c>
      <c r="O51">
        <v>0.62390000000000001</v>
      </c>
      <c r="P51">
        <v>0.62699000000000005</v>
      </c>
      <c r="Q51">
        <v>0.62938700000000003</v>
      </c>
      <c r="R51">
        <v>0.63132500000000003</v>
      </c>
      <c r="S51">
        <v>0.63321400000000005</v>
      </c>
      <c r="T51">
        <v>0.63485499999999995</v>
      </c>
      <c r="U51">
        <v>0.63615500000000003</v>
      </c>
      <c r="V51">
        <v>0.636938</v>
      </c>
      <c r="W51">
        <v>0.63747399999999999</v>
      </c>
      <c r="X51">
        <v>0.63791900000000001</v>
      </c>
      <c r="Y51">
        <v>0.63905800000000001</v>
      </c>
      <c r="Z51">
        <v>0.64029400000000003</v>
      </c>
      <c r="AA51">
        <v>0.64160899999999998</v>
      </c>
      <c r="AB51">
        <v>0.642984</v>
      </c>
      <c r="AC51">
        <v>0.64441700000000002</v>
      </c>
      <c r="AD51">
        <v>0.64599600000000001</v>
      </c>
      <c r="AE51">
        <v>0.64779299999999995</v>
      </c>
      <c r="AF51">
        <v>0.64965700000000004</v>
      </c>
      <c r="AG51">
        <v>0.65169699999999997</v>
      </c>
      <c r="AH51">
        <v>0.65393400000000002</v>
      </c>
      <c r="AI51" s="21">
        <v>3.0000000000000001E-3</v>
      </c>
    </row>
    <row r="52" spans="1:35" x14ac:dyDescent="0.35">
      <c r="A52" t="s">
        <v>28</v>
      </c>
      <c r="B52" t="s">
        <v>384</v>
      </c>
      <c r="C52" t="s">
        <v>385</v>
      </c>
      <c r="D52" t="s">
        <v>109</v>
      </c>
      <c r="F52">
        <v>0.43073600000000001</v>
      </c>
      <c r="G52">
        <v>0.434585</v>
      </c>
      <c r="H52">
        <v>0.43993500000000002</v>
      </c>
      <c r="I52">
        <v>0.447378</v>
      </c>
      <c r="J52">
        <v>0.45436900000000002</v>
      </c>
      <c r="K52">
        <v>0.46098600000000001</v>
      </c>
      <c r="L52">
        <v>0.46887200000000001</v>
      </c>
      <c r="M52">
        <v>0.477159</v>
      </c>
      <c r="N52">
        <v>0.48619699999999999</v>
      </c>
      <c r="O52">
        <v>0.49543300000000001</v>
      </c>
      <c r="P52">
        <v>0.50508200000000003</v>
      </c>
      <c r="Q52">
        <v>0.51431199999999999</v>
      </c>
      <c r="R52">
        <v>0.52371100000000004</v>
      </c>
      <c r="S52">
        <v>0.53291500000000003</v>
      </c>
      <c r="T52">
        <v>0.54290400000000005</v>
      </c>
      <c r="U52">
        <v>0.55216500000000002</v>
      </c>
      <c r="V52">
        <v>0.56217499999999998</v>
      </c>
      <c r="W52">
        <v>0.57200700000000004</v>
      </c>
      <c r="X52">
        <v>0.58174599999999999</v>
      </c>
      <c r="Y52">
        <v>0.59145400000000004</v>
      </c>
      <c r="Z52">
        <v>0.60173699999999997</v>
      </c>
      <c r="AA52">
        <v>0.61264799999999997</v>
      </c>
      <c r="AB52">
        <v>0.62317100000000003</v>
      </c>
      <c r="AC52">
        <v>0.63440600000000003</v>
      </c>
      <c r="AD52">
        <v>0.64643499999999998</v>
      </c>
      <c r="AE52">
        <v>0.65822099999999995</v>
      </c>
      <c r="AF52">
        <v>0.67073700000000003</v>
      </c>
      <c r="AG52">
        <v>0.68349800000000005</v>
      </c>
      <c r="AH52">
        <v>0.69654000000000005</v>
      </c>
      <c r="AI52" s="21">
        <v>1.7000000000000001E-2</v>
      </c>
    </row>
    <row r="53" spans="1:35" x14ac:dyDescent="0.35">
      <c r="A53" t="s">
        <v>130</v>
      </c>
      <c r="B53" t="s">
        <v>386</v>
      </c>
      <c r="C53" t="s">
        <v>387</v>
      </c>
      <c r="D53" t="s">
        <v>109</v>
      </c>
      <c r="F53">
        <v>0.174708</v>
      </c>
      <c r="G53">
        <v>0.173262</v>
      </c>
      <c r="H53">
        <v>0.17277699999999999</v>
      </c>
      <c r="I53">
        <v>0.17319300000000001</v>
      </c>
      <c r="J53">
        <v>0.17386399999999999</v>
      </c>
      <c r="K53">
        <v>0.174594</v>
      </c>
      <c r="L53">
        <v>0.17566599999999999</v>
      </c>
      <c r="M53">
        <v>0.17710699999999999</v>
      </c>
      <c r="N53">
        <v>0.17887400000000001</v>
      </c>
      <c r="O53">
        <v>0.180673</v>
      </c>
      <c r="P53">
        <v>0.18267900000000001</v>
      </c>
      <c r="Q53">
        <v>0.184498</v>
      </c>
      <c r="R53">
        <v>0.185888</v>
      </c>
      <c r="S53">
        <v>0.18745700000000001</v>
      </c>
      <c r="T53">
        <v>0.18862699999999999</v>
      </c>
      <c r="U53">
        <v>0.18968199999999999</v>
      </c>
      <c r="V53">
        <v>0.190608</v>
      </c>
      <c r="W53">
        <v>0.190859</v>
      </c>
      <c r="X53">
        <v>0.19103999999999999</v>
      </c>
      <c r="Y53">
        <v>0.19087699999999999</v>
      </c>
      <c r="Z53">
        <v>0.19009000000000001</v>
      </c>
      <c r="AA53">
        <v>0.18897900000000001</v>
      </c>
      <c r="AB53">
        <v>0.18754999999999999</v>
      </c>
      <c r="AC53">
        <v>0.1855</v>
      </c>
      <c r="AD53">
        <v>0.183143</v>
      </c>
      <c r="AE53">
        <v>0.180174</v>
      </c>
      <c r="AF53">
        <v>0.176542</v>
      </c>
      <c r="AG53">
        <v>0.17224400000000001</v>
      </c>
      <c r="AH53">
        <v>0.16695299999999999</v>
      </c>
      <c r="AI53" s="21">
        <v>-2E-3</v>
      </c>
    </row>
    <row r="54" spans="1:35" x14ac:dyDescent="0.35">
      <c r="A54" t="s">
        <v>133</v>
      </c>
      <c r="B54" t="s">
        <v>388</v>
      </c>
      <c r="C54" t="s">
        <v>389</v>
      </c>
      <c r="D54" t="s">
        <v>109</v>
      </c>
      <c r="F54">
        <v>3.4507249999999998</v>
      </c>
      <c r="G54">
        <v>3.536727</v>
      </c>
      <c r="H54">
        <v>3.4764119999999998</v>
      </c>
      <c r="I54">
        <v>3.4431989999999999</v>
      </c>
      <c r="J54">
        <v>3.4318369999999998</v>
      </c>
      <c r="K54">
        <v>3.4161250000000001</v>
      </c>
      <c r="L54">
        <v>3.446787</v>
      </c>
      <c r="M54">
        <v>3.4757069999999999</v>
      </c>
      <c r="N54">
        <v>3.5049540000000001</v>
      </c>
      <c r="O54">
        <v>3.5324049999999998</v>
      </c>
      <c r="P54">
        <v>3.5605950000000002</v>
      </c>
      <c r="Q54">
        <v>3.5863670000000001</v>
      </c>
      <c r="R54">
        <v>3.6106569999999998</v>
      </c>
      <c r="S54">
        <v>3.6347269999999998</v>
      </c>
      <c r="T54">
        <v>3.658757</v>
      </c>
      <c r="U54">
        <v>3.6816170000000001</v>
      </c>
      <c r="V54">
        <v>3.7035990000000001</v>
      </c>
      <c r="W54">
        <v>3.7265060000000001</v>
      </c>
      <c r="X54">
        <v>3.7487550000000001</v>
      </c>
      <c r="Y54">
        <v>3.7714799999999999</v>
      </c>
      <c r="Z54">
        <v>3.7952819999999998</v>
      </c>
      <c r="AA54">
        <v>3.821091</v>
      </c>
      <c r="AB54">
        <v>3.8484419999999999</v>
      </c>
      <c r="AC54">
        <v>3.876735</v>
      </c>
      <c r="AD54">
        <v>3.9044140000000001</v>
      </c>
      <c r="AE54">
        <v>3.9351759999999998</v>
      </c>
      <c r="AF54">
        <v>3.967991</v>
      </c>
      <c r="AG54">
        <v>4.0022770000000003</v>
      </c>
      <c r="AH54">
        <v>4.0378090000000002</v>
      </c>
      <c r="AI54" s="21">
        <v>6.0000000000000001E-3</v>
      </c>
    </row>
    <row r="55" spans="1:35" x14ac:dyDescent="0.35">
      <c r="A55" t="s">
        <v>97</v>
      </c>
      <c r="B55" t="s">
        <v>390</v>
      </c>
      <c r="C55" t="s">
        <v>391</v>
      </c>
      <c r="D55" t="s">
        <v>109</v>
      </c>
      <c r="F55">
        <v>9.335528</v>
      </c>
      <c r="G55">
        <v>9.2880570000000002</v>
      </c>
      <c r="H55">
        <v>9.2086159999999992</v>
      </c>
      <c r="I55">
        <v>9.2537749999999992</v>
      </c>
      <c r="J55">
        <v>9.3059200000000004</v>
      </c>
      <c r="K55">
        <v>9.3353859999999997</v>
      </c>
      <c r="L55">
        <v>9.403867</v>
      </c>
      <c r="M55">
        <v>9.4589149999999993</v>
      </c>
      <c r="N55">
        <v>9.5025680000000001</v>
      </c>
      <c r="O55">
        <v>9.5458870000000005</v>
      </c>
      <c r="P55">
        <v>9.5881089999999993</v>
      </c>
      <c r="Q55">
        <v>9.617559</v>
      </c>
      <c r="R55">
        <v>9.6410680000000006</v>
      </c>
      <c r="S55">
        <v>9.6637880000000003</v>
      </c>
      <c r="T55">
        <v>9.6877049999999993</v>
      </c>
      <c r="U55">
        <v>9.7066199999999991</v>
      </c>
      <c r="V55">
        <v>9.7182060000000003</v>
      </c>
      <c r="W55">
        <v>9.7299340000000001</v>
      </c>
      <c r="X55">
        <v>9.7433150000000008</v>
      </c>
      <c r="Y55">
        <v>9.7592949999999998</v>
      </c>
      <c r="Z55">
        <v>9.7786690000000007</v>
      </c>
      <c r="AA55">
        <v>9.8043589999999998</v>
      </c>
      <c r="AB55">
        <v>9.8349259999999994</v>
      </c>
      <c r="AC55">
        <v>9.8644540000000003</v>
      </c>
      <c r="AD55">
        <v>9.8892959999999999</v>
      </c>
      <c r="AE55">
        <v>9.9223239999999997</v>
      </c>
      <c r="AF55">
        <v>9.9624299999999995</v>
      </c>
      <c r="AG55">
        <v>10.005023</v>
      </c>
      <c r="AH55">
        <v>10.047378999999999</v>
      </c>
      <c r="AI55" s="21">
        <v>3.0000000000000001E-3</v>
      </c>
    </row>
    <row r="56" spans="1:35" x14ac:dyDescent="0.35">
      <c r="A56" t="s">
        <v>142</v>
      </c>
      <c r="B56" t="s">
        <v>392</v>
      </c>
      <c r="C56" t="s">
        <v>393</v>
      </c>
      <c r="D56" t="s">
        <v>109</v>
      </c>
      <c r="F56">
        <v>0.120598</v>
      </c>
      <c r="G56">
        <v>0.141293</v>
      </c>
      <c r="H56">
        <v>0.15779599999999999</v>
      </c>
      <c r="I56">
        <v>0.17105699999999999</v>
      </c>
      <c r="J56">
        <v>0.17847299999999999</v>
      </c>
      <c r="K56">
        <v>0.18718199999999999</v>
      </c>
      <c r="L56">
        <v>0.19470299999999999</v>
      </c>
      <c r="M56">
        <v>0.20632900000000001</v>
      </c>
      <c r="N56">
        <v>0.214666</v>
      </c>
      <c r="O56">
        <v>0.22300600000000001</v>
      </c>
      <c r="P56">
        <v>0.23046800000000001</v>
      </c>
      <c r="Q56">
        <v>0.24135400000000001</v>
      </c>
      <c r="R56">
        <v>0.25285299999999999</v>
      </c>
      <c r="S56">
        <v>0.25964599999999999</v>
      </c>
      <c r="T56">
        <v>0.27190500000000001</v>
      </c>
      <c r="U56">
        <v>0.27923599999999998</v>
      </c>
      <c r="V56">
        <v>0.28964899999999999</v>
      </c>
      <c r="W56">
        <v>0.299346</v>
      </c>
      <c r="X56">
        <v>0.30795899999999998</v>
      </c>
      <c r="Y56">
        <v>0.31545000000000001</v>
      </c>
      <c r="Z56">
        <v>0.32173499999999999</v>
      </c>
      <c r="AA56">
        <v>0.32723600000000003</v>
      </c>
      <c r="AB56">
        <v>0.33231100000000002</v>
      </c>
      <c r="AC56">
        <v>0.33729500000000001</v>
      </c>
      <c r="AD56">
        <v>0.34577400000000003</v>
      </c>
      <c r="AE56">
        <v>0.34869</v>
      </c>
      <c r="AF56">
        <v>0.35358000000000001</v>
      </c>
      <c r="AG56">
        <v>0.35607299999999997</v>
      </c>
      <c r="AH56">
        <v>0.35779100000000003</v>
      </c>
      <c r="AI56" s="21">
        <v>0.04</v>
      </c>
    </row>
    <row r="57" spans="1:35" x14ac:dyDescent="0.35">
      <c r="A57" t="s">
        <v>160</v>
      </c>
      <c r="B57" t="s">
        <v>394</v>
      </c>
      <c r="C57" t="s">
        <v>391</v>
      </c>
      <c r="D57" t="s">
        <v>109</v>
      </c>
      <c r="F57">
        <v>9.214931</v>
      </c>
      <c r="G57">
        <v>9.1467639999999992</v>
      </c>
      <c r="H57">
        <v>9.0508199999999999</v>
      </c>
      <c r="I57">
        <v>9.0827179999999998</v>
      </c>
      <c r="J57">
        <v>9.1274470000000001</v>
      </c>
      <c r="K57">
        <v>9.1482039999999998</v>
      </c>
      <c r="L57">
        <v>9.2091639999999995</v>
      </c>
      <c r="M57">
        <v>9.2525849999999998</v>
      </c>
      <c r="N57">
        <v>9.2879020000000008</v>
      </c>
      <c r="O57">
        <v>9.3228819999999999</v>
      </c>
      <c r="P57">
        <v>9.3576409999999992</v>
      </c>
      <c r="Q57">
        <v>9.3762050000000006</v>
      </c>
      <c r="R57">
        <v>9.3882150000000006</v>
      </c>
      <c r="S57">
        <v>9.4041420000000002</v>
      </c>
      <c r="T57">
        <v>9.4158000000000008</v>
      </c>
      <c r="U57">
        <v>9.427384</v>
      </c>
      <c r="V57">
        <v>9.4285560000000004</v>
      </c>
      <c r="W57">
        <v>9.4305880000000002</v>
      </c>
      <c r="X57">
        <v>9.4353560000000005</v>
      </c>
      <c r="Y57">
        <v>9.4438440000000003</v>
      </c>
      <c r="Z57">
        <v>9.4569349999999996</v>
      </c>
      <c r="AA57">
        <v>9.4771230000000006</v>
      </c>
      <c r="AB57">
        <v>9.5026139999999995</v>
      </c>
      <c r="AC57">
        <v>9.5271600000000003</v>
      </c>
      <c r="AD57">
        <v>9.5435219999999994</v>
      </c>
      <c r="AE57">
        <v>9.5736340000000002</v>
      </c>
      <c r="AF57">
        <v>9.6088500000000003</v>
      </c>
      <c r="AG57">
        <v>9.6489499999999992</v>
      </c>
      <c r="AH57">
        <v>9.6895889999999998</v>
      </c>
      <c r="AI57" s="21">
        <v>2E-3</v>
      </c>
    </row>
    <row r="58" spans="1:35" x14ac:dyDescent="0.35">
      <c r="A58" t="s">
        <v>206</v>
      </c>
      <c r="B58" t="s">
        <v>395</v>
      </c>
      <c r="C58" t="s">
        <v>396</v>
      </c>
      <c r="D58" t="s">
        <v>109</v>
      </c>
      <c r="F58">
        <v>8.418628</v>
      </c>
      <c r="G58">
        <v>8.1140220000000003</v>
      </c>
      <c r="H58">
        <v>8.1917259999999992</v>
      </c>
      <c r="I58">
        <v>8.1594289999999994</v>
      </c>
      <c r="J58">
        <v>8.0919919999999994</v>
      </c>
      <c r="K58">
        <v>8.0060850000000006</v>
      </c>
      <c r="L58">
        <v>7.955819</v>
      </c>
      <c r="M58">
        <v>7.9158020000000002</v>
      </c>
      <c r="N58">
        <v>7.8963580000000002</v>
      </c>
      <c r="O58">
        <v>7.9300129999999998</v>
      </c>
      <c r="P58">
        <v>8.0035220000000002</v>
      </c>
      <c r="Q58">
        <v>8.0267309999999998</v>
      </c>
      <c r="R58">
        <v>8.0801970000000001</v>
      </c>
      <c r="S58">
        <v>8.1208340000000003</v>
      </c>
      <c r="T58">
        <v>8.1497419999999998</v>
      </c>
      <c r="U58">
        <v>8.1508179999999992</v>
      </c>
      <c r="V58">
        <v>8.1182960000000008</v>
      </c>
      <c r="W58">
        <v>8.0792339999999996</v>
      </c>
      <c r="X58">
        <v>8.0688680000000002</v>
      </c>
      <c r="Y58">
        <v>8.0798349999999992</v>
      </c>
      <c r="Z58">
        <v>8.1258210000000002</v>
      </c>
      <c r="AA58">
        <v>8.1633040000000001</v>
      </c>
      <c r="AB58">
        <v>8.2102930000000001</v>
      </c>
      <c r="AC58">
        <v>8.2706389999999992</v>
      </c>
      <c r="AD58">
        <v>8.2967460000000006</v>
      </c>
      <c r="AE58">
        <v>8.3478860000000008</v>
      </c>
      <c r="AF58">
        <v>8.401999</v>
      </c>
      <c r="AG58">
        <v>8.4501869999999997</v>
      </c>
      <c r="AH58">
        <v>8.5127570000000006</v>
      </c>
      <c r="AI58" s="21">
        <v>0</v>
      </c>
    </row>
    <row r="59" spans="1:35" x14ac:dyDescent="0.35">
      <c r="A59" t="s">
        <v>209</v>
      </c>
    </row>
    <row r="60" spans="1:35" x14ac:dyDescent="0.35">
      <c r="A60" t="s">
        <v>106</v>
      </c>
      <c r="B60" t="s">
        <v>397</v>
      </c>
      <c r="C60" t="s">
        <v>398</v>
      </c>
      <c r="D60" t="s">
        <v>109</v>
      </c>
      <c r="F60">
        <v>2.3697560000000002</v>
      </c>
      <c r="G60">
        <v>2.3253029999999999</v>
      </c>
      <c r="H60">
        <v>2.2000709999999999</v>
      </c>
      <c r="I60">
        <v>2.2340339999999999</v>
      </c>
      <c r="J60">
        <v>2.258785</v>
      </c>
      <c r="K60">
        <v>2.2721779999999998</v>
      </c>
      <c r="L60">
        <v>2.2786050000000002</v>
      </c>
      <c r="M60">
        <v>2.2756099999999999</v>
      </c>
      <c r="N60">
        <v>2.2688220000000001</v>
      </c>
      <c r="O60">
        <v>2.2625299999999999</v>
      </c>
      <c r="P60">
        <v>2.2550870000000001</v>
      </c>
      <c r="Q60">
        <v>2.242448</v>
      </c>
      <c r="R60">
        <v>2.2285940000000002</v>
      </c>
      <c r="S60">
        <v>2.2133579999999999</v>
      </c>
      <c r="T60">
        <v>2.1982949999999999</v>
      </c>
      <c r="U60">
        <v>2.181622</v>
      </c>
      <c r="V60">
        <v>2.1610209999999999</v>
      </c>
      <c r="W60">
        <v>2.140987</v>
      </c>
      <c r="X60">
        <v>2.120797</v>
      </c>
      <c r="Y60">
        <v>2.1009540000000002</v>
      </c>
      <c r="Z60">
        <v>2.0825870000000002</v>
      </c>
      <c r="AA60">
        <v>2.0657890000000001</v>
      </c>
      <c r="AB60">
        <v>2.0509119999999998</v>
      </c>
      <c r="AC60">
        <v>2.0343010000000001</v>
      </c>
      <c r="AD60">
        <v>2.0144310000000001</v>
      </c>
      <c r="AE60">
        <v>1.9967809999999999</v>
      </c>
      <c r="AF60">
        <v>1.981096</v>
      </c>
      <c r="AG60">
        <v>1.9651620000000001</v>
      </c>
      <c r="AH60">
        <v>1.94787</v>
      </c>
      <c r="AI60" s="21">
        <v>-7.0000000000000001E-3</v>
      </c>
    </row>
    <row r="61" spans="1:35" x14ac:dyDescent="0.35">
      <c r="A61" t="s">
        <v>151</v>
      </c>
      <c r="B61" t="s">
        <v>399</v>
      </c>
      <c r="C61" t="s">
        <v>400</v>
      </c>
      <c r="D61" t="s">
        <v>109</v>
      </c>
      <c r="F61">
        <v>1.5369969999999999</v>
      </c>
      <c r="G61">
        <v>1.328487</v>
      </c>
      <c r="H61">
        <v>1.535744</v>
      </c>
      <c r="I61">
        <v>1.556894</v>
      </c>
      <c r="J61">
        <v>1.567385</v>
      </c>
      <c r="K61">
        <v>1.575223</v>
      </c>
      <c r="L61">
        <v>1.582111</v>
      </c>
      <c r="M61">
        <v>1.588919</v>
      </c>
      <c r="N61">
        <v>1.5958870000000001</v>
      </c>
      <c r="O61">
        <v>1.609396</v>
      </c>
      <c r="P61">
        <v>1.6281920000000001</v>
      </c>
      <c r="Q61">
        <v>1.6374580000000001</v>
      </c>
      <c r="R61">
        <v>1.650042</v>
      </c>
      <c r="S61">
        <v>1.6619710000000001</v>
      </c>
      <c r="T61">
        <v>1.672609</v>
      </c>
      <c r="U61">
        <v>1.680196</v>
      </c>
      <c r="V61">
        <v>1.6826190000000001</v>
      </c>
      <c r="W61">
        <v>1.684639</v>
      </c>
      <c r="X61">
        <v>1.6883490000000001</v>
      </c>
      <c r="Y61">
        <v>1.695125</v>
      </c>
      <c r="Z61">
        <v>1.7068909999999999</v>
      </c>
      <c r="AA61">
        <v>1.717692</v>
      </c>
      <c r="AB61">
        <v>1.73045</v>
      </c>
      <c r="AC61">
        <v>1.7457689999999999</v>
      </c>
      <c r="AD61">
        <v>1.7589360000000001</v>
      </c>
      <c r="AE61">
        <v>1.7766649999999999</v>
      </c>
      <c r="AF61">
        <v>1.7950440000000001</v>
      </c>
      <c r="AG61">
        <v>1.812694</v>
      </c>
      <c r="AH61">
        <v>1.833566</v>
      </c>
      <c r="AI61" s="21">
        <v>6.0000000000000001E-3</v>
      </c>
    </row>
    <row r="62" spans="1:35" x14ac:dyDescent="0.35">
      <c r="A62" t="s">
        <v>113</v>
      </c>
      <c r="B62" t="s">
        <v>401</v>
      </c>
      <c r="C62" t="s">
        <v>402</v>
      </c>
      <c r="D62" t="s">
        <v>109</v>
      </c>
      <c r="F62">
        <v>0.66562699999999997</v>
      </c>
      <c r="G62">
        <v>0.65749899999999994</v>
      </c>
      <c r="H62">
        <v>0.66666899999999996</v>
      </c>
      <c r="I62">
        <v>0.68124700000000005</v>
      </c>
      <c r="J62">
        <v>0.69316900000000004</v>
      </c>
      <c r="K62">
        <v>0.70242899999999997</v>
      </c>
      <c r="L62">
        <v>0.71000700000000005</v>
      </c>
      <c r="M62">
        <v>0.71553599999999995</v>
      </c>
      <c r="N62">
        <v>0.72045199999999998</v>
      </c>
      <c r="O62">
        <v>0.72542899999999999</v>
      </c>
      <c r="P62">
        <v>0.730105</v>
      </c>
      <c r="Q62">
        <v>0.73323199999999999</v>
      </c>
      <c r="R62">
        <v>0.735904</v>
      </c>
      <c r="S62">
        <v>0.73823899999999998</v>
      </c>
      <c r="T62">
        <v>0.740788</v>
      </c>
      <c r="U62">
        <v>0.74285599999999996</v>
      </c>
      <c r="V62">
        <v>0.74366299999999996</v>
      </c>
      <c r="W62">
        <v>0.74489700000000003</v>
      </c>
      <c r="X62">
        <v>0.74589700000000003</v>
      </c>
      <c r="Y62">
        <v>0.74704199999999998</v>
      </c>
      <c r="Z62">
        <v>0.74865400000000004</v>
      </c>
      <c r="AA62">
        <v>0.75102800000000003</v>
      </c>
      <c r="AB62">
        <v>0.75422599999999995</v>
      </c>
      <c r="AC62">
        <v>0.756606</v>
      </c>
      <c r="AD62">
        <v>0.75668800000000003</v>
      </c>
      <c r="AE62">
        <v>0.75813200000000003</v>
      </c>
      <c r="AF62">
        <v>0.76105400000000001</v>
      </c>
      <c r="AG62">
        <v>0.76436300000000001</v>
      </c>
      <c r="AH62">
        <v>0.76713299999999995</v>
      </c>
      <c r="AI62" s="21">
        <v>5.0000000000000001E-3</v>
      </c>
    </row>
    <row r="63" spans="1:35" x14ac:dyDescent="0.35">
      <c r="A63" t="s">
        <v>116</v>
      </c>
      <c r="B63" t="s">
        <v>403</v>
      </c>
      <c r="C63" t="s">
        <v>404</v>
      </c>
      <c r="D63" t="s">
        <v>109</v>
      </c>
      <c r="F63">
        <v>1.1665289999999999</v>
      </c>
      <c r="G63">
        <v>1.1180840000000001</v>
      </c>
      <c r="H63">
        <v>1.0967420000000001</v>
      </c>
      <c r="I63">
        <v>1.0777890000000001</v>
      </c>
      <c r="J63">
        <v>1.053604</v>
      </c>
      <c r="K63">
        <v>1.026656</v>
      </c>
      <c r="L63">
        <v>0.99876600000000004</v>
      </c>
      <c r="M63">
        <v>0.97128400000000004</v>
      </c>
      <c r="N63">
        <v>0.94479100000000005</v>
      </c>
      <c r="O63">
        <v>0.92290000000000005</v>
      </c>
      <c r="P63">
        <v>0.90390099999999995</v>
      </c>
      <c r="Q63">
        <v>0.88105</v>
      </c>
      <c r="R63">
        <v>0.86056600000000005</v>
      </c>
      <c r="S63">
        <v>0.84034600000000004</v>
      </c>
      <c r="T63">
        <v>0.82012499999999999</v>
      </c>
      <c r="U63">
        <v>0.79879900000000004</v>
      </c>
      <c r="V63">
        <v>0.77551099999999995</v>
      </c>
      <c r="W63">
        <v>0.75261400000000001</v>
      </c>
      <c r="X63">
        <v>0.73203600000000002</v>
      </c>
      <c r="Y63">
        <v>0.71380699999999997</v>
      </c>
      <c r="Z63">
        <v>0.69832300000000003</v>
      </c>
      <c r="AA63">
        <v>0.68294299999999997</v>
      </c>
      <c r="AB63">
        <v>0.66856300000000002</v>
      </c>
      <c r="AC63">
        <v>0.65516399999999997</v>
      </c>
      <c r="AD63">
        <v>0.64053499999999997</v>
      </c>
      <c r="AE63">
        <v>0.62772799999999995</v>
      </c>
      <c r="AF63">
        <v>0.61534299999999997</v>
      </c>
      <c r="AG63">
        <v>0.60333199999999998</v>
      </c>
      <c r="AH63">
        <v>0.59254700000000005</v>
      </c>
      <c r="AI63" s="21">
        <v>-2.4E-2</v>
      </c>
    </row>
    <row r="64" spans="1:35" x14ac:dyDescent="0.35">
      <c r="A64" t="s">
        <v>119</v>
      </c>
      <c r="B64" t="s">
        <v>405</v>
      </c>
      <c r="C64" t="s">
        <v>406</v>
      </c>
      <c r="D64" t="s">
        <v>109</v>
      </c>
      <c r="F64">
        <v>0.56011500000000003</v>
      </c>
      <c r="G64">
        <v>0.55493300000000001</v>
      </c>
      <c r="H64">
        <v>0.56366799999999995</v>
      </c>
      <c r="I64">
        <v>0.57528999999999997</v>
      </c>
      <c r="J64">
        <v>0.583754</v>
      </c>
      <c r="K64">
        <v>0.58954399999999996</v>
      </c>
      <c r="L64">
        <v>0.59404199999999996</v>
      </c>
      <c r="M64">
        <v>0.59749699999999994</v>
      </c>
      <c r="N64">
        <v>0.60081499999999999</v>
      </c>
      <c r="O64">
        <v>0.60494700000000001</v>
      </c>
      <c r="P64">
        <v>0.60926800000000003</v>
      </c>
      <c r="Q64">
        <v>0.61163299999999998</v>
      </c>
      <c r="R64">
        <v>0.61390199999999995</v>
      </c>
      <c r="S64">
        <v>0.61572099999999996</v>
      </c>
      <c r="T64">
        <v>0.61733800000000005</v>
      </c>
      <c r="U64">
        <v>0.61818600000000001</v>
      </c>
      <c r="V64">
        <v>0.617672</v>
      </c>
      <c r="W64">
        <v>0.61723899999999998</v>
      </c>
      <c r="X64">
        <v>0.61680999999999997</v>
      </c>
      <c r="Y64">
        <v>0.61690299999999998</v>
      </c>
      <c r="Z64">
        <v>0.61767099999999997</v>
      </c>
      <c r="AA64">
        <v>0.618726</v>
      </c>
      <c r="AB64">
        <v>0.62030300000000005</v>
      </c>
      <c r="AC64">
        <v>0.62162399999999995</v>
      </c>
      <c r="AD64">
        <v>0.62077099999999996</v>
      </c>
      <c r="AE64">
        <v>0.62115200000000004</v>
      </c>
      <c r="AF64">
        <v>0.62246100000000004</v>
      </c>
      <c r="AG64">
        <v>0.62402999999999997</v>
      </c>
      <c r="AH64">
        <v>0.62551599999999996</v>
      </c>
      <c r="AI64" s="21">
        <v>4.0000000000000001E-3</v>
      </c>
    </row>
    <row r="65" spans="1:35" x14ac:dyDescent="0.35">
      <c r="A65" t="s">
        <v>122</v>
      </c>
      <c r="B65" t="s">
        <v>407</v>
      </c>
      <c r="C65" t="s">
        <v>408</v>
      </c>
      <c r="D65" t="s">
        <v>109</v>
      </c>
      <c r="F65">
        <v>1.3851530000000001</v>
      </c>
      <c r="G65">
        <v>1.339207</v>
      </c>
      <c r="H65">
        <v>1.331915</v>
      </c>
      <c r="I65">
        <v>1.332792</v>
      </c>
      <c r="J65">
        <v>1.3283799999999999</v>
      </c>
      <c r="K65">
        <v>1.3212189999999999</v>
      </c>
      <c r="L65">
        <v>1.3141320000000001</v>
      </c>
      <c r="M65">
        <v>1.308378</v>
      </c>
      <c r="N65">
        <v>1.2943530000000001</v>
      </c>
      <c r="O65">
        <v>1.2868710000000001</v>
      </c>
      <c r="P65">
        <v>1.2834669999999999</v>
      </c>
      <c r="Q65">
        <v>1.2740020000000001</v>
      </c>
      <c r="R65">
        <v>1.2666729999999999</v>
      </c>
      <c r="S65">
        <v>1.258643</v>
      </c>
      <c r="T65">
        <v>1.249258</v>
      </c>
      <c r="U65">
        <v>1.235217</v>
      </c>
      <c r="V65">
        <v>1.2160230000000001</v>
      </c>
      <c r="W65">
        <v>1.1938260000000001</v>
      </c>
      <c r="X65">
        <v>1.1843950000000001</v>
      </c>
      <c r="Y65">
        <v>1.178803</v>
      </c>
      <c r="Z65">
        <v>1.176833</v>
      </c>
      <c r="AA65">
        <v>1.1747920000000001</v>
      </c>
      <c r="AB65">
        <v>1.1743619999999999</v>
      </c>
      <c r="AC65">
        <v>1.175478</v>
      </c>
      <c r="AD65">
        <v>1.174237</v>
      </c>
      <c r="AE65">
        <v>1.1766799999999999</v>
      </c>
      <c r="AF65">
        <v>1.179251</v>
      </c>
      <c r="AG65">
        <v>1.181748</v>
      </c>
      <c r="AH65">
        <v>1.186339</v>
      </c>
      <c r="AI65" s="21">
        <v>-6.0000000000000001E-3</v>
      </c>
    </row>
    <row r="66" spans="1:35" x14ac:dyDescent="0.35">
      <c r="A66" t="s">
        <v>125</v>
      </c>
      <c r="B66" t="s">
        <v>409</v>
      </c>
      <c r="C66" t="s">
        <v>410</v>
      </c>
      <c r="D66" t="s">
        <v>109</v>
      </c>
      <c r="F66">
        <v>1.680609</v>
      </c>
      <c r="G66">
        <v>1.6483950000000001</v>
      </c>
      <c r="H66">
        <v>1.652382</v>
      </c>
      <c r="I66">
        <v>1.6577379999999999</v>
      </c>
      <c r="J66">
        <v>1.6549879999999999</v>
      </c>
      <c r="K66">
        <v>1.6490229999999999</v>
      </c>
      <c r="L66">
        <v>1.643127</v>
      </c>
      <c r="M66">
        <v>1.6391340000000001</v>
      </c>
      <c r="N66">
        <v>1.6363259999999999</v>
      </c>
      <c r="O66">
        <v>1.6420090000000001</v>
      </c>
      <c r="P66">
        <v>1.652495</v>
      </c>
      <c r="Q66">
        <v>1.6559159999999999</v>
      </c>
      <c r="R66">
        <v>1.6626129999999999</v>
      </c>
      <c r="S66">
        <v>1.6673100000000001</v>
      </c>
      <c r="T66">
        <v>1.6697979999999999</v>
      </c>
      <c r="U66">
        <v>1.6685019999999999</v>
      </c>
      <c r="V66">
        <v>1.66205</v>
      </c>
      <c r="W66">
        <v>1.654631</v>
      </c>
      <c r="X66">
        <v>1.6499239999999999</v>
      </c>
      <c r="Y66">
        <v>1.649092</v>
      </c>
      <c r="Z66">
        <v>1.65256</v>
      </c>
      <c r="AA66">
        <v>1.6546829999999999</v>
      </c>
      <c r="AB66">
        <v>1.657877</v>
      </c>
      <c r="AC66">
        <v>1.662347</v>
      </c>
      <c r="AD66">
        <v>1.6622939999999999</v>
      </c>
      <c r="AE66">
        <v>1.6653009999999999</v>
      </c>
      <c r="AF66">
        <v>1.668507</v>
      </c>
      <c r="AG66">
        <v>1.6711590000000001</v>
      </c>
      <c r="AH66">
        <v>1.6755519999999999</v>
      </c>
      <c r="AI66" s="21">
        <v>0</v>
      </c>
    </row>
    <row r="67" spans="1:35" x14ac:dyDescent="0.35">
      <c r="A67" t="s">
        <v>28</v>
      </c>
      <c r="B67" t="s">
        <v>411</v>
      </c>
      <c r="C67" t="s">
        <v>412</v>
      </c>
      <c r="D67" t="s">
        <v>109</v>
      </c>
      <c r="F67">
        <v>1.199797</v>
      </c>
      <c r="G67">
        <v>1.191255</v>
      </c>
      <c r="H67">
        <v>1.2061809999999999</v>
      </c>
      <c r="I67">
        <v>1.22292</v>
      </c>
      <c r="J67">
        <v>1.2333810000000001</v>
      </c>
      <c r="K67">
        <v>1.241554</v>
      </c>
      <c r="L67">
        <v>1.252292</v>
      </c>
      <c r="M67">
        <v>1.26457</v>
      </c>
      <c r="N67">
        <v>1.2816419999999999</v>
      </c>
      <c r="O67">
        <v>1.303904</v>
      </c>
      <c r="P67">
        <v>1.3311930000000001</v>
      </c>
      <c r="Q67">
        <v>1.353154</v>
      </c>
      <c r="R67">
        <v>1.3792089999999999</v>
      </c>
      <c r="S67">
        <v>1.403213</v>
      </c>
      <c r="T67">
        <v>1.427948</v>
      </c>
      <c r="U67">
        <v>1.4482139999999999</v>
      </c>
      <c r="V67">
        <v>1.466961</v>
      </c>
      <c r="W67">
        <v>1.4847030000000001</v>
      </c>
      <c r="X67">
        <v>1.5046360000000001</v>
      </c>
      <c r="Y67">
        <v>1.526249</v>
      </c>
      <c r="Z67">
        <v>1.553045</v>
      </c>
      <c r="AA67">
        <v>1.579993</v>
      </c>
      <c r="AB67">
        <v>1.606792</v>
      </c>
      <c r="AC67">
        <v>1.6365209999999999</v>
      </c>
      <c r="AD67">
        <v>1.663424</v>
      </c>
      <c r="AE67">
        <v>1.69211</v>
      </c>
      <c r="AF67">
        <v>1.722647</v>
      </c>
      <c r="AG67">
        <v>1.7527060000000001</v>
      </c>
      <c r="AH67">
        <v>1.784721</v>
      </c>
      <c r="AI67" s="21">
        <v>1.4E-2</v>
      </c>
    </row>
    <row r="68" spans="1:35" x14ac:dyDescent="0.35">
      <c r="A68" t="s">
        <v>130</v>
      </c>
      <c r="B68" t="s">
        <v>413</v>
      </c>
      <c r="C68" t="s">
        <v>414</v>
      </c>
      <c r="D68" t="s">
        <v>109</v>
      </c>
      <c r="F68">
        <v>0.48664099999999999</v>
      </c>
      <c r="G68">
        <v>0.47493299999999999</v>
      </c>
      <c r="H68">
        <v>0.47370600000000002</v>
      </c>
      <c r="I68">
        <v>0.47342800000000002</v>
      </c>
      <c r="J68">
        <v>0.47195300000000001</v>
      </c>
      <c r="K68">
        <v>0.47022799999999998</v>
      </c>
      <c r="L68">
        <v>0.46917999999999999</v>
      </c>
      <c r="M68">
        <v>0.46936899999999998</v>
      </c>
      <c r="N68">
        <v>0.47152100000000002</v>
      </c>
      <c r="O68">
        <v>0.47550500000000001</v>
      </c>
      <c r="P68">
        <v>0.48146899999999998</v>
      </c>
      <c r="Q68">
        <v>0.48541499999999999</v>
      </c>
      <c r="R68">
        <v>0.489541</v>
      </c>
      <c r="S68">
        <v>0.49359199999999998</v>
      </c>
      <c r="T68">
        <v>0.49612699999999998</v>
      </c>
      <c r="U68">
        <v>0.49749599999999999</v>
      </c>
      <c r="V68">
        <v>0.49737999999999999</v>
      </c>
      <c r="W68">
        <v>0.49539499999999997</v>
      </c>
      <c r="X68">
        <v>0.49410900000000002</v>
      </c>
      <c r="Y68">
        <v>0.49255900000000002</v>
      </c>
      <c r="Z68">
        <v>0.49060900000000002</v>
      </c>
      <c r="AA68">
        <v>0.48736800000000002</v>
      </c>
      <c r="AB68">
        <v>0.48358099999999998</v>
      </c>
      <c r="AC68">
        <v>0.47851700000000003</v>
      </c>
      <c r="AD68">
        <v>0.47126899999999999</v>
      </c>
      <c r="AE68">
        <v>0.46317900000000001</v>
      </c>
      <c r="AF68">
        <v>0.45341199999999998</v>
      </c>
      <c r="AG68">
        <v>0.44169000000000003</v>
      </c>
      <c r="AH68">
        <v>0.42777799999999999</v>
      </c>
      <c r="AI68" s="21">
        <v>-5.0000000000000001E-3</v>
      </c>
    </row>
    <row r="69" spans="1:35" x14ac:dyDescent="0.35">
      <c r="A69" t="s">
        <v>133</v>
      </c>
      <c r="B69" t="s">
        <v>415</v>
      </c>
      <c r="C69" t="s">
        <v>416</v>
      </c>
      <c r="D69" t="s">
        <v>109</v>
      </c>
      <c r="F69">
        <v>6.7029329999999998</v>
      </c>
      <c r="G69">
        <v>6.7639820000000004</v>
      </c>
      <c r="H69">
        <v>6.6732649999999998</v>
      </c>
      <c r="I69">
        <v>6.6010710000000001</v>
      </c>
      <c r="J69">
        <v>6.5525130000000003</v>
      </c>
      <c r="K69">
        <v>6.4934190000000003</v>
      </c>
      <c r="L69">
        <v>6.5174250000000002</v>
      </c>
      <c r="M69">
        <v>6.5444190000000004</v>
      </c>
      <c r="N69">
        <v>6.5843160000000003</v>
      </c>
      <c r="O69">
        <v>6.6424099999999999</v>
      </c>
      <c r="P69">
        <v>6.7164539999999997</v>
      </c>
      <c r="Q69">
        <v>6.7699829999999999</v>
      </c>
      <c r="R69">
        <v>6.8342210000000003</v>
      </c>
      <c r="S69">
        <v>6.8922309999999998</v>
      </c>
      <c r="T69">
        <v>6.9451619999999998</v>
      </c>
      <c r="U69">
        <v>6.9863479999999996</v>
      </c>
      <c r="V69">
        <v>7.0136019999999997</v>
      </c>
      <c r="W69">
        <v>7.0402370000000003</v>
      </c>
      <c r="X69">
        <v>7.0752300000000004</v>
      </c>
      <c r="Y69">
        <v>7.1185939999999999</v>
      </c>
      <c r="Z69">
        <v>7.1773170000000004</v>
      </c>
      <c r="AA69">
        <v>7.2346490000000001</v>
      </c>
      <c r="AB69">
        <v>7.2981509999999998</v>
      </c>
      <c r="AC69">
        <v>7.3687659999999999</v>
      </c>
      <c r="AD69">
        <v>7.423457</v>
      </c>
      <c r="AE69">
        <v>7.4924809999999997</v>
      </c>
      <c r="AF69">
        <v>7.5656140000000001</v>
      </c>
      <c r="AG69">
        <v>7.6383260000000002</v>
      </c>
      <c r="AH69">
        <v>7.7191140000000003</v>
      </c>
      <c r="AI69" s="21">
        <v>5.0000000000000001E-3</v>
      </c>
    </row>
    <row r="70" spans="1:35" x14ac:dyDescent="0.35">
      <c r="A70" t="s">
        <v>230</v>
      </c>
      <c r="B70" t="s">
        <v>417</v>
      </c>
      <c r="C70" t="s">
        <v>418</v>
      </c>
      <c r="D70" t="s">
        <v>109</v>
      </c>
      <c r="F70">
        <v>17.754155999999998</v>
      </c>
      <c r="G70">
        <v>17.402080999999999</v>
      </c>
      <c r="H70">
        <v>17.400341000000001</v>
      </c>
      <c r="I70">
        <v>17.413204</v>
      </c>
      <c r="J70">
        <v>17.397911000000001</v>
      </c>
      <c r="K70">
        <v>17.341473000000001</v>
      </c>
      <c r="L70">
        <v>17.359686</v>
      </c>
      <c r="M70">
        <v>17.374718000000001</v>
      </c>
      <c r="N70">
        <v>17.398925999999999</v>
      </c>
      <c r="O70">
        <v>17.475898999999998</v>
      </c>
      <c r="P70">
        <v>17.591631</v>
      </c>
      <c r="Q70">
        <v>17.644290999999999</v>
      </c>
      <c r="R70">
        <v>17.721266</v>
      </c>
      <c r="S70">
        <v>17.784621999999999</v>
      </c>
      <c r="T70">
        <v>17.837447999999998</v>
      </c>
      <c r="U70">
        <v>17.857437000000001</v>
      </c>
      <c r="V70">
        <v>17.836501999999999</v>
      </c>
      <c r="W70">
        <v>17.809168</v>
      </c>
      <c r="X70">
        <v>17.812183000000001</v>
      </c>
      <c r="Y70">
        <v>17.839130000000001</v>
      </c>
      <c r="Z70">
        <v>17.904491</v>
      </c>
      <c r="AA70">
        <v>17.967663000000002</v>
      </c>
      <c r="AB70">
        <v>18.045218999999999</v>
      </c>
      <c r="AC70">
        <v>18.135093999999999</v>
      </c>
      <c r="AD70">
        <v>18.186043000000002</v>
      </c>
      <c r="AE70">
        <v>18.270209999999999</v>
      </c>
      <c r="AF70">
        <v>18.364429000000001</v>
      </c>
      <c r="AG70">
        <v>18.455210000000001</v>
      </c>
      <c r="AH70">
        <v>18.560137000000001</v>
      </c>
      <c r="AI70" s="21">
        <v>2E-3</v>
      </c>
    </row>
    <row r="71" spans="1:35" x14ac:dyDescent="0.35">
      <c r="A71" t="s">
        <v>142</v>
      </c>
      <c r="B71" t="s">
        <v>419</v>
      </c>
      <c r="C71" t="s">
        <v>420</v>
      </c>
      <c r="D71" t="s">
        <v>109</v>
      </c>
      <c r="F71">
        <v>0.120598</v>
      </c>
      <c r="G71">
        <v>0.141293</v>
      </c>
      <c r="H71">
        <v>0.15779599999999999</v>
      </c>
      <c r="I71">
        <v>0.17105699999999999</v>
      </c>
      <c r="J71">
        <v>0.17847299999999999</v>
      </c>
      <c r="K71">
        <v>0.18718199999999999</v>
      </c>
      <c r="L71">
        <v>0.19470299999999999</v>
      </c>
      <c r="M71">
        <v>0.20632900000000001</v>
      </c>
      <c r="N71">
        <v>0.214666</v>
      </c>
      <c r="O71">
        <v>0.22300600000000001</v>
      </c>
      <c r="P71">
        <v>0.23046800000000001</v>
      </c>
      <c r="Q71">
        <v>0.24135400000000001</v>
      </c>
      <c r="R71">
        <v>0.25285299999999999</v>
      </c>
      <c r="S71">
        <v>0.25964599999999999</v>
      </c>
      <c r="T71">
        <v>0.27190500000000001</v>
      </c>
      <c r="U71">
        <v>0.27923599999999998</v>
      </c>
      <c r="V71">
        <v>0.28964899999999999</v>
      </c>
      <c r="W71">
        <v>0.299346</v>
      </c>
      <c r="X71">
        <v>0.30795899999999998</v>
      </c>
      <c r="Y71">
        <v>0.31545000000000001</v>
      </c>
      <c r="Z71">
        <v>0.32173499999999999</v>
      </c>
      <c r="AA71">
        <v>0.32723600000000003</v>
      </c>
      <c r="AB71">
        <v>0.33231100000000002</v>
      </c>
      <c r="AC71">
        <v>0.33729500000000001</v>
      </c>
      <c r="AD71">
        <v>0.34577400000000003</v>
      </c>
      <c r="AE71">
        <v>0.34869</v>
      </c>
      <c r="AF71">
        <v>0.35358000000000001</v>
      </c>
      <c r="AG71">
        <v>0.35607299999999997</v>
      </c>
      <c r="AH71">
        <v>0.35779100000000003</v>
      </c>
      <c r="AI71" s="21">
        <v>0.04</v>
      </c>
    </row>
    <row r="72" spans="1:35" x14ac:dyDescent="0.35">
      <c r="A72" t="s">
        <v>421</v>
      </c>
      <c r="B72" t="s">
        <v>422</v>
      </c>
      <c r="C72" t="s">
        <v>423</v>
      </c>
      <c r="D72" t="s">
        <v>109</v>
      </c>
      <c r="F72">
        <v>17.633558000000001</v>
      </c>
      <c r="G72">
        <v>17.260786</v>
      </c>
      <c r="H72">
        <v>17.242546000000001</v>
      </c>
      <c r="I72">
        <v>17.242146000000002</v>
      </c>
      <c r="J72">
        <v>17.219439999999999</v>
      </c>
      <c r="K72">
        <v>17.154288999999999</v>
      </c>
      <c r="L72">
        <v>17.164981999999998</v>
      </c>
      <c r="M72">
        <v>17.168388</v>
      </c>
      <c r="N72">
        <v>17.184260999999999</v>
      </c>
      <c r="O72">
        <v>17.252894999999999</v>
      </c>
      <c r="P72">
        <v>17.361163999999999</v>
      </c>
      <c r="Q72">
        <v>17.402934999999999</v>
      </c>
      <c r="R72">
        <v>17.468412000000001</v>
      </c>
      <c r="S72">
        <v>17.524977</v>
      </c>
      <c r="T72">
        <v>17.565542000000001</v>
      </c>
      <c r="U72">
        <v>17.578201</v>
      </c>
      <c r="V72">
        <v>17.546852000000001</v>
      </c>
      <c r="W72">
        <v>17.509823000000001</v>
      </c>
      <c r="X72">
        <v>17.504223</v>
      </c>
      <c r="Y72">
        <v>17.523678</v>
      </c>
      <c r="Z72">
        <v>17.582756</v>
      </c>
      <c r="AA72">
        <v>17.640426999999999</v>
      </c>
      <c r="AB72">
        <v>17.712906</v>
      </c>
      <c r="AC72">
        <v>17.797798</v>
      </c>
      <c r="AD72">
        <v>17.840267000000001</v>
      </c>
      <c r="AE72">
        <v>17.921520000000001</v>
      </c>
      <c r="AF72">
        <v>18.010849</v>
      </c>
      <c r="AG72">
        <v>18.099136000000001</v>
      </c>
      <c r="AH72">
        <v>18.202347</v>
      </c>
      <c r="AI72" s="21">
        <v>1E-3</v>
      </c>
    </row>
    <row r="73" spans="1:35" x14ac:dyDescent="0.35">
      <c r="A73" t="s">
        <v>239</v>
      </c>
    </row>
    <row r="74" spans="1:35" x14ac:dyDescent="0.35">
      <c r="A74" t="s">
        <v>240</v>
      </c>
      <c r="B74" t="s">
        <v>424</v>
      </c>
      <c r="C74" t="s">
        <v>425</v>
      </c>
      <c r="D74" t="s">
        <v>109</v>
      </c>
      <c r="F74">
        <v>7.3909000000000002E-2</v>
      </c>
      <c r="G74">
        <v>7.4150999999999995E-2</v>
      </c>
      <c r="H74">
        <v>7.5856999999999994E-2</v>
      </c>
      <c r="I74">
        <v>7.6402999999999999E-2</v>
      </c>
      <c r="J74">
        <v>7.6691999999999996E-2</v>
      </c>
      <c r="K74">
        <v>7.6408000000000004E-2</v>
      </c>
      <c r="L74">
        <v>7.5979000000000005E-2</v>
      </c>
      <c r="M74">
        <v>7.5915999999999997E-2</v>
      </c>
      <c r="N74">
        <v>7.5720999999999997E-2</v>
      </c>
      <c r="O74">
        <v>7.5837000000000002E-2</v>
      </c>
      <c r="P74">
        <v>7.5840000000000005E-2</v>
      </c>
      <c r="Q74">
        <v>7.5718999999999995E-2</v>
      </c>
      <c r="R74">
        <v>7.5756000000000004E-2</v>
      </c>
      <c r="S74">
        <v>7.5952000000000006E-2</v>
      </c>
      <c r="T74">
        <v>7.5837000000000002E-2</v>
      </c>
      <c r="U74">
        <v>7.5588000000000002E-2</v>
      </c>
      <c r="V74">
        <v>7.4880000000000002E-2</v>
      </c>
      <c r="W74">
        <v>7.4638999999999997E-2</v>
      </c>
      <c r="X74">
        <v>7.4340000000000003E-2</v>
      </c>
      <c r="Y74">
        <v>7.4428999999999995E-2</v>
      </c>
      <c r="Z74">
        <v>7.4297000000000002E-2</v>
      </c>
      <c r="AA74">
        <v>7.4152999999999997E-2</v>
      </c>
      <c r="AB74">
        <v>7.4107000000000006E-2</v>
      </c>
      <c r="AC74">
        <v>7.4011999999999994E-2</v>
      </c>
      <c r="AD74">
        <v>7.3801000000000005E-2</v>
      </c>
      <c r="AE74">
        <v>7.3764999999999997E-2</v>
      </c>
      <c r="AF74">
        <v>7.3537000000000005E-2</v>
      </c>
      <c r="AG74">
        <v>7.3493000000000003E-2</v>
      </c>
      <c r="AH74">
        <v>7.3126999999999998E-2</v>
      </c>
      <c r="AI74" s="21">
        <v>0</v>
      </c>
    </row>
    <row r="75" spans="1:35" x14ac:dyDescent="0.35">
      <c r="A75" t="s">
        <v>243</v>
      </c>
      <c r="B75" t="s">
        <v>426</v>
      </c>
      <c r="C75" t="s">
        <v>427</v>
      </c>
      <c r="D75" t="s">
        <v>109</v>
      </c>
      <c r="F75">
        <v>0.26181500000000002</v>
      </c>
      <c r="G75">
        <v>0.30804399999999998</v>
      </c>
      <c r="H75">
        <v>0.34912500000000002</v>
      </c>
      <c r="I75">
        <v>0.37846299999999999</v>
      </c>
      <c r="J75">
        <v>0.39390900000000001</v>
      </c>
      <c r="K75">
        <v>0.41461999999999999</v>
      </c>
      <c r="L75">
        <v>0.43187599999999998</v>
      </c>
      <c r="M75">
        <v>0.46030500000000002</v>
      </c>
      <c r="N75">
        <v>0.480624</v>
      </c>
      <c r="O75">
        <v>0.50182800000000005</v>
      </c>
      <c r="P75">
        <v>0.51975400000000005</v>
      </c>
      <c r="Q75">
        <v>0.54557999999999995</v>
      </c>
      <c r="R75">
        <v>0.57357999999999998</v>
      </c>
      <c r="S75">
        <v>0.59170900000000004</v>
      </c>
      <c r="T75">
        <v>0.62073800000000001</v>
      </c>
      <c r="U75">
        <v>0.63733600000000001</v>
      </c>
      <c r="V75">
        <v>0.65883999999999998</v>
      </c>
      <c r="W75">
        <v>0.68191400000000002</v>
      </c>
      <c r="X75">
        <v>0.70109399999999999</v>
      </c>
      <c r="Y75">
        <v>0.72085200000000005</v>
      </c>
      <c r="Z75">
        <v>0.73541500000000004</v>
      </c>
      <c r="AA75">
        <v>0.74840499999999999</v>
      </c>
      <c r="AB75">
        <v>0.76118200000000003</v>
      </c>
      <c r="AC75">
        <v>0.77283400000000002</v>
      </c>
      <c r="AD75">
        <v>0.79308599999999996</v>
      </c>
      <c r="AE75">
        <v>0.80096900000000004</v>
      </c>
      <c r="AF75">
        <v>0.81140100000000004</v>
      </c>
      <c r="AG75">
        <v>0.818581</v>
      </c>
      <c r="AH75">
        <v>0.81918100000000005</v>
      </c>
      <c r="AI75" s="21">
        <v>4.2000000000000003E-2</v>
      </c>
    </row>
    <row r="76" spans="1:35" x14ac:dyDescent="0.35">
      <c r="A76" t="s">
        <v>246</v>
      </c>
      <c r="B76" t="s">
        <v>428</v>
      </c>
      <c r="C76" t="s">
        <v>429</v>
      </c>
      <c r="D76" t="s">
        <v>109</v>
      </c>
      <c r="F76">
        <v>6.7920000000000003E-3</v>
      </c>
      <c r="G76">
        <v>6.7889999999999999E-3</v>
      </c>
      <c r="H76">
        <v>6.8490000000000001E-3</v>
      </c>
      <c r="I76">
        <v>6.7939999999999997E-3</v>
      </c>
      <c r="J76">
        <v>6.7299999999999999E-3</v>
      </c>
      <c r="K76">
        <v>6.7140000000000003E-3</v>
      </c>
      <c r="L76">
        <v>6.7320000000000001E-3</v>
      </c>
      <c r="M76">
        <v>6.796E-3</v>
      </c>
      <c r="N76">
        <v>6.7819999999999998E-3</v>
      </c>
      <c r="O76">
        <v>6.8199999999999997E-3</v>
      </c>
      <c r="P76">
        <v>6.8349999999999999E-3</v>
      </c>
      <c r="Q76">
        <v>6.8360000000000001E-3</v>
      </c>
      <c r="R76">
        <v>6.8570000000000002E-3</v>
      </c>
      <c r="S76">
        <v>6.9030000000000003E-3</v>
      </c>
      <c r="T76">
        <v>6.914E-3</v>
      </c>
      <c r="U76">
        <v>6.8830000000000002E-3</v>
      </c>
      <c r="V76">
        <v>6.7999999999999996E-3</v>
      </c>
      <c r="W76">
        <v>6.8079999999999998E-3</v>
      </c>
      <c r="X76">
        <v>6.7809999999999997E-3</v>
      </c>
      <c r="Y76">
        <v>6.8040000000000002E-3</v>
      </c>
      <c r="Z76">
        <v>6.803E-3</v>
      </c>
      <c r="AA76">
        <v>6.7920000000000003E-3</v>
      </c>
      <c r="AB76">
        <v>6.783E-3</v>
      </c>
      <c r="AC76">
        <v>6.7689999999999998E-3</v>
      </c>
      <c r="AD76">
        <v>6.7650000000000002E-3</v>
      </c>
      <c r="AE76">
        <v>6.7669999999999996E-3</v>
      </c>
      <c r="AF76">
        <v>6.7600000000000004E-3</v>
      </c>
      <c r="AG76">
        <v>6.7539999999999996E-3</v>
      </c>
      <c r="AH76">
        <v>6.7429999999999999E-3</v>
      </c>
      <c r="AI76" s="21">
        <v>0</v>
      </c>
    </row>
    <row r="77" spans="1:35" x14ac:dyDescent="0.35">
      <c r="A77" t="s">
        <v>27</v>
      </c>
      <c r="B77" t="s">
        <v>430</v>
      </c>
      <c r="C77" t="s">
        <v>431</v>
      </c>
      <c r="D77" t="s">
        <v>109</v>
      </c>
      <c r="F77">
        <v>0.34251599999999999</v>
      </c>
      <c r="G77">
        <v>0.388984</v>
      </c>
      <c r="H77">
        <v>0.43183100000000002</v>
      </c>
      <c r="I77">
        <v>0.46165899999999999</v>
      </c>
      <c r="J77">
        <v>0.47733100000000001</v>
      </c>
      <c r="K77">
        <v>0.49774299999999999</v>
      </c>
      <c r="L77">
        <v>0.51458599999999999</v>
      </c>
      <c r="M77">
        <v>0.54301699999999997</v>
      </c>
      <c r="N77">
        <v>0.56312700000000004</v>
      </c>
      <c r="O77">
        <v>0.584484</v>
      </c>
      <c r="P77">
        <v>0.60242899999999999</v>
      </c>
      <c r="Q77">
        <v>0.628135</v>
      </c>
      <c r="R77">
        <v>0.65619300000000003</v>
      </c>
      <c r="S77">
        <v>0.67456300000000002</v>
      </c>
      <c r="T77">
        <v>0.70348900000000003</v>
      </c>
      <c r="U77">
        <v>0.71980699999999997</v>
      </c>
      <c r="V77">
        <v>0.74051999999999996</v>
      </c>
      <c r="W77">
        <v>0.76336199999999999</v>
      </c>
      <c r="X77">
        <v>0.78221499999999999</v>
      </c>
      <c r="Y77">
        <v>0.80208500000000005</v>
      </c>
      <c r="Z77">
        <v>0.81651499999999999</v>
      </c>
      <c r="AA77">
        <v>0.829349</v>
      </c>
      <c r="AB77">
        <v>0.84207200000000004</v>
      </c>
      <c r="AC77">
        <v>0.85361600000000004</v>
      </c>
      <c r="AD77">
        <v>0.87365199999999998</v>
      </c>
      <c r="AE77">
        <v>0.88150099999999998</v>
      </c>
      <c r="AF77">
        <v>0.89169900000000002</v>
      </c>
      <c r="AG77">
        <v>0.89882799999999996</v>
      </c>
      <c r="AH77">
        <v>0.89905100000000004</v>
      </c>
      <c r="AI77" s="21">
        <v>3.5000000000000003E-2</v>
      </c>
    </row>
    <row r="78" spans="1:35" x14ac:dyDescent="0.35">
      <c r="A78" t="s">
        <v>251</v>
      </c>
    </row>
    <row r="79" spans="1:35" x14ac:dyDescent="0.35">
      <c r="A79" t="s">
        <v>252</v>
      </c>
      <c r="B79" t="s">
        <v>432</v>
      </c>
      <c r="C79" t="s">
        <v>433</v>
      </c>
      <c r="D79" t="s">
        <v>255</v>
      </c>
      <c r="F79">
        <v>6198</v>
      </c>
      <c r="G79">
        <v>6420</v>
      </c>
      <c r="H79">
        <v>5972</v>
      </c>
      <c r="I79">
        <v>5949</v>
      </c>
      <c r="J79">
        <v>5925</v>
      </c>
      <c r="K79">
        <v>5902</v>
      </c>
      <c r="L79">
        <v>5878</v>
      </c>
      <c r="M79">
        <v>5854</v>
      </c>
      <c r="N79">
        <v>5830</v>
      </c>
      <c r="O79">
        <v>5807</v>
      </c>
      <c r="P79">
        <v>5783</v>
      </c>
      <c r="Q79">
        <v>5759</v>
      </c>
      <c r="R79">
        <v>5735</v>
      </c>
      <c r="S79">
        <v>5711</v>
      </c>
      <c r="T79">
        <v>5687</v>
      </c>
      <c r="U79">
        <v>5663</v>
      </c>
      <c r="V79">
        <v>5639</v>
      </c>
      <c r="W79">
        <v>5615</v>
      </c>
      <c r="X79">
        <v>5591</v>
      </c>
      <c r="Y79">
        <v>5567</v>
      </c>
      <c r="Z79">
        <v>5543</v>
      </c>
      <c r="AA79">
        <v>5519</v>
      </c>
      <c r="AB79">
        <v>5495</v>
      </c>
      <c r="AC79">
        <v>5471</v>
      </c>
      <c r="AD79">
        <v>5447</v>
      </c>
      <c r="AE79">
        <v>5423</v>
      </c>
      <c r="AF79">
        <v>5399</v>
      </c>
      <c r="AG79">
        <v>5374</v>
      </c>
      <c r="AH79">
        <v>5350</v>
      </c>
      <c r="AI79" s="21">
        <v>-5.0000000000000001E-3</v>
      </c>
    </row>
    <row r="80" spans="1:35" x14ac:dyDescent="0.35">
      <c r="A80" t="s">
        <v>256</v>
      </c>
      <c r="B80" t="s">
        <v>434</v>
      </c>
      <c r="C80" t="s">
        <v>435</v>
      </c>
      <c r="D80" t="s">
        <v>255</v>
      </c>
      <c r="F80">
        <v>5742</v>
      </c>
      <c r="G80">
        <v>5779</v>
      </c>
      <c r="H80">
        <v>5348</v>
      </c>
      <c r="I80">
        <v>5325</v>
      </c>
      <c r="J80">
        <v>5303</v>
      </c>
      <c r="K80">
        <v>5281</v>
      </c>
      <c r="L80">
        <v>5259</v>
      </c>
      <c r="M80">
        <v>5236</v>
      </c>
      <c r="N80">
        <v>5214</v>
      </c>
      <c r="O80">
        <v>5192</v>
      </c>
      <c r="P80">
        <v>5169</v>
      </c>
      <c r="Q80">
        <v>5147</v>
      </c>
      <c r="R80">
        <v>5125</v>
      </c>
      <c r="S80">
        <v>5102</v>
      </c>
      <c r="T80">
        <v>5080</v>
      </c>
      <c r="U80">
        <v>5058</v>
      </c>
      <c r="V80">
        <v>5036</v>
      </c>
      <c r="W80">
        <v>5013</v>
      </c>
      <c r="X80">
        <v>4991</v>
      </c>
      <c r="Y80">
        <v>4969</v>
      </c>
      <c r="Z80">
        <v>4947</v>
      </c>
      <c r="AA80">
        <v>4924</v>
      </c>
      <c r="AB80">
        <v>4902</v>
      </c>
      <c r="AC80">
        <v>4880</v>
      </c>
      <c r="AD80">
        <v>4858</v>
      </c>
      <c r="AE80">
        <v>4835</v>
      </c>
      <c r="AF80">
        <v>4813</v>
      </c>
      <c r="AG80">
        <v>4791</v>
      </c>
      <c r="AH80">
        <v>4769</v>
      </c>
      <c r="AI80" s="21">
        <v>-7.0000000000000001E-3</v>
      </c>
    </row>
    <row r="81" spans="1:35" x14ac:dyDescent="0.35">
      <c r="A81" t="s">
        <v>259</v>
      </c>
      <c r="B81" t="s">
        <v>436</v>
      </c>
      <c r="C81" t="s">
        <v>437</v>
      </c>
      <c r="D81" t="s">
        <v>255</v>
      </c>
      <c r="F81">
        <v>6427</v>
      </c>
      <c r="G81">
        <v>6306</v>
      </c>
      <c r="H81">
        <v>5982</v>
      </c>
      <c r="I81">
        <v>5967</v>
      </c>
      <c r="J81">
        <v>5953</v>
      </c>
      <c r="K81">
        <v>5938</v>
      </c>
      <c r="L81">
        <v>5923</v>
      </c>
      <c r="M81">
        <v>5908</v>
      </c>
      <c r="N81">
        <v>5893</v>
      </c>
      <c r="O81">
        <v>5879</v>
      </c>
      <c r="P81">
        <v>5864</v>
      </c>
      <c r="Q81">
        <v>5849</v>
      </c>
      <c r="R81">
        <v>5834</v>
      </c>
      <c r="S81">
        <v>5819</v>
      </c>
      <c r="T81">
        <v>5804</v>
      </c>
      <c r="U81">
        <v>5790</v>
      </c>
      <c r="V81">
        <v>5775</v>
      </c>
      <c r="W81">
        <v>5760</v>
      </c>
      <c r="X81">
        <v>5745</v>
      </c>
      <c r="Y81">
        <v>5730</v>
      </c>
      <c r="Z81">
        <v>5715</v>
      </c>
      <c r="AA81">
        <v>5701</v>
      </c>
      <c r="AB81">
        <v>5686</v>
      </c>
      <c r="AC81">
        <v>5671</v>
      </c>
      <c r="AD81">
        <v>5656</v>
      </c>
      <c r="AE81">
        <v>5641</v>
      </c>
      <c r="AF81">
        <v>5626</v>
      </c>
      <c r="AG81">
        <v>5611</v>
      </c>
      <c r="AH81">
        <v>5597</v>
      </c>
      <c r="AI81" s="21">
        <v>-5.0000000000000001E-3</v>
      </c>
    </row>
    <row r="82" spans="1:35" x14ac:dyDescent="0.35">
      <c r="A82" t="s">
        <v>262</v>
      </c>
      <c r="B82" t="s">
        <v>438</v>
      </c>
      <c r="C82" t="s">
        <v>439</v>
      </c>
      <c r="D82" t="s">
        <v>255</v>
      </c>
      <c r="F82">
        <v>6845</v>
      </c>
      <c r="G82">
        <v>6601</v>
      </c>
      <c r="H82">
        <v>6349</v>
      </c>
      <c r="I82">
        <v>6340</v>
      </c>
      <c r="J82">
        <v>6330</v>
      </c>
      <c r="K82">
        <v>6321</v>
      </c>
      <c r="L82">
        <v>6311</v>
      </c>
      <c r="M82">
        <v>6301</v>
      </c>
      <c r="N82">
        <v>6291</v>
      </c>
      <c r="O82">
        <v>6281</v>
      </c>
      <c r="P82">
        <v>6271</v>
      </c>
      <c r="Q82">
        <v>6261</v>
      </c>
      <c r="R82">
        <v>6250</v>
      </c>
      <c r="S82">
        <v>6240</v>
      </c>
      <c r="T82">
        <v>6230</v>
      </c>
      <c r="U82">
        <v>6219</v>
      </c>
      <c r="V82">
        <v>6209</v>
      </c>
      <c r="W82">
        <v>6198</v>
      </c>
      <c r="X82">
        <v>6188</v>
      </c>
      <c r="Y82">
        <v>6177</v>
      </c>
      <c r="Z82">
        <v>6167</v>
      </c>
      <c r="AA82">
        <v>6156</v>
      </c>
      <c r="AB82">
        <v>6145</v>
      </c>
      <c r="AC82">
        <v>6135</v>
      </c>
      <c r="AD82">
        <v>6124</v>
      </c>
      <c r="AE82">
        <v>6113</v>
      </c>
      <c r="AF82">
        <v>6103</v>
      </c>
      <c r="AG82">
        <v>6092</v>
      </c>
      <c r="AH82">
        <v>6081</v>
      </c>
      <c r="AI82" s="21">
        <v>-4.0000000000000001E-3</v>
      </c>
    </row>
    <row r="83" spans="1:35" x14ac:dyDescent="0.35">
      <c r="A83" t="s">
        <v>265</v>
      </c>
      <c r="B83" t="s">
        <v>440</v>
      </c>
      <c r="C83" t="s">
        <v>441</v>
      </c>
      <c r="D83" t="s">
        <v>255</v>
      </c>
      <c r="F83">
        <v>2566</v>
      </c>
      <c r="G83">
        <v>2600</v>
      </c>
      <c r="H83">
        <v>2375</v>
      </c>
      <c r="I83">
        <v>2358</v>
      </c>
      <c r="J83">
        <v>2342</v>
      </c>
      <c r="K83">
        <v>2326</v>
      </c>
      <c r="L83">
        <v>2310</v>
      </c>
      <c r="M83">
        <v>2294</v>
      </c>
      <c r="N83">
        <v>2277</v>
      </c>
      <c r="O83">
        <v>2261</v>
      </c>
      <c r="P83">
        <v>2245</v>
      </c>
      <c r="Q83">
        <v>2229</v>
      </c>
      <c r="R83">
        <v>2213</v>
      </c>
      <c r="S83">
        <v>2197</v>
      </c>
      <c r="T83">
        <v>2180</v>
      </c>
      <c r="U83">
        <v>2164</v>
      </c>
      <c r="V83">
        <v>2148</v>
      </c>
      <c r="W83">
        <v>2132</v>
      </c>
      <c r="X83">
        <v>2116</v>
      </c>
      <c r="Y83">
        <v>2100</v>
      </c>
      <c r="Z83">
        <v>2084</v>
      </c>
      <c r="AA83">
        <v>2068</v>
      </c>
      <c r="AB83">
        <v>2052</v>
      </c>
      <c r="AC83">
        <v>2036</v>
      </c>
      <c r="AD83">
        <v>2020</v>
      </c>
      <c r="AE83">
        <v>2005</v>
      </c>
      <c r="AF83">
        <v>1989</v>
      </c>
      <c r="AG83">
        <v>1973</v>
      </c>
      <c r="AH83">
        <v>1957</v>
      </c>
      <c r="AI83" s="21">
        <v>-0.01</v>
      </c>
    </row>
    <row r="84" spans="1:35" x14ac:dyDescent="0.35">
      <c r="A84" t="s">
        <v>268</v>
      </c>
      <c r="B84" t="s">
        <v>442</v>
      </c>
      <c r="C84" t="s">
        <v>443</v>
      </c>
      <c r="D84" t="s">
        <v>255</v>
      </c>
      <c r="F84">
        <v>3487</v>
      </c>
      <c r="G84">
        <v>3442</v>
      </c>
      <c r="H84">
        <v>3180</v>
      </c>
      <c r="I84">
        <v>3168</v>
      </c>
      <c r="J84">
        <v>3156</v>
      </c>
      <c r="K84">
        <v>3144</v>
      </c>
      <c r="L84">
        <v>3131</v>
      </c>
      <c r="M84">
        <v>3119</v>
      </c>
      <c r="N84">
        <v>3106</v>
      </c>
      <c r="O84">
        <v>3094</v>
      </c>
      <c r="P84">
        <v>3081</v>
      </c>
      <c r="Q84">
        <v>3069</v>
      </c>
      <c r="R84">
        <v>3056</v>
      </c>
      <c r="S84">
        <v>3043</v>
      </c>
      <c r="T84">
        <v>3031</v>
      </c>
      <c r="U84">
        <v>3018</v>
      </c>
      <c r="V84">
        <v>3005</v>
      </c>
      <c r="W84">
        <v>2992</v>
      </c>
      <c r="X84">
        <v>2980</v>
      </c>
      <c r="Y84">
        <v>2967</v>
      </c>
      <c r="Z84">
        <v>2954</v>
      </c>
      <c r="AA84">
        <v>2941</v>
      </c>
      <c r="AB84">
        <v>2929</v>
      </c>
      <c r="AC84">
        <v>2916</v>
      </c>
      <c r="AD84">
        <v>2903</v>
      </c>
      <c r="AE84">
        <v>2890</v>
      </c>
      <c r="AF84">
        <v>2877</v>
      </c>
      <c r="AG84">
        <v>2865</v>
      </c>
      <c r="AH84">
        <v>2852</v>
      </c>
      <c r="AI84" s="21">
        <v>-7.0000000000000001E-3</v>
      </c>
    </row>
    <row r="85" spans="1:35" x14ac:dyDescent="0.35">
      <c r="A85" t="s">
        <v>271</v>
      </c>
      <c r="B85" t="s">
        <v>444</v>
      </c>
      <c r="C85" t="s">
        <v>445</v>
      </c>
      <c r="D85" t="s">
        <v>255</v>
      </c>
      <c r="F85">
        <v>2195</v>
      </c>
      <c r="G85">
        <v>2056</v>
      </c>
      <c r="H85">
        <v>1942</v>
      </c>
      <c r="I85">
        <v>1934</v>
      </c>
      <c r="J85">
        <v>1925</v>
      </c>
      <c r="K85">
        <v>1916</v>
      </c>
      <c r="L85">
        <v>1908</v>
      </c>
      <c r="M85">
        <v>1899</v>
      </c>
      <c r="N85">
        <v>1891</v>
      </c>
      <c r="O85">
        <v>1882</v>
      </c>
      <c r="P85">
        <v>1874</v>
      </c>
      <c r="Q85">
        <v>1865</v>
      </c>
      <c r="R85">
        <v>1857</v>
      </c>
      <c r="S85">
        <v>1849</v>
      </c>
      <c r="T85">
        <v>1840</v>
      </c>
      <c r="U85">
        <v>1832</v>
      </c>
      <c r="V85">
        <v>1824</v>
      </c>
      <c r="W85">
        <v>1815</v>
      </c>
      <c r="X85">
        <v>1807</v>
      </c>
      <c r="Y85">
        <v>1799</v>
      </c>
      <c r="Z85">
        <v>1791</v>
      </c>
      <c r="AA85">
        <v>1783</v>
      </c>
      <c r="AB85">
        <v>1774</v>
      </c>
      <c r="AC85">
        <v>1766</v>
      </c>
      <c r="AD85">
        <v>1758</v>
      </c>
      <c r="AE85">
        <v>1750</v>
      </c>
      <c r="AF85">
        <v>1742</v>
      </c>
      <c r="AG85">
        <v>1734</v>
      </c>
      <c r="AH85">
        <v>1726</v>
      </c>
      <c r="AI85" s="21">
        <v>-8.9999999999999993E-3</v>
      </c>
    </row>
    <row r="86" spans="1:35" x14ac:dyDescent="0.35">
      <c r="A86" t="s">
        <v>274</v>
      </c>
      <c r="B86" t="s">
        <v>446</v>
      </c>
      <c r="C86" t="s">
        <v>447</v>
      </c>
      <c r="D86" t="s">
        <v>255</v>
      </c>
      <c r="F86">
        <v>4970</v>
      </c>
      <c r="G86">
        <v>4978</v>
      </c>
      <c r="H86">
        <v>4789</v>
      </c>
      <c r="I86">
        <v>4776</v>
      </c>
      <c r="J86">
        <v>4763</v>
      </c>
      <c r="K86">
        <v>4751</v>
      </c>
      <c r="L86">
        <v>4738</v>
      </c>
      <c r="M86">
        <v>4725</v>
      </c>
      <c r="N86">
        <v>4712</v>
      </c>
      <c r="O86">
        <v>4698</v>
      </c>
      <c r="P86">
        <v>4685</v>
      </c>
      <c r="Q86">
        <v>4672</v>
      </c>
      <c r="R86">
        <v>4658</v>
      </c>
      <c r="S86">
        <v>4645</v>
      </c>
      <c r="T86">
        <v>4632</v>
      </c>
      <c r="U86">
        <v>4619</v>
      </c>
      <c r="V86">
        <v>4606</v>
      </c>
      <c r="W86">
        <v>4593</v>
      </c>
      <c r="X86">
        <v>4580</v>
      </c>
      <c r="Y86">
        <v>4568</v>
      </c>
      <c r="Z86">
        <v>4555</v>
      </c>
      <c r="AA86">
        <v>4542</v>
      </c>
      <c r="AB86">
        <v>4530</v>
      </c>
      <c r="AC86">
        <v>4517</v>
      </c>
      <c r="AD86">
        <v>4504</v>
      </c>
      <c r="AE86">
        <v>4492</v>
      </c>
      <c r="AF86">
        <v>4479</v>
      </c>
      <c r="AG86">
        <v>4467</v>
      </c>
      <c r="AH86">
        <v>4454</v>
      </c>
      <c r="AI86" s="21">
        <v>-4.0000000000000001E-3</v>
      </c>
    </row>
    <row r="87" spans="1:35" x14ac:dyDescent="0.35">
      <c r="A87" t="s">
        <v>277</v>
      </c>
      <c r="B87" t="s">
        <v>448</v>
      </c>
      <c r="C87" t="s">
        <v>449</v>
      </c>
      <c r="D87" t="s">
        <v>255</v>
      </c>
      <c r="F87">
        <v>3212</v>
      </c>
      <c r="G87">
        <v>3503</v>
      </c>
      <c r="H87">
        <v>3250</v>
      </c>
      <c r="I87">
        <v>3241</v>
      </c>
      <c r="J87">
        <v>3232</v>
      </c>
      <c r="K87">
        <v>3223</v>
      </c>
      <c r="L87">
        <v>3213</v>
      </c>
      <c r="M87">
        <v>3204</v>
      </c>
      <c r="N87">
        <v>3195</v>
      </c>
      <c r="O87">
        <v>3185</v>
      </c>
      <c r="P87">
        <v>3176</v>
      </c>
      <c r="Q87">
        <v>3166</v>
      </c>
      <c r="R87">
        <v>3157</v>
      </c>
      <c r="S87">
        <v>3147</v>
      </c>
      <c r="T87">
        <v>3137</v>
      </c>
      <c r="U87">
        <v>3128</v>
      </c>
      <c r="V87">
        <v>3118</v>
      </c>
      <c r="W87">
        <v>3108</v>
      </c>
      <c r="X87">
        <v>3098</v>
      </c>
      <c r="Y87">
        <v>3089</v>
      </c>
      <c r="Z87">
        <v>3079</v>
      </c>
      <c r="AA87">
        <v>3069</v>
      </c>
      <c r="AB87">
        <v>3059</v>
      </c>
      <c r="AC87">
        <v>3049</v>
      </c>
      <c r="AD87">
        <v>3040</v>
      </c>
      <c r="AE87">
        <v>3030</v>
      </c>
      <c r="AF87">
        <v>3020</v>
      </c>
      <c r="AG87">
        <v>3010</v>
      </c>
      <c r="AH87">
        <v>3000</v>
      </c>
      <c r="AI87" s="21">
        <v>-2E-3</v>
      </c>
    </row>
    <row r="88" spans="1:35" x14ac:dyDescent="0.35">
      <c r="A88" t="s">
        <v>280</v>
      </c>
      <c r="B88" t="s">
        <v>450</v>
      </c>
      <c r="C88" t="s">
        <v>451</v>
      </c>
      <c r="D88" t="s">
        <v>255</v>
      </c>
      <c r="F88">
        <v>4234.6137699999999</v>
      </c>
      <c r="G88">
        <v>4246.6186520000001</v>
      </c>
      <c r="H88">
        <v>3976.1059570000002</v>
      </c>
      <c r="I88">
        <v>3957.180664</v>
      </c>
      <c r="J88">
        <v>3938.5415039999998</v>
      </c>
      <c r="K88">
        <v>3920.0117190000001</v>
      </c>
      <c r="L88">
        <v>3901.2561040000001</v>
      </c>
      <c r="M88">
        <v>3882.5219729999999</v>
      </c>
      <c r="N88">
        <v>3863.8103030000002</v>
      </c>
      <c r="O88">
        <v>3845.1889649999998</v>
      </c>
      <c r="P88">
        <v>3826.626221</v>
      </c>
      <c r="Q88">
        <v>3807.9733890000002</v>
      </c>
      <c r="R88">
        <v>3789.4521479999999</v>
      </c>
      <c r="S88">
        <v>3770.821289</v>
      </c>
      <c r="T88">
        <v>3752.0329590000001</v>
      </c>
      <c r="U88">
        <v>3733.780029</v>
      </c>
      <c r="V88">
        <v>3715.305664</v>
      </c>
      <c r="W88">
        <v>3696.5273440000001</v>
      </c>
      <c r="X88">
        <v>3678.117432</v>
      </c>
      <c r="Y88">
        <v>3659.850586</v>
      </c>
      <c r="Z88">
        <v>3641.3955080000001</v>
      </c>
      <c r="AA88">
        <v>3622.8991700000001</v>
      </c>
      <c r="AB88">
        <v>3604.398682</v>
      </c>
      <c r="AC88">
        <v>3585.969482</v>
      </c>
      <c r="AD88">
        <v>3567.7004390000002</v>
      </c>
      <c r="AE88">
        <v>3549.5581050000001</v>
      </c>
      <c r="AF88">
        <v>3531.4091800000001</v>
      </c>
      <c r="AG88">
        <v>3513.482422</v>
      </c>
      <c r="AH88">
        <v>3495.6748050000001</v>
      </c>
      <c r="AI88" s="21">
        <v>-7.0000000000000001E-3</v>
      </c>
    </row>
    <row r="89" spans="1:35" x14ac:dyDescent="0.35">
      <c r="A89" t="s">
        <v>283</v>
      </c>
    </row>
    <row r="90" spans="1:35" x14ac:dyDescent="0.35">
      <c r="A90" t="s">
        <v>252</v>
      </c>
      <c r="B90" t="s">
        <v>452</v>
      </c>
      <c r="C90" t="s">
        <v>453</v>
      </c>
      <c r="D90" t="s">
        <v>286</v>
      </c>
      <c r="F90">
        <v>639</v>
      </c>
      <c r="G90">
        <v>500</v>
      </c>
      <c r="H90">
        <v>614</v>
      </c>
      <c r="I90">
        <v>621</v>
      </c>
      <c r="J90">
        <v>629</v>
      </c>
      <c r="K90">
        <v>636</v>
      </c>
      <c r="L90">
        <v>643</v>
      </c>
      <c r="M90">
        <v>651</v>
      </c>
      <c r="N90">
        <v>658</v>
      </c>
      <c r="O90">
        <v>665</v>
      </c>
      <c r="P90">
        <v>673</v>
      </c>
      <c r="Q90">
        <v>680</v>
      </c>
      <c r="R90">
        <v>687</v>
      </c>
      <c r="S90">
        <v>695</v>
      </c>
      <c r="T90">
        <v>702</v>
      </c>
      <c r="U90">
        <v>710</v>
      </c>
      <c r="V90">
        <v>717</v>
      </c>
      <c r="W90">
        <v>724</v>
      </c>
      <c r="X90">
        <v>732</v>
      </c>
      <c r="Y90">
        <v>739</v>
      </c>
      <c r="Z90">
        <v>747</v>
      </c>
      <c r="AA90">
        <v>754</v>
      </c>
      <c r="AB90">
        <v>761</v>
      </c>
      <c r="AC90">
        <v>769</v>
      </c>
      <c r="AD90">
        <v>776</v>
      </c>
      <c r="AE90">
        <v>784</v>
      </c>
      <c r="AF90">
        <v>791</v>
      </c>
      <c r="AG90">
        <v>799</v>
      </c>
      <c r="AH90">
        <v>806</v>
      </c>
      <c r="AI90" s="21">
        <v>8.0000000000000002E-3</v>
      </c>
    </row>
    <row r="91" spans="1:35" x14ac:dyDescent="0.35">
      <c r="A91" t="s">
        <v>256</v>
      </c>
      <c r="B91" t="s">
        <v>454</v>
      </c>
      <c r="C91" t="s">
        <v>455</v>
      </c>
      <c r="D91" t="s">
        <v>286</v>
      </c>
      <c r="F91">
        <v>835</v>
      </c>
      <c r="G91">
        <v>692</v>
      </c>
      <c r="H91">
        <v>864</v>
      </c>
      <c r="I91">
        <v>874</v>
      </c>
      <c r="J91">
        <v>883</v>
      </c>
      <c r="K91">
        <v>893</v>
      </c>
      <c r="L91">
        <v>902</v>
      </c>
      <c r="M91">
        <v>912</v>
      </c>
      <c r="N91">
        <v>922</v>
      </c>
      <c r="O91">
        <v>931</v>
      </c>
      <c r="P91">
        <v>941</v>
      </c>
      <c r="Q91">
        <v>950</v>
      </c>
      <c r="R91">
        <v>960</v>
      </c>
      <c r="S91">
        <v>970</v>
      </c>
      <c r="T91">
        <v>979</v>
      </c>
      <c r="U91">
        <v>989</v>
      </c>
      <c r="V91">
        <v>999</v>
      </c>
      <c r="W91">
        <v>1008</v>
      </c>
      <c r="X91">
        <v>1018</v>
      </c>
      <c r="Y91">
        <v>1027</v>
      </c>
      <c r="Z91">
        <v>1037</v>
      </c>
      <c r="AA91">
        <v>1047</v>
      </c>
      <c r="AB91">
        <v>1056</v>
      </c>
      <c r="AC91">
        <v>1066</v>
      </c>
      <c r="AD91">
        <v>1076</v>
      </c>
      <c r="AE91">
        <v>1085</v>
      </c>
      <c r="AF91">
        <v>1095</v>
      </c>
      <c r="AG91">
        <v>1104</v>
      </c>
      <c r="AH91">
        <v>1114</v>
      </c>
      <c r="AI91" s="21">
        <v>0.01</v>
      </c>
    </row>
    <row r="92" spans="1:35" x14ac:dyDescent="0.35">
      <c r="A92" t="s">
        <v>259</v>
      </c>
      <c r="B92" t="s">
        <v>456</v>
      </c>
      <c r="C92" t="s">
        <v>457</v>
      </c>
      <c r="D92" t="s">
        <v>286</v>
      </c>
      <c r="F92">
        <v>813</v>
      </c>
      <c r="G92">
        <v>752</v>
      </c>
      <c r="H92">
        <v>892</v>
      </c>
      <c r="I92">
        <v>900</v>
      </c>
      <c r="J92">
        <v>908</v>
      </c>
      <c r="K92">
        <v>916</v>
      </c>
      <c r="L92">
        <v>924</v>
      </c>
      <c r="M92">
        <v>932</v>
      </c>
      <c r="N92">
        <v>939</v>
      </c>
      <c r="O92">
        <v>947</v>
      </c>
      <c r="P92">
        <v>955</v>
      </c>
      <c r="Q92">
        <v>963</v>
      </c>
      <c r="R92">
        <v>971</v>
      </c>
      <c r="S92">
        <v>979</v>
      </c>
      <c r="T92">
        <v>987</v>
      </c>
      <c r="U92">
        <v>994</v>
      </c>
      <c r="V92">
        <v>1002</v>
      </c>
      <c r="W92">
        <v>1010</v>
      </c>
      <c r="X92">
        <v>1018</v>
      </c>
      <c r="Y92">
        <v>1026</v>
      </c>
      <c r="Z92">
        <v>1034</v>
      </c>
      <c r="AA92">
        <v>1042</v>
      </c>
      <c r="AB92">
        <v>1050</v>
      </c>
      <c r="AC92">
        <v>1058</v>
      </c>
      <c r="AD92">
        <v>1066</v>
      </c>
      <c r="AE92">
        <v>1073</v>
      </c>
      <c r="AF92">
        <v>1081</v>
      </c>
      <c r="AG92">
        <v>1089</v>
      </c>
      <c r="AH92">
        <v>1097</v>
      </c>
      <c r="AI92" s="21">
        <v>1.0999999999999999E-2</v>
      </c>
    </row>
    <row r="93" spans="1:35" x14ac:dyDescent="0.35">
      <c r="A93" t="s">
        <v>262</v>
      </c>
      <c r="B93" t="s">
        <v>458</v>
      </c>
      <c r="C93" t="s">
        <v>459</v>
      </c>
      <c r="D93" t="s">
        <v>286</v>
      </c>
      <c r="F93">
        <v>1050</v>
      </c>
      <c r="G93">
        <v>944</v>
      </c>
      <c r="H93">
        <v>1069</v>
      </c>
      <c r="I93">
        <v>1077</v>
      </c>
      <c r="J93">
        <v>1084</v>
      </c>
      <c r="K93">
        <v>1091</v>
      </c>
      <c r="L93">
        <v>1099</v>
      </c>
      <c r="M93">
        <v>1106</v>
      </c>
      <c r="N93">
        <v>1114</v>
      </c>
      <c r="O93">
        <v>1121</v>
      </c>
      <c r="P93">
        <v>1129</v>
      </c>
      <c r="Q93">
        <v>1136</v>
      </c>
      <c r="R93">
        <v>1144</v>
      </c>
      <c r="S93">
        <v>1151</v>
      </c>
      <c r="T93">
        <v>1159</v>
      </c>
      <c r="U93">
        <v>1166</v>
      </c>
      <c r="V93">
        <v>1174</v>
      </c>
      <c r="W93">
        <v>1182</v>
      </c>
      <c r="X93">
        <v>1189</v>
      </c>
      <c r="Y93">
        <v>1197</v>
      </c>
      <c r="Z93">
        <v>1204</v>
      </c>
      <c r="AA93">
        <v>1212</v>
      </c>
      <c r="AB93">
        <v>1220</v>
      </c>
      <c r="AC93">
        <v>1227</v>
      </c>
      <c r="AD93">
        <v>1235</v>
      </c>
      <c r="AE93">
        <v>1243</v>
      </c>
      <c r="AF93">
        <v>1250</v>
      </c>
      <c r="AG93">
        <v>1258</v>
      </c>
      <c r="AH93">
        <v>1266</v>
      </c>
      <c r="AI93" s="21">
        <v>7.0000000000000001E-3</v>
      </c>
    </row>
    <row r="94" spans="1:35" x14ac:dyDescent="0.35">
      <c r="A94" t="s">
        <v>265</v>
      </c>
      <c r="B94" t="s">
        <v>460</v>
      </c>
      <c r="C94" t="s">
        <v>461</v>
      </c>
      <c r="D94" t="s">
        <v>286</v>
      </c>
      <c r="F94">
        <v>2264</v>
      </c>
      <c r="G94">
        <v>2150</v>
      </c>
      <c r="H94">
        <v>2408</v>
      </c>
      <c r="I94">
        <v>2426</v>
      </c>
      <c r="J94">
        <v>2442</v>
      </c>
      <c r="K94">
        <v>2459</v>
      </c>
      <c r="L94">
        <v>2476</v>
      </c>
      <c r="M94">
        <v>2494</v>
      </c>
      <c r="N94">
        <v>2511</v>
      </c>
      <c r="O94">
        <v>2528</v>
      </c>
      <c r="P94">
        <v>2545</v>
      </c>
      <c r="Q94">
        <v>2562</v>
      </c>
      <c r="R94">
        <v>2579</v>
      </c>
      <c r="S94">
        <v>2597</v>
      </c>
      <c r="T94">
        <v>2614</v>
      </c>
      <c r="U94">
        <v>2632</v>
      </c>
      <c r="V94">
        <v>2649</v>
      </c>
      <c r="W94">
        <v>2666</v>
      </c>
      <c r="X94">
        <v>2684</v>
      </c>
      <c r="Y94">
        <v>2701</v>
      </c>
      <c r="Z94">
        <v>2719</v>
      </c>
      <c r="AA94">
        <v>2736</v>
      </c>
      <c r="AB94">
        <v>2754</v>
      </c>
      <c r="AC94">
        <v>2771</v>
      </c>
      <c r="AD94">
        <v>2789</v>
      </c>
      <c r="AE94">
        <v>2806</v>
      </c>
      <c r="AF94">
        <v>2824</v>
      </c>
      <c r="AG94">
        <v>2842</v>
      </c>
      <c r="AH94">
        <v>2859</v>
      </c>
      <c r="AI94" s="21">
        <v>8.0000000000000002E-3</v>
      </c>
    </row>
    <row r="95" spans="1:35" x14ac:dyDescent="0.35">
      <c r="A95" t="s">
        <v>268</v>
      </c>
      <c r="B95" t="s">
        <v>462</v>
      </c>
      <c r="C95" t="s">
        <v>463</v>
      </c>
      <c r="D95" t="s">
        <v>286</v>
      </c>
      <c r="F95">
        <v>1730</v>
      </c>
      <c r="G95">
        <v>1637</v>
      </c>
      <c r="H95">
        <v>1805</v>
      </c>
      <c r="I95">
        <v>1814</v>
      </c>
      <c r="J95">
        <v>1824</v>
      </c>
      <c r="K95">
        <v>1834</v>
      </c>
      <c r="L95">
        <v>1844</v>
      </c>
      <c r="M95">
        <v>1854</v>
      </c>
      <c r="N95">
        <v>1864</v>
      </c>
      <c r="O95">
        <v>1874</v>
      </c>
      <c r="P95">
        <v>1884</v>
      </c>
      <c r="Q95">
        <v>1894</v>
      </c>
      <c r="R95">
        <v>1904</v>
      </c>
      <c r="S95">
        <v>1914</v>
      </c>
      <c r="T95">
        <v>1924</v>
      </c>
      <c r="U95">
        <v>1934</v>
      </c>
      <c r="V95">
        <v>1944</v>
      </c>
      <c r="W95">
        <v>1954</v>
      </c>
      <c r="X95">
        <v>1964</v>
      </c>
      <c r="Y95">
        <v>1974</v>
      </c>
      <c r="Z95">
        <v>1984</v>
      </c>
      <c r="AA95">
        <v>1994</v>
      </c>
      <c r="AB95">
        <v>2004</v>
      </c>
      <c r="AC95">
        <v>2014</v>
      </c>
      <c r="AD95">
        <v>2024</v>
      </c>
      <c r="AE95">
        <v>2034</v>
      </c>
      <c r="AF95">
        <v>2044</v>
      </c>
      <c r="AG95">
        <v>2054</v>
      </c>
      <c r="AH95">
        <v>2064</v>
      </c>
      <c r="AI95" s="21">
        <v>6.0000000000000001E-3</v>
      </c>
    </row>
    <row r="96" spans="1:35" x14ac:dyDescent="0.35">
      <c r="A96" t="s">
        <v>271</v>
      </c>
      <c r="B96" t="s">
        <v>464</v>
      </c>
      <c r="C96" t="s">
        <v>465</v>
      </c>
      <c r="D96" t="s">
        <v>286</v>
      </c>
      <c r="F96">
        <v>3000</v>
      </c>
      <c r="G96">
        <v>2658</v>
      </c>
      <c r="H96">
        <v>2860</v>
      </c>
      <c r="I96">
        <v>2874</v>
      </c>
      <c r="J96">
        <v>2887</v>
      </c>
      <c r="K96">
        <v>2901</v>
      </c>
      <c r="L96">
        <v>2915</v>
      </c>
      <c r="M96">
        <v>2928</v>
      </c>
      <c r="N96">
        <v>2942</v>
      </c>
      <c r="O96">
        <v>2955</v>
      </c>
      <c r="P96">
        <v>2969</v>
      </c>
      <c r="Q96">
        <v>2982</v>
      </c>
      <c r="R96">
        <v>2996</v>
      </c>
      <c r="S96">
        <v>3009</v>
      </c>
      <c r="T96">
        <v>3023</v>
      </c>
      <c r="U96">
        <v>3036</v>
      </c>
      <c r="V96">
        <v>3050</v>
      </c>
      <c r="W96">
        <v>3063</v>
      </c>
      <c r="X96">
        <v>3076</v>
      </c>
      <c r="Y96">
        <v>3090</v>
      </c>
      <c r="Z96">
        <v>3103</v>
      </c>
      <c r="AA96">
        <v>3117</v>
      </c>
      <c r="AB96">
        <v>3130</v>
      </c>
      <c r="AC96">
        <v>3144</v>
      </c>
      <c r="AD96">
        <v>3157</v>
      </c>
      <c r="AE96">
        <v>3170</v>
      </c>
      <c r="AF96">
        <v>3184</v>
      </c>
      <c r="AG96">
        <v>3197</v>
      </c>
      <c r="AH96">
        <v>3210</v>
      </c>
      <c r="AI96" s="21">
        <v>2E-3</v>
      </c>
    </row>
    <row r="97" spans="1:35" x14ac:dyDescent="0.35">
      <c r="A97" t="s">
        <v>274</v>
      </c>
      <c r="B97" t="s">
        <v>466</v>
      </c>
      <c r="C97" t="s">
        <v>467</v>
      </c>
      <c r="D97" t="s">
        <v>286</v>
      </c>
      <c r="F97">
        <v>1578</v>
      </c>
      <c r="G97">
        <v>1415</v>
      </c>
      <c r="H97">
        <v>1580</v>
      </c>
      <c r="I97">
        <v>1589</v>
      </c>
      <c r="J97">
        <v>1599</v>
      </c>
      <c r="K97">
        <v>1608</v>
      </c>
      <c r="L97">
        <v>1618</v>
      </c>
      <c r="M97">
        <v>1628</v>
      </c>
      <c r="N97">
        <v>1638</v>
      </c>
      <c r="O97">
        <v>1647</v>
      </c>
      <c r="P97">
        <v>1657</v>
      </c>
      <c r="Q97">
        <v>1667</v>
      </c>
      <c r="R97">
        <v>1677</v>
      </c>
      <c r="S97">
        <v>1687</v>
      </c>
      <c r="T97">
        <v>1697</v>
      </c>
      <c r="U97">
        <v>1706</v>
      </c>
      <c r="V97">
        <v>1716</v>
      </c>
      <c r="W97">
        <v>1726</v>
      </c>
      <c r="X97">
        <v>1735</v>
      </c>
      <c r="Y97">
        <v>1745</v>
      </c>
      <c r="Z97">
        <v>1755</v>
      </c>
      <c r="AA97">
        <v>1764</v>
      </c>
      <c r="AB97">
        <v>1774</v>
      </c>
      <c r="AC97">
        <v>1783</v>
      </c>
      <c r="AD97">
        <v>1793</v>
      </c>
      <c r="AE97">
        <v>1802</v>
      </c>
      <c r="AF97">
        <v>1812</v>
      </c>
      <c r="AG97">
        <v>1822</v>
      </c>
      <c r="AH97">
        <v>1831</v>
      </c>
      <c r="AI97" s="21">
        <v>5.0000000000000001E-3</v>
      </c>
    </row>
    <row r="98" spans="1:35" x14ac:dyDescent="0.35">
      <c r="A98" t="s">
        <v>277</v>
      </c>
      <c r="B98" t="s">
        <v>468</v>
      </c>
      <c r="C98" t="s">
        <v>469</v>
      </c>
      <c r="D98" t="s">
        <v>286</v>
      </c>
      <c r="F98">
        <v>1098</v>
      </c>
      <c r="G98">
        <v>825</v>
      </c>
      <c r="H98">
        <v>1006</v>
      </c>
      <c r="I98">
        <v>1013</v>
      </c>
      <c r="J98">
        <v>1020</v>
      </c>
      <c r="K98">
        <v>1028</v>
      </c>
      <c r="L98">
        <v>1035</v>
      </c>
      <c r="M98">
        <v>1043</v>
      </c>
      <c r="N98">
        <v>1050</v>
      </c>
      <c r="O98">
        <v>1058</v>
      </c>
      <c r="P98">
        <v>1066</v>
      </c>
      <c r="Q98">
        <v>1073</v>
      </c>
      <c r="R98">
        <v>1081</v>
      </c>
      <c r="S98">
        <v>1088</v>
      </c>
      <c r="T98">
        <v>1096</v>
      </c>
      <c r="U98">
        <v>1104</v>
      </c>
      <c r="V98">
        <v>1111</v>
      </c>
      <c r="W98">
        <v>1119</v>
      </c>
      <c r="X98">
        <v>1127</v>
      </c>
      <c r="Y98">
        <v>1134</v>
      </c>
      <c r="Z98">
        <v>1142</v>
      </c>
      <c r="AA98">
        <v>1150</v>
      </c>
      <c r="AB98">
        <v>1157</v>
      </c>
      <c r="AC98">
        <v>1165</v>
      </c>
      <c r="AD98">
        <v>1173</v>
      </c>
      <c r="AE98">
        <v>1181</v>
      </c>
      <c r="AF98">
        <v>1188</v>
      </c>
      <c r="AG98">
        <v>1196</v>
      </c>
      <c r="AH98">
        <v>1204</v>
      </c>
      <c r="AI98" s="21">
        <v>3.0000000000000001E-3</v>
      </c>
    </row>
    <row r="99" spans="1:35" x14ac:dyDescent="0.35">
      <c r="A99" t="s">
        <v>280</v>
      </c>
      <c r="B99" t="s">
        <v>470</v>
      </c>
      <c r="C99" t="s">
        <v>471</v>
      </c>
      <c r="D99" t="s">
        <v>286</v>
      </c>
      <c r="F99">
        <v>1549.955811</v>
      </c>
      <c r="G99">
        <v>1383.8479</v>
      </c>
      <c r="H99">
        <v>1570.0424800000001</v>
      </c>
      <c r="I99">
        <v>1583.3448490000001</v>
      </c>
      <c r="J99">
        <v>1596.1142580000001</v>
      </c>
      <c r="K99">
        <v>1609.38501</v>
      </c>
      <c r="L99">
        <v>1622.5207519999999</v>
      </c>
      <c r="M99">
        <v>1636.0070800000001</v>
      </c>
      <c r="N99">
        <v>1649.149048</v>
      </c>
      <c r="O99">
        <v>1662.2188719999999</v>
      </c>
      <c r="P99">
        <v>1675.7426760000001</v>
      </c>
      <c r="Q99">
        <v>1688.762207</v>
      </c>
      <c r="R99">
        <v>1702.278198</v>
      </c>
      <c r="S99">
        <v>1715.7017820000001</v>
      </c>
      <c r="T99">
        <v>1729.1450199999999</v>
      </c>
      <c r="U99">
        <v>1742.5604249999999</v>
      </c>
      <c r="V99">
        <v>1755.9835210000001</v>
      </c>
      <c r="W99">
        <v>1769.3446039999999</v>
      </c>
      <c r="X99">
        <v>1782.940063</v>
      </c>
      <c r="Y99">
        <v>1796.302124</v>
      </c>
      <c r="Z99">
        <v>1810.015259</v>
      </c>
      <c r="AA99">
        <v>1823.60437</v>
      </c>
      <c r="AB99">
        <v>1837.094971</v>
      </c>
      <c r="AC99">
        <v>1850.6906739999999</v>
      </c>
      <c r="AD99">
        <v>1864.471436</v>
      </c>
      <c r="AE99">
        <v>1877.7441409999999</v>
      </c>
      <c r="AF99">
        <v>1891.3885499999999</v>
      </c>
      <c r="AG99">
        <v>1904.9642329999999</v>
      </c>
      <c r="AH99">
        <v>1918.225586</v>
      </c>
      <c r="AI99" s="21">
        <v>8.0000000000000002E-3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7B0D8-C10C-446C-9482-98B2DC24196A}">
  <dimension ref="A1:AB14"/>
  <sheetViews>
    <sheetView workbookViewId="0">
      <selection activeCell="B13" sqref="B13"/>
    </sheetView>
  </sheetViews>
  <sheetFormatPr defaultRowHeight="14.5" x14ac:dyDescent="0.35"/>
  <cols>
    <col min="1" max="1" width="42.453125" customWidth="1"/>
    <col min="2" max="2" width="10.81640625" bestFit="1" customWidth="1"/>
    <col min="4" max="4" width="9.81640625" bestFit="1" customWidth="1"/>
  </cols>
  <sheetData>
    <row r="1" spans="1:28" x14ac:dyDescent="0.35">
      <c r="A1" s="4" t="s">
        <v>472</v>
      </c>
    </row>
    <row r="2" spans="1:28" x14ac:dyDescent="0.35">
      <c r="A2" s="4"/>
    </row>
    <row r="3" spans="1:28" x14ac:dyDescent="0.35">
      <c r="A3" t="s">
        <v>105</v>
      </c>
    </row>
    <row r="4" spans="1:28" x14ac:dyDescent="0.35">
      <c r="B4">
        <v>2024</v>
      </c>
      <c r="C4">
        <v>2025</v>
      </c>
      <c r="D4">
        <v>2026</v>
      </c>
      <c r="E4">
        <v>2027</v>
      </c>
      <c r="F4">
        <v>2028</v>
      </c>
      <c r="G4">
        <v>2029</v>
      </c>
      <c r="H4">
        <v>2030</v>
      </c>
      <c r="I4">
        <v>2031</v>
      </c>
      <c r="J4">
        <v>2032</v>
      </c>
      <c r="K4">
        <v>2033</v>
      </c>
      <c r="L4">
        <v>2034</v>
      </c>
      <c r="M4">
        <v>2035</v>
      </c>
      <c r="N4">
        <v>2036</v>
      </c>
      <c r="O4">
        <v>2037</v>
      </c>
      <c r="P4">
        <v>2038</v>
      </c>
      <c r="Q4">
        <v>2039</v>
      </c>
      <c r="R4">
        <v>2040</v>
      </c>
      <c r="S4">
        <v>2041</v>
      </c>
      <c r="T4">
        <v>2042</v>
      </c>
      <c r="U4">
        <v>2043</v>
      </c>
      <c r="V4">
        <v>2044</v>
      </c>
      <c r="W4">
        <v>2045</v>
      </c>
      <c r="X4">
        <v>2046</v>
      </c>
      <c r="Y4">
        <v>2047</v>
      </c>
      <c r="Z4">
        <v>2048</v>
      </c>
      <c r="AA4">
        <v>2049</v>
      </c>
      <c r="AB4">
        <v>2050</v>
      </c>
    </row>
    <row r="6" spans="1:28" x14ac:dyDescent="0.35">
      <c r="A6" t="s">
        <v>116</v>
      </c>
      <c r="B6">
        <f>'AEO 2025 Table 5'!F20-'AEO 2023 Table 5'!H20</f>
        <v>0.344642</v>
      </c>
      <c r="C6">
        <f>'AEO 2025 Table 5'!G20-'AEO 2023 Table 5'!I20</f>
        <v>0.36231800000000003</v>
      </c>
      <c r="D6">
        <f>'AEO 2025 Table 5'!H20-'AEO 2023 Table 5'!J20</f>
        <v>0.38508599999999998</v>
      </c>
      <c r="E6">
        <f>'AEO 2025 Table 5'!I20-'AEO 2023 Table 5'!K20</f>
        <v>0.413491</v>
      </c>
      <c r="F6">
        <f>'AEO 2025 Table 5'!J20-'AEO 2023 Table 5'!L20</f>
        <v>0.43870500000000001</v>
      </c>
      <c r="G6">
        <f>'AEO 2025 Table 5'!K20-'AEO 2023 Table 5'!M20</f>
        <v>0.45889400000000002</v>
      </c>
      <c r="H6">
        <f>'AEO 2025 Table 5'!L20-'AEO 2023 Table 5'!N20</f>
        <v>0.47414499999999998</v>
      </c>
      <c r="I6">
        <f>'AEO 2025 Table 5'!M20-'AEO 2023 Table 5'!O20</f>
        <v>0.48852400000000001</v>
      </c>
      <c r="J6">
        <f>'AEO 2025 Table 5'!N20-'AEO 2023 Table 5'!P20</f>
        <v>0.50328000000000006</v>
      </c>
      <c r="K6">
        <f>'AEO 2025 Table 5'!O20-'AEO 2023 Table 5'!Q20</f>
        <v>0.51783000000000001</v>
      </c>
      <c r="L6">
        <f>'AEO 2025 Table 5'!P20-'AEO 2023 Table 5'!R20</f>
        <v>0.53376900000000005</v>
      </c>
      <c r="M6">
        <f>'AEO 2025 Table 5'!Q20-'AEO 2023 Table 5'!S20</f>
        <v>0.55143399999999998</v>
      </c>
      <c r="N6">
        <f>'AEO 2025 Table 5'!R20-'AEO 2023 Table 5'!T20</f>
        <v>0.570635</v>
      </c>
      <c r="O6">
        <f>'AEO 2025 Table 5'!S20-'AEO 2023 Table 5'!U20</f>
        <v>0.59034699999999996</v>
      </c>
      <c r="P6">
        <f>'AEO 2025 Table 5'!T20-'AEO 2023 Table 5'!V20</f>
        <v>0.60893300000000006</v>
      </c>
      <c r="Q6">
        <f>'AEO 2025 Table 5'!U20-'AEO 2023 Table 5'!W20</f>
        <v>0.62753300000000001</v>
      </c>
      <c r="R6">
        <f>'AEO 2025 Table 5'!V20-'AEO 2023 Table 5'!X20</f>
        <v>0.64588299999999998</v>
      </c>
      <c r="S6">
        <f>'AEO 2025 Table 5'!W20-'AEO 2023 Table 5'!Y20</f>
        <v>0.66379300000000008</v>
      </c>
      <c r="T6">
        <f>'AEO 2025 Table 5'!X20-'AEO 2023 Table 5'!Z20</f>
        <v>0.68093599999999999</v>
      </c>
      <c r="U6">
        <f>'AEO 2025 Table 5'!Y20-'AEO 2023 Table 5'!AA20</f>
        <v>0.69783099999999998</v>
      </c>
      <c r="V6">
        <f>'AEO 2025 Table 5'!Z20-'AEO 2023 Table 5'!AB20</f>
        <v>0.71433100000000005</v>
      </c>
      <c r="W6">
        <f>'AEO 2025 Table 5'!AA20-'AEO 2023 Table 5'!AC20</f>
        <v>0.73047299999999993</v>
      </c>
      <c r="X6">
        <f>'AEO 2025 Table 5'!AB20-'AEO 2023 Table 5'!AD20</f>
        <v>0.74632900000000002</v>
      </c>
      <c r="Y6">
        <f>'AEO 2025 Table 5'!AC20-'AEO 2023 Table 5'!AE20</f>
        <v>0.76185199999999997</v>
      </c>
      <c r="Z6">
        <f>'AEO 2025 Table 5'!AD20-'AEO 2023 Table 5'!AF20</f>
        <v>0.7773540000000001</v>
      </c>
      <c r="AA6">
        <f>'AEO 2025 Table 5'!AE20-'AEO 2023 Table 5'!AG20</f>
        <v>0.79285000000000005</v>
      </c>
      <c r="AB6">
        <f>'AEO 2025 Table 5'!AF20-'AEO 2023 Table 5'!AH20</f>
        <v>0.80819999999999992</v>
      </c>
    </row>
    <row r="7" spans="1:28" x14ac:dyDescent="0.35">
      <c r="A7" t="s">
        <v>28</v>
      </c>
      <c r="B7">
        <f>'AEO 2025 Table 5'!F24-'AEO 2023 Table 5'!H24</f>
        <v>-9.8907000000000023E-2</v>
      </c>
      <c r="C7">
        <f>'AEO 2025 Table 5'!G24-'AEO 2023 Table 5'!I24</f>
        <v>-9.0025000000000022E-2</v>
      </c>
      <c r="D7">
        <f>'AEO 2025 Table 5'!H24-'AEO 2023 Table 5'!J24</f>
        <v>-7.8996000000000011E-2</v>
      </c>
      <c r="E7">
        <f>'AEO 2025 Table 5'!I24-'AEO 2023 Table 5'!K24</f>
        <v>-6.6112000000000004E-2</v>
      </c>
      <c r="F7">
        <f>'AEO 2025 Table 5'!J24-'AEO 2023 Table 5'!L24</f>
        <v>-5.3565000000000029E-2</v>
      </c>
      <c r="G7">
        <f>'AEO 2025 Table 5'!K24-'AEO 2023 Table 5'!M24</f>
        <v>-4.1762000000000021E-2</v>
      </c>
      <c r="H7">
        <f>'AEO 2025 Table 5'!L24-'AEO 2023 Table 5'!N24</f>
        <v>-3.0606999999999995E-2</v>
      </c>
      <c r="I7">
        <f>'AEO 2025 Table 5'!M24-'AEO 2023 Table 5'!O24</f>
        <v>-1.891799999999999E-2</v>
      </c>
      <c r="J7">
        <f>'AEO 2025 Table 5'!N24-'AEO 2023 Table 5'!P24</f>
        <v>-6.5230000000000565E-3</v>
      </c>
      <c r="K7">
        <f>'AEO 2025 Table 5'!O24-'AEO 2023 Table 5'!Q24</f>
        <v>7.4300000000000477E-3</v>
      </c>
      <c r="L7">
        <f>'AEO 2025 Table 5'!P24-'AEO 2023 Table 5'!R24</f>
        <v>2.2644999999999915E-2</v>
      </c>
      <c r="M7">
        <f>'AEO 2025 Table 5'!Q24-'AEO 2023 Table 5'!S24</f>
        <v>3.9632000000000001E-2</v>
      </c>
      <c r="N7">
        <f>'AEO 2025 Table 5'!R24-'AEO 2023 Table 5'!T24</f>
        <v>5.7392999999999916E-2</v>
      </c>
      <c r="O7">
        <f>'AEO 2025 Table 5'!S24-'AEO 2023 Table 5'!U24</f>
        <v>7.791300000000001E-2</v>
      </c>
      <c r="P7">
        <f>'AEO 2025 Table 5'!T24-'AEO 2023 Table 5'!V24</f>
        <v>9.8428000000000071E-2</v>
      </c>
      <c r="Q7">
        <f>'AEO 2025 Table 5'!U24-'AEO 2023 Table 5'!W24</f>
        <v>0.12071399999999999</v>
      </c>
      <c r="R7">
        <f>'AEO 2025 Table 5'!V24-'AEO 2023 Table 5'!X24</f>
        <v>0.14478999999999997</v>
      </c>
      <c r="S7">
        <f>'AEO 2025 Table 5'!W24-'AEO 2023 Table 5'!Y24</f>
        <v>0.17061599999999999</v>
      </c>
      <c r="T7">
        <f>'AEO 2025 Table 5'!X24-'AEO 2023 Table 5'!Z24</f>
        <v>0.19703500000000007</v>
      </c>
      <c r="U7">
        <f>'AEO 2025 Table 5'!Y24-'AEO 2023 Table 5'!AA24</f>
        <v>0.22411400000000004</v>
      </c>
      <c r="V7">
        <f>'AEO 2025 Table 5'!Z24-'AEO 2023 Table 5'!AB24</f>
        <v>0.25362499999999999</v>
      </c>
      <c r="W7">
        <f>'AEO 2025 Table 5'!AA24-'AEO 2023 Table 5'!AC24</f>
        <v>0.28381999999999996</v>
      </c>
      <c r="X7">
        <f>'AEO 2025 Table 5'!AB24-'AEO 2023 Table 5'!AD24</f>
        <v>0.31472100000000003</v>
      </c>
      <c r="Y7">
        <f>'AEO 2025 Table 5'!AC24-'AEO 2023 Table 5'!AE24</f>
        <v>0.34824500000000014</v>
      </c>
      <c r="Z7">
        <f>'AEO 2025 Table 5'!AD24-'AEO 2023 Table 5'!AF24</f>
        <v>0.38274599999999992</v>
      </c>
      <c r="AA7">
        <f>'AEO 2025 Table 5'!AE24-'AEO 2023 Table 5'!AG24</f>
        <v>0.4179449999999999</v>
      </c>
      <c r="AB7">
        <f>'AEO 2025 Table 5'!AF24-'AEO 2023 Table 5'!AH24</f>
        <v>0.45556499999999989</v>
      </c>
    </row>
    <row r="8" spans="1:28" x14ac:dyDescent="0.35">
      <c r="A8" t="s">
        <v>133</v>
      </c>
      <c r="B8">
        <f>'AEO 2025 Table 5'!F26-'AEO 2023 Table 5'!H26</f>
        <v>6.5502000000000171E-2</v>
      </c>
      <c r="C8">
        <f>'AEO 2025 Table 5'!G26-'AEO 2023 Table 5'!I26</f>
        <v>0.15667199999999992</v>
      </c>
      <c r="D8">
        <f>'AEO 2025 Table 5'!H26-'AEO 2023 Table 5'!J26</f>
        <v>8.8607000000000102E-2</v>
      </c>
      <c r="E8">
        <f>'AEO 2025 Table 5'!I26-'AEO 2023 Table 5'!K26</f>
        <v>7.7637999999999874E-2</v>
      </c>
      <c r="F8">
        <f>'AEO 2025 Table 5'!J26-'AEO 2023 Table 5'!L26</f>
        <v>4.1363000000000039E-2</v>
      </c>
      <c r="G8">
        <f>'AEO 2025 Table 5'!K26-'AEO 2023 Table 5'!M26</f>
        <v>5.3925000000000001E-2</v>
      </c>
      <c r="H8">
        <f>'AEO 2025 Table 5'!L26-'AEO 2023 Table 5'!N26</f>
        <v>6.2243999999999966E-2</v>
      </c>
      <c r="I8">
        <f>'AEO 2025 Table 5'!M26-'AEO 2023 Table 5'!O26</f>
        <v>6.8624999999999936E-2</v>
      </c>
      <c r="J8">
        <f>'AEO 2025 Table 5'!N26-'AEO 2023 Table 5'!P26</f>
        <v>7.5363000000000069E-2</v>
      </c>
      <c r="K8">
        <f>'AEO 2025 Table 5'!O26-'AEO 2023 Table 5'!Q26</f>
        <v>8.3912999999999904E-2</v>
      </c>
      <c r="L8">
        <f>'AEO 2025 Table 5'!P26-'AEO 2023 Table 5'!R26</f>
        <v>9.4947000000000115E-2</v>
      </c>
      <c r="M8">
        <f>'AEO 2025 Table 5'!Q26-'AEO 2023 Table 5'!S26</f>
        <v>0.10807900000000026</v>
      </c>
      <c r="N8">
        <f>'AEO 2025 Table 5'!R26-'AEO 2023 Table 5'!T26</f>
        <v>0.123421</v>
      </c>
      <c r="O8">
        <f>'AEO 2025 Table 5'!S26-'AEO 2023 Table 5'!U26</f>
        <v>0.14005299999999998</v>
      </c>
      <c r="P8">
        <f>'AEO 2025 Table 5'!T26-'AEO 2023 Table 5'!V26</f>
        <v>0.15707800000000027</v>
      </c>
      <c r="Q8">
        <f>'AEO 2025 Table 5'!U26-'AEO 2023 Table 5'!W26</f>
        <v>0.17466800000000005</v>
      </c>
      <c r="R8">
        <f>'AEO 2025 Table 5'!V26-'AEO 2023 Table 5'!X26</f>
        <v>0.19308600000000009</v>
      </c>
      <c r="S8">
        <f>'AEO 2025 Table 5'!W26-'AEO 2023 Table 5'!Y26</f>
        <v>0.21131400000000022</v>
      </c>
      <c r="T8">
        <f>'AEO 2025 Table 5'!X26-'AEO 2023 Table 5'!Z26</f>
        <v>0.22958100000000004</v>
      </c>
      <c r="U8">
        <f>'AEO 2025 Table 5'!Y26-'AEO 2023 Table 5'!AA26</f>
        <v>0.24768599999999985</v>
      </c>
      <c r="V8">
        <f>'AEO 2025 Table 5'!Z26-'AEO 2023 Table 5'!AB26</f>
        <v>0.26562999999999981</v>
      </c>
      <c r="W8">
        <f>'AEO 2025 Table 5'!AA26-'AEO 2023 Table 5'!AC26</f>
        <v>0.28297499999999998</v>
      </c>
      <c r="X8">
        <f>'AEO 2025 Table 5'!AB26-'AEO 2023 Table 5'!AD26</f>
        <v>0.29981100000000005</v>
      </c>
      <c r="Y8">
        <f>'AEO 2025 Table 5'!AC26-'AEO 2023 Table 5'!AE26</f>
        <v>0.31580699999999995</v>
      </c>
      <c r="Z8">
        <f>'AEO 2025 Table 5'!AD26-'AEO 2023 Table 5'!AF26</f>
        <v>0.33180099999999957</v>
      </c>
      <c r="AA8">
        <f>'AEO 2025 Table 5'!AE26-'AEO 2023 Table 5'!AG26</f>
        <v>0.34752700000000036</v>
      </c>
      <c r="AB8">
        <f>'AEO 2025 Table 5'!AF26-'AEO 2023 Table 5'!AH26</f>
        <v>0.36286499999999977</v>
      </c>
    </row>
    <row r="10" spans="1:28" x14ac:dyDescent="0.35">
      <c r="A10" t="s">
        <v>474</v>
      </c>
      <c r="B10" s="3">
        <f>SUM(B6,B7,B8)*About!$B$31</f>
        <v>91.192441000000045</v>
      </c>
      <c r="C10" s="3">
        <f>SUM(C6,C7,C8)*About!$B$31</f>
        <v>125.68674499999997</v>
      </c>
      <c r="D10" s="3">
        <f>SUM(D6,D7,D8)*About!$B$31</f>
        <v>115.64622100000003</v>
      </c>
      <c r="E10" s="3">
        <f>SUM(E6,E7,E8)*About!$B$31</f>
        <v>124.52998099999996</v>
      </c>
      <c r="F10" s="3">
        <f>SUM(F6,F7,F8)*About!$B$31</f>
        <v>124.96537900000001</v>
      </c>
      <c r="G10" s="3">
        <f>SUM(G6,G7,G8)*About!$B$31</f>
        <v>138.019701</v>
      </c>
      <c r="H10" s="3">
        <f>SUM(H6,H7,H8)*About!$B$31</f>
        <v>148.19412599999998</v>
      </c>
      <c r="I10" s="3">
        <f>SUM(I6,I7,I8)*About!$B$31</f>
        <v>157.70168299999997</v>
      </c>
      <c r="J10" s="3">
        <f>SUM(J6,J7,J8)*About!$B$31</f>
        <v>167.63116000000002</v>
      </c>
      <c r="K10" s="3">
        <f>SUM(K6,K7,K8)*About!$B$31</f>
        <v>178.48768899999999</v>
      </c>
      <c r="L10" s="3">
        <f>SUM(L6,L7,L8)*About!$B$31</f>
        <v>190.84877300000002</v>
      </c>
      <c r="M10" s="3">
        <f>SUM(M6,M7,M8)*About!$B$31</f>
        <v>204.84948500000007</v>
      </c>
      <c r="N10" s="3">
        <f>SUM(N6,N7,N8)*About!$B$31</f>
        <v>220.17455699999996</v>
      </c>
      <c r="O10" s="3">
        <f>SUM(O6,O7,O8)*About!$B$31</f>
        <v>236.83570899999998</v>
      </c>
      <c r="P10" s="3">
        <f>SUM(P6,P7,P8)*About!$B$31</f>
        <v>253.28062700000012</v>
      </c>
      <c r="Q10" s="3">
        <f>SUM(Q6,Q7,Q8)*About!$B$31</f>
        <v>270.41409500000003</v>
      </c>
      <c r="R10" s="3">
        <f>SUM(R6,R7,R8)*About!$B$31</f>
        <v>288.24138700000003</v>
      </c>
      <c r="S10" s="3">
        <f>SUM(S6,S7,S8)*About!$B$31</f>
        <v>306.39683900000006</v>
      </c>
      <c r="T10" s="3">
        <f>SUM(T6,T7,T8)*About!$B$31</f>
        <v>324.51273600000002</v>
      </c>
      <c r="U10" s="3">
        <f>SUM(U6,U7,U8)*About!$B$31</f>
        <v>342.70188299999995</v>
      </c>
      <c r="V10" s="3">
        <f>SUM(V6,V7,V8)*About!$B$31</f>
        <v>361.44069799999994</v>
      </c>
      <c r="W10" s="3">
        <f>SUM(W6,W7,W8)*About!$B$31</f>
        <v>380.09952399999997</v>
      </c>
      <c r="X10" s="3">
        <f>SUM(X6,X7,X8)*About!$B$31</f>
        <v>398.73227300000002</v>
      </c>
      <c r="Y10" s="3">
        <f>SUM(Y6,Y7,Y8)*About!$B$31</f>
        <v>417.789872</v>
      </c>
      <c r="Z10" s="3">
        <f>SUM(Z6,Z7,Z8)*About!$B$31</f>
        <v>437.12699299999986</v>
      </c>
      <c r="AA10" s="3">
        <f>SUM(AA6,AA7,AA8)*About!$B$31</f>
        <v>456.58834600000012</v>
      </c>
      <c r="AB10" s="3">
        <f>SUM(AB6,AB7,AB8)*About!$B$31</f>
        <v>476.60258999999985</v>
      </c>
    </row>
    <row r="11" spans="1:28" x14ac:dyDescent="0.35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ht="29" x14ac:dyDescent="0.35">
      <c r="A12" s="18" t="s">
        <v>475</v>
      </c>
      <c r="B12" s="3">
        <f>EPRI!F5-'AEO Data Center Load'!B10</f>
        <v>92.807558999999955</v>
      </c>
    </row>
    <row r="14" spans="1:28" x14ac:dyDescent="0.35">
      <c r="A14" t="s">
        <v>476</v>
      </c>
      <c r="B14" s="3">
        <f>$B$12+B10</f>
        <v>184</v>
      </c>
      <c r="C14" s="3">
        <f t="shared" ref="C14:AB14" si="0">$B$12+C10</f>
        <v>218.49430399999994</v>
      </c>
      <c r="D14" s="3">
        <f t="shared" si="0"/>
        <v>208.45377999999999</v>
      </c>
      <c r="E14" s="3">
        <f t="shared" si="0"/>
        <v>217.33753999999993</v>
      </c>
      <c r="F14" s="3">
        <f t="shared" si="0"/>
        <v>217.77293799999995</v>
      </c>
      <c r="G14" s="3">
        <f t="shared" si="0"/>
        <v>230.82725999999997</v>
      </c>
      <c r="H14" s="3">
        <f t="shared" si="0"/>
        <v>241.00168499999995</v>
      </c>
      <c r="I14" s="3">
        <f t="shared" si="0"/>
        <v>250.50924199999992</v>
      </c>
      <c r="J14" s="3">
        <f t="shared" si="0"/>
        <v>260.43871899999999</v>
      </c>
      <c r="K14" s="3">
        <f t="shared" si="0"/>
        <v>271.29524799999996</v>
      </c>
      <c r="L14" s="3">
        <f t="shared" si="0"/>
        <v>283.65633199999996</v>
      </c>
      <c r="M14" s="3">
        <f t="shared" si="0"/>
        <v>297.65704400000004</v>
      </c>
      <c r="N14" s="3">
        <f t="shared" si="0"/>
        <v>312.98211599999991</v>
      </c>
      <c r="O14" s="3">
        <f t="shared" si="0"/>
        <v>329.64326799999992</v>
      </c>
      <c r="P14" s="3">
        <f t="shared" si="0"/>
        <v>346.08818600000006</v>
      </c>
      <c r="Q14" s="3">
        <f t="shared" si="0"/>
        <v>363.221654</v>
      </c>
      <c r="R14" s="3">
        <f t="shared" si="0"/>
        <v>381.048946</v>
      </c>
      <c r="S14" s="3">
        <f t="shared" si="0"/>
        <v>399.20439800000003</v>
      </c>
      <c r="T14" s="3">
        <f t="shared" si="0"/>
        <v>417.32029499999999</v>
      </c>
      <c r="U14" s="3">
        <f t="shared" si="0"/>
        <v>435.50944199999992</v>
      </c>
      <c r="V14" s="3">
        <f t="shared" si="0"/>
        <v>454.24825699999991</v>
      </c>
      <c r="W14" s="3">
        <f t="shared" si="0"/>
        <v>472.90708299999994</v>
      </c>
      <c r="X14" s="3">
        <f t="shared" si="0"/>
        <v>491.53983199999999</v>
      </c>
      <c r="Y14" s="3">
        <f t="shared" si="0"/>
        <v>510.59743099999997</v>
      </c>
      <c r="Z14" s="3">
        <f t="shared" si="0"/>
        <v>529.93455199999983</v>
      </c>
      <c r="AA14" s="3">
        <f t="shared" si="0"/>
        <v>549.39590500000008</v>
      </c>
      <c r="AB14" s="3">
        <f t="shared" si="0"/>
        <v>569.41014899999982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A81C-1964-46D3-8A21-2DF04B841A88}">
  <dimension ref="A1:J170"/>
  <sheetViews>
    <sheetView workbookViewId="0">
      <selection activeCell="C5" sqref="C5"/>
    </sheetView>
  </sheetViews>
  <sheetFormatPr defaultRowHeight="14.5" x14ac:dyDescent="0.35"/>
  <cols>
    <col min="3" max="10" width="17.54296875" customWidth="1"/>
    <col min="19" max="19" width="11.81640625" bestFit="1" customWidth="1"/>
  </cols>
  <sheetData>
    <row r="1" spans="1:10" ht="18" x14ac:dyDescent="0.4">
      <c r="B1" t="s">
        <v>12</v>
      </c>
      <c r="C1" t="s">
        <v>29</v>
      </c>
    </row>
    <row r="2" spans="1:10" x14ac:dyDescent="0.35">
      <c r="B2" t="s">
        <v>25</v>
      </c>
      <c r="C2" s="2" t="s">
        <v>30</v>
      </c>
    </row>
    <row r="3" spans="1:10" x14ac:dyDescent="0.35">
      <c r="B3" t="s">
        <v>26</v>
      </c>
      <c r="C3">
        <v>2025</v>
      </c>
      <c r="D3">
        <f>C3+5</f>
        <v>2030</v>
      </c>
      <c r="E3">
        <v>2035</v>
      </c>
      <c r="F3">
        <v>2040</v>
      </c>
      <c r="G3">
        <v>2050</v>
      </c>
    </row>
    <row r="4" spans="1:10" x14ac:dyDescent="0.35">
      <c r="A4" t="s">
        <v>13</v>
      </c>
      <c r="C4">
        <f>E13</f>
        <v>279</v>
      </c>
      <c r="D4">
        <f t="shared" ref="D4:G4" si="0">F13</f>
        <v>541</v>
      </c>
      <c r="E4">
        <f t="shared" si="0"/>
        <v>693</v>
      </c>
      <c r="F4">
        <f t="shared" si="0"/>
        <v>776</v>
      </c>
      <c r="G4">
        <f t="shared" si="0"/>
        <v>870</v>
      </c>
    </row>
    <row r="5" spans="1:10" x14ac:dyDescent="0.35">
      <c r="A5" t="s">
        <v>16</v>
      </c>
      <c r="C5">
        <v>279</v>
      </c>
      <c r="D5">
        <v>718</v>
      </c>
      <c r="E5">
        <v>1043</v>
      </c>
      <c r="F5">
        <v>1222</v>
      </c>
      <c r="G5">
        <v>1679</v>
      </c>
    </row>
    <row r="6" spans="1:10" x14ac:dyDescent="0.35">
      <c r="E6" t="s">
        <v>31</v>
      </c>
      <c r="F6" t="s">
        <v>31</v>
      </c>
      <c r="G6" t="s">
        <v>31</v>
      </c>
      <c r="H6" t="s">
        <v>31</v>
      </c>
      <c r="I6" t="s">
        <v>31</v>
      </c>
      <c r="J6" t="s">
        <v>31</v>
      </c>
    </row>
    <row r="7" spans="1:10" x14ac:dyDescent="0.35">
      <c r="C7" t="s">
        <v>32</v>
      </c>
      <c r="E7">
        <v>2024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1:10" x14ac:dyDescent="0.35">
      <c r="C8" t="s">
        <v>33</v>
      </c>
      <c r="D8" t="s">
        <v>34</v>
      </c>
      <c r="F8" s="21">
        <v>2.0899999999999998E-2</v>
      </c>
      <c r="G8" s="21">
        <v>7.0300000000000001E-2</v>
      </c>
      <c r="H8" s="21">
        <v>7.1599999999999997E-2</v>
      </c>
      <c r="I8" s="21">
        <v>6.3700000000000007E-2</v>
      </c>
      <c r="J8" s="21">
        <v>6.0299999999999999E-2</v>
      </c>
    </row>
    <row r="9" spans="1:10" x14ac:dyDescent="0.35">
      <c r="C9" t="s">
        <v>33</v>
      </c>
      <c r="D9" t="s">
        <v>35</v>
      </c>
      <c r="F9">
        <v>105</v>
      </c>
      <c r="G9">
        <v>422</v>
      </c>
      <c r="H9">
        <v>489</v>
      </c>
      <c r="I9">
        <v>467</v>
      </c>
      <c r="J9">
        <v>476</v>
      </c>
    </row>
    <row r="10" spans="1:10" x14ac:dyDescent="0.35">
      <c r="C10" t="s">
        <v>36</v>
      </c>
      <c r="D10" t="s">
        <v>34</v>
      </c>
      <c r="F10" s="21">
        <v>8.9999999999999998E-4</v>
      </c>
      <c r="G10" s="21">
        <v>3.8E-3</v>
      </c>
      <c r="H10" s="21">
        <v>8.0999999999999996E-3</v>
      </c>
      <c r="I10" s="21">
        <v>4.0000000000000001E-3</v>
      </c>
      <c r="J10" s="21">
        <v>2.7000000000000001E-3</v>
      </c>
    </row>
    <row r="11" spans="1:10" x14ac:dyDescent="0.35">
      <c r="C11" t="s">
        <v>36</v>
      </c>
      <c r="D11" t="s">
        <v>35</v>
      </c>
      <c r="F11">
        <v>4</v>
      </c>
      <c r="G11">
        <v>23</v>
      </c>
      <c r="H11">
        <v>55</v>
      </c>
      <c r="I11">
        <v>29</v>
      </c>
      <c r="J11">
        <v>21</v>
      </c>
    </row>
    <row r="12" spans="1:10" x14ac:dyDescent="0.35">
      <c r="C12" s="12" t="s">
        <v>37</v>
      </c>
      <c r="D12" s="12" t="s">
        <v>34</v>
      </c>
      <c r="E12" s="22">
        <v>6.4399999999999999E-2</v>
      </c>
      <c r="F12" s="22">
        <v>0.108</v>
      </c>
      <c r="G12" s="22">
        <v>0.1154</v>
      </c>
      <c r="H12" s="22">
        <v>0.1138</v>
      </c>
      <c r="I12" s="22">
        <v>0.1186</v>
      </c>
      <c r="J12" s="22">
        <v>0.1235</v>
      </c>
    </row>
    <row r="13" spans="1:10" x14ac:dyDescent="0.35">
      <c r="C13" s="12" t="s">
        <v>37</v>
      </c>
      <c r="D13" s="12" t="s">
        <v>35</v>
      </c>
      <c r="E13" s="12">
        <v>279</v>
      </c>
      <c r="F13" s="12">
        <v>541</v>
      </c>
      <c r="G13" s="12">
        <v>693</v>
      </c>
      <c r="H13" s="12">
        <v>776</v>
      </c>
      <c r="I13" s="12">
        <v>870</v>
      </c>
      <c r="J13" s="12">
        <v>975</v>
      </c>
    </row>
    <row r="14" spans="1:10" x14ac:dyDescent="0.35">
      <c r="C14" t="s">
        <v>38</v>
      </c>
      <c r="D14" t="s">
        <v>34</v>
      </c>
      <c r="E14" s="21">
        <v>0.93559999999999999</v>
      </c>
      <c r="F14" s="21">
        <v>0.87029999999999996</v>
      </c>
      <c r="G14" s="21">
        <v>0.8105</v>
      </c>
      <c r="H14" s="21">
        <v>0.80640000000000001</v>
      </c>
      <c r="I14" s="21">
        <v>0.81369999999999998</v>
      </c>
      <c r="J14" s="21">
        <v>0.81340000000000001</v>
      </c>
    </row>
    <row r="15" spans="1:10" x14ac:dyDescent="0.35">
      <c r="C15" t="s">
        <v>38</v>
      </c>
      <c r="D15" t="s">
        <v>35</v>
      </c>
      <c r="E15" s="20">
        <v>4055</v>
      </c>
      <c r="F15" s="20">
        <v>4361</v>
      </c>
      <c r="G15" s="20">
        <v>4865</v>
      </c>
      <c r="H15" s="20">
        <v>5498</v>
      </c>
      <c r="I15" s="20">
        <v>5966</v>
      </c>
      <c r="J15" s="20">
        <v>6418</v>
      </c>
    </row>
    <row r="20" spans="3:9" x14ac:dyDescent="0.35">
      <c r="C20" t="s">
        <v>39</v>
      </c>
      <c r="D20" t="s">
        <v>0</v>
      </c>
      <c r="E20" t="s">
        <v>32</v>
      </c>
      <c r="F20" t="s">
        <v>40</v>
      </c>
      <c r="G20" t="s">
        <v>41</v>
      </c>
      <c r="H20" t="s">
        <v>42</v>
      </c>
      <c r="I20" t="s">
        <v>43</v>
      </c>
    </row>
    <row r="21" spans="3:9" x14ac:dyDescent="0.35">
      <c r="C21" t="s">
        <v>31</v>
      </c>
      <c r="D21">
        <v>2024</v>
      </c>
      <c r="E21" t="s">
        <v>37</v>
      </c>
      <c r="F21" t="s">
        <v>44</v>
      </c>
      <c r="G21">
        <v>46.230784960000001</v>
      </c>
      <c r="H21">
        <v>-117.1353519</v>
      </c>
      <c r="I21">
        <v>28096.824666500001</v>
      </c>
    </row>
    <row r="22" spans="3:9" x14ac:dyDescent="0.35">
      <c r="C22" t="s">
        <v>31</v>
      </c>
      <c r="D22">
        <v>2024</v>
      </c>
      <c r="E22" t="s">
        <v>37</v>
      </c>
      <c r="F22" t="s">
        <v>45</v>
      </c>
      <c r="G22">
        <v>44.216160670000001</v>
      </c>
      <c r="H22">
        <v>-92.060173219999996</v>
      </c>
      <c r="I22">
        <v>5610.7274202500003</v>
      </c>
    </row>
    <row r="23" spans="3:9" x14ac:dyDescent="0.35">
      <c r="C23" t="s">
        <v>31</v>
      </c>
      <c r="D23">
        <v>2024</v>
      </c>
      <c r="E23" t="s">
        <v>37</v>
      </c>
      <c r="F23" t="s">
        <v>46</v>
      </c>
      <c r="G23">
        <v>43.892257200000003</v>
      </c>
      <c r="H23">
        <v>-98.937461729999995</v>
      </c>
      <c r="I23">
        <v>11607.793884000001</v>
      </c>
    </row>
    <row r="24" spans="3:9" x14ac:dyDescent="0.35">
      <c r="C24" t="s">
        <v>31</v>
      </c>
      <c r="D24">
        <v>2024</v>
      </c>
      <c r="E24" t="s">
        <v>37</v>
      </c>
      <c r="F24" t="s">
        <v>47</v>
      </c>
      <c r="G24">
        <v>43.659916129999999</v>
      </c>
      <c r="H24">
        <v>-84.577796770000006</v>
      </c>
      <c r="I24">
        <v>584.34284449999996</v>
      </c>
    </row>
    <row r="25" spans="3:9" x14ac:dyDescent="0.35">
      <c r="C25" t="s">
        <v>31</v>
      </c>
      <c r="D25">
        <v>2024</v>
      </c>
      <c r="E25" t="s">
        <v>37</v>
      </c>
      <c r="F25" t="s">
        <v>48</v>
      </c>
      <c r="G25">
        <v>43.27527164</v>
      </c>
      <c r="H25">
        <v>-71.404255219999996</v>
      </c>
      <c r="I25">
        <v>3608.5366079999999</v>
      </c>
    </row>
    <row r="26" spans="3:9" x14ac:dyDescent="0.35">
      <c r="C26" t="s">
        <v>31</v>
      </c>
      <c r="D26">
        <v>2024</v>
      </c>
      <c r="E26" t="s">
        <v>37</v>
      </c>
      <c r="F26" t="s">
        <v>49</v>
      </c>
      <c r="G26">
        <v>42.781516359999998</v>
      </c>
      <c r="H26">
        <v>-75.700387269999993</v>
      </c>
      <c r="I26">
        <v>5256.3649327499998</v>
      </c>
    </row>
    <row r="27" spans="3:9" x14ac:dyDescent="0.35">
      <c r="C27" t="s">
        <v>31</v>
      </c>
      <c r="D27">
        <v>2024</v>
      </c>
      <c r="E27" t="s">
        <v>37</v>
      </c>
      <c r="F27" t="s">
        <v>50</v>
      </c>
      <c r="G27">
        <v>41.581748279999999</v>
      </c>
      <c r="H27">
        <v>-89.046286210000005</v>
      </c>
      <c r="I27">
        <v>13781.692932</v>
      </c>
    </row>
    <row r="28" spans="3:9" x14ac:dyDescent="0.35">
      <c r="C28" t="s">
        <v>31</v>
      </c>
      <c r="D28">
        <v>2024</v>
      </c>
      <c r="E28" t="s">
        <v>37</v>
      </c>
      <c r="F28" t="s">
        <v>51</v>
      </c>
      <c r="G28">
        <v>41.490666300000001</v>
      </c>
      <c r="H28">
        <v>-113.3992641</v>
      </c>
      <c r="I28">
        <v>9760.7391997499999</v>
      </c>
    </row>
    <row r="29" spans="3:9" x14ac:dyDescent="0.35">
      <c r="C29" t="s">
        <v>31</v>
      </c>
      <c r="D29">
        <v>2024</v>
      </c>
      <c r="E29" t="s">
        <v>37</v>
      </c>
      <c r="F29" t="s">
        <v>52</v>
      </c>
      <c r="G29">
        <v>40.795662499999999</v>
      </c>
      <c r="H29">
        <v>-73.749075000000005</v>
      </c>
      <c r="I29">
        <v>1856.41285225</v>
      </c>
    </row>
    <row r="30" spans="3:9" x14ac:dyDescent="0.35">
      <c r="C30" t="s">
        <v>31</v>
      </c>
      <c r="D30">
        <v>2024</v>
      </c>
      <c r="E30" t="s">
        <v>37</v>
      </c>
      <c r="F30" t="s">
        <v>53</v>
      </c>
      <c r="G30">
        <v>40.419861679999997</v>
      </c>
      <c r="H30">
        <v>-105.0432271</v>
      </c>
      <c r="I30">
        <v>6223.8795707500003</v>
      </c>
    </row>
    <row r="31" spans="3:9" x14ac:dyDescent="0.35">
      <c r="C31" t="s">
        <v>31</v>
      </c>
      <c r="D31">
        <v>2024</v>
      </c>
      <c r="E31" t="s">
        <v>37</v>
      </c>
      <c r="F31" t="s">
        <v>54</v>
      </c>
      <c r="G31">
        <v>40.223693619999999</v>
      </c>
      <c r="H31">
        <v>-76.229495740000004</v>
      </c>
      <c r="I31">
        <v>9637.6345267500001</v>
      </c>
    </row>
    <row r="32" spans="3:9" x14ac:dyDescent="0.35">
      <c r="C32" t="s">
        <v>31</v>
      </c>
      <c r="D32">
        <v>2024</v>
      </c>
      <c r="E32" t="s">
        <v>37</v>
      </c>
      <c r="F32" t="s">
        <v>55</v>
      </c>
      <c r="G32">
        <v>39.628317430000003</v>
      </c>
      <c r="H32">
        <v>-82.005115140000001</v>
      </c>
      <c r="I32">
        <v>12588.085208500001</v>
      </c>
    </row>
    <row r="33" spans="3:9" x14ac:dyDescent="0.35">
      <c r="C33" t="s">
        <v>31</v>
      </c>
      <c r="D33">
        <v>2024</v>
      </c>
      <c r="E33" t="s">
        <v>37</v>
      </c>
      <c r="F33" t="s">
        <v>56</v>
      </c>
      <c r="G33">
        <v>39.137839149999998</v>
      </c>
      <c r="H33">
        <v>-89.055620000000005</v>
      </c>
      <c r="I33">
        <v>1494.3254420000001</v>
      </c>
    </row>
    <row r="34" spans="3:9" x14ac:dyDescent="0.35">
      <c r="C34" t="s">
        <v>31</v>
      </c>
      <c r="D34">
        <v>2024</v>
      </c>
      <c r="E34" t="s">
        <v>37</v>
      </c>
      <c r="F34" t="s">
        <v>57</v>
      </c>
      <c r="G34">
        <v>38.531783109999999</v>
      </c>
      <c r="H34">
        <v>-96.892483780000006</v>
      </c>
      <c r="I34">
        <v>1105.1263717500001</v>
      </c>
    </row>
    <row r="35" spans="3:9" x14ac:dyDescent="0.35">
      <c r="C35" t="s">
        <v>31</v>
      </c>
      <c r="D35">
        <v>2024</v>
      </c>
      <c r="E35" t="s">
        <v>37</v>
      </c>
      <c r="F35" t="s">
        <v>58</v>
      </c>
      <c r="G35">
        <v>38.363847919999998</v>
      </c>
      <c r="H35">
        <v>-121.3105083</v>
      </c>
      <c r="I35">
        <v>11080.752926499999</v>
      </c>
    </row>
    <row r="36" spans="3:9" x14ac:dyDescent="0.35">
      <c r="C36" t="s">
        <v>31</v>
      </c>
      <c r="D36">
        <v>2024</v>
      </c>
      <c r="E36" t="s">
        <v>37</v>
      </c>
      <c r="F36" t="s">
        <v>59</v>
      </c>
      <c r="G36">
        <v>37.547360660000002</v>
      </c>
      <c r="H36">
        <v>-77.704687699999994</v>
      </c>
      <c r="I36">
        <v>50491.184628000003</v>
      </c>
    </row>
    <row r="37" spans="3:9" x14ac:dyDescent="0.35">
      <c r="C37" t="s">
        <v>31</v>
      </c>
      <c r="D37">
        <v>2024</v>
      </c>
      <c r="E37" t="s">
        <v>37</v>
      </c>
      <c r="F37" t="s">
        <v>60</v>
      </c>
      <c r="G37">
        <v>36.370182210000003</v>
      </c>
      <c r="H37">
        <v>-85.854596090000001</v>
      </c>
      <c r="I37">
        <v>7589.5534292499997</v>
      </c>
    </row>
    <row r="38" spans="3:9" x14ac:dyDescent="0.35">
      <c r="C38" t="s">
        <v>31</v>
      </c>
      <c r="D38">
        <v>2024</v>
      </c>
      <c r="E38" t="s">
        <v>37</v>
      </c>
      <c r="F38" t="s">
        <v>61</v>
      </c>
      <c r="G38">
        <v>35.070007140000001</v>
      </c>
      <c r="H38">
        <v>-118.0483929</v>
      </c>
      <c r="I38">
        <v>3628.1439970000001</v>
      </c>
    </row>
    <row r="39" spans="3:9" x14ac:dyDescent="0.35">
      <c r="C39" t="s">
        <v>31</v>
      </c>
      <c r="D39">
        <v>2024</v>
      </c>
      <c r="E39" t="s">
        <v>37</v>
      </c>
      <c r="F39" t="s">
        <v>62</v>
      </c>
      <c r="G39">
        <v>34.946099199999999</v>
      </c>
      <c r="H39">
        <v>-80.332142399999995</v>
      </c>
      <c r="I39">
        <v>7685.0808564999998</v>
      </c>
    </row>
    <row r="40" spans="3:9" x14ac:dyDescent="0.35">
      <c r="C40" t="s">
        <v>31</v>
      </c>
      <c r="D40">
        <v>2024</v>
      </c>
      <c r="E40" t="s">
        <v>37</v>
      </c>
      <c r="F40" t="s">
        <v>63</v>
      </c>
      <c r="G40">
        <v>34.407657139999998</v>
      </c>
      <c r="H40">
        <v>-97.417557709999997</v>
      </c>
      <c r="I40">
        <v>2750.62676775</v>
      </c>
    </row>
    <row r="41" spans="3:9" x14ac:dyDescent="0.35">
      <c r="C41" t="s">
        <v>31</v>
      </c>
      <c r="D41">
        <v>2024</v>
      </c>
      <c r="E41" t="s">
        <v>37</v>
      </c>
      <c r="F41" t="s">
        <v>64</v>
      </c>
      <c r="G41">
        <v>34.169836170000004</v>
      </c>
      <c r="H41">
        <v>-107.8247234</v>
      </c>
      <c r="I41">
        <v>12654.510887</v>
      </c>
    </row>
    <row r="42" spans="3:9" x14ac:dyDescent="0.35">
      <c r="C42" t="s">
        <v>31</v>
      </c>
      <c r="D42">
        <v>2024</v>
      </c>
      <c r="E42" t="s">
        <v>37</v>
      </c>
      <c r="F42" t="s">
        <v>65</v>
      </c>
      <c r="G42">
        <v>32.841376609999998</v>
      </c>
      <c r="H42">
        <v>-92.087664329999996</v>
      </c>
      <c r="I42">
        <v>438.25977275000002</v>
      </c>
    </row>
    <row r="43" spans="3:9" x14ac:dyDescent="0.35">
      <c r="C43" t="s">
        <v>31</v>
      </c>
      <c r="D43">
        <v>2024</v>
      </c>
      <c r="E43" t="s">
        <v>37</v>
      </c>
      <c r="F43" t="s">
        <v>66</v>
      </c>
      <c r="G43">
        <v>32.533998199999999</v>
      </c>
      <c r="H43">
        <v>-85.39189245</v>
      </c>
      <c r="I43">
        <v>13461.19784875</v>
      </c>
    </row>
    <row r="44" spans="3:9" x14ac:dyDescent="0.35">
      <c r="C44" t="s">
        <v>31</v>
      </c>
      <c r="D44">
        <v>2024</v>
      </c>
      <c r="E44" t="s">
        <v>37</v>
      </c>
      <c r="F44" t="s">
        <v>67</v>
      </c>
      <c r="G44">
        <v>31.116466500000001</v>
      </c>
      <c r="H44">
        <v>-98.410506499999997</v>
      </c>
      <c r="I44">
        <v>55337.498372249996</v>
      </c>
    </row>
    <row r="45" spans="3:9" x14ac:dyDescent="0.35">
      <c r="C45" t="s">
        <v>31</v>
      </c>
      <c r="D45">
        <v>2024</v>
      </c>
      <c r="E45" t="s">
        <v>37</v>
      </c>
      <c r="F45" t="s">
        <v>68</v>
      </c>
      <c r="G45">
        <v>28.70831695</v>
      </c>
      <c r="H45">
        <v>-82.234216950000004</v>
      </c>
      <c r="I45">
        <v>2576.6180527500001</v>
      </c>
    </row>
    <row r="46" spans="3:9" x14ac:dyDescent="0.35">
      <c r="C46" t="s">
        <v>31</v>
      </c>
      <c r="D46">
        <v>2030</v>
      </c>
      <c r="E46" t="s">
        <v>37</v>
      </c>
      <c r="F46" t="s">
        <v>44</v>
      </c>
      <c r="G46">
        <v>46.230784960000001</v>
      </c>
      <c r="H46">
        <v>-117.1353519</v>
      </c>
      <c r="I46">
        <v>54444.047764000003</v>
      </c>
    </row>
    <row r="47" spans="3:9" x14ac:dyDescent="0.35">
      <c r="C47" t="s">
        <v>31</v>
      </c>
      <c r="D47">
        <v>2030</v>
      </c>
      <c r="E47" t="s">
        <v>37</v>
      </c>
      <c r="F47" t="s">
        <v>45</v>
      </c>
      <c r="G47">
        <v>44.216160670000001</v>
      </c>
      <c r="H47">
        <v>-92.060173219999996</v>
      </c>
      <c r="I47">
        <v>10872.072325749999</v>
      </c>
    </row>
    <row r="48" spans="3:9" x14ac:dyDescent="0.35">
      <c r="C48" t="s">
        <v>31</v>
      </c>
      <c r="D48">
        <v>2030</v>
      </c>
      <c r="E48" t="s">
        <v>37</v>
      </c>
      <c r="F48" t="s">
        <v>46</v>
      </c>
      <c r="G48">
        <v>43.892257200000003</v>
      </c>
      <c r="H48">
        <v>-98.937461729999995</v>
      </c>
      <c r="I48">
        <v>22492.767474749999</v>
      </c>
    </row>
    <row r="49" spans="3:9" x14ac:dyDescent="0.35">
      <c r="C49" t="s">
        <v>31</v>
      </c>
      <c r="D49">
        <v>2030</v>
      </c>
      <c r="E49" t="s">
        <v>37</v>
      </c>
      <c r="F49" t="s">
        <v>47</v>
      </c>
      <c r="G49">
        <v>43.659916129999999</v>
      </c>
      <c r="H49">
        <v>-84.577796770000006</v>
      </c>
      <c r="I49">
        <v>1132.2982095</v>
      </c>
    </row>
    <row r="50" spans="3:9" x14ac:dyDescent="0.35">
      <c r="C50" t="s">
        <v>31</v>
      </c>
      <c r="D50">
        <v>2030</v>
      </c>
      <c r="E50" t="s">
        <v>37</v>
      </c>
      <c r="F50" t="s">
        <v>48</v>
      </c>
      <c r="G50">
        <v>43.27527164</v>
      </c>
      <c r="H50">
        <v>-71.404255219999996</v>
      </c>
      <c r="I50">
        <v>6992.3694974999999</v>
      </c>
    </row>
    <row r="51" spans="3:9" x14ac:dyDescent="0.35">
      <c r="C51" t="s">
        <v>31</v>
      </c>
      <c r="D51">
        <v>2030</v>
      </c>
      <c r="E51" t="s">
        <v>37</v>
      </c>
      <c r="F51" t="s">
        <v>49</v>
      </c>
      <c r="G51">
        <v>42.781516359999998</v>
      </c>
      <c r="H51">
        <v>-75.700387269999993</v>
      </c>
      <c r="I51">
        <v>10185.413581500001</v>
      </c>
    </row>
    <row r="52" spans="3:9" x14ac:dyDescent="0.35">
      <c r="C52" t="s">
        <v>31</v>
      </c>
      <c r="D52">
        <v>2030</v>
      </c>
      <c r="E52" t="s">
        <v>37</v>
      </c>
      <c r="F52" t="s">
        <v>50</v>
      </c>
      <c r="G52">
        <v>41.581748279999999</v>
      </c>
      <c r="H52">
        <v>-89.046286210000005</v>
      </c>
      <c r="I52">
        <v>26705.194138499999</v>
      </c>
    </row>
    <row r="53" spans="3:9" x14ac:dyDescent="0.35">
      <c r="C53" t="s">
        <v>31</v>
      </c>
      <c r="D53">
        <v>2030</v>
      </c>
      <c r="E53" t="s">
        <v>37</v>
      </c>
      <c r="F53" t="s">
        <v>51</v>
      </c>
      <c r="G53">
        <v>41.490666300000001</v>
      </c>
      <c r="H53">
        <v>-113.3992641</v>
      </c>
      <c r="I53">
        <v>18913.673622750001</v>
      </c>
    </row>
    <row r="54" spans="3:9" x14ac:dyDescent="0.35">
      <c r="C54" t="s">
        <v>31</v>
      </c>
      <c r="D54">
        <v>2030</v>
      </c>
      <c r="E54" t="s">
        <v>37</v>
      </c>
      <c r="F54" t="s">
        <v>52</v>
      </c>
      <c r="G54">
        <v>40.795662499999999</v>
      </c>
      <c r="H54">
        <v>-73.749075000000005</v>
      </c>
      <c r="I54">
        <v>3597.22635825</v>
      </c>
    </row>
    <row r="55" spans="3:9" x14ac:dyDescent="0.35">
      <c r="C55" t="s">
        <v>31</v>
      </c>
      <c r="D55">
        <v>2030</v>
      </c>
      <c r="E55" t="s">
        <v>37</v>
      </c>
      <c r="F55" t="s">
        <v>53</v>
      </c>
      <c r="G55">
        <v>40.419861679999997</v>
      </c>
      <c r="H55">
        <v>-105.0432271</v>
      </c>
      <c r="I55">
        <v>12060.195428000001</v>
      </c>
    </row>
    <row r="56" spans="3:9" x14ac:dyDescent="0.35">
      <c r="C56" t="s">
        <v>31</v>
      </c>
      <c r="D56">
        <v>2030</v>
      </c>
      <c r="E56" t="s">
        <v>37</v>
      </c>
      <c r="F56" t="s">
        <v>54</v>
      </c>
      <c r="G56">
        <v>40.223693619999999</v>
      </c>
      <c r="H56">
        <v>-76.229495740000004</v>
      </c>
      <c r="I56">
        <v>18675.129021749999</v>
      </c>
    </row>
    <row r="57" spans="3:9" x14ac:dyDescent="0.35">
      <c r="C57" t="s">
        <v>31</v>
      </c>
      <c r="D57">
        <v>2030</v>
      </c>
      <c r="E57" t="s">
        <v>37</v>
      </c>
      <c r="F57" t="s">
        <v>55</v>
      </c>
      <c r="G57">
        <v>39.628317430000003</v>
      </c>
      <c r="H57">
        <v>-82.005115140000001</v>
      </c>
      <c r="I57">
        <v>24392.305603000001</v>
      </c>
    </row>
    <row r="58" spans="3:9" x14ac:dyDescent="0.35">
      <c r="C58" t="s">
        <v>31</v>
      </c>
      <c r="D58">
        <v>2030</v>
      </c>
      <c r="E58" t="s">
        <v>37</v>
      </c>
      <c r="F58" t="s">
        <v>56</v>
      </c>
      <c r="G58">
        <v>39.137839149999998</v>
      </c>
      <c r="H58">
        <v>-89.055620000000005</v>
      </c>
      <c r="I58">
        <v>2895.5981347500001</v>
      </c>
    </row>
    <row r="59" spans="3:9" x14ac:dyDescent="0.35">
      <c r="C59" t="s">
        <v>31</v>
      </c>
      <c r="D59">
        <v>2030</v>
      </c>
      <c r="E59" t="s">
        <v>37</v>
      </c>
      <c r="F59" t="s">
        <v>57</v>
      </c>
      <c r="G59">
        <v>38.531783109999999</v>
      </c>
      <c r="H59">
        <v>-96.892483780000006</v>
      </c>
      <c r="I59">
        <v>2141.43579125</v>
      </c>
    </row>
    <row r="60" spans="3:9" x14ac:dyDescent="0.35">
      <c r="C60" t="s">
        <v>31</v>
      </c>
      <c r="D60">
        <v>2030</v>
      </c>
      <c r="E60" t="s">
        <v>37</v>
      </c>
      <c r="F60" t="s">
        <v>58</v>
      </c>
      <c r="G60">
        <v>38.363847919999998</v>
      </c>
      <c r="H60">
        <v>-121.3105083</v>
      </c>
      <c r="I60">
        <v>21471.502492750002</v>
      </c>
    </row>
    <row r="61" spans="3:9" x14ac:dyDescent="0.35">
      <c r="C61" t="s">
        <v>31</v>
      </c>
      <c r="D61">
        <v>2030</v>
      </c>
      <c r="E61" t="s">
        <v>37</v>
      </c>
      <c r="F61" t="s">
        <v>59</v>
      </c>
      <c r="G61">
        <v>37.547360660000002</v>
      </c>
      <c r="H61">
        <v>-77.704687699999994</v>
      </c>
      <c r="I61">
        <v>97838.261295999997</v>
      </c>
    </row>
    <row r="62" spans="3:9" x14ac:dyDescent="0.35">
      <c r="C62" t="s">
        <v>31</v>
      </c>
      <c r="D62">
        <v>2030</v>
      </c>
      <c r="E62" t="s">
        <v>37</v>
      </c>
      <c r="F62" t="s">
        <v>60</v>
      </c>
      <c r="G62">
        <v>36.370182210000003</v>
      </c>
      <c r="H62">
        <v>-85.854596090000001</v>
      </c>
      <c r="I62">
        <v>14706.501426749999</v>
      </c>
    </row>
    <row r="63" spans="3:9" x14ac:dyDescent="0.35">
      <c r="C63" t="s">
        <v>31</v>
      </c>
      <c r="D63">
        <v>2030</v>
      </c>
      <c r="E63" t="s">
        <v>37</v>
      </c>
      <c r="F63" t="s">
        <v>61</v>
      </c>
      <c r="G63">
        <v>35.070007140000001</v>
      </c>
      <c r="H63">
        <v>-118.0483929</v>
      </c>
      <c r="I63">
        <v>7030.3617169999998</v>
      </c>
    </row>
    <row r="64" spans="3:9" x14ac:dyDescent="0.35">
      <c r="C64" t="s">
        <v>31</v>
      </c>
      <c r="D64">
        <v>2030</v>
      </c>
      <c r="E64" t="s">
        <v>37</v>
      </c>
      <c r="F64" t="s">
        <v>62</v>
      </c>
      <c r="G64">
        <v>34.946099199999999</v>
      </c>
      <c r="H64">
        <v>-80.332142399999995</v>
      </c>
      <c r="I64">
        <v>14891.608185749999</v>
      </c>
    </row>
    <row r="65" spans="3:9" x14ac:dyDescent="0.35">
      <c r="C65" t="s">
        <v>31</v>
      </c>
      <c r="D65">
        <v>2030</v>
      </c>
      <c r="E65" t="s">
        <v>37</v>
      </c>
      <c r="F65" t="s">
        <v>63</v>
      </c>
      <c r="G65">
        <v>34.407657139999998</v>
      </c>
      <c r="H65">
        <v>-97.417557709999997</v>
      </c>
      <c r="I65">
        <v>5329.9697112499998</v>
      </c>
    </row>
    <row r="66" spans="3:9" x14ac:dyDescent="0.35">
      <c r="C66" t="s">
        <v>31</v>
      </c>
      <c r="D66">
        <v>2030</v>
      </c>
      <c r="E66" t="s">
        <v>37</v>
      </c>
      <c r="F66" t="s">
        <v>64</v>
      </c>
      <c r="G66">
        <v>34.169836170000004</v>
      </c>
      <c r="H66">
        <v>-107.8247234</v>
      </c>
      <c r="I66">
        <v>24521.020531499998</v>
      </c>
    </row>
    <row r="67" spans="3:9" x14ac:dyDescent="0.35">
      <c r="C67" t="s">
        <v>31</v>
      </c>
      <c r="D67">
        <v>2030</v>
      </c>
      <c r="E67" t="s">
        <v>37</v>
      </c>
      <c r="F67" t="s">
        <v>65</v>
      </c>
      <c r="G67">
        <v>32.841376609999998</v>
      </c>
      <c r="H67">
        <v>-92.087664329999996</v>
      </c>
      <c r="I67">
        <v>849.23051950000001</v>
      </c>
    </row>
    <row r="68" spans="3:9" x14ac:dyDescent="0.35">
      <c r="C68" t="s">
        <v>31</v>
      </c>
      <c r="D68">
        <v>2030</v>
      </c>
      <c r="E68" t="s">
        <v>37</v>
      </c>
      <c r="F68" t="s">
        <v>66</v>
      </c>
      <c r="G68">
        <v>32.533998199999999</v>
      </c>
      <c r="H68">
        <v>-85.39189245</v>
      </c>
      <c r="I68">
        <v>26084.16187</v>
      </c>
    </row>
    <row r="69" spans="3:9" x14ac:dyDescent="0.35">
      <c r="C69" t="s">
        <v>31</v>
      </c>
      <c r="D69">
        <v>2030</v>
      </c>
      <c r="E69" t="s">
        <v>37</v>
      </c>
      <c r="F69" t="s">
        <v>67</v>
      </c>
      <c r="G69">
        <v>31.116466500000001</v>
      </c>
      <c r="H69">
        <v>-98.410506499999997</v>
      </c>
      <c r="I69">
        <v>107229.10792575</v>
      </c>
    </row>
    <row r="70" spans="3:9" x14ac:dyDescent="0.35">
      <c r="C70" t="s">
        <v>31</v>
      </c>
      <c r="D70">
        <v>2030</v>
      </c>
      <c r="E70" t="s">
        <v>37</v>
      </c>
      <c r="F70" t="s">
        <v>68</v>
      </c>
      <c r="G70">
        <v>28.70831695</v>
      </c>
      <c r="H70">
        <v>-82.234216950000004</v>
      </c>
      <c r="I70">
        <v>4992.7895550000003</v>
      </c>
    </row>
    <row r="71" spans="3:9" x14ac:dyDescent="0.35">
      <c r="C71" t="s">
        <v>31</v>
      </c>
      <c r="D71">
        <v>2035</v>
      </c>
      <c r="E71" t="s">
        <v>37</v>
      </c>
      <c r="F71" t="s">
        <v>44</v>
      </c>
      <c r="G71">
        <v>46.230784960000001</v>
      </c>
      <c r="H71">
        <v>-117.1353519</v>
      </c>
      <c r="I71">
        <v>62739.695390011002</v>
      </c>
    </row>
    <row r="72" spans="3:9" x14ac:dyDescent="0.35">
      <c r="C72" t="s">
        <v>31</v>
      </c>
      <c r="D72">
        <v>2035</v>
      </c>
      <c r="E72" t="s">
        <v>37</v>
      </c>
      <c r="F72" t="s">
        <v>45</v>
      </c>
      <c r="G72">
        <v>44.216160670000001</v>
      </c>
      <c r="H72">
        <v>-92.060173219999996</v>
      </c>
      <c r="I72">
        <v>13951.394280222999</v>
      </c>
    </row>
    <row r="73" spans="3:9" x14ac:dyDescent="0.35">
      <c r="C73" t="s">
        <v>31</v>
      </c>
      <c r="D73">
        <v>2035</v>
      </c>
      <c r="E73" t="s">
        <v>37</v>
      </c>
      <c r="F73" t="s">
        <v>46</v>
      </c>
      <c r="G73">
        <v>43.892257200000003</v>
      </c>
      <c r="H73">
        <v>-98.937461729999995</v>
      </c>
      <c r="I73">
        <v>55385.961143136003</v>
      </c>
    </row>
    <row r="74" spans="3:9" x14ac:dyDescent="0.35">
      <c r="C74" t="s">
        <v>31</v>
      </c>
      <c r="D74">
        <v>2035</v>
      </c>
      <c r="E74" t="s">
        <v>37</v>
      </c>
      <c r="F74" t="s">
        <v>47</v>
      </c>
      <c r="G74">
        <v>43.659916129999999</v>
      </c>
      <c r="H74">
        <v>-84.577796770000006</v>
      </c>
      <c r="I74">
        <v>1304.824968225</v>
      </c>
    </row>
    <row r="75" spans="3:9" x14ac:dyDescent="0.35">
      <c r="C75" t="s">
        <v>31</v>
      </c>
      <c r="D75">
        <v>2035</v>
      </c>
      <c r="E75" t="s">
        <v>37</v>
      </c>
      <c r="F75" t="s">
        <v>48</v>
      </c>
      <c r="G75">
        <v>43.27527164</v>
      </c>
      <c r="H75">
        <v>-71.404255219999996</v>
      </c>
      <c r="I75">
        <v>8057.7890061750004</v>
      </c>
    </row>
    <row r="76" spans="3:9" x14ac:dyDescent="0.35">
      <c r="C76" t="s">
        <v>31</v>
      </c>
      <c r="D76">
        <v>2035</v>
      </c>
      <c r="E76" t="s">
        <v>37</v>
      </c>
      <c r="F76" t="s">
        <v>49</v>
      </c>
      <c r="G76">
        <v>42.781516359999998</v>
      </c>
      <c r="H76">
        <v>-75.700387269999993</v>
      </c>
      <c r="I76">
        <v>11737.354996124999</v>
      </c>
    </row>
    <row r="77" spans="3:9" x14ac:dyDescent="0.35">
      <c r="C77" t="s">
        <v>31</v>
      </c>
      <c r="D77">
        <v>2035</v>
      </c>
      <c r="E77" t="s">
        <v>37</v>
      </c>
      <c r="F77" t="s">
        <v>50</v>
      </c>
      <c r="G77">
        <v>41.581748279999999</v>
      </c>
      <c r="H77">
        <v>-89.046286210000005</v>
      </c>
      <c r="I77">
        <v>33322.776666644</v>
      </c>
    </row>
    <row r="78" spans="3:9" x14ac:dyDescent="0.35">
      <c r="C78" t="s">
        <v>31</v>
      </c>
      <c r="D78">
        <v>2035</v>
      </c>
      <c r="E78" t="s">
        <v>37</v>
      </c>
      <c r="F78" t="s">
        <v>51</v>
      </c>
      <c r="G78">
        <v>41.490666300000001</v>
      </c>
      <c r="H78">
        <v>-113.3992641</v>
      </c>
      <c r="I78">
        <v>21795.594244710999</v>
      </c>
    </row>
    <row r="79" spans="3:9" x14ac:dyDescent="0.35">
      <c r="C79" t="s">
        <v>31</v>
      </c>
      <c r="D79">
        <v>2035</v>
      </c>
      <c r="E79" t="s">
        <v>37</v>
      </c>
      <c r="F79" t="s">
        <v>52</v>
      </c>
      <c r="G79">
        <v>40.795662499999999</v>
      </c>
      <c r="H79">
        <v>-73.749075000000005</v>
      </c>
      <c r="I79">
        <v>4145.3322731999997</v>
      </c>
    </row>
    <row r="80" spans="3:9" x14ac:dyDescent="0.35">
      <c r="C80" t="s">
        <v>31</v>
      </c>
      <c r="D80">
        <v>2035</v>
      </c>
      <c r="E80" t="s">
        <v>37</v>
      </c>
      <c r="F80" t="s">
        <v>53</v>
      </c>
      <c r="G80">
        <v>40.419861679999997</v>
      </c>
      <c r="H80">
        <v>-105.0432271</v>
      </c>
      <c r="I80">
        <v>15483.410744166</v>
      </c>
    </row>
    <row r="81" spans="3:9" x14ac:dyDescent="0.35">
      <c r="C81" t="s">
        <v>31</v>
      </c>
      <c r="D81">
        <v>2035</v>
      </c>
      <c r="E81" t="s">
        <v>37</v>
      </c>
      <c r="F81" t="s">
        <v>54</v>
      </c>
      <c r="G81">
        <v>40.223693619999999</v>
      </c>
      <c r="H81">
        <v>-76.229495740000004</v>
      </c>
      <c r="I81">
        <v>21520.638998099999</v>
      </c>
    </row>
    <row r="82" spans="3:9" x14ac:dyDescent="0.35">
      <c r="C82" t="s">
        <v>31</v>
      </c>
      <c r="D82">
        <v>2035</v>
      </c>
      <c r="E82" t="s">
        <v>37</v>
      </c>
      <c r="F82" t="s">
        <v>55</v>
      </c>
      <c r="G82">
        <v>39.628317430000003</v>
      </c>
      <c r="H82">
        <v>-82.005115140000001</v>
      </c>
      <c r="I82">
        <v>28108.933907850002</v>
      </c>
    </row>
    <row r="83" spans="3:9" x14ac:dyDescent="0.35">
      <c r="C83" t="s">
        <v>31</v>
      </c>
      <c r="D83">
        <v>2035</v>
      </c>
      <c r="E83" t="s">
        <v>37</v>
      </c>
      <c r="F83" t="s">
        <v>56</v>
      </c>
      <c r="G83">
        <v>39.137839149999998</v>
      </c>
      <c r="H83">
        <v>-89.055620000000005</v>
      </c>
      <c r="I83">
        <v>4050.2753215120001</v>
      </c>
    </row>
    <row r="84" spans="3:9" x14ac:dyDescent="0.35">
      <c r="C84" t="s">
        <v>31</v>
      </c>
      <c r="D84">
        <v>2035</v>
      </c>
      <c r="E84" t="s">
        <v>37</v>
      </c>
      <c r="F84" t="s">
        <v>57</v>
      </c>
      <c r="G84">
        <v>38.531783109999999</v>
      </c>
      <c r="H84">
        <v>-96.892483780000006</v>
      </c>
      <c r="I84">
        <v>3004.8277287679998</v>
      </c>
    </row>
    <row r="85" spans="3:9" x14ac:dyDescent="0.35">
      <c r="C85" t="s">
        <v>31</v>
      </c>
      <c r="D85">
        <v>2035</v>
      </c>
      <c r="E85" t="s">
        <v>37</v>
      </c>
      <c r="F85" t="s">
        <v>58</v>
      </c>
      <c r="G85">
        <v>38.363847919999998</v>
      </c>
      <c r="H85">
        <v>-121.3105083</v>
      </c>
      <c r="I85">
        <v>24743.092898700001</v>
      </c>
    </row>
    <row r="86" spans="3:9" x14ac:dyDescent="0.35">
      <c r="C86" t="s">
        <v>31</v>
      </c>
      <c r="D86">
        <v>2035</v>
      </c>
      <c r="E86" t="s">
        <v>37</v>
      </c>
      <c r="F86" t="s">
        <v>59</v>
      </c>
      <c r="G86">
        <v>37.547360660000002</v>
      </c>
      <c r="H86">
        <v>-77.704687699999994</v>
      </c>
      <c r="I86">
        <v>112745.83785126101</v>
      </c>
    </row>
    <row r="87" spans="3:9" x14ac:dyDescent="0.35">
      <c r="C87" t="s">
        <v>31</v>
      </c>
      <c r="D87">
        <v>2035</v>
      </c>
      <c r="E87" t="s">
        <v>37</v>
      </c>
      <c r="F87" t="s">
        <v>60</v>
      </c>
      <c r="G87">
        <v>36.370182210000003</v>
      </c>
      <c r="H87">
        <v>-85.854596090000001</v>
      </c>
      <c r="I87">
        <v>16947.634184076</v>
      </c>
    </row>
    <row r="88" spans="3:9" x14ac:dyDescent="0.35">
      <c r="C88" t="s">
        <v>31</v>
      </c>
      <c r="D88">
        <v>2035</v>
      </c>
      <c r="E88" t="s">
        <v>37</v>
      </c>
      <c r="F88" t="s">
        <v>61</v>
      </c>
      <c r="G88">
        <v>35.070007140000001</v>
      </c>
      <c r="H88">
        <v>-118.0483929</v>
      </c>
      <c r="I88">
        <v>8101.5711698249997</v>
      </c>
    </row>
    <row r="89" spans="3:9" x14ac:dyDescent="0.35">
      <c r="C89" t="s">
        <v>31</v>
      </c>
      <c r="D89">
        <v>2035</v>
      </c>
      <c r="E89" t="s">
        <v>37</v>
      </c>
      <c r="F89" t="s">
        <v>62</v>
      </c>
      <c r="G89">
        <v>34.946099199999999</v>
      </c>
      <c r="H89">
        <v>-80.332142399999995</v>
      </c>
      <c r="I89">
        <v>17160.627035925001</v>
      </c>
    </row>
    <row r="90" spans="3:9" x14ac:dyDescent="0.35">
      <c r="C90" t="s">
        <v>31</v>
      </c>
      <c r="D90">
        <v>2035</v>
      </c>
      <c r="E90" t="s">
        <v>37</v>
      </c>
      <c r="F90" t="s">
        <v>63</v>
      </c>
      <c r="G90">
        <v>34.407657139999998</v>
      </c>
      <c r="H90">
        <v>-97.417557709999997</v>
      </c>
      <c r="I90">
        <v>12114.39725842</v>
      </c>
    </row>
    <row r="91" spans="3:9" x14ac:dyDescent="0.35">
      <c r="C91" t="s">
        <v>31</v>
      </c>
      <c r="D91">
        <v>2035</v>
      </c>
      <c r="E91" t="s">
        <v>37</v>
      </c>
      <c r="F91" t="s">
        <v>64</v>
      </c>
      <c r="G91">
        <v>34.169836170000004</v>
      </c>
      <c r="H91">
        <v>-107.8247234</v>
      </c>
      <c r="I91">
        <v>28261.933008026001</v>
      </c>
    </row>
    <row r="92" spans="3:9" x14ac:dyDescent="0.35">
      <c r="C92" t="s">
        <v>31</v>
      </c>
      <c r="D92">
        <v>2035</v>
      </c>
      <c r="E92" t="s">
        <v>37</v>
      </c>
      <c r="F92" t="s">
        <v>65</v>
      </c>
      <c r="G92">
        <v>32.841376609999998</v>
      </c>
      <c r="H92">
        <v>-92.087664329999996</v>
      </c>
      <c r="I92">
        <v>1134.0819161229999</v>
      </c>
    </row>
    <row r="93" spans="3:9" x14ac:dyDescent="0.35">
      <c r="C93" t="s">
        <v>31</v>
      </c>
      <c r="D93">
        <v>2035</v>
      </c>
      <c r="E93" t="s">
        <v>37</v>
      </c>
      <c r="F93" t="s">
        <v>66</v>
      </c>
      <c r="G93">
        <v>32.533998199999999</v>
      </c>
      <c r="H93">
        <v>-85.39189245</v>
      </c>
      <c r="I93">
        <v>30058.641954735998</v>
      </c>
    </row>
    <row r="94" spans="3:9" x14ac:dyDescent="0.35">
      <c r="C94" t="s">
        <v>31</v>
      </c>
      <c r="D94">
        <v>2035</v>
      </c>
      <c r="E94" t="s">
        <v>37</v>
      </c>
      <c r="F94" t="s">
        <v>67</v>
      </c>
      <c r="G94">
        <v>31.116466500000001</v>
      </c>
      <c r="H94">
        <v>-98.410506499999997</v>
      </c>
      <c r="I94">
        <v>150357.33283873199</v>
      </c>
    </row>
    <row r="95" spans="3:9" x14ac:dyDescent="0.35">
      <c r="C95" t="s">
        <v>31</v>
      </c>
      <c r="D95">
        <v>2035</v>
      </c>
      <c r="E95" t="s">
        <v>37</v>
      </c>
      <c r="F95" t="s">
        <v>68</v>
      </c>
      <c r="G95">
        <v>28.70831695</v>
      </c>
      <c r="H95">
        <v>-82.234216950000004</v>
      </c>
      <c r="I95">
        <v>5753.5357666500004</v>
      </c>
    </row>
    <row r="96" spans="3:9" x14ac:dyDescent="0.35">
      <c r="C96" t="s">
        <v>31</v>
      </c>
      <c r="D96">
        <v>2040</v>
      </c>
      <c r="E96" t="s">
        <v>37</v>
      </c>
      <c r="F96" t="s">
        <v>44</v>
      </c>
      <c r="G96">
        <v>46.230784960000001</v>
      </c>
      <c r="H96">
        <v>-117.1353519</v>
      </c>
      <c r="I96">
        <v>67986.787736179002</v>
      </c>
    </row>
    <row r="97" spans="3:9" x14ac:dyDescent="0.35">
      <c r="C97" t="s">
        <v>31</v>
      </c>
      <c r="D97">
        <v>2040</v>
      </c>
      <c r="E97" t="s">
        <v>37</v>
      </c>
      <c r="F97" t="s">
        <v>45</v>
      </c>
      <c r="G97">
        <v>44.216160670000001</v>
      </c>
      <c r="H97">
        <v>-92.060173219999996</v>
      </c>
      <c r="I97">
        <v>14550.435410620001</v>
      </c>
    </row>
    <row r="98" spans="3:9" x14ac:dyDescent="0.35">
      <c r="C98" t="s">
        <v>31</v>
      </c>
      <c r="D98">
        <v>2040</v>
      </c>
      <c r="E98" t="s">
        <v>37</v>
      </c>
      <c r="F98" t="s">
        <v>46</v>
      </c>
      <c r="G98">
        <v>43.892257200000003</v>
      </c>
      <c r="H98">
        <v>-98.937461729999995</v>
      </c>
      <c r="I98">
        <v>88270.731429909996</v>
      </c>
    </row>
    <row r="99" spans="3:9" x14ac:dyDescent="0.35">
      <c r="C99" t="s">
        <v>31</v>
      </c>
      <c r="D99">
        <v>2040</v>
      </c>
      <c r="E99" t="s">
        <v>37</v>
      </c>
      <c r="F99" t="s">
        <v>47</v>
      </c>
      <c r="G99">
        <v>43.659916129999999</v>
      </c>
      <c r="H99">
        <v>-84.577796770000006</v>
      </c>
      <c r="I99">
        <v>1305.742548422</v>
      </c>
    </row>
    <row r="100" spans="3:9" x14ac:dyDescent="0.35">
      <c r="C100" t="s">
        <v>31</v>
      </c>
      <c r="D100">
        <v>2040</v>
      </c>
      <c r="E100" t="s">
        <v>37</v>
      </c>
      <c r="F100" t="s">
        <v>48</v>
      </c>
      <c r="G100">
        <v>43.27527164</v>
      </c>
      <c r="H100">
        <v>-71.404255219999996</v>
      </c>
      <c r="I100">
        <v>8058.4379486730004</v>
      </c>
    </row>
    <row r="101" spans="3:9" x14ac:dyDescent="0.35">
      <c r="C101" t="s">
        <v>31</v>
      </c>
      <c r="D101">
        <v>2040</v>
      </c>
      <c r="E101" t="s">
        <v>37</v>
      </c>
      <c r="F101" t="s">
        <v>49</v>
      </c>
      <c r="G101">
        <v>42.781516359999998</v>
      </c>
      <c r="H101">
        <v>-75.700387269999993</v>
      </c>
      <c r="I101">
        <v>11738.301269918</v>
      </c>
    </row>
    <row r="102" spans="3:9" x14ac:dyDescent="0.35">
      <c r="C102" t="s">
        <v>31</v>
      </c>
      <c r="D102">
        <v>2040</v>
      </c>
      <c r="E102" t="s">
        <v>37</v>
      </c>
      <c r="F102" t="s">
        <v>50</v>
      </c>
      <c r="G102">
        <v>41.581748279999999</v>
      </c>
      <c r="H102">
        <v>-89.046286210000005</v>
      </c>
      <c r="I102">
        <v>35049.163455736001</v>
      </c>
    </row>
    <row r="103" spans="3:9" x14ac:dyDescent="0.35">
      <c r="C103" t="s">
        <v>31</v>
      </c>
      <c r="D103">
        <v>2040</v>
      </c>
      <c r="E103" t="s">
        <v>37</v>
      </c>
      <c r="F103" t="s">
        <v>51</v>
      </c>
      <c r="G103">
        <v>41.490666300000001</v>
      </c>
      <c r="H103">
        <v>-113.3992641</v>
      </c>
      <c r="I103">
        <v>23616.273172742</v>
      </c>
    </row>
    <row r="104" spans="3:9" x14ac:dyDescent="0.35">
      <c r="C104" t="s">
        <v>31</v>
      </c>
      <c r="D104">
        <v>2040</v>
      </c>
      <c r="E104" t="s">
        <v>37</v>
      </c>
      <c r="F104" t="s">
        <v>52</v>
      </c>
      <c r="G104">
        <v>40.795662499999999</v>
      </c>
      <c r="H104">
        <v>-73.749075000000005</v>
      </c>
      <c r="I104">
        <v>4146.182479866</v>
      </c>
    </row>
    <row r="105" spans="3:9" x14ac:dyDescent="0.35">
      <c r="C105" t="s">
        <v>31</v>
      </c>
      <c r="D105">
        <v>2040</v>
      </c>
      <c r="E105" t="s">
        <v>37</v>
      </c>
      <c r="F105" t="s">
        <v>53</v>
      </c>
      <c r="G105">
        <v>40.419861679999997</v>
      </c>
      <c r="H105">
        <v>-105.0432271</v>
      </c>
      <c r="I105">
        <v>16138.742611722</v>
      </c>
    </row>
    <row r="106" spans="3:9" x14ac:dyDescent="0.35">
      <c r="C106" t="s">
        <v>31</v>
      </c>
      <c r="D106">
        <v>2040</v>
      </c>
      <c r="E106" t="s">
        <v>37</v>
      </c>
      <c r="F106" t="s">
        <v>54</v>
      </c>
      <c r="G106">
        <v>40.223693619999999</v>
      </c>
      <c r="H106">
        <v>-76.229495740000004</v>
      </c>
      <c r="I106">
        <v>21522.374414612001</v>
      </c>
    </row>
    <row r="107" spans="3:9" x14ac:dyDescent="0.35">
      <c r="C107" t="s">
        <v>31</v>
      </c>
      <c r="D107">
        <v>2040</v>
      </c>
      <c r="E107" t="s">
        <v>37</v>
      </c>
      <c r="F107" t="s">
        <v>55</v>
      </c>
      <c r="G107">
        <v>39.628317430000003</v>
      </c>
      <c r="H107">
        <v>-82.005115140000001</v>
      </c>
      <c r="I107">
        <v>29368.021776138001</v>
      </c>
    </row>
    <row r="108" spans="3:9" x14ac:dyDescent="0.35">
      <c r="C108" t="s">
        <v>31</v>
      </c>
      <c r="D108">
        <v>2040</v>
      </c>
      <c r="E108" t="s">
        <v>37</v>
      </c>
      <c r="F108" t="s">
        <v>56</v>
      </c>
      <c r="G108">
        <v>39.137839149999998</v>
      </c>
      <c r="H108">
        <v>-89.055620000000005</v>
      </c>
      <c r="I108">
        <v>4237.9883581719996</v>
      </c>
    </row>
    <row r="109" spans="3:9" x14ac:dyDescent="0.35">
      <c r="C109" t="s">
        <v>31</v>
      </c>
      <c r="D109">
        <v>2040</v>
      </c>
      <c r="E109" t="s">
        <v>37</v>
      </c>
      <c r="F109" t="s">
        <v>57</v>
      </c>
      <c r="G109">
        <v>38.531783109999999</v>
      </c>
      <c r="H109">
        <v>-96.892483780000006</v>
      </c>
      <c r="I109">
        <v>3866.377606778</v>
      </c>
    </row>
    <row r="110" spans="3:9" x14ac:dyDescent="0.35">
      <c r="C110" t="s">
        <v>31</v>
      </c>
      <c r="D110">
        <v>2040</v>
      </c>
      <c r="E110" t="s">
        <v>37</v>
      </c>
      <c r="F110" t="s">
        <v>58</v>
      </c>
      <c r="G110">
        <v>38.363847919999998</v>
      </c>
      <c r="H110">
        <v>-121.3105083</v>
      </c>
      <c r="I110">
        <v>24745.087492546001</v>
      </c>
    </row>
    <row r="111" spans="3:9" x14ac:dyDescent="0.35">
      <c r="C111" t="s">
        <v>31</v>
      </c>
      <c r="D111">
        <v>2040</v>
      </c>
      <c r="E111" t="s">
        <v>37</v>
      </c>
      <c r="F111" t="s">
        <v>59</v>
      </c>
      <c r="G111">
        <v>37.547360660000002</v>
      </c>
      <c r="H111">
        <v>-77.704687699999994</v>
      </c>
      <c r="I111">
        <v>119296.859055083</v>
      </c>
    </row>
    <row r="112" spans="3:9" x14ac:dyDescent="0.35">
      <c r="C112" t="s">
        <v>31</v>
      </c>
      <c r="D112">
        <v>2040</v>
      </c>
      <c r="E112" t="s">
        <v>37</v>
      </c>
      <c r="F112" t="s">
        <v>60</v>
      </c>
      <c r="G112">
        <v>36.370182210000003</v>
      </c>
      <c r="H112">
        <v>-85.854596090000001</v>
      </c>
      <c r="I112">
        <v>18364.625991047</v>
      </c>
    </row>
    <row r="113" spans="3:9" x14ac:dyDescent="0.35">
      <c r="C113" t="s">
        <v>31</v>
      </c>
      <c r="D113">
        <v>2040</v>
      </c>
      <c r="E113" t="s">
        <v>37</v>
      </c>
      <c r="F113" t="s">
        <v>61</v>
      </c>
      <c r="G113">
        <v>35.070007140000001</v>
      </c>
      <c r="H113">
        <v>-118.0483929</v>
      </c>
      <c r="I113">
        <v>8102.2241613349997</v>
      </c>
    </row>
    <row r="114" spans="3:9" x14ac:dyDescent="0.35">
      <c r="C114" t="s">
        <v>31</v>
      </c>
      <c r="D114">
        <v>2040</v>
      </c>
      <c r="E114" t="s">
        <v>37</v>
      </c>
      <c r="F114" t="s">
        <v>62</v>
      </c>
      <c r="G114">
        <v>34.946099199999999</v>
      </c>
      <c r="H114">
        <v>-80.332142399999995</v>
      </c>
      <c r="I114">
        <v>18593.959112168999</v>
      </c>
    </row>
    <row r="115" spans="3:9" x14ac:dyDescent="0.35">
      <c r="C115" t="s">
        <v>31</v>
      </c>
      <c r="D115">
        <v>2040</v>
      </c>
      <c r="E115" t="s">
        <v>37</v>
      </c>
      <c r="F115" t="s">
        <v>63</v>
      </c>
      <c r="G115">
        <v>34.407657139999998</v>
      </c>
      <c r="H115">
        <v>-97.417557709999997</v>
      </c>
      <c r="I115">
        <v>18902.281020383001</v>
      </c>
    </row>
    <row r="116" spans="3:9" x14ac:dyDescent="0.35">
      <c r="C116" t="s">
        <v>31</v>
      </c>
      <c r="D116">
        <v>2040</v>
      </c>
      <c r="E116" t="s">
        <v>37</v>
      </c>
      <c r="F116" t="s">
        <v>64</v>
      </c>
      <c r="G116">
        <v>34.169836170000004</v>
      </c>
      <c r="H116">
        <v>-107.8247234</v>
      </c>
      <c r="I116">
        <v>30624.020980550002</v>
      </c>
    </row>
    <row r="117" spans="3:9" x14ac:dyDescent="0.35">
      <c r="C117" t="s">
        <v>31</v>
      </c>
      <c r="D117">
        <v>2040</v>
      </c>
      <c r="E117" t="s">
        <v>37</v>
      </c>
      <c r="F117" t="s">
        <v>65</v>
      </c>
      <c r="G117">
        <v>32.841376609999998</v>
      </c>
      <c r="H117">
        <v>-92.087664329999996</v>
      </c>
      <c r="I117">
        <v>1189.3635500109999</v>
      </c>
    </row>
    <row r="118" spans="3:9" x14ac:dyDescent="0.35">
      <c r="C118" t="s">
        <v>31</v>
      </c>
      <c r="D118">
        <v>2040</v>
      </c>
      <c r="E118" t="s">
        <v>37</v>
      </c>
      <c r="F118" t="s">
        <v>66</v>
      </c>
      <c r="G118">
        <v>32.533998199999999</v>
      </c>
      <c r="H118">
        <v>-85.39189245</v>
      </c>
      <c r="I118">
        <v>32568.935050598</v>
      </c>
    </row>
    <row r="119" spans="3:9" x14ac:dyDescent="0.35">
      <c r="C119" t="s">
        <v>31</v>
      </c>
      <c r="D119">
        <v>2040</v>
      </c>
      <c r="E119" t="s">
        <v>37</v>
      </c>
      <c r="F119" t="s">
        <v>67</v>
      </c>
      <c r="G119">
        <v>31.116466500000001</v>
      </c>
      <c r="H119">
        <v>-98.410506499999997</v>
      </c>
      <c r="I119">
        <v>167043.591645835</v>
      </c>
    </row>
    <row r="120" spans="3:9" x14ac:dyDescent="0.35">
      <c r="C120" t="s">
        <v>31</v>
      </c>
      <c r="D120">
        <v>2040</v>
      </c>
      <c r="E120" t="s">
        <v>37</v>
      </c>
      <c r="F120" t="s">
        <v>68</v>
      </c>
      <c r="G120">
        <v>28.70831695</v>
      </c>
      <c r="H120">
        <v>-82.234216950000004</v>
      </c>
      <c r="I120">
        <v>6232.9007293089999</v>
      </c>
    </row>
    <row r="121" spans="3:9" x14ac:dyDescent="0.35">
      <c r="C121" t="s">
        <v>31</v>
      </c>
      <c r="D121">
        <v>2045</v>
      </c>
      <c r="E121" t="s">
        <v>37</v>
      </c>
      <c r="F121" t="s">
        <v>44</v>
      </c>
      <c r="G121">
        <v>46.230784960000001</v>
      </c>
      <c r="H121">
        <v>-117.1353519</v>
      </c>
      <c r="I121">
        <v>73227.699856770996</v>
      </c>
    </row>
    <row r="122" spans="3:9" x14ac:dyDescent="0.35">
      <c r="C122" t="s">
        <v>31</v>
      </c>
      <c r="D122">
        <v>2045</v>
      </c>
      <c r="E122" t="s">
        <v>37</v>
      </c>
      <c r="F122" t="s">
        <v>45</v>
      </c>
      <c r="G122">
        <v>44.216160670000001</v>
      </c>
      <c r="H122">
        <v>-92.060173219999996</v>
      </c>
      <c r="I122">
        <v>15126.723767866</v>
      </c>
    </row>
    <row r="123" spans="3:9" x14ac:dyDescent="0.35">
      <c r="C123" t="s">
        <v>31</v>
      </c>
      <c r="D123">
        <v>2045</v>
      </c>
      <c r="E123" t="s">
        <v>37</v>
      </c>
      <c r="F123" t="s">
        <v>46</v>
      </c>
      <c r="G123">
        <v>43.892257200000003</v>
      </c>
      <c r="H123">
        <v>-98.937461729999995</v>
      </c>
      <c r="I123">
        <v>121158.11992072999</v>
      </c>
    </row>
    <row r="124" spans="3:9" x14ac:dyDescent="0.35">
      <c r="C124" t="s">
        <v>31</v>
      </c>
      <c r="D124">
        <v>2045</v>
      </c>
      <c r="E124" t="s">
        <v>37</v>
      </c>
      <c r="F124" t="s">
        <v>47</v>
      </c>
      <c r="G124">
        <v>43.659916129999999</v>
      </c>
      <c r="H124">
        <v>-84.577796770000006</v>
      </c>
      <c r="I124">
        <v>1456.672801743</v>
      </c>
    </row>
    <row r="125" spans="3:9" x14ac:dyDescent="0.35">
      <c r="C125" t="s">
        <v>31</v>
      </c>
      <c r="D125">
        <v>2045</v>
      </c>
      <c r="E125" t="s">
        <v>37</v>
      </c>
      <c r="F125" t="s">
        <v>48</v>
      </c>
      <c r="G125">
        <v>43.27527164</v>
      </c>
      <c r="H125">
        <v>-71.404255219999996</v>
      </c>
      <c r="I125">
        <v>8994.3742865999993</v>
      </c>
    </row>
    <row r="126" spans="3:9" x14ac:dyDescent="0.35">
      <c r="C126" t="s">
        <v>31</v>
      </c>
      <c r="D126">
        <v>2045</v>
      </c>
      <c r="E126" t="s">
        <v>37</v>
      </c>
      <c r="F126" t="s">
        <v>49</v>
      </c>
      <c r="G126">
        <v>42.781516359999998</v>
      </c>
      <c r="H126">
        <v>-75.700387269999993</v>
      </c>
      <c r="I126">
        <v>13101.630302600001</v>
      </c>
    </row>
    <row r="127" spans="3:9" x14ac:dyDescent="0.35">
      <c r="C127" t="s">
        <v>31</v>
      </c>
      <c r="D127">
        <v>2045</v>
      </c>
      <c r="E127" t="s">
        <v>37</v>
      </c>
      <c r="F127" t="s">
        <v>50</v>
      </c>
      <c r="G127">
        <v>41.581748279999999</v>
      </c>
      <c r="H127">
        <v>-89.046286210000005</v>
      </c>
      <c r="I127">
        <v>36775.671299234004</v>
      </c>
    </row>
    <row r="128" spans="3:9" x14ac:dyDescent="0.35">
      <c r="C128" t="s">
        <v>31</v>
      </c>
      <c r="D128">
        <v>2045</v>
      </c>
      <c r="E128" t="s">
        <v>37</v>
      </c>
      <c r="F128" t="s">
        <v>51</v>
      </c>
      <c r="G128">
        <v>41.490666300000001</v>
      </c>
      <c r="H128">
        <v>-113.3992641</v>
      </c>
      <c r="I128">
        <v>25439.736106765999</v>
      </c>
    </row>
    <row r="129" spans="3:9" x14ac:dyDescent="0.35">
      <c r="C129" t="s">
        <v>31</v>
      </c>
      <c r="D129">
        <v>2045</v>
      </c>
      <c r="E129" t="s">
        <v>37</v>
      </c>
      <c r="F129" t="s">
        <v>52</v>
      </c>
      <c r="G129">
        <v>40.795662499999999</v>
      </c>
      <c r="H129">
        <v>-73.749075000000005</v>
      </c>
      <c r="I129">
        <v>4627.1596811999998</v>
      </c>
    </row>
    <row r="130" spans="3:9" x14ac:dyDescent="0.35">
      <c r="C130" t="s">
        <v>31</v>
      </c>
      <c r="D130">
        <v>2045</v>
      </c>
      <c r="E130" t="s">
        <v>37</v>
      </c>
      <c r="F130" t="s">
        <v>53</v>
      </c>
      <c r="G130">
        <v>40.419861679999997</v>
      </c>
      <c r="H130">
        <v>-105.0432271</v>
      </c>
      <c r="I130">
        <v>16796.001452019002</v>
      </c>
    </row>
    <row r="131" spans="3:9" x14ac:dyDescent="0.35">
      <c r="C131" t="s">
        <v>31</v>
      </c>
      <c r="D131">
        <v>2045</v>
      </c>
      <c r="E131" t="s">
        <v>37</v>
      </c>
      <c r="F131" t="s">
        <v>54</v>
      </c>
      <c r="G131">
        <v>40.223693619999999</v>
      </c>
      <c r="H131">
        <v>-76.229495740000004</v>
      </c>
      <c r="I131">
        <v>24022.061679400002</v>
      </c>
    </row>
    <row r="132" spans="3:9" x14ac:dyDescent="0.35">
      <c r="C132" t="s">
        <v>31</v>
      </c>
      <c r="D132">
        <v>2045</v>
      </c>
      <c r="E132" t="s">
        <v>37</v>
      </c>
      <c r="F132" t="s">
        <v>55</v>
      </c>
      <c r="G132">
        <v>39.628317430000003</v>
      </c>
      <c r="H132">
        <v>-82.005115140000001</v>
      </c>
      <c r="I132">
        <v>31376.538373488998</v>
      </c>
    </row>
    <row r="133" spans="3:9" x14ac:dyDescent="0.35">
      <c r="C133" t="s">
        <v>31</v>
      </c>
      <c r="D133">
        <v>2045</v>
      </c>
      <c r="E133" t="s">
        <v>37</v>
      </c>
      <c r="F133" t="s">
        <v>56</v>
      </c>
      <c r="G133">
        <v>39.137839149999998</v>
      </c>
      <c r="H133">
        <v>-89.055620000000005</v>
      </c>
      <c r="I133">
        <v>4399.5122113850002</v>
      </c>
    </row>
    <row r="134" spans="3:9" x14ac:dyDescent="0.35">
      <c r="C134" t="s">
        <v>31</v>
      </c>
      <c r="D134">
        <v>2045</v>
      </c>
      <c r="E134" t="s">
        <v>37</v>
      </c>
      <c r="F134" t="s">
        <v>57</v>
      </c>
      <c r="G134">
        <v>38.531783109999999</v>
      </c>
      <c r="H134">
        <v>-96.892483780000006</v>
      </c>
      <c r="I134">
        <v>4736.2888411929998</v>
      </c>
    </row>
    <row r="135" spans="3:9" x14ac:dyDescent="0.35">
      <c r="C135" t="s">
        <v>31</v>
      </c>
      <c r="D135">
        <v>2045</v>
      </c>
      <c r="E135" t="s">
        <v>37</v>
      </c>
      <c r="F135" t="s">
        <v>58</v>
      </c>
      <c r="G135">
        <v>38.363847919999998</v>
      </c>
      <c r="H135">
        <v>-121.3105083</v>
      </c>
      <c r="I135">
        <v>27619.0728758</v>
      </c>
    </row>
    <row r="136" spans="3:9" x14ac:dyDescent="0.35">
      <c r="C136" t="s">
        <v>31</v>
      </c>
      <c r="D136">
        <v>2045</v>
      </c>
      <c r="E136" t="s">
        <v>37</v>
      </c>
      <c r="F136" t="s">
        <v>59</v>
      </c>
      <c r="G136">
        <v>37.547360660000002</v>
      </c>
      <c r="H136">
        <v>-77.704687699999994</v>
      </c>
      <c r="I136">
        <v>125850.843546346</v>
      </c>
    </row>
    <row r="137" spans="3:9" x14ac:dyDescent="0.35">
      <c r="C137" t="s">
        <v>31</v>
      </c>
      <c r="D137">
        <v>2045</v>
      </c>
      <c r="E137" t="s">
        <v>37</v>
      </c>
      <c r="F137" t="s">
        <v>60</v>
      </c>
      <c r="G137">
        <v>36.370182210000003</v>
      </c>
      <c r="H137">
        <v>-85.854596090000001</v>
      </c>
      <c r="I137">
        <v>19782.747653009999</v>
      </c>
    </row>
    <row r="138" spans="3:9" x14ac:dyDescent="0.35">
      <c r="C138" t="s">
        <v>31</v>
      </c>
      <c r="D138">
        <v>2045</v>
      </c>
      <c r="E138" t="s">
        <v>37</v>
      </c>
      <c r="F138" t="s">
        <v>61</v>
      </c>
      <c r="G138">
        <v>35.070007140000001</v>
      </c>
      <c r="H138">
        <v>-118.0483929</v>
      </c>
      <c r="I138">
        <v>9043.2462209999994</v>
      </c>
    </row>
    <row r="139" spans="3:9" x14ac:dyDescent="0.35">
      <c r="C139" t="s">
        <v>31</v>
      </c>
      <c r="D139">
        <v>2045</v>
      </c>
      <c r="E139" t="s">
        <v>37</v>
      </c>
      <c r="F139" t="s">
        <v>62</v>
      </c>
      <c r="G139">
        <v>34.946099199999999</v>
      </c>
      <c r="H139">
        <v>-80.332142399999995</v>
      </c>
      <c r="I139">
        <v>20029.709369217999</v>
      </c>
    </row>
    <row r="140" spans="3:9" x14ac:dyDescent="0.35">
      <c r="C140" t="s">
        <v>31</v>
      </c>
      <c r="D140">
        <v>2045</v>
      </c>
      <c r="E140" t="s">
        <v>37</v>
      </c>
      <c r="F140" t="s">
        <v>63</v>
      </c>
      <c r="G140">
        <v>34.407657139999998</v>
      </c>
      <c r="H140">
        <v>-97.417557709999997</v>
      </c>
      <c r="I140">
        <v>25719.442910497</v>
      </c>
    </row>
    <row r="141" spans="3:9" x14ac:dyDescent="0.35">
      <c r="C141" t="s">
        <v>31</v>
      </c>
      <c r="D141">
        <v>2045</v>
      </c>
      <c r="E141" t="s">
        <v>37</v>
      </c>
      <c r="F141" t="s">
        <v>64</v>
      </c>
      <c r="G141">
        <v>34.169836170000004</v>
      </c>
      <c r="H141">
        <v>-107.8247234</v>
      </c>
      <c r="I141">
        <v>32989.318044874999</v>
      </c>
    </row>
    <row r="142" spans="3:9" x14ac:dyDescent="0.35">
      <c r="C142" t="s">
        <v>31</v>
      </c>
      <c r="D142">
        <v>2045</v>
      </c>
      <c r="E142" t="s">
        <v>37</v>
      </c>
      <c r="F142" t="s">
        <v>65</v>
      </c>
      <c r="G142">
        <v>32.841376609999998</v>
      </c>
      <c r="H142">
        <v>-92.087664329999996</v>
      </c>
      <c r="I142">
        <v>1225.570886255</v>
      </c>
    </row>
    <row r="143" spans="3:9" x14ac:dyDescent="0.35">
      <c r="C143" t="s">
        <v>31</v>
      </c>
      <c r="D143">
        <v>2045</v>
      </c>
      <c r="E143" t="s">
        <v>37</v>
      </c>
      <c r="F143" t="s">
        <v>66</v>
      </c>
      <c r="G143">
        <v>32.533998199999999</v>
      </c>
      <c r="H143">
        <v>-85.39189245</v>
      </c>
      <c r="I143">
        <v>35084.049367138003</v>
      </c>
    </row>
    <row r="144" spans="3:9" x14ac:dyDescent="0.35">
      <c r="C144" t="s">
        <v>31</v>
      </c>
      <c r="D144">
        <v>2045</v>
      </c>
      <c r="E144" t="s">
        <v>37</v>
      </c>
      <c r="F144" t="s">
        <v>67</v>
      </c>
      <c r="G144">
        <v>31.116466500000001</v>
      </c>
      <c r="H144">
        <v>-98.410506499999997</v>
      </c>
      <c r="I144">
        <v>183754.16734726899</v>
      </c>
    </row>
    <row r="145" spans="3:9" x14ac:dyDescent="0.35">
      <c r="C145" t="s">
        <v>31</v>
      </c>
      <c r="D145">
        <v>2045</v>
      </c>
      <c r="E145" t="s">
        <v>37</v>
      </c>
      <c r="F145" t="s">
        <v>68</v>
      </c>
      <c r="G145">
        <v>28.70831695</v>
      </c>
      <c r="H145">
        <v>-82.234216950000004</v>
      </c>
      <c r="I145">
        <v>6714.9859911550002</v>
      </c>
    </row>
    <row r="146" spans="3:9" x14ac:dyDescent="0.35">
      <c r="C146" t="s">
        <v>31</v>
      </c>
      <c r="D146">
        <v>2050</v>
      </c>
      <c r="E146" t="s">
        <v>37</v>
      </c>
      <c r="F146" t="s">
        <v>44</v>
      </c>
      <c r="G146">
        <v>46.230784960000001</v>
      </c>
      <c r="H146">
        <v>-117.1353519</v>
      </c>
      <c r="I146">
        <v>78479.073111670994</v>
      </c>
    </row>
    <row r="147" spans="3:9" x14ac:dyDescent="0.35">
      <c r="C147" t="s">
        <v>31</v>
      </c>
      <c r="D147">
        <v>2050</v>
      </c>
      <c r="E147" t="s">
        <v>37</v>
      </c>
      <c r="F147" t="s">
        <v>45</v>
      </c>
      <c r="G147">
        <v>44.216160670000001</v>
      </c>
      <c r="H147">
        <v>-92.060173219999996</v>
      </c>
      <c r="I147">
        <v>15709.752216707</v>
      </c>
    </row>
    <row r="148" spans="3:9" x14ac:dyDescent="0.35">
      <c r="C148" t="s">
        <v>31</v>
      </c>
      <c r="D148">
        <v>2050</v>
      </c>
      <c r="E148" t="s">
        <v>37</v>
      </c>
      <c r="F148" t="s">
        <v>46</v>
      </c>
      <c r="G148">
        <v>43.892257200000003</v>
      </c>
      <c r="H148">
        <v>-98.937461729999995</v>
      </c>
      <c r="I148">
        <v>154052.70616401199</v>
      </c>
    </row>
    <row r="149" spans="3:9" x14ac:dyDescent="0.35">
      <c r="C149" t="s">
        <v>31</v>
      </c>
      <c r="D149">
        <v>2050</v>
      </c>
      <c r="E149" t="s">
        <v>37</v>
      </c>
      <c r="F149" t="s">
        <v>47</v>
      </c>
      <c r="G149">
        <v>43.659916129999999</v>
      </c>
      <c r="H149">
        <v>-84.577796770000006</v>
      </c>
      <c r="I149">
        <v>1632.246155029</v>
      </c>
    </row>
    <row r="150" spans="3:9" x14ac:dyDescent="0.35">
      <c r="C150" t="s">
        <v>31</v>
      </c>
      <c r="D150">
        <v>2050</v>
      </c>
      <c r="E150" t="s">
        <v>37</v>
      </c>
      <c r="F150" t="s">
        <v>48</v>
      </c>
      <c r="G150">
        <v>43.27527164</v>
      </c>
      <c r="H150">
        <v>-71.404255219999996</v>
      </c>
      <c r="I150">
        <v>10079.1709252</v>
      </c>
    </row>
    <row r="151" spans="3:9" x14ac:dyDescent="0.35">
      <c r="C151" t="s">
        <v>31</v>
      </c>
      <c r="D151">
        <v>2050</v>
      </c>
      <c r="E151" t="s">
        <v>37</v>
      </c>
      <c r="F151" t="s">
        <v>49</v>
      </c>
      <c r="G151">
        <v>42.781516359999998</v>
      </c>
      <c r="H151">
        <v>-75.700387269999993</v>
      </c>
      <c r="I151">
        <v>14681.7949764</v>
      </c>
    </row>
    <row r="152" spans="3:9" x14ac:dyDescent="0.35">
      <c r="C152" t="s">
        <v>31</v>
      </c>
      <c r="D152">
        <v>2050</v>
      </c>
      <c r="E152" t="s">
        <v>37</v>
      </c>
      <c r="F152" t="s">
        <v>50</v>
      </c>
      <c r="G152">
        <v>41.581748279999999</v>
      </c>
      <c r="H152">
        <v>-89.046286210000005</v>
      </c>
      <c r="I152">
        <v>38499.314659133997</v>
      </c>
    </row>
    <row r="153" spans="3:9" x14ac:dyDescent="0.35">
      <c r="C153" t="s">
        <v>31</v>
      </c>
      <c r="D153">
        <v>2050</v>
      </c>
      <c r="E153" t="s">
        <v>37</v>
      </c>
      <c r="F153" t="s">
        <v>51</v>
      </c>
      <c r="G153">
        <v>41.490666300000001</v>
      </c>
      <c r="H153">
        <v>-113.3992641</v>
      </c>
      <c r="I153">
        <v>27264.616598847999</v>
      </c>
    </row>
    <row r="154" spans="3:9" x14ac:dyDescent="0.35">
      <c r="C154" t="s">
        <v>31</v>
      </c>
      <c r="D154">
        <v>2050</v>
      </c>
      <c r="E154" t="s">
        <v>37</v>
      </c>
      <c r="F154" t="s">
        <v>52</v>
      </c>
      <c r="G154">
        <v>40.795662499999999</v>
      </c>
      <c r="H154">
        <v>-73.749075000000005</v>
      </c>
      <c r="I154">
        <v>5185.2333541999997</v>
      </c>
    </row>
    <row r="155" spans="3:9" x14ac:dyDescent="0.35">
      <c r="C155" t="s">
        <v>31</v>
      </c>
      <c r="D155">
        <v>2050</v>
      </c>
      <c r="E155" t="s">
        <v>37</v>
      </c>
      <c r="F155" t="s">
        <v>53</v>
      </c>
      <c r="G155">
        <v>40.419861679999997</v>
      </c>
      <c r="H155">
        <v>-105.0432271</v>
      </c>
      <c r="I155">
        <v>17451.194719448002</v>
      </c>
    </row>
    <row r="156" spans="3:9" x14ac:dyDescent="0.35">
      <c r="C156" t="s">
        <v>31</v>
      </c>
      <c r="D156">
        <v>2050</v>
      </c>
      <c r="E156" t="s">
        <v>37</v>
      </c>
      <c r="F156" t="s">
        <v>54</v>
      </c>
      <c r="G156">
        <v>40.223693619999999</v>
      </c>
      <c r="H156">
        <v>-76.229495740000004</v>
      </c>
      <c r="I156">
        <v>26919.411370229001</v>
      </c>
    </row>
    <row r="157" spans="3:9" x14ac:dyDescent="0.35">
      <c r="C157" t="s">
        <v>31</v>
      </c>
      <c r="D157">
        <v>2050</v>
      </c>
      <c r="E157" t="s">
        <v>37</v>
      </c>
      <c r="F157" t="s">
        <v>55</v>
      </c>
      <c r="G157">
        <v>39.628317430000003</v>
      </c>
      <c r="H157">
        <v>-82.005115140000001</v>
      </c>
      <c r="I157">
        <v>35160.807634042001</v>
      </c>
    </row>
    <row r="158" spans="3:9" x14ac:dyDescent="0.35">
      <c r="C158" t="s">
        <v>31</v>
      </c>
      <c r="D158">
        <v>2050</v>
      </c>
      <c r="E158" t="s">
        <v>37</v>
      </c>
      <c r="F158" t="s">
        <v>56</v>
      </c>
      <c r="G158">
        <v>39.137839149999998</v>
      </c>
      <c r="H158">
        <v>-89.055620000000005</v>
      </c>
      <c r="I158">
        <v>4575.8716115099996</v>
      </c>
    </row>
    <row r="159" spans="3:9" x14ac:dyDescent="0.35">
      <c r="C159" t="s">
        <v>31</v>
      </c>
      <c r="D159">
        <v>2050</v>
      </c>
      <c r="E159" t="s">
        <v>37</v>
      </c>
      <c r="F159" t="s">
        <v>57</v>
      </c>
      <c r="G159">
        <v>38.531783109999999</v>
      </c>
      <c r="H159">
        <v>-96.892483780000006</v>
      </c>
      <c r="I159">
        <v>5607.0589955900004</v>
      </c>
    </row>
    <row r="160" spans="3:9" x14ac:dyDescent="0.35">
      <c r="C160" t="s">
        <v>31</v>
      </c>
      <c r="D160">
        <v>2050</v>
      </c>
      <c r="E160" t="s">
        <v>37</v>
      </c>
      <c r="F160" t="s">
        <v>58</v>
      </c>
      <c r="G160">
        <v>38.363847919999998</v>
      </c>
      <c r="H160">
        <v>-121.3105083</v>
      </c>
      <c r="I160">
        <v>30950.160917599998</v>
      </c>
    </row>
    <row r="161" spans="3:9" x14ac:dyDescent="0.35">
      <c r="C161" t="s">
        <v>31</v>
      </c>
      <c r="D161">
        <v>2050</v>
      </c>
      <c r="E161" t="s">
        <v>37</v>
      </c>
      <c r="F161" t="s">
        <v>59</v>
      </c>
      <c r="G161">
        <v>37.547360660000002</v>
      </c>
      <c r="H161">
        <v>-77.704687699999994</v>
      </c>
      <c r="I161">
        <v>141029.69802844201</v>
      </c>
    </row>
    <row r="162" spans="3:9" x14ac:dyDescent="0.35">
      <c r="C162" t="s">
        <v>31</v>
      </c>
      <c r="D162">
        <v>2050</v>
      </c>
      <c r="E162" t="s">
        <v>37</v>
      </c>
      <c r="F162" t="s">
        <v>60</v>
      </c>
      <c r="G162">
        <v>36.370182210000003</v>
      </c>
      <c r="H162">
        <v>-85.854596090000001</v>
      </c>
      <c r="I162">
        <v>21202.417829845999</v>
      </c>
    </row>
    <row r="163" spans="3:9" x14ac:dyDescent="0.35">
      <c r="C163" t="s">
        <v>31</v>
      </c>
      <c r="D163">
        <v>2050</v>
      </c>
      <c r="E163" t="s">
        <v>37</v>
      </c>
      <c r="F163" t="s">
        <v>61</v>
      </c>
      <c r="G163">
        <v>35.070007140000001</v>
      </c>
      <c r="H163">
        <v>-118.0483929</v>
      </c>
      <c r="I163">
        <v>10133.9356338</v>
      </c>
    </row>
    <row r="164" spans="3:9" x14ac:dyDescent="0.35">
      <c r="C164" t="s">
        <v>31</v>
      </c>
      <c r="D164">
        <v>2050</v>
      </c>
      <c r="E164" t="s">
        <v>37</v>
      </c>
      <c r="F164" t="s">
        <v>62</v>
      </c>
      <c r="G164">
        <v>34.946099199999999</v>
      </c>
      <c r="H164">
        <v>-80.332142399999995</v>
      </c>
      <c r="I164">
        <v>21466.477524252001</v>
      </c>
    </row>
    <row r="165" spans="3:9" x14ac:dyDescent="0.35">
      <c r="C165" t="s">
        <v>31</v>
      </c>
      <c r="D165">
        <v>2050</v>
      </c>
      <c r="E165" t="s">
        <v>37</v>
      </c>
      <c r="F165" t="s">
        <v>63</v>
      </c>
      <c r="G165">
        <v>34.407657139999998</v>
      </c>
      <c r="H165">
        <v>-97.417557709999997</v>
      </c>
      <c r="I165">
        <v>32493.258313736002</v>
      </c>
    </row>
    <row r="166" spans="3:9" x14ac:dyDescent="0.35">
      <c r="C166" t="s">
        <v>31</v>
      </c>
      <c r="D166">
        <v>2050</v>
      </c>
      <c r="E166" t="s">
        <v>37</v>
      </c>
      <c r="F166" t="s">
        <v>64</v>
      </c>
      <c r="G166">
        <v>34.169836170000004</v>
      </c>
      <c r="H166">
        <v>-107.8247234</v>
      </c>
      <c r="I166">
        <v>35353.457972254</v>
      </c>
    </row>
    <row r="167" spans="3:9" x14ac:dyDescent="0.35">
      <c r="C167" t="s">
        <v>31</v>
      </c>
      <c r="D167">
        <v>2050</v>
      </c>
      <c r="E167" t="s">
        <v>37</v>
      </c>
      <c r="F167" t="s">
        <v>65</v>
      </c>
      <c r="G167">
        <v>32.841376609999998</v>
      </c>
      <c r="H167">
        <v>-92.087664329999996</v>
      </c>
      <c r="I167">
        <v>1272.036015873</v>
      </c>
    </row>
    <row r="168" spans="3:9" x14ac:dyDescent="0.35">
      <c r="C168" t="s">
        <v>31</v>
      </c>
      <c r="D168">
        <v>2050</v>
      </c>
      <c r="E168" t="s">
        <v>37</v>
      </c>
      <c r="F168" t="s">
        <v>66</v>
      </c>
      <c r="G168">
        <v>32.533998199999999</v>
      </c>
      <c r="H168">
        <v>-85.39189245</v>
      </c>
      <c r="I168">
        <v>37600.016589052</v>
      </c>
    </row>
    <row r="169" spans="3:9" x14ac:dyDescent="0.35">
      <c r="C169" t="s">
        <v>31</v>
      </c>
      <c r="D169">
        <v>2050</v>
      </c>
      <c r="E169" t="s">
        <v>37</v>
      </c>
      <c r="F169" t="s">
        <v>67</v>
      </c>
      <c r="G169">
        <v>31.116466500000001</v>
      </c>
      <c r="H169">
        <v>-98.410506499999997</v>
      </c>
      <c r="I169">
        <v>199897.34952277099</v>
      </c>
    </row>
    <row r="170" spans="3:9" x14ac:dyDescent="0.35">
      <c r="C170" t="s">
        <v>31</v>
      </c>
      <c r="D170">
        <v>2050</v>
      </c>
      <c r="E170" t="s">
        <v>37</v>
      </c>
      <c r="F170" t="s">
        <v>68</v>
      </c>
      <c r="G170">
        <v>28.70831695</v>
      </c>
      <c r="H170">
        <v>-82.234216950000004</v>
      </c>
      <c r="I170">
        <v>7197.4108308710001</v>
      </c>
    </row>
  </sheetData>
  <hyperlinks>
    <hyperlink ref="C2" r:id="rId1" xr:uid="{9B60BCE6-36B5-4D72-9EB7-A70249E61463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6C7AF-6089-471C-9D72-4369B72568F5}">
  <sheetPr>
    <tabColor rgb="FF002060"/>
  </sheetPr>
  <dimension ref="A1:AB2"/>
  <sheetViews>
    <sheetView workbookViewId="0">
      <selection activeCell="B6" sqref="B6"/>
    </sheetView>
  </sheetViews>
  <sheetFormatPr defaultRowHeight="14.5" x14ac:dyDescent="0.35"/>
  <cols>
    <col min="1" max="1" width="15.54296875" customWidth="1"/>
  </cols>
  <sheetData>
    <row r="1" spans="1:28" x14ac:dyDescent="0.35">
      <c r="A1" t="s">
        <v>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s="7" t="s">
        <v>1</v>
      </c>
      <c r="B2" s="9">
        <f>'Low_Mid_High Scenarios'!B3*10^6</f>
        <v>184000000</v>
      </c>
      <c r="C2" s="9">
        <f>'Low_Mid_High Scenarios'!C3*10^6</f>
        <v>218494303.99999994</v>
      </c>
      <c r="D2" s="9">
        <f>'Low_Mid_High Scenarios'!D3*10^6</f>
        <v>208453780</v>
      </c>
      <c r="E2" s="9">
        <f>'Low_Mid_High Scenarios'!E3*10^6</f>
        <v>217337539.99999994</v>
      </c>
      <c r="F2" s="9">
        <f>'Low_Mid_High Scenarios'!F3*10^6</f>
        <v>217772937.99999994</v>
      </c>
      <c r="G2" s="9">
        <f>'Low_Mid_High Scenarios'!G3*10^6</f>
        <v>230827259.99999997</v>
      </c>
      <c r="H2" s="9">
        <f>'Low_Mid_High Scenarios'!H3*10^6</f>
        <v>241001684.99999994</v>
      </c>
      <c r="I2" s="9">
        <f>'Low_Mid_High Scenarios'!I3*10^6</f>
        <v>250509241.99999991</v>
      </c>
      <c r="J2" s="9">
        <f>'Low_Mid_High Scenarios'!J3*10^6</f>
        <v>260438719</v>
      </c>
      <c r="K2" s="9">
        <f>'Low_Mid_High Scenarios'!K3*10^6</f>
        <v>271295247.99999994</v>
      </c>
      <c r="L2" s="9">
        <f>'Low_Mid_High Scenarios'!L3*10^6</f>
        <v>283656331.99999994</v>
      </c>
      <c r="M2" s="9">
        <f>'Low_Mid_High Scenarios'!M3*10^6</f>
        <v>297657044.00000006</v>
      </c>
      <c r="N2" s="9">
        <f>'Low_Mid_High Scenarios'!N3*10^6</f>
        <v>312982115.99999988</v>
      </c>
      <c r="O2" s="9">
        <f>'Low_Mid_High Scenarios'!O3*10^6</f>
        <v>329643267.99999994</v>
      </c>
      <c r="P2" s="9">
        <f>'Low_Mid_High Scenarios'!P3*10^6</f>
        <v>346088186.00000006</v>
      </c>
      <c r="Q2" s="9">
        <f>'Low_Mid_High Scenarios'!Q3*10^6</f>
        <v>363221654</v>
      </c>
      <c r="R2" s="9">
        <f>'Low_Mid_High Scenarios'!R3*10^6</f>
        <v>381048946</v>
      </c>
      <c r="S2" s="9">
        <f>'Low_Mid_High Scenarios'!S3*10^6</f>
        <v>399204398</v>
      </c>
      <c r="T2" s="9">
        <f>'Low_Mid_High Scenarios'!T3*10^6</f>
        <v>417320295</v>
      </c>
      <c r="U2" s="9">
        <f>'Low_Mid_High Scenarios'!U3*10^6</f>
        <v>435509441.99999994</v>
      </c>
      <c r="V2" s="9">
        <f>'Low_Mid_High Scenarios'!V3*10^6</f>
        <v>454248256.99999988</v>
      </c>
      <c r="W2" s="9">
        <f>'Low_Mid_High Scenarios'!W3*10^6</f>
        <v>472907082.99999994</v>
      </c>
      <c r="X2" s="9">
        <f>'Low_Mid_High Scenarios'!X3*10^6</f>
        <v>491539832</v>
      </c>
      <c r="Y2" s="9">
        <f>'Low_Mid_High Scenarios'!Y3*10^6</f>
        <v>510597431</v>
      </c>
      <c r="Z2" s="9">
        <f>'Low_Mid_High Scenarios'!Z3*10^6</f>
        <v>529934551.99999982</v>
      </c>
      <c r="AA2" s="9">
        <f>'Low_Mid_High Scenarios'!AA3*10^6</f>
        <v>549395905.00000012</v>
      </c>
      <c r="AB2" s="9">
        <f>'Low_Mid_High Scenarios'!AB3*10^6</f>
        <v>569410148.99999976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57CC6-6156-4D64-A44E-01D101893DEE}">
  <sheetPr>
    <tabColor rgb="FF002060"/>
  </sheetPr>
  <dimension ref="A1:AB2"/>
  <sheetViews>
    <sheetView workbookViewId="0">
      <selection activeCell="B2" sqref="B2"/>
    </sheetView>
  </sheetViews>
  <sheetFormatPr defaultRowHeight="14.5" x14ac:dyDescent="0.35"/>
  <cols>
    <col min="1" max="1" width="15.54296875" customWidth="1"/>
  </cols>
  <sheetData>
    <row r="1" spans="1:28" x14ac:dyDescent="0.35">
      <c r="A1" t="s">
        <v>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s="7" t="s">
        <v>1</v>
      </c>
      <c r="B2" s="9">
        <f>'Low_Mid_High Scenarios'!B4*10^6</f>
        <v>184000000</v>
      </c>
      <c r="C2" s="9">
        <f>'Low_Mid_High Scenarios'!C4*10^6</f>
        <v>235000000</v>
      </c>
      <c r="D2" s="9">
        <f>'Low_Mid_High Scenarios'!D4*10^6</f>
        <v>301000000</v>
      </c>
      <c r="E2" s="9">
        <f>'Low_Mid_High Scenarios'!E4*10^6</f>
        <v>380000000</v>
      </c>
      <c r="F2" s="9">
        <f>'Low_Mid_High Scenarios'!F4*10^6</f>
        <v>459000000</v>
      </c>
      <c r="G2" s="9">
        <f>'Low_Mid_High Scenarios'!G4*10^6</f>
        <v>529000000</v>
      </c>
      <c r="H2" s="9">
        <f>'Low_Mid_High Scenarios'!H4*10^6</f>
        <v>596000000</v>
      </c>
      <c r="I2" s="9">
        <f>'Low_Mid_High Scenarios'!I4*10^6</f>
        <v>629490573.01293266</v>
      </c>
      <c r="J2" s="9">
        <f>'Low_Mid_High Scenarios'!J4*10^6</f>
        <v>662981146.0258733</v>
      </c>
      <c r="K2" s="9">
        <f>'Low_Mid_High Scenarios'!K4*10^6</f>
        <v>696471719.03881395</v>
      </c>
      <c r="L2" s="9">
        <f>'Low_Mid_High Scenarios'!L4*10^6</f>
        <v>729962292.05175459</v>
      </c>
      <c r="M2" s="9">
        <f>'Low_Mid_High Scenarios'!M4*10^6</f>
        <v>763452865.06469512</v>
      </c>
      <c r="N2" s="9">
        <f>'Low_Mid_High Scenarios'!N4*10^6</f>
        <v>781740480.59150374</v>
      </c>
      <c r="O2" s="9">
        <f>'Low_Mid_High Scenarios'!O4*10^6</f>
        <v>800028096.11830449</v>
      </c>
      <c r="P2" s="9">
        <f>'Low_Mid_High Scenarios'!P4*10^6</f>
        <v>818315711.645105</v>
      </c>
      <c r="Q2" s="9">
        <f>'Low_Mid_High Scenarios'!Q4*10^6</f>
        <v>836603327.17190552</v>
      </c>
      <c r="R2" s="9">
        <f>'Low_Mid_High Scenarios'!R4*10^6</f>
        <v>854890942.69870615</v>
      </c>
      <c r="S2" s="9">
        <f>'Low_Mid_High Scenarios'!S4*10^6</f>
        <v>865246580.40665603</v>
      </c>
      <c r="T2" s="9">
        <f>'Low_Mid_High Scenarios'!T4*10^6</f>
        <v>875602218.11460173</v>
      </c>
      <c r="U2" s="9">
        <f>'Low_Mid_High Scenarios'!U4*10^6</f>
        <v>885957855.82255161</v>
      </c>
      <c r="V2" s="9">
        <f>'Low_Mid_High Scenarios'!V4*10^6</f>
        <v>896313493.53050148</v>
      </c>
      <c r="W2" s="9">
        <f>'Low_Mid_High Scenarios'!W4*10^6</f>
        <v>906669131.23844731</v>
      </c>
      <c r="X2" s="9">
        <f>'Low_Mid_High Scenarios'!X4*10^6</f>
        <v>917024768.94639719</v>
      </c>
      <c r="Y2" s="9">
        <f>'Low_Mid_High Scenarios'!Y4*10^6</f>
        <v>927380406.65434301</v>
      </c>
      <c r="Z2" s="9">
        <f>'Low_Mid_High Scenarios'!Z4*10^6</f>
        <v>937736044.36229277</v>
      </c>
      <c r="AA2" s="9">
        <f>'Low_Mid_High Scenarios'!AA4*10^6</f>
        <v>948091682.07024252</v>
      </c>
      <c r="AB2" s="9">
        <f>'Low_Mid_High Scenarios'!AB4*10^6</f>
        <v>958447319.77818847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2C6F-1FBE-4489-B976-BAC29E9763D4}">
  <sheetPr>
    <tabColor rgb="FF002060"/>
  </sheetPr>
  <dimension ref="A1:AB2"/>
  <sheetViews>
    <sheetView workbookViewId="0">
      <selection activeCell="B6" sqref="B6"/>
    </sheetView>
  </sheetViews>
  <sheetFormatPr defaultRowHeight="14.5" x14ac:dyDescent="0.35"/>
  <cols>
    <col min="1" max="1" width="15.54296875" customWidth="1"/>
  </cols>
  <sheetData>
    <row r="1" spans="1:28" x14ac:dyDescent="0.35">
      <c r="A1" t="s">
        <v>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s="7" t="s">
        <v>1</v>
      </c>
      <c r="B2" s="9">
        <f>'Low_Mid_High Scenarios'!B5*10^6</f>
        <v>184000000</v>
      </c>
      <c r="C2" s="9">
        <f>'Low_Mid_High Scenarios'!C5*10^6</f>
        <v>258000000</v>
      </c>
      <c r="D2" s="9">
        <f>'Low_Mid_High Scenarios'!D5*10^6</f>
        <v>348000000</v>
      </c>
      <c r="E2" s="9">
        <f>'Low_Mid_High Scenarios'!E5*10^6</f>
        <v>459000000</v>
      </c>
      <c r="F2" s="9">
        <f>'Low_Mid_High Scenarios'!F5*10^6</f>
        <v>578000000</v>
      </c>
      <c r="G2" s="9">
        <f>'Low_Mid_High Scenarios'!G5*10^6</f>
        <v>687000000</v>
      </c>
      <c r="H2" s="9">
        <f>'Low_Mid_High Scenarios'!H5*10^6</f>
        <v>794000000</v>
      </c>
      <c r="I2" s="9">
        <f>'Low_Mid_High Scenarios'!I5*10^6</f>
        <v>865880222.84122562</v>
      </c>
      <c r="J2" s="9">
        <f>'Low_Mid_High Scenarios'!J5*10^6</f>
        <v>937760445.68245137</v>
      </c>
      <c r="K2" s="9">
        <f>'Low_Mid_High Scenarios'!K5*10^6</f>
        <v>1009640668.523677</v>
      </c>
      <c r="L2" s="9">
        <f>'Low_Mid_High Scenarios'!L5*10^6</f>
        <v>1081520891.3649025</v>
      </c>
      <c r="M2" s="9">
        <f>'Low_Mid_High Scenarios'!M5*10^6</f>
        <v>1153401114.2061281</v>
      </c>
      <c r="N2" s="9">
        <f>'Low_Mid_High Scenarios'!N5*10^6</f>
        <v>1192990529.2478979</v>
      </c>
      <c r="O2" s="9">
        <f>'Low_Mid_High Scenarios'!O5*10^6</f>
        <v>1232579944.2896838</v>
      </c>
      <c r="P2" s="9">
        <f>'Low_Mid_High Scenarios'!P5*10^6</f>
        <v>1272169359.3314698</v>
      </c>
      <c r="Q2" s="9">
        <f>'Low_Mid_High Scenarios'!Q5*10^6</f>
        <v>1311758774.3732557</v>
      </c>
      <c r="R2" s="9">
        <f>'Low_Mid_High Scenarios'!R5*10^6</f>
        <v>1351348189.4150417</v>
      </c>
      <c r="S2" s="9">
        <f>'Low_Mid_High Scenarios'!S5*10^6</f>
        <v>1401885515.3203468</v>
      </c>
      <c r="T2" s="9">
        <f>'Low_Mid_High Scenarios'!T5*10^6</f>
        <v>1452422841.2256362</v>
      </c>
      <c r="U2" s="9">
        <f>'Low_Mid_High Scenarios'!U5*10^6</f>
        <v>1502960167.1309257</v>
      </c>
      <c r="V2" s="9">
        <f>'Low_Mid_High Scenarios'!V5*10^6</f>
        <v>1553497493.0362148</v>
      </c>
      <c r="W2" s="9">
        <f>'Low_Mid_High Scenarios'!W5*10^6</f>
        <v>1604034818.9415042</v>
      </c>
      <c r="X2" s="9">
        <f>'Low_Mid_High Scenarios'!X5*10^6</f>
        <v>1654572144.8468094</v>
      </c>
      <c r="Y2" s="9">
        <f>'Low_Mid_High Scenarios'!Y5*10^6</f>
        <v>1705109470.7520988</v>
      </c>
      <c r="Z2" s="9">
        <f>'Low_Mid_High Scenarios'!Z5*10^6</f>
        <v>1755646796.6573882</v>
      </c>
      <c r="AA2" s="9">
        <f>'Low_Mid_High Scenarios'!AA5*10^6</f>
        <v>1806184122.5626774</v>
      </c>
      <c r="AB2" s="9">
        <f>'Low_Mid_High Scenarios'!AB5*10^6</f>
        <v>1856721448.4679668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Low_Mid_High Scenarios</vt:lpstr>
      <vt:lpstr>EPRI</vt:lpstr>
      <vt:lpstr>AEO 2025 Table 5</vt:lpstr>
      <vt:lpstr>AEO 2023 Table 5</vt:lpstr>
      <vt:lpstr>AEO Data Center Load</vt:lpstr>
      <vt:lpstr>Evolved Energy ADP 2024</vt:lpstr>
      <vt:lpstr>BDCL-low</vt:lpstr>
      <vt:lpstr>BDCL-mid</vt:lpstr>
      <vt:lpstr>BDCL-high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Trevisan</dc:creator>
  <cp:lastModifiedBy>Megan Mahajan</cp:lastModifiedBy>
  <dcterms:created xsi:type="dcterms:W3CDTF">2015-06-05T18:17:20Z</dcterms:created>
  <dcterms:modified xsi:type="dcterms:W3CDTF">2026-02-26T17:03:46Z</dcterms:modified>
</cp:coreProperties>
</file>