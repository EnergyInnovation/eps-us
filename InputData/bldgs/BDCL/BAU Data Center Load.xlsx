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bldgs\BDCL\"/>
    </mc:Choice>
  </mc:AlternateContent>
  <xr:revisionPtr revIDLastSave="0" documentId="13_ncr:1_{EFA3CE46-BEC6-42CF-81F2-D24A7EEEED9D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About" sheetId="1" r:id="rId1"/>
    <sheet name="Low_Mid_High Scenarios" sheetId="10" r:id="rId2"/>
    <sheet name="EPRI" sheetId="31" r:id="rId3"/>
    <sheet name="IEA" sheetId="32" r:id="rId4"/>
    <sheet name="AEO 2026 Table 5" sheetId="33" r:id="rId5"/>
    <sheet name="Evolved Energy ADP 2024" sheetId="18" r:id="rId6"/>
    <sheet name="BDCL-low" sheetId="6" r:id="rId7"/>
    <sheet name="BDCL-mid" sheetId="2" r:id="rId8"/>
    <sheet name="BDCL-high" sheetId="7" r:id="rId9"/>
  </sheets>
  <externalReferences>
    <externalReference r:id="rId10"/>
  </externalReferences>
  <definedNames>
    <definedName name="Fraction_coal">[1]About!$C$53</definedName>
    <definedName name="gal_per_barrel">#REF!</definedName>
    <definedName name="Percent_rural">[1]About!$A$75</definedName>
    <definedName name="Percent_urban">[1]About!$A$74</definedName>
    <definedName name="quadrillion">[1]About!$B$77</definedName>
    <definedName name="Table4">#REF!</definedName>
    <definedName name="Table4_1">#REF!</definedName>
    <definedName name="Table4_1_22">#REF!</definedName>
    <definedName name="Table4_22">#REF!</definedName>
    <definedName name="Table4_A">#REF!</definedName>
    <definedName name="Table4_A_22">#REF!</definedName>
    <definedName name="Table5">#REF!</definedName>
    <definedName name="Table5_1">#REF!</definedName>
    <definedName name="Table5_1_22">#REF!</definedName>
    <definedName name="Table5_22">#REF!</definedName>
    <definedName name="Table5_A">#REF!</definedName>
    <definedName name="Table5_A_2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31" l="1"/>
  <c r="G25" i="31"/>
  <c r="G24" i="31"/>
  <c r="G23" i="31"/>
  <c r="G22" i="31"/>
  <c r="G19" i="31"/>
  <c r="G18" i="31"/>
  <c r="G17" i="31"/>
  <c r="G16" i="31"/>
  <c r="G15" i="31"/>
  <c r="G12" i="31"/>
  <c r="G11" i="31"/>
  <c r="G10" i="31"/>
  <c r="G9" i="31"/>
  <c r="G8" i="31"/>
  <c r="C5" i="10"/>
  <c r="D5" i="10" s="1" a="1"/>
  <c r="C4" i="10"/>
  <c r="D4" i="10" s="1" a="1"/>
  <c r="C3" i="10"/>
  <c r="D3" i="10" s="1" a="1"/>
  <c r="D3" i="10" s="1"/>
  <c r="D4" i="10" l="1"/>
  <c r="D6" i="10" s="1"/>
  <c r="F6" i="10"/>
  <c r="E6" i="10"/>
  <c r="H6" i="10"/>
  <c r="G6" i="10"/>
  <c r="D5" i="10"/>
  <c r="C6" i="10"/>
  <c r="I3" i="10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B3" i="10"/>
  <c r="D22" i="10"/>
  <c r="E22" i="10"/>
  <c r="F22" i="10"/>
  <c r="G22" i="10"/>
  <c r="D23" i="10"/>
  <c r="E23" i="10"/>
  <c r="F23" i="10"/>
  <c r="G23" i="10"/>
  <c r="C23" i="10"/>
  <c r="C31" i="10" s="1"/>
  <c r="C22" i="10"/>
  <c r="C27" i="10" s="1"/>
  <c r="H30" i="10"/>
  <c r="H31" i="10" s="1"/>
  <c r="H26" i="10"/>
  <c r="H27" i="10" s="1"/>
  <c r="C4" i="18"/>
  <c r="F31" i="10" l="1" a="1"/>
  <c r="F31" i="10" s="1"/>
  <c r="G31" i="10" a="1"/>
  <c r="G31" i="10" s="1"/>
  <c r="E31" i="10" a="1"/>
  <c r="E31" i="10" s="1"/>
  <c r="D31" i="10" a="1"/>
  <c r="D31" i="10" s="1"/>
  <c r="D27" i="10" a="1"/>
  <c r="D27" i="10" s="1"/>
  <c r="E27" i="10" a="1"/>
  <c r="E27" i="10" s="1"/>
  <c r="G27" i="10" a="1"/>
  <c r="G27" i="10" s="1"/>
  <c r="F27" i="10" a="1"/>
  <c r="F27" i="10" s="1"/>
  <c r="I26" i="10"/>
  <c r="I27" i="10" s="1" a="1"/>
  <c r="I27" i="10" s="1"/>
  <c r="I4" i="10" s="1"/>
  <c r="I30" i="10"/>
  <c r="I6" i="10" l="1"/>
  <c r="J26" i="10"/>
  <c r="I28" i="10"/>
  <c r="J30" i="10"/>
  <c r="I31" i="10" a="1"/>
  <c r="I31" i="10" s="1"/>
  <c r="I5" i="10" s="1"/>
  <c r="H28" i="10" l="1"/>
  <c r="G28" i="10" s="1"/>
  <c r="F28" i="10" s="1"/>
  <c r="E28" i="10" s="1"/>
  <c r="D28" i="10" s="1"/>
  <c r="J27" i="10" a="1"/>
  <c r="J27" i="10" s="1"/>
  <c r="K26" i="10"/>
  <c r="J31" i="10" a="1"/>
  <c r="J31" i="10" s="1"/>
  <c r="J5" i="10" s="1"/>
  <c r="K30" i="10"/>
  <c r="I32" i="10"/>
  <c r="H32" i="10" s="1"/>
  <c r="G32" i="10" s="1"/>
  <c r="F32" i="10" s="1"/>
  <c r="E32" i="10" s="1"/>
  <c r="D32" i="10" s="1"/>
  <c r="C32" i="10" s="1"/>
  <c r="J28" i="10" l="1"/>
  <c r="J4" i="10"/>
  <c r="K27" i="10" a="1"/>
  <c r="K27" i="10" s="1"/>
  <c r="K28" i="10" s="1"/>
  <c r="L26" i="10"/>
  <c r="J32" i="10"/>
  <c r="K31" i="10" a="1"/>
  <c r="K31" i="10" s="1"/>
  <c r="K5" i="10" s="1"/>
  <c r="L30" i="10"/>
  <c r="K4" i="10" l="1"/>
  <c r="J6" i="10"/>
  <c r="L27" i="10" a="1"/>
  <c r="L27" i="10" s="1"/>
  <c r="M26" i="10"/>
  <c r="K32" i="10"/>
  <c r="L31" i="10" a="1"/>
  <c r="L31" i="10" s="1"/>
  <c r="L5" i="10" s="1"/>
  <c r="M30" i="10"/>
  <c r="L4" i="10" l="1"/>
  <c r="K6" i="10"/>
  <c r="M31" i="10"/>
  <c r="M32" i="10" s="1"/>
  <c r="N30" i="10"/>
  <c r="M27" i="10"/>
  <c r="M28" i="10" s="1"/>
  <c r="N26" i="10"/>
  <c r="L28" i="10"/>
  <c r="L32" i="10"/>
  <c r="M4" i="10" l="1"/>
  <c r="L6" i="10"/>
  <c r="M5" i="10"/>
  <c r="O26" i="10"/>
  <c r="N27" i="10" a="1"/>
  <c r="N27" i="10" s="1"/>
  <c r="N28" i="10" s="1"/>
  <c r="O30" i="10"/>
  <c r="N31" i="10" a="1"/>
  <c r="N31" i="10" s="1"/>
  <c r="N32" i="10" s="1"/>
  <c r="B4" i="10"/>
  <c r="B5" i="10"/>
  <c r="N5" i="10" l="1"/>
  <c r="N4" i="10"/>
  <c r="M6" i="10"/>
  <c r="O27" i="10" a="1"/>
  <c r="O27" i="10" s="1"/>
  <c r="O28" i="10" s="1"/>
  <c r="P26" i="10"/>
  <c r="O31" i="10" a="1"/>
  <c r="O31" i="10" s="1"/>
  <c r="O32" i="10" s="1"/>
  <c r="P30" i="10"/>
  <c r="G4" i="18"/>
  <c r="F4" i="18"/>
  <c r="E4" i="18"/>
  <c r="D4" i="18"/>
  <c r="D3" i="18"/>
  <c r="O4" i="10" l="1"/>
  <c r="N6" i="10"/>
  <c r="O5" i="10"/>
  <c r="Q30" i="10"/>
  <c r="P31" i="10" a="1"/>
  <c r="P31" i="10" s="1"/>
  <c r="P32" i="10" s="1"/>
  <c r="Q26" i="10"/>
  <c r="P27" i="10" a="1"/>
  <c r="P27" i="10" s="1"/>
  <c r="P28" i="10" s="1"/>
  <c r="B2" i="7"/>
  <c r="Z2" i="6"/>
  <c r="G2" i="6"/>
  <c r="H2" i="6"/>
  <c r="I2" i="6"/>
  <c r="D2" i="6"/>
  <c r="P2" i="6"/>
  <c r="N2" i="6"/>
  <c r="L2" i="6"/>
  <c r="K2" i="6"/>
  <c r="V2" i="6"/>
  <c r="X2" i="6"/>
  <c r="U2" i="6"/>
  <c r="S2" i="6"/>
  <c r="T2" i="6"/>
  <c r="R2" i="6"/>
  <c r="Q2" i="6"/>
  <c r="M2" i="6"/>
  <c r="E2" i="6"/>
  <c r="AB2" i="6"/>
  <c r="F2" i="6"/>
  <c r="C2" i="10"/>
  <c r="J2" i="6"/>
  <c r="Y2" i="6"/>
  <c r="AA2" i="6"/>
  <c r="P5" i="10" l="1"/>
  <c r="P4" i="10"/>
  <c r="O6" i="10"/>
  <c r="R26" i="10"/>
  <c r="Q27" i="10" a="1"/>
  <c r="Q27" i="10" s="1"/>
  <c r="Q28" i="10" s="1"/>
  <c r="R30" i="10"/>
  <c r="Q31" i="10" a="1"/>
  <c r="Q31" i="10" s="1"/>
  <c r="Q32" i="10" s="1"/>
  <c r="B2" i="6"/>
  <c r="D2" i="10"/>
  <c r="C2" i="6"/>
  <c r="B2" i="2"/>
  <c r="O2" i="6"/>
  <c r="W2" i="6"/>
  <c r="Q4" i="10" l="1"/>
  <c r="P6" i="10"/>
  <c r="Q5" i="10"/>
  <c r="R31" i="10"/>
  <c r="R32" i="10" s="1"/>
  <c r="S30" i="10"/>
  <c r="R27" i="10"/>
  <c r="R28" i="10" s="1"/>
  <c r="S26" i="10"/>
  <c r="E2" i="10"/>
  <c r="C2" i="7"/>
  <c r="C2" i="2"/>
  <c r="R5" i="10" l="1"/>
  <c r="R4" i="10"/>
  <c r="Q6" i="10"/>
  <c r="S31" i="10" a="1"/>
  <c r="S31" i="10" s="1"/>
  <c r="S32" i="10" s="1"/>
  <c r="T30" i="10"/>
  <c r="T26" i="10"/>
  <c r="S27" i="10" a="1"/>
  <c r="S27" i="10" s="1"/>
  <c r="S28" i="10" s="1"/>
  <c r="E2" i="7"/>
  <c r="F2" i="10"/>
  <c r="D2" i="7"/>
  <c r="D2" i="2"/>
  <c r="S4" i="10" l="1"/>
  <c r="R6" i="10"/>
  <c r="S5" i="10"/>
  <c r="T27" i="10" a="1"/>
  <c r="T27" i="10" s="1"/>
  <c r="T28" i="10" s="1"/>
  <c r="U26" i="10"/>
  <c r="T31" i="10" a="1"/>
  <c r="T31" i="10" s="1"/>
  <c r="T32" i="10" s="1"/>
  <c r="U30" i="10"/>
  <c r="F2" i="7"/>
  <c r="G2" i="10"/>
  <c r="E2" i="2"/>
  <c r="T5" i="10" l="1"/>
  <c r="T4" i="10"/>
  <c r="S6" i="10"/>
  <c r="V30" i="10"/>
  <c r="U31" i="10" a="1"/>
  <c r="U31" i="10" s="1"/>
  <c r="U32" i="10" s="1"/>
  <c r="U27" i="10" a="1"/>
  <c r="U27" i="10" s="1"/>
  <c r="U28" i="10" s="1"/>
  <c r="V26" i="10"/>
  <c r="G2" i="7"/>
  <c r="F2" i="2"/>
  <c r="H2" i="10"/>
  <c r="U4" i="10" l="1"/>
  <c r="T6" i="10"/>
  <c r="U5" i="10"/>
  <c r="V27" i="10" a="1"/>
  <c r="V27" i="10" s="1"/>
  <c r="V28" i="10" s="1"/>
  <c r="W26" i="10"/>
  <c r="W30" i="10"/>
  <c r="V31" i="10" a="1"/>
  <c r="V31" i="10" s="1"/>
  <c r="V32" i="10" s="1"/>
  <c r="I2" i="10"/>
  <c r="G2" i="2"/>
  <c r="V5" i="10" l="1"/>
  <c r="V4" i="10"/>
  <c r="U6" i="10"/>
  <c r="H2" i="7"/>
  <c r="X30" i="10"/>
  <c r="W31" i="10" a="1"/>
  <c r="W31" i="10" s="1"/>
  <c r="W32" i="10" s="1"/>
  <c r="W27" i="10" a="1"/>
  <c r="W27" i="10" s="1"/>
  <c r="W28" i="10" s="1"/>
  <c r="X26" i="10"/>
  <c r="H2" i="2"/>
  <c r="J2" i="10"/>
  <c r="W4" i="10" l="1"/>
  <c r="V6" i="10"/>
  <c r="W5" i="10"/>
  <c r="X31" i="10" a="1"/>
  <c r="X31" i="10" s="1"/>
  <c r="X32" i="10" s="1"/>
  <c r="Y30" i="10"/>
  <c r="I2" i="7"/>
  <c r="X27" i="10" a="1"/>
  <c r="X27" i="10" s="1"/>
  <c r="X28" i="10" s="1"/>
  <c r="Y26" i="10"/>
  <c r="K2" i="10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I2" i="2"/>
  <c r="X5" i="10" l="1"/>
  <c r="X4" i="10"/>
  <c r="W6" i="10"/>
  <c r="Z26" i="10"/>
  <c r="Y27" i="10" a="1"/>
  <c r="Y27" i="10" s="1"/>
  <c r="Y28" i="10" s="1"/>
  <c r="J2" i="7"/>
  <c r="Y31" i="10" a="1"/>
  <c r="Y31" i="10" s="1"/>
  <c r="Y32" i="10" s="1"/>
  <c r="Z30" i="10"/>
  <c r="J2" i="2"/>
  <c r="Y4" i="10" l="1"/>
  <c r="X6" i="10"/>
  <c r="Y5" i="10"/>
  <c r="Z31" i="10" a="1"/>
  <c r="Z31" i="10" s="1"/>
  <c r="Z32" i="10" s="1"/>
  <c r="AA30" i="10"/>
  <c r="K2" i="7"/>
  <c r="AA26" i="10"/>
  <c r="Z27" i="10" a="1"/>
  <c r="Z27" i="10" s="1"/>
  <c r="Z28" i="10" s="1"/>
  <c r="K2" i="2"/>
  <c r="Z5" i="10" l="1"/>
  <c r="Z4" i="10"/>
  <c r="Y6" i="10"/>
  <c r="AA27" i="10" a="1"/>
  <c r="AA27" i="10" s="1"/>
  <c r="AA28" i="10" s="1"/>
  <c r="AB26" i="10"/>
  <c r="AB27" i="10" s="1"/>
  <c r="L2" i="7"/>
  <c r="AB30" i="10"/>
  <c r="AB31" i="10" s="1"/>
  <c r="AA31" i="10" a="1"/>
  <c r="AA31" i="10" s="1"/>
  <c r="AA32" i="10" s="1"/>
  <c r="L2" i="2"/>
  <c r="AA4" i="10" l="1"/>
  <c r="Z6" i="10"/>
  <c r="AA5" i="10"/>
  <c r="AB5" i="10" s="1"/>
  <c r="AB28" i="10"/>
  <c r="AB32" i="10"/>
  <c r="M2" i="7"/>
  <c r="M2" i="2"/>
  <c r="AB4" i="10" l="1"/>
  <c r="AB6" i="10" s="1"/>
  <c r="AA6" i="10"/>
  <c r="N2" i="7"/>
  <c r="N2" i="2"/>
  <c r="O2" i="7" l="1"/>
  <c r="O2" i="2"/>
  <c r="P2" i="7" l="1"/>
  <c r="P2" i="2"/>
  <c r="Q2" i="7" l="1"/>
  <c r="Q2" i="2"/>
  <c r="R2" i="7" l="1"/>
  <c r="R2" i="2"/>
  <c r="S2" i="7" l="1"/>
  <c r="S2" i="2"/>
  <c r="T2" i="7" l="1"/>
  <c r="T2" i="2"/>
  <c r="U2" i="7" l="1"/>
  <c r="U2" i="2"/>
  <c r="V2" i="7" l="1"/>
  <c r="V2" i="2"/>
  <c r="W2" i="7" l="1"/>
  <c r="W2" i="2"/>
  <c r="X2" i="7" l="1"/>
  <c r="X2" i="2"/>
  <c r="Y2" i="7" l="1"/>
  <c r="Y2" i="2"/>
  <c r="Z2" i="7" l="1"/>
  <c r="Z2" i="2"/>
  <c r="AB2" i="7" l="1"/>
  <c r="AA2" i="7"/>
  <c r="AA2" i="2"/>
  <c r="A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<sst xmlns="http://schemas.openxmlformats.org/spreadsheetml/2006/main" count="963" uniqueCount="337">
  <si>
    <t>Year</t>
  </si>
  <si>
    <t>electricity (MWh)</t>
  </si>
  <si>
    <t>Scenario</t>
  </si>
  <si>
    <t>Sources:</t>
  </si>
  <si>
    <t>Notes on Data Center Load in AEO</t>
  </si>
  <si>
    <t>BDCL BAU Data Center Load</t>
  </si>
  <si>
    <t>Source</t>
  </si>
  <si>
    <t>mid</t>
  </si>
  <si>
    <t>growth rate</t>
  </si>
  <si>
    <t>low</t>
  </si>
  <si>
    <t>high</t>
  </si>
  <si>
    <t>use mid case growth trajectory from Evolved Energy</t>
  </si>
  <si>
    <t>Growth Rate Estimates</t>
  </si>
  <si>
    <t>evolved energy mid</t>
  </si>
  <si>
    <t>evolved energy high</t>
  </si>
  <si>
    <t>ADP</t>
  </si>
  <si>
    <t>ADP high</t>
  </si>
  <si>
    <t>AEO</t>
  </si>
  <si>
    <t>Full Time Series</t>
  </si>
  <si>
    <t>Link</t>
  </si>
  <si>
    <t>Projections</t>
  </si>
  <si>
    <t>Total</t>
  </si>
  <si>
    <r>
      <t>2024 Annual Decarbonization Perspective (</t>
    </r>
    <r>
      <rPr>
        <b/>
        <sz val="14"/>
        <color rgb="FF606060"/>
        <rFont val="Arial"/>
        <family val="2"/>
      </rPr>
      <t>ADP 2024</t>
    </r>
    <r>
      <rPr>
        <sz val="14"/>
        <color rgb="FF606060"/>
        <rFont val="Arial"/>
        <family val="2"/>
      </rPr>
      <t>)</t>
    </r>
  </si>
  <si>
    <t xml:space="preserve">https://www.evolved.energy/us-adp-2024 </t>
  </si>
  <si>
    <t>Current Policy</t>
  </si>
  <si>
    <t>To||Outputs Group Aggregate (group)</t>
  </si>
  <si>
    <t>Hydrogen Electrolysis</t>
  </si>
  <si>
    <t>% of Total SUM([Value])/1e3 along To||Outputs Group Aggregate (group)</t>
  </si>
  <si>
    <t>SUM([Value])/1e3</t>
  </si>
  <si>
    <t>Industrial Boilers</t>
  </si>
  <si>
    <t>Data Centers</t>
  </si>
  <si>
    <t>Other End-Use Loads</t>
  </si>
  <si>
    <t>Run Name</t>
  </si>
  <si>
    <t>Zone</t>
  </si>
  <si>
    <t>Latitude</t>
  </si>
  <si>
    <t>Longitude</t>
  </si>
  <si>
    <t>Value</t>
  </si>
  <si>
    <t>northwest_emm</t>
  </si>
  <si>
    <t>upper mississippi valley_emm</t>
  </si>
  <si>
    <t>northern great plains_emm</t>
  </si>
  <si>
    <t>michigan_emm</t>
  </si>
  <si>
    <t>new england_emm</t>
  </si>
  <si>
    <t>upstate new york_emm</t>
  </si>
  <si>
    <t>metropolitan chicago_emm</t>
  </si>
  <si>
    <t>great basin_emm</t>
  </si>
  <si>
    <t>metropolitan new york_emm</t>
  </si>
  <si>
    <t>rockies_emm</t>
  </si>
  <si>
    <t>mid-atlantic_emm</t>
  </si>
  <si>
    <t>ohio valley_emm</t>
  </si>
  <si>
    <t>middle mississippi valley_emm</t>
  </si>
  <si>
    <t>central great plains_emm</t>
  </si>
  <si>
    <t>northern california_emm</t>
  </si>
  <si>
    <t>virginia_emm</t>
  </si>
  <si>
    <t>tennessee valley_emm</t>
  </si>
  <si>
    <t>southern california_emm</t>
  </si>
  <si>
    <t>carolinas_emm</t>
  </si>
  <si>
    <t>southern great plains_emm</t>
  </si>
  <si>
    <t>southwest_emm</t>
  </si>
  <si>
    <t>mississippi delta_emm</t>
  </si>
  <si>
    <t>southeast_emm</t>
  </si>
  <si>
    <t>texas_emm</t>
  </si>
  <si>
    <t>florida_emm</t>
  </si>
  <si>
    <t>Low Demand Scenario</t>
  </si>
  <si>
    <t>EIA</t>
  </si>
  <si>
    <t>https://www.eia.gov/outlooks/aeo/</t>
  </si>
  <si>
    <t>Table 5</t>
  </si>
  <si>
    <t>Evolved Energy Research</t>
  </si>
  <si>
    <t>2024 U.S. Annual Decarbonization Perspective</t>
  </si>
  <si>
    <t>https://www.evolved.energy/us-adp-2024</t>
  </si>
  <si>
    <t>Table 5.  Commercial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</si>
  <si>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</si>
  <si>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</si>
  <si>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</si>
  <si>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</si>
  <si>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</si>
  <si>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Total Floorspace (billion square feet)</t>
  </si>
  <si>
    <t>Surviving</t>
  </si>
  <si>
    <t>billion sq ft</t>
  </si>
  <si>
    <t>New Additions</t>
  </si>
  <si>
    <t>Energy Consumption Intensity</t>
  </si>
  <si>
    <t>(thousand Btu per square foot)</t>
  </si>
  <si>
    <t>Gross End-use Consumption</t>
  </si>
  <si>
    <t>thousand Btu/sq ft</t>
  </si>
  <si>
    <t>Delivered Energy Consumption</t>
  </si>
  <si>
    <t>Energy Consumption by Fuel</t>
  </si>
  <si>
    <t>Electricity</t>
  </si>
  <si>
    <t>Space Heating</t>
  </si>
  <si>
    <t>quads</t>
  </si>
  <si>
    <t>Water Heating</t>
  </si>
  <si>
    <t>Ventilation</t>
  </si>
  <si>
    <t>Cooking</t>
  </si>
  <si>
    <t>Lighting</t>
  </si>
  <si>
    <t>Refrigeration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</si>
  <si>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</si>
  <si>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</si>
  <si>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</si>
  <si>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</si>
  <si>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Commercial Location</t>
  </si>
  <si>
    <t>Natural Gas</t>
  </si>
  <si>
    <t>Space Cooling</t>
  </si>
  <si>
    <t>Delivered Energy</t>
  </si>
  <si>
    <t>Distillate Fuel Oil</t>
  </si>
  <si>
    <t>Marketed Renewables (biomass)</t>
  </si>
  <si>
    <t>Other Fuels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</si>
  <si>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</si>
  <si>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</si>
  <si>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</si>
  <si>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</si>
  <si>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</si>
  <si>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 Fuels</t>
  </si>
  <si>
    <t>Solar Thermal</t>
  </si>
  <si>
    <t>Solar Photovoltaic</t>
  </si>
  <si>
    <t>Wind</t>
  </si>
  <si>
    <t>Heating Degree Days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</si>
  <si>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</si>
  <si>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</si>
  <si>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</si>
  <si>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</si>
  <si>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</si>
  <si>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</si>
  <si>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</si>
  <si>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</si>
  <si>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</si>
  <si>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</si>
  <si>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</si>
  <si>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Cooling Degree Days</t>
  </si>
  <si>
    <t>CDD</t>
  </si>
  <si>
    <t>quad to TWh</t>
  </si>
  <si>
    <t>Color Code</t>
  </si>
  <si>
    <t>Extrapolated ADO Trajectories</t>
  </si>
  <si>
    <t>2030-2050 Demand for Mid and High Scenarios</t>
  </si>
  <si>
    <t>ADP mid growth rate</t>
  </si>
  <si>
    <t>State</t>
  </si>
  <si>
    <t>Nominal Capacity (GW)</t>
  </si>
  <si>
    <t>Peak Load (GW)</t>
  </si>
  <si>
    <t>Annual Energy (TWh)</t>
  </si>
  <si>
    <t>Historical</t>
  </si>
  <si>
    <t>US</t>
  </si>
  <si>
    <t>Low</t>
  </si>
  <si>
    <t>Medium</t>
  </si>
  <si>
    <t>High</t>
  </si>
  <si>
    <t>EPRI Historical</t>
  </si>
  <si>
    <t>EPRI Mid</t>
  </si>
  <si>
    <t>EPRI High</t>
  </si>
  <si>
    <t>ADP high growth rate</t>
  </si>
  <si>
    <t>Historic Demand, Projected Demand for mid and high scenarios</t>
  </si>
  <si>
    <t>EPRI</t>
  </si>
  <si>
    <t>Powering Intelligence 2026</t>
  </si>
  <si>
    <t>https://powering-intelligence.epri.com/</t>
  </si>
  <si>
    <t>U.S. National data download</t>
  </si>
  <si>
    <t>Projected Demand through 2030</t>
  </si>
  <si>
    <t>IEA</t>
  </si>
  <si>
    <t>Key Questions on Energy and AI</t>
  </si>
  <si>
    <t>https://www.iea.org/reports/key-questions-on-energy-and-ai</t>
  </si>
  <si>
    <t xml:space="preserve">Table A.4: Data centres electricity consumption by region </t>
  </si>
  <si>
    <t>IEA Historical</t>
  </si>
  <si>
    <t>TWh</t>
  </si>
  <si>
    <t>EPRI Low</t>
  </si>
  <si>
    <t>AEO.2026.ELECTRNP.KEI_NA_COMM_NA_NA_NA_USA_CDD.A</t>
  </si>
  <si>
    <t>Commercial: Cooling Degree Days: United States: Alternative Electricity and Transportation</t>
  </si>
  <si>
    <t>AEO.2026.ELECTRNP.KEI_NA_COMM_NA_NA_NA_PCF_CDD.A</t>
  </si>
  <si>
    <t>Commercial: Cooling Degree Days: Pacific: Alternative Electricity and Transportation</t>
  </si>
  <si>
    <t>AEO.2026.ELECTRNP.KEI_NA_COMM_NA_NA_NA_MTN_CDD.A</t>
  </si>
  <si>
    <t>Commercial: Cooling Degree Days: Mountain: Alternative Electricity and Transportation</t>
  </si>
  <si>
    <t>AEO.2026.ELECTRNP.KEI_NA_COMM_NA_NA_NA_WSC_CDD.A</t>
  </si>
  <si>
    <t>Commercial: Cooling Degree Days: West South Central: Alternative Electricity and Transportation</t>
  </si>
  <si>
    <t>AEO.2026.ELECTRNP.KEI_NA_COMM_NA_NA_NA_ESC_CDD.A</t>
  </si>
  <si>
    <t>Commercial: Cooling Degree Days: East South Central: Alternative Electricity and Transportation</t>
  </si>
  <si>
    <t>AEO.2026.ELECTRNP.KEI_NA_COMM_NA_NA_NA_SATL_CDD.A</t>
  </si>
  <si>
    <t>Commercial: Cooling Degree Days: South Atlantic: Alternative Electricity and Transportation</t>
  </si>
  <si>
    <t>AEO.2026.ELECTRNP.KEI_NA_COMM_NA_NA_NA_WNC_CDD.A</t>
  </si>
  <si>
    <t>Commercial: Cooling Degree Days: West North Central: Alternative Electricity and Transportation</t>
  </si>
  <si>
    <t>AEO.2026.ELECTRNP.KEI_NA_COMM_NA_NA_NA_ENC_CDD.A</t>
  </si>
  <si>
    <t>Commercial: Cooling Degree Days: East North Central: Alternative Electricity and Transportation</t>
  </si>
  <si>
    <t>AEO.2026.ELECTRNP.KEI_NA_COMM_NA_NA_NA_MATL_CDD.A</t>
  </si>
  <si>
    <t>Commercial: Cooling Degree Days: Middle Atlantic: Alternative Electricity and Transportation</t>
  </si>
  <si>
    <t>AEO.2026.ELECTRNP.KEI_NA_COMM_NA_NA_NA_NENGL_CDD.A</t>
  </si>
  <si>
    <t>Commercial: Cooling Degree Days: New England: Alternative Electricity and Transportation</t>
  </si>
  <si>
    <t>AEO.2026.ELECTRNP.KEI_NA_COMM_NA_NA_NA_USA_HDD.A</t>
  </si>
  <si>
    <t>Commercial: Heating Degree Days: United States: Alternative Electricity and Transportation</t>
  </si>
  <si>
    <t>AEO.2026.ELECTRNP.KEI_NA_COMM_NA_NA_NA_PCF_HDD.A</t>
  </si>
  <si>
    <t>Commercial: Heating Degree Days: Pacific: Alternative Electricity and Transportation</t>
  </si>
  <si>
    <t>AEO.2026.ELECTRNP.KEI_NA_COMM_NA_NA_NA_MTN_HDD.A</t>
  </si>
  <si>
    <t>Commercial: Heating Degree Days: Mountain: Alternative Electricity and Transportation</t>
  </si>
  <si>
    <t>AEO.2026.ELECTRNP.KEI_NA_COMM_NA_NA_NA_WSC_HDD.A</t>
  </si>
  <si>
    <t>Commercial: Heating Degree Days: West South Central: Alternative Electricity and Transportation</t>
  </si>
  <si>
    <t>AEO.2026.ELECTRNP.KEI_NA_COMM_NA_NA_NA_ESC_HDD.A</t>
  </si>
  <si>
    <t>Commercial: Heating Degree Days: East South Central: Alternative Electricity and Transportation</t>
  </si>
  <si>
    <t>AEO.2026.ELECTRNP.KEI_NA_COMM_NA_NA_NA_SATL_HDD.A</t>
  </si>
  <si>
    <t>Commercial: Heating Degree Days: South Atlantic: Alternative Electricity and Transportation</t>
  </si>
  <si>
    <t>AEO.2026.ELECTRNP.KEI_NA_COMM_NA_NA_NA_WNC_HDD.A</t>
  </si>
  <si>
    <t>Commercial: Heating Degree Days: West North Central: Alternative Electricity and Transportation</t>
  </si>
  <si>
    <t>AEO.2026.ELECTRNP.KEI_NA_COMM_NA_NA_NA_ENC_HDD.A</t>
  </si>
  <si>
    <t>Commercial: Heating Degree Days: East North Central: Alternative Electricity and Transportation</t>
  </si>
  <si>
    <t>AEO.2026.ELECTRNP.KEI_NA_COMM_NA_NA_NA_MATL_HDD.A</t>
  </si>
  <si>
    <t>Commercial: Heating Degree Days: Middle Atlantic: Alternative Electricity and Transportation</t>
  </si>
  <si>
    <t>AEO.2026.ELECTRNP.KEI_NA_COMM_NA_NA_NA_NENGL_HDD.A</t>
  </si>
  <si>
    <t>Commercial: Heating Degree Days: New England: Alternative Electricity and Transportation</t>
  </si>
  <si>
    <t>AEO.2026.ELECTRNP.CNSM_NA_COMM_NA_NRF_TOT_USA_QBTU.A</t>
  </si>
  <si>
    <t>Commercial: Nonmarketed Renewable Fuels: Total: Alternative Electricity and Transportation</t>
  </si>
  <si>
    <t>AEO.2026.ELECTRNP.CNSM_NA_COMM_NA_NRF_WND_USA_QBTU.A</t>
  </si>
  <si>
    <t>Commercial: Nonmarketed Renewable Fuels: Wind: Alternative Electricity and Transportation</t>
  </si>
  <si>
    <t>AEO.2026.ELECTRNP.CNSM_NA_COMM_NA_NRF_SOPH_USA_QBTU.A</t>
  </si>
  <si>
    <t>Commercial: Nonmarketed Renewable Fuels: Solar Photovoltaic: Alternative Electricity and Transportation</t>
  </si>
  <si>
    <t>AEO.2026.ELECTRNP.CNSM_NA_COMM_NA_NRF_SOTH_USA_QBTU.A</t>
  </si>
  <si>
    <t>Commercial: Nonmarketed Renewable Fuels: Solar Thermal: Alternative Electricity and Transportation</t>
  </si>
  <si>
    <t>AEO.2026.ELECTRNP.GEN_GFO_COMM_NA_TEE_TOT_USA_QBTU.A</t>
  </si>
  <si>
    <t>Commercial: Total Energy Use by End Use: Total Net Own-use Generation: Alternative Electricity and Transportation</t>
  </si>
  <si>
    <t>AEO.2026.ELECTRNP.GEN_GFO_COMM_NA_TEE_NA_USA_QBTU.A</t>
  </si>
  <si>
    <t>Commercial: Total Energy Use by End Use: Generation for Own Use: Alternative Electricity and Transportation</t>
  </si>
  <si>
    <t>Commercial: Total Energy Use by End Use: Purchased Electricity for EV Charging: Alternative Electricity and Transportation</t>
  </si>
  <si>
    <t>AEO.2026.ELECTRNP.CNSM_NA_COMM_NA_TEE_NA_USA_QBTU.A</t>
  </si>
  <si>
    <t>Commercial: Total Energy Use by End Use: Total Gross End-use Consumption: Alternative Electricity and Transportation</t>
  </si>
  <si>
    <t>AEO.2026.ELECTRNP.CNSM_NA_COMM_NA_TEE_OTHU_USA_QBTU.A</t>
  </si>
  <si>
    <t>Commercial: Total Energy Use by End Use: Other Uses: Alternative Electricity and Transportation</t>
  </si>
  <si>
    <t>AEO.2026.ELECTRNP.CNSM_NA_COMM_NA_TEE_OFEQP_USA_QBTU.A</t>
  </si>
  <si>
    <t>Commercial: Total Energy Use by End Use: Computers and Office Equipment: Alternative Electricity and Transportation</t>
  </si>
  <si>
    <t>Computers and office equipment</t>
  </si>
  <si>
    <t>AEO.2026.ELECTRNP.CNSM_NA_COMM_NA_TEE_DATACTRSERV_USA_QBTU.A</t>
  </si>
  <si>
    <t>Commercial: Total Energy Use by End Use: Data Center Servers: Alternative Electricity and Transportation</t>
  </si>
  <si>
    <t>Data Center Servers</t>
  </si>
  <si>
    <t>AEO.2026.ELECTRNP.CNSM_NA_COMM_NA_TEE_REFR_USA_QBTU.A</t>
  </si>
  <si>
    <t>Commercial: Total Energy Use by End Use: Refrigeration: Alternative Electricity and Transportation</t>
  </si>
  <si>
    <t>AEO.2026.ELECTRNP.CNSM_NA_COMM_NA_TEE_LGHTNG_USA_QBTU.A</t>
  </si>
  <si>
    <t>Commercial: Total Energy Use by End Use: Lighting: Alternative Electricity and Transportation</t>
  </si>
  <si>
    <t>AEO.2026.ELECTRNP.CNSM_NA_COMM_NA_TEE_CGR_USA_QBTU.A</t>
  </si>
  <si>
    <t>Commercial: Total Energy Use by End Use: Cooking: Alternative Electricity and Transportation</t>
  </si>
  <si>
    <t>AEO.2026.ELECTRNP.CNSM_NA_COMM_NA_TEE_VNTC_USA_QBTU.A</t>
  </si>
  <si>
    <t>Commercial: Total Energy Use by End Use: Ventilation: Alternative Electricity and Transportation</t>
  </si>
  <si>
    <t>AEO.2026.ELECTRNP.CNSM_NA_COMM_NA_TEE_WTHT_USA_QBTU.A</t>
  </si>
  <si>
    <t>Commercial: Total Energy Use by End Use: Water Heating: Alternative Electricity and Transportation</t>
  </si>
  <si>
    <t>AEO.2026.ELECTRNP.CNSM_NA_COMM_NA_TEE_SPC_USA_QBTU.A</t>
  </si>
  <si>
    <t>Commercial: Total Energy Use by End Use: Space Cooling: Alternative Electricity and Transportation</t>
  </si>
  <si>
    <t>AEO.2026.ELECTRNP.CNSM_NA_COMM_NA_TEE_SPH_USA_QBTU.A</t>
  </si>
  <si>
    <t>Commercial: Total Energy Use by End Use: Space Heating: Alternative Electricity and Transportation</t>
  </si>
  <si>
    <t>AEO.2026.ELECTRNP.CNSM_NA_COMM_NA_ERL_NA_USA_QBTU.A</t>
  </si>
  <si>
    <t>Commercial: Electricity Related Losses: Alternative Electricity and Transportation</t>
  </si>
  <si>
    <t>AEO.2026.ELECTRNP.CNSM_NA_COMM_NA_DEE_NA_USA_QBTU.A</t>
  </si>
  <si>
    <t>Commercial: Energy Consumption by End Use: Delivered Energy: Alternative Electricity and Transportation</t>
  </si>
  <si>
    <t>AEO.2026.ELECTRNP.GEN_NA_COMM_NA_DEE_GFO_USA_QBTU.A</t>
  </si>
  <si>
    <t>Commercial: Energy Consumption by End Use: Generation for Own Use: Alternative Electricity and Transportation</t>
  </si>
  <si>
    <t>AEO.2026.ELECTRNP.CNSM_NA_COMM_NA_DEE_EVCHA_USA_QBTU.A</t>
  </si>
  <si>
    <t>Commercial: Energy Consumption by End Use: Purchased Electricity for EV Charging: Alternative Electricity and Transportation</t>
  </si>
  <si>
    <t>Commercial: Delivered Energy Use by End Use: Gross End-use Consumption: Alternative Electricity and Transportation</t>
  </si>
  <si>
    <t>AEO.2026.ELECTRNP.CNSM_NA_COMM_NA_DEE_OTHU_USA_QBTU.A</t>
  </si>
  <si>
    <t>Commercial: Delivered Energy Use by End Use: Other Uses: Alternative Electricity and Transportation</t>
  </si>
  <si>
    <t>AEO.2026.ELECTRNP.CNSM_NA_COMM_NA_DEE_OFEQP_USA_QBTU.A</t>
  </si>
  <si>
    <t>Commercial: Delivered Energy Use by End Use: Computers and Office Equipment: Alternative Electricity and Transportation</t>
  </si>
  <si>
    <t>AEO.2026.ELECTRNP.CNSM_NA_COMM_NA_DEE_DATACTRSERV_USA_QBTU.A</t>
  </si>
  <si>
    <t>Commercial: Delivered Energy Use by End Use: Data Center Servers: Alternative Electricity and Transportation</t>
  </si>
  <si>
    <t>AEO.2026.ELECTRNP.CNSM_NA_COMM_NA_DEE_REFR_USA_QBTU.A</t>
  </si>
  <si>
    <t>Commercial: Delivered Energy Use by End Use: Refrigeration: Alternative Electricity and Transportation</t>
  </si>
  <si>
    <t>AEO.2026.ELECTRNP.CNSM_NA_COMM_NA_DEE_LGHTNG_USA_QBTU.A</t>
  </si>
  <si>
    <t>Commercial: Delivered Energy Use by End Use: Lighting: Alternative Electricity and Transportation</t>
  </si>
  <si>
    <t>AEO.2026.ELECTRNP.CNSM_NA_COMM_NA_DEE_CGR_USA_QBTU.A</t>
  </si>
  <si>
    <t>Commercial: Delivered Energy Use by End Use: Cooking: Alternative Electricity and Transportation</t>
  </si>
  <si>
    <t>AEO.2026.ELECTRNP.CNSM_NA_COMM_NA_DEE_VNTC_USA_QBTU.A</t>
  </si>
  <si>
    <t>Commercial: Delivered Energy Use by End Use: Ventilation: Alternative Electricity and Transportation</t>
  </si>
  <si>
    <t>AEO.2026.ELECTRNP.CNSM_NA_COMM_NA_DEE_WTHT_USA_QBTU.A</t>
  </si>
  <si>
    <t>Commercial: Delivered Energy Use by End Use: Water Heating: Alternative Electricity and Transportation</t>
  </si>
  <si>
    <t>AEO.2026.ELECTRNP.CNSM_NA_COMM_NA_DEE_SPC_USA_QBTU.A</t>
  </si>
  <si>
    <t>Commercial: Delivered Energy Use by End Use: Space Cooling: Alternative Electricity and Transportation</t>
  </si>
  <si>
    <t>AEO.2026.ELECTRNP.CNSM_NA_COMM_NA_DEE_SPH_USA_QBTU.A</t>
  </si>
  <si>
    <t>Commercial: Delivered Energy Use by End Use: Space Heating: Alternative Electricity and Transportation</t>
  </si>
  <si>
    <t>AEO.2026.ELECTRNP.CNSM_NA_COMM_NA_OFU_NA_USA_QBTU.A</t>
  </si>
  <si>
    <t>Commercial: Other Fuels: Alternative Electricity and Transportation</t>
  </si>
  <si>
    <t>AEO.2026.ELECTRNP.CNSM_NA_COMM_NA_BMS_NA_USA_QBTU.A</t>
  </si>
  <si>
    <t>Commercial: Marketed Renewables (biomass): Alternative Electricity and Transportation</t>
  </si>
  <si>
    <t>AEO.2026.ELECTRNP.CNSM_NA_COMM_NA_DFO_DELE_USA_QBTU.A</t>
  </si>
  <si>
    <t>Commercial: Distillate Fuel Oil: Delivered Energy: Alternative Electricity and Transportation</t>
  </si>
  <si>
    <t>AEO.2026.ELECTRNP.CNSM_NA_COMM_NA_DFO_OTHU_USA_QBTU.A</t>
  </si>
  <si>
    <t>Commercial: Distillate Fuel Oil: Other Uses: Alternative Electricity and Transportation</t>
  </si>
  <si>
    <t>AEO.2026.ELECTRNP.CNSM_NA_COMM_NA_DFO_WTHT_USA_QBTU.A</t>
  </si>
  <si>
    <t>Commercial: Distillate Fuel Oil: Water Heating: Alternative Electricity and Transportation</t>
  </si>
  <si>
    <t>AEO.2026.ELECTRNP.CNSM_NA_COMM_NA_DFO_SPH_USA_QBTU.A</t>
  </si>
  <si>
    <t>Commercial: Distillate Fuel Oil: Space Heating: Alternative Electricity and Transportation</t>
  </si>
  <si>
    <t>AEO.2026.ELECTRNP.CNSM_NA_COMM_NA_NG_DELE_USA_QBTU.A</t>
  </si>
  <si>
    <t>Commercial: Natural Gas: Delivered Energy: Alternative Electricity and Transportation</t>
  </si>
  <si>
    <t>AEO.2026.ELECTRNP.CNSM_NA_COMM_NA_NG_OTHU_USA_QBTU.A</t>
  </si>
  <si>
    <t>Commercial: Natural Gas: Other Uses: Alternative Electricity and Transportation</t>
  </si>
  <si>
    <t>AEO.2026.ELECTRNP.CNSM_NA_COMM_NA_NG_CGR_USA_QBTU.A</t>
  </si>
  <si>
    <t>Commercial: Natural Gas: Cooking: Alternative Electricity and Transportation</t>
  </si>
  <si>
    <t>AEO.2026.ELECTRNP.CNSM_NA_COMM_NA_NG_WTHT_USA_QBTU.A</t>
  </si>
  <si>
    <t>Commercial: Natural Gas: Water Heating: Alternative Electricity and Transportation</t>
  </si>
  <si>
    <t>AEO.2026.ELECTRNP.CNSM_NA_COMM_NA_NG_SPC_USA_QBTU.A</t>
  </si>
  <si>
    <t>Commercial: Natural Gas: Space Cooling: Alternative Electricity and Transportation</t>
  </si>
  <si>
    <t>AEO.2026.ELECTRNP.CNSM_NA_COMM_NA_NG_SPH_USA_QBTU.A</t>
  </si>
  <si>
    <t>Commercial: Natural Gas: Space Heating: Alternative Electricity and Transportation</t>
  </si>
  <si>
    <t>AEO.2026.ELECTRNP.CNSM_NA_COMM_NA_DELE_ELC_USA_QBTU.A</t>
  </si>
  <si>
    <t>Commercial: Energy Consumption by Fuel: Purchased Electricity: Alternative Electricity and Transportation</t>
  </si>
  <si>
    <t>AEO.2026.ELECTRNP.GEN_NA_COMM_NA_GFO_ELC_USA_QBTU.A</t>
  </si>
  <si>
    <t>Commercial: Energy Consumption by Fuel: Generation for Own Use: Alternative Electricity and Transportation</t>
  </si>
  <si>
    <t>AEO.2026.ELECTRNP.GEN_NA_COMM_NA_PRC_EVCHA_USA_QBTU.A</t>
  </si>
  <si>
    <t>Commercial: Energy Consumption by Fuel: Purchased Electricity for EV Charging: Alternative Electricity and Transportation</t>
  </si>
  <si>
    <t>AEO.2026.ELECTRNP.CNSM_NA_COMM_NA_PRC_DELE_USA_QBTU.A</t>
  </si>
  <si>
    <t>Commercial: Energy Consumption by Fuel: Electricity Subtotal: Alternative Electricity and Transportation</t>
  </si>
  <si>
    <t>AEO.2026.ELECTRNP.CNSM_NA_COMM_NA_PRC_OTHU_USA_QBTU.A</t>
  </si>
  <si>
    <t>Commercial: Purchased Electricity: Other Uses: Alternative Electricity and Transportation</t>
  </si>
  <si>
    <t>AEO.2026.ELECTRNP.CNSM_NA_COMM_NA_PRC_OTHEQP_USA_QBTU.A</t>
  </si>
  <si>
    <t>Commercial: Purchased Electricity: Computers and Office Equipment: Alternative Electricity and Transportation</t>
  </si>
  <si>
    <t>AEO.2026.ELECTRNP.CNSM_NA_COMM_NA_PRC_DATACTRSERV_USA_QBTU.A</t>
  </si>
  <si>
    <t>Commercial: Purchased Electricity: Data Center Servers: Alternative Electricity and Transportation</t>
  </si>
  <si>
    <t>AEO.2026.ELECTRNP.CNSM_NA_COMM_NA_PRC_REFR_USA_QBTU.A</t>
  </si>
  <si>
    <t>Commercial: Purchased Electricity: Refrigeration: Alternative Electricity and Transportation</t>
  </si>
  <si>
    <t>AEO.2026.ELECTRNP.CNSM_NA_COMM_NA_PRC_LGHTNG_USA_QBTU.A</t>
  </si>
  <si>
    <t>Commercial: Purchased Electricity: Lighting: Alternative Electricity and Transportation</t>
  </si>
  <si>
    <t>AEO.2026.ELECTRNP.CNSM_NA_COMM_NA_PRC_CGR_USA_QBTU.A</t>
  </si>
  <si>
    <t>Commercial: Purchased Electricity: Cooking: Alternative Electricity and Transportation</t>
  </si>
  <si>
    <t>AEO.2026.ELECTRNP.CNSM_NA_COMM_NA_PRC_VNTC_USA_QBTU.A</t>
  </si>
  <si>
    <t>Commercial: Purchased Electricity: Ventilation: Alternative Electricity and Transportation</t>
  </si>
  <si>
    <t>AEO.2026.ELECTRNP.CNSM_NA_COMM_NA_PRC_WTHT_USA_QBTU.A</t>
  </si>
  <si>
    <t>Commercial: Purchased Electricity: Water Heating: Alternative Electricity and Transportation</t>
  </si>
  <si>
    <t>AEO.2026.ELECTRNP.CNSM_NA_COMM_NA_PRC_SPC_USA_QBTU.A</t>
  </si>
  <si>
    <t>Commercial: Purchased Electricity: Space Cooling: Alternative Electricity and Transportation</t>
  </si>
  <si>
    <t>AEO.2026.ELECTRNP.CNSM_NA_COMM_NA_PRC_SPH_USA_QBTU.A</t>
  </si>
  <si>
    <t>Commercial: Purchased Electricity: Space Heating: Alternative Electricity and Transportation</t>
  </si>
  <si>
    <t>AEO.2026.ELECTRNP.INY_NA_COMM_NA_EUI_ERL_USA_THBTUPSQFT.A</t>
  </si>
  <si>
    <t>Commercial: Energy Use Intensity: Delivered Energy Consumption: Alternative Electricity and Transportation</t>
  </si>
  <si>
    <t>AEO.2026.ELECTRNP.INY_NA_COMM_NA_EUI_DLENCONS_USA_THBTUPSQFT.A</t>
  </si>
  <si>
    <t>Commercial: Energy Use Intensity: Gross End-use Consumption: Alternative Electricity and Transportation</t>
  </si>
  <si>
    <t>AEO.2026.ELECTRNP.KEI_NA_COMM_NA_TFP_TOT_USA_BLNSQFT.A</t>
  </si>
  <si>
    <t>Commercial: Total Floorspace: Total: Alternative Electricity and Transportation</t>
  </si>
  <si>
    <t>AEO.2026.ELECTRNP.KEI_NA_COMM_NA_TFP_NADN_USA_BLNSQFT.A</t>
  </si>
  <si>
    <t>Commercial: Total Floorspace: New Additions: Alternative Electricity and Transportation</t>
  </si>
  <si>
    <t>AEO.2026.ELECTRNP.KEI_NA_COMM_NA_TFP_SURV_USA_BLNSQFT.A</t>
  </si>
  <si>
    <t>Commercial: Total Floorspace: Surviving: Alternative Electricity and Transportation</t>
  </si>
  <si>
    <t>Growth (2025-2050)</t>
  </si>
  <si>
    <t>Wed May 13 2026 10:18:16 GMT-0400 (Eastern Daylight Time)</t>
  </si>
  <si>
    <t>https://www.eia.gov/outlooks/aeo/data/browser/#/?id=5-AEO2026&amp;cases=electrnp&amp;sourcekey=0</t>
  </si>
  <si>
    <t>AEO 2026 breaks out data center server demand explicitly, but leaves associated cooling and</t>
  </si>
  <si>
    <t>ventilation baked into other commercial building end uses. We use the data center server</t>
  </si>
  <si>
    <t xml:space="preserve">We use EPRI forecasts through 2030 for our low-, medium-, and high-demand projections. </t>
  </si>
  <si>
    <t>After 2030, we use AEO for the low scenario, and Evolved Energy's Annual Decarbonization</t>
  </si>
  <si>
    <t xml:space="preserve">Perspective mid- and high-growth scenarios for the EPS equivalents. </t>
  </si>
  <si>
    <t xml:space="preserve">demand alone for the "low" scenario forecasting in EPS. </t>
  </si>
  <si>
    <t>Annual Energy Outlook 2026</t>
  </si>
  <si>
    <t>mid share of AEO 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</si>
</sst>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606060"/>
      <name val="Arial"/>
      <family val="2"/>
    </font>
    <font>
      <sz val="14"/>
      <color rgb="FF60606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DF6C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1">
      <alignment wrapText="1"/>
    </xf>
    <xf numFmtId="0" fontId="3" fillId="0" borderId="2">
      <alignment wrapText="1"/>
    </xf>
    <xf numFmtId="0" fontId="4" fillId="0" borderId="3">
      <alignment wrapText="1"/>
    </xf>
    <xf numFmtId="0" fontId="3" fillId="0" borderId="4">
      <alignment wrapText="1"/>
    </xf>
    <xf numFmtId="0" fontId="5" fillId="0" borderId="0" applyNumberFormat="0" applyFill="0" applyBorder="0" applyAlignment="0" applyProtection="0"/>
    <xf numFmtId="0" fontId="10" fillId="0" borderId="0"/>
  </cellStyleXfs>
  <cellXfs count="44">
    <xf numFmtId="0" fontId="0" fillId="0" borderId="0" xfId="0"/>
    <xf numFmtId="2" fontId="0" fillId="0" borderId="0" xfId="1" applyNumberFormat="1" applyFont="1"/>
    <xf numFmtId="0" fontId="5" fillId="0" borderId="0" xfId="7"/>
    <xf numFmtId="1" fontId="0" fillId="0" borderId="0" xfId="0" applyNumberFormat="1"/>
    <xf numFmtId="0" fontId="2" fillId="0" borderId="0" xfId="0" applyFont="1"/>
    <xf numFmtId="0" fontId="2" fillId="4" borderId="0" xfId="0" applyFont="1" applyFill="1"/>
    <xf numFmtId="0" fontId="0" fillId="0" borderId="0" xfId="0" applyAlignment="1">
      <alignment horizontal="left"/>
    </xf>
    <xf numFmtId="0" fontId="6" fillId="0" borderId="0" xfId="0" applyFont="1"/>
    <xf numFmtId="9" fontId="0" fillId="0" borderId="0" xfId="1" applyFont="1"/>
    <xf numFmtId="11" fontId="6" fillId="0" borderId="0" xfId="0" applyNumberFormat="1" applyFont="1"/>
    <xf numFmtId="0" fontId="0" fillId="3" borderId="0" xfId="0" applyFill="1"/>
    <xf numFmtId="0" fontId="0" fillId="0" borderId="5" xfId="0" applyBorder="1"/>
    <xf numFmtId="0" fontId="0" fillId="5" borderId="0" xfId="0" applyFill="1"/>
    <xf numFmtId="0" fontId="2" fillId="0" borderId="0" xfId="0" applyFont="1" applyAlignment="1">
      <alignment horizontal="left" indent="1"/>
    </xf>
    <xf numFmtId="0" fontId="0" fillId="0" borderId="0" xfId="0" applyAlignment="1">
      <alignment wrapText="1"/>
    </xf>
    <xf numFmtId="164" fontId="0" fillId="0" borderId="0" xfId="1" applyNumberFormat="1" applyFont="1"/>
    <xf numFmtId="0" fontId="0" fillId="7" borderId="0" xfId="0" applyFill="1"/>
    <xf numFmtId="9" fontId="0" fillId="0" borderId="0" xfId="0" applyNumberFormat="1"/>
    <xf numFmtId="0" fontId="2" fillId="8" borderId="0" xfId="0" applyFont="1" applyFill="1"/>
    <xf numFmtId="3" fontId="0" fillId="0" borderId="0" xfId="0" applyNumberFormat="1"/>
    <xf numFmtId="10" fontId="0" fillId="0" borderId="0" xfId="0" applyNumberFormat="1"/>
    <xf numFmtId="10" fontId="0" fillId="5" borderId="0" xfId="0" applyNumberFormat="1" applyFill="1"/>
    <xf numFmtId="1" fontId="0" fillId="9" borderId="5" xfId="0" applyNumberFormat="1" applyFill="1" applyBorder="1"/>
    <xf numFmtId="0" fontId="0" fillId="9" borderId="0" xfId="0" applyFill="1"/>
    <xf numFmtId="1" fontId="0" fillId="2" borderId="5" xfId="0" applyNumberFormat="1" applyFill="1" applyBorder="1"/>
    <xf numFmtId="0" fontId="0" fillId="2" borderId="0" xfId="0" applyFill="1"/>
    <xf numFmtId="0" fontId="0" fillId="6" borderId="0" xfId="0" applyFill="1"/>
    <xf numFmtId="9" fontId="7" fillId="0" borderId="0" xfId="0" applyNumberFormat="1" applyFont="1"/>
    <xf numFmtId="0" fontId="10" fillId="0" borderId="0" xfId="8"/>
    <xf numFmtId="0" fontId="11" fillId="0" borderId="0" xfId="8" applyFont="1"/>
    <xf numFmtId="0" fontId="0" fillId="10" borderId="0" xfId="0" applyFill="1"/>
    <xf numFmtId="1" fontId="0" fillId="6" borderId="5" xfId="0" applyNumberFormat="1" applyFill="1" applyBorder="1"/>
    <xf numFmtId="1" fontId="0" fillId="10" borderId="5" xfId="0" applyNumberFormat="1" applyFill="1" applyBorder="1"/>
    <xf numFmtId="0" fontId="0" fillId="11" borderId="0" xfId="0" applyFill="1"/>
    <xf numFmtId="1" fontId="0" fillId="11" borderId="5" xfId="0" applyNumberFormat="1" applyFill="1" applyBorder="1"/>
    <xf numFmtId="1" fontId="0" fillId="8" borderId="5" xfId="0" applyNumberFormat="1" applyFill="1" applyBorder="1"/>
    <xf numFmtId="1" fontId="0" fillId="12" borderId="5" xfId="0" applyNumberFormat="1" applyFill="1" applyBorder="1"/>
    <xf numFmtId="1" fontId="0" fillId="13" borderId="5" xfId="0" applyNumberFormat="1" applyFill="1" applyBorder="1"/>
    <xf numFmtId="0" fontId="0" fillId="8" borderId="5" xfId="0" applyFill="1" applyBorder="1"/>
    <xf numFmtId="0" fontId="0" fillId="8" borderId="0" xfId="0" applyFill="1"/>
    <xf numFmtId="0" fontId="0" fillId="12" borderId="0" xfId="0" applyFill="1"/>
    <xf numFmtId="0" fontId="0" fillId="13" borderId="0" xfId="0" applyFill="1"/>
    <xf numFmtId="9" fontId="7" fillId="0" borderId="0" xfId="1" applyFont="1"/>
    <xf numFmtId="0" fontId="0" fillId="0" borderId="0" xfId="0" applyFill="1" applyBorder="1"/>
  </cellXfs>
  <cellStyles count="9">
    <cellStyle name="Body: normal cell 2 2" xfId="4" xr:uid="{8826D916-A56A-49C8-BC7B-1C7173429BE0}"/>
    <cellStyle name="Footnotes: top row 2 2" xfId="6" xr:uid="{47E9C91E-6EC7-41DA-8AA7-D903CF4BC43A}"/>
    <cellStyle name="Header: bottom row 2 2" xfId="3" xr:uid="{392BA950-59C6-4B9B-9EFE-CDA5D326A746}"/>
    <cellStyle name="Hyperlink" xfId="7" builtinId="8"/>
    <cellStyle name="Normal" xfId="0" builtinId="0"/>
    <cellStyle name="Normal 2" xfId="2" xr:uid="{8234889B-6E37-4A53-8A9B-E869E279CD06}"/>
    <cellStyle name="Normal 3" xfId="8" xr:uid="{DC34A715-970A-4690-AD00-A76DAA6B5E26}"/>
    <cellStyle name="Parent row 2 2" xfId="5" xr:uid="{EDFA25B6-E8BA-45F4-8914-989DAA4F9F94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Data</a:t>
            </a:r>
            <a:r>
              <a:rPr lang="en-US" baseline="0"/>
              <a:t> Center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'Low_Mid_High Scenarios'!$A$3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Scenarios'!$B$3:$AB$3</c:f>
              <c:numCache>
                <c:formatCode>0</c:formatCode>
                <c:ptCount val="27"/>
                <c:pt idx="0">
                  <c:v>184</c:v>
                </c:pt>
                <c:pt idx="1">
                  <c:v>224</c:v>
                </c:pt>
                <c:pt idx="2" formatCode="General">
                  <c:v>263</c:v>
                </c:pt>
                <c:pt idx="3">
                  <c:v>308</c:v>
                </c:pt>
                <c:pt idx="4">
                  <c:v>345</c:v>
                </c:pt>
                <c:pt idx="5">
                  <c:v>371</c:v>
                </c:pt>
                <c:pt idx="6">
                  <c:v>396</c:v>
                </c:pt>
                <c:pt idx="7">
                  <c:v>411.49090999999999</c:v>
                </c:pt>
                <c:pt idx="8">
                  <c:v>427.27921499999997</c:v>
                </c:pt>
                <c:pt idx="9">
                  <c:v>443.35700399999996</c:v>
                </c:pt>
                <c:pt idx="10">
                  <c:v>459.66919299999995</c:v>
                </c:pt>
                <c:pt idx="11">
                  <c:v>476.16831599999995</c:v>
                </c:pt>
                <c:pt idx="12">
                  <c:v>492.77203999999995</c:v>
                </c:pt>
                <c:pt idx="13">
                  <c:v>509.40359899999993</c:v>
                </c:pt>
                <c:pt idx="14">
                  <c:v>525.85730699999988</c:v>
                </c:pt>
                <c:pt idx="15">
                  <c:v>541.98812899999996</c:v>
                </c:pt>
                <c:pt idx="16">
                  <c:v>557.64663499999995</c:v>
                </c:pt>
                <c:pt idx="17">
                  <c:v>572.77334599999995</c:v>
                </c:pt>
                <c:pt idx="18">
                  <c:v>587.12858799999992</c:v>
                </c:pt>
                <c:pt idx="19">
                  <c:v>600.72613199999989</c:v>
                </c:pt>
                <c:pt idx="20">
                  <c:v>613.33128499999987</c:v>
                </c:pt>
                <c:pt idx="21">
                  <c:v>624.94814899999994</c:v>
                </c:pt>
                <c:pt idx="22">
                  <c:v>635.29808099999991</c:v>
                </c:pt>
                <c:pt idx="23">
                  <c:v>644.2914229999999</c:v>
                </c:pt>
                <c:pt idx="24">
                  <c:v>651.82972699999993</c:v>
                </c:pt>
                <c:pt idx="25">
                  <c:v>657.85703000000001</c:v>
                </c:pt>
                <c:pt idx="26">
                  <c:v>663.20984699999997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A9-40BC-B784-0F4684030D7B}"/>
            </c:ext>
          </c:extLst>
        </c:ser>
        <c:ser>
          <c:idx val="1"/>
          <c:order val="1"/>
          <c:tx>
            <c:strRef>
              <c:f>'Low_Mid_High Scenarios'!$A$5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Scenarios'!$B$5:$AB$5</c:f>
              <c:numCache>
                <c:formatCode>0</c:formatCode>
                <c:ptCount val="27"/>
                <c:pt idx="0">
                  <c:v>184</c:v>
                </c:pt>
                <c:pt idx="1">
                  <c:v>224</c:v>
                </c:pt>
                <c:pt idx="2">
                  <c:v>314</c:v>
                </c:pt>
                <c:pt idx="3">
                  <c:v>425</c:v>
                </c:pt>
                <c:pt idx="4">
                  <c:v>544</c:v>
                </c:pt>
                <c:pt idx="5">
                  <c:v>653</c:v>
                </c:pt>
                <c:pt idx="6">
                  <c:v>760</c:v>
                </c:pt>
                <c:pt idx="7">
                  <c:v>825</c:v>
                </c:pt>
                <c:pt idx="8">
                  <c:v>890</c:v>
                </c:pt>
                <c:pt idx="9">
                  <c:v>955</c:v>
                </c:pt>
                <c:pt idx="10">
                  <c:v>1020</c:v>
                </c:pt>
                <c:pt idx="11">
                  <c:v>1085</c:v>
                </c:pt>
                <c:pt idx="12">
                  <c:v>1120.7999999999884</c:v>
                </c:pt>
                <c:pt idx="13">
                  <c:v>1156.5999999999913</c:v>
                </c:pt>
                <c:pt idx="14">
                  <c:v>1192.3999999999942</c:v>
                </c:pt>
                <c:pt idx="15">
                  <c:v>1228.1999999999971</c:v>
                </c:pt>
                <c:pt idx="16">
                  <c:v>1264</c:v>
                </c:pt>
                <c:pt idx="17">
                  <c:v>1309.7000000000116</c:v>
                </c:pt>
                <c:pt idx="18">
                  <c:v>1355.4000000000087</c:v>
                </c:pt>
                <c:pt idx="19">
                  <c:v>1401.1000000000058</c:v>
                </c:pt>
                <c:pt idx="20">
                  <c:v>1446.8000000000029</c:v>
                </c:pt>
                <c:pt idx="21">
                  <c:v>1492.5</c:v>
                </c:pt>
                <c:pt idx="22">
                  <c:v>1538.2000000000116</c:v>
                </c:pt>
                <c:pt idx="23">
                  <c:v>1583.9000000000087</c:v>
                </c:pt>
                <c:pt idx="24">
                  <c:v>1629.6000000000058</c:v>
                </c:pt>
                <c:pt idx="25">
                  <c:v>1675.3000000000029</c:v>
                </c:pt>
                <c:pt idx="26">
                  <c:v>1721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9-40BC-B784-0F4684030D7B}"/>
            </c:ext>
          </c:extLst>
        </c:ser>
        <c:ser>
          <c:idx val="2"/>
          <c:order val="2"/>
          <c:tx>
            <c:strRef>
              <c:f>'Low_Mid_High Scenarios'!$A$4</c:f>
              <c:strCache>
                <c:ptCount val="1"/>
                <c:pt idx="0">
                  <c:v>mid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Scenarios'!$B$4:$AB$4</c:f>
              <c:numCache>
                <c:formatCode>0</c:formatCode>
                <c:ptCount val="27"/>
                <c:pt idx="0">
                  <c:v>184</c:v>
                </c:pt>
                <c:pt idx="1">
                  <c:v>224</c:v>
                </c:pt>
                <c:pt idx="2">
                  <c:v>290</c:v>
                </c:pt>
                <c:pt idx="3">
                  <c:v>369</c:v>
                </c:pt>
                <c:pt idx="4">
                  <c:v>448</c:v>
                </c:pt>
                <c:pt idx="5">
                  <c:v>518</c:v>
                </c:pt>
                <c:pt idx="6">
                  <c:v>585</c:v>
                </c:pt>
                <c:pt idx="7">
                  <c:v>615.39999999999418</c:v>
                </c:pt>
                <c:pt idx="8">
                  <c:v>645.79999999999563</c:v>
                </c:pt>
                <c:pt idx="9">
                  <c:v>676.19999999999709</c:v>
                </c:pt>
                <c:pt idx="10">
                  <c:v>706.59999999999854</c:v>
                </c:pt>
                <c:pt idx="11">
                  <c:v>737</c:v>
                </c:pt>
                <c:pt idx="12">
                  <c:v>753.60000000000582</c:v>
                </c:pt>
                <c:pt idx="13">
                  <c:v>770.20000000000437</c:v>
                </c:pt>
                <c:pt idx="14">
                  <c:v>786.80000000000291</c:v>
                </c:pt>
                <c:pt idx="15">
                  <c:v>803.40000000000146</c:v>
                </c:pt>
                <c:pt idx="16">
                  <c:v>820</c:v>
                </c:pt>
                <c:pt idx="17">
                  <c:v>829.40000000000146</c:v>
                </c:pt>
                <c:pt idx="18">
                  <c:v>838.79999999999927</c:v>
                </c:pt>
                <c:pt idx="19">
                  <c:v>848.20000000000073</c:v>
                </c:pt>
                <c:pt idx="20">
                  <c:v>857.60000000000218</c:v>
                </c:pt>
                <c:pt idx="21">
                  <c:v>867</c:v>
                </c:pt>
                <c:pt idx="22">
                  <c:v>876.40000000000146</c:v>
                </c:pt>
                <c:pt idx="23">
                  <c:v>885.79999999999927</c:v>
                </c:pt>
                <c:pt idx="24">
                  <c:v>895.20000000000073</c:v>
                </c:pt>
                <c:pt idx="25">
                  <c:v>904.60000000000218</c:v>
                </c:pt>
                <c:pt idx="26">
                  <c:v>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A9-40BC-B784-0F4684030D7B}"/>
            </c:ext>
          </c:extLst>
        </c:ser>
        <c:ser>
          <c:idx val="3"/>
          <c:order val="3"/>
          <c:tx>
            <c:v>IEA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IEA!$D$23:$E$23</c:f>
              <c:numCache>
                <c:formatCode>General</c:formatCode>
                <c:ptCount val="2"/>
                <c:pt idx="0">
                  <c:v>2025</c:v>
                </c:pt>
                <c:pt idx="1">
                  <c:v>2030</c:v>
                </c:pt>
              </c:numCache>
            </c:numRef>
          </c:xVal>
          <c:yVal>
            <c:numRef>
              <c:f>IEA!$D$24:$E$24</c:f>
              <c:numCache>
                <c:formatCode>General</c:formatCode>
                <c:ptCount val="2"/>
                <c:pt idx="0">
                  <c:v>224</c:v>
                </c:pt>
                <c:pt idx="1">
                  <c:v>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D-4AD7-A330-54A669502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5314000"/>
        <c:axId val="2085316520"/>
      </c:scatterChart>
      <c:scatterChart>
        <c:scatterStyle val="lineMarker"/>
        <c:varyColors val="0"/>
        <c:ser>
          <c:idx val="4"/>
          <c:order val="4"/>
          <c:tx>
            <c:strRef>
              <c:f>'Low_Mid_High Scenarios'!$A$6</c:f>
              <c:strCache>
                <c:ptCount val="1"/>
                <c:pt idx="0">
                  <c:v>mid share of AEO commercial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'Low_Mid_High Scenarios'!$C$2:$AB$2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'Low_Mid_High Scenarios'!$C$6:$AB$6</c:f>
              <c:numCache>
                <c:formatCode>0%</c:formatCode>
                <c:ptCount val="26"/>
                <c:pt idx="0">
                  <c:v>0.15212902991557539</c:v>
                </c:pt>
                <c:pt idx="1">
                  <c:v>0.18839537329183526</c:v>
                </c:pt>
                <c:pt idx="2">
                  <c:v>0.23731044824730663</c:v>
                </c:pt>
                <c:pt idx="3">
                  <c:v>0.28444521813543777</c:v>
                </c:pt>
                <c:pt idx="4">
                  <c:v>0.32478630968472066</c:v>
                </c:pt>
                <c:pt idx="5">
                  <c:v>0.36370222906443861</c:v>
                </c:pt>
                <c:pt idx="6">
                  <c:v>0.37910935995770323</c:v>
                </c:pt>
                <c:pt idx="7">
                  <c:v>0.393889889520806</c:v>
                </c:pt>
                <c:pt idx="8">
                  <c:v>0.40795230489516748</c:v>
                </c:pt>
                <c:pt idx="9">
                  <c:v>0.42153246534950545</c:v>
                </c:pt>
                <c:pt idx="10">
                  <c:v>0.43447014056945377</c:v>
                </c:pt>
                <c:pt idx="11">
                  <c:v>0.43853129145878789</c:v>
                </c:pt>
                <c:pt idx="12">
                  <c:v>0.44252598201787247</c:v>
                </c:pt>
                <c:pt idx="13">
                  <c:v>0.44631937052831533</c:v>
                </c:pt>
                <c:pt idx="14">
                  <c:v>0.45011744216215338</c:v>
                </c:pt>
                <c:pt idx="15">
                  <c:v>0.45392465948153865</c:v>
                </c:pt>
                <c:pt idx="16">
                  <c:v>0.45342323526859618</c:v>
                </c:pt>
                <c:pt idx="17">
                  <c:v>0.45303152656763168</c:v>
                </c:pt>
                <c:pt idx="18">
                  <c:v>0.45246959280043314</c:v>
                </c:pt>
                <c:pt idx="19">
                  <c:v>0.45199543911725426</c:v>
                </c:pt>
                <c:pt idx="20">
                  <c:v>0.4515255687360209</c:v>
                </c:pt>
                <c:pt idx="21">
                  <c:v>0.45149219036973348</c:v>
                </c:pt>
                <c:pt idx="22">
                  <c:v>0.45198315310712572</c:v>
                </c:pt>
                <c:pt idx="23">
                  <c:v>0.45279622953463944</c:v>
                </c:pt>
                <c:pt idx="24">
                  <c:v>0.45373450568766144</c:v>
                </c:pt>
                <c:pt idx="25">
                  <c:v>0.45488002187811655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12-4DC2-99FD-259E42580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7986032"/>
        <c:axId val="1979247568"/>
      </c:scatterChart>
      <c:valAx>
        <c:axId val="208531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6520"/>
        <c:crosses val="autoZero"/>
        <c:crossBetween val="midCat"/>
      </c:valAx>
      <c:valAx>
        <c:axId val="2085316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/>
                  <a:t>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accent6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4000"/>
        <c:crosses val="autoZero"/>
        <c:crossBetween val="midCat"/>
      </c:valAx>
      <c:valAx>
        <c:axId val="1979247568"/>
        <c:scaling>
          <c:orientation val="minMax"/>
        </c:scaling>
        <c:delete val="0"/>
        <c:axPos val="r"/>
        <c:numFmt formatCode="0%" sourceLinked="1"/>
        <c:majorTickMark val="in"/>
        <c:minorTickMark val="none"/>
        <c:tickLblPos val="nextTo"/>
        <c:spPr>
          <a:noFill/>
          <a:ln w="25400" cap="flat" cmpd="sng" algn="ctr">
            <a:solidFill>
              <a:schemeClr val="accent2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37986032"/>
        <c:crosses val="max"/>
        <c:crossBetween val="midCat"/>
      </c:valAx>
      <c:valAx>
        <c:axId val="2379860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79247568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455612</xdr:colOff>
      <xdr:row>8</xdr:row>
      <xdr:rowOff>47624</xdr:rowOff>
    </xdr:from>
    <xdr:to>
      <xdr:col>15</xdr:col>
      <xdr:colOff>226218</xdr:colOff>
      <xdr:row>24</xdr:row>
      <xdr:rowOff>115886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A25E5-B3B1-411B-BE77-9ABC8C2EE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9</xdr:col>
      <xdr:colOff>201622</xdr:colOff>
      <xdr:row>21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7BE280-FC34-2E75-3B0A-C18D9A274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326901" cy="3886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790575</xdr:colOff>
      <xdr:row>15</xdr:row>
      <xdr:rowOff>175450</xdr:rowOff>
    </xdr:from>
    <xdr:to>
      <xdr:col>23</xdr:col>
      <xdr:colOff>382719</xdr:colOff>
      <xdr:row>39</xdr:row>
      <xdr:rowOff>48486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230C55-6325-4F59-B287-53727B1D0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7675" y="3121850"/>
          <a:ext cx="8967919" cy="4210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MeganMahajan/Documents/eps-us/InputData/bldgs/BCEU/BAU%20Components%20Energy%20Use.xlsx" TargetMode="External"/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/Users/MeganMahajan/Document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evolved.energy/us-adp-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tabSelected="1" workbookViewId="0">
      <selection activeCell="D36" sqref="D36"/>
    </sheetView>
  </sheetViews>
  <sheetFormatPr defaultRowHeight="15" x14ac:dyDescent="0.25"/>
  <cols>
    <col min="2" max="2" width="46.7109375" customWidth="1"/>
    <col min="4" max="4" width="58.140625" bestFit="1" customWidth="1"/>
  </cols>
  <sheetData>
    <row r="1" spans="1:4" x14ac:dyDescent="0.25">
      <c r="A1" t="s">
        <v>5</v>
      </c>
    </row>
    <row r="3" spans="1:4" x14ac:dyDescent="0.25">
      <c r="A3" s="4" t="s">
        <v>3</v>
      </c>
      <c r="B3" s="5" t="s">
        <v>150</v>
      </c>
      <c r="D3" s="5" t="s">
        <v>145</v>
      </c>
    </row>
    <row r="4" spans="1:4" x14ac:dyDescent="0.25">
      <c r="B4" t="s">
        <v>146</v>
      </c>
      <c r="D4" t="s">
        <v>151</v>
      </c>
    </row>
    <row r="5" spans="1:4" x14ac:dyDescent="0.25">
      <c r="B5" s="6">
        <v>2026</v>
      </c>
      <c r="D5" s="6">
        <v>2026</v>
      </c>
    </row>
    <row r="6" spans="1:4" x14ac:dyDescent="0.25">
      <c r="B6" s="6" t="s">
        <v>147</v>
      </c>
      <c r="D6" s="6" t="s">
        <v>152</v>
      </c>
    </row>
    <row r="7" spans="1:4" x14ac:dyDescent="0.25">
      <c r="B7" s="6" t="s">
        <v>148</v>
      </c>
      <c r="D7" s="6" t="s">
        <v>153</v>
      </c>
    </row>
    <row r="8" spans="1:4" x14ac:dyDescent="0.25">
      <c r="B8" s="6" t="s">
        <v>149</v>
      </c>
      <c r="D8" s="6" t="s">
        <v>154</v>
      </c>
    </row>
    <row r="10" spans="1:4" x14ac:dyDescent="0.25">
      <c r="B10" s="5" t="s">
        <v>62</v>
      </c>
    </row>
    <row r="11" spans="1:4" x14ac:dyDescent="0.25">
      <c r="B11" t="s">
        <v>63</v>
      </c>
    </row>
    <row r="12" spans="1:4" x14ac:dyDescent="0.25">
      <c r="B12" s="6">
        <v>2025</v>
      </c>
    </row>
    <row r="13" spans="1:4" x14ac:dyDescent="0.25">
      <c r="B13" s="6" t="s">
        <v>335</v>
      </c>
    </row>
    <row r="14" spans="1:4" x14ac:dyDescent="0.25">
      <c r="B14" s="2" t="s">
        <v>64</v>
      </c>
    </row>
    <row r="15" spans="1:4" x14ac:dyDescent="0.25">
      <c r="B15" t="s">
        <v>65</v>
      </c>
    </row>
    <row r="17" spans="1:2" x14ac:dyDescent="0.25">
      <c r="B17" s="5" t="s">
        <v>130</v>
      </c>
    </row>
    <row r="18" spans="1:2" x14ac:dyDescent="0.25">
      <c r="B18" t="s">
        <v>66</v>
      </c>
    </row>
    <row r="19" spans="1:2" x14ac:dyDescent="0.25">
      <c r="B19" s="6">
        <v>2024</v>
      </c>
    </row>
    <row r="20" spans="1:2" x14ac:dyDescent="0.25">
      <c r="B20" s="6" t="s">
        <v>67</v>
      </c>
    </row>
    <row r="21" spans="1:2" x14ac:dyDescent="0.25">
      <c r="B21" s="2" t="s">
        <v>68</v>
      </c>
    </row>
    <row r="23" spans="1:2" x14ac:dyDescent="0.25">
      <c r="A23" t="s">
        <v>331</v>
      </c>
    </row>
    <row r="24" spans="1:2" x14ac:dyDescent="0.25">
      <c r="A24" t="s">
        <v>332</v>
      </c>
    </row>
    <row r="25" spans="1:2" x14ac:dyDescent="0.25">
      <c r="A25" t="s">
        <v>333</v>
      </c>
    </row>
    <row r="27" spans="1:2" x14ac:dyDescent="0.25">
      <c r="A27" s="4" t="s">
        <v>4</v>
      </c>
    </row>
    <row r="28" spans="1:2" x14ac:dyDescent="0.25">
      <c r="A28" t="s">
        <v>329</v>
      </c>
    </row>
    <row r="29" spans="1:2" x14ac:dyDescent="0.25">
      <c r="A29" t="s">
        <v>330</v>
      </c>
    </row>
    <row r="30" spans="1:2" x14ac:dyDescent="0.25">
      <c r="A30" t="s">
        <v>334</v>
      </c>
    </row>
    <row r="33" spans="1:1" x14ac:dyDescent="0.25">
      <c r="A33" t="s">
        <v>127</v>
      </c>
    </row>
    <row r="34" spans="1:1" x14ac:dyDescent="0.25">
      <c r="A34">
        <v>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E364-82EC-413B-9E5F-4D9B991497B1}">
  <sheetPr>
    <tabColor theme="9"/>
  </sheetPr>
  <dimension ref="A1:AB32"/>
  <sheetViews>
    <sheetView zoomScale="80" zoomScaleNormal="80" workbookViewId="0">
      <selection activeCell="V13" sqref="V13"/>
    </sheetView>
  </sheetViews>
  <sheetFormatPr defaultRowHeight="15" x14ac:dyDescent="0.25"/>
  <cols>
    <col min="1" max="1" width="25.28515625" customWidth="1"/>
    <col min="2" max="2" width="13.28515625" customWidth="1"/>
  </cols>
  <sheetData>
    <row r="1" spans="1:28" s="18" customFormat="1" x14ac:dyDescent="0.25">
      <c r="B1" s="18" t="s">
        <v>18</v>
      </c>
    </row>
    <row r="2" spans="1:28" x14ac:dyDescent="0.25">
      <c r="A2" s="4" t="s">
        <v>2</v>
      </c>
      <c r="B2" s="4">
        <v>2024</v>
      </c>
      <c r="C2" s="4">
        <f t="shared" ref="C2:AA2" si="0">B2+1</f>
        <v>2025</v>
      </c>
      <c r="D2" s="4">
        <f t="shared" si="0"/>
        <v>2026</v>
      </c>
      <c r="E2" s="4">
        <f t="shared" si="0"/>
        <v>2027</v>
      </c>
      <c r="F2" s="4">
        <f t="shared" si="0"/>
        <v>2028</v>
      </c>
      <c r="G2" s="4">
        <f t="shared" si="0"/>
        <v>2029</v>
      </c>
      <c r="H2" s="4">
        <f t="shared" si="0"/>
        <v>2030</v>
      </c>
      <c r="I2" s="4">
        <f t="shared" si="0"/>
        <v>2031</v>
      </c>
      <c r="J2" s="4">
        <f t="shared" si="0"/>
        <v>2032</v>
      </c>
      <c r="K2" s="4">
        <f t="shared" si="0"/>
        <v>2033</v>
      </c>
      <c r="L2" s="4">
        <f t="shared" si="0"/>
        <v>2034</v>
      </c>
      <c r="M2" s="4">
        <f t="shared" si="0"/>
        <v>2035</v>
      </c>
      <c r="N2" s="4">
        <f t="shared" si="0"/>
        <v>2036</v>
      </c>
      <c r="O2" s="4">
        <f t="shared" si="0"/>
        <v>2037</v>
      </c>
      <c r="P2" s="4">
        <f t="shared" si="0"/>
        <v>2038</v>
      </c>
      <c r="Q2" s="4">
        <f t="shared" si="0"/>
        <v>2039</v>
      </c>
      <c r="R2" s="4">
        <f t="shared" si="0"/>
        <v>2040</v>
      </c>
      <c r="S2" s="4">
        <f t="shared" si="0"/>
        <v>2041</v>
      </c>
      <c r="T2" s="4">
        <f t="shared" si="0"/>
        <v>2042</v>
      </c>
      <c r="U2" s="4">
        <f t="shared" si="0"/>
        <v>2043</v>
      </c>
      <c r="V2" s="4">
        <f t="shared" si="0"/>
        <v>2044</v>
      </c>
      <c r="W2" s="4">
        <f t="shared" si="0"/>
        <v>2045</v>
      </c>
      <c r="X2" s="4">
        <f t="shared" si="0"/>
        <v>2046</v>
      </c>
      <c r="Y2" s="4">
        <f t="shared" si="0"/>
        <v>2047</v>
      </c>
      <c r="Z2" s="4">
        <f>Y2+1</f>
        <v>2048</v>
      </c>
      <c r="AA2" s="4">
        <f t="shared" si="0"/>
        <v>2049</v>
      </c>
      <c r="AB2" s="4">
        <f>AA2+1</f>
        <v>2050</v>
      </c>
    </row>
    <row r="3" spans="1:28" x14ac:dyDescent="0.25">
      <c r="A3" s="11" t="s">
        <v>9</v>
      </c>
      <c r="B3" s="22">
        <f>EPRI!$F$5</f>
        <v>184</v>
      </c>
      <c r="C3" s="34">
        <f>IEA!$D$24</f>
        <v>224</v>
      </c>
      <c r="D3" s="38" cm="1">
        <f t="array" ref="D3:H3">$C$3+TRANSPOSE(EPRI!G8:G12)</f>
        <v>263</v>
      </c>
      <c r="E3" s="35">
        <v>308</v>
      </c>
      <c r="F3" s="35">
        <v>345</v>
      </c>
      <c r="G3" s="35">
        <v>371</v>
      </c>
      <c r="H3" s="35">
        <v>396</v>
      </c>
      <c r="I3" s="24">
        <f>H3+('AEO 2026 Table 5'!K24-'AEO 2026 Table 5'!J24)*About!$A$34</f>
        <v>411.49090999999999</v>
      </c>
      <c r="J3" s="24">
        <f>I3+('AEO 2026 Table 5'!L24-'AEO 2026 Table 5'!K24)*About!$A$34</f>
        <v>427.27921499999997</v>
      </c>
      <c r="K3" s="24">
        <f>J3+('AEO 2026 Table 5'!M24-'AEO 2026 Table 5'!L24)*About!$A$34</f>
        <v>443.35700399999996</v>
      </c>
      <c r="L3" s="24">
        <f>K3+('AEO 2026 Table 5'!N24-'AEO 2026 Table 5'!M24)*About!$A$34</f>
        <v>459.66919299999995</v>
      </c>
      <c r="M3" s="24">
        <f>L3+('AEO 2026 Table 5'!O24-'AEO 2026 Table 5'!N24)*About!$A$34</f>
        <v>476.16831599999995</v>
      </c>
      <c r="N3" s="24">
        <f>M3+('AEO 2026 Table 5'!P24-'AEO 2026 Table 5'!O24)*About!$A$34</f>
        <v>492.77203999999995</v>
      </c>
      <c r="O3" s="24">
        <f>N3+('AEO 2026 Table 5'!Q24-'AEO 2026 Table 5'!P24)*About!$A$34</f>
        <v>509.40359899999993</v>
      </c>
      <c r="P3" s="24">
        <f>O3+('AEO 2026 Table 5'!R24-'AEO 2026 Table 5'!Q24)*About!$A$34</f>
        <v>525.85730699999988</v>
      </c>
      <c r="Q3" s="24">
        <f>P3+('AEO 2026 Table 5'!S24-'AEO 2026 Table 5'!R24)*About!$A$34</f>
        <v>541.98812899999996</v>
      </c>
      <c r="R3" s="24">
        <f>Q3+('AEO 2026 Table 5'!T24-'AEO 2026 Table 5'!S24)*About!$A$34</f>
        <v>557.64663499999995</v>
      </c>
      <c r="S3" s="24">
        <f>R3+('AEO 2026 Table 5'!U24-'AEO 2026 Table 5'!T24)*About!$A$34</f>
        <v>572.77334599999995</v>
      </c>
      <c r="T3" s="24">
        <f>S3+('AEO 2026 Table 5'!V24-'AEO 2026 Table 5'!U24)*About!$A$34</f>
        <v>587.12858799999992</v>
      </c>
      <c r="U3" s="24">
        <f>T3+('AEO 2026 Table 5'!W24-'AEO 2026 Table 5'!V24)*About!$A$34</f>
        <v>600.72613199999989</v>
      </c>
      <c r="V3" s="24">
        <f>U3+('AEO 2026 Table 5'!X24-'AEO 2026 Table 5'!W24)*About!$A$34</f>
        <v>613.33128499999987</v>
      </c>
      <c r="W3" s="24">
        <f>V3+('AEO 2026 Table 5'!Y24-'AEO 2026 Table 5'!X24)*About!$A$34</f>
        <v>624.94814899999994</v>
      </c>
      <c r="X3" s="24">
        <f>W3+('AEO 2026 Table 5'!Z24-'AEO 2026 Table 5'!Y24)*About!$A$34</f>
        <v>635.29808099999991</v>
      </c>
      <c r="Y3" s="24">
        <f>X3+('AEO 2026 Table 5'!AA24-'AEO 2026 Table 5'!Z24)*About!$A$34</f>
        <v>644.2914229999999</v>
      </c>
      <c r="Z3" s="24">
        <f>Y3+('AEO 2026 Table 5'!AB24-'AEO 2026 Table 5'!AA24)*About!$A$34</f>
        <v>651.82972699999993</v>
      </c>
      <c r="AA3" s="24">
        <f>Z3+('AEO 2026 Table 5'!AC24-'AEO 2026 Table 5'!AB24)*About!$A$34</f>
        <v>657.85703000000001</v>
      </c>
      <c r="AB3" s="24">
        <f>AA3+('AEO 2026 Table 5'!AD24-'AEO 2026 Table 5'!AC24)*About!$A$34</f>
        <v>663.20984699999997</v>
      </c>
    </row>
    <row r="4" spans="1:28" x14ac:dyDescent="0.25">
      <c r="A4" s="11" t="s">
        <v>7</v>
      </c>
      <c r="B4" s="22">
        <f>B3</f>
        <v>184</v>
      </c>
      <c r="C4" s="34">
        <f>IEA!$D$24</f>
        <v>224</v>
      </c>
      <c r="D4" s="36" cm="1">
        <f t="array" ref="D4:H4">$C$4+TRANSPOSE(EPRI!G15:G19)</f>
        <v>290</v>
      </c>
      <c r="E4" s="36">
        <v>369</v>
      </c>
      <c r="F4" s="36">
        <v>448</v>
      </c>
      <c r="G4" s="36">
        <v>518</v>
      </c>
      <c r="H4" s="36">
        <v>585</v>
      </c>
      <c r="I4" s="31">
        <f>H4+I27-H27</f>
        <v>615.39999999999418</v>
      </c>
      <c r="J4" s="31">
        <f t="shared" ref="J4:AB4" si="1">I4+J27-I27</f>
        <v>645.79999999999563</v>
      </c>
      <c r="K4" s="31">
        <f t="shared" si="1"/>
        <v>676.19999999999709</v>
      </c>
      <c r="L4" s="31">
        <f t="shared" si="1"/>
        <v>706.59999999999854</v>
      </c>
      <c r="M4" s="31">
        <f t="shared" si="1"/>
        <v>737</v>
      </c>
      <c r="N4" s="31">
        <f t="shared" si="1"/>
        <v>753.60000000000582</v>
      </c>
      <c r="O4" s="31">
        <f t="shared" si="1"/>
        <v>770.20000000000437</v>
      </c>
      <c r="P4" s="31">
        <f t="shared" si="1"/>
        <v>786.80000000000291</v>
      </c>
      <c r="Q4" s="31">
        <f t="shared" si="1"/>
        <v>803.40000000000146</v>
      </c>
      <c r="R4" s="31">
        <f t="shared" si="1"/>
        <v>820</v>
      </c>
      <c r="S4" s="31">
        <f t="shared" si="1"/>
        <v>829.40000000000146</v>
      </c>
      <c r="T4" s="31">
        <f t="shared" si="1"/>
        <v>838.79999999999927</v>
      </c>
      <c r="U4" s="31">
        <f t="shared" si="1"/>
        <v>848.20000000000073</v>
      </c>
      <c r="V4" s="31">
        <f t="shared" si="1"/>
        <v>857.60000000000218</v>
      </c>
      <c r="W4" s="31">
        <f t="shared" si="1"/>
        <v>867</v>
      </c>
      <c r="X4" s="31">
        <f t="shared" si="1"/>
        <v>876.40000000000146</v>
      </c>
      <c r="Y4" s="31">
        <f t="shared" si="1"/>
        <v>885.79999999999927</v>
      </c>
      <c r="Z4" s="31">
        <f t="shared" si="1"/>
        <v>895.20000000000073</v>
      </c>
      <c r="AA4" s="31">
        <f t="shared" si="1"/>
        <v>904.60000000000218</v>
      </c>
      <c r="AB4" s="31">
        <f t="shared" si="1"/>
        <v>914</v>
      </c>
    </row>
    <row r="5" spans="1:28" x14ac:dyDescent="0.25">
      <c r="A5" s="11" t="s">
        <v>10</v>
      </c>
      <c r="B5" s="22">
        <f>B3</f>
        <v>184</v>
      </c>
      <c r="C5" s="34">
        <f>IEA!$D$24</f>
        <v>224</v>
      </c>
      <c r="D5" s="37" cm="1">
        <f t="array" ref="D5:H5">C5+TRANSPOSE(EPRI!G22:G26)</f>
        <v>314</v>
      </c>
      <c r="E5" s="37">
        <v>425</v>
      </c>
      <c r="F5" s="37">
        <v>544</v>
      </c>
      <c r="G5" s="37">
        <v>653</v>
      </c>
      <c r="H5" s="37">
        <v>760</v>
      </c>
      <c r="I5" s="32">
        <f>H5+I31-H31</f>
        <v>825</v>
      </c>
      <c r="J5" s="32">
        <f t="shared" ref="J5:AB5" si="2">I5+J31-I31</f>
        <v>890</v>
      </c>
      <c r="K5" s="32">
        <f t="shared" si="2"/>
        <v>955</v>
      </c>
      <c r="L5" s="32">
        <f t="shared" si="2"/>
        <v>1020</v>
      </c>
      <c r="M5" s="32">
        <f t="shared" si="2"/>
        <v>1085</v>
      </c>
      <c r="N5" s="32">
        <f t="shared" si="2"/>
        <v>1120.7999999999884</v>
      </c>
      <c r="O5" s="32">
        <f t="shared" si="2"/>
        <v>1156.5999999999913</v>
      </c>
      <c r="P5" s="32">
        <f t="shared" si="2"/>
        <v>1192.3999999999942</v>
      </c>
      <c r="Q5" s="32">
        <f t="shared" si="2"/>
        <v>1228.1999999999971</v>
      </c>
      <c r="R5" s="32">
        <f t="shared" si="2"/>
        <v>1264</v>
      </c>
      <c r="S5" s="32">
        <f t="shared" si="2"/>
        <v>1309.7000000000116</v>
      </c>
      <c r="T5" s="32">
        <f t="shared" si="2"/>
        <v>1355.4000000000087</v>
      </c>
      <c r="U5" s="32">
        <f t="shared" si="2"/>
        <v>1401.1000000000058</v>
      </c>
      <c r="V5" s="32">
        <f t="shared" si="2"/>
        <v>1446.8000000000029</v>
      </c>
      <c r="W5" s="32">
        <f t="shared" si="2"/>
        <v>1492.5</v>
      </c>
      <c r="X5" s="32">
        <f t="shared" si="2"/>
        <v>1538.2000000000116</v>
      </c>
      <c r="Y5" s="32">
        <f t="shared" si="2"/>
        <v>1583.9000000000087</v>
      </c>
      <c r="Z5" s="32">
        <f t="shared" si="2"/>
        <v>1629.6000000000058</v>
      </c>
      <c r="AA5" s="32">
        <f t="shared" si="2"/>
        <v>1675.3000000000029</v>
      </c>
      <c r="AB5" s="32">
        <f t="shared" si="2"/>
        <v>1721</v>
      </c>
    </row>
    <row r="6" spans="1:28" x14ac:dyDescent="0.25">
      <c r="A6" s="43" t="s">
        <v>336</v>
      </c>
      <c r="C6" s="42">
        <f>C4/'AEO 2026 Table 5'!E30/About!$A$34</f>
        <v>0.15212902991557539</v>
      </c>
      <c r="D6" s="42">
        <f>D4/'AEO 2026 Table 5'!F30/About!$A$34</f>
        <v>0.18839537329183526</v>
      </c>
      <c r="E6" s="42">
        <f>E4/'AEO 2026 Table 5'!G30/About!$A$34</f>
        <v>0.23731044824730663</v>
      </c>
      <c r="F6" s="42">
        <f>F4/'AEO 2026 Table 5'!H30/About!$A$34</f>
        <v>0.28444521813543777</v>
      </c>
      <c r="G6" s="42">
        <f>G4/'AEO 2026 Table 5'!I30/About!$A$34</f>
        <v>0.32478630968472066</v>
      </c>
      <c r="H6" s="42">
        <f>H4/'AEO 2026 Table 5'!J30/About!$A$34</f>
        <v>0.36370222906443861</v>
      </c>
      <c r="I6" s="42">
        <f>I4/'AEO 2026 Table 5'!K30/About!$A$34</f>
        <v>0.37910935995770323</v>
      </c>
      <c r="J6" s="42">
        <f>J4/'AEO 2026 Table 5'!L30/About!$A$34</f>
        <v>0.393889889520806</v>
      </c>
      <c r="K6" s="42">
        <f>K4/'AEO 2026 Table 5'!M30/About!$A$34</f>
        <v>0.40795230489516748</v>
      </c>
      <c r="L6" s="42">
        <f>L4/'AEO 2026 Table 5'!N30/About!$A$34</f>
        <v>0.42153246534950545</v>
      </c>
      <c r="M6" s="42">
        <f>M4/'AEO 2026 Table 5'!O30/About!$A$34</f>
        <v>0.43447014056945377</v>
      </c>
      <c r="N6" s="42">
        <f>N4/'AEO 2026 Table 5'!P30/About!$A$34</f>
        <v>0.43853129145878789</v>
      </c>
      <c r="O6" s="42">
        <f>O4/'AEO 2026 Table 5'!Q30/About!$A$34</f>
        <v>0.44252598201787247</v>
      </c>
      <c r="P6" s="42">
        <f>P4/'AEO 2026 Table 5'!R30/About!$A$34</f>
        <v>0.44631937052831533</v>
      </c>
      <c r="Q6" s="42">
        <f>Q4/'AEO 2026 Table 5'!S30/About!$A$34</f>
        <v>0.45011744216215338</v>
      </c>
      <c r="R6" s="42">
        <f>R4/'AEO 2026 Table 5'!T30/About!$A$34</f>
        <v>0.45392465948153865</v>
      </c>
      <c r="S6" s="42">
        <f>S4/'AEO 2026 Table 5'!U30/About!$A$34</f>
        <v>0.45342323526859618</v>
      </c>
      <c r="T6" s="42">
        <f>T4/'AEO 2026 Table 5'!V30/About!$A$34</f>
        <v>0.45303152656763168</v>
      </c>
      <c r="U6" s="42">
        <f>U4/'AEO 2026 Table 5'!W30/About!$A$34</f>
        <v>0.45246959280043314</v>
      </c>
      <c r="V6" s="42">
        <f>V4/'AEO 2026 Table 5'!X30/About!$A$34</f>
        <v>0.45199543911725426</v>
      </c>
      <c r="W6" s="42">
        <f>W4/'AEO 2026 Table 5'!Y30/About!$A$34</f>
        <v>0.4515255687360209</v>
      </c>
      <c r="X6" s="42">
        <f>X4/'AEO 2026 Table 5'!Z30/About!$A$34</f>
        <v>0.45149219036973348</v>
      </c>
      <c r="Y6" s="42">
        <f>Y4/'AEO 2026 Table 5'!AA30/About!$A$34</f>
        <v>0.45198315310712572</v>
      </c>
      <c r="Z6" s="42">
        <f>Z4/'AEO 2026 Table 5'!AB30/About!$A$34</f>
        <v>0.45279622953463944</v>
      </c>
      <c r="AA6" s="42">
        <f>AA4/'AEO 2026 Table 5'!AC30/About!$A$34</f>
        <v>0.45373450568766144</v>
      </c>
      <c r="AB6" s="42">
        <f>AB4/'AEO 2026 Table 5'!AD30/About!$A$34</f>
        <v>0.45488002187811655</v>
      </c>
    </row>
    <row r="7" spans="1:28" x14ac:dyDescent="0.25"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  <row r="8" spans="1:28" x14ac:dyDescent="0.25">
      <c r="A8" t="s">
        <v>128</v>
      </c>
    </row>
    <row r="9" spans="1:28" x14ac:dyDescent="0.25">
      <c r="A9" s="23"/>
      <c r="B9" t="s">
        <v>141</v>
      </c>
    </row>
    <row r="10" spans="1:28" x14ac:dyDescent="0.25">
      <c r="A10" s="33"/>
      <c r="B10" t="s">
        <v>155</v>
      </c>
    </row>
    <row r="11" spans="1:28" x14ac:dyDescent="0.25">
      <c r="A11" s="25"/>
      <c r="B11" t="s">
        <v>17</v>
      </c>
    </row>
    <row r="12" spans="1:28" x14ac:dyDescent="0.25">
      <c r="A12" s="39"/>
      <c r="B12" t="s">
        <v>157</v>
      </c>
    </row>
    <row r="13" spans="1:28" x14ac:dyDescent="0.25">
      <c r="A13" s="40"/>
      <c r="B13" t="s">
        <v>142</v>
      </c>
    </row>
    <row r="14" spans="1:28" x14ac:dyDescent="0.25">
      <c r="A14" s="41"/>
      <c r="B14" t="s">
        <v>143</v>
      </c>
    </row>
    <row r="15" spans="1:28" x14ac:dyDescent="0.25">
      <c r="A15" s="26"/>
      <c r="B15" t="s">
        <v>131</v>
      </c>
    </row>
    <row r="16" spans="1:28" x14ac:dyDescent="0.25">
      <c r="A16" s="30"/>
      <c r="B16" t="s">
        <v>144</v>
      </c>
    </row>
    <row r="18" spans="1:28" x14ac:dyDescent="0.25">
      <c r="B18" s="4" t="s">
        <v>129</v>
      </c>
    </row>
    <row r="19" spans="1:28" x14ac:dyDescent="0.25">
      <c r="B19" s="10" t="s">
        <v>11</v>
      </c>
      <c r="C19" s="10"/>
      <c r="D19" s="10"/>
      <c r="E19" s="10"/>
      <c r="F19" s="10"/>
      <c r="G19" s="10"/>
    </row>
    <row r="20" spans="1:28" x14ac:dyDescent="0.25">
      <c r="B20" s="13" t="s">
        <v>12</v>
      </c>
    </row>
    <row r="21" spans="1:28" x14ac:dyDescent="0.25">
      <c r="C21">
        <v>2025</v>
      </c>
      <c r="D21">
        <v>2030</v>
      </c>
      <c r="E21">
        <v>2035</v>
      </c>
      <c r="F21">
        <v>2040</v>
      </c>
      <c r="G21">
        <v>2050</v>
      </c>
    </row>
    <row r="22" spans="1:28" ht="30" x14ac:dyDescent="0.25">
      <c r="B22" s="14" t="s">
        <v>13</v>
      </c>
      <c r="C22">
        <f>'Evolved Energy ADP 2024'!C4</f>
        <v>279</v>
      </c>
      <c r="D22">
        <f>'Evolved Energy ADP 2024'!D4</f>
        <v>541</v>
      </c>
      <c r="E22">
        <f>'Evolved Energy ADP 2024'!E4</f>
        <v>693</v>
      </c>
      <c r="F22">
        <f>'Evolved Energy ADP 2024'!F4</f>
        <v>776</v>
      </c>
      <c r="G22">
        <f>'Evolved Energy ADP 2024'!G4</f>
        <v>870</v>
      </c>
    </row>
    <row r="23" spans="1:28" ht="30" x14ac:dyDescent="0.25">
      <c r="B23" s="14" t="s">
        <v>14</v>
      </c>
      <c r="C23">
        <f>'Evolved Energy ADP 2024'!C5</f>
        <v>279</v>
      </c>
      <c r="D23">
        <f>'Evolved Energy ADP 2024'!D5</f>
        <v>718</v>
      </c>
      <c r="E23">
        <f>'Evolved Energy ADP 2024'!E5</f>
        <v>1043</v>
      </c>
      <c r="F23">
        <f>'Evolved Energy ADP 2024'!F5</f>
        <v>1222</v>
      </c>
      <c r="G23">
        <f>'Evolved Energy ADP 2024'!G5</f>
        <v>1679</v>
      </c>
    </row>
    <row r="24" spans="1:28" x14ac:dyDescent="0.25">
      <c r="D24" s="1"/>
      <c r="E24" s="8"/>
      <c r="F24" s="8"/>
      <c r="G24" s="15"/>
    </row>
    <row r="26" spans="1:28" x14ac:dyDescent="0.25">
      <c r="C26">
        <v>2025</v>
      </c>
      <c r="D26">
        <v>2026</v>
      </c>
      <c r="E26">
        <v>2027</v>
      </c>
      <c r="F26">
        <v>2028</v>
      </c>
      <c r="G26">
        <v>2029</v>
      </c>
      <c r="H26">
        <f>G26+1</f>
        <v>2030</v>
      </c>
      <c r="I26">
        <f t="shared" ref="I26:AB26" si="3">H26+1</f>
        <v>2031</v>
      </c>
      <c r="J26">
        <f t="shared" si="3"/>
        <v>2032</v>
      </c>
      <c r="K26">
        <f t="shared" si="3"/>
        <v>2033</v>
      </c>
      <c r="L26">
        <f t="shared" si="3"/>
        <v>2034</v>
      </c>
      <c r="M26">
        <f t="shared" si="3"/>
        <v>2035</v>
      </c>
      <c r="N26">
        <f t="shared" si="3"/>
        <v>2036</v>
      </c>
      <c r="O26">
        <f t="shared" si="3"/>
        <v>2037</v>
      </c>
      <c r="P26">
        <f t="shared" si="3"/>
        <v>2038</v>
      </c>
      <c r="Q26">
        <f t="shared" si="3"/>
        <v>2039</v>
      </c>
      <c r="R26">
        <f t="shared" si="3"/>
        <v>2040</v>
      </c>
      <c r="S26">
        <f>R26+1</f>
        <v>2041</v>
      </c>
      <c r="T26">
        <f t="shared" si="3"/>
        <v>2042</v>
      </c>
      <c r="U26">
        <f t="shared" si="3"/>
        <v>2043</v>
      </c>
      <c r="V26">
        <f t="shared" si="3"/>
        <v>2044</v>
      </c>
      <c r="W26">
        <f t="shared" si="3"/>
        <v>2045</v>
      </c>
      <c r="X26">
        <f t="shared" si="3"/>
        <v>2046</v>
      </c>
      <c r="Y26">
        <f t="shared" si="3"/>
        <v>2047</v>
      </c>
      <c r="Z26">
        <f>Y26+1</f>
        <v>2048</v>
      </c>
      <c r="AA26">
        <f t="shared" si="3"/>
        <v>2049</v>
      </c>
      <c r="AB26">
        <f t="shared" si="3"/>
        <v>2050</v>
      </c>
    </row>
    <row r="27" spans="1:28" ht="30" x14ac:dyDescent="0.25">
      <c r="B27" s="14" t="s">
        <v>13</v>
      </c>
      <c r="C27" s="16">
        <f>HLOOKUP(C26,$C$21:$G$22,2,FALSE)</f>
        <v>279</v>
      </c>
      <c r="D27" s="3" cm="1">
        <f t="array" ref="D27">TREND($C$22:$D$22,$C$21:$D$21,D26)</f>
        <v>331.39999999999418</v>
      </c>
      <c r="E27" s="3" cm="1">
        <f t="array" ref="E27">TREND($C$22:$D$22,$C$21:$D$21,E26)</f>
        <v>383.80000000000291</v>
      </c>
      <c r="F27" s="3" cm="1">
        <f t="array" ref="F27">TREND($C$22:$D$22,$C$21:$D$21,F26)</f>
        <v>436.19999999999709</v>
      </c>
      <c r="G27" s="3" cm="1">
        <f t="array" ref="G27">TREND($C$22:$D$22,$C$21:$D$21,G26)</f>
        <v>488.59999999999127</v>
      </c>
      <c r="H27" s="16">
        <f>HLOOKUP(H26,$C$21:$G$22,2,FALSE)</f>
        <v>541</v>
      </c>
      <c r="I27" s="3" cm="1">
        <f t="array" ref="I27">TREND($D$22:$E$22,$D$21:$E$21,I26)</f>
        <v>571.39999999999418</v>
      </c>
      <c r="J27" s="3" cm="1">
        <f t="array" ref="J27">TREND($D$22:$E$22,$D$21:$E$21,J26)</f>
        <v>601.79999999999563</v>
      </c>
      <c r="K27" s="3" cm="1">
        <f t="array" ref="K27">TREND($D$22:$E$22,$D$21:$E$21,K26)</f>
        <v>632.19999999999709</v>
      </c>
      <c r="L27" s="3" cm="1">
        <f t="array" ref="L27">TREND($D$22:$E$22,$D$21:$E$21,L26)</f>
        <v>662.59999999999854</v>
      </c>
      <c r="M27" s="16">
        <f>HLOOKUP(M26,$C$21:$G$22,2,FALSE)</f>
        <v>693</v>
      </c>
      <c r="N27" s="3" cm="1">
        <f t="array" ref="N27">TREND($E$22:$F$22,$E$21:$F$21,N26)</f>
        <v>709.60000000000582</v>
      </c>
      <c r="O27" s="3" cm="1">
        <f t="array" ref="O27">TREND($E$22:$F$22,$E$21:$F$21,O26)</f>
        <v>726.20000000000437</v>
      </c>
      <c r="P27" s="3" cm="1">
        <f t="array" ref="P27">TREND($E$22:$F$22,$E$21:$F$21,P26)</f>
        <v>742.80000000000291</v>
      </c>
      <c r="Q27" s="3" cm="1">
        <f t="array" ref="Q27">TREND($E$22:$F$22,$E$21:$F$21,Q26)</f>
        <v>759.40000000000146</v>
      </c>
      <c r="R27" s="16">
        <f>HLOOKUP(R26,$C$21:$G$22,2,FALSE)</f>
        <v>776</v>
      </c>
      <c r="S27" s="3" cm="1">
        <f t="array" ref="S27">TREND($F$22:$G$22,$F$21:$G$21,S26)</f>
        <v>785.40000000000146</v>
      </c>
      <c r="T27" s="3" cm="1">
        <f t="array" ref="T27">TREND($F$22:$G$22,$F$21:$G$21,T26)</f>
        <v>794.79999999999927</v>
      </c>
      <c r="U27" s="3" cm="1">
        <f t="array" ref="U27">TREND($F$22:$G$22,$F$21:$G$21,U26)</f>
        <v>804.20000000000073</v>
      </c>
      <c r="V27" s="3" cm="1">
        <f t="array" ref="V27">TREND($F$22:$G$22,$F$21:$G$21,V26)</f>
        <v>813.60000000000218</v>
      </c>
      <c r="W27" s="3" cm="1">
        <f t="array" ref="W27">TREND($F$22:$G$22,$F$21:$G$21,W26)</f>
        <v>823</v>
      </c>
      <c r="X27" s="3" cm="1">
        <f t="array" ref="X27">TREND($F$22:$G$22,$F$21:$G$21,X26)</f>
        <v>832.40000000000146</v>
      </c>
      <c r="Y27" s="3" cm="1">
        <f t="array" ref="Y27">TREND($F$22:$G$22,$F$21:$G$21,Y26)</f>
        <v>841.79999999999927</v>
      </c>
      <c r="Z27" s="3" cm="1">
        <f t="array" ref="Z27">TREND($F$22:$G$22,$F$21:$G$21,Z26)</f>
        <v>851.20000000000073</v>
      </c>
      <c r="AA27" s="3" cm="1">
        <f t="array" ref="AA27">TREND($F$22:$G$22,$F$21:$G$21,AA26)</f>
        <v>860.60000000000218</v>
      </c>
      <c r="AB27" s="16">
        <f>HLOOKUP(AB26,$C$21:$G$22,2,FALSE)</f>
        <v>870</v>
      </c>
    </row>
    <row r="28" spans="1:28" x14ac:dyDescent="0.25">
      <c r="A28" t="s">
        <v>15</v>
      </c>
      <c r="B28" t="s">
        <v>8</v>
      </c>
      <c r="D28" s="17">
        <f t="shared" ref="D28:F28" si="4">E28</f>
        <v>5.6192236598880285E-2</v>
      </c>
      <c r="E28" s="17">
        <f t="shared" si="4"/>
        <v>5.6192236598880285E-2</v>
      </c>
      <c r="F28" s="17">
        <f t="shared" si="4"/>
        <v>5.6192236598880285E-2</v>
      </c>
      <c r="G28" s="17">
        <f>H28</f>
        <v>5.6192236598880285E-2</v>
      </c>
      <c r="H28" s="17">
        <f>I28</f>
        <v>5.6192236598880285E-2</v>
      </c>
      <c r="I28" s="8">
        <f>I27/H27-1</f>
        <v>5.6192236598880285E-2</v>
      </c>
      <c r="J28" s="8">
        <f>J27/I27-1</f>
        <v>5.3202660133009783E-2</v>
      </c>
      <c r="K28" s="8">
        <f t="shared" ref="K28:Y28" si="5">K27/J27-1</f>
        <v>5.0515121302761257E-2</v>
      </c>
      <c r="L28" s="8">
        <f t="shared" si="5"/>
        <v>4.8086048718762431E-2</v>
      </c>
      <c r="M28" s="8">
        <f>M27/L27-1</f>
        <v>4.5879867189860368E-2</v>
      </c>
      <c r="N28" s="8">
        <f t="shared" si="5"/>
        <v>2.3953823953832387E-2</v>
      </c>
      <c r="O28" s="8">
        <f t="shared" si="5"/>
        <v>2.3393461104845636E-2</v>
      </c>
      <c r="P28" s="8">
        <f t="shared" si="5"/>
        <v>2.2858716606993124E-2</v>
      </c>
      <c r="Q28" s="8">
        <f t="shared" si="5"/>
        <v>2.2347872913298872E-2</v>
      </c>
      <c r="R28" s="8">
        <f t="shared" si="5"/>
        <v>2.1859362654725434E-2</v>
      </c>
      <c r="S28" s="8">
        <f t="shared" si="5"/>
        <v>1.2113402061857625E-2</v>
      </c>
      <c r="T28" s="8">
        <f t="shared" si="5"/>
        <v>1.1968423733126787E-2</v>
      </c>
      <c r="U28" s="8">
        <f t="shared" si="5"/>
        <v>1.1826874685457289E-2</v>
      </c>
      <c r="V28" s="8">
        <f t="shared" si="5"/>
        <v>1.1688634667994746E-2</v>
      </c>
      <c r="W28" s="8">
        <f t="shared" si="5"/>
        <v>1.1553588987214702E-2</v>
      </c>
      <c r="X28" s="8">
        <f t="shared" si="5"/>
        <v>1.142162818955228E-2</v>
      </c>
      <c r="Y28" s="8">
        <f t="shared" si="5"/>
        <v>1.1292647765494657E-2</v>
      </c>
      <c r="Z28" s="8">
        <f>Z27/Y27-1</f>
        <v>1.1166547873605825E-2</v>
      </c>
      <c r="AA28" s="8">
        <f>AA27/Z27-1</f>
        <v>1.1043233082708381E-2</v>
      </c>
      <c r="AB28" s="8">
        <f t="shared" ref="AB28" si="6">AB27/AA27-1</f>
        <v>1.0922612131068821E-2</v>
      </c>
    </row>
    <row r="30" spans="1:28" x14ac:dyDescent="0.25">
      <c r="C30">
        <v>2025</v>
      </c>
      <c r="D30">
        <v>2026</v>
      </c>
      <c r="E30">
        <v>2027</v>
      </c>
      <c r="F30">
        <v>2028</v>
      </c>
      <c r="G30">
        <v>2029</v>
      </c>
      <c r="H30">
        <f>G30+1</f>
        <v>2030</v>
      </c>
      <c r="I30">
        <f t="shared" ref="I30:R30" si="7">H30+1</f>
        <v>2031</v>
      </c>
      <c r="J30">
        <f t="shared" si="7"/>
        <v>2032</v>
      </c>
      <c r="K30">
        <f t="shared" si="7"/>
        <v>2033</v>
      </c>
      <c r="L30">
        <f t="shared" si="7"/>
        <v>2034</v>
      </c>
      <c r="M30">
        <f t="shared" si="7"/>
        <v>2035</v>
      </c>
      <c r="N30">
        <f t="shared" si="7"/>
        <v>2036</v>
      </c>
      <c r="O30">
        <f t="shared" si="7"/>
        <v>2037</v>
      </c>
      <c r="P30">
        <f t="shared" si="7"/>
        <v>2038</v>
      </c>
      <c r="Q30">
        <f t="shared" si="7"/>
        <v>2039</v>
      </c>
      <c r="R30">
        <f t="shared" si="7"/>
        <v>2040</v>
      </c>
      <c r="S30">
        <f>R30+1</f>
        <v>2041</v>
      </c>
      <c r="T30">
        <f t="shared" ref="T30:Y30" si="8">S30+1</f>
        <v>2042</v>
      </c>
      <c r="U30">
        <f t="shared" si="8"/>
        <v>2043</v>
      </c>
      <c r="V30">
        <f t="shared" si="8"/>
        <v>2044</v>
      </c>
      <c r="W30">
        <f t="shared" si="8"/>
        <v>2045</v>
      </c>
      <c r="X30">
        <f t="shared" si="8"/>
        <v>2046</v>
      </c>
      <c r="Y30">
        <f t="shared" si="8"/>
        <v>2047</v>
      </c>
      <c r="Z30">
        <f>Y30+1</f>
        <v>2048</v>
      </c>
      <c r="AA30">
        <f t="shared" ref="AA30:AB30" si="9">Z30+1</f>
        <v>2049</v>
      </c>
      <c r="AB30">
        <f t="shared" si="9"/>
        <v>2050</v>
      </c>
    </row>
    <row r="31" spans="1:28" ht="30" x14ac:dyDescent="0.25">
      <c r="B31" s="14" t="s">
        <v>14</v>
      </c>
      <c r="C31" s="16">
        <f>HLOOKUP(C30,$C$21:$G$23,3,FALSE)</f>
        <v>279</v>
      </c>
      <c r="D31" s="3" cm="1">
        <f t="array" ref="D31">TREND($C$23:$D$23,$C$21:$D$21,D30)</f>
        <v>366.79999999998836</v>
      </c>
      <c r="E31" s="3" cm="1">
        <f t="array" ref="E31">TREND($C$23:$D$23,$C$21:$D$21,E30)</f>
        <v>454.60000000000582</v>
      </c>
      <c r="F31" s="3" cm="1">
        <f t="array" ref="F31">TREND($C$23:$D$23,$C$21:$D$21,F30)</f>
        <v>542.39999999999418</v>
      </c>
      <c r="G31" s="3" cm="1">
        <f t="array" ref="G31">TREND($C$23:$D$23,$C$21:$D$21,G30)</f>
        <v>630.19999999998254</v>
      </c>
      <c r="H31" s="16">
        <f>HLOOKUP(H30,$C$21:$G$23,3,FALSE)</f>
        <v>718</v>
      </c>
      <c r="I31" s="3" cm="1">
        <f t="array" ref="I31">TREND($D$23:$E$23,$D$21:$E$21,I30)</f>
        <v>783</v>
      </c>
      <c r="J31" s="3" cm="1">
        <f t="array" ref="J31">TREND($D$23:$E$23,$D$21:$E$21,J30)</f>
        <v>848</v>
      </c>
      <c r="K31" s="3" cm="1">
        <f t="array" ref="K31">TREND($D$23:$E$23,$D$21:$E$21,K30)</f>
        <v>913</v>
      </c>
      <c r="L31" s="3" cm="1">
        <f t="array" ref="L31">TREND($D$23:$E$23,$D$21:$E$21,L30)</f>
        <v>978</v>
      </c>
      <c r="M31" s="16">
        <f>HLOOKUP(M30,$C$21:$G$23,3,FALSE)</f>
        <v>1043</v>
      </c>
      <c r="N31" s="3" cm="1">
        <f t="array" ref="N31">TREND($E$23:$F$23,$E$21:$F$21,N30)</f>
        <v>1078.7999999999884</v>
      </c>
      <c r="O31" s="3" cm="1">
        <f t="array" ref="O31">TREND($E$23:$F$23,$E$21:$F$21,O30)</f>
        <v>1114.5999999999913</v>
      </c>
      <c r="P31" s="3" cm="1">
        <f t="array" ref="P31">TREND($E$23:$F$23,$E$21:$F$21,P30)</f>
        <v>1150.3999999999942</v>
      </c>
      <c r="Q31" s="3" cm="1">
        <f t="array" ref="Q31">TREND($E$23:$F$23,$E$21:$F$21,Q30)</f>
        <v>1186.1999999999971</v>
      </c>
      <c r="R31" s="16">
        <f>HLOOKUP(R30,$C$21:$G$23,3,FALSE)</f>
        <v>1222</v>
      </c>
      <c r="S31" s="3" cm="1">
        <f t="array" ref="S31">TREND($F$23:$G$23,$F$21:$G$21,S30)</f>
        <v>1267.7000000000116</v>
      </c>
      <c r="T31" s="3" cm="1">
        <f t="array" ref="T31">TREND($F$23:$G$23,$F$21:$G$21,T30)</f>
        <v>1313.4000000000087</v>
      </c>
      <c r="U31" s="3" cm="1">
        <f t="array" ref="U31">TREND($F$23:$G$23,$F$21:$G$21,U30)</f>
        <v>1359.1000000000058</v>
      </c>
      <c r="V31" s="3" cm="1">
        <f t="array" ref="V31">TREND($F$23:$G$23,$F$21:$G$21,V30)</f>
        <v>1404.8000000000029</v>
      </c>
      <c r="W31" s="3" cm="1">
        <f t="array" ref="W31">TREND($F$23:$G$23,$F$21:$G$21,W30)</f>
        <v>1450.5</v>
      </c>
      <c r="X31" s="3" cm="1">
        <f t="array" ref="X31">TREND($F$23:$G$23,$F$21:$G$21,X30)</f>
        <v>1496.2000000000116</v>
      </c>
      <c r="Y31" s="3" cm="1">
        <f t="array" ref="Y31">TREND($F$23:$G$23,$F$21:$G$21,Y30)</f>
        <v>1541.9000000000087</v>
      </c>
      <c r="Z31" s="3" cm="1">
        <f t="array" ref="Z31">TREND($F$23:$G$23,$F$21:$G$21,Z30)</f>
        <v>1587.6000000000058</v>
      </c>
      <c r="AA31" s="3" cm="1">
        <f t="array" ref="AA31">TREND($F$23:$G$23,$F$21:$G$21,AA30)</f>
        <v>1633.3000000000029</v>
      </c>
      <c r="AB31" s="16">
        <f>HLOOKUP(AB30,$C$21:$G$23,3,FALSE)</f>
        <v>1679</v>
      </c>
    </row>
    <row r="32" spans="1:28" x14ac:dyDescent="0.25">
      <c r="A32" t="s">
        <v>16</v>
      </c>
      <c r="B32" t="s">
        <v>8</v>
      </c>
      <c r="C32" s="27">
        <f>D32</f>
        <v>9.0529247910863475E-2</v>
      </c>
      <c r="D32" s="17">
        <f t="shared" ref="D32:F32" si="10">E32</f>
        <v>9.0529247910863475E-2</v>
      </c>
      <c r="E32" s="17">
        <f t="shared" si="10"/>
        <v>9.0529247910863475E-2</v>
      </c>
      <c r="F32" s="17">
        <f t="shared" si="10"/>
        <v>9.0529247910863475E-2</v>
      </c>
      <c r="G32" s="17">
        <f>H32</f>
        <v>9.0529247910863475E-2</v>
      </c>
      <c r="H32" s="17">
        <f>I32</f>
        <v>9.0529247910863475E-2</v>
      </c>
      <c r="I32" s="8">
        <f>I31/H31-1</f>
        <v>9.0529247910863475E-2</v>
      </c>
      <c r="J32" s="8">
        <f>J31/I31-1</f>
        <v>8.3014048531290019E-2</v>
      </c>
      <c r="K32" s="8">
        <f t="shared" ref="K32:L32" si="11">K31/J31-1</f>
        <v>7.6650943396226356E-2</v>
      </c>
      <c r="L32" s="8">
        <f t="shared" si="11"/>
        <v>7.1193866374589243E-2</v>
      </c>
      <c r="M32" s="8">
        <f>M31/L31-1</f>
        <v>6.6462167689161467E-2</v>
      </c>
      <c r="N32" s="8">
        <f t="shared" ref="N32:Y32" si="12">N31/M31-1</f>
        <v>3.4324065196537301E-2</v>
      </c>
      <c r="O32" s="8">
        <f t="shared" si="12"/>
        <v>3.3185020393032394E-2</v>
      </c>
      <c r="P32" s="8">
        <f t="shared" si="12"/>
        <v>3.2119145881933653E-2</v>
      </c>
      <c r="Q32" s="8">
        <f t="shared" si="12"/>
        <v>3.1119610570239153E-2</v>
      </c>
      <c r="R32" s="8">
        <f t="shared" si="12"/>
        <v>3.018040802563049E-2</v>
      </c>
      <c r="S32" s="8">
        <f t="shared" si="12"/>
        <v>3.7397708674314023E-2</v>
      </c>
      <c r="T32" s="8">
        <f t="shared" si="12"/>
        <v>3.6049538534350889E-2</v>
      </c>
      <c r="U32" s="8">
        <f t="shared" si="12"/>
        <v>3.4795188061517379E-2</v>
      </c>
      <c r="V32" s="8">
        <f t="shared" si="12"/>
        <v>3.3625193142518439E-2</v>
      </c>
      <c r="W32" s="8">
        <f t="shared" si="12"/>
        <v>3.2531321184508188E-2</v>
      </c>
      <c r="X32" s="8">
        <f t="shared" si="12"/>
        <v>3.1506377111348849E-2</v>
      </c>
      <c r="Y32" s="8">
        <f t="shared" si="12"/>
        <v>3.0544044913779489E-2</v>
      </c>
      <c r="Z32" s="8">
        <f>Z31/Y31-1</f>
        <v>2.963875737725985E-2</v>
      </c>
      <c r="AA32" s="8">
        <f>AA31/Z31-1</f>
        <v>2.8785588309395926E-2</v>
      </c>
      <c r="AB32" s="8">
        <f t="shared" ref="AB32" si="13">AB31/AA31-1</f>
        <v>2.7980162860464786E-2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82FD-BD2B-496B-96D8-0AACE0C2D75C}">
  <dimension ref="A1:G26"/>
  <sheetViews>
    <sheetView workbookViewId="0">
      <selection activeCell="F19" sqref="F19"/>
    </sheetView>
  </sheetViews>
  <sheetFormatPr defaultRowHeight="15" x14ac:dyDescent="0.25"/>
  <sheetData>
    <row r="1" spans="1:7" x14ac:dyDescent="0.25">
      <c r="A1" s="29" t="s">
        <v>2</v>
      </c>
      <c r="B1" s="29" t="s">
        <v>132</v>
      </c>
      <c r="C1" s="29" t="s">
        <v>0</v>
      </c>
      <c r="D1" s="29" t="s">
        <v>133</v>
      </c>
      <c r="E1" s="29" t="s">
        <v>134</v>
      </c>
      <c r="F1" s="29" t="s">
        <v>135</v>
      </c>
    </row>
    <row r="2" spans="1:7" x14ac:dyDescent="0.25">
      <c r="A2" s="28" t="s">
        <v>136</v>
      </c>
      <c r="B2" s="28" t="s">
        <v>137</v>
      </c>
      <c r="C2" s="28">
        <v>2021</v>
      </c>
      <c r="D2" s="28">
        <v>10.5</v>
      </c>
      <c r="E2" s="28">
        <v>10.3</v>
      </c>
      <c r="F2" s="28">
        <v>91.4</v>
      </c>
    </row>
    <row r="3" spans="1:7" x14ac:dyDescent="0.25">
      <c r="A3" s="28" t="s">
        <v>136</v>
      </c>
      <c r="B3" s="28" t="s">
        <v>137</v>
      </c>
      <c r="C3" s="28">
        <v>2022</v>
      </c>
      <c r="D3" s="28">
        <v>16</v>
      </c>
      <c r="E3" s="28">
        <v>13.9</v>
      </c>
      <c r="F3" s="28">
        <v>116</v>
      </c>
    </row>
    <row r="4" spans="1:7" x14ac:dyDescent="0.25">
      <c r="A4" s="28" t="s">
        <v>136</v>
      </c>
      <c r="B4" s="28" t="s">
        <v>137</v>
      </c>
      <c r="C4" s="28">
        <v>2023</v>
      </c>
      <c r="D4" s="28">
        <v>25.5</v>
      </c>
      <c r="E4" s="28">
        <v>16.7</v>
      </c>
      <c r="F4" s="28">
        <v>141</v>
      </c>
    </row>
    <row r="5" spans="1:7" x14ac:dyDescent="0.25">
      <c r="A5" s="28" t="s">
        <v>136</v>
      </c>
      <c r="B5" s="28" t="s">
        <v>137</v>
      </c>
      <c r="C5" s="28">
        <v>2024</v>
      </c>
      <c r="D5" s="28">
        <v>39.799999999999997</v>
      </c>
      <c r="E5" s="28">
        <v>21.5</v>
      </c>
      <c r="F5" s="28">
        <v>184</v>
      </c>
    </row>
    <row r="6" spans="1:7" x14ac:dyDescent="0.25">
      <c r="A6" s="28" t="s">
        <v>138</v>
      </c>
      <c r="B6" s="28" t="s">
        <v>137</v>
      </c>
      <c r="C6" s="28">
        <v>2024</v>
      </c>
      <c r="D6" s="28">
        <v>35.1</v>
      </c>
      <c r="E6" s="28">
        <v>20.7</v>
      </c>
      <c r="F6" s="28">
        <v>177</v>
      </c>
    </row>
    <row r="7" spans="1:7" x14ac:dyDescent="0.25">
      <c r="A7" s="28" t="s">
        <v>138</v>
      </c>
      <c r="B7" s="28" t="s">
        <v>137</v>
      </c>
      <c r="C7" s="28">
        <v>2025</v>
      </c>
      <c r="D7" s="28">
        <v>38.700000000000003</v>
      </c>
      <c r="E7" s="28">
        <v>24.8</v>
      </c>
      <c r="F7" s="28">
        <v>212</v>
      </c>
    </row>
    <row r="8" spans="1:7" x14ac:dyDescent="0.25">
      <c r="A8" s="28" t="s">
        <v>138</v>
      </c>
      <c r="B8" s="28" t="s">
        <v>137</v>
      </c>
      <c r="C8" s="28">
        <v>2026</v>
      </c>
      <c r="D8" s="28">
        <v>42.2</v>
      </c>
      <c r="E8" s="28">
        <v>29.7</v>
      </c>
      <c r="F8" s="28">
        <v>251</v>
      </c>
      <c r="G8">
        <f>F8-$F$7</f>
        <v>39</v>
      </c>
    </row>
    <row r="9" spans="1:7" x14ac:dyDescent="0.25">
      <c r="A9" s="28" t="s">
        <v>138</v>
      </c>
      <c r="B9" s="28" t="s">
        <v>137</v>
      </c>
      <c r="C9" s="28">
        <v>2027</v>
      </c>
      <c r="D9" s="28">
        <v>45.6</v>
      </c>
      <c r="E9" s="28">
        <v>35.1</v>
      </c>
      <c r="F9" s="28">
        <v>296</v>
      </c>
      <c r="G9">
        <f t="shared" ref="G9:G12" si="0">F9-$F$7</f>
        <v>84</v>
      </c>
    </row>
    <row r="10" spans="1:7" x14ac:dyDescent="0.25">
      <c r="A10" s="28" t="s">
        <v>138</v>
      </c>
      <c r="B10" s="28" t="s">
        <v>137</v>
      </c>
      <c r="C10" s="28">
        <v>2028</v>
      </c>
      <c r="D10" s="28">
        <v>49.1</v>
      </c>
      <c r="E10" s="28">
        <v>39.4</v>
      </c>
      <c r="F10" s="28">
        <v>333</v>
      </c>
      <c r="G10">
        <f t="shared" si="0"/>
        <v>121</v>
      </c>
    </row>
    <row r="11" spans="1:7" x14ac:dyDescent="0.25">
      <c r="A11" s="28" t="s">
        <v>138</v>
      </c>
      <c r="B11" s="28" t="s">
        <v>137</v>
      </c>
      <c r="C11" s="28">
        <v>2029</v>
      </c>
      <c r="D11" s="28">
        <v>52.6</v>
      </c>
      <c r="E11" s="28">
        <v>42.5</v>
      </c>
      <c r="F11" s="28">
        <v>359</v>
      </c>
      <c r="G11">
        <f t="shared" si="0"/>
        <v>147</v>
      </c>
    </row>
    <row r="12" spans="1:7" x14ac:dyDescent="0.25">
      <c r="A12" s="28" t="s">
        <v>138</v>
      </c>
      <c r="B12" s="28" t="s">
        <v>137</v>
      </c>
      <c r="C12" s="28">
        <v>2030</v>
      </c>
      <c r="D12" s="28">
        <v>56.1</v>
      </c>
      <c r="E12" s="28">
        <v>45.4</v>
      </c>
      <c r="F12" s="28">
        <v>384</v>
      </c>
      <c r="G12">
        <f t="shared" si="0"/>
        <v>172</v>
      </c>
    </row>
    <row r="13" spans="1:7" x14ac:dyDescent="0.25">
      <c r="A13" s="28" t="s">
        <v>139</v>
      </c>
      <c r="B13" s="28" t="s">
        <v>137</v>
      </c>
      <c r="C13" s="28">
        <v>2024</v>
      </c>
      <c r="D13" s="28">
        <v>39.799999999999997</v>
      </c>
      <c r="E13" s="28">
        <v>21.5</v>
      </c>
      <c r="F13" s="28">
        <v>184</v>
      </c>
    </row>
    <row r="14" spans="1:7" x14ac:dyDescent="0.25">
      <c r="A14" s="28" t="s">
        <v>139</v>
      </c>
      <c r="B14" s="28" t="s">
        <v>137</v>
      </c>
      <c r="C14" s="28">
        <v>2025</v>
      </c>
      <c r="D14" s="28">
        <v>49.1</v>
      </c>
      <c r="E14" s="28">
        <v>27.7</v>
      </c>
      <c r="F14" s="28">
        <v>235</v>
      </c>
    </row>
    <row r="15" spans="1:7" x14ac:dyDescent="0.25">
      <c r="A15" s="28" t="s">
        <v>139</v>
      </c>
      <c r="B15" s="28" t="s">
        <v>137</v>
      </c>
      <c r="C15" s="28">
        <v>2026</v>
      </c>
      <c r="D15" s="28">
        <v>58.5</v>
      </c>
      <c r="E15" s="28">
        <v>35.5</v>
      </c>
      <c r="F15" s="28">
        <v>301</v>
      </c>
      <c r="G15">
        <f>F15-$F$14</f>
        <v>66</v>
      </c>
    </row>
    <row r="16" spans="1:7" x14ac:dyDescent="0.25">
      <c r="A16" s="28" t="s">
        <v>139</v>
      </c>
      <c r="B16" s="28" t="s">
        <v>137</v>
      </c>
      <c r="C16" s="28">
        <v>2027</v>
      </c>
      <c r="D16" s="28">
        <v>67.8</v>
      </c>
      <c r="E16" s="28">
        <v>45</v>
      </c>
      <c r="F16" s="28">
        <v>380</v>
      </c>
      <c r="G16">
        <f t="shared" ref="G16:G19" si="1">F16-$F$14</f>
        <v>145</v>
      </c>
    </row>
    <row r="17" spans="1:7" x14ac:dyDescent="0.25">
      <c r="A17" s="28" t="s">
        <v>139</v>
      </c>
      <c r="B17" s="28" t="s">
        <v>137</v>
      </c>
      <c r="C17" s="28">
        <v>2028</v>
      </c>
      <c r="D17" s="28">
        <v>77.2</v>
      </c>
      <c r="E17" s="28">
        <v>54.4</v>
      </c>
      <c r="F17" s="28">
        <v>459</v>
      </c>
      <c r="G17">
        <f t="shared" si="1"/>
        <v>224</v>
      </c>
    </row>
    <row r="18" spans="1:7" x14ac:dyDescent="0.25">
      <c r="A18" s="28" t="s">
        <v>139</v>
      </c>
      <c r="B18" s="28" t="s">
        <v>137</v>
      </c>
      <c r="C18" s="28">
        <v>2029</v>
      </c>
      <c r="D18" s="28">
        <v>86.5</v>
      </c>
      <c r="E18" s="28">
        <v>62.6</v>
      </c>
      <c r="F18" s="28">
        <v>529</v>
      </c>
      <c r="G18">
        <f t="shared" si="1"/>
        <v>294</v>
      </c>
    </row>
    <row r="19" spans="1:7" x14ac:dyDescent="0.25">
      <c r="A19" s="28" t="s">
        <v>139</v>
      </c>
      <c r="B19" s="28" t="s">
        <v>137</v>
      </c>
      <c r="C19" s="28">
        <v>2030</v>
      </c>
      <c r="D19" s="28">
        <v>95.9</v>
      </c>
      <c r="E19" s="28">
        <v>70.7</v>
      </c>
      <c r="F19" s="28">
        <v>596</v>
      </c>
      <c r="G19">
        <f t="shared" si="1"/>
        <v>361</v>
      </c>
    </row>
    <row r="20" spans="1:7" x14ac:dyDescent="0.25">
      <c r="A20" s="28" t="s">
        <v>140</v>
      </c>
      <c r="B20" s="28" t="s">
        <v>137</v>
      </c>
      <c r="C20" s="28">
        <v>2024</v>
      </c>
      <c r="D20" s="28">
        <v>44.5</v>
      </c>
      <c r="E20" s="28">
        <v>22.4</v>
      </c>
      <c r="F20" s="28">
        <v>192</v>
      </c>
    </row>
    <row r="21" spans="1:7" x14ac:dyDescent="0.25">
      <c r="A21" s="28" t="s">
        <v>140</v>
      </c>
      <c r="B21" s="28" t="s">
        <v>137</v>
      </c>
      <c r="C21" s="28">
        <v>2025</v>
      </c>
      <c r="D21" s="28">
        <v>59.1</v>
      </c>
      <c r="E21" s="28">
        <v>30.4</v>
      </c>
      <c r="F21" s="28">
        <v>258</v>
      </c>
    </row>
    <row r="22" spans="1:7" x14ac:dyDescent="0.25">
      <c r="A22" s="28" t="s">
        <v>140</v>
      </c>
      <c r="B22" s="28" t="s">
        <v>137</v>
      </c>
      <c r="C22" s="28">
        <v>2026</v>
      </c>
      <c r="D22" s="28">
        <v>73.8</v>
      </c>
      <c r="E22" s="28">
        <v>41.1</v>
      </c>
      <c r="F22" s="28">
        <v>348</v>
      </c>
      <c r="G22">
        <f>F22-$F$21</f>
        <v>90</v>
      </c>
    </row>
    <row r="23" spans="1:7" x14ac:dyDescent="0.25">
      <c r="A23" s="28" t="s">
        <v>140</v>
      </c>
      <c r="B23" s="28" t="s">
        <v>137</v>
      </c>
      <c r="C23" s="28">
        <v>2027</v>
      </c>
      <c r="D23" s="28">
        <v>88.5</v>
      </c>
      <c r="E23" s="28">
        <v>54.4</v>
      </c>
      <c r="F23" s="28">
        <v>459</v>
      </c>
      <c r="G23">
        <f t="shared" ref="G23:G26" si="2">F23-$F$21</f>
        <v>201</v>
      </c>
    </row>
    <row r="24" spans="1:7" x14ac:dyDescent="0.25">
      <c r="A24" s="28" t="s">
        <v>140</v>
      </c>
      <c r="B24" s="28" t="s">
        <v>137</v>
      </c>
      <c r="C24" s="28">
        <v>2028</v>
      </c>
      <c r="D24" s="28">
        <v>103</v>
      </c>
      <c r="E24" s="28">
        <v>68.5</v>
      </c>
      <c r="F24" s="28">
        <v>578</v>
      </c>
      <c r="G24">
        <f t="shared" si="2"/>
        <v>320</v>
      </c>
    </row>
    <row r="25" spans="1:7" x14ac:dyDescent="0.25">
      <c r="A25" s="28" t="s">
        <v>140</v>
      </c>
      <c r="B25" s="28" t="s">
        <v>137</v>
      </c>
      <c r="C25" s="28">
        <v>2029</v>
      </c>
      <c r="D25" s="28">
        <v>118</v>
      </c>
      <c r="E25" s="28">
        <v>81.5</v>
      </c>
      <c r="F25" s="28">
        <v>687</v>
      </c>
      <c r="G25">
        <f t="shared" si="2"/>
        <v>429</v>
      </c>
    </row>
    <row r="26" spans="1:7" x14ac:dyDescent="0.25">
      <c r="A26" s="28" t="s">
        <v>140</v>
      </c>
      <c r="B26" s="28" t="s">
        <v>137</v>
      </c>
      <c r="C26" s="28">
        <v>2030</v>
      </c>
      <c r="D26" s="28">
        <v>132</v>
      </c>
      <c r="E26" s="28">
        <v>94</v>
      </c>
      <c r="F26" s="28">
        <v>794</v>
      </c>
      <c r="G26">
        <f t="shared" si="2"/>
        <v>536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87F32-B8F1-4841-987D-BFD200C5A817}">
  <dimension ref="B23:E24"/>
  <sheetViews>
    <sheetView zoomScale="115" zoomScaleNormal="115" workbookViewId="0">
      <selection activeCell="B25" sqref="B25"/>
    </sheetView>
  </sheetViews>
  <sheetFormatPr defaultRowHeight="15" x14ac:dyDescent="0.25"/>
  <cols>
    <col min="2" max="2" width="12.85546875" bestFit="1" customWidth="1"/>
  </cols>
  <sheetData>
    <row r="23" spans="2:5" x14ac:dyDescent="0.25">
      <c r="B23" t="s">
        <v>156</v>
      </c>
      <c r="C23">
        <v>2024</v>
      </c>
      <c r="D23">
        <v>2025</v>
      </c>
      <c r="E23">
        <v>2030</v>
      </c>
    </row>
    <row r="24" spans="2:5" x14ac:dyDescent="0.25">
      <c r="B24" t="s">
        <v>124</v>
      </c>
      <c r="C24">
        <v>183</v>
      </c>
      <c r="D24">
        <v>224</v>
      </c>
      <c r="E24">
        <v>426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097A5-73A8-4B15-AE61-B6D9CB7F97AD}">
  <dimension ref="A1:AE102"/>
  <sheetViews>
    <sheetView workbookViewId="0"/>
  </sheetViews>
  <sheetFormatPr defaultRowHeight="15" x14ac:dyDescent="0.25"/>
  <sheetData>
    <row r="1" spans="1:31" x14ac:dyDescent="0.25">
      <c r="A1" t="s">
        <v>69</v>
      </c>
    </row>
    <row r="2" spans="1:31" x14ac:dyDescent="0.25">
      <c r="A2" t="s">
        <v>328</v>
      </c>
    </row>
    <row r="3" spans="1:31" x14ac:dyDescent="0.25">
      <c r="A3" t="s">
        <v>327</v>
      </c>
    </row>
    <row r="4" spans="1:31" x14ac:dyDescent="0.25">
      <c r="A4" t="s">
        <v>70</v>
      </c>
    </row>
    <row r="5" spans="1:31" x14ac:dyDescent="0.25">
      <c r="B5" t="s">
        <v>71</v>
      </c>
      <c r="C5" t="s">
        <v>72</v>
      </c>
      <c r="D5" t="s">
        <v>73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326</v>
      </c>
    </row>
    <row r="6" spans="1:31" x14ac:dyDescent="0.25">
      <c r="A6" t="s">
        <v>74</v>
      </c>
    </row>
    <row r="7" spans="1:31" x14ac:dyDescent="0.25">
      <c r="A7" t="s">
        <v>75</v>
      </c>
    </row>
    <row r="8" spans="1:31" x14ac:dyDescent="0.25">
      <c r="A8" t="s">
        <v>76</v>
      </c>
      <c r="B8" t="s">
        <v>325</v>
      </c>
      <c r="C8" t="s">
        <v>324</v>
      </c>
      <c r="D8" t="s">
        <v>77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s="20">
        <v>0.01</v>
      </c>
    </row>
    <row r="9" spans="1:31" x14ac:dyDescent="0.25">
      <c r="A9" t="s">
        <v>78</v>
      </c>
      <c r="B9" t="s">
        <v>323</v>
      </c>
      <c r="C9" t="s">
        <v>322</v>
      </c>
      <c r="D9" t="s">
        <v>77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s="20">
        <v>3.0000000000000001E-3</v>
      </c>
    </row>
    <row r="10" spans="1:31" x14ac:dyDescent="0.25">
      <c r="A10" t="s">
        <v>21</v>
      </c>
      <c r="B10" t="s">
        <v>321</v>
      </c>
      <c r="C10" t="s">
        <v>320</v>
      </c>
      <c r="D10" t="s">
        <v>77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s="20">
        <v>0.01</v>
      </c>
    </row>
    <row r="11" spans="1:31" x14ac:dyDescent="0.25">
      <c r="A11" t="s">
        <v>79</v>
      </c>
    </row>
    <row r="12" spans="1:31" x14ac:dyDescent="0.25">
      <c r="A12" t="s">
        <v>80</v>
      </c>
    </row>
    <row r="13" spans="1:31" x14ac:dyDescent="0.25">
      <c r="A13" t="s">
        <v>81</v>
      </c>
      <c r="B13" t="s">
        <v>319</v>
      </c>
      <c r="C13" t="s">
        <v>318</v>
      </c>
      <c r="D13" t="s">
        <v>82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s="20">
        <v>-4.0000000000000001E-3</v>
      </c>
    </row>
    <row r="14" spans="1:31" x14ac:dyDescent="0.25">
      <c r="A14" t="s">
        <v>83</v>
      </c>
      <c r="B14" t="s">
        <v>317</v>
      </c>
      <c r="C14" t="s">
        <v>316</v>
      </c>
      <c r="D14" t="s">
        <v>82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s="20">
        <v>-5.0000000000000001E-3</v>
      </c>
    </row>
    <row r="15" spans="1:31" x14ac:dyDescent="0.25">
      <c r="A15" t="s">
        <v>84</v>
      </c>
    </row>
    <row r="16" spans="1:31" x14ac:dyDescent="0.25">
      <c r="A16" t="s">
        <v>85</v>
      </c>
    </row>
    <row r="17" spans="1:31" x14ac:dyDescent="0.25">
      <c r="A17" t="s">
        <v>86</v>
      </c>
      <c r="B17" t="s">
        <v>315</v>
      </c>
      <c r="C17" t="s">
        <v>314</v>
      </c>
      <c r="D17" t="s">
        <v>87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s="20">
        <v>-1.4E-2</v>
      </c>
    </row>
    <row r="18" spans="1:31" x14ac:dyDescent="0.25">
      <c r="A18" t="s">
        <v>99</v>
      </c>
      <c r="B18" t="s">
        <v>313</v>
      </c>
      <c r="C18" t="s">
        <v>312</v>
      </c>
      <c r="D18" t="s">
        <v>87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s="20">
        <v>1.2999999999999999E-2</v>
      </c>
    </row>
    <row r="19" spans="1:31" x14ac:dyDescent="0.25">
      <c r="A19" t="s">
        <v>88</v>
      </c>
      <c r="B19" t="s">
        <v>311</v>
      </c>
      <c r="C19" t="s">
        <v>310</v>
      </c>
      <c r="D19" t="s">
        <v>87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s="20">
        <v>-1.2E-2</v>
      </c>
    </row>
    <row r="20" spans="1:31" x14ac:dyDescent="0.25">
      <c r="A20" t="s">
        <v>89</v>
      </c>
      <c r="B20" t="s">
        <v>309</v>
      </c>
      <c r="C20" t="s">
        <v>308</v>
      </c>
      <c r="D20" t="s">
        <v>87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s="20">
        <v>8.9999999999999993E-3</v>
      </c>
    </row>
    <row r="21" spans="1:31" x14ac:dyDescent="0.25">
      <c r="A21" t="s">
        <v>90</v>
      </c>
      <c r="B21" t="s">
        <v>307</v>
      </c>
      <c r="C21" t="s">
        <v>306</v>
      </c>
      <c r="D21" t="s">
        <v>87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s="20">
        <v>-7.0000000000000001E-3</v>
      </c>
    </row>
    <row r="22" spans="1:31" x14ac:dyDescent="0.25">
      <c r="A22" t="s">
        <v>91</v>
      </c>
      <c r="B22" t="s">
        <v>305</v>
      </c>
      <c r="C22" t="s">
        <v>304</v>
      </c>
      <c r="D22" t="s">
        <v>87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s="20">
        <v>-8.9999999999999993E-3</v>
      </c>
    </row>
    <row r="23" spans="1:31" x14ac:dyDescent="0.25">
      <c r="A23" t="s">
        <v>92</v>
      </c>
      <c r="B23" t="s">
        <v>303</v>
      </c>
      <c r="C23" t="s">
        <v>302</v>
      </c>
      <c r="D23" t="s">
        <v>87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s="20">
        <v>2E-3</v>
      </c>
    </row>
    <row r="24" spans="1:31" x14ac:dyDescent="0.25">
      <c r="A24" t="s">
        <v>220</v>
      </c>
      <c r="B24" t="s">
        <v>301</v>
      </c>
      <c r="C24" t="s">
        <v>300</v>
      </c>
      <c r="D24" t="s">
        <v>87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s="20">
        <v>0.06</v>
      </c>
    </row>
    <row r="25" spans="1:31" x14ac:dyDescent="0.25">
      <c r="A25" t="s">
        <v>217</v>
      </c>
      <c r="B25" t="s">
        <v>299</v>
      </c>
      <c r="C25" t="s">
        <v>298</v>
      </c>
      <c r="D25" t="s">
        <v>87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s="20">
        <v>-1.4E-2</v>
      </c>
    </row>
    <row r="26" spans="1:31" x14ac:dyDescent="0.25">
      <c r="A26" t="s">
        <v>93</v>
      </c>
      <c r="B26" t="s">
        <v>297</v>
      </c>
      <c r="C26" t="s">
        <v>296</v>
      </c>
      <c r="D26" t="s">
        <v>87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s="20">
        <v>6.0000000000000001E-3</v>
      </c>
    </row>
    <row r="27" spans="1:31" x14ac:dyDescent="0.25">
      <c r="A27" t="s">
        <v>94</v>
      </c>
      <c r="B27" t="s">
        <v>295</v>
      </c>
      <c r="C27" t="s">
        <v>294</v>
      </c>
      <c r="D27" t="s">
        <v>87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s="20">
        <v>1.0999999999999999E-2</v>
      </c>
    </row>
    <row r="28" spans="1:31" x14ac:dyDescent="0.25">
      <c r="A28" t="s">
        <v>95</v>
      </c>
      <c r="B28" t="s">
        <v>293</v>
      </c>
      <c r="C28" t="s">
        <v>292</v>
      </c>
      <c r="D28" t="s">
        <v>87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s="20">
        <v>0.104</v>
      </c>
    </row>
    <row r="29" spans="1:31" x14ac:dyDescent="0.25">
      <c r="A29" t="s">
        <v>96</v>
      </c>
      <c r="B29" t="s">
        <v>291</v>
      </c>
      <c r="C29" t="s">
        <v>290</v>
      </c>
      <c r="D29" t="s">
        <v>87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s="20">
        <v>2.7E-2</v>
      </c>
    </row>
    <row r="30" spans="1:31" x14ac:dyDescent="0.25">
      <c r="A30" t="s">
        <v>97</v>
      </c>
      <c r="B30" t="s">
        <v>289</v>
      </c>
      <c r="C30" t="s">
        <v>288</v>
      </c>
      <c r="D30" t="s">
        <v>87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s="20">
        <v>1.2999999999999999E-2</v>
      </c>
    </row>
    <row r="31" spans="1:31" x14ac:dyDescent="0.25">
      <c r="A31" t="s">
        <v>98</v>
      </c>
    </row>
    <row r="32" spans="1:31" x14ac:dyDescent="0.25">
      <c r="A32" t="s">
        <v>86</v>
      </c>
      <c r="B32" t="s">
        <v>287</v>
      </c>
      <c r="C32" t="s">
        <v>286</v>
      </c>
      <c r="D32" t="s">
        <v>87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s="20">
        <v>-8.0000000000000002E-3</v>
      </c>
    </row>
    <row r="33" spans="1:31" x14ac:dyDescent="0.25">
      <c r="A33" t="s">
        <v>99</v>
      </c>
      <c r="B33" t="s">
        <v>285</v>
      </c>
      <c r="C33" t="s">
        <v>284</v>
      </c>
      <c r="D33" t="s">
        <v>87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s="20">
        <v>3.1E-2</v>
      </c>
    </row>
    <row r="34" spans="1:31" x14ac:dyDescent="0.25">
      <c r="A34" t="s">
        <v>88</v>
      </c>
      <c r="B34" t="s">
        <v>283</v>
      </c>
      <c r="C34" t="s">
        <v>282</v>
      </c>
      <c r="D34" t="s">
        <v>87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s="20">
        <v>7.0000000000000001E-3</v>
      </c>
    </row>
    <row r="35" spans="1:31" x14ac:dyDescent="0.25">
      <c r="A35" t="s">
        <v>90</v>
      </c>
      <c r="B35" t="s">
        <v>281</v>
      </c>
      <c r="C35" t="s">
        <v>280</v>
      </c>
      <c r="D35" t="s">
        <v>87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s="20">
        <v>6.0000000000000001E-3</v>
      </c>
    </row>
    <row r="36" spans="1:31" x14ac:dyDescent="0.25">
      <c r="A36" t="s">
        <v>93</v>
      </c>
      <c r="B36" t="s">
        <v>279</v>
      </c>
      <c r="C36" t="s">
        <v>278</v>
      </c>
      <c r="D36" t="s">
        <v>87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s="20">
        <v>-3.0000000000000001E-3</v>
      </c>
    </row>
    <row r="37" spans="1:31" x14ac:dyDescent="0.25">
      <c r="A37" t="s">
        <v>100</v>
      </c>
      <c r="B37" t="s">
        <v>277</v>
      </c>
      <c r="C37" t="s">
        <v>276</v>
      </c>
      <c r="D37" t="s">
        <v>87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s="20">
        <v>-3.0000000000000001E-3</v>
      </c>
    </row>
    <row r="38" spans="1:31" x14ac:dyDescent="0.25">
      <c r="A38" t="s">
        <v>101</v>
      </c>
    </row>
    <row r="39" spans="1:31" x14ac:dyDescent="0.25">
      <c r="A39" t="s">
        <v>86</v>
      </c>
      <c r="B39" t="s">
        <v>275</v>
      </c>
      <c r="C39" t="s">
        <v>274</v>
      </c>
      <c r="D39" t="s">
        <v>87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s="20">
        <v>-0.02</v>
      </c>
    </row>
    <row r="40" spans="1:31" x14ac:dyDescent="0.25">
      <c r="A40" t="s">
        <v>88</v>
      </c>
      <c r="B40" t="s">
        <v>273</v>
      </c>
      <c r="C40" t="s">
        <v>272</v>
      </c>
      <c r="D40" t="s">
        <v>87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s="20">
        <v>-6.0000000000000001E-3</v>
      </c>
    </row>
    <row r="41" spans="1:31" x14ac:dyDescent="0.25">
      <c r="A41" t="s">
        <v>93</v>
      </c>
      <c r="B41" t="s">
        <v>271</v>
      </c>
      <c r="C41" t="s">
        <v>270</v>
      </c>
      <c r="D41" t="s">
        <v>87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s="20">
        <v>2E-3</v>
      </c>
    </row>
    <row r="42" spans="1:31" x14ac:dyDescent="0.25">
      <c r="A42" t="s">
        <v>100</v>
      </c>
      <c r="B42" t="s">
        <v>269</v>
      </c>
      <c r="C42" t="s">
        <v>268</v>
      </c>
      <c r="D42" t="s">
        <v>87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s="20">
        <v>-3.0000000000000001E-3</v>
      </c>
    </row>
    <row r="43" spans="1:31" x14ac:dyDescent="0.25">
      <c r="A43" t="s">
        <v>102</v>
      </c>
      <c r="B43" t="s">
        <v>267</v>
      </c>
      <c r="C43" t="s">
        <v>266</v>
      </c>
      <c r="D43" t="s">
        <v>87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s="20">
        <v>0</v>
      </c>
    </row>
    <row r="44" spans="1:31" x14ac:dyDescent="0.25">
      <c r="A44" t="s">
        <v>103</v>
      </c>
      <c r="B44" t="s">
        <v>265</v>
      </c>
      <c r="C44" t="s">
        <v>264</v>
      </c>
      <c r="D44" t="s">
        <v>87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s="20">
        <v>1.0999999999999999E-2</v>
      </c>
    </row>
    <row r="45" spans="1:31" x14ac:dyDescent="0.25">
      <c r="A45" t="s">
        <v>104</v>
      </c>
    </row>
    <row r="46" spans="1:31" x14ac:dyDescent="0.25">
      <c r="A46" t="s">
        <v>86</v>
      </c>
      <c r="B46" t="s">
        <v>263</v>
      </c>
      <c r="C46" t="s">
        <v>262</v>
      </c>
      <c r="D46" t="s">
        <v>87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s="20">
        <v>-8.9999999999999993E-3</v>
      </c>
    </row>
    <row r="47" spans="1:31" x14ac:dyDescent="0.25">
      <c r="A47" t="s">
        <v>99</v>
      </c>
      <c r="B47" t="s">
        <v>261</v>
      </c>
      <c r="C47" t="s">
        <v>260</v>
      </c>
      <c r="D47" t="s">
        <v>87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s="20">
        <v>1.4E-2</v>
      </c>
    </row>
    <row r="48" spans="1:31" x14ac:dyDescent="0.25">
      <c r="A48" t="s">
        <v>88</v>
      </c>
      <c r="B48" t="s">
        <v>259</v>
      </c>
      <c r="C48" t="s">
        <v>258</v>
      </c>
      <c r="D48" t="s">
        <v>87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s="20">
        <v>4.0000000000000001E-3</v>
      </c>
    </row>
    <row r="49" spans="1:31" x14ac:dyDescent="0.25">
      <c r="A49" t="s">
        <v>89</v>
      </c>
      <c r="B49" t="s">
        <v>257</v>
      </c>
      <c r="C49" t="s">
        <v>256</v>
      </c>
      <c r="D49" t="s">
        <v>87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s="20">
        <v>8.9999999999999993E-3</v>
      </c>
    </row>
    <row r="50" spans="1:31" x14ac:dyDescent="0.25">
      <c r="A50" t="s">
        <v>90</v>
      </c>
      <c r="B50" t="s">
        <v>255</v>
      </c>
      <c r="C50" t="s">
        <v>254</v>
      </c>
      <c r="D50" t="s">
        <v>87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s="20">
        <v>4.0000000000000001E-3</v>
      </c>
    </row>
    <row r="51" spans="1:31" x14ac:dyDescent="0.25">
      <c r="A51" t="s">
        <v>91</v>
      </c>
      <c r="B51" t="s">
        <v>253</v>
      </c>
      <c r="C51" t="s">
        <v>252</v>
      </c>
      <c r="D51" t="s">
        <v>87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s="20">
        <v>-8.9999999999999993E-3</v>
      </c>
    </row>
    <row r="52" spans="1:31" x14ac:dyDescent="0.25">
      <c r="A52" t="s">
        <v>92</v>
      </c>
      <c r="B52" t="s">
        <v>251</v>
      </c>
      <c r="C52" t="s">
        <v>250</v>
      </c>
      <c r="D52" t="s">
        <v>87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s="20">
        <v>2E-3</v>
      </c>
    </row>
    <row r="53" spans="1:31" x14ac:dyDescent="0.25">
      <c r="A53" t="s">
        <v>220</v>
      </c>
      <c r="B53" t="s">
        <v>249</v>
      </c>
      <c r="C53" t="s">
        <v>248</v>
      </c>
      <c r="D53" t="s">
        <v>87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s="20">
        <v>0.06</v>
      </c>
    </row>
    <row r="54" spans="1:31" x14ac:dyDescent="0.25">
      <c r="A54" t="s">
        <v>217</v>
      </c>
      <c r="B54" t="s">
        <v>247</v>
      </c>
      <c r="C54" t="s">
        <v>246</v>
      </c>
      <c r="D54" t="s">
        <v>87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s="20">
        <v>-1.4E-2</v>
      </c>
    </row>
    <row r="55" spans="1:31" x14ac:dyDescent="0.25">
      <c r="A55" t="s">
        <v>93</v>
      </c>
      <c r="B55" t="s">
        <v>245</v>
      </c>
      <c r="C55" t="s">
        <v>244</v>
      </c>
      <c r="D55" t="s">
        <v>87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s="20">
        <v>4.0000000000000001E-3</v>
      </c>
    </row>
    <row r="56" spans="1:31" x14ac:dyDescent="0.25">
      <c r="A56" t="s">
        <v>81</v>
      </c>
      <c r="B56" t="s">
        <v>243</v>
      </c>
      <c r="C56" t="s">
        <v>237</v>
      </c>
      <c r="D56" t="s">
        <v>87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s="20">
        <v>6.0000000000000001E-3</v>
      </c>
    </row>
    <row r="57" spans="1:31" x14ac:dyDescent="0.25">
      <c r="A57" t="s">
        <v>95</v>
      </c>
      <c r="B57" t="s">
        <v>242</v>
      </c>
      <c r="C57" t="s">
        <v>241</v>
      </c>
      <c r="D57" t="s">
        <v>87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s="20">
        <v>0.104</v>
      </c>
    </row>
    <row r="58" spans="1:31" x14ac:dyDescent="0.25">
      <c r="A58" t="s">
        <v>96</v>
      </c>
      <c r="B58" t="s">
        <v>240</v>
      </c>
      <c r="C58" t="s">
        <v>239</v>
      </c>
      <c r="D58" t="s">
        <v>87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s="20">
        <v>2.7E-2</v>
      </c>
    </row>
    <row r="59" spans="1:31" x14ac:dyDescent="0.25">
      <c r="A59" t="s">
        <v>100</v>
      </c>
      <c r="B59" t="s">
        <v>238</v>
      </c>
      <c r="C59" t="s">
        <v>237</v>
      </c>
      <c r="D59" t="s">
        <v>87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s="20">
        <v>7.0000000000000001E-3</v>
      </c>
    </row>
    <row r="60" spans="1:31" x14ac:dyDescent="0.25">
      <c r="A60" t="s">
        <v>105</v>
      </c>
      <c r="B60" t="s">
        <v>236</v>
      </c>
      <c r="C60" t="s">
        <v>235</v>
      </c>
      <c r="D60" t="s">
        <v>87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s="20">
        <v>-3.0000000000000001E-3</v>
      </c>
    </row>
    <row r="61" spans="1:31" x14ac:dyDescent="0.25">
      <c r="A61" t="s">
        <v>106</v>
      </c>
    </row>
    <row r="62" spans="1:31" x14ac:dyDescent="0.25">
      <c r="A62" t="s">
        <v>86</v>
      </c>
      <c r="B62" t="s">
        <v>234</v>
      </c>
      <c r="C62" t="s">
        <v>233</v>
      </c>
      <c r="D62" t="s">
        <v>87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s="20">
        <v>-1.0999999999999999E-2</v>
      </c>
    </row>
    <row r="63" spans="1:31" x14ac:dyDescent="0.25">
      <c r="A63" t="s">
        <v>99</v>
      </c>
      <c r="B63" t="s">
        <v>232</v>
      </c>
      <c r="C63" t="s">
        <v>231</v>
      </c>
      <c r="D63" t="s">
        <v>87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s="20">
        <v>5.0000000000000001E-3</v>
      </c>
    </row>
    <row r="64" spans="1:31" x14ac:dyDescent="0.25">
      <c r="A64" t="s">
        <v>88</v>
      </c>
      <c r="B64" t="s">
        <v>230</v>
      </c>
      <c r="C64" t="s">
        <v>229</v>
      </c>
      <c r="D64" t="s">
        <v>87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s="20">
        <v>-1E-3</v>
      </c>
    </row>
    <row r="65" spans="1:31" x14ac:dyDescent="0.25">
      <c r="A65" t="s">
        <v>89</v>
      </c>
      <c r="B65" t="s">
        <v>228</v>
      </c>
      <c r="C65" t="s">
        <v>227</v>
      </c>
      <c r="D65" t="s">
        <v>87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s="20">
        <v>1E-3</v>
      </c>
    </row>
    <row r="66" spans="1:31" x14ac:dyDescent="0.25">
      <c r="A66" t="s">
        <v>90</v>
      </c>
      <c r="B66" t="s">
        <v>226</v>
      </c>
      <c r="C66" t="s">
        <v>225</v>
      </c>
      <c r="D66" t="s">
        <v>87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s="20">
        <v>0</v>
      </c>
    </row>
    <row r="67" spans="1:31" x14ac:dyDescent="0.25">
      <c r="A67" t="s">
        <v>91</v>
      </c>
      <c r="B67" t="s">
        <v>224</v>
      </c>
      <c r="C67" t="s">
        <v>223</v>
      </c>
      <c r="D67" t="s">
        <v>87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s="20">
        <v>-1.7000000000000001E-2</v>
      </c>
    </row>
    <row r="68" spans="1:31" x14ac:dyDescent="0.25">
      <c r="A68" t="s">
        <v>92</v>
      </c>
      <c r="B68" t="s">
        <v>222</v>
      </c>
      <c r="C68" t="s">
        <v>221</v>
      </c>
      <c r="D68" t="s">
        <v>87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s="20">
        <v>-6.0000000000000001E-3</v>
      </c>
    </row>
    <row r="69" spans="1:31" x14ac:dyDescent="0.25">
      <c r="A69" t="s">
        <v>220</v>
      </c>
      <c r="B69" t="s">
        <v>219</v>
      </c>
      <c r="C69" t="s">
        <v>218</v>
      </c>
      <c r="D69" t="s">
        <v>87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s="20">
        <v>5.0999999999999997E-2</v>
      </c>
    </row>
    <row r="70" spans="1:31" x14ac:dyDescent="0.25">
      <c r="A70" t="s">
        <v>217</v>
      </c>
      <c r="B70" t="s">
        <v>216</v>
      </c>
      <c r="C70" t="s">
        <v>215</v>
      </c>
      <c r="D70" t="s">
        <v>87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s="20">
        <v>-2.3E-2</v>
      </c>
    </row>
    <row r="71" spans="1:31" x14ac:dyDescent="0.25">
      <c r="A71" t="s">
        <v>93</v>
      </c>
      <c r="B71" t="s">
        <v>214</v>
      </c>
      <c r="C71" t="s">
        <v>213</v>
      </c>
      <c r="D71" t="s">
        <v>87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s="20">
        <v>-1E-3</v>
      </c>
    </row>
    <row r="72" spans="1:31" x14ac:dyDescent="0.25">
      <c r="A72" t="s">
        <v>107</v>
      </c>
      <c r="B72" t="s">
        <v>212</v>
      </c>
      <c r="C72" t="s">
        <v>211</v>
      </c>
      <c r="D72" t="s">
        <v>87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s="20">
        <v>2E-3</v>
      </c>
    </row>
    <row r="73" spans="1:31" x14ac:dyDescent="0.25">
      <c r="A73" t="s">
        <v>95</v>
      </c>
      <c r="B73" t="s">
        <v>210</v>
      </c>
      <c r="C73" t="s">
        <v>208</v>
      </c>
      <c r="D73" t="s">
        <v>87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s="20">
        <v>9.5000000000000001E-2</v>
      </c>
    </row>
    <row r="74" spans="1:31" x14ac:dyDescent="0.25">
      <c r="A74" t="s">
        <v>96</v>
      </c>
      <c r="B74" t="s">
        <v>209</v>
      </c>
      <c r="C74" t="s">
        <v>208</v>
      </c>
      <c r="D74" t="s">
        <v>87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s="20">
        <v>2.7E-2</v>
      </c>
    </row>
    <row r="75" spans="1:31" x14ac:dyDescent="0.25">
      <c r="A75" t="s">
        <v>108</v>
      </c>
      <c r="B75" t="s">
        <v>207</v>
      </c>
      <c r="C75" t="s">
        <v>206</v>
      </c>
      <c r="D75" t="s">
        <v>87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s="20">
        <v>3.0000000000000001E-3</v>
      </c>
    </row>
    <row r="76" spans="1:31" x14ac:dyDescent="0.25">
      <c r="A76" t="s">
        <v>109</v>
      </c>
    </row>
    <row r="77" spans="1:31" x14ac:dyDescent="0.25">
      <c r="A77" t="s">
        <v>110</v>
      </c>
      <c r="B77" t="s">
        <v>205</v>
      </c>
      <c r="C77" t="s">
        <v>204</v>
      </c>
      <c r="D77" t="s">
        <v>87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s="20">
        <v>-8.0000000000000002E-3</v>
      </c>
    </row>
    <row r="78" spans="1:31" x14ac:dyDescent="0.25">
      <c r="A78" t="s">
        <v>111</v>
      </c>
      <c r="B78" t="s">
        <v>203</v>
      </c>
      <c r="C78" t="s">
        <v>202</v>
      </c>
      <c r="D78" t="s">
        <v>87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s="20">
        <v>2.7E-2</v>
      </c>
    </row>
    <row r="79" spans="1:31" x14ac:dyDescent="0.25">
      <c r="A79" t="s">
        <v>112</v>
      </c>
      <c r="B79" t="s">
        <v>201</v>
      </c>
      <c r="C79" t="s">
        <v>200</v>
      </c>
      <c r="D79" t="s">
        <v>87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s="20">
        <v>1E-3</v>
      </c>
    </row>
    <row r="80" spans="1:31" x14ac:dyDescent="0.25">
      <c r="A80" t="s">
        <v>21</v>
      </c>
      <c r="B80" t="s">
        <v>199</v>
      </c>
      <c r="C80" t="s">
        <v>198</v>
      </c>
      <c r="D80" t="s">
        <v>87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s="20">
        <v>1.9E-2</v>
      </c>
    </row>
    <row r="81" spans="1:31" x14ac:dyDescent="0.25">
      <c r="A81" t="s">
        <v>113</v>
      </c>
    </row>
    <row r="82" spans="1:31" x14ac:dyDescent="0.25">
      <c r="A82" t="s">
        <v>114</v>
      </c>
      <c r="B82" t="s">
        <v>197</v>
      </c>
      <c r="C82" t="s">
        <v>196</v>
      </c>
      <c r="D82" t="s">
        <v>115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s="20">
        <v>-5.0000000000000001E-3</v>
      </c>
    </row>
    <row r="83" spans="1:31" x14ac:dyDescent="0.25">
      <c r="A83" t="s">
        <v>116</v>
      </c>
      <c r="B83" t="s">
        <v>195</v>
      </c>
      <c r="C83" t="s">
        <v>194</v>
      </c>
      <c r="D83" t="s">
        <v>115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s="20">
        <v>-5.0000000000000001E-3</v>
      </c>
    </row>
    <row r="84" spans="1:31" x14ac:dyDescent="0.25">
      <c r="A84" t="s">
        <v>117</v>
      </c>
      <c r="B84" t="s">
        <v>193</v>
      </c>
      <c r="C84" t="s">
        <v>192</v>
      </c>
      <c r="D84" t="s">
        <v>115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s="20">
        <v>-4.0000000000000001E-3</v>
      </c>
    </row>
    <row r="85" spans="1:31" x14ac:dyDescent="0.25">
      <c r="A85" t="s">
        <v>118</v>
      </c>
      <c r="B85" t="s">
        <v>191</v>
      </c>
      <c r="C85" t="s">
        <v>190</v>
      </c>
      <c r="D85" t="s">
        <v>115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s="20">
        <v>-2E-3</v>
      </c>
    </row>
    <row r="86" spans="1:31" x14ac:dyDescent="0.25">
      <c r="A86" t="s">
        <v>119</v>
      </c>
      <c r="B86" t="s">
        <v>189</v>
      </c>
      <c r="C86" t="s">
        <v>188</v>
      </c>
      <c r="D86" t="s">
        <v>115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s="20">
        <v>-0.01</v>
      </c>
    </row>
    <row r="87" spans="1:31" x14ac:dyDescent="0.25">
      <c r="A87" t="s">
        <v>120</v>
      </c>
      <c r="B87" t="s">
        <v>187</v>
      </c>
      <c r="C87" t="s">
        <v>186</v>
      </c>
      <c r="D87" t="s">
        <v>115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s="20">
        <v>-7.0000000000000001E-3</v>
      </c>
    </row>
    <row r="88" spans="1:31" x14ac:dyDescent="0.25">
      <c r="A88" t="s">
        <v>121</v>
      </c>
      <c r="B88" t="s">
        <v>185</v>
      </c>
      <c r="C88" t="s">
        <v>184</v>
      </c>
      <c r="D88" t="s">
        <v>115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s="20">
        <v>-7.0000000000000001E-3</v>
      </c>
    </row>
    <row r="89" spans="1:31" x14ac:dyDescent="0.25">
      <c r="A89" t="s">
        <v>122</v>
      </c>
      <c r="B89" t="s">
        <v>183</v>
      </c>
      <c r="C89" t="s">
        <v>182</v>
      </c>
      <c r="D89" t="s">
        <v>115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s="20">
        <v>-1E-3</v>
      </c>
    </row>
    <row r="90" spans="1:31" x14ac:dyDescent="0.25">
      <c r="A90" t="s">
        <v>123</v>
      </c>
      <c r="B90" t="s">
        <v>181</v>
      </c>
      <c r="C90" t="s">
        <v>180</v>
      </c>
      <c r="D90" t="s">
        <v>115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s="20">
        <v>-2E-3</v>
      </c>
    </row>
    <row r="91" spans="1:31" x14ac:dyDescent="0.25">
      <c r="A91" t="s">
        <v>124</v>
      </c>
      <c r="B91" t="s">
        <v>179</v>
      </c>
      <c r="C91" t="s">
        <v>178</v>
      </c>
      <c r="D91" t="s">
        <v>115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s="20">
        <v>-6.0000000000000001E-3</v>
      </c>
    </row>
    <row r="92" spans="1:31" x14ac:dyDescent="0.25">
      <c r="A92" t="s">
        <v>125</v>
      </c>
    </row>
    <row r="93" spans="1:31" x14ac:dyDescent="0.25">
      <c r="A93" t="s">
        <v>114</v>
      </c>
      <c r="B93" t="s">
        <v>177</v>
      </c>
      <c r="C93" t="s">
        <v>176</v>
      </c>
      <c r="D93" t="s">
        <v>126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s="20">
        <v>1.6E-2</v>
      </c>
    </row>
    <row r="94" spans="1:31" x14ac:dyDescent="0.25">
      <c r="A94" t="s">
        <v>116</v>
      </c>
      <c r="B94" t="s">
        <v>175</v>
      </c>
      <c r="C94" t="s">
        <v>174</v>
      </c>
      <c r="D94" t="s">
        <v>126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s="20">
        <v>1.2999999999999999E-2</v>
      </c>
    </row>
    <row r="95" spans="1:31" x14ac:dyDescent="0.25">
      <c r="A95" t="s">
        <v>117</v>
      </c>
      <c r="B95" t="s">
        <v>173</v>
      </c>
      <c r="C95" t="s">
        <v>172</v>
      </c>
      <c r="D95" t="s">
        <v>126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s="20">
        <v>4.0000000000000001E-3</v>
      </c>
    </row>
    <row r="96" spans="1:31" x14ac:dyDescent="0.25">
      <c r="A96" t="s">
        <v>118</v>
      </c>
      <c r="B96" t="s">
        <v>171</v>
      </c>
      <c r="C96" t="s">
        <v>170</v>
      </c>
      <c r="D96" t="s">
        <v>126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s="20">
        <v>4.0000000000000001E-3</v>
      </c>
    </row>
    <row r="97" spans="1:31" x14ac:dyDescent="0.25">
      <c r="A97" t="s">
        <v>119</v>
      </c>
      <c r="B97" t="s">
        <v>169</v>
      </c>
      <c r="C97" t="s">
        <v>168</v>
      </c>
      <c r="D97" t="s">
        <v>126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s="20">
        <v>8.0000000000000002E-3</v>
      </c>
    </row>
    <row r="98" spans="1:31" x14ac:dyDescent="0.25">
      <c r="A98" t="s">
        <v>120</v>
      </c>
      <c r="B98" t="s">
        <v>167</v>
      </c>
      <c r="C98" t="s">
        <v>166</v>
      </c>
      <c r="D98" t="s">
        <v>126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s="20">
        <v>4.0000000000000001E-3</v>
      </c>
    </row>
    <row r="99" spans="1:31" x14ac:dyDescent="0.25">
      <c r="A99" t="s">
        <v>121</v>
      </c>
      <c r="B99" t="s">
        <v>165</v>
      </c>
      <c r="C99" t="s">
        <v>164</v>
      </c>
      <c r="D99" t="s">
        <v>126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s="20">
        <v>5.0000000000000001E-3</v>
      </c>
    </row>
    <row r="100" spans="1:31" x14ac:dyDescent="0.25">
      <c r="A100" t="s">
        <v>122</v>
      </c>
      <c r="B100" t="s">
        <v>163</v>
      </c>
      <c r="C100" t="s">
        <v>162</v>
      </c>
      <c r="D100" t="s">
        <v>126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s="20">
        <v>8.0000000000000002E-3</v>
      </c>
    </row>
    <row r="101" spans="1:31" x14ac:dyDescent="0.25">
      <c r="A101" t="s">
        <v>123</v>
      </c>
      <c r="B101" t="s">
        <v>161</v>
      </c>
      <c r="C101" t="s">
        <v>160</v>
      </c>
      <c r="D101" t="s">
        <v>126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s="20">
        <v>1.4E-2</v>
      </c>
    </row>
    <row r="102" spans="1:31" x14ac:dyDescent="0.25">
      <c r="A102" t="s">
        <v>124</v>
      </c>
      <c r="B102" t="s">
        <v>159</v>
      </c>
      <c r="C102" t="s">
        <v>158</v>
      </c>
      <c r="D102" t="s">
        <v>126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s="20">
        <v>8.9999999999999993E-3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A81C-1964-46D3-8A21-2DF04B841A88}">
  <dimension ref="A1:J170"/>
  <sheetViews>
    <sheetView workbookViewId="0">
      <selection activeCell="C5" sqref="C5"/>
    </sheetView>
  </sheetViews>
  <sheetFormatPr defaultRowHeight="15" x14ac:dyDescent="0.25"/>
  <cols>
    <col min="3" max="10" width="17.5703125" customWidth="1"/>
    <col min="19" max="19" width="11.85546875" bestFit="1" customWidth="1"/>
  </cols>
  <sheetData>
    <row r="1" spans="1:10" ht="18" x14ac:dyDescent="0.25">
      <c r="B1" t="s">
        <v>6</v>
      </c>
      <c r="C1" t="s">
        <v>22</v>
      </c>
    </row>
    <row r="2" spans="1:10" x14ac:dyDescent="0.25">
      <c r="B2" t="s">
        <v>19</v>
      </c>
      <c r="C2" s="2" t="s">
        <v>23</v>
      </c>
    </row>
    <row r="3" spans="1:10" x14ac:dyDescent="0.25">
      <c r="B3" t="s">
        <v>20</v>
      </c>
      <c r="C3">
        <v>2025</v>
      </c>
      <c r="D3">
        <f>C3+5</f>
        <v>2030</v>
      </c>
      <c r="E3">
        <v>2035</v>
      </c>
      <c r="F3">
        <v>2040</v>
      </c>
      <c r="G3">
        <v>2050</v>
      </c>
    </row>
    <row r="4" spans="1:10" x14ac:dyDescent="0.25">
      <c r="A4" t="s">
        <v>7</v>
      </c>
      <c r="C4">
        <f>E13</f>
        <v>279</v>
      </c>
      <c r="D4">
        <f t="shared" ref="D4:G4" si="0">F13</f>
        <v>541</v>
      </c>
      <c r="E4">
        <f t="shared" si="0"/>
        <v>693</v>
      </c>
      <c r="F4">
        <f t="shared" si="0"/>
        <v>776</v>
      </c>
      <c r="G4">
        <f t="shared" si="0"/>
        <v>870</v>
      </c>
    </row>
    <row r="5" spans="1:10" x14ac:dyDescent="0.25">
      <c r="A5" t="s">
        <v>10</v>
      </c>
      <c r="C5">
        <v>279</v>
      </c>
      <c r="D5">
        <v>718</v>
      </c>
      <c r="E5">
        <v>1043</v>
      </c>
      <c r="F5">
        <v>1222</v>
      </c>
      <c r="G5">
        <v>1679</v>
      </c>
    </row>
    <row r="6" spans="1:10" x14ac:dyDescent="0.25">
      <c r="E6" t="s">
        <v>24</v>
      </c>
      <c r="F6" t="s">
        <v>24</v>
      </c>
      <c r="G6" t="s">
        <v>24</v>
      </c>
      <c r="H6" t="s">
        <v>24</v>
      </c>
      <c r="I6" t="s">
        <v>24</v>
      </c>
      <c r="J6" t="s">
        <v>24</v>
      </c>
    </row>
    <row r="7" spans="1:10" x14ac:dyDescent="0.25">
      <c r="C7" t="s">
        <v>25</v>
      </c>
      <c r="E7">
        <v>2024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1:10" x14ac:dyDescent="0.25">
      <c r="C8" t="s">
        <v>26</v>
      </c>
      <c r="D8" t="s">
        <v>27</v>
      </c>
      <c r="F8" s="20">
        <v>2.0899999999999998E-2</v>
      </c>
      <c r="G8" s="20">
        <v>7.0300000000000001E-2</v>
      </c>
      <c r="H8" s="20">
        <v>7.1599999999999997E-2</v>
      </c>
      <c r="I8" s="20">
        <v>6.3700000000000007E-2</v>
      </c>
      <c r="J8" s="20">
        <v>6.0299999999999999E-2</v>
      </c>
    </row>
    <row r="9" spans="1:10" x14ac:dyDescent="0.25">
      <c r="C9" t="s">
        <v>26</v>
      </c>
      <c r="D9" t="s">
        <v>28</v>
      </c>
      <c r="F9">
        <v>105</v>
      </c>
      <c r="G9">
        <v>422</v>
      </c>
      <c r="H9">
        <v>489</v>
      </c>
      <c r="I9">
        <v>467</v>
      </c>
      <c r="J9">
        <v>476</v>
      </c>
    </row>
    <row r="10" spans="1:10" x14ac:dyDescent="0.25">
      <c r="C10" t="s">
        <v>29</v>
      </c>
      <c r="D10" t="s">
        <v>27</v>
      </c>
      <c r="F10" s="20">
        <v>8.9999999999999998E-4</v>
      </c>
      <c r="G10" s="20">
        <v>3.8E-3</v>
      </c>
      <c r="H10" s="20">
        <v>8.0999999999999996E-3</v>
      </c>
      <c r="I10" s="20">
        <v>4.0000000000000001E-3</v>
      </c>
      <c r="J10" s="20">
        <v>2.7000000000000001E-3</v>
      </c>
    </row>
    <row r="11" spans="1:10" x14ac:dyDescent="0.25">
      <c r="C11" t="s">
        <v>29</v>
      </c>
      <c r="D11" t="s">
        <v>28</v>
      </c>
      <c r="F11">
        <v>4</v>
      </c>
      <c r="G11">
        <v>23</v>
      </c>
      <c r="H11">
        <v>55</v>
      </c>
      <c r="I11">
        <v>29</v>
      </c>
      <c r="J11">
        <v>21</v>
      </c>
    </row>
    <row r="12" spans="1:10" x14ac:dyDescent="0.25">
      <c r="C12" s="12" t="s">
        <v>30</v>
      </c>
      <c r="D12" s="12" t="s">
        <v>27</v>
      </c>
      <c r="E12" s="21">
        <v>6.4399999999999999E-2</v>
      </c>
      <c r="F12" s="21">
        <v>0.108</v>
      </c>
      <c r="G12" s="21">
        <v>0.1154</v>
      </c>
      <c r="H12" s="21">
        <v>0.1138</v>
      </c>
      <c r="I12" s="21">
        <v>0.1186</v>
      </c>
      <c r="J12" s="21">
        <v>0.1235</v>
      </c>
    </row>
    <row r="13" spans="1:10" x14ac:dyDescent="0.25">
      <c r="C13" s="12" t="s">
        <v>30</v>
      </c>
      <c r="D13" s="12" t="s">
        <v>28</v>
      </c>
      <c r="E13" s="12">
        <v>279</v>
      </c>
      <c r="F13" s="12">
        <v>541</v>
      </c>
      <c r="G13" s="12">
        <v>693</v>
      </c>
      <c r="H13" s="12">
        <v>776</v>
      </c>
      <c r="I13" s="12">
        <v>870</v>
      </c>
      <c r="J13" s="12">
        <v>975</v>
      </c>
    </row>
    <row r="14" spans="1:10" x14ac:dyDescent="0.25">
      <c r="C14" t="s">
        <v>31</v>
      </c>
      <c r="D14" t="s">
        <v>27</v>
      </c>
      <c r="E14" s="20">
        <v>0.93559999999999999</v>
      </c>
      <c r="F14" s="20">
        <v>0.87029999999999996</v>
      </c>
      <c r="G14" s="20">
        <v>0.8105</v>
      </c>
      <c r="H14" s="20">
        <v>0.80640000000000001</v>
      </c>
      <c r="I14" s="20">
        <v>0.81369999999999998</v>
      </c>
      <c r="J14" s="20">
        <v>0.81340000000000001</v>
      </c>
    </row>
    <row r="15" spans="1:10" x14ac:dyDescent="0.25">
      <c r="C15" t="s">
        <v>31</v>
      </c>
      <c r="D15" t="s">
        <v>28</v>
      </c>
      <c r="E15" s="19">
        <v>4055</v>
      </c>
      <c r="F15" s="19">
        <v>4361</v>
      </c>
      <c r="G15" s="19">
        <v>4865</v>
      </c>
      <c r="H15" s="19">
        <v>5498</v>
      </c>
      <c r="I15" s="19">
        <v>5966</v>
      </c>
      <c r="J15" s="19">
        <v>6418</v>
      </c>
    </row>
    <row r="20" spans="3:9" x14ac:dyDescent="0.25">
      <c r="C20" t="s">
        <v>32</v>
      </c>
      <c r="D20" t="s">
        <v>0</v>
      </c>
      <c r="E20" t="s">
        <v>25</v>
      </c>
      <c r="F20" t="s">
        <v>33</v>
      </c>
      <c r="G20" t="s">
        <v>34</v>
      </c>
      <c r="H20" t="s">
        <v>35</v>
      </c>
      <c r="I20" t="s">
        <v>36</v>
      </c>
    </row>
    <row r="21" spans="3:9" x14ac:dyDescent="0.25">
      <c r="C21" t="s">
        <v>24</v>
      </c>
      <c r="D21">
        <v>2024</v>
      </c>
      <c r="E21" t="s">
        <v>30</v>
      </c>
      <c r="F21" t="s">
        <v>37</v>
      </c>
      <c r="G21">
        <v>46.230784960000001</v>
      </c>
      <c r="H21">
        <v>-117.1353519</v>
      </c>
      <c r="I21">
        <v>28096.824666500001</v>
      </c>
    </row>
    <row r="22" spans="3:9" x14ac:dyDescent="0.25">
      <c r="C22" t="s">
        <v>24</v>
      </c>
      <c r="D22">
        <v>2024</v>
      </c>
      <c r="E22" t="s">
        <v>30</v>
      </c>
      <c r="F22" t="s">
        <v>38</v>
      </c>
      <c r="G22">
        <v>44.216160670000001</v>
      </c>
      <c r="H22">
        <v>-92.060173219999996</v>
      </c>
      <c r="I22">
        <v>5610.7274202500003</v>
      </c>
    </row>
    <row r="23" spans="3:9" x14ac:dyDescent="0.25">
      <c r="C23" t="s">
        <v>24</v>
      </c>
      <c r="D23">
        <v>2024</v>
      </c>
      <c r="E23" t="s">
        <v>30</v>
      </c>
      <c r="F23" t="s">
        <v>39</v>
      </c>
      <c r="G23">
        <v>43.892257200000003</v>
      </c>
      <c r="H23">
        <v>-98.937461729999995</v>
      </c>
      <c r="I23">
        <v>11607.793884000001</v>
      </c>
    </row>
    <row r="24" spans="3:9" x14ac:dyDescent="0.25">
      <c r="C24" t="s">
        <v>24</v>
      </c>
      <c r="D24">
        <v>2024</v>
      </c>
      <c r="E24" t="s">
        <v>30</v>
      </c>
      <c r="F24" t="s">
        <v>40</v>
      </c>
      <c r="G24">
        <v>43.659916129999999</v>
      </c>
      <c r="H24">
        <v>-84.577796770000006</v>
      </c>
      <c r="I24">
        <v>584.34284449999996</v>
      </c>
    </row>
    <row r="25" spans="3:9" x14ac:dyDescent="0.25">
      <c r="C25" t="s">
        <v>24</v>
      </c>
      <c r="D25">
        <v>2024</v>
      </c>
      <c r="E25" t="s">
        <v>30</v>
      </c>
      <c r="F25" t="s">
        <v>41</v>
      </c>
      <c r="G25">
        <v>43.27527164</v>
      </c>
      <c r="H25">
        <v>-71.404255219999996</v>
      </c>
      <c r="I25">
        <v>3608.5366079999999</v>
      </c>
    </row>
    <row r="26" spans="3:9" x14ac:dyDescent="0.25">
      <c r="C26" t="s">
        <v>24</v>
      </c>
      <c r="D26">
        <v>2024</v>
      </c>
      <c r="E26" t="s">
        <v>30</v>
      </c>
      <c r="F26" t="s">
        <v>42</v>
      </c>
      <c r="G26">
        <v>42.781516359999998</v>
      </c>
      <c r="H26">
        <v>-75.700387269999993</v>
      </c>
      <c r="I26">
        <v>5256.3649327499998</v>
      </c>
    </row>
    <row r="27" spans="3:9" x14ac:dyDescent="0.25">
      <c r="C27" t="s">
        <v>24</v>
      </c>
      <c r="D27">
        <v>2024</v>
      </c>
      <c r="E27" t="s">
        <v>30</v>
      </c>
      <c r="F27" t="s">
        <v>43</v>
      </c>
      <c r="G27">
        <v>41.581748279999999</v>
      </c>
      <c r="H27">
        <v>-89.046286210000005</v>
      </c>
      <c r="I27">
        <v>13781.692932</v>
      </c>
    </row>
    <row r="28" spans="3:9" x14ac:dyDescent="0.25">
      <c r="C28" t="s">
        <v>24</v>
      </c>
      <c r="D28">
        <v>2024</v>
      </c>
      <c r="E28" t="s">
        <v>30</v>
      </c>
      <c r="F28" t="s">
        <v>44</v>
      </c>
      <c r="G28">
        <v>41.490666300000001</v>
      </c>
      <c r="H28">
        <v>-113.3992641</v>
      </c>
      <c r="I28">
        <v>9760.7391997499999</v>
      </c>
    </row>
    <row r="29" spans="3:9" x14ac:dyDescent="0.25">
      <c r="C29" t="s">
        <v>24</v>
      </c>
      <c r="D29">
        <v>2024</v>
      </c>
      <c r="E29" t="s">
        <v>30</v>
      </c>
      <c r="F29" t="s">
        <v>45</v>
      </c>
      <c r="G29">
        <v>40.795662499999999</v>
      </c>
      <c r="H29">
        <v>-73.749075000000005</v>
      </c>
      <c r="I29">
        <v>1856.41285225</v>
      </c>
    </row>
    <row r="30" spans="3:9" x14ac:dyDescent="0.25">
      <c r="C30" t="s">
        <v>24</v>
      </c>
      <c r="D30">
        <v>2024</v>
      </c>
      <c r="E30" t="s">
        <v>30</v>
      </c>
      <c r="F30" t="s">
        <v>46</v>
      </c>
      <c r="G30">
        <v>40.419861679999997</v>
      </c>
      <c r="H30">
        <v>-105.0432271</v>
      </c>
      <c r="I30">
        <v>6223.8795707500003</v>
      </c>
    </row>
    <row r="31" spans="3:9" x14ac:dyDescent="0.25">
      <c r="C31" t="s">
        <v>24</v>
      </c>
      <c r="D31">
        <v>2024</v>
      </c>
      <c r="E31" t="s">
        <v>30</v>
      </c>
      <c r="F31" t="s">
        <v>47</v>
      </c>
      <c r="G31">
        <v>40.223693619999999</v>
      </c>
      <c r="H31">
        <v>-76.229495740000004</v>
      </c>
      <c r="I31">
        <v>9637.6345267500001</v>
      </c>
    </row>
    <row r="32" spans="3:9" x14ac:dyDescent="0.25">
      <c r="C32" t="s">
        <v>24</v>
      </c>
      <c r="D32">
        <v>2024</v>
      </c>
      <c r="E32" t="s">
        <v>30</v>
      </c>
      <c r="F32" t="s">
        <v>48</v>
      </c>
      <c r="G32">
        <v>39.628317430000003</v>
      </c>
      <c r="H32">
        <v>-82.005115140000001</v>
      </c>
      <c r="I32">
        <v>12588.085208500001</v>
      </c>
    </row>
    <row r="33" spans="3:9" x14ac:dyDescent="0.25">
      <c r="C33" t="s">
        <v>24</v>
      </c>
      <c r="D33">
        <v>2024</v>
      </c>
      <c r="E33" t="s">
        <v>30</v>
      </c>
      <c r="F33" t="s">
        <v>49</v>
      </c>
      <c r="G33">
        <v>39.137839149999998</v>
      </c>
      <c r="H33">
        <v>-89.055620000000005</v>
      </c>
      <c r="I33">
        <v>1494.3254420000001</v>
      </c>
    </row>
    <row r="34" spans="3:9" x14ac:dyDescent="0.25">
      <c r="C34" t="s">
        <v>24</v>
      </c>
      <c r="D34">
        <v>2024</v>
      </c>
      <c r="E34" t="s">
        <v>30</v>
      </c>
      <c r="F34" t="s">
        <v>50</v>
      </c>
      <c r="G34">
        <v>38.531783109999999</v>
      </c>
      <c r="H34">
        <v>-96.892483780000006</v>
      </c>
      <c r="I34">
        <v>1105.1263717500001</v>
      </c>
    </row>
    <row r="35" spans="3:9" x14ac:dyDescent="0.25">
      <c r="C35" t="s">
        <v>24</v>
      </c>
      <c r="D35">
        <v>2024</v>
      </c>
      <c r="E35" t="s">
        <v>30</v>
      </c>
      <c r="F35" t="s">
        <v>51</v>
      </c>
      <c r="G35">
        <v>38.363847919999998</v>
      </c>
      <c r="H35">
        <v>-121.3105083</v>
      </c>
      <c r="I35">
        <v>11080.752926499999</v>
      </c>
    </row>
    <row r="36" spans="3:9" x14ac:dyDescent="0.25">
      <c r="C36" t="s">
        <v>24</v>
      </c>
      <c r="D36">
        <v>2024</v>
      </c>
      <c r="E36" t="s">
        <v>30</v>
      </c>
      <c r="F36" t="s">
        <v>52</v>
      </c>
      <c r="G36">
        <v>37.547360660000002</v>
      </c>
      <c r="H36">
        <v>-77.704687699999994</v>
      </c>
      <c r="I36">
        <v>50491.184628000003</v>
      </c>
    </row>
    <row r="37" spans="3:9" x14ac:dyDescent="0.25">
      <c r="C37" t="s">
        <v>24</v>
      </c>
      <c r="D37">
        <v>2024</v>
      </c>
      <c r="E37" t="s">
        <v>30</v>
      </c>
      <c r="F37" t="s">
        <v>53</v>
      </c>
      <c r="G37">
        <v>36.370182210000003</v>
      </c>
      <c r="H37">
        <v>-85.854596090000001</v>
      </c>
      <c r="I37">
        <v>7589.5534292499997</v>
      </c>
    </row>
    <row r="38" spans="3:9" x14ac:dyDescent="0.25">
      <c r="C38" t="s">
        <v>24</v>
      </c>
      <c r="D38">
        <v>2024</v>
      </c>
      <c r="E38" t="s">
        <v>30</v>
      </c>
      <c r="F38" t="s">
        <v>54</v>
      </c>
      <c r="G38">
        <v>35.070007140000001</v>
      </c>
      <c r="H38">
        <v>-118.0483929</v>
      </c>
      <c r="I38">
        <v>3628.1439970000001</v>
      </c>
    </row>
    <row r="39" spans="3:9" x14ac:dyDescent="0.25">
      <c r="C39" t="s">
        <v>24</v>
      </c>
      <c r="D39">
        <v>2024</v>
      </c>
      <c r="E39" t="s">
        <v>30</v>
      </c>
      <c r="F39" t="s">
        <v>55</v>
      </c>
      <c r="G39">
        <v>34.946099199999999</v>
      </c>
      <c r="H39">
        <v>-80.332142399999995</v>
      </c>
      <c r="I39">
        <v>7685.0808564999998</v>
      </c>
    </row>
    <row r="40" spans="3:9" x14ac:dyDescent="0.25">
      <c r="C40" t="s">
        <v>24</v>
      </c>
      <c r="D40">
        <v>2024</v>
      </c>
      <c r="E40" t="s">
        <v>30</v>
      </c>
      <c r="F40" t="s">
        <v>56</v>
      </c>
      <c r="G40">
        <v>34.407657139999998</v>
      </c>
      <c r="H40">
        <v>-97.417557709999997</v>
      </c>
      <c r="I40">
        <v>2750.62676775</v>
      </c>
    </row>
    <row r="41" spans="3:9" x14ac:dyDescent="0.25">
      <c r="C41" t="s">
        <v>24</v>
      </c>
      <c r="D41">
        <v>2024</v>
      </c>
      <c r="E41" t="s">
        <v>30</v>
      </c>
      <c r="F41" t="s">
        <v>57</v>
      </c>
      <c r="G41">
        <v>34.169836170000004</v>
      </c>
      <c r="H41">
        <v>-107.8247234</v>
      </c>
      <c r="I41">
        <v>12654.510887</v>
      </c>
    </row>
    <row r="42" spans="3:9" x14ac:dyDescent="0.25">
      <c r="C42" t="s">
        <v>24</v>
      </c>
      <c r="D42">
        <v>2024</v>
      </c>
      <c r="E42" t="s">
        <v>30</v>
      </c>
      <c r="F42" t="s">
        <v>58</v>
      </c>
      <c r="G42">
        <v>32.841376609999998</v>
      </c>
      <c r="H42">
        <v>-92.087664329999996</v>
      </c>
      <c r="I42">
        <v>438.25977275000002</v>
      </c>
    </row>
    <row r="43" spans="3:9" x14ac:dyDescent="0.25">
      <c r="C43" t="s">
        <v>24</v>
      </c>
      <c r="D43">
        <v>2024</v>
      </c>
      <c r="E43" t="s">
        <v>30</v>
      </c>
      <c r="F43" t="s">
        <v>59</v>
      </c>
      <c r="G43">
        <v>32.533998199999999</v>
      </c>
      <c r="H43">
        <v>-85.39189245</v>
      </c>
      <c r="I43">
        <v>13461.19784875</v>
      </c>
    </row>
    <row r="44" spans="3:9" x14ac:dyDescent="0.25">
      <c r="C44" t="s">
        <v>24</v>
      </c>
      <c r="D44">
        <v>2024</v>
      </c>
      <c r="E44" t="s">
        <v>30</v>
      </c>
      <c r="F44" t="s">
        <v>60</v>
      </c>
      <c r="G44">
        <v>31.116466500000001</v>
      </c>
      <c r="H44">
        <v>-98.410506499999997</v>
      </c>
      <c r="I44">
        <v>55337.498372249996</v>
      </c>
    </row>
    <row r="45" spans="3:9" x14ac:dyDescent="0.25">
      <c r="C45" t="s">
        <v>24</v>
      </c>
      <c r="D45">
        <v>2024</v>
      </c>
      <c r="E45" t="s">
        <v>30</v>
      </c>
      <c r="F45" t="s">
        <v>61</v>
      </c>
      <c r="G45">
        <v>28.70831695</v>
      </c>
      <c r="H45">
        <v>-82.234216950000004</v>
      </c>
      <c r="I45">
        <v>2576.6180527500001</v>
      </c>
    </row>
    <row r="46" spans="3:9" x14ac:dyDescent="0.25">
      <c r="C46" t="s">
        <v>24</v>
      </c>
      <c r="D46">
        <v>2030</v>
      </c>
      <c r="E46" t="s">
        <v>30</v>
      </c>
      <c r="F46" t="s">
        <v>37</v>
      </c>
      <c r="G46">
        <v>46.230784960000001</v>
      </c>
      <c r="H46">
        <v>-117.1353519</v>
      </c>
      <c r="I46">
        <v>54444.047764000003</v>
      </c>
    </row>
    <row r="47" spans="3:9" x14ac:dyDescent="0.25">
      <c r="C47" t="s">
        <v>24</v>
      </c>
      <c r="D47">
        <v>2030</v>
      </c>
      <c r="E47" t="s">
        <v>30</v>
      </c>
      <c r="F47" t="s">
        <v>38</v>
      </c>
      <c r="G47">
        <v>44.216160670000001</v>
      </c>
      <c r="H47">
        <v>-92.060173219999996</v>
      </c>
      <c r="I47">
        <v>10872.072325749999</v>
      </c>
    </row>
    <row r="48" spans="3:9" x14ac:dyDescent="0.25">
      <c r="C48" t="s">
        <v>24</v>
      </c>
      <c r="D48">
        <v>2030</v>
      </c>
      <c r="E48" t="s">
        <v>30</v>
      </c>
      <c r="F48" t="s">
        <v>39</v>
      </c>
      <c r="G48">
        <v>43.892257200000003</v>
      </c>
      <c r="H48">
        <v>-98.937461729999995</v>
      </c>
      <c r="I48">
        <v>22492.767474749999</v>
      </c>
    </row>
    <row r="49" spans="3:9" x14ac:dyDescent="0.25">
      <c r="C49" t="s">
        <v>24</v>
      </c>
      <c r="D49">
        <v>2030</v>
      </c>
      <c r="E49" t="s">
        <v>30</v>
      </c>
      <c r="F49" t="s">
        <v>40</v>
      </c>
      <c r="G49">
        <v>43.659916129999999</v>
      </c>
      <c r="H49">
        <v>-84.577796770000006</v>
      </c>
      <c r="I49">
        <v>1132.2982095</v>
      </c>
    </row>
    <row r="50" spans="3:9" x14ac:dyDescent="0.25">
      <c r="C50" t="s">
        <v>24</v>
      </c>
      <c r="D50">
        <v>2030</v>
      </c>
      <c r="E50" t="s">
        <v>30</v>
      </c>
      <c r="F50" t="s">
        <v>41</v>
      </c>
      <c r="G50">
        <v>43.27527164</v>
      </c>
      <c r="H50">
        <v>-71.404255219999996</v>
      </c>
      <c r="I50">
        <v>6992.3694974999999</v>
      </c>
    </row>
    <row r="51" spans="3:9" x14ac:dyDescent="0.25">
      <c r="C51" t="s">
        <v>24</v>
      </c>
      <c r="D51">
        <v>2030</v>
      </c>
      <c r="E51" t="s">
        <v>30</v>
      </c>
      <c r="F51" t="s">
        <v>42</v>
      </c>
      <c r="G51">
        <v>42.781516359999998</v>
      </c>
      <c r="H51">
        <v>-75.700387269999993</v>
      </c>
      <c r="I51">
        <v>10185.413581500001</v>
      </c>
    </row>
    <row r="52" spans="3:9" x14ac:dyDescent="0.25">
      <c r="C52" t="s">
        <v>24</v>
      </c>
      <c r="D52">
        <v>2030</v>
      </c>
      <c r="E52" t="s">
        <v>30</v>
      </c>
      <c r="F52" t="s">
        <v>43</v>
      </c>
      <c r="G52">
        <v>41.581748279999999</v>
      </c>
      <c r="H52">
        <v>-89.046286210000005</v>
      </c>
      <c r="I52">
        <v>26705.194138499999</v>
      </c>
    </row>
    <row r="53" spans="3:9" x14ac:dyDescent="0.25">
      <c r="C53" t="s">
        <v>24</v>
      </c>
      <c r="D53">
        <v>2030</v>
      </c>
      <c r="E53" t="s">
        <v>30</v>
      </c>
      <c r="F53" t="s">
        <v>44</v>
      </c>
      <c r="G53">
        <v>41.490666300000001</v>
      </c>
      <c r="H53">
        <v>-113.3992641</v>
      </c>
      <c r="I53">
        <v>18913.673622750001</v>
      </c>
    </row>
    <row r="54" spans="3:9" x14ac:dyDescent="0.25">
      <c r="C54" t="s">
        <v>24</v>
      </c>
      <c r="D54">
        <v>2030</v>
      </c>
      <c r="E54" t="s">
        <v>30</v>
      </c>
      <c r="F54" t="s">
        <v>45</v>
      </c>
      <c r="G54">
        <v>40.795662499999999</v>
      </c>
      <c r="H54">
        <v>-73.749075000000005</v>
      </c>
      <c r="I54">
        <v>3597.22635825</v>
      </c>
    </row>
    <row r="55" spans="3:9" x14ac:dyDescent="0.25">
      <c r="C55" t="s">
        <v>24</v>
      </c>
      <c r="D55">
        <v>2030</v>
      </c>
      <c r="E55" t="s">
        <v>30</v>
      </c>
      <c r="F55" t="s">
        <v>46</v>
      </c>
      <c r="G55">
        <v>40.419861679999997</v>
      </c>
      <c r="H55">
        <v>-105.0432271</v>
      </c>
      <c r="I55">
        <v>12060.195428000001</v>
      </c>
    </row>
    <row r="56" spans="3:9" x14ac:dyDescent="0.25">
      <c r="C56" t="s">
        <v>24</v>
      </c>
      <c r="D56">
        <v>2030</v>
      </c>
      <c r="E56" t="s">
        <v>30</v>
      </c>
      <c r="F56" t="s">
        <v>47</v>
      </c>
      <c r="G56">
        <v>40.223693619999999</v>
      </c>
      <c r="H56">
        <v>-76.229495740000004</v>
      </c>
      <c r="I56">
        <v>18675.129021749999</v>
      </c>
    </row>
    <row r="57" spans="3:9" x14ac:dyDescent="0.25">
      <c r="C57" t="s">
        <v>24</v>
      </c>
      <c r="D57">
        <v>2030</v>
      </c>
      <c r="E57" t="s">
        <v>30</v>
      </c>
      <c r="F57" t="s">
        <v>48</v>
      </c>
      <c r="G57">
        <v>39.628317430000003</v>
      </c>
      <c r="H57">
        <v>-82.005115140000001</v>
      </c>
      <c r="I57">
        <v>24392.305603000001</v>
      </c>
    </row>
    <row r="58" spans="3:9" x14ac:dyDescent="0.25">
      <c r="C58" t="s">
        <v>24</v>
      </c>
      <c r="D58">
        <v>2030</v>
      </c>
      <c r="E58" t="s">
        <v>30</v>
      </c>
      <c r="F58" t="s">
        <v>49</v>
      </c>
      <c r="G58">
        <v>39.137839149999998</v>
      </c>
      <c r="H58">
        <v>-89.055620000000005</v>
      </c>
      <c r="I58">
        <v>2895.5981347500001</v>
      </c>
    </row>
    <row r="59" spans="3:9" x14ac:dyDescent="0.25">
      <c r="C59" t="s">
        <v>24</v>
      </c>
      <c r="D59">
        <v>2030</v>
      </c>
      <c r="E59" t="s">
        <v>30</v>
      </c>
      <c r="F59" t="s">
        <v>50</v>
      </c>
      <c r="G59">
        <v>38.531783109999999</v>
      </c>
      <c r="H59">
        <v>-96.892483780000006</v>
      </c>
      <c r="I59">
        <v>2141.43579125</v>
      </c>
    </row>
    <row r="60" spans="3:9" x14ac:dyDescent="0.25">
      <c r="C60" t="s">
        <v>24</v>
      </c>
      <c r="D60">
        <v>2030</v>
      </c>
      <c r="E60" t="s">
        <v>30</v>
      </c>
      <c r="F60" t="s">
        <v>51</v>
      </c>
      <c r="G60">
        <v>38.363847919999998</v>
      </c>
      <c r="H60">
        <v>-121.3105083</v>
      </c>
      <c r="I60">
        <v>21471.502492750002</v>
      </c>
    </row>
    <row r="61" spans="3:9" x14ac:dyDescent="0.25">
      <c r="C61" t="s">
        <v>24</v>
      </c>
      <c r="D61">
        <v>2030</v>
      </c>
      <c r="E61" t="s">
        <v>30</v>
      </c>
      <c r="F61" t="s">
        <v>52</v>
      </c>
      <c r="G61">
        <v>37.547360660000002</v>
      </c>
      <c r="H61">
        <v>-77.704687699999994</v>
      </c>
      <c r="I61">
        <v>97838.261295999997</v>
      </c>
    </row>
    <row r="62" spans="3:9" x14ac:dyDescent="0.25">
      <c r="C62" t="s">
        <v>24</v>
      </c>
      <c r="D62">
        <v>2030</v>
      </c>
      <c r="E62" t="s">
        <v>30</v>
      </c>
      <c r="F62" t="s">
        <v>53</v>
      </c>
      <c r="G62">
        <v>36.370182210000003</v>
      </c>
      <c r="H62">
        <v>-85.854596090000001</v>
      </c>
      <c r="I62">
        <v>14706.501426749999</v>
      </c>
    </row>
    <row r="63" spans="3:9" x14ac:dyDescent="0.25">
      <c r="C63" t="s">
        <v>24</v>
      </c>
      <c r="D63">
        <v>2030</v>
      </c>
      <c r="E63" t="s">
        <v>30</v>
      </c>
      <c r="F63" t="s">
        <v>54</v>
      </c>
      <c r="G63">
        <v>35.070007140000001</v>
      </c>
      <c r="H63">
        <v>-118.0483929</v>
      </c>
      <c r="I63">
        <v>7030.3617169999998</v>
      </c>
    </row>
    <row r="64" spans="3:9" x14ac:dyDescent="0.25">
      <c r="C64" t="s">
        <v>24</v>
      </c>
      <c r="D64">
        <v>2030</v>
      </c>
      <c r="E64" t="s">
        <v>30</v>
      </c>
      <c r="F64" t="s">
        <v>55</v>
      </c>
      <c r="G64">
        <v>34.946099199999999</v>
      </c>
      <c r="H64">
        <v>-80.332142399999995</v>
      </c>
      <c r="I64">
        <v>14891.608185749999</v>
      </c>
    </row>
    <row r="65" spans="3:9" x14ac:dyDescent="0.25">
      <c r="C65" t="s">
        <v>24</v>
      </c>
      <c r="D65">
        <v>2030</v>
      </c>
      <c r="E65" t="s">
        <v>30</v>
      </c>
      <c r="F65" t="s">
        <v>56</v>
      </c>
      <c r="G65">
        <v>34.407657139999998</v>
      </c>
      <c r="H65">
        <v>-97.417557709999997</v>
      </c>
      <c r="I65">
        <v>5329.9697112499998</v>
      </c>
    </row>
    <row r="66" spans="3:9" x14ac:dyDescent="0.25">
      <c r="C66" t="s">
        <v>24</v>
      </c>
      <c r="D66">
        <v>2030</v>
      </c>
      <c r="E66" t="s">
        <v>30</v>
      </c>
      <c r="F66" t="s">
        <v>57</v>
      </c>
      <c r="G66">
        <v>34.169836170000004</v>
      </c>
      <c r="H66">
        <v>-107.8247234</v>
      </c>
      <c r="I66">
        <v>24521.020531499998</v>
      </c>
    </row>
    <row r="67" spans="3:9" x14ac:dyDescent="0.25">
      <c r="C67" t="s">
        <v>24</v>
      </c>
      <c r="D67">
        <v>2030</v>
      </c>
      <c r="E67" t="s">
        <v>30</v>
      </c>
      <c r="F67" t="s">
        <v>58</v>
      </c>
      <c r="G67">
        <v>32.841376609999998</v>
      </c>
      <c r="H67">
        <v>-92.087664329999996</v>
      </c>
      <c r="I67">
        <v>849.23051950000001</v>
      </c>
    </row>
    <row r="68" spans="3:9" x14ac:dyDescent="0.25">
      <c r="C68" t="s">
        <v>24</v>
      </c>
      <c r="D68">
        <v>2030</v>
      </c>
      <c r="E68" t="s">
        <v>30</v>
      </c>
      <c r="F68" t="s">
        <v>59</v>
      </c>
      <c r="G68">
        <v>32.533998199999999</v>
      </c>
      <c r="H68">
        <v>-85.39189245</v>
      </c>
      <c r="I68">
        <v>26084.16187</v>
      </c>
    </row>
    <row r="69" spans="3:9" x14ac:dyDescent="0.25">
      <c r="C69" t="s">
        <v>24</v>
      </c>
      <c r="D69">
        <v>2030</v>
      </c>
      <c r="E69" t="s">
        <v>30</v>
      </c>
      <c r="F69" t="s">
        <v>60</v>
      </c>
      <c r="G69">
        <v>31.116466500000001</v>
      </c>
      <c r="H69">
        <v>-98.410506499999997</v>
      </c>
      <c r="I69">
        <v>107229.10792575</v>
      </c>
    </row>
    <row r="70" spans="3:9" x14ac:dyDescent="0.25">
      <c r="C70" t="s">
        <v>24</v>
      </c>
      <c r="D70">
        <v>2030</v>
      </c>
      <c r="E70" t="s">
        <v>30</v>
      </c>
      <c r="F70" t="s">
        <v>61</v>
      </c>
      <c r="G70">
        <v>28.70831695</v>
      </c>
      <c r="H70">
        <v>-82.234216950000004</v>
      </c>
      <c r="I70">
        <v>4992.7895550000003</v>
      </c>
    </row>
    <row r="71" spans="3:9" x14ac:dyDescent="0.25">
      <c r="C71" t="s">
        <v>24</v>
      </c>
      <c r="D71">
        <v>2035</v>
      </c>
      <c r="E71" t="s">
        <v>30</v>
      </c>
      <c r="F71" t="s">
        <v>37</v>
      </c>
      <c r="G71">
        <v>46.230784960000001</v>
      </c>
      <c r="H71">
        <v>-117.1353519</v>
      </c>
      <c r="I71">
        <v>62739.695390011002</v>
      </c>
    </row>
    <row r="72" spans="3:9" x14ac:dyDescent="0.25">
      <c r="C72" t="s">
        <v>24</v>
      </c>
      <c r="D72">
        <v>2035</v>
      </c>
      <c r="E72" t="s">
        <v>30</v>
      </c>
      <c r="F72" t="s">
        <v>38</v>
      </c>
      <c r="G72">
        <v>44.216160670000001</v>
      </c>
      <c r="H72">
        <v>-92.060173219999996</v>
      </c>
      <c r="I72">
        <v>13951.394280222999</v>
      </c>
    </row>
    <row r="73" spans="3:9" x14ac:dyDescent="0.25">
      <c r="C73" t="s">
        <v>24</v>
      </c>
      <c r="D73">
        <v>2035</v>
      </c>
      <c r="E73" t="s">
        <v>30</v>
      </c>
      <c r="F73" t="s">
        <v>39</v>
      </c>
      <c r="G73">
        <v>43.892257200000003</v>
      </c>
      <c r="H73">
        <v>-98.937461729999995</v>
      </c>
      <c r="I73">
        <v>55385.961143136003</v>
      </c>
    </row>
    <row r="74" spans="3:9" x14ac:dyDescent="0.25">
      <c r="C74" t="s">
        <v>24</v>
      </c>
      <c r="D74">
        <v>2035</v>
      </c>
      <c r="E74" t="s">
        <v>30</v>
      </c>
      <c r="F74" t="s">
        <v>40</v>
      </c>
      <c r="G74">
        <v>43.659916129999999</v>
      </c>
      <c r="H74">
        <v>-84.577796770000006</v>
      </c>
      <c r="I74">
        <v>1304.824968225</v>
      </c>
    </row>
    <row r="75" spans="3:9" x14ac:dyDescent="0.25">
      <c r="C75" t="s">
        <v>24</v>
      </c>
      <c r="D75">
        <v>2035</v>
      </c>
      <c r="E75" t="s">
        <v>30</v>
      </c>
      <c r="F75" t="s">
        <v>41</v>
      </c>
      <c r="G75">
        <v>43.27527164</v>
      </c>
      <c r="H75">
        <v>-71.404255219999996</v>
      </c>
      <c r="I75">
        <v>8057.7890061750004</v>
      </c>
    </row>
    <row r="76" spans="3:9" x14ac:dyDescent="0.25">
      <c r="C76" t="s">
        <v>24</v>
      </c>
      <c r="D76">
        <v>2035</v>
      </c>
      <c r="E76" t="s">
        <v>30</v>
      </c>
      <c r="F76" t="s">
        <v>42</v>
      </c>
      <c r="G76">
        <v>42.781516359999998</v>
      </c>
      <c r="H76">
        <v>-75.700387269999993</v>
      </c>
      <c r="I76">
        <v>11737.354996124999</v>
      </c>
    </row>
    <row r="77" spans="3:9" x14ac:dyDescent="0.25">
      <c r="C77" t="s">
        <v>24</v>
      </c>
      <c r="D77">
        <v>2035</v>
      </c>
      <c r="E77" t="s">
        <v>30</v>
      </c>
      <c r="F77" t="s">
        <v>43</v>
      </c>
      <c r="G77">
        <v>41.581748279999999</v>
      </c>
      <c r="H77">
        <v>-89.046286210000005</v>
      </c>
      <c r="I77">
        <v>33322.776666644</v>
      </c>
    </row>
    <row r="78" spans="3:9" x14ac:dyDescent="0.25">
      <c r="C78" t="s">
        <v>24</v>
      </c>
      <c r="D78">
        <v>2035</v>
      </c>
      <c r="E78" t="s">
        <v>30</v>
      </c>
      <c r="F78" t="s">
        <v>44</v>
      </c>
      <c r="G78">
        <v>41.490666300000001</v>
      </c>
      <c r="H78">
        <v>-113.3992641</v>
      </c>
      <c r="I78">
        <v>21795.594244710999</v>
      </c>
    </row>
    <row r="79" spans="3:9" x14ac:dyDescent="0.25">
      <c r="C79" t="s">
        <v>24</v>
      </c>
      <c r="D79">
        <v>2035</v>
      </c>
      <c r="E79" t="s">
        <v>30</v>
      </c>
      <c r="F79" t="s">
        <v>45</v>
      </c>
      <c r="G79">
        <v>40.795662499999999</v>
      </c>
      <c r="H79">
        <v>-73.749075000000005</v>
      </c>
      <c r="I79">
        <v>4145.3322731999997</v>
      </c>
    </row>
    <row r="80" spans="3:9" x14ac:dyDescent="0.25">
      <c r="C80" t="s">
        <v>24</v>
      </c>
      <c r="D80">
        <v>2035</v>
      </c>
      <c r="E80" t="s">
        <v>30</v>
      </c>
      <c r="F80" t="s">
        <v>46</v>
      </c>
      <c r="G80">
        <v>40.419861679999997</v>
      </c>
      <c r="H80">
        <v>-105.0432271</v>
      </c>
      <c r="I80">
        <v>15483.410744166</v>
      </c>
    </row>
    <row r="81" spans="3:9" x14ac:dyDescent="0.25">
      <c r="C81" t="s">
        <v>24</v>
      </c>
      <c r="D81">
        <v>2035</v>
      </c>
      <c r="E81" t="s">
        <v>30</v>
      </c>
      <c r="F81" t="s">
        <v>47</v>
      </c>
      <c r="G81">
        <v>40.223693619999999</v>
      </c>
      <c r="H81">
        <v>-76.229495740000004</v>
      </c>
      <c r="I81">
        <v>21520.638998099999</v>
      </c>
    </row>
    <row r="82" spans="3:9" x14ac:dyDescent="0.25">
      <c r="C82" t="s">
        <v>24</v>
      </c>
      <c r="D82">
        <v>2035</v>
      </c>
      <c r="E82" t="s">
        <v>30</v>
      </c>
      <c r="F82" t="s">
        <v>48</v>
      </c>
      <c r="G82">
        <v>39.628317430000003</v>
      </c>
      <c r="H82">
        <v>-82.005115140000001</v>
      </c>
      <c r="I82">
        <v>28108.933907850002</v>
      </c>
    </row>
    <row r="83" spans="3:9" x14ac:dyDescent="0.25">
      <c r="C83" t="s">
        <v>24</v>
      </c>
      <c r="D83">
        <v>2035</v>
      </c>
      <c r="E83" t="s">
        <v>30</v>
      </c>
      <c r="F83" t="s">
        <v>49</v>
      </c>
      <c r="G83">
        <v>39.137839149999998</v>
      </c>
      <c r="H83">
        <v>-89.055620000000005</v>
      </c>
      <c r="I83">
        <v>4050.2753215120001</v>
      </c>
    </row>
    <row r="84" spans="3:9" x14ac:dyDescent="0.25">
      <c r="C84" t="s">
        <v>24</v>
      </c>
      <c r="D84">
        <v>2035</v>
      </c>
      <c r="E84" t="s">
        <v>30</v>
      </c>
      <c r="F84" t="s">
        <v>50</v>
      </c>
      <c r="G84">
        <v>38.531783109999999</v>
      </c>
      <c r="H84">
        <v>-96.892483780000006</v>
      </c>
      <c r="I84">
        <v>3004.8277287679998</v>
      </c>
    </row>
    <row r="85" spans="3:9" x14ac:dyDescent="0.25">
      <c r="C85" t="s">
        <v>24</v>
      </c>
      <c r="D85">
        <v>2035</v>
      </c>
      <c r="E85" t="s">
        <v>30</v>
      </c>
      <c r="F85" t="s">
        <v>51</v>
      </c>
      <c r="G85">
        <v>38.363847919999998</v>
      </c>
      <c r="H85">
        <v>-121.3105083</v>
      </c>
      <c r="I85">
        <v>24743.092898700001</v>
      </c>
    </row>
    <row r="86" spans="3:9" x14ac:dyDescent="0.25">
      <c r="C86" t="s">
        <v>24</v>
      </c>
      <c r="D86">
        <v>2035</v>
      </c>
      <c r="E86" t="s">
        <v>30</v>
      </c>
      <c r="F86" t="s">
        <v>52</v>
      </c>
      <c r="G86">
        <v>37.547360660000002</v>
      </c>
      <c r="H86">
        <v>-77.704687699999994</v>
      </c>
      <c r="I86">
        <v>112745.83785126101</v>
      </c>
    </row>
    <row r="87" spans="3:9" x14ac:dyDescent="0.25">
      <c r="C87" t="s">
        <v>24</v>
      </c>
      <c r="D87">
        <v>2035</v>
      </c>
      <c r="E87" t="s">
        <v>30</v>
      </c>
      <c r="F87" t="s">
        <v>53</v>
      </c>
      <c r="G87">
        <v>36.370182210000003</v>
      </c>
      <c r="H87">
        <v>-85.854596090000001</v>
      </c>
      <c r="I87">
        <v>16947.634184076</v>
      </c>
    </row>
    <row r="88" spans="3:9" x14ac:dyDescent="0.25">
      <c r="C88" t="s">
        <v>24</v>
      </c>
      <c r="D88">
        <v>2035</v>
      </c>
      <c r="E88" t="s">
        <v>30</v>
      </c>
      <c r="F88" t="s">
        <v>54</v>
      </c>
      <c r="G88">
        <v>35.070007140000001</v>
      </c>
      <c r="H88">
        <v>-118.0483929</v>
      </c>
      <c r="I88">
        <v>8101.5711698249997</v>
      </c>
    </row>
    <row r="89" spans="3:9" x14ac:dyDescent="0.25">
      <c r="C89" t="s">
        <v>24</v>
      </c>
      <c r="D89">
        <v>2035</v>
      </c>
      <c r="E89" t="s">
        <v>30</v>
      </c>
      <c r="F89" t="s">
        <v>55</v>
      </c>
      <c r="G89">
        <v>34.946099199999999</v>
      </c>
      <c r="H89">
        <v>-80.332142399999995</v>
      </c>
      <c r="I89">
        <v>17160.627035925001</v>
      </c>
    </row>
    <row r="90" spans="3:9" x14ac:dyDescent="0.25">
      <c r="C90" t="s">
        <v>24</v>
      </c>
      <c r="D90">
        <v>2035</v>
      </c>
      <c r="E90" t="s">
        <v>30</v>
      </c>
      <c r="F90" t="s">
        <v>56</v>
      </c>
      <c r="G90">
        <v>34.407657139999998</v>
      </c>
      <c r="H90">
        <v>-97.417557709999997</v>
      </c>
      <c r="I90">
        <v>12114.39725842</v>
      </c>
    </row>
    <row r="91" spans="3:9" x14ac:dyDescent="0.25">
      <c r="C91" t="s">
        <v>24</v>
      </c>
      <c r="D91">
        <v>2035</v>
      </c>
      <c r="E91" t="s">
        <v>30</v>
      </c>
      <c r="F91" t="s">
        <v>57</v>
      </c>
      <c r="G91">
        <v>34.169836170000004</v>
      </c>
      <c r="H91">
        <v>-107.8247234</v>
      </c>
      <c r="I91">
        <v>28261.933008026001</v>
      </c>
    </row>
    <row r="92" spans="3:9" x14ac:dyDescent="0.25">
      <c r="C92" t="s">
        <v>24</v>
      </c>
      <c r="D92">
        <v>2035</v>
      </c>
      <c r="E92" t="s">
        <v>30</v>
      </c>
      <c r="F92" t="s">
        <v>58</v>
      </c>
      <c r="G92">
        <v>32.841376609999998</v>
      </c>
      <c r="H92">
        <v>-92.087664329999996</v>
      </c>
      <c r="I92">
        <v>1134.0819161229999</v>
      </c>
    </row>
    <row r="93" spans="3:9" x14ac:dyDescent="0.25">
      <c r="C93" t="s">
        <v>24</v>
      </c>
      <c r="D93">
        <v>2035</v>
      </c>
      <c r="E93" t="s">
        <v>30</v>
      </c>
      <c r="F93" t="s">
        <v>59</v>
      </c>
      <c r="G93">
        <v>32.533998199999999</v>
      </c>
      <c r="H93">
        <v>-85.39189245</v>
      </c>
      <c r="I93">
        <v>30058.641954735998</v>
      </c>
    </row>
    <row r="94" spans="3:9" x14ac:dyDescent="0.25">
      <c r="C94" t="s">
        <v>24</v>
      </c>
      <c r="D94">
        <v>2035</v>
      </c>
      <c r="E94" t="s">
        <v>30</v>
      </c>
      <c r="F94" t="s">
        <v>60</v>
      </c>
      <c r="G94">
        <v>31.116466500000001</v>
      </c>
      <c r="H94">
        <v>-98.410506499999997</v>
      </c>
      <c r="I94">
        <v>150357.33283873199</v>
      </c>
    </row>
    <row r="95" spans="3:9" x14ac:dyDescent="0.25">
      <c r="C95" t="s">
        <v>24</v>
      </c>
      <c r="D95">
        <v>2035</v>
      </c>
      <c r="E95" t="s">
        <v>30</v>
      </c>
      <c r="F95" t="s">
        <v>61</v>
      </c>
      <c r="G95">
        <v>28.70831695</v>
      </c>
      <c r="H95">
        <v>-82.234216950000004</v>
      </c>
      <c r="I95">
        <v>5753.5357666500004</v>
      </c>
    </row>
    <row r="96" spans="3:9" x14ac:dyDescent="0.25">
      <c r="C96" t="s">
        <v>24</v>
      </c>
      <c r="D96">
        <v>2040</v>
      </c>
      <c r="E96" t="s">
        <v>30</v>
      </c>
      <c r="F96" t="s">
        <v>37</v>
      </c>
      <c r="G96">
        <v>46.230784960000001</v>
      </c>
      <c r="H96">
        <v>-117.1353519</v>
      </c>
      <c r="I96">
        <v>67986.787736179002</v>
      </c>
    </row>
    <row r="97" spans="3:9" x14ac:dyDescent="0.25">
      <c r="C97" t="s">
        <v>24</v>
      </c>
      <c r="D97">
        <v>2040</v>
      </c>
      <c r="E97" t="s">
        <v>30</v>
      </c>
      <c r="F97" t="s">
        <v>38</v>
      </c>
      <c r="G97">
        <v>44.216160670000001</v>
      </c>
      <c r="H97">
        <v>-92.060173219999996</v>
      </c>
      <c r="I97">
        <v>14550.435410620001</v>
      </c>
    </row>
    <row r="98" spans="3:9" x14ac:dyDescent="0.25">
      <c r="C98" t="s">
        <v>24</v>
      </c>
      <c r="D98">
        <v>2040</v>
      </c>
      <c r="E98" t="s">
        <v>30</v>
      </c>
      <c r="F98" t="s">
        <v>39</v>
      </c>
      <c r="G98">
        <v>43.892257200000003</v>
      </c>
      <c r="H98">
        <v>-98.937461729999995</v>
      </c>
      <c r="I98">
        <v>88270.731429909996</v>
      </c>
    </row>
    <row r="99" spans="3:9" x14ac:dyDescent="0.25">
      <c r="C99" t="s">
        <v>24</v>
      </c>
      <c r="D99">
        <v>2040</v>
      </c>
      <c r="E99" t="s">
        <v>30</v>
      </c>
      <c r="F99" t="s">
        <v>40</v>
      </c>
      <c r="G99">
        <v>43.659916129999999</v>
      </c>
      <c r="H99">
        <v>-84.577796770000006</v>
      </c>
      <c r="I99">
        <v>1305.742548422</v>
      </c>
    </row>
    <row r="100" spans="3:9" x14ac:dyDescent="0.25">
      <c r="C100" t="s">
        <v>24</v>
      </c>
      <c r="D100">
        <v>2040</v>
      </c>
      <c r="E100" t="s">
        <v>30</v>
      </c>
      <c r="F100" t="s">
        <v>41</v>
      </c>
      <c r="G100">
        <v>43.27527164</v>
      </c>
      <c r="H100">
        <v>-71.404255219999996</v>
      </c>
      <c r="I100">
        <v>8058.4379486730004</v>
      </c>
    </row>
    <row r="101" spans="3:9" x14ac:dyDescent="0.25">
      <c r="C101" t="s">
        <v>24</v>
      </c>
      <c r="D101">
        <v>2040</v>
      </c>
      <c r="E101" t="s">
        <v>30</v>
      </c>
      <c r="F101" t="s">
        <v>42</v>
      </c>
      <c r="G101">
        <v>42.781516359999998</v>
      </c>
      <c r="H101">
        <v>-75.700387269999993</v>
      </c>
      <c r="I101">
        <v>11738.301269918</v>
      </c>
    </row>
    <row r="102" spans="3:9" x14ac:dyDescent="0.25">
      <c r="C102" t="s">
        <v>24</v>
      </c>
      <c r="D102">
        <v>2040</v>
      </c>
      <c r="E102" t="s">
        <v>30</v>
      </c>
      <c r="F102" t="s">
        <v>43</v>
      </c>
      <c r="G102">
        <v>41.581748279999999</v>
      </c>
      <c r="H102">
        <v>-89.046286210000005</v>
      </c>
      <c r="I102">
        <v>35049.163455736001</v>
      </c>
    </row>
    <row r="103" spans="3:9" x14ac:dyDescent="0.25">
      <c r="C103" t="s">
        <v>24</v>
      </c>
      <c r="D103">
        <v>2040</v>
      </c>
      <c r="E103" t="s">
        <v>30</v>
      </c>
      <c r="F103" t="s">
        <v>44</v>
      </c>
      <c r="G103">
        <v>41.490666300000001</v>
      </c>
      <c r="H103">
        <v>-113.3992641</v>
      </c>
      <c r="I103">
        <v>23616.273172742</v>
      </c>
    </row>
    <row r="104" spans="3:9" x14ac:dyDescent="0.25">
      <c r="C104" t="s">
        <v>24</v>
      </c>
      <c r="D104">
        <v>2040</v>
      </c>
      <c r="E104" t="s">
        <v>30</v>
      </c>
      <c r="F104" t="s">
        <v>45</v>
      </c>
      <c r="G104">
        <v>40.795662499999999</v>
      </c>
      <c r="H104">
        <v>-73.749075000000005</v>
      </c>
      <c r="I104">
        <v>4146.182479866</v>
      </c>
    </row>
    <row r="105" spans="3:9" x14ac:dyDescent="0.25">
      <c r="C105" t="s">
        <v>24</v>
      </c>
      <c r="D105">
        <v>2040</v>
      </c>
      <c r="E105" t="s">
        <v>30</v>
      </c>
      <c r="F105" t="s">
        <v>46</v>
      </c>
      <c r="G105">
        <v>40.419861679999997</v>
      </c>
      <c r="H105">
        <v>-105.0432271</v>
      </c>
      <c r="I105">
        <v>16138.742611722</v>
      </c>
    </row>
    <row r="106" spans="3:9" x14ac:dyDescent="0.25">
      <c r="C106" t="s">
        <v>24</v>
      </c>
      <c r="D106">
        <v>2040</v>
      </c>
      <c r="E106" t="s">
        <v>30</v>
      </c>
      <c r="F106" t="s">
        <v>47</v>
      </c>
      <c r="G106">
        <v>40.223693619999999</v>
      </c>
      <c r="H106">
        <v>-76.229495740000004</v>
      </c>
      <c r="I106">
        <v>21522.374414612001</v>
      </c>
    </row>
    <row r="107" spans="3:9" x14ac:dyDescent="0.25">
      <c r="C107" t="s">
        <v>24</v>
      </c>
      <c r="D107">
        <v>2040</v>
      </c>
      <c r="E107" t="s">
        <v>30</v>
      </c>
      <c r="F107" t="s">
        <v>48</v>
      </c>
      <c r="G107">
        <v>39.628317430000003</v>
      </c>
      <c r="H107">
        <v>-82.005115140000001</v>
      </c>
      <c r="I107">
        <v>29368.021776138001</v>
      </c>
    </row>
    <row r="108" spans="3:9" x14ac:dyDescent="0.25">
      <c r="C108" t="s">
        <v>24</v>
      </c>
      <c r="D108">
        <v>2040</v>
      </c>
      <c r="E108" t="s">
        <v>30</v>
      </c>
      <c r="F108" t="s">
        <v>49</v>
      </c>
      <c r="G108">
        <v>39.137839149999998</v>
      </c>
      <c r="H108">
        <v>-89.055620000000005</v>
      </c>
      <c r="I108">
        <v>4237.9883581719996</v>
      </c>
    </row>
    <row r="109" spans="3:9" x14ac:dyDescent="0.25">
      <c r="C109" t="s">
        <v>24</v>
      </c>
      <c r="D109">
        <v>2040</v>
      </c>
      <c r="E109" t="s">
        <v>30</v>
      </c>
      <c r="F109" t="s">
        <v>50</v>
      </c>
      <c r="G109">
        <v>38.531783109999999</v>
      </c>
      <c r="H109">
        <v>-96.892483780000006</v>
      </c>
      <c r="I109">
        <v>3866.377606778</v>
      </c>
    </row>
    <row r="110" spans="3:9" x14ac:dyDescent="0.25">
      <c r="C110" t="s">
        <v>24</v>
      </c>
      <c r="D110">
        <v>2040</v>
      </c>
      <c r="E110" t="s">
        <v>30</v>
      </c>
      <c r="F110" t="s">
        <v>51</v>
      </c>
      <c r="G110">
        <v>38.363847919999998</v>
      </c>
      <c r="H110">
        <v>-121.3105083</v>
      </c>
      <c r="I110">
        <v>24745.087492546001</v>
      </c>
    </row>
    <row r="111" spans="3:9" x14ac:dyDescent="0.25">
      <c r="C111" t="s">
        <v>24</v>
      </c>
      <c r="D111">
        <v>2040</v>
      </c>
      <c r="E111" t="s">
        <v>30</v>
      </c>
      <c r="F111" t="s">
        <v>52</v>
      </c>
      <c r="G111">
        <v>37.547360660000002</v>
      </c>
      <c r="H111">
        <v>-77.704687699999994</v>
      </c>
      <c r="I111">
        <v>119296.859055083</v>
      </c>
    </row>
    <row r="112" spans="3:9" x14ac:dyDescent="0.25">
      <c r="C112" t="s">
        <v>24</v>
      </c>
      <c r="D112">
        <v>2040</v>
      </c>
      <c r="E112" t="s">
        <v>30</v>
      </c>
      <c r="F112" t="s">
        <v>53</v>
      </c>
      <c r="G112">
        <v>36.370182210000003</v>
      </c>
      <c r="H112">
        <v>-85.854596090000001</v>
      </c>
      <c r="I112">
        <v>18364.625991047</v>
      </c>
    </row>
    <row r="113" spans="3:9" x14ac:dyDescent="0.25">
      <c r="C113" t="s">
        <v>24</v>
      </c>
      <c r="D113">
        <v>2040</v>
      </c>
      <c r="E113" t="s">
        <v>30</v>
      </c>
      <c r="F113" t="s">
        <v>54</v>
      </c>
      <c r="G113">
        <v>35.070007140000001</v>
      </c>
      <c r="H113">
        <v>-118.0483929</v>
      </c>
      <c r="I113">
        <v>8102.2241613349997</v>
      </c>
    </row>
    <row r="114" spans="3:9" x14ac:dyDescent="0.25">
      <c r="C114" t="s">
        <v>24</v>
      </c>
      <c r="D114">
        <v>2040</v>
      </c>
      <c r="E114" t="s">
        <v>30</v>
      </c>
      <c r="F114" t="s">
        <v>55</v>
      </c>
      <c r="G114">
        <v>34.946099199999999</v>
      </c>
      <c r="H114">
        <v>-80.332142399999995</v>
      </c>
      <c r="I114">
        <v>18593.959112168999</v>
      </c>
    </row>
    <row r="115" spans="3:9" x14ac:dyDescent="0.25">
      <c r="C115" t="s">
        <v>24</v>
      </c>
      <c r="D115">
        <v>2040</v>
      </c>
      <c r="E115" t="s">
        <v>30</v>
      </c>
      <c r="F115" t="s">
        <v>56</v>
      </c>
      <c r="G115">
        <v>34.407657139999998</v>
      </c>
      <c r="H115">
        <v>-97.417557709999997</v>
      </c>
      <c r="I115">
        <v>18902.281020383001</v>
      </c>
    </row>
    <row r="116" spans="3:9" x14ac:dyDescent="0.25">
      <c r="C116" t="s">
        <v>24</v>
      </c>
      <c r="D116">
        <v>2040</v>
      </c>
      <c r="E116" t="s">
        <v>30</v>
      </c>
      <c r="F116" t="s">
        <v>57</v>
      </c>
      <c r="G116">
        <v>34.169836170000004</v>
      </c>
      <c r="H116">
        <v>-107.8247234</v>
      </c>
      <c r="I116">
        <v>30624.020980550002</v>
      </c>
    </row>
    <row r="117" spans="3:9" x14ac:dyDescent="0.25">
      <c r="C117" t="s">
        <v>24</v>
      </c>
      <c r="D117">
        <v>2040</v>
      </c>
      <c r="E117" t="s">
        <v>30</v>
      </c>
      <c r="F117" t="s">
        <v>58</v>
      </c>
      <c r="G117">
        <v>32.841376609999998</v>
      </c>
      <c r="H117">
        <v>-92.087664329999996</v>
      </c>
      <c r="I117">
        <v>1189.3635500109999</v>
      </c>
    </row>
    <row r="118" spans="3:9" x14ac:dyDescent="0.25">
      <c r="C118" t="s">
        <v>24</v>
      </c>
      <c r="D118">
        <v>2040</v>
      </c>
      <c r="E118" t="s">
        <v>30</v>
      </c>
      <c r="F118" t="s">
        <v>59</v>
      </c>
      <c r="G118">
        <v>32.533998199999999</v>
      </c>
      <c r="H118">
        <v>-85.39189245</v>
      </c>
      <c r="I118">
        <v>32568.935050598</v>
      </c>
    </row>
    <row r="119" spans="3:9" x14ac:dyDescent="0.25">
      <c r="C119" t="s">
        <v>24</v>
      </c>
      <c r="D119">
        <v>2040</v>
      </c>
      <c r="E119" t="s">
        <v>30</v>
      </c>
      <c r="F119" t="s">
        <v>60</v>
      </c>
      <c r="G119">
        <v>31.116466500000001</v>
      </c>
      <c r="H119">
        <v>-98.410506499999997</v>
      </c>
      <c r="I119">
        <v>167043.591645835</v>
      </c>
    </row>
    <row r="120" spans="3:9" x14ac:dyDescent="0.25">
      <c r="C120" t="s">
        <v>24</v>
      </c>
      <c r="D120">
        <v>2040</v>
      </c>
      <c r="E120" t="s">
        <v>30</v>
      </c>
      <c r="F120" t="s">
        <v>61</v>
      </c>
      <c r="G120">
        <v>28.70831695</v>
      </c>
      <c r="H120">
        <v>-82.234216950000004</v>
      </c>
      <c r="I120">
        <v>6232.9007293089999</v>
      </c>
    </row>
    <row r="121" spans="3:9" x14ac:dyDescent="0.25">
      <c r="C121" t="s">
        <v>24</v>
      </c>
      <c r="D121">
        <v>2045</v>
      </c>
      <c r="E121" t="s">
        <v>30</v>
      </c>
      <c r="F121" t="s">
        <v>37</v>
      </c>
      <c r="G121">
        <v>46.230784960000001</v>
      </c>
      <c r="H121">
        <v>-117.1353519</v>
      </c>
      <c r="I121">
        <v>73227.699856770996</v>
      </c>
    </row>
    <row r="122" spans="3:9" x14ac:dyDescent="0.25">
      <c r="C122" t="s">
        <v>24</v>
      </c>
      <c r="D122">
        <v>2045</v>
      </c>
      <c r="E122" t="s">
        <v>30</v>
      </c>
      <c r="F122" t="s">
        <v>38</v>
      </c>
      <c r="G122">
        <v>44.216160670000001</v>
      </c>
      <c r="H122">
        <v>-92.060173219999996</v>
      </c>
      <c r="I122">
        <v>15126.723767866</v>
      </c>
    </row>
    <row r="123" spans="3:9" x14ac:dyDescent="0.25">
      <c r="C123" t="s">
        <v>24</v>
      </c>
      <c r="D123">
        <v>2045</v>
      </c>
      <c r="E123" t="s">
        <v>30</v>
      </c>
      <c r="F123" t="s">
        <v>39</v>
      </c>
      <c r="G123">
        <v>43.892257200000003</v>
      </c>
      <c r="H123">
        <v>-98.937461729999995</v>
      </c>
      <c r="I123">
        <v>121158.11992072999</v>
      </c>
    </row>
    <row r="124" spans="3:9" x14ac:dyDescent="0.25">
      <c r="C124" t="s">
        <v>24</v>
      </c>
      <c r="D124">
        <v>2045</v>
      </c>
      <c r="E124" t="s">
        <v>30</v>
      </c>
      <c r="F124" t="s">
        <v>40</v>
      </c>
      <c r="G124">
        <v>43.659916129999999</v>
      </c>
      <c r="H124">
        <v>-84.577796770000006</v>
      </c>
      <c r="I124">
        <v>1456.672801743</v>
      </c>
    </row>
    <row r="125" spans="3:9" x14ac:dyDescent="0.25">
      <c r="C125" t="s">
        <v>24</v>
      </c>
      <c r="D125">
        <v>2045</v>
      </c>
      <c r="E125" t="s">
        <v>30</v>
      </c>
      <c r="F125" t="s">
        <v>41</v>
      </c>
      <c r="G125">
        <v>43.27527164</v>
      </c>
      <c r="H125">
        <v>-71.404255219999996</v>
      </c>
      <c r="I125">
        <v>8994.3742865999993</v>
      </c>
    </row>
    <row r="126" spans="3:9" x14ac:dyDescent="0.25">
      <c r="C126" t="s">
        <v>24</v>
      </c>
      <c r="D126">
        <v>2045</v>
      </c>
      <c r="E126" t="s">
        <v>30</v>
      </c>
      <c r="F126" t="s">
        <v>42</v>
      </c>
      <c r="G126">
        <v>42.781516359999998</v>
      </c>
      <c r="H126">
        <v>-75.700387269999993</v>
      </c>
      <c r="I126">
        <v>13101.630302600001</v>
      </c>
    </row>
    <row r="127" spans="3:9" x14ac:dyDescent="0.25">
      <c r="C127" t="s">
        <v>24</v>
      </c>
      <c r="D127">
        <v>2045</v>
      </c>
      <c r="E127" t="s">
        <v>30</v>
      </c>
      <c r="F127" t="s">
        <v>43</v>
      </c>
      <c r="G127">
        <v>41.581748279999999</v>
      </c>
      <c r="H127">
        <v>-89.046286210000005</v>
      </c>
      <c r="I127">
        <v>36775.671299234004</v>
      </c>
    </row>
    <row r="128" spans="3:9" x14ac:dyDescent="0.25">
      <c r="C128" t="s">
        <v>24</v>
      </c>
      <c r="D128">
        <v>2045</v>
      </c>
      <c r="E128" t="s">
        <v>30</v>
      </c>
      <c r="F128" t="s">
        <v>44</v>
      </c>
      <c r="G128">
        <v>41.490666300000001</v>
      </c>
      <c r="H128">
        <v>-113.3992641</v>
      </c>
      <c r="I128">
        <v>25439.736106765999</v>
      </c>
    </row>
    <row r="129" spans="3:9" x14ac:dyDescent="0.25">
      <c r="C129" t="s">
        <v>24</v>
      </c>
      <c r="D129">
        <v>2045</v>
      </c>
      <c r="E129" t="s">
        <v>30</v>
      </c>
      <c r="F129" t="s">
        <v>45</v>
      </c>
      <c r="G129">
        <v>40.795662499999999</v>
      </c>
      <c r="H129">
        <v>-73.749075000000005</v>
      </c>
      <c r="I129">
        <v>4627.1596811999998</v>
      </c>
    </row>
    <row r="130" spans="3:9" x14ac:dyDescent="0.25">
      <c r="C130" t="s">
        <v>24</v>
      </c>
      <c r="D130">
        <v>2045</v>
      </c>
      <c r="E130" t="s">
        <v>30</v>
      </c>
      <c r="F130" t="s">
        <v>46</v>
      </c>
      <c r="G130">
        <v>40.419861679999997</v>
      </c>
      <c r="H130">
        <v>-105.0432271</v>
      </c>
      <c r="I130">
        <v>16796.001452019002</v>
      </c>
    </row>
    <row r="131" spans="3:9" x14ac:dyDescent="0.25">
      <c r="C131" t="s">
        <v>24</v>
      </c>
      <c r="D131">
        <v>2045</v>
      </c>
      <c r="E131" t="s">
        <v>30</v>
      </c>
      <c r="F131" t="s">
        <v>47</v>
      </c>
      <c r="G131">
        <v>40.223693619999999</v>
      </c>
      <c r="H131">
        <v>-76.229495740000004</v>
      </c>
      <c r="I131">
        <v>24022.061679400002</v>
      </c>
    </row>
    <row r="132" spans="3:9" x14ac:dyDescent="0.25">
      <c r="C132" t="s">
        <v>24</v>
      </c>
      <c r="D132">
        <v>2045</v>
      </c>
      <c r="E132" t="s">
        <v>30</v>
      </c>
      <c r="F132" t="s">
        <v>48</v>
      </c>
      <c r="G132">
        <v>39.628317430000003</v>
      </c>
      <c r="H132">
        <v>-82.005115140000001</v>
      </c>
      <c r="I132">
        <v>31376.538373488998</v>
      </c>
    </row>
    <row r="133" spans="3:9" x14ac:dyDescent="0.25">
      <c r="C133" t="s">
        <v>24</v>
      </c>
      <c r="D133">
        <v>2045</v>
      </c>
      <c r="E133" t="s">
        <v>30</v>
      </c>
      <c r="F133" t="s">
        <v>49</v>
      </c>
      <c r="G133">
        <v>39.137839149999998</v>
      </c>
      <c r="H133">
        <v>-89.055620000000005</v>
      </c>
      <c r="I133">
        <v>4399.5122113850002</v>
      </c>
    </row>
    <row r="134" spans="3:9" x14ac:dyDescent="0.25">
      <c r="C134" t="s">
        <v>24</v>
      </c>
      <c r="D134">
        <v>2045</v>
      </c>
      <c r="E134" t="s">
        <v>30</v>
      </c>
      <c r="F134" t="s">
        <v>50</v>
      </c>
      <c r="G134">
        <v>38.531783109999999</v>
      </c>
      <c r="H134">
        <v>-96.892483780000006</v>
      </c>
      <c r="I134">
        <v>4736.2888411929998</v>
      </c>
    </row>
    <row r="135" spans="3:9" x14ac:dyDescent="0.25">
      <c r="C135" t="s">
        <v>24</v>
      </c>
      <c r="D135">
        <v>2045</v>
      </c>
      <c r="E135" t="s">
        <v>30</v>
      </c>
      <c r="F135" t="s">
        <v>51</v>
      </c>
      <c r="G135">
        <v>38.363847919999998</v>
      </c>
      <c r="H135">
        <v>-121.3105083</v>
      </c>
      <c r="I135">
        <v>27619.0728758</v>
      </c>
    </row>
    <row r="136" spans="3:9" x14ac:dyDescent="0.25">
      <c r="C136" t="s">
        <v>24</v>
      </c>
      <c r="D136">
        <v>2045</v>
      </c>
      <c r="E136" t="s">
        <v>30</v>
      </c>
      <c r="F136" t="s">
        <v>52</v>
      </c>
      <c r="G136">
        <v>37.547360660000002</v>
      </c>
      <c r="H136">
        <v>-77.704687699999994</v>
      </c>
      <c r="I136">
        <v>125850.843546346</v>
      </c>
    </row>
    <row r="137" spans="3:9" x14ac:dyDescent="0.25">
      <c r="C137" t="s">
        <v>24</v>
      </c>
      <c r="D137">
        <v>2045</v>
      </c>
      <c r="E137" t="s">
        <v>30</v>
      </c>
      <c r="F137" t="s">
        <v>53</v>
      </c>
      <c r="G137">
        <v>36.370182210000003</v>
      </c>
      <c r="H137">
        <v>-85.854596090000001</v>
      </c>
      <c r="I137">
        <v>19782.747653009999</v>
      </c>
    </row>
    <row r="138" spans="3:9" x14ac:dyDescent="0.25">
      <c r="C138" t="s">
        <v>24</v>
      </c>
      <c r="D138">
        <v>2045</v>
      </c>
      <c r="E138" t="s">
        <v>30</v>
      </c>
      <c r="F138" t="s">
        <v>54</v>
      </c>
      <c r="G138">
        <v>35.070007140000001</v>
      </c>
      <c r="H138">
        <v>-118.0483929</v>
      </c>
      <c r="I138">
        <v>9043.2462209999994</v>
      </c>
    </row>
    <row r="139" spans="3:9" x14ac:dyDescent="0.25">
      <c r="C139" t="s">
        <v>24</v>
      </c>
      <c r="D139">
        <v>2045</v>
      </c>
      <c r="E139" t="s">
        <v>30</v>
      </c>
      <c r="F139" t="s">
        <v>55</v>
      </c>
      <c r="G139">
        <v>34.946099199999999</v>
      </c>
      <c r="H139">
        <v>-80.332142399999995</v>
      </c>
      <c r="I139">
        <v>20029.709369217999</v>
      </c>
    </row>
    <row r="140" spans="3:9" x14ac:dyDescent="0.25">
      <c r="C140" t="s">
        <v>24</v>
      </c>
      <c r="D140">
        <v>2045</v>
      </c>
      <c r="E140" t="s">
        <v>30</v>
      </c>
      <c r="F140" t="s">
        <v>56</v>
      </c>
      <c r="G140">
        <v>34.407657139999998</v>
      </c>
      <c r="H140">
        <v>-97.417557709999997</v>
      </c>
      <c r="I140">
        <v>25719.442910497</v>
      </c>
    </row>
    <row r="141" spans="3:9" x14ac:dyDescent="0.25">
      <c r="C141" t="s">
        <v>24</v>
      </c>
      <c r="D141">
        <v>2045</v>
      </c>
      <c r="E141" t="s">
        <v>30</v>
      </c>
      <c r="F141" t="s">
        <v>57</v>
      </c>
      <c r="G141">
        <v>34.169836170000004</v>
      </c>
      <c r="H141">
        <v>-107.8247234</v>
      </c>
      <c r="I141">
        <v>32989.318044874999</v>
      </c>
    </row>
    <row r="142" spans="3:9" x14ac:dyDescent="0.25">
      <c r="C142" t="s">
        <v>24</v>
      </c>
      <c r="D142">
        <v>2045</v>
      </c>
      <c r="E142" t="s">
        <v>30</v>
      </c>
      <c r="F142" t="s">
        <v>58</v>
      </c>
      <c r="G142">
        <v>32.841376609999998</v>
      </c>
      <c r="H142">
        <v>-92.087664329999996</v>
      </c>
      <c r="I142">
        <v>1225.570886255</v>
      </c>
    </row>
    <row r="143" spans="3:9" x14ac:dyDescent="0.25">
      <c r="C143" t="s">
        <v>24</v>
      </c>
      <c r="D143">
        <v>2045</v>
      </c>
      <c r="E143" t="s">
        <v>30</v>
      </c>
      <c r="F143" t="s">
        <v>59</v>
      </c>
      <c r="G143">
        <v>32.533998199999999</v>
      </c>
      <c r="H143">
        <v>-85.39189245</v>
      </c>
      <c r="I143">
        <v>35084.049367138003</v>
      </c>
    </row>
    <row r="144" spans="3:9" x14ac:dyDescent="0.25">
      <c r="C144" t="s">
        <v>24</v>
      </c>
      <c r="D144">
        <v>2045</v>
      </c>
      <c r="E144" t="s">
        <v>30</v>
      </c>
      <c r="F144" t="s">
        <v>60</v>
      </c>
      <c r="G144">
        <v>31.116466500000001</v>
      </c>
      <c r="H144">
        <v>-98.410506499999997</v>
      </c>
      <c r="I144">
        <v>183754.16734726899</v>
      </c>
    </row>
    <row r="145" spans="3:9" x14ac:dyDescent="0.25">
      <c r="C145" t="s">
        <v>24</v>
      </c>
      <c r="D145">
        <v>2045</v>
      </c>
      <c r="E145" t="s">
        <v>30</v>
      </c>
      <c r="F145" t="s">
        <v>61</v>
      </c>
      <c r="G145">
        <v>28.70831695</v>
      </c>
      <c r="H145">
        <v>-82.234216950000004</v>
      </c>
      <c r="I145">
        <v>6714.9859911550002</v>
      </c>
    </row>
    <row r="146" spans="3:9" x14ac:dyDescent="0.25">
      <c r="C146" t="s">
        <v>24</v>
      </c>
      <c r="D146">
        <v>2050</v>
      </c>
      <c r="E146" t="s">
        <v>30</v>
      </c>
      <c r="F146" t="s">
        <v>37</v>
      </c>
      <c r="G146">
        <v>46.230784960000001</v>
      </c>
      <c r="H146">
        <v>-117.1353519</v>
      </c>
      <c r="I146">
        <v>78479.073111670994</v>
      </c>
    </row>
    <row r="147" spans="3:9" x14ac:dyDescent="0.25">
      <c r="C147" t="s">
        <v>24</v>
      </c>
      <c r="D147">
        <v>2050</v>
      </c>
      <c r="E147" t="s">
        <v>30</v>
      </c>
      <c r="F147" t="s">
        <v>38</v>
      </c>
      <c r="G147">
        <v>44.216160670000001</v>
      </c>
      <c r="H147">
        <v>-92.060173219999996</v>
      </c>
      <c r="I147">
        <v>15709.752216707</v>
      </c>
    </row>
    <row r="148" spans="3:9" x14ac:dyDescent="0.25">
      <c r="C148" t="s">
        <v>24</v>
      </c>
      <c r="D148">
        <v>2050</v>
      </c>
      <c r="E148" t="s">
        <v>30</v>
      </c>
      <c r="F148" t="s">
        <v>39</v>
      </c>
      <c r="G148">
        <v>43.892257200000003</v>
      </c>
      <c r="H148">
        <v>-98.937461729999995</v>
      </c>
      <c r="I148">
        <v>154052.70616401199</v>
      </c>
    </row>
    <row r="149" spans="3:9" x14ac:dyDescent="0.25">
      <c r="C149" t="s">
        <v>24</v>
      </c>
      <c r="D149">
        <v>2050</v>
      </c>
      <c r="E149" t="s">
        <v>30</v>
      </c>
      <c r="F149" t="s">
        <v>40</v>
      </c>
      <c r="G149">
        <v>43.659916129999999</v>
      </c>
      <c r="H149">
        <v>-84.577796770000006</v>
      </c>
      <c r="I149">
        <v>1632.246155029</v>
      </c>
    </row>
    <row r="150" spans="3:9" x14ac:dyDescent="0.25">
      <c r="C150" t="s">
        <v>24</v>
      </c>
      <c r="D150">
        <v>2050</v>
      </c>
      <c r="E150" t="s">
        <v>30</v>
      </c>
      <c r="F150" t="s">
        <v>41</v>
      </c>
      <c r="G150">
        <v>43.27527164</v>
      </c>
      <c r="H150">
        <v>-71.404255219999996</v>
      </c>
      <c r="I150">
        <v>10079.1709252</v>
      </c>
    </row>
    <row r="151" spans="3:9" x14ac:dyDescent="0.25">
      <c r="C151" t="s">
        <v>24</v>
      </c>
      <c r="D151">
        <v>2050</v>
      </c>
      <c r="E151" t="s">
        <v>30</v>
      </c>
      <c r="F151" t="s">
        <v>42</v>
      </c>
      <c r="G151">
        <v>42.781516359999998</v>
      </c>
      <c r="H151">
        <v>-75.700387269999993</v>
      </c>
      <c r="I151">
        <v>14681.7949764</v>
      </c>
    </row>
    <row r="152" spans="3:9" x14ac:dyDescent="0.25">
      <c r="C152" t="s">
        <v>24</v>
      </c>
      <c r="D152">
        <v>2050</v>
      </c>
      <c r="E152" t="s">
        <v>30</v>
      </c>
      <c r="F152" t="s">
        <v>43</v>
      </c>
      <c r="G152">
        <v>41.581748279999999</v>
      </c>
      <c r="H152">
        <v>-89.046286210000005</v>
      </c>
      <c r="I152">
        <v>38499.314659133997</v>
      </c>
    </row>
    <row r="153" spans="3:9" x14ac:dyDescent="0.25">
      <c r="C153" t="s">
        <v>24</v>
      </c>
      <c r="D153">
        <v>2050</v>
      </c>
      <c r="E153" t="s">
        <v>30</v>
      </c>
      <c r="F153" t="s">
        <v>44</v>
      </c>
      <c r="G153">
        <v>41.490666300000001</v>
      </c>
      <c r="H153">
        <v>-113.3992641</v>
      </c>
      <c r="I153">
        <v>27264.616598847999</v>
      </c>
    </row>
    <row r="154" spans="3:9" x14ac:dyDescent="0.25">
      <c r="C154" t="s">
        <v>24</v>
      </c>
      <c r="D154">
        <v>2050</v>
      </c>
      <c r="E154" t="s">
        <v>30</v>
      </c>
      <c r="F154" t="s">
        <v>45</v>
      </c>
      <c r="G154">
        <v>40.795662499999999</v>
      </c>
      <c r="H154">
        <v>-73.749075000000005</v>
      </c>
      <c r="I154">
        <v>5185.2333541999997</v>
      </c>
    </row>
    <row r="155" spans="3:9" x14ac:dyDescent="0.25">
      <c r="C155" t="s">
        <v>24</v>
      </c>
      <c r="D155">
        <v>2050</v>
      </c>
      <c r="E155" t="s">
        <v>30</v>
      </c>
      <c r="F155" t="s">
        <v>46</v>
      </c>
      <c r="G155">
        <v>40.419861679999997</v>
      </c>
      <c r="H155">
        <v>-105.0432271</v>
      </c>
      <c r="I155">
        <v>17451.194719448002</v>
      </c>
    </row>
    <row r="156" spans="3:9" x14ac:dyDescent="0.25">
      <c r="C156" t="s">
        <v>24</v>
      </c>
      <c r="D156">
        <v>2050</v>
      </c>
      <c r="E156" t="s">
        <v>30</v>
      </c>
      <c r="F156" t="s">
        <v>47</v>
      </c>
      <c r="G156">
        <v>40.223693619999999</v>
      </c>
      <c r="H156">
        <v>-76.229495740000004</v>
      </c>
      <c r="I156">
        <v>26919.411370229001</v>
      </c>
    </row>
    <row r="157" spans="3:9" x14ac:dyDescent="0.25">
      <c r="C157" t="s">
        <v>24</v>
      </c>
      <c r="D157">
        <v>2050</v>
      </c>
      <c r="E157" t="s">
        <v>30</v>
      </c>
      <c r="F157" t="s">
        <v>48</v>
      </c>
      <c r="G157">
        <v>39.628317430000003</v>
      </c>
      <c r="H157">
        <v>-82.005115140000001</v>
      </c>
      <c r="I157">
        <v>35160.807634042001</v>
      </c>
    </row>
    <row r="158" spans="3:9" x14ac:dyDescent="0.25">
      <c r="C158" t="s">
        <v>24</v>
      </c>
      <c r="D158">
        <v>2050</v>
      </c>
      <c r="E158" t="s">
        <v>30</v>
      </c>
      <c r="F158" t="s">
        <v>49</v>
      </c>
      <c r="G158">
        <v>39.137839149999998</v>
      </c>
      <c r="H158">
        <v>-89.055620000000005</v>
      </c>
      <c r="I158">
        <v>4575.8716115099996</v>
      </c>
    </row>
    <row r="159" spans="3:9" x14ac:dyDescent="0.25">
      <c r="C159" t="s">
        <v>24</v>
      </c>
      <c r="D159">
        <v>2050</v>
      </c>
      <c r="E159" t="s">
        <v>30</v>
      </c>
      <c r="F159" t="s">
        <v>50</v>
      </c>
      <c r="G159">
        <v>38.531783109999999</v>
      </c>
      <c r="H159">
        <v>-96.892483780000006</v>
      </c>
      <c r="I159">
        <v>5607.0589955900004</v>
      </c>
    </row>
    <row r="160" spans="3:9" x14ac:dyDescent="0.25">
      <c r="C160" t="s">
        <v>24</v>
      </c>
      <c r="D160">
        <v>2050</v>
      </c>
      <c r="E160" t="s">
        <v>30</v>
      </c>
      <c r="F160" t="s">
        <v>51</v>
      </c>
      <c r="G160">
        <v>38.363847919999998</v>
      </c>
      <c r="H160">
        <v>-121.3105083</v>
      </c>
      <c r="I160">
        <v>30950.160917599998</v>
      </c>
    </row>
    <row r="161" spans="3:9" x14ac:dyDescent="0.25">
      <c r="C161" t="s">
        <v>24</v>
      </c>
      <c r="D161">
        <v>2050</v>
      </c>
      <c r="E161" t="s">
        <v>30</v>
      </c>
      <c r="F161" t="s">
        <v>52</v>
      </c>
      <c r="G161">
        <v>37.547360660000002</v>
      </c>
      <c r="H161">
        <v>-77.704687699999994</v>
      </c>
      <c r="I161">
        <v>141029.69802844201</v>
      </c>
    </row>
    <row r="162" spans="3:9" x14ac:dyDescent="0.25">
      <c r="C162" t="s">
        <v>24</v>
      </c>
      <c r="D162">
        <v>2050</v>
      </c>
      <c r="E162" t="s">
        <v>30</v>
      </c>
      <c r="F162" t="s">
        <v>53</v>
      </c>
      <c r="G162">
        <v>36.370182210000003</v>
      </c>
      <c r="H162">
        <v>-85.854596090000001</v>
      </c>
      <c r="I162">
        <v>21202.417829845999</v>
      </c>
    </row>
    <row r="163" spans="3:9" x14ac:dyDescent="0.25">
      <c r="C163" t="s">
        <v>24</v>
      </c>
      <c r="D163">
        <v>2050</v>
      </c>
      <c r="E163" t="s">
        <v>30</v>
      </c>
      <c r="F163" t="s">
        <v>54</v>
      </c>
      <c r="G163">
        <v>35.070007140000001</v>
      </c>
      <c r="H163">
        <v>-118.0483929</v>
      </c>
      <c r="I163">
        <v>10133.9356338</v>
      </c>
    </row>
    <row r="164" spans="3:9" x14ac:dyDescent="0.25">
      <c r="C164" t="s">
        <v>24</v>
      </c>
      <c r="D164">
        <v>2050</v>
      </c>
      <c r="E164" t="s">
        <v>30</v>
      </c>
      <c r="F164" t="s">
        <v>55</v>
      </c>
      <c r="G164">
        <v>34.946099199999999</v>
      </c>
      <c r="H164">
        <v>-80.332142399999995</v>
      </c>
      <c r="I164">
        <v>21466.477524252001</v>
      </c>
    </row>
    <row r="165" spans="3:9" x14ac:dyDescent="0.25">
      <c r="C165" t="s">
        <v>24</v>
      </c>
      <c r="D165">
        <v>2050</v>
      </c>
      <c r="E165" t="s">
        <v>30</v>
      </c>
      <c r="F165" t="s">
        <v>56</v>
      </c>
      <c r="G165">
        <v>34.407657139999998</v>
      </c>
      <c r="H165">
        <v>-97.417557709999997</v>
      </c>
      <c r="I165">
        <v>32493.258313736002</v>
      </c>
    </row>
    <row r="166" spans="3:9" x14ac:dyDescent="0.25">
      <c r="C166" t="s">
        <v>24</v>
      </c>
      <c r="D166">
        <v>2050</v>
      </c>
      <c r="E166" t="s">
        <v>30</v>
      </c>
      <c r="F166" t="s">
        <v>57</v>
      </c>
      <c r="G166">
        <v>34.169836170000004</v>
      </c>
      <c r="H166">
        <v>-107.8247234</v>
      </c>
      <c r="I166">
        <v>35353.457972254</v>
      </c>
    </row>
    <row r="167" spans="3:9" x14ac:dyDescent="0.25">
      <c r="C167" t="s">
        <v>24</v>
      </c>
      <c r="D167">
        <v>2050</v>
      </c>
      <c r="E167" t="s">
        <v>30</v>
      </c>
      <c r="F167" t="s">
        <v>58</v>
      </c>
      <c r="G167">
        <v>32.841376609999998</v>
      </c>
      <c r="H167">
        <v>-92.087664329999996</v>
      </c>
      <c r="I167">
        <v>1272.036015873</v>
      </c>
    </row>
    <row r="168" spans="3:9" x14ac:dyDescent="0.25">
      <c r="C168" t="s">
        <v>24</v>
      </c>
      <c r="D168">
        <v>2050</v>
      </c>
      <c r="E168" t="s">
        <v>30</v>
      </c>
      <c r="F168" t="s">
        <v>59</v>
      </c>
      <c r="G168">
        <v>32.533998199999999</v>
      </c>
      <c r="H168">
        <v>-85.39189245</v>
      </c>
      <c r="I168">
        <v>37600.016589052</v>
      </c>
    </row>
    <row r="169" spans="3:9" x14ac:dyDescent="0.25">
      <c r="C169" t="s">
        <v>24</v>
      </c>
      <c r="D169">
        <v>2050</v>
      </c>
      <c r="E169" t="s">
        <v>30</v>
      </c>
      <c r="F169" t="s">
        <v>60</v>
      </c>
      <c r="G169">
        <v>31.116466500000001</v>
      </c>
      <c r="H169">
        <v>-98.410506499999997</v>
      </c>
      <c r="I169">
        <v>199897.34952277099</v>
      </c>
    </row>
    <row r="170" spans="3:9" x14ac:dyDescent="0.25">
      <c r="C170" t="s">
        <v>24</v>
      </c>
      <c r="D170">
        <v>2050</v>
      </c>
      <c r="E170" t="s">
        <v>30</v>
      </c>
      <c r="F170" t="s">
        <v>61</v>
      </c>
      <c r="G170">
        <v>28.70831695</v>
      </c>
      <c r="H170">
        <v>-82.234216950000004</v>
      </c>
      <c r="I170">
        <v>7197.4108308710001</v>
      </c>
    </row>
  </sheetData>
  <hyperlinks>
    <hyperlink ref="C2" r:id="rId1" xr:uid="{9B60BCE6-36B5-4D72-9EB7-A70249E61463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C7AF-6089-471C-9D72-4369B72568F5}">
  <sheetPr>
    <tabColor rgb="FF002060"/>
  </sheetPr>
  <dimension ref="A1:AB2"/>
  <sheetViews>
    <sheetView workbookViewId="0">
      <selection activeCell="B2" sqref="B2"/>
    </sheetView>
  </sheetViews>
  <sheetFormatPr defaultRowHeight="15" x14ac:dyDescent="0.25"/>
  <cols>
    <col min="1" max="1" width="15.5703125" customWidth="1"/>
  </cols>
  <sheetData>
    <row r="1" spans="1:28" x14ac:dyDescent="0.2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s="7" t="s">
        <v>1</v>
      </c>
      <c r="B2" s="9">
        <f>'Low_Mid_High Scenarios'!B3*10^6</f>
        <v>184000000</v>
      </c>
      <c r="C2" s="9">
        <f>'Low_Mid_High Scenarios'!C3*10^6</f>
        <v>224000000</v>
      </c>
      <c r="D2" s="9">
        <f>'Low_Mid_High Scenarios'!D3*10^6</f>
        <v>263000000</v>
      </c>
      <c r="E2" s="9">
        <f>'Low_Mid_High Scenarios'!E3*10^6</f>
        <v>308000000</v>
      </c>
      <c r="F2" s="9">
        <f>'Low_Mid_High Scenarios'!F3*10^6</f>
        <v>345000000</v>
      </c>
      <c r="G2" s="9">
        <f>'Low_Mid_High Scenarios'!G3*10^6</f>
        <v>371000000</v>
      </c>
      <c r="H2" s="9">
        <f>'Low_Mid_High Scenarios'!H3*10^6</f>
        <v>396000000</v>
      </c>
      <c r="I2" s="9">
        <f>'Low_Mid_High Scenarios'!I3*10^6</f>
        <v>411490910</v>
      </c>
      <c r="J2" s="9">
        <f>'Low_Mid_High Scenarios'!J3*10^6</f>
        <v>427279214.99999994</v>
      </c>
      <c r="K2" s="9">
        <f>'Low_Mid_High Scenarios'!K3*10^6</f>
        <v>443357003.99999994</v>
      </c>
      <c r="L2" s="9">
        <f>'Low_Mid_High Scenarios'!L3*10^6</f>
        <v>459669192.99999994</v>
      </c>
      <c r="M2" s="9">
        <f>'Low_Mid_High Scenarios'!M3*10^6</f>
        <v>476168315.99999994</v>
      </c>
      <c r="N2" s="9">
        <f>'Low_Mid_High Scenarios'!N3*10^6</f>
        <v>492772039.99999994</v>
      </c>
      <c r="O2" s="9">
        <f>'Low_Mid_High Scenarios'!O3*10^6</f>
        <v>509403598.99999994</v>
      </c>
      <c r="P2" s="9">
        <f>'Low_Mid_High Scenarios'!P3*10^6</f>
        <v>525857306.99999988</v>
      </c>
      <c r="Q2" s="9">
        <f>'Low_Mid_High Scenarios'!Q3*10^6</f>
        <v>541988129</v>
      </c>
      <c r="R2" s="9">
        <f>'Low_Mid_High Scenarios'!R3*10^6</f>
        <v>557646635</v>
      </c>
      <c r="S2" s="9">
        <f>'Low_Mid_High Scenarios'!S3*10^6</f>
        <v>572773346</v>
      </c>
      <c r="T2" s="9">
        <f>'Low_Mid_High Scenarios'!T3*10^6</f>
        <v>587128587.99999988</v>
      </c>
      <c r="U2" s="9">
        <f>'Low_Mid_High Scenarios'!U3*10^6</f>
        <v>600726131.99999988</v>
      </c>
      <c r="V2" s="9">
        <f>'Low_Mid_High Scenarios'!V3*10^6</f>
        <v>613331284.99999988</v>
      </c>
      <c r="W2" s="9">
        <f>'Low_Mid_High Scenarios'!W3*10^6</f>
        <v>624948149</v>
      </c>
      <c r="X2" s="9">
        <f>'Low_Mid_High Scenarios'!X3*10^6</f>
        <v>635298080.99999988</v>
      </c>
      <c r="Y2" s="9">
        <f>'Low_Mid_High Scenarios'!Y3*10^6</f>
        <v>644291422.99999988</v>
      </c>
      <c r="Z2" s="9">
        <f>'Low_Mid_High Scenarios'!Z3*10^6</f>
        <v>651829726.99999988</v>
      </c>
      <c r="AA2" s="9">
        <f>'Low_Mid_High Scenarios'!AA3*10^6</f>
        <v>657857030</v>
      </c>
      <c r="AB2" s="9">
        <f>'Low_Mid_High Scenarios'!AB3*10^6</f>
        <v>663209847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7CC6-6156-4D64-A44E-01D101893DEE}">
  <sheetPr>
    <tabColor rgb="FF002060"/>
  </sheetPr>
  <dimension ref="A1:AB2"/>
  <sheetViews>
    <sheetView workbookViewId="0">
      <selection activeCell="B2" sqref="B2"/>
    </sheetView>
  </sheetViews>
  <sheetFormatPr defaultRowHeight="15" x14ac:dyDescent="0.25"/>
  <cols>
    <col min="1" max="1" width="15.5703125" customWidth="1"/>
  </cols>
  <sheetData>
    <row r="1" spans="1:28" x14ac:dyDescent="0.2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s="7" t="s">
        <v>1</v>
      </c>
      <c r="B2" s="9">
        <f>'Low_Mid_High Scenarios'!B4*10^6</f>
        <v>184000000</v>
      </c>
      <c r="C2" s="9">
        <f>'Low_Mid_High Scenarios'!C4*10^6</f>
        <v>224000000</v>
      </c>
      <c r="D2" s="9">
        <f>'Low_Mid_High Scenarios'!D4*10^6</f>
        <v>290000000</v>
      </c>
      <c r="E2" s="9">
        <f>'Low_Mid_High Scenarios'!E4*10^6</f>
        <v>369000000</v>
      </c>
      <c r="F2" s="9">
        <f>'Low_Mid_High Scenarios'!F4*10^6</f>
        <v>448000000</v>
      </c>
      <c r="G2" s="9">
        <f>'Low_Mid_High Scenarios'!G4*10^6</f>
        <v>518000000</v>
      </c>
      <c r="H2" s="9">
        <f>'Low_Mid_High Scenarios'!H4*10^6</f>
        <v>585000000</v>
      </c>
      <c r="I2" s="9">
        <f>'Low_Mid_High Scenarios'!I4*10^6</f>
        <v>615399999.99999416</v>
      </c>
      <c r="J2" s="9">
        <f>'Low_Mid_High Scenarios'!J4*10^6</f>
        <v>645799999.99999559</v>
      </c>
      <c r="K2" s="9">
        <f>'Low_Mid_High Scenarios'!K4*10^6</f>
        <v>676199999.99999714</v>
      </c>
      <c r="L2" s="9">
        <f>'Low_Mid_High Scenarios'!L4*10^6</f>
        <v>706599999.99999857</v>
      </c>
      <c r="M2" s="9">
        <f>'Low_Mid_High Scenarios'!M4*10^6</f>
        <v>737000000</v>
      </c>
      <c r="N2" s="9">
        <f>'Low_Mid_High Scenarios'!N4*10^6</f>
        <v>753600000.00000584</v>
      </c>
      <c r="O2" s="9">
        <f>'Low_Mid_High Scenarios'!O4*10^6</f>
        <v>770200000.00000441</v>
      </c>
      <c r="P2" s="9">
        <f>'Low_Mid_High Scenarios'!P4*10^6</f>
        <v>786800000.00000286</v>
      </c>
      <c r="Q2" s="9">
        <f>'Low_Mid_High Scenarios'!Q4*10^6</f>
        <v>803400000.00000143</v>
      </c>
      <c r="R2" s="9">
        <f>'Low_Mid_High Scenarios'!R4*10^6</f>
        <v>820000000</v>
      </c>
      <c r="S2" s="9">
        <f>'Low_Mid_High Scenarios'!S4*10^6</f>
        <v>829400000.00000143</v>
      </c>
      <c r="T2" s="9">
        <f>'Low_Mid_High Scenarios'!T4*10^6</f>
        <v>838799999.99999928</v>
      </c>
      <c r="U2" s="9">
        <f>'Low_Mid_High Scenarios'!U4*10^6</f>
        <v>848200000.00000072</v>
      </c>
      <c r="V2" s="9">
        <f>'Low_Mid_High Scenarios'!V4*10^6</f>
        <v>857600000.00000215</v>
      </c>
      <c r="W2" s="9">
        <f>'Low_Mid_High Scenarios'!W4*10^6</f>
        <v>867000000</v>
      </c>
      <c r="X2" s="9">
        <f>'Low_Mid_High Scenarios'!X4*10^6</f>
        <v>876400000.00000143</v>
      </c>
      <c r="Y2" s="9">
        <f>'Low_Mid_High Scenarios'!Y4*10^6</f>
        <v>885799999.99999928</v>
      </c>
      <c r="Z2" s="9">
        <f>'Low_Mid_High Scenarios'!Z4*10^6</f>
        <v>895200000.00000072</v>
      </c>
      <c r="AA2" s="9">
        <f>'Low_Mid_High Scenarios'!AA4*10^6</f>
        <v>904600000.00000215</v>
      </c>
      <c r="AB2" s="9">
        <f>'Low_Mid_High Scenarios'!AB4*10^6</f>
        <v>914000000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2C6F-1FBE-4489-B976-BAC29E9763D4}">
  <sheetPr>
    <tabColor rgb="FF002060"/>
  </sheetPr>
  <dimension ref="A1:AB2"/>
  <sheetViews>
    <sheetView workbookViewId="0">
      <selection activeCell="B2" sqref="B2"/>
    </sheetView>
  </sheetViews>
  <sheetFormatPr defaultRowHeight="15" x14ac:dyDescent="0.25"/>
  <cols>
    <col min="1" max="1" width="15.5703125" customWidth="1"/>
  </cols>
  <sheetData>
    <row r="1" spans="1:28" x14ac:dyDescent="0.2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s="7" t="s">
        <v>1</v>
      </c>
      <c r="B2" s="9">
        <f>'Low_Mid_High Scenarios'!B5*10^6</f>
        <v>184000000</v>
      </c>
      <c r="C2" s="9">
        <f>'Low_Mid_High Scenarios'!C5*10^6</f>
        <v>224000000</v>
      </c>
      <c r="D2" s="9">
        <f>'Low_Mid_High Scenarios'!D5*10^6</f>
        <v>314000000</v>
      </c>
      <c r="E2" s="9">
        <f>'Low_Mid_High Scenarios'!E5*10^6</f>
        <v>425000000</v>
      </c>
      <c r="F2" s="9">
        <f>'Low_Mid_High Scenarios'!F5*10^6</f>
        <v>544000000</v>
      </c>
      <c r="G2" s="9">
        <f>'Low_Mid_High Scenarios'!G5*10^6</f>
        <v>653000000</v>
      </c>
      <c r="H2" s="9">
        <f>'Low_Mid_High Scenarios'!H5*10^6</f>
        <v>760000000</v>
      </c>
      <c r="I2" s="9">
        <f>'Low_Mid_High Scenarios'!I5*10^6</f>
        <v>825000000</v>
      </c>
      <c r="J2" s="9">
        <f>'Low_Mid_High Scenarios'!J5*10^6</f>
        <v>890000000</v>
      </c>
      <c r="K2" s="9">
        <f>'Low_Mid_High Scenarios'!K5*10^6</f>
        <v>955000000</v>
      </c>
      <c r="L2" s="9">
        <f>'Low_Mid_High Scenarios'!L5*10^6</f>
        <v>1020000000</v>
      </c>
      <c r="M2" s="9">
        <f>'Low_Mid_High Scenarios'!M5*10^6</f>
        <v>1085000000</v>
      </c>
      <c r="N2" s="9">
        <f>'Low_Mid_High Scenarios'!N5*10^6</f>
        <v>1120799999.9999883</v>
      </c>
      <c r="O2" s="9">
        <f>'Low_Mid_High Scenarios'!O5*10^6</f>
        <v>1156599999.9999912</v>
      </c>
      <c r="P2" s="9">
        <f>'Low_Mid_High Scenarios'!P5*10^6</f>
        <v>1192399999.9999943</v>
      </c>
      <c r="Q2" s="9">
        <f>'Low_Mid_High Scenarios'!Q5*10^6</f>
        <v>1228199999.9999971</v>
      </c>
      <c r="R2" s="9">
        <f>'Low_Mid_High Scenarios'!R5*10^6</f>
        <v>1264000000</v>
      </c>
      <c r="S2" s="9">
        <f>'Low_Mid_High Scenarios'!S5*10^6</f>
        <v>1309700000.0000117</v>
      </c>
      <c r="T2" s="9">
        <f>'Low_Mid_High Scenarios'!T5*10^6</f>
        <v>1355400000.0000088</v>
      </c>
      <c r="U2" s="9">
        <f>'Low_Mid_High Scenarios'!U5*10^6</f>
        <v>1401100000.0000057</v>
      </c>
      <c r="V2" s="9">
        <f>'Low_Mid_High Scenarios'!V5*10^6</f>
        <v>1446800000.0000029</v>
      </c>
      <c r="W2" s="9">
        <f>'Low_Mid_High Scenarios'!W5*10^6</f>
        <v>1492500000</v>
      </c>
      <c r="X2" s="9">
        <f>'Low_Mid_High Scenarios'!X5*10^6</f>
        <v>1538200000.0000117</v>
      </c>
      <c r="Y2" s="9">
        <f>'Low_Mid_High Scenarios'!Y5*10^6</f>
        <v>1583900000.0000088</v>
      </c>
      <c r="Z2" s="9">
        <f>'Low_Mid_High Scenarios'!Z5*10^6</f>
        <v>1629600000.0000057</v>
      </c>
      <c r="AA2" s="9">
        <f>'Low_Mid_High Scenarios'!AA5*10^6</f>
        <v>1675300000.0000029</v>
      </c>
      <c r="AB2" s="9">
        <f>'Low_Mid_High Scenarios'!AB5*10^6</f>
        <v>1721000000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Low_Mid_High Scenarios</vt:lpstr>
      <vt:lpstr>EPRI</vt:lpstr>
      <vt:lpstr>IEA</vt:lpstr>
      <vt:lpstr>AEO 2026 Table 5</vt:lpstr>
      <vt:lpstr>Evolved Energy ADP 2024</vt:lpstr>
      <vt:lpstr>BDCL-low</vt:lpstr>
      <vt:lpstr>BDCL-mid</vt:lpstr>
      <vt:lpstr>BDCL-high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Trevisan</dc:creator>
  <cp:lastModifiedBy>Dan O'Brien</cp:lastModifiedBy>
  <dcterms:created xsi:type="dcterms:W3CDTF">2015-06-05T18:17:20Z</dcterms:created>
  <dcterms:modified xsi:type="dcterms:W3CDTF">2026-05-13T18:27:06Z</dcterms:modified>
</cp:coreProperties>
</file>