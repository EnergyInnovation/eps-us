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BRESaC\"/>
    </mc:Choice>
  </mc:AlternateContent>
  <xr:revisionPtr revIDLastSave="0" documentId="13_ncr:1_{540E93C5-8F4C-418A-869F-91FE0973F46E}" xr6:coauthVersionLast="47" xr6:coauthVersionMax="47" xr10:uidLastSave="{00000000-0000-0000-0000-000000000000}"/>
  <bookViews>
    <workbookView xWindow="7320" yWindow="0" windowWidth="14280" windowHeight="12863" tabRatio="909" xr2:uid="{00000000-000D-0000-FFFF-FFFF00000000}"/>
  </bookViews>
  <sheets>
    <sheet name="About" sheetId="1" r:id="rId1"/>
    <sheet name="Calcs&gt;" sheetId="2" r:id="rId2"/>
    <sheet name="Residential" sheetId="3" r:id="rId3"/>
    <sheet name="Commercial" sheetId="4" r:id="rId4"/>
    <sheet name="Source Data&gt;" sheetId="5" r:id="rId5"/>
    <sheet name="County Climates" sheetId="6" r:id="rId6"/>
    <sheet name="CBECS_Table B5" sheetId="7" r:id="rId7"/>
    <sheet name="CBECS_Table B10" sheetId="8" r:id="rId8"/>
    <sheet name="CBECS_Table C4" sheetId="9" r:id="rId9"/>
    <sheet name="State Codes" sheetId="10" r:id="rId10"/>
    <sheet name="AEO 2026 Table 4 raw" sheetId="15" r:id="rId11"/>
    <sheet name="AEO 2026 Table 5 raw" sheetId="16" r:id="rId12"/>
    <sheet name="BRESaC-energy" sheetId="13" r:id="rId13"/>
    <sheet name="BRESaC-cost" sheetId="14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4" l="1"/>
  <c r="C7" i="14" l="1"/>
  <c r="C6" i="14"/>
  <c r="C5" i="14"/>
  <c r="C4" i="14"/>
  <c r="C7" i="13"/>
  <c r="C6" i="13"/>
  <c r="C5" i="13"/>
  <c r="C4" i="13"/>
  <c r="E65" i="10"/>
  <c r="E66" i="10" s="1"/>
  <c r="E57" i="10"/>
  <c r="E1617" i="6" s="1"/>
  <c r="E56" i="10"/>
  <c r="E51" i="10"/>
  <c r="E52" i="10" s="1"/>
  <c r="E2134" i="6" s="1"/>
  <c r="E50" i="10"/>
  <c r="E45" i="10"/>
  <c r="E46" i="10" s="1"/>
  <c r="E35" i="10"/>
  <c r="E36" i="10" s="1"/>
  <c r="E26" i="10"/>
  <c r="E27" i="10" s="1"/>
  <c r="E20" i="10"/>
  <c r="E21" i="10" s="1"/>
  <c r="E15" i="10"/>
  <c r="E16" i="10" s="1"/>
  <c r="E8" i="10"/>
  <c r="E9" i="10" s="1"/>
  <c r="E7" i="10"/>
  <c r="K1" i="7"/>
  <c r="J1" i="7"/>
  <c r="I1" i="7"/>
  <c r="H1" i="7"/>
  <c r="G1" i="7"/>
  <c r="F1" i="7"/>
  <c r="E1" i="7"/>
  <c r="D1" i="7"/>
  <c r="C1" i="7"/>
  <c r="U5" i="6" s="1"/>
  <c r="E2147" i="6"/>
  <c r="E2139" i="6"/>
  <c r="E2138" i="6"/>
  <c r="E2137" i="6"/>
  <c r="E2135" i="6"/>
  <c r="E2132" i="6"/>
  <c r="E1645" i="6"/>
  <c r="E1644" i="6"/>
  <c r="E1643" i="6"/>
  <c r="E1642" i="6"/>
  <c r="E1641" i="6"/>
  <c r="E1640" i="6"/>
  <c r="E1639" i="6"/>
  <c r="E1638" i="6"/>
  <c r="E1637" i="6"/>
  <c r="E1634" i="6"/>
  <c r="E1633" i="6"/>
  <c r="E1632" i="6"/>
  <c r="E1631" i="6"/>
  <c r="E1630" i="6"/>
  <c r="E1629" i="6"/>
  <c r="E1628" i="6"/>
  <c r="E1627" i="6"/>
  <c r="E1623" i="6"/>
  <c r="E1622" i="6"/>
  <c r="F1622" i="6" s="1"/>
  <c r="E1621" i="6"/>
  <c r="E1620" i="6"/>
  <c r="E1619" i="6"/>
  <c r="E400" i="6"/>
  <c r="F400" i="6" s="1"/>
  <c r="E399" i="6"/>
  <c r="F399" i="6" s="1"/>
  <c r="E186" i="6"/>
  <c r="E184" i="6"/>
  <c r="E183" i="6"/>
  <c r="E182" i="6"/>
  <c r="F182" i="6" s="1"/>
  <c r="E181" i="6"/>
  <c r="E180" i="6"/>
  <c r="E179" i="6"/>
  <c r="F179" i="6" s="1"/>
  <c r="E121" i="6"/>
  <c r="E120" i="6"/>
  <c r="E119" i="6"/>
  <c r="E118" i="6"/>
  <c r="E116" i="6"/>
  <c r="E115" i="6"/>
  <c r="E114" i="6"/>
  <c r="E113" i="6"/>
  <c r="E112" i="6"/>
  <c r="F112" i="6" s="1"/>
  <c r="E111" i="6"/>
  <c r="E110" i="6"/>
  <c r="F110" i="6" s="1"/>
  <c r="E109" i="6"/>
  <c r="E108" i="6"/>
  <c r="E105" i="6"/>
  <c r="E104" i="6"/>
  <c r="E103" i="6"/>
  <c r="E102" i="6"/>
  <c r="E101" i="6"/>
  <c r="E100" i="6"/>
  <c r="E99" i="6"/>
  <c r="E98" i="6"/>
  <c r="E96" i="6"/>
  <c r="F96" i="6" s="1"/>
  <c r="E95" i="6"/>
  <c r="E94" i="6"/>
  <c r="E93" i="6"/>
  <c r="E92" i="6"/>
  <c r="E91" i="6"/>
  <c r="E90" i="6"/>
  <c r="E89" i="6"/>
  <c r="E88" i="6"/>
  <c r="E87" i="6"/>
  <c r="E84" i="6"/>
  <c r="E83" i="6"/>
  <c r="F83" i="6" s="1"/>
  <c r="E82" i="6"/>
  <c r="E81" i="6"/>
  <c r="E80" i="6"/>
  <c r="E79" i="6"/>
  <c r="E78" i="6"/>
  <c r="E77" i="6"/>
  <c r="E75" i="6"/>
  <c r="E74" i="6"/>
  <c r="E73" i="6"/>
  <c r="F73" i="6" s="1"/>
  <c r="E72" i="6"/>
  <c r="F72" i="6" s="1"/>
  <c r="E71" i="6"/>
  <c r="F71" i="6" s="1"/>
  <c r="E70" i="6"/>
  <c r="E69" i="6"/>
  <c r="E68" i="6"/>
  <c r="E67" i="6"/>
  <c r="E50" i="6"/>
  <c r="E40" i="6"/>
  <c r="E28" i="6"/>
  <c r="E26" i="6"/>
  <c r="M23" i="6"/>
  <c r="E21" i="6"/>
  <c r="S18" i="6"/>
  <c r="E13" i="6"/>
  <c r="F13" i="6" s="1"/>
  <c r="U10" i="6"/>
  <c r="U7" i="6"/>
  <c r="U3" i="6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K10" i="4"/>
  <c r="D10" i="4"/>
  <c r="D9" i="4"/>
  <c r="D8" i="4"/>
  <c r="D7" i="4"/>
  <c r="M6" i="4" a="1"/>
  <c r="M6" i="4" s="1"/>
  <c r="K6" i="4" a="1"/>
  <c r="K6" i="4"/>
  <c r="D6" i="4"/>
  <c r="M5" i="4" a="1"/>
  <c r="M5" i="4" s="1"/>
  <c r="K5" i="4" a="1"/>
  <c r="K5" i="4" s="1"/>
  <c r="D5" i="4"/>
  <c r="M4" i="4" a="1"/>
  <c r="M4" i="4" s="1"/>
  <c r="L4" i="4"/>
  <c r="K4" i="4" a="1"/>
  <c r="K4" i="4"/>
  <c r="D4" i="4"/>
  <c r="M3" i="4" a="1"/>
  <c r="M3" i="4" s="1"/>
  <c r="L3" i="4"/>
  <c r="K3" i="4" a="1"/>
  <c r="K3" i="4" s="1"/>
  <c r="J3" i="4"/>
  <c r="D3" i="4"/>
  <c r="M2" i="4" a="1"/>
  <c r="M2" i="4" s="1"/>
  <c r="K2" i="4" a="1"/>
  <c r="K2" i="4" s="1"/>
  <c r="N2" i="4" s="1"/>
  <c r="J2" i="4"/>
  <c r="D2" i="4"/>
  <c r="B55" i="3"/>
  <c r="E48" i="3"/>
  <c r="I48" i="3" s="1"/>
  <c r="E47" i="3"/>
  <c r="I47" i="3" s="1"/>
  <c r="I46" i="3"/>
  <c r="E46" i="3"/>
  <c r="E45" i="3"/>
  <c r="I45" i="3" s="1"/>
  <c r="I44" i="3"/>
  <c r="E44" i="3"/>
  <c r="E43" i="3"/>
  <c r="I43" i="3" s="1"/>
  <c r="E42" i="3"/>
  <c r="I42" i="3" s="1"/>
  <c r="I41" i="3"/>
  <c r="E41" i="3"/>
  <c r="E40" i="3"/>
  <c r="I40" i="3" s="1"/>
  <c r="E39" i="3"/>
  <c r="I39" i="3" s="1"/>
  <c r="F35" i="3"/>
  <c r="F34" i="3"/>
  <c r="F48" i="3" s="1"/>
  <c r="F33" i="3"/>
  <c r="F47" i="3" s="1"/>
  <c r="G47" i="3" s="1"/>
  <c r="F32" i="3"/>
  <c r="F31" i="3"/>
  <c r="F30" i="3"/>
  <c r="F29" i="3"/>
  <c r="F28" i="3"/>
  <c r="F45" i="3" s="1"/>
  <c r="G45" i="3" s="1"/>
  <c r="F27" i="3"/>
  <c r="F26" i="3"/>
  <c r="F44" i="3" s="1"/>
  <c r="G44" i="3" s="1"/>
  <c r="F25" i="3"/>
  <c r="F24" i="3"/>
  <c r="F23" i="3"/>
  <c r="F22" i="3"/>
  <c r="F21" i="3"/>
  <c r="F20" i="3"/>
  <c r="F19" i="3"/>
  <c r="F18" i="3"/>
  <c r="F17" i="3"/>
  <c r="F16" i="3"/>
  <c r="F40" i="3" s="1"/>
  <c r="F15" i="3"/>
  <c r="F14" i="3"/>
  <c r="F13" i="3"/>
  <c r="F39" i="3" s="1"/>
  <c r="G39" i="3" s="1"/>
  <c r="B6" i="3"/>
  <c r="E2464" i="6" l="1"/>
  <c r="F2464" i="6" s="1"/>
  <c r="E2460" i="6"/>
  <c r="F2460" i="6" s="1"/>
  <c r="E2458" i="6"/>
  <c r="F2458" i="6" s="1"/>
  <c r="E2452" i="6"/>
  <c r="F2452" i="6" s="1"/>
  <c r="E2449" i="6"/>
  <c r="F2449" i="6" s="1"/>
  <c r="E2446" i="6"/>
  <c r="F2446" i="6" s="1"/>
  <c r="E17" i="10"/>
  <c r="E932" i="6" s="1"/>
  <c r="F932" i="6" s="1"/>
  <c r="E1888" i="6"/>
  <c r="F1888" i="6" s="1"/>
  <c r="E1902" i="6"/>
  <c r="F1902" i="6" s="1"/>
  <c r="E1880" i="6"/>
  <c r="F1880" i="6" s="1"/>
  <c r="E1859" i="6"/>
  <c r="F1859" i="6" s="1"/>
  <c r="E360" i="6"/>
  <c r="F360" i="6" s="1"/>
  <c r="E345" i="6"/>
  <c r="F345" i="6" s="1"/>
  <c r="E327" i="6"/>
  <c r="F327" i="6" s="1"/>
  <c r="E1901" i="6"/>
  <c r="F1901" i="6" s="1"/>
  <c r="E1879" i="6"/>
  <c r="F1879" i="6" s="1"/>
  <c r="E1858" i="6"/>
  <c r="F1858" i="6" s="1"/>
  <c r="E359" i="6"/>
  <c r="F359" i="6" s="1"/>
  <c r="E344" i="6"/>
  <c r="F344" i="6" s="1"/>
  <c r="E326" i="6"/>
  <c r="F326" i="6" s="1"/>
  <c r="E1900" i="6"/>
  <c r="F1900" i="6" s="1"/>
  <c r="E1870" i="6"/>
  <c r="F1870" i="6" s="1"/>
  <c r="E369" i="6"/>
  <c r="F369" i="6" s="1"/>
  <c r="E353" i="6"/>
  <c r="F353" i="6" s="1"/>
  <c r="E337" i="6"/>
  <c r="F337" i="6" s="1"/>
  <c r="E1891" i="6"/>
  <c r="F1891" i="6" s="1"/>
  <c r="E1869" i="6"/>
  <c r="F1869" i="6" s="1"/>
  <c r="E367" i="6"/>
  <c r="F367" i="6" s="1"/>
  <c r="E335" i="6"/>
  <c r="F335" i="6" s="1"/>
  <c r="E1899" i="6"/>
  <c r="F1899" i="6" s="1"/>
  <c r="E1873" i="6"/>
  <c r="F1873" i="6" s="1"/>
  <c r="E366" i="6"/>
  <c r="F366" i="6" s="1"/>
  <c r="E325" i="6"/>
  <c r="F325" i="6" s="1"/>
  <c r="E1868" i="6"/>
  <c r="F1868" i="6" s="1"/>
  <c r="E363" i="6"/>
  <c r="F363" i="6" s="1"/>
  <c r="E1898" i="6"/>
  <c r="F1898" i="6" s="1"/>
  <c r="E1871" i="6"/>
  <c r="F1871" i="6" s="1"/>
  <c r="E365" i="6"/>
  <c r="F365" i="6" s="1"/>
  <c r="E347" i="6"/>
  <c r="F347" i="6" s="1"/>
  <c r="E1895" i="6"/>
  <c r="F1895" i="6" s="1"/>
  <c r="E364" i="6"/>
  <c r="F364" i="6" s="1"/>
  <c r="E1897" i="6"/>
  <c r="F1897" i="6" s="1"/>
  <c r="E346" i="6"/>
  <c r="F346" i="6" s="1"/>
  <c r="E343" i="6"/>
  <c r="F343" i="6" s="1"/>
  <c r="E1894" i="6"/>
  <c r="F1894" i="6" s="1"/>
  <c r="E1867" i="6"/>
  <c r="F1867" i="6" s="1"/>
  <c r="E342" i="6"/>
  <c r="F342" i="6" s="1"/>
  <c r="E1886" i="6"/>
  <c r="F1886" i="6" s="1"/>
  <c r="E1857" i="6"/>
  <c r="F1857" i="6" s="1"/>
  <c r="E356" i="6"/>
  <c r="F356" i="6" s="1"/>
  <c r="E336" i="6"/>
  <c r="F336" i="6" s="1"/>
  <c r="E1875" i="6"/>
  <c r="F1875" i="6" s="1"/>
  <c r="E368" i="6"/>
  <c r="F368" i="6" s="1"/>
  <c r="E338" i="6"/>
  <c r="F338" i="6" s="1"/>
  <c r="E1905" i="6"/>
  <c r="F1905" i="6" s="1"/>
  <c r="E355" i="6"/>
  <c r="F355" i="6" s="1"/>
  <c r="E1893" i="6"/>
  <c r="F1893" i="6" s="1"/>
  <c r="E354" i="6"/>
  <c r="F354" i="6" s="1"/>
  <c r="E334" i="6"/>
  <c r="F334" i="6" s="1"/>
  <c r="E333" i="6"/>
  <c r="F333" i="6" s="1"/>
  <c r="E1866" i="6"/>
  <c r="F1866" i="6" s="1"/>
  <c r="E332" i="6"/>
  <c r="F332" i="6" s="1"/>
  <c r="E331" i="6"/>
  <c r="F331" i="6" s="1"/>
  <c r="E1862" i="6"/>
  <c r="F1862" i="6" s="1"/>
  <c r="E1904" i="6"/>
  <c r="F1904" i="6" s="1"/>
  <c r="E357" i="6"/>
  <c r="F357" i="6" s="1"/>
  <c r="E1855" i="6"/>
  <c r="F1855" i="6" s="1"/>
  <c r="E1874" i="6"/>
  <c r="F1874" i="6" s="1"/>
  <c r="E362" i="6"/>
  <c r="F362" i="6" s="1"/>
  <c r="E361" i="6"/>
  <c r="F361" i="6" s="1"/>
  <c r="E329" i="6"/>
  <c r="F329" i="6" s="1"/>
  <c r="E1861" i="6"/>
  <c r="F1861" i="6" s="1"/>
  <c r="E328" i="6"/>
  <c r="F328" i="6" s="1"/>
  <c r="E1856" i="6"/>
  <c r="F1856" i="6" s="1"/>
  <c r="E1863" i="6"/>
  <c r="F1863" i="6" s="1"/>
  <c r="E358" i="6"/>
  <c r="F358" i="6" s="1"/>
  <c r="E330" i="6"/>
  <c r="F330" i="6" s="1"/>
  <c r="E1903" i="6"/>
  <c r="F1903" i="6" s="1"/>
  <c r="E351" i="6"/>
  <c r="F351" i="6" s="1"/>
  <c r="E1890" i="6"/>
  <c r="F1890" i="6" s="1"/>
  <c r="E350" i="6"/>
  <c r="F350" i="6" s="1"/>
  <c r="E1889" i="6"/>
  <c r="F1889" i="6" s="1"/>
  <c r="E1878" i="6"/>
  <c r="F1878" i="6" s="1"/>
  <c r="E352" i="6"/>
  <c r="F352" i="6" s="1"/>
  <c r="E348" i="6"/>
  <c r="F348" i="6" s="1"/>
  <c r="E1882" i="6"/>
  <c r="F1882" i="6" s="1"/>
  <c r="E349" i="6"/>
  <c r="F349" i="6" s="1"/>
  <c r="E1887" i="6"/>
  <c r="F1887" i="6" s="1"/>
  <c r="E1854" i="6"/>
  <c r="F1854" i="6" s="1"/>
  <c r="E371" i="6"/>
  <c r="F371" i="6" s="1"/>
  <c r="E341" i="6"/>
  <c r="F341" i="6" s="1"/>
  <c r="E340" i="6"/>
  <c r="F340" i="6" s="1"/>
  <c r="E339" i="6"/>
  <c r="F339" i="6" s="1"/>
  <c r="E370" i="6"/>
  <c r="F370" i="6" s="1"/>
  <c r="E1892" i="6"/>
  <c r="F1892" i="6" s="1"/>
  <c r="E1881" i="6"/>
  <c r="F1881" i="6" s="1"/>
  <c r="E1885" i="6"/>
  <c r="F1885" i="6" s="1"/>
  <c r="E28" i="10"/>
  <c r="E2000" i="6"/>
  <c r="F2000" i="6" s="1"/>
  <c r="E1984" i="6"/>
  <c r="F1984" i="6" s="1"/>
  <c r="E450" i="6"/>
  <c r="F450" i="6" s="1"/>
  <c r="E402" i="6"/>
  <c r="F402" i="6" s="1"/>
  <c r="E2014" i="6"/>
  <c r="F2014" i="6" s="1"/>
  <c r="E1999" i="6"/>
  <c r="F1999" i="6" s="1"/>
  <c r="E1983" i="6"/>
  <c r="F1983" i="6" s="1"/>
  <c r="E434" i="6"/>
  <c r="F434" i="6" s="1"/>
  <c r="E417" i="6"/>
  <c r="F417" i="6" s="1"/>
  <c r="E1998" i="6"/>
  <c r="F1998" i="6" s="1"/>
  <c r="E1982" i="6"/>
  <c r="F1982" i="6" s="1"/>
  <c r="E2009" i="6"/>
  <c r="F2009" i="6" s="1"/>
  <c r="E1993" i="6"/>
  <c r="F1993" i="6" s="1"/>
  <c r="E1976" i="6"/>
  <c r="F1976" i="6" s="1"/>
  <c r="E443" i="6"/>
  <c r="F443" i="6" s="1"/>
  <c r="E427" i="6"/>
  <c r="F427" i="6" s="1"/>
  <c r="E410" i="6"/>
  <c r="F410" i="6" s="1"/>
  <c r="E2007" i="6"/>
  <c r="F2007" i="6" s="1"/>
  <c r="E1992" i="6"/>
  <c r="F1992" i="6" s="1"/>
  <c r="E1975" i="6"/>
  <c r="F1975" i="6" s="1"/>
  <c r="E441" i="6"/>
  <c r="F441" i="6" s="1"/>
  <c r="E425" i="6"/>
  <c r="F425" i="6" s="1"/>
  <c r="E408" i="6"/>
  <c r="F408" i="6" s="1"/>
  <c r="E2008" i="6"/>
  <c r="F2008" i="6" s="1"/>
  <c r="E1988" i="6"/>
  <c r="F1988" i="6" s="1"/>
  <c r="E451" i="6"/>
  <c r="F451" i="6" s="1"/>
  <c r="E431" i="6"/>
  <c r="F431" i="6" s="1"/>
  <c r="E412" i="6"/>
  <c r="F412" i="6" s="1"/>
  <c r="E2006" i="6"/>
  <c r="F2006" i="6" s="1"/>
  <c r="E1987" i="6"/>
  <c r="F1987" i="6" s="1"/>
  <c r="E430" i="6"/>
  <c r="F430" i="6" s="1"/>
  <c r="E411" i="6"/>
  <c r="F411" i="6" s="1"/>
  <c r="E1985" i="6"/>
  <c r="F1985" i="6" s="1"/>
  <c r="E407" i="6"/>
  <c r="F407" i="6" s="1"/>
  <c r="E2005" i="6"/>
  <c r="F2005" i="6" s="1"/>
  <c r="E1986" i="6"/>
  <c r="F1986" i="6" s="1"/>
  <c r="E449" i="6"/>
  <c r="F449" i="6" s="1"/>
  <c r="E429" i="6"/>
  <c r="F429" i="6" s="1"/>
  <c r="E409" i="6"/>
  <c r="F409" i="6" s="1"/>
  <c r="E448" i="6"/>
  <c r="F448" i="6" s="1"/>
  <c r="E2004" i="6"/>
  <c r="F2004" i="6" s="1"/>
  <c r="E428" i="6"/>
  <c r="F428" i="6" s="1"/>
  <c r="E1981" i="6"/>
  <c r="F1981" i="6" s="1"/>
  <c r="E447" i="6"/>
  <c r="F447" i="6" s="1"/>
  <c r="E1996" i="6"/>
  <c r="F1996" i="6" s="1"/>
  <c r="E440" i="6"/>
  <c r="F440" i="6" s="1"/>
  <c r="E420" i="6"/>
  <c r="F420" i="6" s="1"/>
  <c r="E401" i="6"/>
  <c r="F401" i="6" s="1"/>
  <c r="E1977" i="6"/>
  <c r="F1977" i="6" s="1"/>
  <c r="E452" i="6"/>
  <c r="F452" i="6" s="1"/>
  <c r="E419" i="6"/>
  <c r="F419" i="6" s="1"/>
  <c r="E2002" i="6"/>
  <c r="F2002" i="6" s="1"/>
  <c r="E445" i="6"/>
  <c r="F445" i="6" s="1"/>
  <c r="E2010" i="6"/>
  <c r="F2010" i="6" s="1"/>
  <c r="E418" i="6"/>
  <c r="F418" i="6" s="1"/>
  <c r="E1973" i="6"/>
  <c r="F1973" i="6" s="1"/>
  <c r="E444" i="6"/>
  <c r="F444" i="6" s="1"/>
  <c r="E413" i="6"/>
  <c r="F413" i="6" s="1"/>
  <c r="E2003" i="6"/>
  <c r="F2003" i="6" s="1"/>
  <c r="E1974" i="6"/>
  <c r="F1974" i="6" s="1"/>
  <c r="E446" i="6"/>
  <c r="F446" i="6" s="1"/>
  <c r="E2001" i="6"/>
  <c r="F2001" i="6" s="1"/>
  <c r="E416" i="6"/>
  <c r="F416" i="6" s="1"/>
  <c r="E1997" i="6"/>
  <c r="F1997" i="6" s="1"/>
  <c r="E414" i="6"/>
  <c r="F414" i="6" s="1"/>
  <c r="E1995" i="6"/>
  <c r="F1995" i="6" s="1"/>
  <c r="E406" i="6"/>
  <c r="F406" i="6" s="1"/>
  <c r="E1994" i="6"/>
  <c r="F1994" i="6" s="1"/>
  <c r="E438" i="6"/>
  <c r="F438" i="6" s="1"/>
  <c r="E1972" i="6"/>
  <c r="F1972" i="6" s="1"/>
  <c r="E442" i="6"/>
  <c r="F442" i="6" s="1"/>
  <c r="E415" i="6"/>
  <c r="F415" i="6" s="1"/>
  <c r="E439" i="6"/>
  <c r="F439" i="6" s="1"/>
  <c r="E436" i="6"/>
  <c r="F436" i="6" s="1"/>
  <c r="E1991" i="6"/>
  <c r="F1991" i="6" s="1"/>
  <c r="E435" i="6"/>
  <c r="F435" i="6" s="1"/>
  <c r="E404" i="6"/>
  <c r="F404" i="6" s="1"/>
  <c r="E1990" i="6"/>
  <c r="F1990" i="6" s="1"/>
  <c r="E403" i="6"/>
  <c r="F403" i="6" s="1"/>
  <c r="E37" i="10"/>
  <c r="E38" i="10" s="1"/>
  <c r="E188" i="6"/>
  <c r="F188" i="6" s="1"/>
  <c r="E187" i="6"/>
  <c r="F187" i="6" s="1"/>
  <c r="E189" i="6"/>
  <c r="E405" i="6"/>
  <c r="F405" i="6" s="1"/>
  <c r="E421" i="6"/>
  <c r="F421" i="6" s="1"/>
  <c r="E1980" i="6"/>
  <c r="F1980" i="6" s="1"/>
  <c r="E1979" i="6"/>
  <c r="F1979" i="6" s="1"/>
  <c r="E53" i="10"/>
  <c r="E2165" i="6"/>
  <c r="E2143" i="6"/>
  <c r="E2121" i="6"/>
  <c r="E2164" i="6"/>
  <c r="F2164" i="6" s="1"/>
  <c r="E2142" i="6"/>
  <c r="E2120" i="6"/>
  <c r="F2120" i="6" s="1"/>
  <c r="E2163" i="6"/>
  <c r="F2163" i="6" s="1"/>
  <c r="E2141" i="6"/>
  <c r="F2141" i="6" s="1"/>
  <c r="E2119" i="6"/>
  <c r="F2119" i="6" s="1"/>
  <c r="E2155" i="6"/>
  <c r="F2155" i="6" s="1"/>
  <c r="E2133" i="6"/>
  <c r="F2133" i="6" s="1"/>
  <c r="E2111" i="6"/>
  <c r="F2111" i="6" s="1"/>
  <c r="E587" i="6"/>
  <c r="F587" i="6" s="1"/>
  <c r="E2153" i="6"/>
  <c r="E2131" i="6"/>
  <c r="E585" i="6"/>
  <c r="F585" i="6" s="1"/>
  <c r="E2158" i="6"/>
  <c r="F2158" i="6" s="1"/>
  <c r="E2129" i="6"/>
  <c r="E591" i="6"/>
  <c r="E2157" i="6"/>
  <c r="E2128" i="6"/>
  <c r="E2152" i="6"/>
  <c r="F2152" i="6" s="1"/>
  <c r="E590" i="6"/>
  <c r="E2156" i="6"/>
  <c r="E2127" i="6"/>
  <c r="E2154" i="6"/>
  <c r="E2126" i="6"/>
  <c r="F2126" i="6" s="1"/>
  <c r="E2125" i="6"/>
  <c r="E2151" i="6"/>
  <c r="F2151" i="6" s="1"/>
  <c r="E2124" i="6"/>
  <c r="F2124" i="6" s="1"/>
  <c r="E589" i="6"/>
  <c r="F589" i="6" s="1"/>
  <c r="E2144" i="6"/>
  <c r="F2144" i="6" s="1"/>
  <c r="E2114" i="6"/>
  <c r="F2114" i="6" s="1"/>
  <c r="E2130" i="6"/>
  <c r="F2130" i="6" s="1"/>
  <c r="E2160" i="6"/>
  <c r="E588" i="6"/>
  <c r="E586" i="6"/>
  <c r="E2123" i="6"/>
  <c r="E2166" i="6"/>
  <c r="E2117" i="6"/>
  <c r="E2115" i="6"/>
  <c r="E2159" i="6"/>
  <c r="F2159" i="6" s="1"/>
  <c r="E2110" i="6"/>
  <c r="E2148" i="6"/>
  <c r="F2148" i="6" s="1"/>
  <c r="E2122" i="6"/>
  <c r="F2122" i="6" s="1"/>
  <c r="E2118" i="6"/>
  <c r="E2162" i="6"/>
  <c r="E2113" i="6"/>
  <c r="E2112" i="6"/>
  <c r="E2149" i="6"/>
  <c r="F2149" i="6" s="1"/>
  <c r="E2161" i="6"/>
  <c r="F2161" i="6" s="1"/>
  <c r="E2116" i="6"/>
  <c r="F2116" i="6" s="1"/>
  <c r="E2150" i="6"/>
  <c r="F2150" i="6" s="1"/>
  <c r="E2146" i="6"/>
  <c r="F2146" i="6" s="1"/>
  <c r="E2145" i="6"/>
  <c r="F2145" i="6" s="1"/>
  <c r="E2140" i="6"/>
  <c r="F2140" i="6" s="1"/>
  <c r="E422" i="6"/>
  <c r="F422" i="6" s="1"/>
  <c r="E2136" i="6"/>
  <c r="E432" i="6"/>
  <c r="F432" i="6" s="1"/>
  <c r="E1978" i="6"/>
  <c r="F1978" i="6" s="1"/>
  <c r="S16" i="6"/>
  <c r="N16" i="6"/>
  <c r="M16" i="6"/>
  <c r="Q16" i="6"/>
  <c r="S20" i="6"/>
  <c r="R20" i="6"/>
  <c r="P20" i="6"/>
  <c r="Q20" i="6"/>
  <c r="E433" i="6"/>
  <c r="F433" i="6" s="1"/>
  <c r="E2012" i="6"/>
  <c r="F2012" i="6" s="1"/>
  <c r="E423" i="6"/>
  <c r="F423" i="6" s="1"/>
  <c r="L16" i="6"/>
  <c r="E437" i="6"/>
  <c r="F437" i="6" s="1"/>
  <c r="L5" i="4"/>
  <c r="J4" i="4"/>
  <c r="N4" i="4" s="1"/>
  <c r="E2013" i="6"/>
  <c r="F2013" i="6" s="1"/>
  <c r="F43" i="3"/>
  <c r="G43" i="3" s="1"/>
  <c r="P16" i="6"/>
  <c r="E453" i="6"/>
  <c r="F453" i="6" s="1"/>
  <c r="E1989" i="6"/>
  <c r="F1989" i="6" s="1"/>
  <c r="E424" i="6"/>
  <c r="F424" i="6" s="1"/>
  <c r="E426" i="6"/>
  <c r="F426" i="6" s="1"/>
  <c r="P23" i="6"/>
  <c r="N23" i="6"/>
  <c r="S23" i="6"/>
  <c r="R23" i="6"/>
  <c r="Q23" i="6"/>
  <c r="L23" i="6"/>
  <c r="O16" i="6"/>
  <c r="E454" i="6"/>
  <c r="F454" i="6" s="1"/>
  <c r="E2011" i="6"/>
  <c r="F2011" i="6" s="1"/>
  <c r="F46" i="3"/>
  <c r="G46" i="3" s="1"/>
  <c r="F21" i="6"/>
  <c r="F105" i="6"/>
  <c r="F180" i="6"/>
  <c r="F81" i="6"/>
  <c r="F181" i="6"/>
  <c r="F26" i="6"/>
  <c r="F40" i="6"/>
  <c r="F90" i="6"/>
  <c r="F113" i="6"/>
  <c r="F91" i="6"/>
  <c r="E1615" i="6"/>
  <c r="F93" i="6"/>
  <c r="E1616" i="6"/>
  <c r="F1616" i="6" s="1"/>
  <c r="G48" i="3"/>
  <c r="F186" i="6"/>
  <c r="E1609" i="6"/>
  <c r="F1609" i="6" s="1"/>
  <c r="E1599" i="6"/>
  <c r="F1599" i="6" s="1"/>
  <c r="E1605" i="6"/>
  <c r="E1586" i="6"/>
  <c r="F1586" i="6" s="1"/>
  <c r="E1602" i="6"/>
  <c r="F28" i="6"/>
  <c r="F94" i="6"/>
  <c r="F184" i="6"/>
  <c r="E58" i="10"/>
  <c r="E1614" i="6"/>
  <c r="F1614" i="6" s="1"/>
  <c r="E1613" i="6"/>
  <c r="E1626" i="6"/>
  <c r="F1626" i="6" s="1"/>
  <c r="E1624" i="6"/>
  <c r="F1624" i="6" s="1"/>
  <c r="E1612" i="6"/>
  <c r="F1612" i="6" s="1"/>
  <c r="E1625" i="6"/>
  <c r="F1625" i="6" s="1"/>
  <c r="F50" i="6"/>
  <c r="E1618" i="6"/>
  <c r="E57" i="6"/>
  <c r="F57" i="6" s="1"/>
  <c r="E51" i="6"/>
  <c r="F51" i="6" s="1"/>
  <c r="E41" i="6"/>
  <c r="F41" i="6" s="1"/>
  <c r="F111" i="6"/>
  <c r="F118" i="6"/>
  <c r="F183" i="6"/>
  <c r="F1638" i="6"/>
  <c r="G40" i="3"/>
  <c r="F99" i="6"/>
  <c r="F74" i="6"/>
  <c r="E185" i="6"/>
  <c r="F185" i="6" s="1"/>
  <c r="E10" i="10"/>
  <c r="E1646" i="6"/>
  <c r="F1646" i="6" s="1"/>
  <c r="E76" i="6"/>
  <c r="F76" i="6" s="1"/>
  <c r="E97" i="6"/>
  <c r="F97" i="6" s="1"/>
  <c r="E117" i="6"/>
  <c r="F117" i="6" s="1"/>
  <c r="E85" i="6"/>
  <c r="F85" i="6" s="1"/>
  <c r="E106" i="6"/>
  <c r="F106" i="6" s="1"/>
  <c r="E1635" i="6"/>
  <c r="F1635" i="6" s="1"/>
  <c r="F41" i="3"/>
  <c r="G41" i="3" s="1"/>
  <c r="E86" i="6"/>
  <c r="E107" i="6"/>
  <c r="E1636" i="6"/>
  <c r="N3" i="4"/>
  <c r="F2157" i="6"/>
  <c r="F2125" i="6"/>
  <c r="F2115" i="6"/>
  <c r="F2121" i="6"/>
  <c r="F2138" i="6"/>
  <c r="F1631" i="6"/>
  <c r="F1644" i="6"/>
  <c r="F2134" i="6"/>
  <c r="F2160" i="6"/>
  <c r="F1636" i="6"/>
  <c r="F1623" i="6"/>
  <c r="F2154" i="6"/>
  <c r="F2139" i="6"/>
  <c r="F586" i="6"/>
  <c r="F120" i="6"/>
  <c r="F109" i="6"/>
  <c r="F98" i="6"/>
  <c r="F87" i="6"/>
  <c r="F2165" i="6"/>
  <c r="F1643" i="6"/>
  <c r="F1615" i="6"/>
  <c r="F2135" i="6"/>
  <c r="F89" i="6"/>
  <c r="U9" i="6"/>
  <c r="F1617" i="6"/>
  <c r="U8" i="6"/>
  <c r="F2153" i="6"/>
  <c r="F1627" i="6"/>
  <c r="F591" i="6"/>
  <c r="F80" i="6"/>
  <c r="F2156" i="6"/>
  <c r="U4" i="6"/>
  <c r="F590" i="6"/>
  <c r="F79" i="6"/>
  <c r="F588" i="6"/>
  <c r="F77" i="6"/>
  <c r="F121" i="6"/>
  <c r="F1630" i="6"/>
  <c r="F115" i="6"/>
  <c r="F116" i="6"/>
  <c r="F2142" i="6"/>
  <c r="F102" i="6"/>
  <c r="U6" i="6"/>
  <c r="F1639" i="6"/>
  <c r="F1621" i="6"/>
  <c r="F2128" i="6"/>
  <c r="F2110" i="6"/>
  <c r="F67" i="6"/>
  <c r="F95" i="6"/>
  <c r="F2118" i="6"/>
  <c r="E1585" i="6"/>
  <c r="F1585" i="6" s="1"/>
  <c r="E1584" i="6"/>
  <c r="F1584" i="6" s="1"/>
  <c r="E11" i="6"/>
  <c r="F11" i="6" s="1"/>
  <c r="E65" i="6"/>
  <c r="F65" i="6" s="1"/>
  <c r="E54" i="6"/>
  <c r="F54" i="6" s="1"/>
  <c r="E43" i="6"/>
  <c r="F43" i="6" s="1"/>
  <c r="E17" i="6"/>
  <c r="F17" i="6" s="1"/>
  <c r="E33" i="6"/>
  <c r="F33" i="6" s="1"/>
  <c r="E3" i="6"/>
  <c r="F3" i="6" s="1"/>
  <c r="E64" i="6"/>
  <c r="F64" i="6" s="1"/>
  <c r="E53" i="6"/>
  <c r="F53" i="6" s="1"/>
  <c r="E42" i="6"/>
  <c r="F42" i="6" s="1"/>
  <c r="E19" i="6"/>
  <c r="F19" i="6" s="1"/>
  <c r="E10" i="6"/>
  <c r="F10" i="6" s="1"/>
  <c r="E7" i="6"/>
  <c r="F7" i="6" s="1"/>
  <c r="E49" i="6"/>
  <c r="F49" i="6" s="1"/>
  <c r="E23" i="6"/>
  <c r="F23" i="6" s="1"/>
  <c r="E20" i="6"/>
  <c r="F20" i="6" s="1"/>
  <c r="E61" i="6"/>
  <c r="F61" i="6" s="1"/>
  <c r="E62" i="6"/>
  <c r="F62" i="6" s="1"/>
  <c r="E48" i="6"/>
  <c r="F48" i="6" s="1"/>
  <c r="E35" i="6"/>
  <c r="F35" i="6" s="1"/>
  <c r="E9" i="6"/>
  <c r="F9" i="6" s="1"/>
  <c r="E47" i="6"/>
  <c r="F47" i="6" s="1"/>
  <c r="E56" i="6"/>
  <c r="F56" i="6" s="1"/>
  <c r="E30" i="6"/>
  <c r="F30" i="6" s="1"/>
  <c r="E15" i="6"/>
  <c r="F15" i="6" s="1"/>
  <c r="E31" i="6"/>
  <c r="F31" i="6" s="1"/>
  <c r="E5" i="6"/>
  <c r="F5" i="6" s="1"/>
  <c r="E46" i="6"/>
  <c r="F46" i="6" s="1"/>
  <c r="E29" i="6"/>
  <c r="F29" i="6" s="1"/>
  <c r="E14" i="6"/>
  <c r="F14" i="6" s="1"/>
  <c r="E66" i="6"/>
  <c r="F66" i="6" s="1"/>
  <c r="E63" i="6"/>
  <c r="F63" i="6" s="1"/>
  <c r="E16" i="6"/>
  <c r="F16" i="6" s="1"/>
  <c r="E45" i="6"/>
  <c r="F45" i="6" s="1"/>
  <c r="E4" i="6"/>
  <c r="F4" i="6" s="1"/>
  <c r="E44" i="6"/>
  <c r="F44" i="6" s="1"/>
  <c r="E2" i="6"/>
  <c r="F2" i="6" s="1"/>
  <c r="E60" i="6"/>
  <c r="F60" i="6" s="1"/>
  <c r="E38" i="6"/>
  <c r="F38" i="6" s="1"/>
  <c r="E22" i="6"/>
  <c r="F22" i="6" s="1"/>
  <c r="E37" i="6"/>
  <c r="F37" i="6" s="1"/>
  <c r="E25" i="6"/>
  <c r="F25" i="6" s="1"/>
  <c r="E8" i="6"/>
  <c r="F8" i="6" s="1"/>
  <c r="E24" i="6"/>
  <c r="F24" i="6" s="1"/>
  <c r="E32" i="6"/>
  <c r="F32" i="6" s="1"/>
  <c r="E58" i="6"/>
  <c r="F58" i="6" s="1"/>
  <c r="E39" i="6"/>
  <c r="F39" i="6" s="1"/>
  <c r="E18" i="6"/>
  <c r="F18" i="6" s="1"/>
  <c r="E36" i="6"/>
  <c r="F36" i="6" s="1"/>
  <c r="E34" i="6"/>
  <c r="F34" i="6" s="1"/>
  <c r="E6" i="6"/>
  <c r="F6" i="6" s="1"/>
  <c r="E59" i="6"/>
  <c r="F59" i="6" s="1"/>
  <c r="E55" i="6"/>
  <c r="F55" i="6" s="1"/>
  <c r="E27" i="6"/>
  <c r="F27" i="6" s="1"/>
  <c r="E47" i="10"/>
  <c r="E52" i="6"/>
  <c r="F52" i="6" s="1"/>
  <c r="C51" i="3"/>
  <c r="B54" i="3" s="1"/>
  <c r="B56" i="3" s="1"/>
  <c r="F84" i="6"/>
  <c r="F104" i="6"/>
  <c r="U11" i="6"/>
  <c r="E12" i="6"/>
  <c r="F12" i="6" s="1"/>
  <c r="F68" i="6"/>
  <c r="F1602" i="6"/>
  <c r="F1605" i="6"/>
  <c r="F1628" i="6"/>
  <c r="F78" i="6"/>
  <c r="F42" i="3"/>
  <c r="G42" i="3" s="1"/>
  <c r="F82" i="6"/>
  <c r="P18" i="6"/>
  <c r="M18" i="6"/>
  <c r="L18" i="6"/>
  <c r="O18" i="6"/>
  <c r="F189" i="6"/>
  <c r="F100" i="6"/>
  <c r="N18" i="6"/>
  <c r="F69" i="6"/>
  <c r="M20" i="6"/>
  <c r="L20" i="6"/>
  <c r="O20" i="6"/>
  <c r="N20" i="6"/>
  <c r="Q18" i="6"/>
  <c r="F70" i="6"/>
  <c r="F1640" i="6"/>
  <c r="E67" i="10"/>
  <c r="E1608" i="6"/>
  <c r="F1608" i="6" s="1"/>
  <c r="E1607" i="6"/>
  <c r="F1607" i="6" s="1"/>
  <c r="E1603" i="6"/>
  <c r="F1603" i="6" s="1"/>
  <c r="E1591" i="6"/>
  <c r="F1591" i="6" s="1"/>
  <c r="E1594" i="6"/>
  <c r="F1594" i="6" s="1"/>
  <c r="E1604" i="6"/>
  <c r="F1604" i="6" s="1"/>
  <c r="E1588" i="6"/>
  <c r="F1588" i="6" s="1"/>
  <c r="E1587" i="6"/>
  <c r="F1587" i="6" s="1"/>
  <c r="E1610" i="6"/>
  <c r="F1610" i="6" s="1"/>
  <c r="E1590" i="6"/>
  <c r="F1590" i="6" s="1"/>
  <c r="E1597" i="6"/>
  <c r="F1597" i="6" s="1"/>
  <c r="E1596" i="6"/>
  <c r="F1596" i="6" s="1"/>
  <c r="E1593" i="6"/>
  <c r="F1593" i="6" s="1"/>
  <c r="E1595" i="6"/>
  <c r="F1595" i="6" s="1"/>
  <c r="E1606" i="6"/>
  <c r="F1606" i="6" s="1"/>
  <c r="E1598" i="6"/>
  <c r="F1598" i="6" s="1"/>
  <c r="E1589" i="6"/>
  <c r="F1589" i="6" s="1"/>
  <c r="E1592" i="6"/>
  <c r="F1592" i="6" s="1"/>
  <c r="E1611" i="6"/>
  <c r="F1611" i="6" s="1"/>
  <c r="E1601" i="6"/>
  <c r="F1601" i="6" s="1"/>
  <c r="E1600" i="6"/>
  <c r="F1600" i="6" s="1"/>
  <c r="F2127" i="6"/>
  <c r="F103" i="6"/>
  <c r="R18" i="6"/>
  <c r="F88" i="6"/>
  <c r="F86" i="6"/>
  <c r="F101" i="6"/>
  <c r="F2112" i="6"/>
  <c r="F92" i="6"/>
  <c r="F107" i="6"/>
  <c r="F1613" i="6"/>
  <c r="F119" i="6"/>
  <c r="F1629" i="6"/>
  <c r="F108" i="6"/>
  <c r="F1633" i="6"/>
  <c r="F2117" i="6"/>
  <c r="F2136" i="6"/>
  <c r="F1634" i="6"/>
  <c r="F2143" i="6"/>
  <c r="F1641" i="6"/>
  <c r="E1699" i="6"/>
  <c r="F1699" i="6" s="1"/>
  <c r="E1695" i="6"/>
  <c r="F1695" i="6" s="1"/>
  <c r="E1706" i="6"/>
  <c r="F1706" i="6" s="1"/>
  <c r="E175" i="6"/>
  <c r="F175" i="6" s="1"/>
  <c r="E164" i="6"/>
  <c r="F164" i="6" s="1"/>
  <c r="E153" i="6"/>
  <c r="F153" i="6" s="1"/>
  <c r="E142" i="6"/>
  <c r="F142" i="6" s="1"/>
  <c r="E1708" i="6"/>
  <c r="F1708" i="6" s="1"/>
  <c r="E1711" i="6"/>
  <c r="F1711" i="6" s="1"/>
  <c r="F114" i="6"/>
  <c r="F75" i="6"/>
  <c r="F2147" i="6"/>
  <c r="E18" i="10"/>
  <c r="E2494" i="6"/>
  <c r="F2494" i="6" s="1"/>
  <c r="E965" i="6"/>
  <c r="F965" i="6" s="1"/>
  <c r="E954" i="6"/>
  <c r="F954" i="6" s="1"/>
  <c r="E943" i="6"/>
  <c r="F943" i="6" s="1"/>
  <c r="E921" i="6"/>
  <c r="F921" i="6" s="1"/>
  <c r="E931" i="6"/>
  <c r="F931" i="6" s="1"/>
  <c r="R16" i="6"/>
  <c r="E919" i="6"/>
  <c r="F919" i="6" s="1"/>
  <c r="E944" i="6"/>
  <c r="F944" i="6" s="1"/>
  <c r="E956" i="6"/>
  <c r="F956" i="6" s="1"/>
  <c r="E968" i="6"/>
  <c r="F968" i="6" s="1"/>
  <c r="O23" i="6"/>
  <c r="F1642" i="6"/>
  <c r="F2129" i="6"/>
  <c r="E933" i="6"/>
  <c r="F933" i="6" s="1"/>
  <c r="E945" i="6"/>
  <c r="F945" i="6" s="1"/>
  <c r="E957" i="6"/>
  <c r="F957" i="6" s="1"/>
  <c r="E969" i="6"/>
  <c r="F969" i="6" s="1"/>
  <c r="F2166" i="6"/>
  <c r="F2123" i="6"/>
  <c r="F1637" i="6"/>
  <c r="F2131" i="6"/>
  <c r="E2466" i="6"/>
  <c r="F2466" i="6" s="1"/>
  <c r="E2454" i="6"/>
  <c r="F2454" i="6" s="1"/>
  <c r="E2453" i="6"/>
  <c r="F2453" i="6" s="1"/>
  <c r="E2461" i="6"/>
  <c r="F2461" i="6" s="1"/>
  <c r="E2448" i="6"/>
  <c r="F2448" i="6" s="1"/>
  <c r="E2447" i="6"/>
  <c r="F2447" i="6" s="1"/>
  <c r="E2451" i="6"/>
  <c r="F2451" i="6" s="1"/>
  <c r="E2465" i="6"/>
  <c r="F2465" i="6" s="1"/>
  <c r="E2450" i="6"/>
  <c r="F2450" i="6" s="1"/>
  <c r="E2459" i="6"/>
  <c r="F2459" i="6" s="1"/>
  <c r="E2457" i="6"/>
  <c r="F2457" i="6" s="1"/>
  <c r="E2456" i="6"/>
  <c r="F2456" i="6" s="1"/>
  <c r="E2455" i="6"/>
  <c r="F2455" i="6" s="1"/>
  <c r="F1618" i="6"/>
  <c r="F2137" i="6"/>
  <c r="E2462" i="6"/>
  <c r="F2462" i="6" s="1"/>
  <c r="F1645" i="6"/>
  <c r="F1620" i="6"/>
  <c r="F1632" i="6"/>
  <c r="E2463" i="6"/>
  <c r="F2463" i="6" s="1"/>
  <c r="F2162" i="6"/>
  <c r="F1619" i="6"/>
  <c r="E1872" i="6"/>
  <c r="F1872" i="6" s="1"/>
  <c r="E1884" i="6"/>
  <c r="F1884" i="6" s="1"/>
  <c r="E1896" i="6"/>
  <c r="F1896" i="6" s="1"/>
  <c r="F2113" i="6"/>
  <c r="E1852" i="6"/>
  <c r="F1852" i="6" s="1"/>
  <c r="E1864" i="6"/>
  <c r="F1864" i="6" s="1"/>
  <c r="E1876" i="6"/>
  <c r="F1876" i="6" s="1"/>
  <c r="E1906" i="6"/>
  <c r="F1906" i="6" s="1"/>
  <c r="E1883" i="6"/>
  <c r="F1883" i="6" s="1"/>
  <c r="E1860" i="6"/>
  <c r="F1860" i="6" s="1"/>
  <c r="E1853" i="6"/>
  <c r="F1853" i="6" s="1"/>
  <c r="E1865" i="6"/>
  <c r="F1865" i="6" s="1"/>
  <c r="E1877" i="6"/>
  <c r="F1877" i="6" s="1"/>
  <c r="E22" i="10"/>
  <c r="F2132" i="6"/>
  <c r="E54" i="10" l="1"/>
  <c r="E2663" i="6"/>
  <c r="F2663" i="6" s="1"/>
  <c r="E2640" i="6"/>
  <c r="F2640" i="6" s="1"/>
  <c r="E2662" i="6"/>
  <c r="F2662" i="6" s="1"/>
  <c r="E2639" i="6"/>
  <c r="F2639" i="6" s="1"/>
  <c r="E2661" i="6"/>
  <c r="F2661" i="6" s="1"/>
  <c r="E2638" i="6"/>
  <c r="F2638" i="6" s="1"/>
  <c r="E2677" i="6"/>
  <c r="F2677" i="6" s="1"/>
  <c r="E2653" i="6"/>
  <c r="F2653" i="6" s="1"/>
  <c r="E2631" i="6"/>
  <c r="F2631" i="6" s="1"/>
  <c r="E1099" i="6"/>
  <c r="F1099" i="6" s="1"/>
  <c r="E2675" i="6"/>
  <c r="F2675" i="6" s="1"/>
  <c r="E2651" i="6"/>
  <c r="F2651" i="6" s="1"/>
  <c r="E2629" i="6"/>
  <c r="F2629" i="6" s="1"/>
  <c r="E1097" i="6"/>
  <c r="F1097" i="6" s="1"/>
  <c r="E2678" i="6"/>
  <c r="F2678" i="6" s="1"/>
  <c r="E2646" i="6"/>
  <c r="F2646" i="6" s="1"/>
  <c r="E1101" i="6"/>
  <c r="F1101" i="6" s="1"/>
  <c r="E2676" i="6"/>
  <c r="F2676" i="6" s="1"/>
  <c r="E2645" i="6"/>
  <c r="F2645" i="6" s="1"/>
  <c r="E1104" i="6"/>
  <c r="F1104" i="6" s="1"/>
  <c r="E2643" i="6"/>
  <c r="F2643" i="6" s="1"/>
  <c r="E2670" i="6"/>
  <c r="F2670" i="6" s="1"/>
  <c r="E2674" i="6"/>
  <c r="F2674" i="6" s="1"/>
  <c r="E2644" i="6"/>
  <c r="F2644" i="6" s="1"/>
  <c r="E1103" i="6"/>
  <c r="F1103" i="6" s="1"/>
  <c r="E2671" i="6"/>
  <c r="F2671" i="6" s="1"/>
  <c r="E1102" i="6"/>
  <c r="F1102" i="6" s="1"/>
  <c r="E2642" i="6"/>
  <c r="F2642" i="6" s="1"/>
  <c r="E2669" i="6"/>
  <c r="F2669" i="6" s="1"/>
  <c r="E2641" i="6"/>
  <c r="F2641" i="6" s="1"/>
  <c r="E1100" i="6"/>
  <c r="F1100" i="6" s="1"/>
  <c r="E2668" i="6"/>
  <c r="F2668" i="6" s="1"/>
  <c r="E2659" i="6"/>
  <c r="F2659" i="6" s="1"/>
  <c r="E2632" i="6"/>
  <c r="F2632" i="6" s="1"/>
  <c r="E1091" i="6"/>
  <c r="F1091" i="6" s="1"/>
  <c r="E2637" i="6"/>
  <c r="F2637" i="6" s="1"/>
  <c r="E2635" i="6"/>
  <c r="F2635" i="6" s="1"/>
  <c r="E2665" i="6"/>
  <c r="F2665" i="6" s="1"/>
  <c r="E2624" i="6"/>
  <c r="F2624" i="6" s="1"/>
  <c r="E2636" i="6"/>
  <c r="F2636" i="6" s="1"/>
  <c r="E2682" i="6"/>
  <c r="F2682" i="6" s="1"/>
  <c r="E2634" i="6"/>
  <c r="F2634" i="6" s="1"/>
  <c r="E2680" i="6"/>
  <c r="F2680" i="6" s="1"/>
  <c r="E2679" i="6"/>
  <c r="F2679" i="6" s="1"/>
  <c r="E2666" i="6"/>
  <c r="F2666" i="6" s="1"/>
  <c r="E2684" i="6"/>
  <c r="F2684" i="6" s="1"/>
  <c r="E2683" i="6"/>
  <c r="F2683" i="6" s="1"/>
  <c r="E2630" i="6"/>
  <c r="F2630" i="6" s="1"/>
  <c r="E2628" i="6"/>
  <c r="F2628" i="6" s="1"/>
  <c r="E2626" i="6"/>
  <c r="F2626" i="6" s="1"/>
  <c r="E2681" i="6"/>
  <c r="F2681" i="6" s="1"/>
  <c r="E2633" i="6"/>
  <c r="F2633" i="6" s="1"/>
  <c r="E2667" i="6"/>
  <c r="F2667" i="6" s="1"/>
  <c r="E2625" i="6"/>
  <c r="F2625" i="6" s="1"/>
  <c r="E2660" i="6"/>
  <c r="F2660" i="6" s="1"/>
  <c r="E2622" i="6"/>
  <c r="F2622" i="6" s="1"/>
  <c r="E2658" i="6"/>
  <c r="F2658" i="6" s="1"/>
  <c r="E1098" i="6"/>
  <c r="F1098" i="6" s="1"/>
  <c r="E2657" i="6"/>
  <c r="F2657" i="6" s="1"/>
  <c r="E2649" i="6"/>
  <c r="F2649" i="6" s="1"/>
  <c r="E2647" i="6"/>
  <c r="F2647" i="6" s="1"/>
  <c r="E1093" i="6"/>
  <c r="F1093" i="6" s="1"/>
  <c r="E2654" i="6"/>
  <c r="F2654" i="6" s="1"/>
  <c r="E1094" i="6"/>
  <c r="F1094" i="6" s="1"/>
  <c r="E2655" i="6"/>
  <c r="F2655" i="6" s="1"/>
  <c r="E2652" i="6"/>
  <c r="F2652" i="6" s="1"/>
  <c r="E1095" i="6"/>
  <c r="F1095" i="6" s="1"/>
  <c r="E2623" i="6"/>
  <c r="F2623" i="6" s="1"/>
  <c r="E2664" i="6"/>
  <c r="F2664" i="6" s="1"/>
  <c r="E2656" i="6"/>
  <c r="F2656" i="6" s="1"/>
  <c r="E1096" i="6"/>
  <c r="F1096" i="6" s="1"/>
  <c r="E2648" i="6"/>
  <c r="F2648" i="6" s="1"/>
  <c r="E1092" i="6"/>
  <c r="F1092" i="6" s="1"/>
  <c r="E2672" i="6"/>
  <c r="F2672" i="6" s="1"/>
  <c r="E2673" i="6"/>
  <c r="F2673" i="6" s="1"/>
  <c r="E2650" i="6"/>
  <c r="F2650" i="6" s="1"/>
  <c r="E2627" i="6"/>
  <c r="F2627" i="6" s="1"/>
  <c r="L6" i="4"/>
  <c r="J6" i="4" s="1"/>
  <c r="N6" i="4" s="1"/>
  <c r="J5" i="4"/>
  <c r="N5" i="4" s="1"/>
  <c r="E2016" i="6"/>
  <c r="F2016" i="6" s="1"/>
  <c r="E513" i="6"/>
  <c r="F513" i="6" s="1"/>
  <c r="E496" i="6"/>
  <c r="F496" i="6" s="1"/>
  <c r="E480" i="6"/>
  <c r="F480" i="6" s="1"/>
  <c r="E464" i="6"/>
  <c r="F464" i="6" s="1"/>
  <c r="E2048" i="6"/>
  <c r="F2048" i="6" s="1"/>
  <c r="E2032" i="6"/>
  <c r="F2032" i="6" s="1"/>
  <c r="E2015" i="6"/>
  <c r="F2015" i="6" s="1"/>
  <c r="E512" i="6"/>
  <c r="F512" i="6" s="1"/>
  <c r="E495" i="6"/>
  <c r="F495" i="6" s="1"/>
  <c r="E2031" i="6"/>
  <c r="F2031" i="6" s="1"/>
  <c r="E506" i="6"/>
  <c r="F506" i="6" s="1"/>
  <c r="E488" i="6"/>
  <c r="F488" i="6" s="1"/>
  <c r="E473" i="6"/>
  <c r="F473" i="6" s="1"/>
  <c r="E458" i="6"/>
  <c r="F458" i="6" s="1"/>
  <c r="E504" i="6"/>
  <c r="F504" i="6" s="1"/>
  <c r="E486" i="6"/>
  <c r="F486" i="6" s="1"/>
  <c r="E472" i="6"/>
  <c r="F472" i="6" s="1"/>
  <c r="E457" i="6"/>
  <c r="F457" i="6" s="1"/>
  <c r="E2050" i="6"/>
  <c r="F2050" i="6" s="1"/>
  <c r="E2029" i="6"/>
  <c r="F2029" i="6" s="1"/>
  <c r="E509" i="6"/>
  <c r="F509" i="6" s="1"/>
  <c r="E487" i="6"/>
  <c r="F487" i="6" s="1"/>
  <c r="E470" i="6"/>
  <c r="F470" i="6" s="1"/>
  <c r="E2026" i="6"/>
  <c r="F2026" i="6" s="1"/>
  <c r="E466" i="6"/>
  <c r="F466" i="6" s="1"/>
  <c r="E2028" i="6"/>
  <c r="F2028" i="6" s="1"/>
  <c r="E508" i="6"/>
  <c r="F508" i="6" s="1"/>
  <c r="E469" i="6"/>
  <c r="F469" i="6" s="1"/>
  <c r="E2047" i="6"/>
  <c r="F2047" i="6" s="1"/>
  <c r="E467" i="6"/>
  <c r="F467" i="6" s="1"/>
  <c r="E2049" i="6"/>
  <c r="F2049" i="6" s="1"/>
  <c r="E2027" i="6"/>
  <c r="F2027" i="6" s="1"/>
  <c r="E507" i="6"/>
  <c r="F507" i="6" s="1"/>
  <c r="E485" i="6"/>
  <c r="F485" i="6" s="1"/>
  <c r="E468" i="6"/>
  <c r="F468" i="6" s="1"/>
  <c r="E484" i="6"/>
  <c r="F484" i="6" s="1"/>
  <c r="E505" i="6"/>
  <c r="F505" i="6" s="1"/>
  <c r="E2046" i="6"/>
  <c r="F2046" i="6" s="1"/>
  <c r="E2025" i="6"/>
  <c r="F2025" i="6" s="1"/>
  <c r="E503" i="6"/>
  <c r="F503" i="6" s="1"/>
  <c r="E483" i="6"/>
  <c r="F483" i="6" s="1"/>
  <c r="E465" i="6"/>
  <c r="F465" i="6" s="1"/>
  <c r="E517" i="6"/>
  <c r="F517" i="6" s="1"/>
  <c r="E497" i="6"/>
  <c r="F497" i="6" s="1"/>
  <c r="E477" i="6"/>
  <c r="F477" i="6" s="1"/>
  <c r="E460" i="6"/>
  <c r="F460" i="6" s="1"/>
  <c r="E2038" i="6"/>
  <c r="F2038" i="6" s="1"/>
  <c r="E502" i="6"/>
  <c r="F502" i="6" s="1"/>
  <c r="E476" i="6"/>
  <c r="F476" i="6" s="1"/>
  <c r="E2036" i="6"/>
  <c r="F2036" i="6" s="1"/>
  <c r="E499" i="6"/>
  <c r="F499" i="6" s="1"/>
  <c r="E519" i="6"/>
  <c r="F519" i="6" s="1"/>
  <c r="E501" i="6"/>
  <c r="F501" i="6" s="1"/>
  <c r="E475" i="6"/>
  <c r="F475" i="6" s="1"/>
  <c r="E474" i="6"/>
  <c r="F474" i="6" s="1"/>
  <c r="E500" i="6"/>
  <c r="F500" i="6" s="1"/>
  <c r="E2035" i="6"/>
  <c r="F2035" i="6" s="1"/>
  <c r="E471" i="6"/>
  <c r="F471" i="6" s="1"/>
  <c r="E2030" i="6"/>
  <c r="F2030" i="6" s="1"/>
  <c r="E494" i="6"/>
  <c r="F494" i="6" s="1"/>
  <c r="E2024" i="6"/>
  <c r="F2024" i="6" s="1"/>
  <c r="E462" i="6"/>
  <c r="F462" i="6" s="1"/>
  <c r="E2037" i="6"/>
  <c r="F2037" i="6" s="1"/>
  <c r="E463" i="6"/>
  <c r="F463" i="6" s="1"/>
  <c r="E498" i="6"/>
  <c r="F498" i="6" s="1"/>
  <c r="E2054" i="6"/>
  <c r="F2054" i="6" s="1"/>
  <c r="E493" i="6"/>
  <c r="F493" i="6" s="1"/>
  <c r="E2022" i="6"/>
  <c r="F2022" i="6" s="1"/>
  <c r="E491" i="6"/>
  <c r="F491" i="6" s="1"/>
  <c r="E461" i="6"/>
  <c r="F461" i="6" s="1"/>
  <c r="E2052" i="6"/>
  <c r="F2052" i="6" s="1"/>
  <c r="E2021" i="6"/>
  <c r="F2021" i="6" s="1"/>
  <c r="E490" i="6"/>
  <c r="F490" i="6" s="1"/>
  <c r="E2051" i="6"/>
  <c r="F2051" i="6" s="1"/>
  <c r="E2020" i="6"/>
  <c r="F2020" i="6" s="1"/>
  <c r="E2023" i="6"/>
  <c r="F2023" i="6" s="1"/>
  <c r="E516" i="6"/>
  <c r="F516" i="6" s="1"/>
  <c r="E455" i="6"/>
  <c r="F455" i="6" s="1"/>
  <c r="E492" i="6"/>
  <c r="F492" i="6" s="1"/>
  <c r="E2045" i="6"/>
  <c r="F2045" i="6" s="1"/>
  <c r="E2019" i="6"/>
  <c r="F2019" i="6" s="1"/>
  <c r="E510" i="6"/>
  <c r="F510" i="6" s="1"/>
  <c r="E2039" i="6"/>
  <c r="F2039" i="6" s="1"/>
  <c r="E518" i="6"/>
  <c r="F518" i="6" s="1"/>
  <c r="E2018" i="6"/>
  <c r="F2018" i="6" s="1"/>
  <c r="E515" i="6"/>
  <c r="F515" i="6" s="1"/>
  <c r="E514" i="6"/>
  <c r="F514" i="6" s="1"/>
  <c r="E456" i="6"/>
  <c r="F456" i="6" s="1"/>
  <c r="E511" i="6"/>
  <c r="F511" i="6" s="1"/>
  <c r="E489" i="6"/>
  <c r="F489" i="6" s="1"/>
  <c r="E2042" i="6"/>
  <c r="F2042" i="6" s="1"/>
  <c r="E2043" i="6"/>
  <c r="F2043" i="6" s="1"/>
  <c r="E482" i="6"/>
  <c r="F482" i="6" s="1"/>
  <c r="E2053" i="6"/>
  <c r="F2053" i="6" s="1"/>
  <c r="E479" i="6"/>
  <c r="F479" i="6" s="1"/>
  <c r="E481" i="6"/>
  <c r="F481" i="6" s="1"/>
  <c r="E478" i="6"/>
  <c r="F478" i="6" s="1"/>
  <c r="E2044" i="6"/>
  <c r="F2044" i="6" s="1"/>
  <c r="E459" i="6"/>
  <c r="F459" i="6" s="1"/>
  <c r="E2041" i="6"/>
  <c r="F2041" i="6" s="1"/>
  <c r="E29" i="10"/>
  <c r="E2247" i="6" s="1"/>
  <c r="F2247" i="6" s="1"/>
  <c r="E2034" i="6"/>
  <c r="F2034" i="6" s="1"/>
  <c r="E2033" i="6"/>
  <c r="F2033" i="6" s="1"/>
  <c r="E2040" i="6"/>
  <c r="F2040" i="6" s="1"/>
  <c r="E2017" i="6"/>
  <c r="F2017" i="6" s="1"/>
  <c r="E161" i="6"/>
  <c r="F161" i="6" s="1"/>
  <c r="E136" i="6"/>
  <c r="F136" i="6" s="1"/>
  <c r="E160" i="6"/>
  <c r="F160" i="6" s="1"/>
  <c r="E135" i="6"/>
  <c r="F135" i="6" s="1"/>
  <c r="E1702" i="6"/>
  <c r="F1702" i="6" s="1"/>
  <c r="E176" i="6"/>
  <c r="F176" i="6" s="1"/>
  <c r="E149" i="6"/>
  <c r="F149" i="6" s="1"/>
  <c r="E162" i="6"/>
  <c r="F162" i="6" s="1"/>
  <c r="E133" i="6"/>
  <c r="F133" i="6" s="1"/>
  <c r="E159" i="6"/>
  <c r="F159" i="6" s="1"/>
  <c r="E132" i="6"/>
  <c r="F132" i="6" s="1"/>
  <c r="E158" i="6"/>
  <c r="F158" i="6" s="1"/>
  <c r="E157" i="6"/>
  <c r="F157" i="6" s="1"/>
  <c r="E155" i="6"/>
  <c r="F155" i="6" s="1"/>
  <c r="E173" i="6"/>
  <c r="F173" i="6" s="1"/>
  <c r="E145" i="6"/>
  <c r="F145" i="6" s="1"/>
  <c r="E167" i="6"/>
  <c r="F167" i="6" s="1"/>
  <c r="E165" i="6"/>
  <c r="F165" i="6" s="1"/>
  <c r="E156" i="6"/>
  <c r="F156" i="6" s="1"/>
  <c r="E146" i="6"/>
  <c r="F146" i="6" s="1"/>
  <c r="E166" i="6"/>
  <c r="F166" i="6" s="1"/>
  <c r="E150" i="6"/>
  <c r="F150" i="6" s="1"/>
  <c r="E147" i="6"/>
  <c r="F147" i="6" s="1"/>
  <c r="E151" i="6"/>
  <c r="F151" i="6" s="1"/>
  <c r="E148" i="6"/>
  <c r="F148" i="6" s="1"/>
  <c r="E154" i="6"/>
  <c r="F154" i="6" s="1"/>
  <c r="E144" i="6"/>
  <c r="F144" i="6" s="1"/>
  <c r="E143" i="6"/>
  <c r="F143" i="6" s="1"/>
  <c r="E177" i="6"/>
  <c r="F177" i="6" s="1"/>
  <c r="E172" i="6"/>
  <c r="F172" i="6" s="1"/>
  <c r="E169" i="6"/>
  <c r="F169" i="6" s="1"/>
  <c r="E171" i="6"/>
  <c r="F171" i="6" s="1"/>
  <c r="E139" i="6"/>
  <c r="F139" i="6" s="1"/>
  <c r="E1704" i="6"/>
  <c r="F1704" i="6" s="1"/>
  <c r="E170" i="6"/>
  <c r="F170" i="6" s="1"/>
  <c r="E140" i="6"/>
  <c r="F140" i="6" s="1"/>
  <c r="E138" i="6"/>
  <c r="F138" i="6" s="1"/>
  <c r="E178" i="6"/>
  <c r="F178" i="6" s="1"/>
  <c r="E168" i="6"/>
  <c r="F168" i="6" s="1"/>
  <c r="E1705" i="6"/>
  <c r="F1705" i="6" s="1"/>
  <c r="E1703" i="6"/>
  <c r="F1703" i="6" s="1"/>
  <c r="E137" i="6"/>
  <c r="F137" i="6" s="1"/>
  <c r="E1696" i="6"/>
  <c r="F1696" i="6" s="1"/>
  <c r="E134" i="6"/>
  <c r="F134" i="6" s="1"/>
  <c r="E966" i="6"/>
  <c r="F966" i="6" s="1"/>
  <c r="E1697" i="6"/>
  <c r="F1697" i="6" s="1"/>
  <c r="E1707" i="6"/>
  <c r="F1707" i="6" s="1"/>
  <c r="E594" i="6"/>
  <c r="F594" i="6" s="1"/>
  <c r="E11" i="10"/>
  <c r="E603" i="6"/>
  <c r="F603" i="6" s="1"/>
  <c r="E593" i="6"/>
  <c r="F593" i="6" s="1"/>
  <c r="E592" i="6"/>
  <c r="F592" i="6" s="1"/>
  <c r="E602" i="6"/>
  <c r="F602" i="6" s="1"/>
  <c r="E599" i="6"/>
  <c r="F599" i="6" s="1"/>
  <c r="E597" i="6"/>
  <c r="F597" i="6" s="1"/>
  <c r="E596" i="6"/>
  <c r="F596" i="6" s="1"/>
  <c r="E595" i="6"/>
  <c r="F595" i="6" s="1"/>
  <c r="E598" i="6"/>
  <c r="F598" i="6" s="1"/>
  <c r="E606" i="6"/>
  <c r="F606" i="6" s="1"/>
  <c r="E600" i="6"/>
  <c r="F600" i="6" s="1"/>
  <c r="E604" i="6"/>
  <c r="F604" i="6" s="1"/>
  <c r="E607" i="6"/>
  <c r="F607" i="6" s="1"/>
  <c r="E605" i="6"/>
  <c r="F605" i="6" s="1"/>
  <c r="E601" i="6"/>
  <c r="F601" i="6" s="1"/>
  <c r="E1709" i="6"/>
  <c r="F1709" i="6" s="1"/>
  <c r="E1710" i="6"/>
  <c r="F1710" i="6" s="1"/>
  <c r="E1698" i="6"/>
  <c r="F1698" i="6" s="1"/>
  <c r="E1700" i="6"/>
  <c r="F1700" i="6" s="1"/>
  <c r="E59" i="10"/>
  <c r="E949" i="6"/>
  <c r="F949" i="6" s="1"/>
  <c r="E972" i="6"/>
  <c r="F972" i="6" s="1"/>
  <c r="E925" i="6"/>
  <c r="F925" i="6" s="1"/>
  <c r="E937" i="6"/>
  <c r="F937" i="6" s="1"/>
  <c r="E959" i="6"/>
  <c r="F959" i="6" s="1"/>
  <c r="E2492" i="6"/>
  <c r="F2492" i="6" s="1"/>
  <c r="E962" i="6"/>
  <c r="F962" i="6" s="1"/>
  <c r="E961" i="6"/>
  <c r="F961" i="6" s="1"/>
  <c r="E934" i="6"/>
  <c r="F934" i="6" s="1"/>
  <c r="E960" i="6"/>
  <c r="F960" i="6" s="1"/>
  <c r="E930" i="6"/>
  <c r="F930" i="6" s="1"/>
  <c r="E958" i="6"/>
  <c r="F958" i="6" s="1"/>
  <c r="E929" i="6"/>
  <c r="F929" i="6" s="1"/>
  <c r="E955" i="6"/>
  <c r="F955" i="6" s="1"/>
  <c r="E928" i="6"/>
  <c r="F928" i="6" s="1"/>
  <c r="E948" i="6"/>
  <c r="F948" i="6" s="1"/>
  <c r="E922" i="6"/>
  <c r="F922" i="6" s="1"/>
  <c r="E971" i="6"/>
  <c r="F971" i="6" s="1"/>
  <c r="E926" i="6"/>
  <c r="F926" i="6" s="1"/>
  <c r="E970" i="6"/>
  <c r="F970" i="6" s="1"/>
  <c r="E953" i="6"/>
  <c r="F953" i="6" s="1"/>
  <c r="E967" i="6"/>
  <c r="F967" i="6" s="1"/>
  <c r="E924" i="6"/>
  <c r="F924" i="6" s="1"/>
  <c r="E964" i="6"/>
  <c r="F964" i="6" s="1"/>
  <c r="E923" i="6"/>
  <c r="F923" i="6" s="1"/>
  <c r="E952" i="6"/>
  <c r="F952" i="6" s="1"/>
  <c r="E951" i="6"/>
  <c r="F951" i="6" s="1"/>
  <c r="E963" i="6"/>
  <c r="F963" i="6" s="1"/>
  <c r="E918" i="6"/>
  <c r="F918" i="6" s="1"/>
  <c r="E947" i="6"/>
  <c r="F947" i="6" s="1"/>
  <c r="E2496" i="6"/>
  <c r="F2496" i="6" s="1"/>
  <c r="E946" i="6"/>
  <c r="F946" i="6" s="1"/>
  <c r="E2495" i="6"/>
  <c r="F2495" i="6" s="1"/>
  <c r="E974" i="6"/>
  <c r="F974" i="6" s="1"/>
  <c r="E950" i="6"/>
  <c r="F950" i="6" s="1"/>
  <c r="E936" i="6"/>
  <c r="F936" i="6" s="1"/>
  <c r="E942" i="6"/>
  <c r="F942" i="6" s="1"/>
  <c r="E939" i="6"/>
  <c r="F939" i="6" s="1"/>
  <c r="E973" i="6"/>
  <c r="F973" i="6" s="1"/>
  <c r="E940" i="6"/>
  <c r="F940" i="6" s="1"/>
  <c r="E941" i="6"/>
  <c r="F941" i="6" s="1"/>
  <c r="E938" i="6"/>
  <c r="F938" i="6" s="1"/>
  <c r="E935" i="6"/>
  <c r="F935" i="6" s="1"/>
  <c r="E927" i="6"/>
  <c r="F927" i="6" s="1"/>
  <c r="E920" i="6"/>
  <c r="F920" i="6" s="1"/>
  <c r="E2493" i="6"/>
  <c r="F2493" i="6" s="1"/>
  <c r="E1701" i="6"/>
  <c r="F1701" i="6" s="1"/>
  <c r="E141" i="6"/>
  <c r="F141" i="6" s="1"/>
  <c r="E152" i="6"/>
  <c r="F152" i="6" s="1"/>
  <c r="E163" i="6"/>
  <c r="F163" i="6" s="1"/>
  <c r="E39" i="10"/>
  <c r="E1761" i="6"/>
  <c r="F1761" i="6" s="1"/>
  <c r="E1739" i="6"/>
  <c r="F1739" i="6" s="1"/>
  <c r="E1718" i="6"/>
  <c r="F1718" i="6" s="1"/>
  <c r="E1760" i="6"/>
  <c r="F1760" i="6" s="1"/>
  <c r="E1738" i="6"/>
  <c r="F1738" i="6" s="1"/>
  <c r="E1717" i="6"/>
  <c r="F1717" i="6" s="1"/>
  <c r="E1773" i="6"/>
  <c r="F1773" i="6" s="1"/>
  <c r="E1751" i="6"/>
  <c r="F1751" i="6" s="1"/>
  <c r="E1730" i="6"/>
  <c r="F1730" i="6" s="1"/>
  <c r="E1771" i="6"/>
  <c r="F1771" i="6" s="1"/>
  <c r="E1749" i="6"/>
  <c r="F1749" i="6" s="1"/>
  <c r="E1728" i="6"/>
  <c r="F1728" i="6" s="1"/>
  <c r="E1753" i="6"/>
  <c r="F1753" i="6" s="1"/>
  <c r="E1726" i="6"/>
  <c r="F1726" i="6" s="1"/>
  <c r="E1722" i="6"/>
  <c r="F1722" i="6" s="1"/>
  <c r="E1752" i="6"/>
  <c r="F1752" i="6" s="1"/>
  <c r="E1725" i="6"/>
  <c r="F1725" i="6" s="1"/>
  <c r="E1723" i="6"/>
  <c r="F1723" i="6" s="1"/>
  <c r="E1750" i="6"/>
  <c r="F1750" i="6" s="1"/>
  <c r="E1724" i="6"/>
  <c r="F1724" i="6" s="1"/>
  <c r="E1748" i="6"/>
  <c r="F1748" i="6" s="1"/>
  <c r="E1747" i="6"/>
  <c r="F1747" i="6" s="1"/>
  <c r="E1746" i="6"/>
  <c r="F1746" i="6" s="1"/>
  <c r="E1721" i="6"/>
  <c r="F1721" i="6" s="1"/>
  <c r="E1765" i="6"/>
  <c r="F1765" i="6" s="1"/>
  <c r="E1737" i="6"/>
  <c r="F1737" i="6" s="1"/>
  <c r="E1712" i="6"/>
  <c r="F1712" i="6" s="1"/>
  <c r="E1742" i="6"/>
  <c r="F1742" i="6" s="1"/>
  <c r="E1769" i="6"/>
  <c r="F1769" i="6" s="1"/>
  <c r="E1766" i="6"/>
  <c r="F1766" i="6" s="1"/>
  <c r="E1741" i="6"/>
  <c r="F1741" i="6" s="1"/>
  <c r="E1736" i="6"/>
  <c r="F1736" i="6" s="1"/>
  <c r="E193" i="6"/>
  <c r="F193" i="6" s="1"/>
  <c r="E1772" i="6"/>
  <c r="F1772" i="6" s="1"/>
  <c r="E1729" i="6"/>
  <c r="F1729" i="6" s="1"/>
  <c r="E1740" i="6"/>
  <c r="F1740" i="6" s="1"/>
  <c r="E194" i="6"/>
  <c r="F194" i="6" s="1"/>
  <c r="E1735" i="6"/>
  <c r="F1735" i="6" s="1"/>
  <c r="E192" i="6"/>
  <c r="F192" i="6" s="1"/>
  <c r="E1733" i="6"/>
  <c r="F1733" i="6" s="1"/>
  <c r="E1767" i="6"/>
  <c r="F1767" i="6" s="1"/>
  <c r="E1731" i="6"/>
  <c r="F1731" i="6" s="1"/>
  <c r="E1770" i="6"/>
  <c r="F1770" i="6" s="1"/>
  <c r="E1734" i="6"/>
  <c r="F1734" i="6" s="1"/>
  <c r="E191" i="6"/>
  <c r="F191" i="6" s="1"/>
  <c r="E190" i="6"/>
  <c r="F190" i="6" s="1"/>
  <c r="E1768" i="6"/>
  <c r="F1768" i="6" s="1"/>
  <c r="E1732" i="6"/>
  <c r="F1732" i="6" s="1"/>
  <c r="E1764" i="6"/>
  <c r="F1764" i="6" s="1"/>
  <c r="E1762" i="6"/>
  <c r="F1762" i="6" s="1"/>
  <c r="E1720" i="6"/>
  <c r="F1720" i="6" s="1"/>
  <c r="E1759" i="6"/>
  <c r="F1759" i="6" s="1"/>
  <c r="E1719" i="6"/>
  <c r="F1719" i="6" s="1"/>
  <c r="E1758" i="6"/>
  <c r="F1758" i="6" s="1"/>
  <c r="E1716" i="6"/>
  <c r="F1716" i="6" s="1"/>
  <c r="E1754" i="6"/>
  <c r="F1754" i="6" s="1"/>
  <c r="E1743" i="6"/>
  <c r="F1743" i="6" s="1"/>
  <c r="E1745" i="6"/>
  <c r="F1745" i="6" s="1"/>
  <c r="E1713" i="6"/>
  <c r="F1713" i="6" s="1"/>
  <c r="E1744" i="6"/>
  <c r="F1744" i="6" s="1"/>
  <c r="E1727" i="6"/>
  <c r="F1727" i="6" s="1"/>
  <c r="E1763" i="6"/>
  <c r="F1763" i="6" s="1"/>
  <c r="E1755" i="6"/>
  <c r="F1755" i="6" s="1"/>
  <c r="E1715" i="6"/>
  <c r="F1715" i="6" s="1"/>
  <c r="E1756" i="6"/>
  <c r="F1756" i="6" s="1"/>
  <c r="E1714" i="6"/>
  <c r="F1714" i="6" s="1"/>
  <c r="E1757" i="6"/>
  <c r="F1757" i="6" s="1"/>
  <c r="C50" i="3"/>
  <c r="B53" i="3" s="1"/>
  <c r="B3" i="14" s="1"/>
  <c r="C3" i="14" s="1"/>
  <c r="E174" i="6"/>
  <c r="F174" i="6" s="1"/>
  <c r="O17" i="6"/>
  <c r="L17" i="6"/>
  <c r="N17" i="6"/>
  <c r="M17" i="6"/>
  <c r="P17" i="6"/>
  <c r="Q17" i="6"/>
  <c r="S17" i="6"/>
  <c r="R17" i="6"/>
  <c r="E48" i="10"/>
  <c r="E2092" i="6"/>
  <c r="F2092" i="6" s="1"/>
  <c r="E2103" i="6"/>
  <c r="F2103" i="6" s="1"/>
  <c r="E2080" i="6"/>
  <c r="F2080" i="6" s="1"/>
  <c r="E2057" i="6"/>
  <c r="F2057" i="6" s="1"/>
  <c r="E2102" i="6"/>
  <c r="F2102" i="6" s="1"/>
  <c r="E2079" i="6"/>
  <c r="F2079" i="6" s="1"/>
  <c r="E2056" i="6"/>
  <c r="F2056" i="6" s="1"/>
  <c r="E2098" i="6"/>
  <c r="F2098" i="6" s="1"/>
  <c r="E2086" i="6"/>
  <c r="F2086" i="6" s="1"/>
  <c r="E2063" i="6"/>
  <c r="F2063" i="6" s="1"/>
  <c r="E2093" i="6"/>
  <c r="F2093" i="6" s="1"/>
  <c r="E2106" i="6"/>
  <c r="F2106" i="6" s="1"/>
  <c r="E2078" i="6"/>
  <c r="F2078" i="6" s="1"/>
  <c r="E2065" i="6"/>
  <c r="F2065" i="6" s="1"/>
  <c r="E2105" i="6"/>
  <c r="F2105" i="6" s="1"/>
  <c r="E2090" i="6"/>
  <c r="F2090" i="6" s="1"/>
  <c r="E2077" i="6"/>
  <c r="F2077" i="6" s="1"/>
  <c r="E2085" i="6"/>
  <c r="F2085" i="6" s="1"/>
  <c r="E2072" i="6"/>
  <c r="F2072" i="6" s="1"/>
  <c r="E2059" i="6"/>
  <c r="F2059" i="6" s="1"/>
  <c r="E2099" i="6"/>
  <c r="F2099" i="6" s="1"/>
  <c r="E2082" i="6"/>
  <c r="F2082" i="6" s="1"/>
  <c r="E2066" i="6"/>
  <c r="F2066" i="6" s="1"/>
  <c r="E2081" i="6"/>
  <c r="F2081" i="6" s="1"/>
  <c r="E2108" i="6"/>
  <c r="F2108" i="6" s="1"/>
  <c r="E2058" i="6"/>
  <c r="F2058" i="6" s="1"/>
  <c r="E2088" i="6"/>
  <c r="F2088" i="6" s="1"/>
  <c r="E2109" i="6"/>
  <c r="F2109" i="6" s="1"/>
  <c r="E2069" i="6"/>
  <c r="F2069" i="6" s="1"/>
  <c r="E2087" i="6"/>
  <c r="F2087" i="6" s="1"/>
  <c r="E2068" i="6"/>
  <c r="F2068" i="6" s="1"/>
  <c r="E2084" i="6"/>
  <c r="F2084" i="6" s="1"/>
  <c r="E2062" i="6"/>
  <c r="F2062" i="6" s="1"/>
  <c r="E2104" i="6"/>
  <c r="F2104" i="6" s="1"/>
  <c r="E2083" i="6"/>
  <c r="F2083" i="6" s="1"/>
  <c r="E2061" i="6"/>
  <c r="F2061" i="6" s="1"/>
  <c r="E2091" i="6"/>
  <c r="F2091" i="6" s="1"/>
  <c r="E2060" i="6"/>
  <c r="F2060" i="6" s="1"/>
  <c r="E2089" i="6"/>
  <c r="F2089" i="6" s="1"/>
  <c r="E2075" i="6"/>
  <c r="F2075" i="6" s="1"/>
  <c r="E575" i="6"/>
  <c r="F575" i="6" s="1"/>
  <c r="E552" i="6"/>
  <c r="F552" i="6" s="1"/>
  <c r="E529" i="6"/>
  <c r="F529" i="6" s="1"/>
  <c r="E563" i="6"/>
  <c r="F563" i="6" s="1"/>
  <c r="E540" i="6"/>
  <c r="F540" i="6" s="1"/>
  <c r="E574" i="6"/>
  <c r="F574" i="6" s="1"/>
  <c r="E551" i="6"/>
  <c r="F551" i="6" s="1"/>
  <c r="E528" i="6"/>
  <c r="F528" i="6" s="1"/>
  <c r="E562" i="6"/>
  <c r="F562" i="6" s="1"/>
  <c r="E539" i="6"/>
  <c r="F539" i="6" s="1"/>
  <c r="E2101" i="6"/>
  <c r="F2101" i="6" s="1"/>
  <c r="E2071" i="6"/>
  <c r="F2071" i="6" s="1"/>
  <c r="E569" i="6"/>
  <c r="F569" i="6" s="1"/>
  <c r="E546" i="6"/>
  <c r="F546" i="6" s="1"/>
  <c r="E534" i="6"/>
  <c r="F534" i="6" s="1"/>
  <c r="E2094" i="6"/>
  <c r="F2094" i="6" s="1"/>
  <c r="E581" i="6"/>
  <c r="F581" i="6" s="1"/>
  <c r="E566" i="6"/>
  <c r="F566" i="6" s="1"/>
  <c r="E550" i="6"/>
  <c r="F550" i="6" s="1"/>
  <c r="E536" i="6"/>
  <c r="F536" i="6" s="1"/>
  <c r="E521" i="6"/>
  <c r="F521" i="6" s="1"/>
  <c r="E580" i="6"/>
  <c r="F580" i="6" s="1"/>
  <c r="E535" i="6"/>
  <c r="F535" i="6" s="1"/>
  <c r="E579" i="6"/>
  <c r="F579" i="6" s="1"/>
  <c r="E565" i="6"/>
  <c r="F565" i="6" s="1"/>
  <c r="E549" i="6"/>
  <c r="F549" i="6" s="1"/>
  <c r="E520" i="6"/>
  <c r="F520" i="6" s="1"/>
  <c r="E2076" i="6"/>
  <c r="F2076" i="6" s="1"/>
  <c r="E2070" i="6"/>
  <c r="F2070" i="6" s="1"/>
  <c r="E573" i="6"/>
  <c r="F573" i="6" s="1"/>
  <c r="E559" i="6"/>
  <c r="F559" i="6" s="1"/>
  <c r="E544" i="6"/>
  <c r="F544" i="6" s="1"/>
  <c r="E530" i="6"/>
  <c r="F530" i="6" s="1"/>
  <c r="E2064" i="6"/>
  <c r="F2064" i="6" s="1"/>
  <c r="E572" i="6"/>
  <c r="F572" i="6" s="1"/>
  <c r="E558" i="6"/>
  <c r="F558" i="6" s="1"/>
  <c r="E543" i="6"/>
  <c r="F543" i="6" s="1"/>
  <c r="E527" i="6"/>
  <c r="F527" i="6" s="1"/>
  <c r="E2107" i="6"/>
  <c r="F2107" i="6" s="1"/>
  <c r="E576" i="6"/>
  <c r="F576" i="6" s="1"/>
  <c r="E555" i="6"/>
  <c r="F555" i="6" s="1"/>
  <c r="E533" i="6"/>
  <c r="F533" i="6" s="1"/>
  <c r="E571" i="6"/>
  <c r="F571" i="6" s="1"/>
  <c r="E2055" i="6"/>
  <c r="F2055" i="6" s="1"/>
  <c r="E570" i="6"/>
  <c r="F570" i="6" s="1"/>
  <c r="E2067" i="6"/>
  <c r="F2067" i="6" s="1"/>
  <c r="E554" i="6"/>
  <c r="F554" i="6" s="1"/>
  <c r="E532" i="6"/>
  <c r="F532" i="6" s="1"/>
  <c r="E553" i="6"/>
  <c r="F553" i="6" s="1"/>
  <c r="E548" i="6"/>
  <c r="F548" i="6" s="1"/>
  <c r="E531" i="6"/>
  <c r="F531" i="6" s="1"/>
  <c r="E584" i="6"/>
  <c r="F584" i="6" s="1"/>
  <c r="E564" i="6"/>
  <c r="F564" i="6" s="1"/>
  <c r="E524" i="6"/>
  <c r="F524" i="6" s="1"/>
  <c r="E2100" i="6"/>
  <c r="F2100" i="6" s="1"/>
  <c r="E523" i="6"/>
  <c r="F523" i="6" s="1"/>
  <c r="E577" i="6"/>
  <c r="F577" i="6" s="1"/>
  <c r="E541" i="6"/>
  <c r="F541" i="6" s="1"/>
  <c r="E2096" i="6"/>
  <c r="F2096" i="6" s="1"/>
  <c r="E537" i="6"/>
  <c r="F537" i="6" s="1"/>
  <c r="E2097" i="6"/>
  <c r="F2097" i="6" s="1"/>
  <c r="E526" i="6"/>
  <c r="F526" i="6" s="1"/>
  <c r="E525" i="6"/>
  <c r="F525" i="6" s="1"/>
  <c r="E538" i="6"/>
  <c r="F538" i="6" s="1"/>
  <c r="E568" i="6"/>
  <c r="F568" i="6" s="1"/>
  <c r="E567" i="6"/>
  <c r="F567" i="6" s="1"/>
  <c r="E561" i="6"/>
  <c r="F561" i="6" s="1"/>
  <c r="E560" i="6"/>
  <c r="F560" i="6" s="1"/>
  <c r="E2095" i="6"/>
  <c r="F2095" i="6" s="1"/>
  <c r="E2073" i="6"/>
  <c r="F2073" i="6" s="1"/>
  <c r="E557" i="6"/>
  <c r="F557" i="6" s="1"/>
  <c r="E556" i="6"/>
  <c r="F556" i="6" s="1"/>
  <c r="E2074" i="6"/>
  <c r="F2074" i="6" s="1"/>
  <c r="E583" i="6"/>
  <c r="F583" i="6" s="1"/>
  <c r="E582" i="6"/>
  <c r="F582" i="6" s="1"/>
  <c r="E547" i="6"/>
  <c r="F547" i="6" s="1"/>
  <c r="E522" i="6"/>
  <c r="F522" i="6" s="1"/>
  <c r="E578" i="6"/>
  <c r="F578" i="6" s="1"/>
  <c r="E545" i="6"/>
  <c r="F545" i="6" s="1"/>
  <c r="E542" i="6"/>
  <c r="F542" i="6" s="1"/>
  <c r="Q24" i="6"/>
  <c r="L24" i="6"/>
  <c r="R24" i="6"/>
  <c r="O24" i="6"/>
  <c r="N24" i="6"/>
  <c r="M24" i="6"/>
  <c r="S24" i="6"/>
  <c r="P24" i="6"/>
  <c r="E30" i="10"/>
  <c r="E2245" i="6"/>
  <c r="F2245" i="6" s="1"/>
  <c r="E2233" i="6"/>
  <c r="F2233" i="6" s="1"/>
  <c r="E2256" i="6"/>
  <c r="F2256" i="6" s="1"/>
  <c r="E2244" i="6"/>
  <c r="F2244" i="6" s="1"/>
  <c r="E2232" i="6"/>
  <c r="F2232" i="6" s="1"/>
  <c r="E2260" i="6"/>
  <c r="F2260" i="6" s="1"/>
  <c r="E2267" i="6"/>
  <c r="F2267" i="6" s="1"/>
  <c r="E2250" i="6"/>
  <c r="F2250" i="6" s="1"/>
  <c r="E2234" i="6"/>
  <c r="F2234" i="6" s="1"/>
  <c r="E2242" i="6"/>
  <c r="F2242" i="6" s="1"/>
  <c r="E2248" i="6"/>
  <c r="F2248" i="6" s="1"/>
  <c r="E2266" i="6"/>
  <c r="F2266" i="6" s="1"/>
  <c r="E2259" i="6"/>
  <c r="F2259" i="6" s="1"/>
  <c r="E2255" i="6"/>
  <c r="F2255" i="6" s="1"/>
  <c r="E2253" i="6"/>
  <c r="F2253" i="6" s="1"/>
  <c r="E702" i="6"/>
  <c r="F702" i="6" s="1"/>
  <c r="E679" i="6"/>
  <c r="F679" i="6" s="1"/>
  <c r="E2243" i="6"/>
  <c r="F2243" i="6" s="1"/>
  <c r="E678" i="6"/>
  <c r="F678" i="6" s="1"/>
  <c r="E666" i="6"/>
  <c r="F666" i="6" s="1"/>
  <c r="E712" i="6"/>
  <c r="F712" i="6" s="1"/>
  <c r="E689" i="6"/>
  <c r="F689" i="6" s="1"/>
  <c r="E677" i="6"/>
  <c r="F677" i="6" s="1"/>
  <c r="E2241" i="6"/>
  <c r="F2241" i="6" s="1"/>
  <c r="E707" i="6"/>
  <c r="F707" i="6" s="1"/>
  <c r="E684" i="6"/>
  <c r="F684" i="6" s="1"/>
  <c r="E686" i="6"/>
  <c r="F686" i="6" s="1"/>
  <c r="E2263" i="6"/>
  <c r="F2263" i="6" s="1"/>
  <c r="E699" i="6"/>
  <c r="F699" i="6" s="1"/>
  <c r="E685" i="6"/>
  <c r="F685" i="6" s="1"/>
  <c r="E2261" i="6"/>
  <c r="F2261" i="6" s="1"/>
  <c r="E675" i="6"/>
  <c r="F675" i="6" s="1"/>
  <c r="E696" i="6"/>
  <c r="F696" i="6" s="1"/>
  <c r="E695" i="6"/>
  <c r="F695" i="6" s="1"/>
  <c r="E673" i="6"/>
  <c r="F673" i="6" s="1"/>
  <c r="E2249" i="6"/>
  <c r="F2249" i="6" s="1"/>
  <c r="E709" i="6"/>
  <c r="F709" i="6" s="1"/>
  <c r="E687" i="6"/>
  <c r="F687" i="6" s="1"/>
  <c r="E668" i="6"/>
  <c r="F668" i="6" s="1"/>
  <c r="E694" i="6"/>
  <c r="F694" i="6" s="1"/>
  <c r="E714" i="6"/>
  <c r="F714" i="6" s="1"/>
  <c r="E682" i="6"/>
  <c r="F682" i="6" s="1"/>
  <c r="E2254" i="6"/>
  <c r="F2254" i="6" s="1"/>
  <c r="E711" i="6"/>
  <c r="F711" i="6" s="1"/>
  <c r="E683" i="6"/>
  <c r="F683" i="6" s="1"/>
  <c r="E681" i="6"/>
  <c r="F681" i="6" s="1"/>
  <c r="E672" i="6"/>
  <c r="F672" i="6" s="1"/>
  <c r="E671" i="6"/>
  <c r="F671" i="6" s="1"/>
  <c r="E665" i="6"/>
  <c r="F665" i="6" s="1"/>
  <c r="E704" i="6"/>
  <c r="F704" i="6" s="1"/>
  <c r="E670" i="6"/>
  <c r="F670" i="6" s="1"/>
  <c r="O21" i="6"/>
  <c r="N21" i="6"/>
  <c r="M21" i="6"/>
  <c r="L21" i="6"/>
  <c r="Q21" i="6"/>
  <c r="S21" i="6"/>
  <c r="R21" i="6"/>
  <c r="P21" i="6"/>
  <c r="E68" i="10"/>
  <c r="E1677" i="6"/>
  <c r="F1677" i="6" s="1"/>
  <c r="E1654" i="6"/>
  <c r="F1654" i="6" s="1"/>
  <c r="E1676" i="6"/>
  <c r="F1676" i="6" s="1"/>
  <c r="E1653" i="6"/>
  <c r="F1653" i="6" s="1"/>
  <c r="E1672" i="6"/>
  <c r="F1672" i="6" s="1"/>
  <c r="E1649" i="6"/>
  <c r="F1649" i="6" s="1"/>
  <c r="E1659" i="6"/>
  <c r="F1659" i="6" s="1"/>
  <c r="E1685" i="6"/>
  <c r="F1685" i="6" s="1"/>
  <c r="E1684" i="6"/>
  <c r="F1684" i="6" s="1"/>
  <c r="E1657" i="6"/>
  <c r="F1657" i="6" s="1"/>
  <c r="E1679" i="6"/>
  <c r="F1679" i="6" s="1"/>
  <c r="E1666" i="6"/>
  <c r="F1666" i="6" s="1"/>
  <c r="E1652" i="6"/>
  <c r="F1652" i="6" s="1"/>
  <c r="E1694" i="6"/>
  <c r="F1694" i="6" s="1"/>
  <c r="E1678" i="6"/>
  <c r="F1678" i="6" s="1"/>
  <c r="E1662" i="6"/>
  <c r="F1662" i="6" s="1"/>
  <c r="E1693" i="6"/>
  <c r="F1693" i="6" s="1"/>
  <c r="E1661" i="6"/>
  <c r="F1661" i="6" s="1"/>
  <c r="E1670" i="6"/>
  <c r="F1670" i="6" s="1"/>
  <c r="E1689" i="6"/>
  <c r="F1689" i="6" s="1"/>
  <c r="E1651" i="6"/>
  <c r="F1651" i="6" s="1"/>
  <c r="E1688" i="6"/>
  <c r="F1688" i="6" s="1"/>
  <c r="E1669" i="6"/>
  <c r="F1669" i="6" s="1"/>
  <c r="E1681" i="6"/>
  <c r="F1681" i="6" s="1"/>
  <c r="E1690" i="6"/>
  <c r="F1690" i="6" s="1"/>
  <c r="E1687" i="6"/>
  <c r="F1687" i="6" s="1"/>
  <c r="E1665" i="6"/>
  <c r="F1665" i="6" s="1"/>
  <c r="E131" i="6"/>
  <c r="F131" i="6" s="1"/>
  <c r="E1664" i="6"/>
  <c r="F1664" i="6" s="1"/>
  <c r="E1686" i="6"/>
  <c r="F1686" i="6" s="1"/>
  <c r="E130" i="6"/>
  <c r="F130" i="6" s="1"/>
  <c r="E1663" i="6"/>
  <c r="F1663" i="6" s="1"/>
  <c r="E1682" i="6"/>
  <c r="F1682" i="6" s="1"/>
  <c r="E1648" i="6"/>
  <c r="F1648" i="6" s="1"/>
  <c r="E1650" i="6"/>
  <c r="F1650" i="6" s="1"/>
  <c r="E127" i="6"/>
  <c r="F127" i="6" s="1"/>
  <c r="E1680" i="6"/>
  <c r="F1680" i="6" s="1"/>
  <c r="E126" i="6"/>
  <c r="F126" i="6" s="1"/>
  <c r="E1671" i="6"/>
  <c r="F1671" i="6" s="1"/>
  <c r="E123" i="6"/>
  <c r="F123" i="6" s="1"/>
  <c r="E1656" i="6"/>
  <c r="F1656" i="6" s="1"/>
  <c r="E122" i="6"/>
  <c r="F122" i="6" s="1"/>
  <c r="E1655" i="6"/>
  <c r="F1655" i="6" s="1"/>
  <c r="E1647" i="6"/>
  <c r="F1647" i="6" s="1"/>
  <c r="E1675" i="6"/>
  <c r="F1675" i="6" s="1"/>
  <c r="E1692" i="6"/>
  <c r="F1692" i="6" s="1"/>
  <c r="E1674" i="6"/>
  <c r="F1674" i="6" s="1"/>
  <c r="E1691" i="6"/>
  <c r="F1691" i="6" s="1"/>
  <c r="E1683" i="6"/>
  <c r="F1683" i="6" s="1"/>
  <c r="E1668" i="6"/>
  <c r="F1668" i="6" s="1"/>
  <c r="E1667" i="6"/>
  <c r="F1667" i="6" s="1"/>
  <c r="E1660" i="6"/>
  <c r="F1660" i="6" s="1"/>
  <c r="E129" i="6"/>
  <c r="F129" i="6" s="1"/>
  <c r="E128" i="6"/>
  <c r="F128" i="6" s="1"/>
  <c r="E125" i="6"/>
  <c r="F125" i="6" s="1"/>
  <c r="E1673" i="6"/>
  <c r="F1673" i="6" s="1"/>
  <c r="E1658" i="6"/>
  <c r="F1658" i="6" s="1"/>
  <c r="E124" i="6"/>
  <c r="F124" i="6" s="1"/>
  <c r="E60" i="10"/>
  <c r="E1842" i="6"/>
  <c r="F1842" i="6" s="1"/>
  <c r="E1849" i="6"/>
  <c r="F1849" i="6" s="1"/>
  <c r="E1851" i="6"/>
  <c r="F1851" i="6" s="1"/>
  <c r="E1850" i="6"/>
  <c r="F1850" i="6" s="1"/>
  <c r="E318" i="6"/>
  <c r="F318" i="6" s="1"/>
  <c r="E307" i="6"/>
  <c r="F307" i="6" s="1"/>
  <c r="E296" i="6"/>
  <c r="F296" i="6" s="1"/>
  <c r="E317" i="6"/>
  <c r="F317" i="6" s="1"/>
  <c r="E306" i="6"/>
  <c r="F306" i="6" s="1"/>
  <c r="E295" i="6"/>
  <c r="F295" i="6" s="1"/>
  <c r="E1845" i="6"/>
  <c r="F1845" i="6" s="1"/>
  <c r="E298" i="6"/>
  <c r="F298" i="6" s="1"/>
  <c r="E1848" i="6"/>
  <c r="F1848" i="6" s="1"/>
  <c r="E313" i="6"/>
  <c r="F313" i="6" s="1"/>
  <c r="E299" i="6"/>
  <c r="F299" i="6" s="1"/>
  <c r="E312" i="6"/>
  <c r="F312" i="6" s="1"/>
  <c r="E308" i="6"/>
  <c r="F308" i="6" s="1"/>
  <c r="E305" i="6"/>
  <c r="F305" i="6" s="1"/>
  <c r="E322" i="6"/>
  <c r="F322" i="6" s="1"/>
  <c r="E303" i="6"/>
  <c r="F303" i="6" s="1"/>
  <c r="E324" i="6"/>
  <c r="F324" i="6" s="1"/>
  <c r="E304" i="6"/>
  <c r="F304" i="6" s="1"/>
  <c r="E323" i="6"/>
  <c r="F323" i="6" s="1"/>
  <c r="E1847" i="6"/>
  <c r="F1847" i="6" s="1"/>
  <c r="E316" i="6"/>
  <c r="F316" i="6" s="1"/>
  <c r="E297" i="6"/>
  <c r="F297" i="6" s="1"/>
  <c r="E302" i="6"/>
  <c r="F302" i="6" s="1"/>
  <c r="E321" i="6"/>
  <c r="F321" i="6" s="1"/>
  <c r="E320" i="6"/>
  <c r="F320" i="6" s="1"/>
  <c r="E301" i="6"/>
  <c r="F301" i="6" s="1"/>
  <c r="E294" i="6"/>
  <c r="F294" i="6" s="1"/>
  <c r="E293" i="6"/>
  <c r="F293" i="6" s="1"/>
  <c r="E1844" i="6"/>
  <c r="F1844" i="6" s="1"/>
  <c r="E1843" i="6"/>
  <c r="F1843" i="6" s="1"/>
  <c r="E1846" i="6"/>
  <c r="F1846" i="6" s="1"/>
  <c r="E300" i="6"/>
  <c r="F300" i="6" s="1"/>
  <c r="E292" i="6"/>
  <c r="F292" i="6" s="1"/>
  <c r="E291" i="6"/>
  <c r="F291" i="6" s="1"/>
  <c r="E319" i="6"/>
  <c r="F319" i="6" s="1"/>
  <c r="E315" i="6"/>
  <c r="F315" i="6" s="1"/>
  <c r="E311" i="6"/>
  <c r="F311" i="6" s="1"/>
  <c r="E314" i="6"/>
  <c r="F314" i="6" s="1"/>
  <c r="E310" i="6"/>
  <c r="F310" i="6" s="1"/>
  <c r="E309" i="6"/>
  <c r="F309" i="6" s="1"/>
  <c r="E2720" i="6"/>
  <c r="F2720" i="6" s="1"/>
  <c r="E2697" i="6"/>
  <c r="F2697" i="6" s="1"/>
  <c r="E2708" i="6"/>
  <c r="F2708" i="6" s="1"/>
  <c r="E2696" i="6"/>
  <c r="F2696" i="6" s="1"/>
  <c r="E2718" i="6"/>
  <c r="F2718" i="6" s="1"/>
  <c r="E2695" i="6"/>
  <c r="F2695" i="6" s="1"/>
  <c r="E2715" i="6"/>
  <c r="F2715" i="6" s="1"/>
  <c r="E2702" i="6"/>
  <c r="F2702" i="6" s="1"/>
  <c r="E2689" i="6"/>
  <c r="F2689" i="6" s="1"/>
  <c r="E2714" i="6"/>
  <c r="F2714" i="6" s="1"/>
  <c r="E2701" i="6"/>
  <c r="F2701" i="6" s="1"/>
  <c r="E2688" i="6"/>
  <c r="F2688" i="6" s="1"/>
  <c r="E2713" i="6"/>
  <c r="F2713" i="6" s="1"/>
  <c r="E2700" i="6"/>
  <c r="F2700" i="6" s="1"/>
  <c r="E2687" i="6"/>
  <c r="F2687" i="6" s="1"/>
  <c r="E2722" i="6"/>
  <c r="F2722" i="6" s="1"/>
  <c r="E2709" i="6"/>
  <c r="F2709" i="6" s="1"/>
  <c r="E2694" i="6"/>
  <c r="F2694" i="6" s="1"/>
  <c r="E2710" i="6"/>
  <c r="F2710" i="6" s="1"/>
  <c r="E2692" i="6"/>
  <c r="F2692" i="6" s="1"/>
  <c r="E2706" i="6"/>
  <c r="F2706" i="6" s="1"/>
  <c r="E2704" i="6"/>
  <c r="F2704" i="6" s="1"/>
  <c r="E2703" i="6"/>
  <c r="F2703" i="6" s="1"/>
  <c r="E1156" i="6"/>
  <c r="F1156" i="6" s="1"/>
  <c r="E2699" i="6"/>
  <c r="F2699" i="6" s="1"/>
  <c r="E19" i="10"/>
  <c r="E1155" i="6"/>
  <c r="F1155" i="6" s="1"/>
  <c r="E2716" i="6"/>
  <c r="F2716" i="6" s="1"/>
  <c r="E2690" i="6"/>
  <c r="F2690" i="6" s="1"/>
  <c r="E2717" i="6"/>
  <c r="F2717" i="6" s="1"/>
  <c r="E1168" i="6"/>
  <c r="F1168" i="6" s="1"/>
  <c r="E1142" i="6"/>
  <c r="F1142" i="6" s="1"/>
  <c r="E2711" i="6"/>
  <c r="F2711" i="6" s="1"/>
  <c r="E2693" i="6"/>
  <c r="F2693" i="6" s="1"/>
  <c r="E1148" i="6"/>
  <c r="F1148" i="6" s="1"/>
  <c r="E2691" i="6"/>
  <c r="F2691" i="6" s="1"/>
  <c r="E1147" i="6"/>
  <c r="F1147" i="6" s="1"/>
  <c r="E1151" i="6"/>
  <c r="F1151" i="6" s="1"/>
  <c r="E1153" i="6"/>
  <c r="F1153" i="6" s="1"/>
  <c r="E1166" i="6"/>
  <c r="F1166" i="6" s="1"/>
  <c r="E1169" i="6"/>
  <c r="F1169" i="6" s="1"/>
  <c r="E1167" i="6"/>
  <c r="F1167" i="6" s="1"/>
  <c r="E1152" i="6"/>
  <c r="F1152" i="6" s="1"/>
  <c r="E2707" i="6"/>
  <c r="F2707" i="6" s="1"/>
  <c r="E1161" i="6"/>
  <c r="F1161" i="6" s="1"/>
  <c r="E1146" i="6"/>
  <c r="F1146" i="6" s="1"/>
  <c r="E2698" i="6"/>
  <c r="F2698" i="6" s="1"/>
  <c r="E1162" i="6"/>
  <c r="F1162" i="6" s="1"/>
  <c r="E1141" i="6"/>
  <c r="F1141" i="6" s="1"/>
  <c r="E1160" i="6"/>
  <c r="F1160" i="6" s="1"/>
  <c r="E1140" i="6"/>
  <c r="F1140" i="6" s="1"/>
  <c r="E1159" i="6"/>
  <c r="F1159" i="6" s="1"/>
  <c r="E1139" i="6"/>
  <c r="F1139" i="6" s="1"/>
  <c r="E1165" i="6"/>
  <c r="F1165" i="6" s="1"/>
  <c r="E1163" i="6"/>
  <c r="F1163" i="6" s="1"/>
  <c r="E1164" i="6"/>
  <c r="F1164" i="6" s="1"/>
  <c r="E1158" i="6"/>
  <c r="F1158" i="6" s="1"/>
  <c r="E1149" i="6"/>
  <c r="F1149" i="6" s="1"/>
  <c r="E1143" i="6"/>
  <c r="F1143" i="6" s="1"/>
  <c r="E2721" i="6"/>
  <c r="F2721" i="6" s="1"/>
  <c r="E2712" i="6"/>
  <c r="F2712" i="6" s="1"/>
  <c r="E1157" i="6"/>
  <c r="F1157" i="6" s="1"/>
  <c r="E2705" i="6"/>
  <c r="F2705" i="6" s="1"/>
  <c r="E1154" i="6"/>
  <c r="F1154" i="6" s="1"/>
  <c r="E1145" i="6"/>
  <c r="F1145" i="6" s="1"/>
  <c r="E1144" i="6"/>
  <c r="F1144" i="6" s="1"/>
  <c r="E2719" i="6"/>
  <c r="F2719" i="6" s="1"/>
  <c r="E1150" i="6"/>
  <c r="F1150" i="6" s="1"/>
  <c r="M19" i="6"/>
  <c r="L19" i="6"/>
  <c r="S19" i="6"/>
  <c r="R19" i="6"/>
  <c r="R25" i="6" s="1"/>
  <c r="P19" i="6"/>
  <c r="N19" i="6"/>
  <c r="Q19" i="6"/>
  <c r="O19" i="6"/>
  <c r="E23" i="10"/>
  <c r="E1952" i="6"/>
  <c r="F1952" i="6" s="1"/>
  <c r="E1929" i="6"/>
  <c r="F1929" i="6" s="1"/>
  <c r="E1971" i="6"/>
  <c r="F1971" i="6" s="1"/>
  <c r="E1948" i="6"/>
  <c r="F1948" i="6" s="1"/>
  <c r="E1963" i="6"/>
  <c r="F1963" i="6" s="1"/>
  <c r="E1938" i="6"/>
  <c r="F1938" i="6" s="1"/>
  <c r="E1926" i="6"/>
  <c r="F1926" i="6" s="1"/>
  <c r="E1914" i="6"/>
  <c r="F1914" i="6" s="1"/>
  <c r="E1950" i="6"/>
  <c r="F1950" i="6" s="1"/>
  <c r="E1949" i="6"/>
  <c r="F1949" i="6" s="1"/>
  <c r="E1957" i="6"/>
  <c r="F1957" i="6" s="1"/>
  <c r="E1932" i="6"/>
  <c r="F1932" i="6" s="1"/>
  <c r="E1920" i="6"/>
  <c r="F1920" i="6" s="1"/>
  <c r="E1908" i="6"/>
  <c r="F1908" i="6" s="1"/>
  <c r="E1958" i="6"/>
  <c r="F1958" i="6" s="1"/>
  <c r="E1928" i="6"/>
  <c r="F1928" i="6" s="1"/>
  <c r="E1913" i="6"/>
  <c r="F1913" i="6" s="1"/>
  <c r="E1942" i="6"/>
  <c r="F1942" i="6" s="1"/>
  <c r="E1912" i="6"/>
  <c r="F1912" i="6" s="1"/>
  <c r="E1956" i="6"/>
  <c r="F1956" i="6" s="1"/>
  <c r="E1941" i="6"/>
  <c r="F1941" i="6" s="1"/>
  <c r="E1911" i="6"/>
  <c r="F1911" i="6" s="1"/>
  <c r="E1951" i="6"/>
  <c r="F1951" i="6" s="1"/>
  <c r="E1935" i="6"/>
  <c r="F1935" i="6" s="1"/>
  <c r="E1969" i="6"/>
  <c r="F1969" i="6" s="1"/>
  <c r="E1933" i="6"/>
  <c r="F1933" i="6" s="1"/>
  <c r="E1915" i="6"/>
  <c r="F1915" i="6" s="1"/>
  <c r="E1968" i="6"/>
  <c r="F1968" i="6" s="1"/>
  <c r="E1931" i="6"/>
  <c r="F1931" i="6" s="1"/>
  <c r="E1927" i="6"/>
  <c r="F1927" i="6" s="1"/>
  <c r="E1954" i="6"/>
  <c r="F1954" i="6" s="1"/>
  <c r="E1930" i="6"/>
  <c r="F1930" i="6" s="1"/>
  <c r="E1953" i="6"/>
  <c r="F1953" i="6" s="1"/>
  <c r="E1907" i="6"/>
  <c r="F1907" i="6" s="1"/>
  <c r="E1965" i="6"/>
  <c r="F1965" i="6" s="1"/>
  <c r="E1962" i="6"/>
  <c r="F1962" i="6" s="1"/>
  <c r="E1936" i="6"/>
  <c r="F1936" i="6" s="1"/>
  <c r="E1909" i="6"/>
  <c r="F1909" i="6" s="1"/>
  <c r="E1961" i="6"/>
  <c r="F1961" i="6" s="1"/>
  <c r="E395" i="6"/>
  <c r="F395" i="6" s="1"/>
  <c r="E384" i="6"/>
  <c r="F384" i="6" s="1"/>
  <c r="E373" i="6"/>
  <c r="F373" i="6" s="1"/>
  <c r="E1959" i="6"/>
  <c r="F1959" i="6" s="1"/>
  <c r="E1960" i="6"/>
  <c r="F1960" i="6" s="1"/>
  <c r="E1934" i="6"/>
  <c r="F1934" i="6" s="1"/>
  <c r="E394" i="6"/>
  <c r="F394" i="6" s="1"/>
  <c r="E383" i="6"/>
  <c r="F383" i="6" s="1"/>
  <c r="E372" i="6"/>
  <c r="F372" i="6" s="1"/>
  <c r="E1921" i="6"/>
  <c r="F1921" i="6" s="1"/>
  <c r="E1947" i="6"/>
  <c r="F1947" i="6" s="1"/>
  <c r="E1916" i="6"/>
  <c r="F1916" i="6" s="1"/>
  <c r="E391" i="6"/>
  <c r="F391" i="6" s="1"/>
  <c r="E377" i="6"/>
  <c r="F377" i="6" s="1"/>
  <c r="E1946" i="6"/>
  <c r="F1946" i="6" s="1"/>
  <c r="E390" i="6"/>
  <c r="F390" i="6" s="1"/>
  <c r="E376" i="6"/>
  <c r="F376" i="6" s="1"/>
  <c r="E1944" i="6"/>
  <c r="F1944" i="6" s="1"/>
  <c r="E1943" i="6"/>
  <c r="F1943" i="6" s="1"/>
  <c r="E1945" i="6"/>
  <c r="F1945" i="6" s="1"/>
  <c r="E1910" i="6"/>
  <c r="F1910" i="6" s="1"/>
  <c r="E389" i="6"/>
  <c r="F389" i="6" s="1"/>
  <c r="E1924" i="6"/>
  <c r="F1924" i="6" s="1"/>
  <c r="E398" i="6"/>
  <c r="F398" i="6" s="1"/>
  <c r="E1967" i="6"/>
  <c r="F1967" i="6" s="1"/>
  <c r="E1955" i="6"/>
  <c r="F1955" i="6" s="1"/>
  <c r="E382" i="6"/>
  <c r="F382" i="6" s="1"/>
  <c r="E380" i="6"/>
  <c r="F380" i="6" s="1"/>
  <c r="E381" i="6"/>
  <c r="F381" i="6" s="1"/>
  <c r="E1939" i="6"/>
  <c r="F1939" i="6" s="1"/>
  <c r="E1940" i="6"/>
  <c r="F1940" i="6" s="1"/>
  <c r="E379" i="6"/>
  <c r="F379" i="6" s="1"/>
  <c r="E1919" i="6"/>
  <c r="F1919" i="6" s="1"/>
  <c r="E392" i="6"/>
  <c r="F392" i="6" s="1"/>
  <c r="E1966" i="6"/>
  <c r="F1966" i="6" s="1"/>
  <c r="E378" i="6"/>
  <c r="F378" i="6" s="1"/>
  <c r="E1964" i="6"/>
  <c r="F1964" i="6" s="1"/>
  <c r="E375" i="6"/>
  <c r="F375" i="6" s="1"/>
  <c r="E374" i="6"/>
  <c r="F374" i="6" s="1"/>
  <c r="E1922" i="6"/>
  <c r="F1922" i="6" s="1"/>
  <c r="E1918" i="6"/>
  <c r="F1918" i="6" s="1"/>
  <c r="E1937" i="6"/>
  <c r="F1937" i="6" s="1"/>
  <c r="E1923" i="6"/>
  <c r="F1923" i="6" s="1"/>
  <c r="E397" i="6"/>
  <c r="F397" i="6" s="1"/>
  <c r="E1925" i="6"/>
  <c r="F1925" i="6" s="1"/>
  <c r="E393" i="6"/>
  <c r="F393" i="6" s="1"/>
  <c r="E385" i="6"/>
  <c r="F385" i="6" s="1"/>
  <c r="E1917" i="6"/>
  <c r="F1917" i="6" s="1"/>
  <c r="E387" i="6"/>
  <c r="F387" i="6" s="1"/>
  <c r="E1970" i="6"/>
  <c r="F1970" i="6" s="1"/>
  <c r="E386" i="6"/>
  <c r="F386" i="6" s="1"/>
  <c r="E396" i="6"/>
  <c r="F396" i="6" s="1"/>
  <c r="E388" i="6"/>
  <c r="F388" i="6" s="1"/>
  <c r="B3" i="13"/>
  <c r="C3" i="13" s="1"/>
  <c r="B2" i="13"/>
  <c r="C2" i="13" s="1"/>
  <c r="O22" i="6"/>
  <c r="Q22" i="6"/>
  <c r="S22" i="6"/>
  <c r="R22" i="6"/>
  <c r="P22" i="6"/>
  <c r="N22" i="6"/>
  <c r="M22" i="6"/>
  <c r="L22" i="6"/>
  <c r="E697" i="6" l="1"/>
  <c r="F697" i="6" s="1"/>
  <c r="E669" i="6"/>
  <c r="F669" i="6" s="1"/>
  <c r="E674" i="6"/>
  <c r="F674" i="6" s="1"/>
  <c r="E667" i="6"/>
  <c r="F667" i="6" s="1"/>
  <c r="E2265" i="6"/>
  <c r="F2265" i="6" s="1"/>
  <c r="E12" i="10"/>
  <c r="E635" i="6"/>
  <c r="F635" i="6" s="1"/>
  <c r="E634" i="6"/>
  <c r="F634" i="6" s="1"/>
  <c r="E643" i="6"/>
  <c r="F643" i="6" s="1"/>
  <c r="E638" i="6"/>
  <c r="F638" i="6" s="1"/>
  <c r="E633" i="6"/>
  <c r="F633" i="6" s="1"/>
  <c r="E637" i="6"/>
  <c r="F637" i="6" s="1"/>
  <c r="E636" i="6"/>
  <c r="F636" i="6" s="1"/>
  <c r="E644" i="6"/>
  <c r="F644" i="6" s="1"/>
  <c r="E641" i="6"/>
  <c r="F641" i="6" s="1"/>
  <c r="E645" i="6"/>
  <c r="F645" i="6" s="1"/>
  <c r="E642" i="6"/>
  <c r="F642" i="6" s="1"/>
  <c r="E639" i="6"/>
  <c r="F639" i="6" s="1"/>
  <c r="E640" i="6"/>
  <c r="F640" i="6" s="1"/>
  <c r="E632" i="6"/>
  <c r="F632" i="6" s="1"/>
  <c r="E705" i="6"/>
  <c r="F705" i="6" s="1"/>
  <c r="E701" i="6"/>
  <c r="F701" i="6" s="1"/>
  <c r="E2264" i="6"/>
  <c r="F2264" i="6" s="1"/>
  <c r="E710" i="6"/>
  <c r="F710" i="6" s="1"/>
  <c r="E680" i="6"/>
  <c r="F680" i="6" s="1"/>
  <c r="E690" i="6"/>
  <c r="F690" i="6" s="1"/>
  <c r="E2239" i="6"/>
  <c r="F2239" i="6" s="1"/>
  <c r="E2251" i="6"/>
  <c r="F2251" i="6" s="1"/>
  <c r="E698" i="6"/>
  <c r="F698" i="6" s="1"/>
  <c r="E713" i="6"/>
  <c r="F713" i="6" s="1"/>
  <c r="E2252" i="6"/>
  <c r="F2252" i="6" s="1"/>
  <c r="E691" i="6"/>
  <c r="F691" i="6" s="1"/>
  <c r="E2257" i="6"/>
  <c r="F2257" i="6" s="1"/>
  <c r="E2258" i="6"/>
  <c r="F2258" i="6" s="1"/>
  <c r="E664" i="6"/>
  <c r="F664" i="6" s="1"/>
  <c r="E2237" i="6"/>
  <c r="F2237" i="6" s="1"/>
  <c r="E700" i="6"/>
  <c r="F700" i="6" s="1"/>
  <c r="E2238" i="6"/>
  <c r="F2238" i="6" s="1"/>
  <c r="B2" i="14"/>
  <c r="C2" i="14" s="1"/>
  <c r="E688" i="6"/>
  <c r="F688" i="6" s="1"/>
  <c r="E692" i="6"/>
  <c r="F692" i="6" s="1"/>
  <c r="E2262" i="6"/>
  <c r="F2262" i="6" s="1"/>
  <c r="E2236" i="6"/>
  <c r="F2236" i="6" s="1"/>
  <c r="E1826" i="6"/>
  <c r="F1826" i="6" s="1"/>
  <c r="E1804" i="6"/>
  <c r="F1804" i="6" s="1"/>
  <c r="E1782" i="6"/>
  <c r="F1782" i="6" s="1"/>
  <c r="E267" i="6"/>
  <c r="F267" i="6" s="1"/>
  <c r="E247" i="6"/>
  <c r="F247" i="6" s="1"/>
  <c r="E227" i="6"/>
  <c r="F227" i="6" s="1"/>
  <c r="E206" i="6"/>
  <c r="F206" i="6" s="1"/>
  <c r="E1825" i="6"/>
  <c r="F1825" i="6" s="1"/>
  <c r="E1803" i="6"/>
  <c r="F1803" i="6" s="1"/>
  <c r="E1781" i="6"/>
  <c r="F1781" i="6" s="1"/>
  <c r="E246" i="6"/>
  <c r="F246" i="6" s="1"/>
  <c r="E226" i="6"/>
  <c r="F226" i="6" s="1"/>
  <c r="E205" i="6"/>
  <c r="F205" i="6" s="1"/>
  <c r="E1824" i="6"/>
  <c r="F1824" i="6" s="1"/>
  <c r="E1838" i="6"/>
  <c r="F1838" i="6" s="1"/>
  <c r="E1816" i="6"/>
  <c r="F1816" i="6" s="1"/>
  <c r="E1794" i="6"/>
  <c r="F1794" i="6" s="1"/>
  <c r="E279" i="6"/>
  <c r="F279" i="6" s="1"/>
  <c r="E258" i="6"/>
  <c r="F258" i="6" s="1"/>
  <c r="E217" i="6"/>
  <c r="F217" i="6" s="1"/>
  <c r="E196" i="6"/>
  <c r="F196" i="6" s="1"/>
  <c r="E1836" i="6"/>
  <c r="F1836" i="6" s="1"/>
  <c r="E1814" i="6"/>
  <c r="F1814" i="6" s="1"/>
  <c r="E1792" i="6"/>
  <c r="F1792" i="6" s="1"/>
  <c r="E277" i="6"/>
  <c r="F277" i="6" s="1"/>
  <c r="E256" i="6"/>
  <c r="F256" i="6" s="1"/>
  <c r="E236" i="6"/>
  <c r="F236" i="6" s="1"/>
  <c r="E1833" i="6"/>
  <c r="F1833" i="6" s="1"/>
  <c r="E1806" i="6"/>
  <c r="F1806" i="6" s="1"/>
  <c r="E1778" i="6"/>
  <c r="F1778" i="6" s="1"/>
  <c r="E262" i="6"/>
  <c r="F262" i="6" s="1"/>
  <c r="E237" i="6"/>
  <c r="F237" i="6" s="1"/>
  <c r="E212" i="6"/>
  <c r="F212" i="6" s="1"/>
  <c r="E259" i="6"/>
  <c r="F259" i="6" s="1"/>
  <c r="E1800" i="6"/>
  <c r="F1800" i="6" s="1"/>
  <c r="E1832" i="6"/>
  <c r="F1832" i="6" s="1"/>
  <c r="E1805" i="6"/>
  <c r="F1805" i="6" s="1"/>
  <c r="E1777" i="6"/>
  <c r="F1777" i="6" s="1"/>
  <c r="E285" i="6"/>
  <c r="F285" i="6" s="1"/>
  <c r="E261" i="6"/>
  <c r="F261" i="6" s="1"/>
  <c r="E235" i="6"/>
  <c r="F235" i="6" s="1"/>
  <c r="E1801" i="6"/>
  <c r="F1801" i="6" s="1"/>
  <c r="E283" i="6"/>
  <c r="F283" i="6" s="1"/>
  <c r="E210" i="6"/>
  <c r="F210" i="6" s="1"/>
  <c r="E1775" i="6"/>
  <c r="F1775" i="6" s="1"/>
  <c r="E1831" i="6"/>
  <c r="F1831" i="6" s="1"/>
  <c r="E1802" i="6"/>
  <c r="F1802" i="6" s="1"/>
  <c r="E1776" i="6"/>
  <c r="F1776" i="6" s="1"/>
  <c r="E284" i="6"/>
  <c r="F284" i="6" s="1"/>
  <c r="E260" i="6"/>
  <c r="F260" i="6" s="1"/>
  <c r="E234" i="6"/>
  <c r="F234" i="6" s="1"/>
  <c r="E211" i="6"/>
  <c r="F211" i="6" s="1"/>
  <c r="E1830" i="6"/>
  <c r="F1830" i="6" s="1"/>
  <c r="E233" i="6"/>
  <c r="F233" i="6" s="1"/>
  <c r="E1829" i="6"/>
  <c r="F1829" i="6" s="1"/>
  <c r="E1828" i="6"/>
  <c r="F1828" i="6" s="1"/>
  <c r="E1799" i="6"/>
  <c r="F1799" i="6" s="1"/>
  <c r="E1774" i="6"/>
  <c r="F1774" i="6" s="1"/>
  <c r="E282" i="6"/>
  <c r="F282" i="6" s="1"/>
  <c r="E255" i="6"/>
  <c r="F255" i="6" s="1"/>
  <c r="E208" i="6"/>
  <c r="F208" i="6" s="1"/>
  <c r="E1818" i="6"/>
  <c r="F1818" i="6" s="1"/>
  <c r="E1790" i="6"/>
  <c r="F1790" i="6" s="1"/>
  <c r="E273" i="6"/>
  <c r="F273" i="6" s="1"/>
  <c r="E249" i="6"/>
  <c r="F249" i="6" s="1"/>
  <c r="E223" i="6"/>
  <c r="F223" i="6" s="1"/>
  <c r="E199" i="6"/>
  <c r="F199" i="6" s="1"/>
  <c r="E1820" i="6"/>
  <c r="F1820" i="6" s="1"/>
  <c r="E1784" i="6"/>
  <c r="F1784" i="6" s="1"/>
  <c r="E266" i="6"/>
  <c r="F266" i="6" s="1"/>
  <c r="E230" i="6"/>
  <c r="F230" i="6" s="1"/>
  <c r="E197" i="6"/>
  <c r="F197" i="6" s="1"/>
  <c r="E264" i="6"/>
  <c r="F264" i="6" s="1"/>
  <c r="E1779" i="6"/>
  <c r="F1779" i="6" s="1"/>
  <c r="E263" i="6"/>
  <c r="F263" i="6" s="1"/>
  <c r="E1813" i="6"/>
  <c r="F1813" i="6" s="1"/>
  <c r="E257" i="6"/>
  <c r="F257" i="6" s="1"/>
  <c r="E221" i="6"/>
  <c r="F221" i="6" s="1"/>
  <c r="E1807" i="6"/>
  <c r="F1807" i="6" s="1"/>
  <c r="E1819" i="6"/>
  <c r="F1819" i="6" s="1"/>
  <c r="E1783" i="6"/>
  <c r="F1783" i="6" s="1"/>
  <c r="E265" i="6"/>
  <c r="F265" i="6" s="1"/>
  <c r="E229" i="6"/>
  <c r="F229" i="6" s="1"/>
  <c r="E195" i="6"/>
  <c r="F195" i="6" s="1"/>
  <c r="E228" i="6"/>
  <c r="F228" i="6" s="1"/>
  <c r="E224" i="6"/>
  <c r="F224" i="6" s="1"/>
  <c r="E253" i="6"/>
  <c r="F253" i="6" s="1"/>
  <c r="E252" i="6"/>
  <c r="F252" i="6" s="1"/>
  <c r="E251" i="6"/>
  <c r="F251" i="6" s="1"/>
  <c r="E1808" i="6"/>
  <c r="F1808" i="6" s="1"/>
  <c r="E218" i="6"/>
  <c r="F218" i="6" s="1"/>
  <c r="E216" i="6"/>
  <c r="F216" i="6" s="1"/>
  <c r="E1817" i="6"/>
  <c r="F1817" i="6" s="1"/>
  <c r="E1780" i="6"/>
  <c r="F1780" i="6" s="1"/>
  <c r="E1815" i="6"/>
  <c r="F1815" i="6" s="1"/>
  <c r="E225" i="6"/>
  <c r="F225" i="6" s="1"/>
  <c r="E1810" i="6"/>
  <c r="F1810" i="6" s="1"/>
  <c r="E1812" i="6"/>
  <c r="F1812" i="6" s="1"/>
  <c r="E254" i="6"/>
  <c r="F254" i="6" s="1"/>
  <c r="E222" i="6"/>
  <c r="F222" i="6" s="1"/>
  <c r="E1811" i="6"/>
  <c r="F1811" i="6" s="1"/>
  <c r="E220" i="6"/>
  <c r="F220" i="6" s="1"/>
  <c r="E1809" i="6"/>
  <c r="F1809" i="6" s="1"/>
  <c r="E219" i="6"/>
  <c r="F219" i="6" s="1"/>
  <c r="E250" i="6"/>
  <c r="F250" i="6" s="1"/>
  <c r="E1841" i="6"/>
  <c r="F1841" i="6" s="1"/>
  <c r="E1797" i="6"/>
  <c r="F1797" i="6" s="1"/>
  <c r="E280" i="6"/>
  <c r="F280" i="6" s="1"/>
  <c r="E245" i="6"/>
  <c r="F245" i="6" s="1"/>
  <c r="E214" i="6"/>
  <c r="F214" i="6" s="1"/>
  <c r="E1840" i="6"/>
  <c r="F1840" i="6" s="1"/>
  <c r="E1796" i="6"/>
  <c r="F1796" i="6" s="1"/>
  <c r="E278" i="6"/>
  <c r="F278" i="6" s="1"/>
  <c r="E244" i="6"/>
  <c r="F244" i="6" s="1"/>
  <c r="E213" i="6"/>
  <c r="F213" i="6" s="1"/>
  <c r="E40" i="10"/>
  <c r="E1839" i="6"/>
  <c r="F1839" i="6" s="1"/>
  <c r="E1795" i="6"/>
  <c r="F1795" i="6" s="1"/>
  <c r="E240" i="6"/>
  <c r="F240" i="6" s="1"/>
  <c r="E1835" i="6"/>
  <c r="F1835" i="6" s="1"/>
  <c r="E203" i="6"/>
  <c r="F203" i="6" s="1"/>
  <c r="E1787" i="6"/>
  <c r="F1787" i="6" s="1"/>
  <c r="E239" i="6"/>
  <c r="F239" i="6" s="1"/>
  <c r="E1837" i="6"/>
  <c r="F1837" i="6" s="1"/>
  <c r="E232" i="6"/>
  <c r="F232" i="6" s="1"/>
  <c r="E231" i="6"/>
  <c r="F231" i="6" s="1"/>
  <c r="E1827" i="6"/>
  <c r="F1827" i="6" s="1"/>
  <c r="E209" i="6"/>
  <c r="F209" i="6" s="1"/>
  <c r="E1822" i="6"/>
  <c r="F1822" i="6" s="1"/>
  <c r="E281" i="6"/>
  <c r="F281" i="6" s="1"/>
  <c r="E270" i="6"/>
  <c r="F270" i="6" s="1"/>
  <c r="E248" i="6"/>
  <c r="F248" i="6" s="1"/>
  <c r="E241" i="6"/>
  <c r="F241" i="6" s="1"/>
  <c r="E238" i="6"/>
  <c r="F238" i="6" s="1"/>
  <c r="E1821" i="6"/>
  <c r="F1821" i="6" s="1"/>
  <c r="E1786" i="6"/>
  <c r="F1786" i="6" s="1"/>
  <c r="E1834" i="6"/>
  <c r="F1834" i="6" s="1"/>
  <c r="E215" i="6"/>
  <c r="F215" i="6" s="1"/>
  <c r="E1823" i="6"/>
  <c r="F1823" i="6" s="1"/>
  <c r="E207" i="6"/>
  <c r="F207" i="6" s="1"/>
  <c r="E204" i="6"/>
  <c r="F204" i="6" s="1"/>
  <c r="E269" i="6"/>
  <c r="F269" i="6" s="1"/>
  <c r="E1785" i="6"/>
  <c r="F1785" i="6" s="1"/>
  <c r="E268" i="6"/>
  <c r="F268" i="6" s="1"/>
  <c r="E1798" i="6"/>
  <c r="F1798" i="6" s="1"/>
  <c r="E276" i="6"/>
  <c r="F276" i="6" s="1"/>
  <c r="E202" i="6"/>
  <c r="F202" i="6" s="1"/>
  <c r="E1793" i="6"/>
  <c r="F1793" i="6" s="1"/>
  <c r="E275" i="6"/>
  <c r="F275" i="6" s="1"/>
  <c r="E201" i="6"/>
  <c r="F201" i="6" s="1"/>
  <c r="E271" i="6"/>
  <c r="F271" i="6" s="1"/>
  <c r="E243" i="6"/>
  <c r="F243" i="6" s="1"/>
  <c r="E1791" i="6"/>
  <c r="F1791" i="6" s="1"/>
  <c r="E274" i="6"/>
  <c r="F274" i="6" s="1"/>
  <c r="E200" i="6"/>
  <c r="F200" i="6" s="1"/>
  <c r="E1789" i="6"/>
  <c r="F1789" i="6" s="1"/>
  <c r="E272" i="6"/>
  <c r="F272" i="6" s="1"/>
  <c r="E198" i="6"/>
  <c r="F198" i="6" s="1"/>
  <c r="E1788" i="6"/>
  <c r="F1788" i="6" s="1"/>
  <c r="E242" i="6"/>
  <c r="F242" i="6" s="1"/>
  <c r="E676" i="6"/>
  <c r="F676" i="6" s="1"/>
  <c r="E706" i="6"/>
  <c r="F706" i="6" s="1"/>
  <c r="E2235" i="6"/>
  <c r="F2235" i="6" s="1"/>
  <c r="E693" i="6"/>
  <c r="F693" i="6" s="1"/>
  <c r="E2246" i="6"/>
  <c r="F2246" i="6" s="1"/>
  <c r="E703" i="6"/>
  <c r="F703" i="6" s="1"/>
  <c r="E708" i="6"/>
  <c r="F708" i="6" s="1"/>
  <c r="E2240" i="6"/>
  <c r="F2240" i="6" s="1"/>
  <c r="E55" i="10"/>
  <c r="E2935" i="6"/>
  <c r="F2935" i="6" s="1"/>
  <c r="E2910" i="6"/>
  <c r="F2910" i="6" s="1"/>
  <c r="E2886" i="6"/>
  <c r="F2886" i="6" s="1"/>
  <c r="E2862" i="6"/>
  <c r="F2862" i="6" s="1"/>
  <c r="E2838" i="6"/>
  <c r="F2838" i="6" s="1"/>
  <c r="E1397" i="6"/>
  <c r="F1397" i="6" s="1"/>
  <c r="E1375" i="6"/>
  <c r="F1375" i="6" s="1"/>
  <c r="E1353" i="6"/>
  <c r="F1353" i="6" s="1"/>
  <c r="E1331" i="6"/>
  <c r="F1331" i="6" s="1"/>
  <c r="E1312" i="6"/>
  <c r="F1312" i="6" s="1"/>
  <c r="E1292" i="6"/>
  <c r="F1292" i="6" s="1"/>
  <c r="E2934" i="6"/>
  <c r="F2934" i="6" s="1"/>
  <c r="E2909" i="6"/>
  <c r="F2909" i="6" s="1"/>
  <c r="E2885" i="6"/>
  <c r="F2885" i="6" s="1"/>
  <c r="E2861" i="6"/>
  <c r="F2861" i="6" s="1"/>
  <c r="E2837" i="6"/>
  <c r="F2837" i="6" s="1"/>
  <c r="E1396" i="6"/>
  <c r="F1396" i="6" s="1"/>
  <c r="E1374" i="6"/>
  <c r="F1374" i="6" s="1"/>
  <c r="E1352" i="6"/>
  <c r="F1352" i="6" s="1"/>
  <c r="E1330" i="6"/>
  <c r="F1330" i="6" s="1"/>
  <c r="E1311" i="6"/>
  <c r="F1311" i="6" s="1"/>
  <c r="E1291" i="6"/>
  <c r="F1291" i="6" s="1"/>
  <c r="E2933" i="6"/>
  <c r="F2933" i="6" s="1"/>
  <c r="E2908" i="6"/>
  <c r="F2908" i="6" s="1"/>
  <c r="E2884" i="6"/>
  <c r="F2884" i="6" s="1"/>
  <c r="E2860" i="6"/>
  <c r="F2860" i="6" s="1"/>
  <c r="E2836" i="6"/>
  <c r="F2836" i="6" s="1"/>
  <c r="E2924" i="6"/>
  <c r="F2924" i="6" s="1"/>
  <c r="E2900" i="6"/>
  <c r="F2900" i="6" s="1"/>
  <c r="E2876" i="6"/>
  <c r="F2876" i="6" s="1"/>
  <c r="E2852" i="6"/>
  <c r="F2852" i="6" s="1"/>
  <c r="E2828" i="6"/>
  <c r="F2828" i="6" s="1"/>
  <c r="E1408" i="6"/>
  <c r="F1408" i="6" s="1"/>
  <c r="E1387" i="6"/>
  <c r="F1387" i="6" s="1"/>
  <c r="E1365" i="6"/>
  <c r="F1365" i="6" s="1"/>
  <c r="E1343" i="6"/>
  <c r="F1343" i="6" s="1"/>
  <c r="E1322" i="6"/>
  <c r="F1322" i="6" s="1"/>
  <c r="E1302" i="6"/>
  <c r="F1302" i="6" s="1"/>
  <c r="E2922" i="6"/>
  <c r="F2922" i="6" s="1"/>
  <c r="E2898" i="6"/>
  <c r="F2898" i="6" s="1"/>
  <c r="E2874" i="6"/>
  <c r="F2874" i="6" s="1"/>
  <c r="E2850" i="6"/>
  <c r="F2850" i="6" s="1"/>
  <c r="E2826" i="6"/>
  <c r="F2826" i="6" s="1"/>
  <c r="E1406" i="6"/>
  <c r="F1406" i="6" s="1"/>
  <c r="E1385" i="6"/>
  <c r="F1385" i="6" s="1"/>
  <c r="E1363" i="6"/>
  <c r="F1363" i="6" s="1"/>
  <c r="E1341" i="6"/>
  <c r="F1341" i="6" s="1"/>
  <c r="E1320" i="6"/>
  <c r="F1320" i="6" s="1"/>
  <c r="E1300" i="6"/>
  <c r="F1300" i="6" s="1"/>
  <c r="E2929" i="6"/>
  <c r="F2929" i="6" s="1"/>
  <c r="E2897" i="6"/>
  <c r="F2897" i="6" s="1"/>
  <c r="E2866" i="6"/>
  <c r="F2866" i="6" s="1"/>
  <c r="E2834" i="6"/>
  <c r="F2834" i="6" s="1"/>
  <c r="E1391" i="6"/>
  <c r="F1391" i="6" s="1"/>
  <c r="E1364" i="6"/>
  <c r="F1364" i="6" s="1"/>
  <c r="E1337" i="6"/>
  <c r="F1337" i="6" s="1"/>
  <c r="E1313" i="6"/>
  <c r="F1313" i="6" s="1"/>
  <c r="E1288" i="6"/>
  <c r="F1288" i="6" s="1"/>
  <c r="E1309" i="6"/>
  <c r="F1309" i="6" s="1"/>
  <c r="E2859" i="6"/>
  <c r="F2859" i="6" s="1"/>
  <c r="E1386" i="6"/>
  <c r="F1386" i="6" s="1"/>
  <c r="E2928" i="6"/>
  <c r="F2928" i="6" s="1"/>
  <c r="E2896" i="6"/>
  <c r="F2896" i="6" s="1"/>
  <c r="E2865" i="6"/>
  <c r="F2865" i="6" s="1"/>
  <c r="E2833" i="6"/>
  <c r="F2833" i="6" s="1"/>
  <c r="E1390" i="6"/>
  <c r="F1390" i="6" s="1"/>
  <c r="E1362" i="6"/>
  <c r="F1362" i="6" s="1"/>
  <c r="E1336" i="6"/>
  <c r="F1336" i="6" s="1"/>
  <c r="E2894" i="6"/>
  <c r="F2894" i="6" s="1"/>
  <c r="E2831" i="6"/>
  <c r="F2831" i="6" s="1"/>
  <c r="E1388" i="6"/>
  <c r="F1388" i="6" s="1"/>
  <c r="E1334" i="6"/>
  <c r="F1334" i="6" s="1"/>
  <c r="E2923" i="6"/>
  <c r="F2923" i="6" s="1"/>
  <c r="E1308" i="6"/>
  <c r="F1308" i="6" s="1"/>
  <c r="E2926" i="6"/>
  <c r="F2926" i="6" s="1"/>
  <c r="E2895" i="6"/>
  <c r="F2895" i="6" s="1"/>
  <c r="E2864" i="6"/>
  <c r="F2864" i="6" s="1"/>
  <c r="E2832" i="6"/>
  <c r="F2832" i="6" s="1"/>
  <c r="E1389" i="6"/>
  <c r="F1389" i="6" s="1"/>
  <c r="E1361" i="6"/>
  <c r="F1361" i="6" s="1"/>
  <c r="E1335" i="6"/>
  <c r="F1335" i="6" s="1"/>
  <c r="E1310" i="6"/>
  <c r="F1310" i="6" s="1"/>
  <c r="E2925" i="6"/>
  <c r="F2925" i="6" s="1"/>
  <c r="E2863" i="6"/>
  <c r="F2863" i="6" s="1"/>
  <c r="E1360" i="6"/>
  <c r="F1360" i="6" s="1"/>
  <c r="E2893" i="6"/>
  <c r="F2893" i="6" s="1"/>
  <c r="E2830" i="6"/>
  <c r="F2830" i="6" s="1"/>
  <c r="E1359" i="6"/>
  <c r="F1359" i="6" s="1"/>
  <c r="E1333" i="6"/>
  <c r="F1333" i="6" s="1"/>
  <c r="E2921" i="6"/>
  <c r="F2921" i="6" s="1"/>
  <c r="E2890" i="6"/>
  <c r="F2890" i="6" s="1"/>
  <c r="E2858" i="6"/>
  <c r="F2858" i="6" s="1"/>
  <c r="E2829" i="6"/>
  <c r="F2829" i="6" s="1"/>
  <c r="E1411" i="6"/>
  <c r="F1411" i="6" s="1"/>
  <c r="E1384" i="6"/>
  <c r="F1384" i="6" s="1"/>
  <c r="E1358" i="6"/>
  <c r="F1358" i="6" s="1"/>
  <c r="E1332" i="6"/>
  <c r="F1332" i="6" s="1"/>
  <c r="E1307" i="6"/>
  <c r="F1307" i="6" s="1"/>
  <c r="E2920" i="6"/>
  <c r="F2920" i="6" s="1"/>
  <c r="E2889" i="6"/>
  <c r="F2889" i="6" s="1"/>
  <c r="E2857" i="6"/>
  <c r="F2857" i="6" s="1"/>
  <c r="E2827" i="6"/>
  <c r="F2827" i="6" s="1"/>
  <c r="E2945" i="6"/>
  <c r="F2945" i="6" s="1"/>
  <c r="E2912" i="6"/>
  <c r="F2912" i="6" s="1"/>
  <c r="E2880" i="6"/>
  <c r="F2880" i="6" s="1"/>
  <c r="E2849" i="6"/>
  <c r="F2849" i="6" s="1"/>
  <c r="E2818" i="6"/>
  <c r="F2818" i="6" s="1"/>
  <c r="E1403" i="6"/>
  <c r="F1403" i="6" s="1"/>
  <c r="E1377" i="6"/>
  <c r="F1377" i="6" s="1"/>
  <c r="E1349" i="6"/>
  <c r="F1349" i="6" s="1"/>
  <c r="E1324" i="6"/>
  <c r="F1324" i="6" s="1"/>
  <c r="E1299" i="6"/>
  <c r="F1299" i="6" s="1"/>
  <c r="E2944" i="6"/>
  <c r="F2944" i="6" s="1"/>
  <c r="E2911" i="6"/>
  <c r="F2911" i="6" s="1"/>
  <c r="E2879" i="6"/>
  <c r="F2879" i="6" s="1"/>
  <c r="E2917" i="6"/>
  <c r="F2917" i="6" s="1"/>
  <c r="E2870" i="6"/>
  <c r="F2870" i="6" s="1"/>
  <c r="E1380" i="6"/>
  <c r="F1380" i="6" s="1"/>
  <c r="E1344" i="6"/>
  <c r="F1344" i="6" s="1"/>
  <c r="E1304" i="6"/>
  <c r="F1304" i="6" s="1"/>
  <c r="E2855" i="6"/>
  <c r="F2855" i="6" s="1"/>
  <c r="E1376" i="6"/>
  <c r="F1376" i="6" s="1"/>
  <c r="E2906" i="6"/>
  <c r="F2906" i="6" s="1"/>
  <c r="E1298" i="6"/>
  <c r="F1298" i="6" s="1"/>
  <c r="E1371" i="6"/>
  <c r="F1371" i="6" s="1"/>
  <c r="E2848" i="6"/>
  <c r="F2848" i="6" s="1"/>
  <c r="E1370" i="6"/>
  <c r="F1370" i="6" s="1"/>
  <c r="E1369" i="6"/>
  <c r="F1369" i="6" s="1"/>
  <c r="E1367" i="6"/>
  <c r="F1367" i="6" s="1"/>
  <c r="E2916" i="6"/>
  <c r="F2916" i="6" s="1"/>
  <c r="E2867" i="6"/>
  <c r="F2867" i="6" s="1"/>
  <c r="E1379" i="6"/>
  <c r="F1379" i="6" s="1"/>
  <c r="E1342" i="6"/>
  <c r="F1342" i="6" s="1"/>
  <c r="E1303" i="6"/>
  <c r="F1303" i="6" s="1"/>
  <c r="E1301" i="6"/>
  <c r="F1301" i="6" s="1"/>
  <c r="E2907" i="6"/>
  <c r="F2907" i="6" s="1"/>
  <c r="E1339" i="6"/>
  <c r="F1339" i="6" s="1"/>
  <c r="E2854" i="6"/>
  <c r="F2854" i="6" s="1"/>
  <c r="E1410" i="6"/>
  <c r="F1410" i="6" s="1"/>
  <c r="E1338" i="6"/>
  <c r="F1338" i="6" s="1"/>
  <c r="E1407" i="6"/>
  <c r="F1407" i="6" s="1"/>
  <c r="E1405" i="6"/>
  <c r="F1405" i="6" s="1"/>
  <c r="E1294" i="6"/>
  <c r="F1294" i="6" s="1"/>
  <c r="E2844" i="6"/>
  <c r="F2844" i="6" s="1"/>
  <c r="E1368" i="6"/>
  <c r="F1368" i="6" s="1"/>
  <c r="E2843" i="6"/>
  <c r="F2843" i="6" s="1"/>
  <c r="E1325" i="6"/>
  <c r="F1325" i="6" s="1"/>
  <c r="E2913" i="6"/>
  <c r="F2913" i="6" s="1"/>
  <c r="E2856" i="6"/>
  <c r="F2856" i="6" s="1"/>
  <c r="E1378" i="6"/>
  <c r="F1378" i="6" s="1"/>
  <c r="E1340" i="6"/>
  <c r="F1340" i="6" s="1"/>
  <c r="E1373" i="6"/>
  <c r="F1373" i="6" s="1"/>
  <c r="E1296" i="6"/>
  <c r="F1296" i="6" s="1"/>
  <c r="E1295" i="6"/>
  <c r="F1295" i="6" s="1"/>
  <c r="E2847" i="6"/>
  <c r="F2847" i="6" s="1"/>
  <c r="E1404" i="6"/>
  <c r="F1404" i="6" s="1"/>
  <c r="E2901" i="6"/>
  <c r="F2901" i="6" s="1"/>
  <c r="E1293" i="6"/>
  <c r="F1293" i="6" s="1"/>
  <c r="E2899" i="6"/>
  <c r="F2899" i="6" s="1"/>
  <c r="E1402" i="6"/>
  <c r="F1402" i="6" s="1"/>
  <c r="E2905" i="6"/>
  <c r="F2905" i="6" s="1"/>
  <c r="E2853" i="6"/>
  <c r="F2853" i="6" s="1"/>
  <c r="E1409" i="6"/>
  <c r="F1409" i="6" s="1"/>
  <c r="E1372" i="6"/>
  <c r="F1372" i="6" s="1"/>
  <c r="E1329" i="6"/>
  <c r="F1329" i="6" s="1"/>
  <c r="E1297" i="6"/>
  <c r="F1297" i="6" s="1"/>
  <c r="E2904" i="6"/>
  <c r="F2904" i="6" s="1"/>
  <c r="E2851" i="6"/>
  <c r="F2851" i="6" s="1"/>
  <c r="E2903" i="6"/>
  <c r="F2903" i="6" s="1"/>
  <c r="E1328" i="6"/>
  <c r="F1328" i="6" s="1"/>
  <c r="E2902" i="6"/>
  <c r="F2902" i="6" s="1"/>
  <c r="E1327" i="6"/>
  <c r="F1327" i="6" s="1"/>
  <c r="E1326" i="6"/>
  <c r="F1326" i="6" s="1"/>
  <c r="E2943" i="6"/>
  <c r="F2943" i="6" s="1"/>
  <c r="E2887" i="6"/>
  <c r="F2887" i="6" s="1"/>
  <c r="E2841" i="6"/>
  <c r="F2841" i="6" s="1"/>
  <c r="E1400" i="6"/>
  <c r="F1400" i="6" s="1"/>
  <c r="E1357" i="6"/>
  <c r="F1357" i="6" s="1"/>
  <c r="E1321" i="6"/>
  <c r="F1321" i="6" s="1"/>
  <c r="E1289" i="6"/>
  <c r="F1289" i="6" s="1"/>
  <c r="E2942" i="6"/>
  <c r="F2942" i="6" s="1"/>
  <c r="E2883" i="6"/>
  <c r="F2883" i="6" s="1"/>
  <c r="E2840" i="6"/>
  <c r="F2840" i="6" s="1"/>
  <c r="E1399" i="6"/>
  <c r="F1399" i="6" s="1"/>
  <c r="E1356" i="6"/>
  <c r="F1356" i="6" s="1"/>
  <c r="E1319" i="6"/>
  <c r="F1319" i="6" s="1"/>
  <c r="E2941" i="6"/>
  <c r="F2941" i="6" s="1"/>
  <c r="E2882" i="6"/>
  <c r="F2882" i="6" s="1"/>
  <c r="E2839" i="6"/>
  <c r="F2839" i="6" s="1"/>
  <c r="E1398" i="6"/>
  <c r="F1398" i="6" s="1"/>
  <c r="E2875" i="6"/>
  <c r="F2875" i="6" s="1"/>
  <c r="E1354" i="6"/>
  <c r="F1354" i="6" s="1"/>
  <c r="E1345" i="6"/>
  <c r="F1345" i="6" s="1"/>
  <c r="E2877" i="6"/>
  <c r="F2877" i="6" s="1"/>
  <c r="E2873" i="6"/>
  <c r="F2873" i="6" s="1"/>
  <c r="E1351" i="6"/>
  <c r="F1351" i="6" s="1"/>
  <c r="E2871" i="6"/>
  <c r="F2871" i="6" s="1"/>
  <c r="E1348" i="6"/>
  <c r="F1348" i="6" s="1"/>
  <c r="E2842" i="6"/>
  <c r="F2842" i="6" s="1"/>
  <c r="E1318" i="6"/>
  <c r="F1318" i="6" s="1"/>
  <c r="E1393" i="6"/>
  <c r="F1393" i="6" s="1"/>
  <c r="E2919" i="6"/>
  <c r="F2919" i="6" s="1"/>
  <c r="E1290" i="6"/>
  <c r="F1290" i="6" s="1"/>
  <c r="E1383" i="6"/>
  <c r="F1383" i="6" s="1"/>
  <c r="E1381" i="6"/>
  <c r="F1381" i="6" s="1"/>
  <c r="E2872" i="6"/>
  <c r="F2872" i="6" s="1"/>
  <c r="E1350" i="6"/>
  <c r="F1350" i="6" s="1"/>
  <c r="E1347" i="6"/>
  <c r="F1347" i="6" s="1"/>
  <c r="E2824" i="6"/>
  <c r="F2824" i="6" s="1"/>
  <c r="E1323" i="6"/>
  <c r="F1323" i="6" s="1"/>
  <c r="E2881" i="6"/>
  <c r="F2881" i="6" s="1"/>
  <c r="E2878" i="6"/>
  <c r="F2878" i="6" s="1"/>
  <c r="E1366" i="6"/>
  <c r="F1366" i="6" s="1"/>
  <c r="E2835" i="6"/>
  <c r="F2835" i="6" s="1"/>
  <c r="E1346" i="6"/>
  <c r="F1346" i="6" s="1"/>
  <c r="E2821" i="6"/>
  <c r="F2821" i="6" s="1"/>
  <c r="E1382" i="6"/>
  <c r="F1382" i="6" s="1"/>
  <c r="E2825" i="6"/>
  <c r="F2825" i="6" s="1"/>
  <c r="E2820" i="6"/>
  <c r="F2820" i="6" s="1"/>
  <c r="E1305" i="6"/>
  <c r="F1305" i="6" s="1"/>
  <c r="E2946" i="6"/>
  <c r="F2946" i="6" s="1"/>
  <c r="E2819" i="6"/>
  <c r="F2819" i="6" s="1"/>
  <c r="E1317" i="6"/>
  <c r="F1317" i="6" s="1"/>
  <c r="E2940" i="6"/>
  <c r="F2940" i="6" s="1"/>
  <c r="E2817" i="6"/>
  <c r="F2817" i="6" s="1"/>
  <c r="E1316" i="6"/>
  <c r="F1316" i="6" s="1"/>
  <c r="E2931" i="6"/>
  <c r="F2931" i="6" s="1"/>
  <c r="E1394" i="6"/>
  <c r="F1394" i="6" s="1"/>
  <c r="E2930" i="6"/>
  <c r="F2930" i="6" s="1"/>
  <c r="E2918" i="6"/>
  <c r="F2918" i="6" s="1"/>
  <c r="E2888" i="6"/>
  <c r="F2888" i="6" s="1"/>
  <c r="E1355" i="6"/>
  <c r="F1355" i="6" s="1"/>
  <c r="E2936" i="6"/>
  <c r="F2936" i="6" s="1"/>
  <c r="E1401" i="6"/>
  <c r="F1401" i="6" s="1"/>
  <c r="E1315" i="6"/>
  <c r="F1315" i="6" s="1"/>
  <c r="E2932" i="6"/>
  <c r="F2932" i="6" s="1"/>
  <c r="E1395" i="6"/>
  <c r="F1395" i="6" s="1"/>
  <c r="E1314" i="6"/>
  <c r="F1314" i="6" s="1"/>
  <c r="E1306" i="6"/>
  <c r="F1306" i="6" s="1"/>
  <c r="E1392" i="6"/>
  <c r="F1392" i="6" s="1"/>
  <c r="E2822" i="6"/>
  <c r="F2822" i="6" s="1"/>
  <c r="E2937" i="6"/>
  <c r="F2937" i="6" s="1"/>
  <c r="E2845" i="6"/>
  <c r="F2845" i="6" s="1"/>
  <c r="E2868" i="6"/>
  <c r="F2868" i="6" s="1"/>
  <c r="E2891" i="6"/>
  <c r="F2891" i="6" s="1"/>
  <c r="E2914" i="6"/>
  <c r="F2914" i="6" s="1"/>
  <c r="E2823" i="6"/>
  <c r="F2823" i="6" s="1"/>
  <c r="E2869" i="6"/>
  <c r="F2869" i="6" s="1"/>
  <c r="E2892" i="6"/>
  <c r="F2892" i="6" s="1"/>
  <c r="E2846" i="6"/>
  <c r="F2846" i="6" s="1"/>
  <c r="E2939" i="6"/>
  <c r="F2939" i="6" s="1"/>
  <c r="E2915" i="6"/>
  <c r="F2915" i="6" s="1"/>
  <c r="E2938" i="6"/>
  <c r="F2938" i="6" s="1"/>
  <c r="E2927" i="6"/>
  <c r="F2927" i="6" s="1"/>
  <c r="E31" i="10"/>
  <c r="E2339" i="6"/>
  <c r="F2339" i="6" s="1"/>
  <c r="E2316" i="6"/>
  <c r="F2316" i="6" s="1"/>
  <c r="E2361" i="6"/>
  <c r="F2361" i="6" s="1"/>
  <c r="E2338" i="6"/>
  <c r="F2338" i="6" s="1"/>
  <c r="E2315" i="6"/>
  <c r="F2315" i="6" s="1"/>
  <c r="E2359" i="6"/>
  <c r="F2359" i="6" s="1"/>
  <c r="E2334" i="6"/>
  <c r="F2334" i="6" s="1"/>
  <c r="E2321" i="6"/>
  <c r="F2321" i="6" s="1"/>
  <c r="E2358" i="6"/>
  <c r="F2358" i="6" s="1"/>
  <c r="E2320" i="6"/>
  <c r="F2320" i="6" s="1"/>
  <c r="E2350" i="6"/>
  <c r="F2350" i="6" s="1"/>
  <c r="E2336" i="6"/>
  <c r="F2336" i="6" s="1"/>
  <c r="E2322" i="6"/>
  <c r="F2322" i="6" s="1"/>
  <c r="E2308" i="6"/>
  <c r="F2308" i="6" s="1"/>
  <c r="E2349" i="6"/>
  <c r="F2349" i="6" s="1"/>
  <c r="E2307" i="6"/>
  <c r="F2307" i="6" s="1"/>
  <c r="E2348" i="6"/>
  <c r="F2348" i="6" s="1"/>
  <c r="E2306" i="6"/>
  <c r="F2306" i="6" s="1"/>
  <c r="E2329" i="6"/>
  <c r="F2329" i="6" s="1"/>
  <c r="E2301" i="6"/>
  <c r="F2301" i="6" s="1"/>
  <c r="E2353" i="6"/>
  <c r="F2353" i="6" s="1"/>
  <c r="E2318" i="6"/>
  <c r="F2318" i="6" s="1"/>
  <c r="E2335" i="6"/>
  <c r="F2335" i="6" s="1"/>
  <c r="E2300" i="6"/>
  <c r="F2300" i="6" s="1"/>
  <c r="E2332" i="6"/>
  <c r="F2332" i="6" s="1"/>
  <c r="E2299" i="6"/>
  <c r="F2299" i="6" s="1"/>
  <c r="E2327" i="6"/>
  <c r="F2327" i="6" s="1"/>
  <c r="E2311" i="6"/>
  <c r="F2311" i="6" s="1"/>
  <c r="E2352" i="6"/>
  <c r="F2352" i="6" s="1"/>
  <c r="E2330" i="6"/>
  <c r="F2330" i="6" s="1"/>
  <c r="E2310" i="6"/>
  <c r="F2310" i="6" s="1"/>
  <c r="E2309" i="6"/>
  <c r="F2309" i="6" s="1"/>
  <c r="E2323" i="6"/>
  <c r="F2323" i="6" s="1"/>
  <c r="E2314" i="6"/>
  <c r="F2314" i="6" s="1"/>
  <c r="E2340" i="6"/>
  <c r="F2340" i="6" s="1"/>
  <c r="E2313" i="6"/>
  <c r="F2313" i="6" s="1"/>
  <c r="E2337" i="6"/>
  <c r="F2337" i="6" s="1"/>
  <c r="E2333" i="6"/>
  <c r="F2333" i="6" s="1"/>
  <c r="E2357" i="6"/>
  <c r="F2357" i="6" s="1"/>
  <c r="E2356" i="6"/>
  <c r="F2356" i="6" s="1"/>
  <c r="E2324" i="6"/>
  <c r="F2324" i="6" s="1"/>
  <c r="E2355" i="6"/>
  <c r="F2355" i="6" s="1"/>
  <c r="E2343" i="6"/>
  <c r="F2343" i="6" s="1"/>
  <c r="E2304" i="6"/>
  <c r="F2304" i="6" s="1"/>
  <c r="E817" i="6"/>
  <c r="F817" i="6" s="1"/>
  <c r="E794" i="6"/>
  <c r="F794" i="6" s="1"/>
  <c r="E771" i="6"/>
  <c r="F771" i="6" s="1"/>
  <c r="E815" i="6"/>
  <c r="F815" i="6" s="1"/>
  <c r="E2328" i="6"/>
  <c r="F2328" i="6" s="1"/>
  <c r="E805" i="6"/>
  <c r="F805" i="6" s="1"/>
  <c r="E782" i="6"/>
  <c r="F782" i="6" s="1"/>
  <c r="E769" i="6"/>
  <c r="F769" i="6" s="1"/>
  <c r="E2326" i="6"/>
  <c r="F2326" i="6" s="1"/>
  <c r="E816" i="6"/>
  <c r="F816" i="6" s="1"/>
  <c r="E793" i="6"/>
  <c r="F793" i="6" s="1"/>
  <c r="E770" i="6"/>
  <c r="F770" i="6" s="1"/>
  <c r="E804" i="6"/>
  <c r="F804" i="6" s="1"/>
  <c r="E781" i="6"/>
  <c r="F781" i="6" s="1"/>
  <c r="E2325" i="6"/>
  <c r="F2325" i="6" s="1"/>
  <c r="E792" i="6"/>
  <c r="F792" i="6" s="1"/>
  <c r="E2305" i="6"/>
  <c r="F2305" i="6" s="1"/>
  <c r="E811" i="6"/>
  <c r="F811" i="6" s="1"/>
  <c r="E788" i="6"/>
  <c r="F788" i="6" s="1"/>
  <c r="E776" i="6"/>
  <c r="F776" i="6" s="1"/>
  <c r="E2351" i="6"/>
  <c r="F2351" i="6" s="1"/>
  <c r="E787" i="6"/>
  <c r="F787" i="6" s="1"/>
  <c r="E801" i="6"/>
  <c r="F801" i="6" s="1"/>
  <c r="E2347" i="6"/>
  <c r="F2347" i="6" s="1"/>
  <c r="E2297" i="6"/>
  <c r="F2297" i="6" s="1"/>
  <c r="E802" i="6"/>
  <c r="F802" i="6" s="1"/>
  <c r="E772" i="6"/>
  <c r="F772" i="6" s="1"/>
  <c r="E2345" i="6"/>
  <c r="F2345" i="6" s="1"/>
  <c r="E2346" i="6"/>
  <c r="F2346" i="6" s="1"/>
  <c r="E786" i="6"/>
  <c r="F786" i="6" s="1"/>
  <c r="E2344" i="6"/>
  <c r="F2344" i="6" s="1"/>
  <c r="E812" i="6"/>
  <c r="F812" i="6" s="1"/>
  <c r="E2317" i="6"/>
  <c r="F2317" i="6" s="1"/>
  <c r="E808" i="6"/>
  <c r="F808" i="6" s="1"/>
  <c r="E785" i="6"/>
  <c r="F785" i="6" s="1"/>
  <c r="E2298" i="6"/>
  <c r="F2298" i="6" s="1"/>
  <c r="E806" i="6"/>
  <c r="F806" i="6" s="1"/>
  <c r="E779" i="6"/>
  <c r="F779" i="6" s="1"/>
  <c r="E807" i="6"/>
  <c r="F807" i="6" s="1"/>
  <c r="E784" i="6"/>
  <c r="F784" i="6" s="1"/>
  <c r="E780" i="6"/>
  <c r="F780" i="6" s="1"/>
  <c r="E783" i="6"/>
  <c r="F783" i="6" s="1"/>
  <c r="E803" i="6"/>
  <c r="F803" i="6" s="1"/>
  <c r="E796" i="6"/>
  <c r="F796" i="6" s="1"/>
  <c r="E795" i="6"/>
  <c r="F795" i="6" s="1"/>
  <c r="E774" i="6"/>
  <c r="F774" i="6" s="1"/>
  <c r="E2354" i="6"/>
  <c r="F2354" i="6" s="1"/>
  <c r="E2342" i="6"/>
  <c r="F2342" i="6" s="1"/>
  <c r="E810" i="6"/>
  <c r="F810" i="6" s="1"/>
  <c r="E773" i="6"/>
  <c r="F773" i="6" s="1"/>
  <c r="E2319" i="6"/>
  <c r="F2319" i="6" s="1"/>
  <c r="E800" i="6"/>
  <c r="F800" i="6" s="1"/>
  <c r="E799" i="6"/>
  <c r="F799" i="6" s="1"/>
  <c r="E2312" i="6"/>
  <c r="F2312" i="6" s="1"/>
  <c r="E797" i="6"/>
  <c r="F797" i="6" s="1"/>
  <c r="E2302" i="6"/>
  <c r="F2302" i="6" s="1"/>
  <c r="E2341" i="6"/>
  <c r="F2341" i="6" s="1"/>
  <c r="E809" i="6"/>
  <c r="F809" i="6" s="1"/>
  <c r="E768" i="6"/>
  <c r="F768" i="6" s="1"/>
  <c r="E798" i="6"/>
  <c r="F798" i="6" s="1"/>
  <c r="E2331" i="6"/>
  <c r="F2331" i="6" s="1"/>
  <c r="E2303" i="6"/>
  <c r="F2303" i="6" s="1"/>
  <c r="E790" i="6"/>
  <c r="F790" i="6" s="1"/>
  <c r="E789" i="6"/>
  <c r="F789" i="6" s="1"/>
  <c r="E2360" i="6"/>
  <c r="F2360" i="6" s="1"/>
  <c r="E813" i="6"/>
  <c r="F813" i="6" s="1"/>
  <c r="E791" i="6"/>
  <c r="F791" i="6" s="1"/>
  <c r="E814" i="6"/>
  <c r="F814" i="6" s="1"/>
  <c r="E778" i="6"/>
  <c r="F778" i="6" s="1"/>
  <c r="E777" i="6"/>
  <c r="F777" i="6" s="1"/>
  <c r="E775" i="6"/>
  <c r="F775" i="6" s="1"/>
  <c r="S25" i="6"/>
  <c r="E286" i="6"/>
  <c r="F286" i="6" s="1"/>
  <c r="E288" i="6"/>
  <c r="F288" i="6" s="1"/>
  <c r="E287" i="6"/>
  <c r="F287" i="6" s="1"/>
  <c r="E290" i="6"/>
  <c r="F290" i="6" s="1"/>
  <c r="E69" i="10"/>
  <c r="E289" i="6"/>
  <c r="F289" i="6" s="1"/>
  <c r="P25" i="6"/>
  <c r="E2225" i="6"/>
  <c r="F2225" i="6" s="1"/>
  <c r="E2214" i="6"/>
  <c r="F2214" i="6" s="1"/>
  <c r="E2203" i="6"/>
  <c r="F2203" i="6" s="1"/>
  <c r="E2192" i="6"/>
  <c r="F2192" i="6" s="1"/>
  <c r="E2181" i="6"/>
  <c r="F2181" i="6" s="1"/>
  <c r="E2224" i="6"/>
  <c r="F2224" i="6" s="1"/>
  <c r="E2213" i="6"/>
  <c r="F2213" i="6" s="1"/>
  <c r="E2221" i="6"/>
  <c r="F2221" i="6" s="1"/>
  <c r="E2209" i="6"/>
  <c r="F2209" i="6" s="1"/>
  <c r="E2186" i="6"/>
  <c r="F2186" i="6" s="1"/>
  <c r="E2220" i="6"/>
  <c r="F2220" i="6" s="1"/>
  <c r="E2208" i="6"/>
  <c r="F2208" i="6" s="1"/>
  <c r="E2185" i="6"/>
  <c r="F2185" i="6" s="1"/>
  <c r="E2226" i="6"/>
  <c r="F2226" i="6" s="1"/>
  <c r="E2212" i="6"/>
  <c r="F2212" i="6" s="1"/>
  <c r="E2187" i="6"/>
  <c r="F2187" i="6" s="1"/>
  <c r="E2174" i="6"/>
  <c r="F2174" i="6" s="1"/>
  <c r="E2199" i="6"/>
  <c r="F2199" i="6" s="1"/>
  <c r="E2173" i="6"/>
  <c r="F2173" i="6" s="1"/>
  <c r="E24" i="10"/>
  <c r="E2198" i="6"/>
  <c r="F2198" i="6" s="1"/>
  <c r="E2172" i="6"/>
  <c r="F2172" i="6" s="1"/>
  <c r="E2193" i="6"/>
  <c r="F2193" i="6" s="1"/>
  <c r="E2180" i="6"/>
  <c r="F2180" i="6" s="1"/>
  <c r="E2168" i="6"/>
  <c r="F2168" i="6" s="1"/>
  <c r="E2202" i="6"/>
  <c r="F2202" i="6" s="1"/>
  <c r="E2217" i="6"/>
  <c r="F2217" i="6" s="1"/>
  <c r="E2170" i="6"/>
  <c r="F2170" i="6" s="1"/>
  <c r="E2231" i="6"/>
  <c r="F2231" i="6" s="1"/>
  <c r="E2216" i="6"/>
  <c r="F2216" i="6" s="1"/>
  <c r="E2169" i="6"/>
  <c r="F2169" i="6" s="1"/>
  <c r="E2227" i="6"/>
  <c r="F2227" i="6" s="1"/>
  <c r="E2194" i="6"/>
  <c r="F2194" i="6" s="1"/>
  <c r="E2190" i="6"/>
  <c r="F2190" i="6" s="1"/>
  <c r="E2171" i="6"/>
  <c r="F2171" i="6" s="1"/>
  <c r="E2228" i="6"/>
  <c r="F2228" i="6" s="1"/>
  <c r="E2207" i="6"/>
  <c r="F2207" i="6" s="1"/>
  <c r="E2206" i="6"/>
  <c r="F2206" i="6" s="1"/>
  <c r="E2219" i="6"/>
  <c r="F2219" i="6" s="1"/>
  <c r="E2215" i="6"/>
  <c r="F2215" i="6" s="1"/>
  <c r="E2167" i="6"/>
  <c r="F2167" i="6" s="1"/>
  <c r="E2191" i="6"/>
  <c r="F2191" i="6" s="1"/>
  <c r="E2210" i="6"/>
  <c r="F2210" i="6" s="1"/>
  <c r="E2184" i="6"/>
  <c r="F2184" i="6" s="1"/>
  <c r="E2183" i="6"/>
  <c r="F2183" i="6" s="1"/>
  <c r="E2189" i="6"/>
  <c r="F2189" i="6" s="1"/>
  <c r="E2188" i="6"/>
  <c r="F2188" i="6" s="1"/>
  <c r="E2182" i="6"/>
  <c r="F2182" i="6" s="1"/>
  <c r="E2204" i="6"/>
  <c r="F2204" i="6" s="1"/>
  <c r="E656" i="6"/>
  <c r="F656" i="6" s="1"/>
  <c r="E655" i="6"/>
  <c r="F655" i="6" s="1"/>
  <c r="E2197" i="6"/>
  <c r="F2197" i="6" s="1"/>
  <c r="E2201" i="6"/>
  <c r="F2201" i="6" s="1"/>
  <c r="E2200" i="6"/>
  <c r="F2200" i="6" s="1"/>
  <c r="E654" i="6"/>
  <c r="F654" i="6" s="1"/>
  <c r="E2223" i="6"/>
  <c r="F2223" i="6" s="1"/>
  <c r="E661" i="6"/>
  <c r="F661" i="6" s="1"/>
  <c r="E2230" i="6"/>
  <c r="F2230" i="6" s="1"/>
  <c r="E2178" i="6"/>
  <c r="F2178" i="6" s="1"/>
  <c r="E663" i="6"/>
  <c r="F663" i="6" s="1"/>
  <c r="E2176" i="6"/>
  <c r="F2176" i="6" s="1"/>
  <c r="E648" i="6"/>
  <c r="F648" i="6" s="1"/>
  <c r="E647" i="6"/>
  <c r="F647" i="6" s="1"/>
  <c r="E2229" i="6"/>
  <c r="F2229" i="6" s="1"/>
  <c r="E2177" i="6"/>
  <c r="F2177" i="6" s="1"/>
  <c r="E662" i="6"/>
  <c r="F662" i="6" s="1"/>
  <c r="E2205" i="6"/>
  <c r="F2205" i="6" s="1"/>
  <c r="E2196" i="6"/>
  <c r="F2196" i="6" s="1"/>
  <c r="E658" i="6"/>
  <c r="F658" i="6" s="1"/>
  <c r="E652" i="6"/>
  <c r="F652" i="6" s="1"/>
  <c r="E2195" i="6"/>
  <c r="F2195" i="6" s="1"/>
  <c r="E657" i="6"/>
  <c r="F657" i="6" s="1"/>
  <c r="E653" i="6"/>
  <c r="F653" i="6" s="1"/>
  <c r="E646" i="6"/>
  <c r="F646" i="6" s="1"/>
  <c r="E650" i="6"/>
  <c r="F650" i="6" s="1"/>
  <c r="E2211" i="6"/>
  <c r="F2211" i="6" s="1"/>
  <c r="E660" i="6"/>
  <c r="F660" i="6" s="1"/>
  <c r="E651" i="6"/>
  <c r="F651" i="6" s="1"/>
  <c r="E2179" i="6"/>
  <c r="F2179" i="6" s="1"/>
  <c r="E2175" i="6"/>
  <c r="F2175" i="6" s="1"/>
  <c r="E659" i="6"/>
  <c r="F659" i="6" s="1"/>
  <c r="E649" i="6"/>
  <c r="F649" i="6" s="1"/>
  <c r="E2222" i="6"/>
  <c r="F2222" i="6" s="1"/>
  <c r="E2218" i="6"/>
  <c r="F2218" i="6" s="1"/>
  <c r="L25" i="6"/>
  <c r="Q25" i="6"/>
  <c r="N25" i="6"/>
  <c r="O25" i="6"/>
  <c r="L31" i="6" s="1"/>
  <c r="I5" i="4" s="1"/>
  <c r="E49" i="10"/>
  <c r="E2293" i="6"/>
  <c r="F2293" i="6" s="1"/>
  <c r="E2270" i="6"/>
  <c r="F2270" i="6" s="1"/>
  <c r="E2292" i="6"/>
  <c r="F2292" i="6" s="1"/>
  <c r="E2269" i="6"/>
  <c r="F2269" i="6" s="1"/>
  <c r="E2296" i="6"/>
  <c r="F2296" i="6" s="1"/>
  <c r="E2271" i="6"/>
  <c r="F2271" i="6" s="1"/>
  <c r="E2295" i="6"/>
  <c r="F2295" i="6" s="1"/>
  <c r="E2294" i="6"/>
  <c r="F2294" i="6" s="1"/>
  <c r="E2279" i="6"/>
  <c r="F2279" i="6" s="1"/>
  <c r="E2287" i="6"/>
  <c r="F2287" i="6" s="1"/>
  <c r="E2285" i="6"/>
  <c r="F2285" i="6" s="1"/>
  <c r="E2283" i="6"/>
  <c r="F2283" i="6" s="1"/>
  <c r="E2289" i="6"/>
  <c r="F2289" i="6" s="1"/>
  <c r="E2278" i="6"/>
  <c r="F2278" i="6" s="1"/>
  <c r="E2290" i="6"/>
  <c r="F2290" i="6" s="1"/>
  <c r="E2288" i="6"/>
  <c r="F2288" i="6" s="1"/>
  <c r="E2284" i="6"/>
  <c r="F2284" i="6" s="1"/>
  <c r="E2282" i="6"/>
  <c r="F2282" i="6" s="1"/>
  <c r="E2281" i="6"/>
  <c r="F2281" i="6" s="1"/>
  <c r="E2291" i="6"/>
  <c r="F2291" i="6" s="1"/>
  <c r="E2286" i="6"/>
  <c r="F2286" i="6" s="1"/>
  <c r="E2273" i="6"/>
  <c r="F2273" i="6" s="1"/>
  <c r="E748" i="6"/>
  <c r="F748" i="6" s="1"/>
  <c r="E725" i="6"/>
  <c r="F725" i="6" s="1"/>
  <c r="E746" i="6"/>
  <c r="F746" i="6" s="1"/>
  <c r="E759" i="6"/>
  <c r="F759" i="6" s="1"/>
  <c r="E736" i="6"/>
  <c r="F736" i="6" s="1"/>
  <c r="E2280" i="6"/>
  <c r="F2280" i="6" s="1"/>
  <c r="E747" i="6"/>
  <c r="F747" i="6" s="1"/>
  <c r="E724" i="6"/>
  <c r="F724" i="6" s="1"/>
  <c r="E2277" i="6"/>
  <c r="F2277" i="6" s="1"/>
  <c r="E758" i="6"/>
  <c r="F758" i="6" s="1"/>
  <c r="E735" i="6"/>
  <c r="F735" i="6" s="1"/>
  <c r="E723" i="6"/>
  <c r="F723" i="6" s="1"/>
  <c r="E2268" i="6"/>
  <c r="F2268" i="6" s="1"/>
  <c r="E753" i="6"/>
  <c r="F753" i="6" s="1"/>
  <c r="E730" i="6"/>
  <c r="F730" i="6" s="1"/>
  <c r="E740" i="6"/>
  <c r="F740" i="6" s="1"/>
  <c r="E755" i="6"/>
  <c r="F755" i="6" s="1"/>
  <c r="E2276" i="6"/>
  <c r="F2276" i="6" s="1"/>
  <c r="E754" i="6"/>
  <c r="F754" i="6" s="1"/>
  <c r="E739" i="6"/>
  <c r="F739" i="6" s="1"/>
  <c r="E722" i="6"/>
  <c r="F722" i="6" s="1"/>
  <c r="E721" i="6"/>
  <c r="F721" i="6" s="1"/>
  <c r="E764" i="6"/>
  <c r="F764" i="6" s="1"/>
  <c r="E732" i="6"/>
  <c r="F732" i="6" s="1"/>
  <c r="E717" i="6"/>
  <c r="F717" i="6" s="1"/>
  <c r="E763" i="6"/>
  <c r="F763" i="6" s="1"/>
  <c r="E731" i="6"/>
  <c r="F731" i="6" s="1"/>
  <c r="E716" i="6"/>
  <c r="F716" i="6" s="1"/>
  <c r="E742" i="6"/>
  <c r="F742" i="6" s="1"/>
  <c r="E719" i="6"/>
  <c r="F719" i="6" s="1"/>
  <c r="E738" i="6"/>
  <c r="F738" i="6" s="1"/>
  <c r="E715" i="6"/>
  <c r="F715" i="6" s="1"/>
  <c r="E2275" i="6"/>
  <c r="F2275" i="6" s="1"/>
  <c r="E762" i="6"/>
  <c r="F762" i="6" s="1"/>
  <c r="E741" i="6"/>
  <c r="F741" i="6" s="1"/>
  <c r="E718" i="6"/>
  <c r="F718" i="6" s="1"/>
  <c r="E761" i="6"/>
  <c r="F761" i="6" s="1"/>
  <c r="E737" i="6"/>
  <c r="F737" i="6" s="1"/>
  <c r="E2274" i="6"/>
  <c r="F2274" i="6" s="1"/>
  <c r="E2272" i="6"/>
  <c r="F2272" i="6" s="1"/>
  <c r="E760" i="6"/>
  <c r="F760" i="6" s="1"/>
  <c r="E751" i="6"/>
  <c r="F751" i="6" s="1"/>
  <c r="E729" i="6"/>
  <c r="F729" i="6" s="1"/>
  <c r="E727" i="6"/>
  <c r="F727" i="6" s="1"/>
  <c r="E757" i="6"/>
  <c r="F757" i="6" s="1"/>
  <c r="E733" i="6"/>
  <c r="F733" i="6" s="1"/>
  <c r="E766" i="6"/>
  <c r="F766" i="6" s="1"/>
  <c r="E756" i="6"/>
  <c r="F756" i="6" s="1"/>
  <c r="E767" i="6"/>
  <c r="F767" i="6" s="1"/>
  <c r="E728" i="6"/>
  <c r="F728" i="6" s="1"/>
  <c r="E765" i="6"/>
  <c r="F765" i="6" s="1"/>
  <c r="E726" i="6"/>
  <c r="F726" i="6" s="1"/>
  <c r="E752" i="6"/>
  <c r="F752" i="6" s="1"/>
  <c r="E750" i="6"/>
  <c r="F750" i="6" s="1"/>
  <c r="E749" i="6"/>
  <c r="F749" i="6" s="1"/>
  <c r="E745" i="6"/>
  <c r="F745" i="6" s="1"/>
  <c r="E720" i="6"/>
  <c r="F720" i="6" s="1"/>
  <c r="E744" i="6"/>
  <c r="F744" i="6" s="1"/>
  <c r="E743" i="6"/>
  <c r="F743" i="6" s="1"/>
  <c r="E734" i="6"/>
  <c r="F734" i="6" s="1"/>
  <c r="M25" i="6"/>
  <c r="E61" i="10"/>
  <c r="E2385" i="6"/>
  <c r="F2385" i="6" s="1"/>
  <c r="E2362" i="6"/>
  <c r="F2362" i="6" s="1"/>
  <c r="E2384" i="6"/>
  <c r="F2384" i="6" s="1"/>
  <c r="E2383" i="6"/>
  <c r="F2383" i="6" s="1"/>
  <c r="E2378" i="6"/>
  <c r="F2378" i="6" s="1"/>
  <c r="E2364" i="6"/>
  <c r="F2364" i="6" s="1"/>
  <c r="E2377" i="6"/>
  <c r="F2377" i="6" s="1"/>
  <c r="E2390" i="6"/>
  <c r="F2390" i="6" s="1"/>
  <c r="E2376" i="6"/>
  <c r="F2376" i="6" s="1"/>
  <c r="E2370" i="6"/>
  <c r="F2370" i="6" s="1"/>
  <c r="E2387" i="6"/>
  <c r="F2387" i="6" s="1"/>
  <c r="E2369" i="6"/>
  <c r="F2369" i="6" s="1"/>
  <c r="E2379" i="6"/>
  <c r="F2379" i="6" s="1"/>
  <c r="E2374" i="6"/>
  <c r="F2374" i="6" s="1"/>
  <c r="E2373" i="6"/>
  <c r="F2373" i="6" s="1"/>
  <c r="E2371" i="6"/>
  <c r="F2371" i="6" s="1"/>
  <c r="E2382" i="6"/>
  <c r="F2382" i="6" s="1"/>
  <c r="E2363" i="6"/>
  <c r="F2363" i="6" s="1"/>
  <c r="E2365" i="6"/>
  <c r="F2365" i="6" s="1"/>
  <c r="E2389" i="6"/>
  <c r="F2389" i="6" s="1"/>
  <c r="E2386" i="6"/>
  <c r="F2386" i="6" s="1"/>
  <c r="E2375" i="6"/>
  <c r="F2375" i="6" s="1"/>
  <c r="E840" i="6"/>
  <c r="F840" i="6" s="1"/>
  <c r="E828" i="6"/>
  <c r="F828" i="6" s="1"/>
  <c r="E2368" i="6"/>
  <c r="F2368" i="6" s="1"/>
  <c r="E838" i="6"/>
  <c r="F838" i="6" s="1"/>
  <c r="E2372" i="6"/>
  <c r="F2372" i="6" s="1"/>
  <c r="E839" i="6"/>
  <c r="F839" i="6" s="1"/>
  <c r="E827" i="6"/>
  <c r="F827" i="6" s="1"/>
  <c r="E2367" i="6"/>
  <c r="F2367" i="6" s="1"/>
  <c r="E834" i="6"/>
  <c r="F834" i="6" s="1"/>
  <c r="E835" i="6"/>
  <c r="F835" i="6" s="1"/>
  <c r="E819" i="6"/>
  <c r="F819" i="6" s="1"/>
  <c r="E818" i="6"/>
  <c r="F818" i="6" s="1"/>
  <c r="E833" i="6"/>
  <c r="F833" i="6" s="1"/>
  <c r="E844" i="6"/>
  <c r="F844" i="6" s="1"/>
  <c r="E829" i="6"/>
  <c r="F829" i="6" s="1"/>
  <c r="E843" i="6"/>
  <c r="F843" i="6" s="1"/>
  <c r="E2380" i="6"/>
  <c r="F2380" i="6" s="1"/>
  <c r="E2388" i="6"/>
  <c r="F2388" i="6" s="1"/>
  <c r="E830" i="6"/>
  <c r="F830" i="6" s="1"/>
  <c r="E2381" i="6"/>
  <c r="F2381" i="6" s="1"/>
  <c r="E2366" i="6"/>
  <c r="F2366" i="6" s="1"/>
  <c r="E824" i="6"/>
  <c r="F824" i="6" s="1"/>
  <c r="E826" i="6"/>
  <c r="F826" i="6" s="1"/>
  <c r="E825" i="6"/>
  <c r="F825" i="6" s="1"/>
  <c r="E841" i="6"/>
  <c r="F841" i="6" s="1"/>
  <c r="E837" i="6"/>
  <c r="F837" i="6" s="1"/>
  <c r="E842" i="6"/>
  <c r="F842" i="6" s="1"/>
  <c r="E836" i="6"/>
  <c r="F836" i="6" s="1"/>
  <c r="E832" i="6"/>
  <c r="F832" i="6" s="1"/>
  <c r="E823" i="6"/>
  <c r="F823" i="6" s="1"/>
  <c r="E822" i="6"/>
  <c r="F822" i="6" s="1"/>
  <c r="E820" i="6"/>
  <c r="F820" i="6" s="1"/>
  <c r="E831" i="6"/>
  <c r="F831" i="6" s="1"/>
  <c r="E821" i="6"/>
  <c r="F821" i="6" s="1"/>
  <c r="E626" i="6" l="1"/>
  <c r="F626" i="6" s="1"/>
  <c r="E624" i="6"/>
  <c r="F624" i="6" s="1"/>
  <c r="E627" i="6"/>
  <c r="F627" i="6" s="1"/>
  <c r="E612" i="6"/>
  <c r="F612" i="6" s="1"/>
  <c r="E613" i="6"/>
  <c r="F613" i="6" s="1"/>
  <c r="E610" i="6"/>
  <c r="F610" i="6" s="1"/>
  <c r="E611" i="6"/>
  <c r="F611" i="6" s="1"/>
  <c r="E630" i="6"/>
  <c r="F630" i="6" s="1"/>
  <c r="E616" i="6"/>
  <c r="F616" i="6" s="1"/>
  <c r="E629" i="6"/>
  <c r="F629" i="6" s="1"/>
  <c r="E628" i="6"/>
  <c r="F628" i="6" s="1"/>
  <c r="E617" i="6"/>
  <c r="F617" i="6" s="1"/>
  <c r="E621" i="6"/>
  <c r="F621" i="6" s="1"/>
  <c r="E609" i="6"/>
  <c r="F609" i="6" s="1"/>
  <c r="E631" i="6"/>
  <c r="F631" i="6" s="1"/>
  <c r="E620" i="6"/>
  <c r="F620" i="6" s="1"/>
  <c r="E608" i="6"/>
  <c r="F608" i="6" s="1"/>
  <c r="E619" i="6"/>
  <c r="F619" i="6" s="1"/>
  <c r="E41" i="10"/>
  <c r="E622" i="6"/>
  <c r="F622" i="6" s="1"/>
  <c r="E614" i="6"/>
  <c r="F614" i="6" s="1"/>
  <c r="E625" i="6"/>
  <c r="F625" i="6" s="1"/>
  <c r="E615" i="6"/>
  <c r="F615" i="6" s="1"/>
  <c r="E623" i="6"/>
  <c r="F623" i="6" s="1"/>
  <c r="E618" i="6"/>
  <c r="F618" i="6" s="1"/>
  <c r="E13" i="10"/>
  <c r="E2442" i="6"/>
  <c r="F2442" i="6" s="1"/>
  <c r="E2440" i="6"/>
  <c r="F2440" i="6" s="1"/>
  <c r="E2445" i="6"/>
  <c r="F2445" i="6" s="1"/>
  <c r="E2438" i="6"/>
  <c r="F2438" i="6" s="1"/>
  <c r="E2437" i="6"/>
  <c r="F2437" i="6" s="1"/>
  <c r="E2436" i="6"/>
  <c r="F2436" i="6" s="1"/>
  <c r="E2443" i="6"/>
  <c r="F2443" i="6" s="1"/>
  <c r="E2439" i="6"/>
  <c r="F2439" i="6" s="1"/>
  <c r="E2441" i="6"/>
  <c r="F2441" i="6" s="1"/>
  <c r="E2444" i="6"/>
  <c r="F2444" i="6" s="1"/>
  <c r="L30" i="6"/>
  <c r="L33" i="6"/>
  <c r="E2604" i="6"/>
  <c r="F2604" i="6" s="1"/>
  <c r="E2603" i="6"/>
  <c r="F2603" i="6" s="1"/>
  <c r="E2613" i="6"/>
  <c r="F2613" i="6" s="1"/>
  <c r="E2588" i="6"/>
  <c r="F2588" i="6" s="1"/>
  <c r="E2600" i="6"/>
  <c r="F2600" i="6" s="1"/>
  <c r="E2599" i="6"/>
  <c r="F2599" i="6" s="1"/>
  <c r="E2586" i="6"/>
  <c r="F2586" i="6" s="1"/>
  <c r="E2620" i="6"/>
  <c r="F2620" i="6" s="1"/>
  <c r="E2607" i="6"/>
  <c r="F2607" i="6" s="1"/>
  <c r="E2591" i="6"/>
  <c r="F2591" i="6" s="1"/>
  <c r="E2606" i="6"/>
  <c r="F2606" i="6" s="1"/>
  <c r="E25" i="10"/>
  <c r="E2605" i="6"/>
  <c r="F2605" i="6" s="1"/>
  <c r="E2615" i="6"/>
  <c r="F2615" i="6" s="1"/>
  <c r="E2590" i="6"/>
  <c r="F2590" i="6" s="1"/>
  <c r="E2609" i="6"/>
  <c r="F2609" i="6" s="1"/>
  <c r="E2589" i="6"/>
  <c r="F2589" i="6" s="1"/>
  <c r="E2587" i="6"/>
  <c r="F2587" i="6" s="1"/>
  <c r="E2618" i="6"/>
  <c r="F2618" i="6" s="1"/>
  <c r="E2596" i="6"/>
  <c r="F2596" i="6" s="1"/>
  <c r="E2617" i="6"/>
  <c r="F2617" i="6" s="1"/>
  <c r="E2595" i="6"/>
  <c r="F2595" i="6" s="1"/>
  <c r="E2594" i="6"/>
  <c r="F2594" i="6" s="1"/>
  <c r="E2616" i="6"/>
  <c r="F2616" i="6" s="1"/>
  <c r="E1086" i="6"/>
  <c r="F1086" i="6" s="1"/>
  <c r="E1075" i="6"/>
  <c r="F1075" i="6" s="1"/>
  <c r="E1064" i="6"/>
  <c r="F1064" i="6" s="1"/>
  <c r="E1053" i="6"/>
  <c r="F1053" i="6" s="1"/>
  <c r="E1042" i="6"/>
  <c r="F1042" i="6" s="1"/>
  <c r="E2608" i="6"/>
  <c r="F2608" i="6" s="1"/>
  <c r="E1069" i="6"/>
  <c r="F1069" i="6" s="1"/>
  <c r="E1046" i="6"/>
  <c r="F1046" i="6" s="1"/>
  <c r="E2601" i="6"/>
  <c r="F2601" i="6" s="1"/>
  <c r="E2598" i="6"/>
  <c r="F2598" i="6" s="1"/>
  <c r="E2610" i="6"/>
  <c r="F2610" i="6" s="1"/>
  <c r="E1083" i="6"/>
  <c r="F1083" i="6" s="1"/>
  <c r="E1071" i="6"/>
  <c r="F1071" i="6" s="1"/>
  <c r="E1059" i="6"/>
  <c r="F1059" i="6" s="1"/>
  <c r="E1047" i="6"/>
  <c r="F1047" i="6" s="1"/>
  <c r="E2602" i="6"/>
  <c r="F2602" i="6" s="1"/>
  <c r="E1082" i="6"/>
  <c r="F1082" i="6" s="1"/>
  <c r="E1070" i="6"/>
  <c r="F1070" i="6" s="1"/>
  <c r="E1058" i="6"/>
  <c r="F1058" i="6" s="1"/>
  <c r="E1068" i="6"/>
  <c r="F1068" i="6" s="1"/>
  <c r="E1055" i="6"/>
  <c r="F1055" i="6" s="1"/>
  <c r="E1040" i="6"/>
  <c r="F1040" i="6" s="1"/>
  <c r="E1081" i="6"/>
  <c r="F1081" i="6" s="1"/>
  <c r="E1041" i="6"/>
  <c r="F1041" i="6" s="1"/>
  <c r="E1080" i="6"/>
  <c r="F1080" i="6" s="1"/>
  <c r="E1067" i="6"/>
  <c r="F1067" i="6" s="1"/>
  <c r="E1054" i="6"/>
  <c r="F1054" i="6" s="1"/>
  <c r="E2621" i="6"/>
  <c r="F2621" i="6" s="1"/>
  <c r="E2597" i="6"/>
  <c r="F2597" i="6" s="1"/>
  <c r="E1062" i="6"/>
  <c r="F1062" i="6" s="1"/>
  <c r="E1049" i="6"/>
  <c r="F1049" i="6" s="1"/>
  <c r="E1085" i="6"/>
  <c r="F1085" i="6" s="1"/>
  <c r="E1065" i="6"/>
  <c r="F1065" i="6" s="1"/>
  <c r="E1048" i="6"/>
  <c r="F1048" i="6" s="1"/>
  <c r="E1084" i="6"/>
  <c r="F1084" i="6" s="1"/>
  <c r="E2611" i="6"/>
  <c r="F2611" i="6" s="1"/>
  <c r="E1057" i="6"/>
  <c r="F1057" i="6" s="1"/>
  <c r="E2614" i="6"/>
  <c r="F2614" i="6" s="1"/>
  <c r="E1063" i="6"/>
  <c r="F1063" i="6" s="1"/>
  <c r="E2612" i="6"/>
  <c r="F2612" i="6" s="1"/>
  <c r="E1089" i="6"/>
  <c r="F1089" i="6" s="1"/>
  <c r="E1088" i="6"/>
  <c r="F1088" i="6" s="1"/>
  <c r="E2585" i="6"/>
  <c r="F2585" i="6" s="1"/>
  <c r="E2593" i="6"/>
  <c r="F2593" i="6" s="1"/>
  <c r="E1061" i="6"/>
  <c r="F1061" i="6" s="1"/>
  <c r="E2592" i="6"/>
  <c r="F2592" i="6" s="1"/>
  <c r="E1087" i="6"/>
  <c r="F1087" i="6" s="1"/>
  <c r="E1060" i="6"/>
  <c r="F1060" i="6" s="1"/>
  <c r="E1076" i="6"/>
  <c r="F1076" i="6" s="1"/>
  <c r="E1051" i="6"/>
  <c r="F1051" i="6" s="1"/>
  <c r="E1074" i="6"/>
  <c r="F1074" i="6" s="1"/>
  <c r="E1066" i="6"/>
  <c r="F1066" i="6" s="1"/>
  <c r="E1045" i="6"/>
  <c r="F1045" i="6" s="1"/>
  <c r="E1090" i="6"/>
  <c r="F1090" i="6" s="1"/>
  <c r="E1052" i="6"/>
  <c r="F1052" i="6" s="1"/>
  <c r="E1050" i="6"/>
  <c r="F1050" i="6" s="1"/>
  <c r="E1056" i="6"/>
  <c r="F1056" i="6" s="1"/>
  <c r="E2619" i="6"/>
  <c r="F2619" i="6" s="1"/>
  <c r="E1078" i="6"/>
  <c r="F1078" i="6" s="1"/>
  <c r="E1043" i="6"/>
  <c r="F1043" i="6" s="1"/>
  <c r="E1077" i="6"/>
  <c r="F1077" i="6" s="1"/>
  <c r="E1044" i="6"/>
  <c r="F1044" i="6" s="1"/>
  <c r="E1072" i="6"/>
  <c r="F1072" i="6" s="1"/>
  <c r="E1079" i="6"/>
  <c r="F1079" i="6" s="1"/>
  <c r="E1073" i="6"/>
  <c r="F1073" i="6" s="1"/>
  <c r="E70" i="10"/>
  <c r="E1133" i="6"/>
  <c r="F1133" i="6" s="1"/>
  <c r="E1110" i="6"/>
  <c r="F1110" i="6" s="1"/>
  <c r="E1132" i="6"/>
  <c r="F1132" i="6" s="1"/>
  <c r="E1109" i="6"/>
  <c r="F1109" i="6" s="1"/>
  <c r="E2685" i="6"/>
  <c r="F2685" i="6" s="1"/>
  <c r="E1130" i="6"/>
  <c r="F1130" i="6" s="1"/>
  <c r="E1129" i="6"/>
  <c r="F1129" i="6" s="1"/>
  <c r="E1120" i="6"/>
  <c r="F1120" i="6" s="1"/>
  <c r="E1119" i="6"/>
  <c r="F1119" i="6" s="1"/>
  <c r="E2686" i="6"/>
  <c r="F2686" i="6" s="1"/>
  <c r="E1124" i="6"/>
  <c r="F1124" i="6" s="1"/>
  <c r="E1138" i="6"/>
  <c r="F1138" i="6" s="1"/>
  <c r="E1106" i="6"/>
  <c r="F1106" i="6" s="1"/>
  <c r="E1123" i="6"/>
  <c r="F1123" i="6" s="1"/>
  <c r="E1108" i="6"/>
  <c r="F1108" i="6" s="1"/>
  <c r="E1137" i="6"/>
  <c r="F1137" i="6" s="1"/>
  <c r="E1107" i="6"/>
  <c r="F1107" i="6" s="1"/>
  <c r="E1122" i="6"/>
  <c r="F1122" i="6" s="1"/>
  <c r="E1115" i="6"/>
  <c r="F1115" i="6" s="1"/>
  <c r="E1118" i="6"/>
  <c r="F1118" i="6" s="1"/>
  <c r="E1116" i="6"/>
  <c r="F1116" i="6" s="1"/>
  <c r="E1117" i="6"/>
  <c r="F1117" i="6" s="1"/>
  <c r="E1131" i="6"/>
  <c r="F1131" i="6" s="1"/>
  <c r="E1112" i="6"/>
  <c r="F1112" i="6" s="1"/>
  <c r="E1128" i="6"/>
  <c r="F1128" i="6" s="1"/>
  <c r="E1111" i="6"/>
  <c r="F1111" i="6" s="1"/>
  <c r="E1135" i="6"/>
  <c r="F1135" i="6" s="1"/>
  <c r="E1105" i="6"/>
  <c r="F1105" i="6" s="1"/>
  <c r="E1134" i="6"/>
  <c r="F1134" i="6" s="1"/>
  <c r="E1121" i="6"/>
  <c r="F1121" i="6" s="1"/>
  <c r="E1126" i="6"/>
  <c r="F1126" i="6" s="1"/>
  <c r="E1136" i="6"/>
  <c r="F1136" i="6" s="1"/>
  <c r="E1127" i="6"/>
  <c r="F1127" i="6" s="1"/>
  <c r="E1125" i="6"/>
  <c r="F1125" i="6" s="1"/>
  <c r="E1113" i="6"/>
  <c r="F1113" i="6" s="1"/>
  <c r="E1114" i="6"/>
  <c r="F1114" i="6" s="1"/>
  <c r="E2812" i="6"/>
  <c r="F2812" i="6" s="1"/>
  <c r="E2789" i="6"/>
  <c r="F2789" i="6" s="1"/>
  <c r="E2800" i="6"/>
  <c r="F2800" i="6" s="1"/>
  <c r="E2777" i="6"/>
  <c r="F2777" i="6" s="1"/>
  <c r="E2799" i="6"/>
  <c r="F2799" i="6" s="1"/>
  <c r="E2776" i="6"/>
  <c r="F2776" i="6" s="1"/>
  <c r="E2795" i="6"/>
  <c r="F2795" i="6" s="1"/>
  <c r="E2782" i="6"/>
  <c r="F2782" i="6" s="1"/>
  <c r="E2808" i="6"/>
  <c r="F2808" i="6" s="1"/>
  <c r="E2794" i="6"/>
  <c r="F2794" i="6" s="1"/>
  <c r="E2781" i="6"/>
  <c r="F2781" i="6" s="1"/>
  <c r="E2806" i="6"/>
  <c r="F2806" i="6" s="1"/>
  <c r="E2793" i="6"/>
  <c r="F2793" i="6" s="1"/>
  <c r="E2780" i="6"/>
  <c r="F2780" i="6" s="1"/>
  <c r="E2815" i="6"/>
  <c r="F2815" i="6" s="1"/>
  <c r="E2802" i="6"/>
  <c r="F2802" i="6" s="1"/>
  <c r="E2788" i="6"/>
  <c r="F2788" i="6" s="1"/>
  <c r="E2813" i="6"/>
  <c r="F2813" i="6" s="1"/>
  <c r="E2796" i="6"/>
  <c r="F2796" i="6" s="1"/>
  <c r="E2778" i="6"/>
  <c r="F2778" i="6" s="1"/>
  <c r="E2811" i="6"/>
  <c r="F2811" i="6" s="1"/>
  <c r="E2804" i="6"/>
  <c r="F2804" i="6" s="1"/>
  <c r="E2805" i="6"/>
  <c r="F2805" i="6" s="1"/>
  <c r="E2785" i="6"/>
  <c r="F2785" i="6" s="1"/>
  <c r="E2775" i="6"/>
  <c r="F2775" i="6" s="1"/>
  <c r="E1283" i="6"/>
  <c r="F1283" i="6" s="1"/>
  <c r="E1260" i="6"/>
  <c r="F1260" i="6" s="1"/>
  <c r="E2801" i="6"/>
  <c r="F2801" i="6" s="1"/>
  <c r="E1271" i="6"/>
  <c r="F1271" i="6" s="1"/>
  <c r="E1248" i="6"/>
  <c r="F1248" i="6" s="1"/>
  <c r="E1270" i="6"/>
  <c r="F1270" i="6" s="1"/>
  <c r="E1247" i="6"/>
  <c r="F1247" i="6" s="1"/>
  <c r="E2790" i="6"/>
  <c r="F2790" i="6" s="1"/>
  <c r="E1244" i="6"/>
  <c r="F1244" i="6" s="1"/>
  <c r="E2814" i="6"/>
  <c r="F2814" i="6" s="1"/>
  <c r="E1284" i="6"/>
  <c r="F1284" i="6" s="1"/>
  <c r="E1269" i="6"/>
  <c r="F1269" i="6" s="1"/>
  <c r="E1256" i="6"/>
  <c r="F1256" i="6" s="1"/>
  <c r="E2779" i="6"/>
  <c r="F2779" i="6" s="1"/>
  <c r="E2809" i="6"/>
  <c r="F2809" i="6" s="1"/>
  <c r="E2807" i="6"/>
  <c r="F2807" i="6" s="1"/>
  <c r="E2784" i="6"/>
  <c r="F2784" i="6" s="1"/>
  <c r="E1275" i="6"/>
  <c r="F1275" i="6" s="1"/>
  <c r="E2783" i="6"/>
  <c r="F2783" i="6" s="1"/>
  <c r="E1274" i="6"/>
  <c r="F1274" i="6" s="1"/>
  <c r="E1258" i="6"/>
  <c r="F1258" i="6" s="1"/>
  <c r="E2803" i="6"/>
  <c r="F2803" i="6" s="1"/>
  <c r="E2791" i="6"/>
  <c r="F2791" i="6" s="1"/>
  <c r="E1282" i="6"/>
  <c r="F1282" i="6" s="1"/>
  <c r="E1281" i="6"/>
  <c r="F1281" i="6" s="1"/>
  <c r="E1265" i="6"/>
  <c r="F1265" i="6" s="1"/>
  <c r="E1249" i="6"/>
  <c r="F1249" i="6" s="1"/>
  <c r="E2786" i="6"/>
  <c r="F2786" i="6" s="1"/>
  <c r="E1280" i="6"/>
  <c r="F1280" i="6" s="1"/>
  <c r="E2787" i="6"/>
  <c r="F2787" i="6" s="1"/>
  <c r="E1264" i="6"/>
  <c r="F1264" i="6" s="1"/>
  <c r="E1279" i="6"/>
  <c r="F1279" i="6" s="1"/>
  <c r="E1273" i="6"/>
  <c r="F1273" i="6" s="1"/>
  <c r="E1251" i="6"/>
  <c r="F1251" i="6" s="1"/>
  <c r="E1268" i="6"/>
  <c r="F1268" i="6" s="1"/>
  <c r="E1272" i="6"/>
  <c r="F1272" i="6" s="1"/>
  <c r="E1250" i="6"/>
  <c r="F1250" i="6" s="1"/>
  <c r="E1245" i="6"/>
  <c r="F1245" i="6" s="1"/>
  <c r="E1246" i="6"/>
  <c r="F1246" i="6" s="1"/>
  <c r="E1243" i="6"/>
  <c r="F1243" i="6" s="1"/>
  <c r="E2810" i="6"/>
  <c r="F2810" i="6" s="1"/>
  <c r="E1262" i="6"/>
  <c r="F1262" i="6" s="1"/>
  <c r="E1239" i="6"/>
  <c r="F1239" i="6" s="1"/>
  <c r="E2798" i="6"/>
  <c r="F2798" i="6" s="1"/>
  <c r="E1259" i="6"/>
  <c r="F1259" i="6" s="1"/>
  <c r="E2797" i="6"/>
  <c r="F2797" i="6" s="1"/>
  <c r="E1261" i="6"/>
  <c r="F1261" i="6" s="1"/>
  <c r="E1254" i="6"/>
  <c r="F1254" i="6" s="1"/>
  <c r="E1257" i="6"/>
  <c r="F1257" i="6" s="1"/>
  <c r="E1255" i="6"/>
  <c r="F1255" i="6" s="1"/>
  <c r="E1242" i="6"/>
  <c r="F1242" i="6" s="1"/>
  <c r="E1277" i="6"/>
  <c r="F1277" i="6" s="1"/>
  <c r="E2792" i="6"/>
  <c r="F2792" i="6" s="1"/>
  <c r="E1241" i="6"/>
  <c r="F1241" i="6" s="1"/>
  <c r="E1236" i="6"/>
  <c r="F1236" i="6" s="1"/>
  <c r="E1235" i="6"/>
  <c r="F1235" i="6" s="1"/>
  <c r="E1240" i="6"/>
  <c r="F1240" i="6" s="1"/>
  <c r="E1287" i="6"/>
  <c r="F1287" i="6" s="1"/>
  <c r="E1286" i="6"/>
  <c r="F1286" i="6" s="1"/>
  <c r="E1238" i="6"/>
  <c r="F1238" i="6" s="1"/>
  <c r="E1278" i="6"/>
  <c r="F1278" i="6" s="1"/>
  <c r="E1276" i="6"/>
  <c r="F1276" i="6" s="1"/>
  <c r="E1237" i="6"/>
  <c r="F1237" i="6" s="1"/>
  <c r="E1285" i="6"/>
  <c r="F1285" i="6" s="1"/>
  <c r="E1267" i="6"/>
  <c r="F1267" i="6" s="1"/>
  <c r="E1266" i="6"/>
  <c r="F1266" i="6" s="1"/>
  <c r="E1252" i="6"/>
  <c r="F1252" i="6" s="1"/>
  <c r="E1263" i="6"/>
  <c r="F1263" i="6" s="1"/>
  <c r="E1253" i="6"/>
  <c r="F1253" i="6" s="1"/>
  <c r="E2816" i="6"/>
  <c r="F2816" i="6" s="1"/>
  <c r="L32" i="6"/>
  <c r="L28" i="6"/>
  <c r="I2" i="4" s="1"/>
  <c r="L34" i="6"/>
  <c r="E62" i="10"/>
  <c r="E2431" i="6"/>
  <c r="F2431" i="6" s="1"/>
  <c r="E2430" i="6"/>
  <c r="F2430" i="6" s="1"/>
  <c r="E2429" i="6"/>
  <c r="F2429" i="6" s="1"/>
  <c r="E2433" i="6"/>
  <c r="F2433" i="6" s="1"/>
  <c r="E2428" i="6"/>
  <c r="F2428" i="6" s="1"/>
  <c r="E909" i="6"/>
  <c r="F909" i="6" s="1"/>
  <c r="E908" i="6"/>
  <c r="F908" i="6" s="1"/>
  <c r="E907" i="6"/>
  <c r="F907" i="6" s="1"/>
  <c r="E903" i="6"/>
  <c r="F903" i="6" s="1"/>
  <c r="E906" i="6"/>
  <c r="F906" i="6" s="1"/>
  <c r="E905" i="6"/>
  <c r="F905" i="6" s="1"/>
  <c r="E2434" i="6"/>
  <c r="F2434" i="6" s="1"/>
  <c r="E904" i="6"/>
  <c r="F904" i="6" s="1"/>
  <c r="E2432" i="6"/>
  <c r="F2432" i="6" s="1"/>
  <c r="E2427" i="6"/>
  <c r="F2427" i="6" s="1"/>
  <c r="E902" i="6"/>
  <c r="F902" i="6" s="1"/>
  <c r="E2435" i="6"/>
  <c r="F2435" i="6" s="1"/>
  <c r="L29" i="6"/>
  <c r="L35" i="6"/>
  <c r="E2408" i="6"/>
  <c r="F2408" i="6" s="1"/>
  <c r="E2407" i="6"/>
  <c r="F2407" i="6" s="1"/>
  <c r="E32" i="10"/>
  <c r="E2411" i="6"/>
  <c r="F2411" i="6" s="1"/>
  <c r="E2398" i="6"/>
  <c r="F2398" i="6" s="1"/>
  <c r="E2423" i="6"/>
  <c r="F2423" i="6" s="1"/>
  <c r="E2410" i="6"/>
  <c r="F2410" i="6" s="1"/>
  <c r="E2422" i="6"/>
  <c r="F2422" i="6" s="1"/>
  <c r="E2409" i="6"/>
  <c r="F2409" i="6" s="1"/>
  <c r="E2396" i="6"/>
  <c r="F2396" i="6" s="1"/>
  <c r="E2404" i="6"/>
  <c r="F2404" i="6" s="1"/>
  <c r="E2406" i="6"/>
  <c r="F2406" i="6" s="1"/>
  <c r="E2421" i="6"/>
  <c r="F2421" i="6" s="1"/>
  <c r="E2391" i="6"/>
  <c r="F2391" i="6" s="1"/>
  <c r="E2420" i="6"/>
  <c r="F2420" i="6" s="1"/>
  <c r="E2400" i="6"/>
  <c r="F2400" i="6" s="1"/>
  <c r="E2425" i="6"/>
  <c r="F2425" i="6" s="1"/>
  <c r="E2403" i="6"/>
  <c r="F2403" i="6" s="1"/>
  <c r="E2402" i="6"/>
  <c r="F2402" i="6" s="1"/>
  <c r="E2414" i="6"/>
  <c r="F2414" i="6" s="1"/>
  <c r="E2416" i="6"/>
  <c r="F2416" i="6" s="1"/>
  <c r="E2393" i="6"/>
  <c r="F2393" i="6" s="1"/>
  <c r="E2392" i="6"/>
  <c r="F2392" i="6" s="1"/>
  <c r="E2418" i="6"/>
  <c r="F2418" i="6" s="1"/>
  <c r="E2417" i="6"/>
  <c r="F2417" i="6" s="1"/>
  <c r="E2412" i="6"/>
  <c r="F2412" i="6" s="1"/>
  <c r="E2397" i="6"/>
  <c r="F2397" i="6" s="1"/>
  <c r="E2395" i="6"/>
  <c r="F2395" i="6" s="1"/>
  <c r="E2394" i="6"/>
  <c r="F2394" i="6" s="1"/>
  <c r="E2413" i="6"/>
  <c r="F2413" i="6" s="1"/>
  <c r="E2424" i="6"/>
  <c r="F2424" i="6" s="1"/>
  <c r="E898" i="6"/>
  <c r="F898" i="6" s="1"/>
  <c r="E886" i="6"/>
  <c r="F886" i="6" s="1"/>
  <c r="E863" i="6"/>
  <c r="F863" i="6" s="1"/>
  <c r="E884" i="6"/>
  <c r="F884" i="6" s="1"/>
  <c r="E2419" i="6"/>
  <c r="F2419" i="6" s="1"/>
  <c r="E897" i="6"/>
  <c r="F897" i="6" s="1"/>
  <c r="E874" i="6"/>
  <c r="F874" i="6" s="1"/>
  <c r="E851" i="6"/>
  <c r="F851" i="6" s="1"/>
  <c r="E861" i="6"/>
  <c r="F861" i="6" s="1"/>
  <c r="E2415" i="6"/>
  <c r="F2415" i="6" s="1"/>
  <c r="E885" i="6"/>
  <c r="F885" i="6" s="1"/>
  <c r="E862" i="6"/>
  <c r="F862" i="6" s="1"/>
  <c r="E896" i="6"/>
  <c r="F896" i="6" s="1"/>
  <c r="E873" i="6"/>
  <c r="F873" i="6" s="1"/>
  <c r="E850" i="6"/>
  <c r="F850" i="6" s="1"/>
  <c r="E880" i="6"/>
  <c r="F880" i="6" s="1"/>
  <c r="E857" i="6"/>
  <c r="F857" i="6" s="1"/>
  <c r="E2426" i="6"/>
  <c r="F2426" i="6" s="1"/>
  <c r="E882" i="6"/>
  <c r="F882" i="6" s="1"/>
  <c r="E867" i="6"/>
  <c r="F867" i="6" s="1"/>
  <c r="E852" i="6"/>
  <c r="F852" i="6" s="1"/>
  <c r="E848" i="6"/>
  <c r="F848" i="6" s="1"/>
  <c r="E899" i="6"/>
  <c r="F899" i="6" s="1"/>
  <c r="E849" i="6"/>
  <c r="F849" i="6" s="1"/>
  <c r="E895" i="6"/>
  <c r="F895" i="6" s="1"/>
  <c r="E2405" i="6"/>
  <c r="F2405" i="6" s="1"/>
  <c r="E881" i="6"/>
  <c r="F881" i="6" s="1"/>
  <c r="E866" i="6"/>
  <c r="F866" i="6" s="1"/>
  <c r="E891" i="6"/>
  <c r="F891" i="6" s="1"/>
  <c r="E859" i="6"/>
  <c r="F859" i="6" s="1"/>
  <c r="E890" i="6"/>
  <c r="F890" i="6" s="1"/>
  <c r="E875" i="6"/>
  <c r="F875" i="6" s="1"/>
  <c r="E858" i="6"/>
  <c r="F858" i="6" s="1"/>
  <c r="E853" i="6"/>
  <c r="F853" i="6" s="1"/>
  <c r="E893" i="6"/>
  <c r="F893" i="6" s="1"/>
  <c r="E871" i="6"/>
  <c r="F871" i="6" s="1"/>
  <c r="E889" i="6"/>
  <c r="F889" i="6" s="1"/>
  <c r="E869" i="6"/>
  <c r="F869" i="6" s="1"/>
  <c r="E845" i="6"/>
  <c r="F845" i="6" s="1"/>
  <c r="E892" i="6"/>
  <c r="F892" i="6" s="1"/>
  <c r="E870" i="6"/>
  <c r="F870" i="6" s="1"/>
  <c r="E847" i="6"/>
  <c r="F847" i="6" s="1"/>
  <c r="E846" i="6"/>
  <c r="F846" i="6" s="1"/>
  <c r="E868" i="6"/>
  <c r="F868" i="6" s="1"/>
  <c r="E883" i="6"/>
  <c r="F883" i="6" s="1"/>
  <c r="E860" i="6"/>
  <c r="F860" i="6" s="1"/>
  <c r="E877" i="6"/>
  <c r="F877" i="6" s="1"/>
  <c r="E876" i="6"/>
  <c r="F876" i="6" s="1"/>
  <c r="E879" i="6"/>
  <c r="F879" i="6" s="1"/>
  <c r="E878" i="6"/>
  <c r="F878" i="6" s="1"/>
  <c r="E872" i="6"/>
  <c r="F872" i="6" s="1"/>
  <c r="E865" i="6"/>
  <c r="F865" i="6" s="1"/>
  <c r="E901" i="6"/>
  <c r="F901" i="6" s="1"/>
  <c r="E900" i="6"/>
  <c r="F900" i="6" s="1"/>
  <c r="E864" i="6"/>
  <c r="F864" i="6" s="1"/>
  <c r="E2399" i="6"/>
  <c r="F2399" i="6" s="1"/>
  <c r="E887" i="6"/>
  <c r="F887" i="6" s="1"/>
  <c r="E894" i="6"/>
  <c r="F894" i="6" s="1"/>
  <c r="E888" i="6"/>
  <c r="F888" i="6" s="1"/>
  <c r="E2401" i="6"/>
  <c r="F2401" i="6" s="1"/>
  <c r="E856" i="6"/>
  <c r="F856" i="6" s="1"/>
  <c r="E855" i="6"/>
  <c r="F855" i="6" s="1"/>
  <c r="E854" i="6"/>
  <c r="F854" i="6" s="1"/>
  <c r="E2510" i="6" l="1"/>
  <c r="F2510" i="6" s="1"/>
  <c r="E998" i="6"/>
  <c r="F998" i="6" s="1"/>
  <c r="E2528" i="6"/>
  <c r="F2528" i="6" s="1"/>
  <c r="E991" i="6"/>
  <c r="F991" i="6" s="1"/>
  <c r="E2539" i="6"/>
  <c r="F2539" i="6" s="1"/>
  <c r="E992" i="6"/>
  <c r="F992" i="6" s="1"/>
  <c r="E2518" i="6"/>
  <c r="F2518" i="6" s="1"/>
  <c r="E1010" i="6"/>
  <c r="F1010" i="6" s="1"/>
  <c r="E2504" i="6"/>
  <c r="F2504" i="6" s="1"/>
  <c r="E2519" i="6"/>
  <c r="F2519" i="6" s="1"/>
  <c r="E2554" i="6"/>
  <c r="F2554" i="6" s="1"/>
  <c r="E2547" i="6"/>
  <c r="F2547" i="6" s="1"/>
  <c r="E983" i="6"/>
  <c r="F983" i="6" s="1"/>
  <c r="E2542" i="6"/>
  <c r="F2542" i="6" s="1"/>
  <c r="E997" i="6"/>
  <c r="F997" i="6" s="1"/>
  <c r="E2540" i="6"/>
  <c r="F2540" i="6" s="1"/>
  <c r="E1002" i="6"/>
  <c r="F1002" i="6" s="1"/>
  <c r="E2538" i="6"/>
  <c r="F2538" i="6" s="1"/>
  <c r="E2517" i="6"/>
  <c r="F2517" i="6" s="1"/>
  <c r="E2537" i="6"/>
  <c r="F2537" i="6" s="1"/>
  <c r="E2546" i="6"/>
  <c r="F2546" i="6" s="1"/>
  <c r="E2520" i="6"/>
  <c r="F2520" i="6" s="1"/>
  <c r="E2497" i="6"/>
  <c r="F2497" i="6" s="1"/>
  <c r="E987" i="6"/>
  <c r="F987" i="6" s="1"/>
  <c r="E1004" i="6"/>
  <c r="F1004" i="6" s="1"/>
  <c r="E1014" i="6"/>
  <c r="F1014" i="6" s="1"/>
  <c r="E42" i="10"/>
  <c r="E2556" i="6"/>
  <c r="F2556" i="6" s="1"/>
  <c r="E976" i="6"/>
  <c r="F976" i="6" s="1"/>
  <c r="E990" i="6"/>
  <c r="F990" i="6" s="1"/>
  <c r="E2516" i="6"/>
  <c r="F2516" i="6" s="1"/>
  <c r="E980" i="6"/>
  <c r="F980" i="6" s="1"/>
  <c r="E2529" i="6"/>
  <c r="F2529" i="6" s="1"/>
  <c r="E2549" i="6"/>
  <c r="F2549" i="6" s="1"/>
  <c r="E986" i="6"/>
  <c r="F986" i="6" s="1"/>
  <c r="E2544" i="6"/>
  <c r="F2544" i="6" s="1"/>
  <c r="E1011" i="6"/>
  <c r="F1011" i="6" s="1"/>
  <c r="E2514" i="6"/>
  <c r="F2514" i="6" s="1"/>
  <c r="E999" i="6"/>
  <c r="F999" i="6" s="1"/>
  <c r="E2545" i="6"/>
  <c r="F2545" i="6" s="1"/>
  <c r="E2553" i="6"/>
  <c r="F2553" i="6" s="1"/>
  <c r="E2513" i="6"/>
  <c r="F2513" i="6" s="1"/>
  <c r="E982" i="6"/>
  <c r="F982" i="6" s="1"/>
  <c r="E2509" i="6"/>
  <c r="F2509" i="6" s="1"/>
  <c r="E2502" i="6"/>
  <c r="F2502" i="6" s="1"/>
  <c r="E2498" i="6"/>
  <c r="F2498" i="6" s="1"/>
  <c r="E993" i="6"/>
  <c r="F993" i="6" s="1"/>
  <c r="E2536" i="6"/>
  <c r="F2536" i="6" s="1"/>
  <c r="E981" i="6"/>
  <c r="F981" i="6" s="1"/>
  <c r="E1009" i="6"/>
  <c r="F1009" i="6" s="1"/>
  <c r="E994" i="6"/>
  <c r="F994" i="6" s="1"/>
  <c r="E2521" i="6"/>
  <c r="F2521" i="6" s="1"/>
  <c r="E2527" i="6"/>
  <c r="F2527" i="6" s="1"/>
  <c r="E1013" i="6"/>
  <c r="F1013" i="6" s="1"/>
  <c r="E984" i="6"/>
  <c r="F984" i="6" s="1"/>
  <c r="E2535" i="6"/>
  <c r="F2535" i="6" s="1"/>
  <c r="E2506" i="6"/>
  <c r="F2506" i="6" s="1"/>
  <c r="E1012" i="6"/>
  <c r="F1012" i="6" s="1"/>
  <c r="E979" i="6"/>
  <c r="F979" i="6" s="1"/>
  <c r="E975" i="6"/>
  <c r="F975" i="6" s="1"/>
  <c r="E2534" i="6"/>
  <c r="F2534" i="6" s="1"/>
  <c r="E2501" i="6"/>
  <c r="F2501" i="6" s="1"/>
  <c r="E2515" i="6"/>
  <c r="F2515" i="6" s="1"/>
  <c r="E2543" i="6"/>
  <c r="F2543" i="6" s="1"/>
  <c r="E2508" i="6"/>
  <c r="F2508" i="6" s="1"/>
  <c r="E2531" i="6"/>
  <c r="F2531" i="6" s="1"/>
  <c r="E2500" i="6"/>
  <c r="F2500" i="6" s="1"/>
  <c r="E977" i="6"/>
  <c r="F977" i="6" s="1"/>
  <c r="E2525" i="6"/>
  <c r="F2525" i="6" s="1"/>
  <c r="E2524" i="6"/>
  <c r="F2524" i="6" s="1"/>
  <c r="E2541" i="6"/>
  <c r="F2541" i="6" s="1"/>
  <c r="E2499" i="6"/>
  <c r="F2499" i="6" s="1"/>
  <c r="E2548" i="6"/>
  <c r="F2548" i="6" s="1"/>
  <c r="E1007" i="6"/>
  <c r="F1007" i="6" s="1"/>
  <c r="E2526" i="6"/>
  <c r="F2526" i="6" s="1"/>
  <c r="E1006" i="6"/>
  <c r="F1006" i="6" s="1"/>
  <c r="E995" i="6"/>
  <c r="F995" i="6" s="1"/>
  <c r="E2503" i="6"/>
  <c r="F2503" i="6" s="1"/>
  <c r="E2551" i="6"/>
  <c r="F2551" i="6" s="1"/>
  <c r="E2507" i="6"/>
  <c r="F2507" i="6" s="1"/>
  <c r="E2523" i="6"/>
  <c r="F2523" i="6" s="1"/>
  <c r="E2555" i="6"/>
  <c r="F2555" i="6" s="1"/>
  <c r="E2512" i="6"/>
  <c r="F2512" i="6" s="1"/>
  <c r="E2552" i="6"/>
  <c r="F2552" i="6" s="1"/>
  <c r="E989" i="6"/>
  <c r="F989" i="6" s="1"/>
  <c r="E978" i="6"/>
  <c r="F978" i="6" s="1"/>
  <c r="E1003" i="6"/>
  <c r="F1003" i="6" s="1"/>
  <c r="E2533" i="6"/>
  <c r="F2533" i="6" s="1"/>
  <c r="E2522" i="6"/>
  <c r="F2522" i="6" s="1"/>
  <c r="E1008" i="6"/>
  <c r="F1008" i="6" s="1"/>
  <c r="E2511" i="6"/>
  <c r="F2511" i="6" s="1"/>
  <c r="E996" i="6"/>
  <c r="F996" i="6" s="1"/>
  <c r="E2550" i="6"/>
  <c r="F2550" i="6" s="1"/>
  <c r="E2505" i="6"/>
  <c r="F2505" i="6" s="1"/>
  <c r="E2532" i="6"/>
  <c r="F2532" i="6" s="1"/>
  <c r="E1001" i="6"/>
  <c r="F1001" i="6" s="1"/>
  <c r="E2530" i="6"/>
  <c r="F2530" i="6" s="1"/>
  <c r="E1000" i="6"/>
  <c r="F1000" i="6" s="1"/>
  <c r="E1005" i="6"/>
  <c r="F1005" i="6" s="1"/>
  <c r="E988" i="6"/>
  <c r="F988" i="6" s="1"/>
  <c r="E985" i="6"/>
  <c r="F985" i="6" s="1"/>
  <c r="E2724" i="6"/>
  <c r="F2724" i="6" s="1"/>
  <c r="E2723" i="6"/>
  <c r="F2723" i="6" s="1"/>
  <c r="E2725" i="6"/>
  <c r="F2725" i="6" s="1"/>
  <c r="E2727" i="6"/>
  <c r="F2727" i="6" s="1"/>
  <c r="E2726" i="6"/>
  <c r="F2726" i="6" s="1"/>
  <c r="E14" i="10"/>
  <c r="I6" i="4"/>
  <c r="I3" i="4"/>
  <c r="K9" i="4" s="1"/>
  <c r="E2581" i="6"/>
  <c r="F2581" i="6" s="1"/>
  <c r="E2558" i="6"/>
  <c r="F2558" i="6" s="1"/>
  <c r="E33" i="10"/>
  <c r="E2580" i="6"/>
  <c r="F2580" i="6" s="1"/>
  <c r="E2557" i="6"/>
  <c r="F2557" i="6" s="1"/>
  <c r="E2575" i="6"/>
  <c r="F2575" i="6" s="1"/>
  <c r="E2562" i="6"/>
  <c r="F2562" i="6" s="1"/>
  <c r="E2561" i="6"/>
  <c r="F2561" i="6" s="1"/>
  <c r="E2582" i="6"/>
  <c r="F2582" i="6" s="1"/>
  <c r="E2569" i="6"/>
  <c r="F2569" i="6" s="1"/>
  <c r="E2560" i="6"/>
  <c r="F2560" i="6" s="1"/>
  <c r="E2576" i="6"/>
  <c r="F2576" i="6" s="1"/>
  <c r="E2573" i="6"/>
  <c r="F2573" i="6" s="1"/>
  <c r="E2571" i="6"/>
  <c r="F2571" i="6" s="1"/>
  <c r="E2568" i="6"/>
  <c r="F2568" i="6" s="1"/>
  <c r="E2563" i="6"/>
  <c r="F2563" i="6" s="1"/>
  <c r="E2572" i="6"/>
  <c r="F2572" i="6" s="1"/>
  <c r="E2567" i="6"/>
  <c r="F2567" i="6" s="1"/>
  <c r="E1031" i="6"/>
  <c r="F1031" i="6" s="1"/>
  <c r="E1020" i="6"/>
  <c r="F1020" i="6" s="1"/>
  <c r="E2583" i="6"/>
  <c r="F2583" i="6" s="1"/>
  <c r="E2578" i="6"/>
  <c r="F2578" i="6" s="1"/>
  <c r="E2577" i="6"/>
  <c r="F2577" i="6" s="1"/>
  <c r="E2570" i="6"/>
  <c r="F2570" i="6" s="1"/>
  <c r="E2566" i="6"/>
  <c r="F2566" i="6" s="1"/>
  <c r="E1035" i="6"/>
  <c r="F1035" i="6" s="1"/>
  <c r="E2559" i="6"/>
  <c r="F2559" i="6" s="1"/>
  <c r="E1034" i="6"/>
  <c r="F1034" i="6" s="1"/>
  <c r="E2584" i="6"/>
  <c r="F2584" i="6" s="1"/>
  <c r="E2579" i="6"/>
  <c r="F2579" i="6" s="1"/>
  <c r="E1029" i="6"/>
  <c r="F1029" i="6" s="1"/>
  <c r="E1017" i="6"/>
  <c r="F1017" i="6" s="1"/>
  <c r="E2574" i="6"/>
  <c r="F2574" i="6" s="1"/>
  <c r="E1028" i="6"/>
  <c r="F1028" i="6" s="1"/>
  <c r="E1016" i="6"/>
  <c r="F1016" i="6" s="1"/>
  <c r="E1036" i="6"/>
  <c r="F1036" i="6" s="1"/>
  <c r="E1023" i="6"/>
  <c r="F1023" i="6" s="1"/>
  <c r="E1027" i="6"/>
  <c r="F1027" i="6" s="1"/>
  <c r="E2565" i="6"/>
  <c r="F2565" i="6" s="1"/>
  <c r="E2564" i="6"/>
  <c r="F2564" i="6" s="1"/>
  <c r="E1030" i="6"/>
  <c r="F1030" i="6" s="1"/>
  <c r="E1039" i="6"/>
  <c r="F1039" i="6" s="1"/>
  <c r="E1038" i="6"/>
  <c r="F1038" i="6" s="1"/>
  <c r="E1018" i="6"/>
  <c r="F1018" i="6" s="1"/>
  <c r="E1015" i="6"/>
  <c r="F1015" i="6" s="1"/>
  <c r="E1037" i="6"/>
  <c r="F1037" i="6" s="1"/>
  <c r="E1025" i="6"/>
  <c r="F1025" i="6" s="1"/>
  <c r="E1022" i="6"/>
  <c r="F1022" i="6" s="1"/>
  <c r="E1019" i="6"/>
  <c r="F1019" i="6" s="1"/>
  <c r="E1021" i="6"/>
  <c r="F1021" i="6" s="1"/>
  <c r="E1033" i="6"/>
  <c r="F1033" i="6" s="1"/>
  <c r="E1032" i="6"/>
  <c r="F1032" i="6" s="1"/>
  <c r="E1026" i="6"/>
  <c r="F1026" i="6" s="1"/>
  <c r="E1024" i="6"/>
  <c r="F1024" i="6" s="1"/>
  <c r="E3139" i="6"/>
  <c r="F3139" i="6" s="1"/>
  <c r="E3138" i="6"/>
  <c r="F3138" i="6" s="1"/>
  <c r="E3136" i="6"/>
  <c r="F3136" i="6" s="1"/>
  <c r="E3135" i="6"/>
  <c r="F3135" i="6" s="1"/>
  <c r="E3123" i="6"/>
  <c r="F3123" i="6" s="1"/>
  <c r="E3100" i="6"/>
  <c r="F3100" i="6" s="1"/>
  <c r="E3077" i="6"/>
  <c r="F3077" i="6" s="1"/>
  <c r="E3134" i="6"/>
  <c r="F3134" i="6" s="1"/>
  <c r="E3111" i="6"/>
  <c r="F3111" i="6" s="1"/>
  <c r="E3088" i="6"/>
  <c r="F3088" i="6" s="1"/>
  <c r="E3133" i="6"/>
  <c r="F3133" i="6" s="1"/>
  <c r="E3110" i="6"/>
  <c r="F3110" i="6" s="1"/>
  <c r="E3087" i="6"/>
  <c r="F3087" i="6" s="1"/>
  <c r="E3129" i="6"/>
  <c r="F3129" i="6" s="1"/>
  <c r="E3106" i="6"/>
  <c r="F3106" i="6" s="1"/>
  <c r="E3083" i="6"/>
  <c r="F3083" i="6" s="1"/>
  <c r="E3089" i="6"/>
  <c r="F3089" i="6" s="1"/>
  <c r="E3130" i="6"/>
  <c r="F3130" i="6" s="1"/>
  <c r="E3116" i="6"/>
  <c r="F3116" i="6" s="1"/>
  <c r="E3102" i="6"/>
  <c r="F3102" i="6" s="1"/>
  <c r="E3128" i="6"/>
  <c r="F3128" i="6" s="1"/>
  <c r="E3114" i="6"/>
  <c r="F3114" i="6" s="1"/>
  <c r="E3095" i="6"/>
  <c r="F3095" i="6" s="1"/>
  <c r="E3125" i="6"/>
  <c r="F3125" i="6" s="1"/>
  <c r="E3107" i="6"/>
  <c r="F3107" i="6" s="1"/>
  <c r="E3090" i="6"/>
  <c r="F3090" i="6" s="1"/>
  <c r="E3124" i="6"/>
  <c r="F3124" i="6" s="1"/>
  <c r="E3086" i="6"/>
  <c r="F3086" i="6" s="1"/>
  <c r="E3121" i="6"/>
  <c r="F3121" i="6" s="1"/>
  <c r="E3115" i="6"/>
  <c r="F3115" i="6" s="1"/>
  <c r="E3079" i="6"/>
  <c r="F3079" i="6" s="1"/>
  <c r="E3094" i="6"/>
  <c r="F3094" i="6" s="1"/>
  <c r="E3141" i="6"/>
  <c r="F3141" i="6" s="1"/>
  <c r="E3118" i="6"/>
  <c r="F3118" i="6" s="1"/>
  <c r="E3117" i="6"/>
  <c r="F3117" i="6" s="1"/>
  <c r="E3093" i="6"/>
  <c r="F3093" i="6" s="1"/>
  <c r="E3140" i="6"/>
  <c r="F3140" i="6" s="1"/>
  <c r="E3092" i="6"/>
  <c r="F3092" i="6" s="1"/>
  <c r="E3113" i="6"/>
  <c r="F3113" i="6" s="1"/>
  <c r="E3105" i="6"/>
  <c r="F3105" i="6" s="1"/>
  <c r="E3081" i="6"/>
  <c r="F3081" i="6" s="1"/>
  <c r="E3137" i="6"/>
  <c r="F3137" i="6" s="1"/>
  <c r="E3104" i="6"/>
  <c r="F3104" i="6" s="1"/>
  <c r="E3103" i="6"/>
  <c r="F3103" i="6" s="1"/>
  <c r="E1555" i="6"/>
  <c r="F1555" i="6" s="1"/>
  <c r="E3101" i="6"/>
  <c r="F3101" i="6" s="1"/>
  <c r="E3132" i="6"/>
  <c r="F3132" i="6" s="1"/>
  <c r="E3099" i="6"/>
  <c r="F3099" i="6" s="1"/>
  <c r="E1554" i="6"/>
  <c r="F1554" i="6" s="1"/>
  <c r="E3085" i="6"/>
  <c r="F3085" i="6" s="1"/>
  <c r="E3131" i="6"/>
  <c r="F3131" i="6" s="1"/>
  <c r="E3084" i="6"/>
  <c r="F3084" i="6" s="1"/>
  <c r="E1557" i="6"/>
  <c r="F1557" i="6" s="1"/>
  <c r="E3127" i="6"/>
  <c r="F3127" i="6" s="1"/>
  <c r="E3122" i="6"/>
  <c r="F3122" i="6" s="1"/>
  <c r="E3120" i="6"/>
  <c r="F3120" i="6" s="1"/>
  <c r="E3078" i="6"/>
  <c r="F3078" i="6" s="1"/>
  <c r="E3126" i="6"/>
  <c r="F3126" i="6" s="1"/>
  <c r="E3119" i="6"/>
  <c r="F3119" i="6" s="1"/>
  <c r="E3096" i="6"/>
  <c r="F3096" i="6" s="1"/>
  <c r="E3112" i="6"/>
  <c r="F3112" i="6" s="1"/>
  <c r="E3109" i="6"/>
  <c r="F3109" i="6" s="1"/>
  <c r="E3108" i="6"/>
  <c r="F3108" i="6" s="1"/>
  <c r="E3082" i="6"/>
  <c r="F3082" i="6" s="1"/>
  <c r="E3098" i="6"/>
  <c r="F3098" i="6" s="1"/>
  <c r="E3091" i="6"/>
  <c r="F3091" i="6" s="1"/>
  <c r="E3097" i="6"/>
  <c r="F3097" i="6" s="1"/>
  <c r="E1560" i="6"/>
  <c r="F1560" i="6" s="1"/>
  <c r="E3080" i="6"/>
  <c r="F3080" i="6" s="1"/>
  <c r="E1556" i="6"/>
  <c r="F1556" i="6" s="1"/>
  <c r="E1558" i="6"/>
  <c r="F1558" i="6" s="1"/>
  <c r="E1559" i="6"/>
  <c r="F1559" i="6" s="1"/>
  <c r="E63" i="10"/>
  <c r="E2489" i="6"/>
  <c r="F2489" i="6" s="1"/>
  <c r="E2488" i="6"/>
  <c r="F2488" i="6" s="1"/>
  <c r="E2476" i="6"/>
  <c r="F2476" i="6" s="1"/>
  <c r="E2486" i="6"/>
  <c r="F2486" i="6" s="1"/>
  <c r="E2473" i="6"/>
  <c r="F2473" i="6" s="1"/>
  <c r="E2472" i="6"/>
  <c r="F2472" i="6" s="1"/>
  <c r="E2468" i="6"/>
  <c r="F2468" i="6" s="1"/>
  <c r="E2482" i="6"/>
  <c r="F2482" i="6" s="1"/>
  <c r="E2467" i="6"/>
  <c r="F2467" i="6" s="1"/>
  <c r="E2481" i="6"/>
  <c r="F2481" i="6" s="1"/>
  <c r="E2491" i="6"/>
  <c r="F2491" i="6" s="1"/>
  <c r="E2475" i="6"/>
  <c r="F2475" i="6" s="1"/>
  <c r="E2477" i="6"/>
  <c r="F2477" i="6" s="1"/>
  <c r="E2474" i="6"/>
  <c r="F2474" i="6" s="1"/>
  <c r="E2479" i="6"/>
  <c r="F2479" i="6" s="1"/>
  <c r="E2478" i="6"/>
  <c r="F2478" i="6" s="1"/>
  <c r="E2469" i="6"/>
  <c r="F2469" i="6" s="1"/>
  <c r="E2490" i="6"/>
  <c r="F2490" i="6" s="1"/>
  <c r="E2485" i="6"/>
  <c r="F2485" i="6" s="1"/>
  <c r="E2484" i="6"/>
  <c r="F2484" i="6" s="1"/>
  <c r="E2487" i="6"/>
  <c r="F2487" i="6" s="1"/>
  <c r="E2483" i="6"/>
  <c r="F2483" i="6" s="1"/>
  <c r="E2480" i="6"/>
  <c r="F2480" i="6" s="1"/>
  <c r="E2471" i="6"/>
  <c r="F2471" i="6" s="1"/>
  <c r="E914" i="6"/>
  <c r="F914" i="6" s="1"/>
  <c r="E913" i="6"/>
  <c r="F913" i="6" s="1"/>
  <c r="E2470" i="6"/>
  <c r="F2470" i="6" s="1"/>
  <c r="E916" i="6"/>
  <c r="F916" i="6" s="1"/>
  <c r="E911" i="6"/>
  <c r="F911" i="6" s="1"/>
  <c r="E915" i="6"/>
  <c r="F915" i="6" s="1"/>
  <c r="E912" i="6"/>
  <c r="F912" i="6" s="1"/>
  <c r="E917" i="6"/>
  <c r="F917" i="6" s="1"/>
  <c r="E910" i="6"/>
  <c r="F910" i="6" s="1"/>
  <c r="E3054" i="6"/>
  <c r="F3054" i="6" s="1"/>
  <c r="E3065" i="6"/>
  <c r="F3065" i="6" s="1"/>
  <c r="E3042" i="6"/>
  <c r="F3042" i="6" s="1"/>
  <c r="E3064" i="6"/>
  <c r="F3064" i="6" s="1"/>
  <c r="E3060" i="6"/>
  <c r="F3060" i="6" s="1"/>
  <c r="E3074" i="6"/>
  <c r="F3074" i="6" s="1"/>
  <c r="E3059" i="6"/>
  <c r="F3059" i="6" s="1"/>
  <c r="E3046" i="6"/>
  <c r="F3046" i="6" s="1"/>
  <c r="E3073" i="6"/>
  <c r="F3073" i="6" s="1"/>
  <c r="E3072" i="6"/>
  <c r="F3072" i="6" s="1"/>
  <c r="E3067" i="6"/>
  <c r="F3067" i="6" s="1"/>
  <c r="E3052" i="6"/>
  <c r="F3052" i="6" s="1"/>
  <c r="E3069" i="6"/>
  <c r="F3069" i="6" s="1"/>
  <c r="E3051" i="6"/>
  <c r="F3051" i="6" s="1"/>
  <c r="E3043" i="6"/>
  <c r="F3043" i="6" s="1"/>
  <c r="E3071" i="6"/>
  <c r="F3071" i="6" s="1"/>
  <c r="E3070" i="6"/>
  <c r="F3070" i="6" s="1"/>
  <c r="E3047" i="6"/>
  <c r="F3047" i="6" s="1"/>
  <c r="E3068" i="6"/>
  <c r="F3068" i="6" s="1"/>
  <c r="E3045" i="6"/>
  <c r="F3045" i="6" s="1"/>
  <c r="E3044" i="6"/>
  <c r="F3044" i="6" s="1"/>
  <c r="E3066" i="6"/>
  <c r="F3066" i="6" s="1"/>
  <c r="E3057" i="6"/>
  <c r="F3057" i="6" s="1"/>
  <c r="E3076" i="6"/>
  <c r="F3076" i="6" s="1"/>
  <c r="E3075" i="6"/>
  <c r="F3075" i="6" s="1"/>
  <c r="E3056" i="6"/>
  <c r="F3056" i="6" s="1"/>
  <c r="E3048" i="6"/>
  <c r="F3048" i="6" s="1"/>
  <c r="E1497" i="6"/>
  <c r="F1497" i="6" s="1"/>
  <c r="E1496" i="6"/>
  <c r="F1496" i="6" s="1"/>
  <c r="E3061" i="6"/>
  <c r="F3061" i="6" s="1"/>
  <c r="E3058" i="6"/>
  <c r="F3058" i="6" s="1"/>
  <c r="E3053" i="6"/>
  <c r="F3053" i="6" s="1"/>
  <c r="E3050" i="6"/>
  <c r="F3050" i="6" s="1"/>
  <c r="E3049" i="6"/>
  <c r="F3049" i="6" s="1"/>
  <c r="E3055" i="6"/>
  <c r="F3055" i="6" s="1"/>
  <c r="E3062" i="6"/>
  <c r="F3062" i="6" s="1"/>
  <c r="E3063" i="6"/>
  <c r="F3063" i="6" s="1"/>
  <c r="E1495" i="6"/>
  <c r="F1495" i="6" s="1"/>
  <c r="E1498" i="6"/>
  <c r="F1498" i="6" s="1"/>
  <c r="I4" i="4"/>
  <c r="E2962" i="6" l="1"/>
  <c r="F2962" i="6" s="1"/>
  <c r="E2960" i="6"/>
  <c r="F2960" i="6" s="1"/>
  <c r="E2965" i="6"/>
  <c r="F2965" i="6" s="1"/>
  <c r="E2964" i="6"/>
  <c r="F2964" i="6" s="1"/>
  <c r="E2966" i="6"/>
  <c r="F2966" i="6" s="1"/>
  <c r="E2967" i="6"/>
  <c r="F2967" i="6" s="1"/>
  <c r="E2963" i="6"/>
  <c r="F2963" i="6" s="1"/>
  <c r="E2969" i="6"/>
  <c r="F2969" i="6" s="1"/>
  <c r="E2958" i="6"/>
  <c r="F2958" i="6" s="1"/>
  <c r="E2971" i="6"/>
  <c r="F2971" i="6" s="1"/>
  <c r="E2970" i="6"/>
  <c r="F2970" i="6" s="1"/>
  <c r="E2968" i="6"/>
  <c r="F2968" i="6" s="1"/>
  <c r="E2959" i="6"/>
  <c r="F2959" i="6" s="1"/>
  <c r="E2961" i="6"/>
  <c r="F2961" i="6" s="1"/>
  <c r="E1181" i="6"/>
  <c r="F1181" i="6" s="1"/>
  <c r="E1187" i="6"/>
  <c r="F1187" i="6" s="1"/>
  <c r="E1174" i="6"/>
  <c r="F1174" i="6" s="1"/>
  <c r="E2733" i="6"/>
  <c r="F2733" i="6" s="1"/>
  <c r="E2732" i="6"/>
  <c r="F2732" i="6" s="1"/>
  <c r="E1175" i="6"/>
  <c r="F1175" i="6" s="1"/>
  <c r="E2731" i="6"/>
  <c r="F2731" i="6" s="1"/>
  <c r="E2728" i="6"/>
  <c r="F2728" i="6" s="1"/>
  <c r="E1184" i="6"/>
  <c r="F1184" i="6" s="1"/>
  <c r="E1172" i="6"/>
  <c r="F1172" i="6" s="1"/>
  <c r="E2751" i="6"/>
  <c r="F2751" i="6" s="1"/>
  <c r="E2744" i="6"/>
  <c r="F2744" i="6" s="1"/>
  <c r="E2737" i="6"/>
  <c r="F2737" i="6" s="1"/>
  <c r="E1178" i="6"/>
  <c r="F1178" i="6" s="1"/>
  <c r="E2738" i="6"/>
  <c r="F2738" i="6" s="1"/>
  <c r="E1186" i="6"/>
  <c r="F1186" i="6" s="1"/>
  <c r="E2736" i="6"/>
  <c r="F2736" i="6" s="1"/>
  <c r="E2743" i="6"/>
  <c r="F2743" i="6" s="1"/>
  <c r="E1189" i="6"/>
  <c r="F1189" i="6" s="1"/>
  <c r="E2729" i="6"/>
  <c r="F2729" i="6" s="1"/>
  <c r="E1188" i="6"/>
  <c r="F1188" i="6" s="1"/>
  <c r="E1185" i="6"/>
  <c r="F1185" i="6" s="1"/>
  <c r="E2740" i="6"/>
  <c r="F2740" i="6" s="1"/>
  <c r="E1183" i="6"/>
  <c r="F1183" i="6" s="1"/>
  <c r="E2745" i="6"/>
  <c r="F2745" i="6" s="1"/>
  <c r="E2747" i="6"/>
  <c r="F2747" i="6" s="1"/>
  <c r="E2750" i="6"/>
  <c r="F2750" i="6" s="1"/>
  <c r="E2734" i="6"/>
  <c r="F2734" i="6" s="1"/>
  <c r="E1176" i="6"/>
  <c r="F1176" i="6" s="1"/>
  <c r="E1171" i="6"/>
  <c r="F1171" i="6" s="1"/>
  <c r="E2730" i="6"/>
  <c r="F2730" i="6" s="1"/>
  <c r="E43" i="10"/>
  <c r="E2742" i="6"/>
  <c r="F2742" i="6" s="1"/>
  <c r="E2741" i="6"/>
  <c r="F2741" i="6" s="1"/>
  <c r="E2746" i="6"/>
  <c r="F2746" i="6" s="1"/>
  <c r="E1191" i="6"/>
  <c r="F1191" i="6" s="1"/>
  <c r="E1190" i="6"/>
  <c r="F1190" i="6" s="1"/>
  <c r="E1179" i="6"/>
  <c r="F1179" i="6" s="1"/>
  <c r="E1177" i="6"/>
  <c r="F1177" i="6" s="1"/>
  <c r="E2749" i="6"/>
  <c r="F2749" i="6" s="1"/>
  <c r="E1170" i="6"/>
  <c r="F1170" i="6" s="1"/>
  <c r="E2739" i="6"/>
  <c r="F2739" i="6" s="1"/>
  <c r="E1182" i="6"/>
  <c r="F1182" i="6" s="1"/>
  <c r="E2748" i="6"/>
  <c r="F2748" i="6" s="1"/>
  <c r="E1180" i="6"/>
  <c r="F1180" i="6" s="1"/>
  <c r="E2735" i="6"/>
  <c r="F2735" i="6" s="1"/>
  <c r="E1173" i="6"/>
  <c r="F1173" i="6" s="1"/>
  <c r="K8" i="4"/>
  <c r="D3" i="14"/>
  <c r="D2" i="14"/>
  <c r="D3" i="13"/>
  <c r="D2" i="13"/>
  <c r="E34" i="10"/>
  <c r="E2766" i="6"/>
  <c r="F2766" i="6" s="1"/>
  <c r="E2754" i="6"/>
  <c r="F2754" i="6" s="1"/>
  <c r="E2753" i="6"/>
  <c r="F2753" i="6" s="1"/>
  <c r="E2769" i="6"/>
  <c r="F2769" i="6" s="1"/>
  <c r="E2756" i="6"/>
  <c r="F2756" i="6" s="1"/>
  <c r="E2768" i="6"/>
  <c r="F2768" i="6" s="1"/>
  <c r="E2755" i="6"/>
  <c r="F2755" i="6" s="1"/>
  <c r="E2767" i="6"/>
  <c r="F2767" i="6" s="1"/>
  <c r="E2761" i="6"/>
  <c r="F2761" i="6" s="1"/>
  <c r="E2760" i="6"/>
  <c r="F2760" i="6" s="1"/>
  <c r="E2759" i="6"/>
  <c r="F2759" i="6" s="1"/>
  <c r="E2764" i="6"/>
  <c r="F2764" i="6" s="1"/>
  <c r="E2762" i="6"/>
  <c r="F2762" i="6" s="1"/>
  <c r="E2774" i="6"/>
  <c r="F2774" i="6" s="1"/>
  <c r="E2773" i="6"/>
  <c r="F2773" i="6" s="1"/>
  <c r="E1225" i="6"/>
  <c r="F1225" i="6" s="1"/>
  <c r="E1202" i="6"/>
  <c r="F1202" i="6" s="1"/>
  <c r="E2772" i="6"/>
  <c r="F2772" i="6" s="1"/>
  <c r="E1224" i="6"/>
  <c r="F1224" i="6" s="1"/>
  <c r="E1201" i="6"/>
  <c r="F1201" i="6" s="1"/>
  <c r="E2763" i="6"/>
  <c r="F2763" i="6" s="1"/>
  <c r="E1219" i="6"/>
  <c r="F1219" i="6" s="1"/>
  <c r="E1206" i="6"/>
  <c r="F1206" i="6" s="1"/>
  <c r="E1231" i="6"/>
  <c r="F1231" i="6" s="1"/>
  <c r="E1193" i="6"/>
  <c r="F1193" i="6" s="1"/>
  <c r="E2770" i="6"/>
  <c r="F2770" i="6" s="1"/>
  <c r="E1232" i="6"/>
  <c r="F1232" i="6" s="1"/>
  <c r="E1217" i="6"/>
  <c r="F1217" i="6" s="1"/>
  <c r="E1230" i="6"/>
  <c r="F1230" i="6" s="1"/>
  <c r="E1216" i="6"/>
  <c r="F1216" i="6" s="1"/>
  <c r="E1197" i="6"/>
  <c r="F1197" i="6" s="1"/>
  <c r="E1200" i="6"/>
  <c r="F1200" i="6" s="1"/>
  <c r="E1233" i="6"/>
  <c r="F1233" i="6" s="1"/>
  <c r="E1214" i="6"/>
  <c r="F1214" i="6" s="1"/>
  <c r="E1215" i="6"/>
  <c r="F1215" i="6" s="1"/>
  <c r="E1199" i="6"/>
  <c r="F1199" i="6" s="1"/>
  <c r="E1198" i="6"/>
  <c r="F1198" i="6" s="1"/>
  <c r="E2758" i="6"/>
  <c r="F2758" i="6" s="1"/>
  <c r="E1192" i="6"/>
  <c r="F1192" i="6" s="1"/>
  <c r="E1205" i="6"/>
  <c r="F1205" i="6" s="1"/>
  <c r="E1203" i="6"/>
  <c r="F1203" i="6" s="1"/>
  <c r="E2757" i="6"/>
  <c r="F2757" i="6" s="1"/>
  <c r="E1226" i="6"/>
  <c r="F1226" i="6" s="1"/>
  <c r="E2752" i="6"/>
  <c r="F2752" i="6" s="1"/>
  <c r="E1204" i="6"/>
  <c r="F1204" i="6" s="1"/>
  <c r="E1223" i="6"/>
  <c r="F1223" i="6" s="1"/>
  <c r="E1213" i="6"/>
  <c r="F1213" i="6" s="1"/>
  <c r="E1229" i="6"/>
  <c r="F1229" i="6" s="1"/>
  <c r="E1196" i="6"/>
  <c r="F1196" i="6" s="1"/>
  <c r="E2765" i="6"/>
  <c r="F2765" i="6" s="1"/>
  <c r="E1228" i="6"/>
  <c r="F1228" i="6" s="1"/>
  <c r="E1195" i="6"/>
  <c r="F1195" i="6" s="1"/>
  <c r="E1194" i="6"/>
  <c r="F1194" i="6" s="1"/>
  <c r="E1222" i="6"/>
  <c r="F1222" i="6" s="1"/>
  <c r="E1227" i="6"/>
  <c r="F1227" i="6" s="1"/>
  <c r="E1221" i="6"/>
  <c r="F1221" i="6" s="1"/>
  <c r="E1211" i="6"/>
  <c r="F1211" i="6" s="1"/>
  <c r="E1210" i="6"/>
  <c r="F1210" i="6" s="1"/>
  <c r="E1234" i="6"/>
  <c r="F1234" i="6" s="1"/>
  <c r="E2771" i="6"/>
  <c r="F2771" i="6" s="1"/>
  <c r="E1220" i="6"/>
  <c r="F1220" i="6" s="1"/>
  <c r="E1218" i="6"/>
  <c r="F1218" i="6" s="1"/>
  <c r="E1209" i="6"/>
  <c r="F1209" i="6" s="1"/>
  <c r="E1208" i="6"/>
  <c r="F1208" i="6" s="1"/>
  <c r="E1212" i="6"/>
  <c r="F1212" i="6" s="1"/>
  <c r="E1207" i="6"/>
  <c r="F1207" i="6" s="1"/>
  <c r="E64" i="10"/>
  <c r="E2950" i="6"/>
  <c r="F2950" i="6" s="1"/>
  <c r="E2953" i="6"/>
  <c r="F2953" i="6" s="1"/>
  <c r="E2947" i="6"/>
  <c r="F2947" i="6" s="1"/>
  <c r="E2957" i="6"/>
  <c r="F2957" i="6" s="1"/>
  <c r="E2956" i="6"/>
  <c r="F2956" i="6" s="1"/>
  <c r="E2955" i="6"/>
  <c r="F2955" i="6" s="1"/>
  <c r="E2949" i="6"/>
  <c r="F2949" i="6" s="1"/>
  <c r="E2948" i="6"/>
  <c r="F2948" i="6" s="1"/>
  <c r="E1421" i="6"/>
  <c r="F1421" i="6" s="1"/>
  <c r="E1420" i="6"/>
  <c r="F1420" i="6" s="1"/>
  <c r="E1416" i="6"/>
  <c r="F1416" i="6" s="1"/>
  <c r="E1423" i="6"/>
  <c r="F1423" i="6" s="1"/>
  <c r="E2952" i="6"/>
  <c r="F2952" i="6" s="1"/>
  <c r="E2951" i="6"/>
  <c r="F2951" i="6" s="1"/>
  <c r="E1419" i="6"/>
  <c r="F1419" i="6" s="1"/>
  <c r="E1413" i="6"/>
  <c r="F1413" i="6" s="1"/>
  <c r="E1428" i="6"/>
  <c r="F1428" i="6" s="1"/>
  <c r="E1425" i="6"/>
  <c r="F1425" i="6" s="1"/>
  <c r="E1427" i="6"/>
  <c r="F1427" i="6" s="1"/>
  <c r="E1426" i="6"/>
  <c r="F1426" i="6" s="1"/>
  <c r="E1417" i="6"/>
  <c r="F1417" i="6" s="1"/>
  <c r="E1418" i="6"/>
  <c r="F1418" i="6" s="1"/>
  <c r="E1422" i="6"/>
  <c r="F1422" i="6" s="1"/>
  <c r="E1412" i="6"/>
  <c r="F1412" i="6" s="1"/>
  <c r="E1424" i="6"/>
  <c r="F1424" i="6" s="1"/>
  <c r="E1415" i="6"/>
  <c r="F1415" i="6" s="1"/>
  <c r="E1429" i="6"/>
  <c r="F1429" i="6" s="1"/>
  <c r="E2954" i="6"/>
  <c r="F2954" i="6" s="1"/>
  <c r="E1414" i="6"/>
  <c r="F1414" i="6" s="1"/>
  <c r="E3019" i="6" l="1"/>
  <c r="F3019" i="6" s="1"/>
  <c r="E3032" i="6"/>
  <c r="F3032" i="6" s="1"/>
  <c r="E1482" i="6"/>
  <c r="F1482" i="6" s="1"/>
  <c r="E3029" i="6"/>
  <c r="F3029" i="6" s="1"/>
  <c r="E1443" i="6"/>
  <c r="F1443" i="6" s="1"/>
  <c r="E1489" i="6"/>
  <c r="F1489" i="6" s="1"/>
  <c r="E1440" i="6"/>
  <c r="F1440" i="6" s="1"/>
  <c r="E2990" i="6"/>
  <c r="F2990" i="6" s="1"/>
  <c r="E1472" i="6"/>
  <c r="F1472" i="6" s="1"/>
  <c r="E3006" i="6"/>
  <c r="F3006" i="6" s="1"/>
  <c r="E1468" i="6"/>
  <c r="F1468" i="6" s="1"/>
  <c r="E1451" i="6"/>
  <c r="F1451" i="6" s="1"/>
  <c r="E3005" i="6"/>
  <c r="F3005" i="6" s="1"/>
  <c r="E1471" i="6"/>
  <c r="F1471" i="6" s="1"/>
  <c r="E3035" i="6"/>
  <c r="F3035" i="6" s="1"/>
  <c r="E1452" i="6"/>
  <c r="F1452" i="6" s="1"/>
  <c r="E1484" i="6"/>
  <c r="F1484" i="6" s="1"/>
  <c r="E2996" i="6"/>
  <c r="F2996" i="6" s="1"/>
  <c r="E3014" i="6"/>
  <c r="F3014" i="6" s="1"/>
  <c r="E1445" i="6"/>
  <c r="F1445" i="6" s="1"/>
  <c r="E2989" i="6"/>
  <c r="F2989" i="6" s="1"/>
  <c r="E3036" i="6"/>
  <c r="F3036" i="6" s="1"/>
  <c r="E1441" i="6"/>
  <c r="F1441" i="6" s="1"/>
  <c r="E1442" i="6"/>
  <c r="F1442" i="6" s="1"/>
  <c r="E1481" i="6"/>
  <c r="F1481" i="6" s="1"/>
  <c r="E2972" i="6"/>
  <c r="F2972" i="6" s="1"/>
  <c r="E3004" i="6"/>
  <c r="F3004" i="6" s="1"/>
  <c r="E1476" i="6"/>
  <c r="F1476" i="6" s="1"/>
  <c r="E2978" i="6"/>
  <c r="F2978" i="6" s="1"/>
  <c r="E2986" i="6"/>
  <c r="F2986" i="6" s="1"/>
  <c r="E3021" i="6"/>
  <c r="F3021" i="6" s="1"/>
  <c r="E1435" i="6"/>
  <c r="F1435" i="6" s="1"/>
  <c r="E1480" i="6"/>
  <c r="F1480" i="6" s="1"/>
  <c r="E1431" i="6"/>
  <c r="F1431" i="6" s="1"/>
  <c r="E1493" i="6"/>
  <c r="F1493" i="6" s="1"/>
  <c r="E1461" i="6"/>
  <c r="F1461" i="6" s="1"/>
  <c r="E1455" i="6"/>
  <c r="F1455" i="6" s="1"/>
  <c r="E1466" i="6"/>
  <c r="F1466" i="6" s="1"/>
  <c r="E2982" i="6"/>
  <c r="F2982" i="6" s="1"/>
  <c r="E44" i="10"/>
  <c r="E2981" i="6"/>
  <c r="F2981" i="6" s="1"/>
  <c r="E2985" i="6"/>
  <c r="F2985" i="6" s="1"/>
  <c r="E2991" i="6"/>
  <c r="F2991" i="6" s="1"/>
  <c r="E2973" i="6"/>
  <c r="F2973" i="6" s="1"/>
  <c r="E2998" i="6"/>
  <c r="F2998" i="6" s="1"/>
  <c r="E1433" i="6"/>
  <c r="F1433" i="6" s="1"/>
  <c r="E3007" i="6"/>
  <c r="F3007" i="6" s="1"/>
  <c r="E1486" i="6"/>
  <c r="F1486" i="6" s="1"/>
  <c r="E1479" i="6"/>
  <c r="F1479" i="6" s="1"/>
  <c r="E1453" i="6"/>
  <c r="F1453" i="6" s="1"/>
  <c r="E3038" i="6"/>
  <c r="F3038" i="6" s="1"/>
  <c r="E3002" i="6"/>
  <c r="F3002" i="6" s="1"/>
  <c r="E3033" i="6"/>
  <c r="F3033" i="6" s="1"/>
  <c r="E2977" i="6"/>
  <c r="F2977" i="6" s="1"/>
  <c r="E1478" i="6"/>
  <c r="F1478" i="6" s="1"/>
  <c r="E1448" i="6"/>
  <c r="F1448" i="6" s="1"/>
  <c r="E1457" i="6"/>
  <c r="F1457" i="6" s="1"/>
  <c r="E1438" i="6"/>
  <c r="F1438" i="6" s="1"/>
  <c r="E1444" i="6"/>
  <c r="F1444" i="6" s="1"/>
  <c r="E3016" i="6"/>
  <c r="F3016" i="6" s="1"/>
  <c r="E1456" i="6"/>
  <c r="F1456" i="6" s="1"/>
  <c r="E3011" i="6"/>
  <c r="F3011" i="6" s="1"/>
  <c r="E1490" i="6"/>
  <c r="F1490" i="6" s="1"/>
  <c r="E1447" i="6"/>
  <c r="F1447" i="6" s="1"/>
  <c r="E1494" i="6"/>
  <c r="F1494" i="6" s="1"/>
  <c r="E3041" i="6"/>
  <c r="F3041" i="6" s="1"/>
  <c r="E3025" i="6"/>
  <c r="F3025" i="6" s="1"/>
  <c r="E3010" i="6"/>
  <c r="F3010" i="6" s="1"/>
  <c r="E1470" i="6"/>
  <c r="F1470" i="6" s="1"/>
  <c r="E1464" i="6"/>
  <c r="F1464" i="6" s="1"/>
  <c r="E3018" i="6"/>
  <c r="F3018" i="6" s="1"/>
  <c r="E1446" i="6"/>
  <c r="F1446" i="6" s="1"/>
  <c r="E3024" i="6"/>
  <c r="F3024" i="6" s="1"/>
  <c r="E1463" i="6"/>
  <c r="F1463" i="6" s="1"/>
  <c r="E3009" i="6"/>
  <c r="F3009" i="6" s="1"/>
  <c r="E3022" i="6"/>
  <c r="F3022" i="6" s="1"/>
  <c r="E1458" i="6"/>
  <c r="F1458" i="6" s="1"/>
  <c r="E3020" i="6"/>
  <c r="F3020" i="6" s="1"/>
  <c r="E3037" i="6"/>
  <c r="F3037" i="6" s="1"/>
  <c r="E2976" i="6"/>
  <c r="F2976" i="6" s="1"/>
  <c r="E1475" i="6"/>
  <c r="F1475" i="6" s="1"/>
  <c r="E3017" i="6"/>
  <c r="F3017" i="6" s="1"/>
  <c r="E3028" i="6"/>
  <c r="F3028" i="6" s="1"/>
  <c r="E3039" i="6"/>
  <c r="F3039" i="6" s="1"/>
  <c r="E1434" i="6"/>
  <c r="F1434" i="6" s="1"/>
  <c r="E1449" i="6"/>
  <c r="F1449" i="6" s="1"/>
  <c r="E2997" i="6"/>
  <c r="F2997" i="6" s="1"/>
  <c r="E3040" i="6"/>
  <c r="F3040" i="6" s="1"/>
  <c r="E1473" i="6"/>
  <c r="F1473" i="6" s="1"/>
  <c r="E3031" i="6"/>
  <c r="F3031" i="6" s="1"/>
  <c r="E1437" i="6"/>
  <c r="F1437" i="6" s="1"/>
  <c r="E3008" i="6"/>
  <c r="F3008" i="6" s="1"/>
  <c r="E3030" i="6"/>
  <c r="F3030" i="6" s="1"/>
  <c r="E2999" i="6"/>
  <c r="F2999" i="6" s="1"/>
  <c r="E2995" i="6"/>
  <c r="F2995" i="6" s="1"/>
  <c r="E2980" i="6"/>
  <c r="F2980" i="6" s="1"/>
  <c r="E1469" i="6"/>
  <c r="F1469" i="6" s="1"/>
  <c r="E1436" i="6"/>
  <c r="F1436" i="6" s="1"/>
  <c r="E3034" i="6"/>
  <c r="F3034" i="6" s="1"/>
  <c r="E3013" i="6"/>
  <c r="F3013" i="6" s="1"/>
  <c r="E1430" i="6"/>
  <c r="F1430" i="6" s="1"/>
  <c r="E1485" i="6"/>
  <c r="F1485" i="6" s="1"/>
  <c r="E2975" i="6"/>
  <c r="F2975" i="6" s="1"/>
  <c r="E1477" i="6"/>
  <c r="F1477" i="6" s="1"/>
  <c r="E2993" i="6"/>
  <c r="F2993" i="6" s="1"/>
  <c r="E1462" i="6"/>
  <c r="F1462" i="6" s="1"/>
  <c r="E1474" i="6"/>
  <c r="F1474" i="6" s="1"/>
  <c r="E1491" i="6"/>
  <c r="F1491" i="6" s="1"/>
  <c r="E1487" i="6"/>
  <c r="F1487" i="6" s="1"/>
  <c r="E2984" i="6"/>
  <c r="F2984" i="6" s="1"/>
  <c r="E1454" i="6"/>
  <c r="F1454" i="6" s="1"/>
  <c r="E1459" i="6"/>
  <c r="F1459" i="6" s="1"/>
  <c r="E2992" i="6"/>
  <c r="F2992" i="6" s="1"/>
  <c r="E3023" i="6"/>
  <c r="F3023" i="6" s="1"/>
  <c r="E2974" i="6"/>
  <c r="F2974" i="6" s="1"/>
  <c r="E3003" i="6"/>
  <c r="F3003" i="6" s="1"/>
  <c r="E1450" i="6"/>
  <c r="F1450" i="6" s="1"/>
  <c r="E1432" i="6"/>
  <c r="F1432" i="6" s="1"/>
  <c r="E2979" i="6"/>
  <c r="F2979" i="6" s="1"/>
  <c r="E3001" i="6"/>
  <c r="F3001" i="6" s="1"/>
  <c r="E1492" i="6"/>
  <c r="F1492" i="6" s="1"/>
  <c r="E1467" i="6"/>
  <c r="F1467" i="6" s="1"/>
  <c r="E2988" i="6"/>
  <c r="F2988" i="6" s="1"/>
  <c r="E2987" i="6"/>
  <c r="F2987" i="6" s="1"/>
  <c r="E3027" i="6"/>
  <c r="F3027" i="6" s="1"/>
  <c r="E2994" i="6"/>
  <c r="F2994" i="6" s="1"/>
  <c r="E1483" i="6"/>
  <c r="F1483" i="6" s="1"/>
  <c r="E2983" i="6"/>
  <c r="F2983" i="6" s="1"/>
  <c r="E3012" i="6"/>
  <c r="F3012" i="6" s="1"/>
  <c r="E1488" i="6"/>
  <c r="F1488" i="6" s="1"/>
  <c r="E3000" i="6"/>
  <c r="F3000" i="6" s="1"/>
  <c r="E1439" i="6"/>
  <c r="F1439" i="6" s="1"/>
  <c r="E1465" i="6"/>
  <c r="F1465" i="6" s="1"/>
  <c r="E3015" i="6"/>
  <c r="F3015" i="6" s="1"/>
  <c r="E1460" i="6"/>
  <c r="F1460" i="6" s="1"/>
  <c r="E3026" i="6"/>
  <c r="F3026" i="6" s="1"/>
  <c r="E1562" i="6"/>
  <c r="F1562" i="6" s="1"/>
  <c r="E1561" i="6"/>
  <c r="F1561" i="6" s="1"/>
  <c r="E1581" i="6"/>
  <c r="F1581" i="6" s="1"/>
  <c r="E1568" i="6"/>
  <c r="F1568" i="6" s="1"/>
  <c r="E1580" i="6"/>
  <c r="F1580" i="6" s="1"/>
  <c r="E1579" i="6"/>
  <c r="F1579" i="6" s="1"/>
  <c r="E1575" i="6"/>
  <c r="F1575" i="6" s="1"/>
  <c r="E1573" i="6"/>
  <c r="F1573" i="6" s="1"/>
  <c r="E1572" i="6"/>
  <c r="F1572" i="6" s="1"/>
  <c r="E1574" i="6"/>
  <c r="F1574" i="6" s="1"/>
  <c r="E1571" i="6"/>
  <c r="F1571" i="6" s="1"/>
  <c r="E1582" i="6"/>
  <c r="F1582" i="6" s="1"/>
  <c r="E1564" i="6"/>
  <c r="F1564" i="6" s="1"/>
  <c r="E1570" i="6"/>
  <c r="F1570" i="6" s="1"/>
  <c r="E1569" i="6"/>
  <c r="F1569" i="6" s="1"/>
  <c r="E1583" i="6"/>
  <c r="F1583" i="6" s="1"/>
  <c r="E1563" i="6"/>
  <c r="F1563" i="6" s="1"/>
  <c r="E1578" i="6"/>
  <c r="F1578" i="6" s="1"/>
  <c r="E1566" i="6"/>
  <c r="F1566" i="6" s="1"/>
  <c r="E1577" i="6"/>
  <c r="F1577" i="6" s="1"/>
  <c r="E1576" i="6"/>
  <c r="F1576" i="6" s="1"/>
  <c r="E1567" i="6"/>
  <c r="F1567" i="6" s="1"/>
  <c r="E1565" i="6"/>
  <c r="F1565" i="6" s="1"/>
  <c r="E1538" i="6" l="1"/>
  <c r="F1538" i="6" s="1"/>
  <c r="E1531" i="6"/>
  <c r="F1531" i="6" s="1"/>
  <c r="E1522" i="6"/>
  <c r="F1522" i="6" s="1"/>
  <c r="E1548" i="6"/>
  <c r="F1548" i="6" s="1"/>
  <c r="E1553" i="6"/>
  <c r="F1553" i="6" s="1"/>
  <c r="E1499" i="6"/>
  <c r="F1499" i="6" s="1"/>
  <c r="E1552" i="6"/>
  <c r="F1552" i="6" s="1"/>
  <c r="E1515" i="6"/>
  <c r="F1515" i="6" s="1"/>
  <c r="E1508" i="6"/>
  <c r="F1508" i="6" s="1"/>
  <c r="E1523" i="6"/>
  <c r="F1523" i="6" s="1"/>
  <c r="E1518" i="6"/>
  <c r="F1518" i="6" s="1"/>
  <c r="E1528" i="6"/>
  <c r="F1528" i="6" s="1"/>
  <c r="E1530" i="6"/>
  <c r="F1530" i="6" s="1"/>
  <c r="E1527" i="6"/>
  <c r="F1527" i="6" s="1"/>
  <c r="E1547" i="6"/>
  <c r="F1547" i="6" s="1"/>
  <c r="E1536" i="6"/>
  <c r="F1536" i="6" s="1"/>
  <c r="E1542" i="6"/>
  <c r="F1542" i="6" s="1"/>
  <c r="E1526" i="6"/>
  <c r="F1526" i="6" s="1"/>
  <c r="E1510" i="6"/>
  <c r="F1510" i="6" s="1"/>
  <c r="E1502" i="6"/>
  <c r="F1502" i="6" s="1"/>
  <c r="E1519" i="6"/>
  <c r="F1519" i="6" s="1"/>
  <c r="E1501" i="6"/>
  <c r="F1501" i="6" s="1"/>
  <c r="E1546" i="6"/>
  <c r="F1546" i="6" s="1"/>
  <c r="E1503" i="6"/>
  <c r="F1503" i="6" s="1"/>
  <c r="E1550" i="6"/>
  <c r="F1550" i="6" s="1"/>
  <c r="E1513" i="6"/>
  <c r="F1513" i="6" s="1"/>
  <c r="E1507" i="6"/>
  <c r="F1507" i="6" s="1"/>
  <c r="E1540" i="6"/>
  <c r="F1540" i="6" s="1"/>
  <c r="E1516" i="6"/>
  <c r="F1516" i="6" s="1"/>
  <c r="E1545" i="6"/>
  <c r="F1545" i="6" s="1"/>
  <c r="E1514" i="6"/>
  <c r="F1514" i="6" s="1"/>
  <c r="E1534" i="6"/>
  <c r="F1534" i="6" s="1"/>
  <c r="E1551" i="6"/>
  <c r="F1551" i="6" s="1"/>
  <c r="E1543" i="6"/>
  <c r="F1543" i="6" s="1"/>
  <c r="E1524" i="6"/>
  <c r="F1524" i="6" s="1"/>
  <c r="E1512" i="6"/>
  <c r="F1512" i="6" s="1"/>
  <c r="E1509" i="6"/>
  <c r="F1509" i="6" s="1"/>
  <c r="E1506" i="6"/>
  <c r="F1506" i="6" s="1"/>
  <c r="E1544" i="6"/>
  <c r="F1544" i="6" s="1"/>
  <c r="E1529" i="6"/>
  <c r="F1529" i="6" s="1"/>
  <c r="E1549" i="6"/>
  <c r="F1549" i="6" s="1"/>
  <c r="E1505" i="6"/>
  <c r="F1505" i="6" s="1"/>
  <c r="E1517" i="6"/>
  <c r="F1517" i="6" s="1"/>
  <c r="E1532" i="6"/>
  <c r="F1532" i="6" s="1"/>
  <c r="E1520" i="6"/>
  <c r="F1520" i="6" s="1"/>
  <c r="E1537" i="6"/>
  <c r="F1537" i="6" s="1"/>
  <c r="E1511" i="6"/>
  <c r="F1511" i="6" s="1"/>
  <c r="E1504" i="6"/>
  <c r="F1504" i="6" s="1"/>
  <c r="E1541" i="6"/>
  <c r="F1541" i="6" s="1"/>
  <c r="E1500" i="6"/>
  <c r="F1500" i="6" s="1"/>
  <c r="E1525" i="6"/>
  <c r="F1525" i="6" s="1"/>
  <c r="E1533" i="6"/>
  <c r="F1533" i="6" s="1"/>
  <c r="E1535" i="6"/>
  <c r="F1535" i="6" s="1"/>
  <c r="E1521" i="6"/>
  <c r="F1521" i="6" s="1"/>
  <c r="E1539" i="6"/>
  <c r="F1539" i="6" s="1"/>
</calcChain>
</file>

<file path=xl/sharedStrings.xml><?xml version="1.0" encoding="utf-8"?>
<sst xmlns="http://schemas.openxmlformats.org/spreadsheetml/2006/main" count="15426" uniqueCount="2844">
  <si>
    <t>BRESaC Percent Energy Savings from Retrofitting by Component</t>
  </si>
  <si>
    <t>BRESaC Retrofitting Cost per Unit Energy Saved</t>
  </si>
  <si>
    <t>Source:</t>
  </si>
  <si>
    <t>Residential Buildings, Single Family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</si>
  <si>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</si>
  <si>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</si>
  <si>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</si>
  <si>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</si>
  <si>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Annual Energy Outlook 2026</t>
  </si>
  <si>
    <t>Residential Buildings, Multifamily</t>
  </si>
  <si>
    <t>Building Energy Exchange</t>
  </si>
  <si>
    <t>Evaluating New York City’s Multifamily Building Energy Data for Savings Opportunities: Retrofitting Affordability</t>
  </si>
  <si>
    <t>https://be-exchange.org/wp-content/uploads/2017/11/BEEx_Retrofitting_Affordability_Update_Nov2015-1.pdf</t>
  </si>
  <si>
    <t>Table 3, Table 13, Figure 6</t>
  </si>
  <si>
    <t>Commercial Buildings Deep Retrofit Measures</t>
  </si>
  <si>
    <t>PNNL</t>
  </si>
  <si>
    <t>Advanced Energy Retrofit Guides OFFICE BUILDINGS</t>
  </si>
  <si>
    <t>https://www.pnnl.gov/main/publications/external/technical_reports/PNNL-20761.pdf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</si>
  <si>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</si>
  <si>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</si>
  <si>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</si>
  <si>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</si>
  <si>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</si>
  <si>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 C4</t>
  </si>
  <si>
    <t>Commercial Building Energy Consumption Survey 2018</t>
  </si>
  <si>
    <t>https://www.eia.gov/consumption/commercial/data/2018/index.php?view=characteristics#b6-b10</t>
  </si>
  <si>
    <t>Tables B5 and B10</t>
  </si>
  <si>
    <t>U.S. Energy Information Administration</t>
  </si>
  <si>
    <t>https://www.eia.gov/outlooks/aeo/tables_side_xls.php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</si>
  <si>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</si>
  <si>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</si>
  <si>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</si>
  <si>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</si>
  <si>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Tables B5, B10, and C4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</si>
  <si>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</si>
  <si>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</si>
  <si>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</si>
  <si>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</si>
  <si>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t>retrofitting in a scenario where retrofitting is the only enabled policy.  For example, you should</t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</si>
  <si>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</si>
  <si>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</si>
  <si>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</si>
  <si>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</si>
  <si>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t>Single Family</t>
  </si>
  <si>
    <t>Source</t>
  </si>
  <si>
    <t>Average project costs ($)</t>
  </si>
  <si>
    <t>Table 15</t>
  </si>
  <si>
    <t>Average project costs ($/SF)</t>
  </si>
  <si>
    <t>Average site energy reduction (MMBtu)</t>
  </si>
  <si>
    <t>Table 11</t>
  </si>
  <si>
    <t>Average cost per energy reduction ($/btu)</t>
  </si>
  <si>
    <t>Average percent reduction in energy use</t>
  </si>
  <si>
    <t>Multi Family</t>
  </si>
  <si>
    <t>Removing non-heating/cooling/envelope related retrofit costs and savings</t>
  </si>
  <si>
    <t>Building Type</t>
  </si>
  <si>
    <t>Removed Tech</t>
  </si>
  <si>
    <t>Frequency of Rec</t>
  </si>
  <si>
    <t>Total Removed Source Savings (GBTU)</t>
  </si>
  <si>
    <t>Measure cost ($/SF)</t>
  </si>
  <si>
    <t>Frequency adjusted measure costs ($/SF-rec)</t>
  </si>
  <si>
    <t>post war gas low</t>
  </si>
  <si>
    <t>separate dhw from heating</t>
  </si>
  <si>
    <t>install low flow aerators</t>
  </si>
  <si>
    <t>replace boiler</t>
  </si>
  <si>
    <t>post war oil</t>
  </si>
  <si>
    <t>seprrate dhw from heating</t>
  </si>
  <si>
    <t>post war gas mid</t>
  </si>
  <si>
    <t>upgrade boiler</t>
  </si>
  <si>
    <t>pre war gas low</t>
  </si>
  <si>
    <t>install low flow showerheads</t>
  </si>
  <si>
    <t>installe low flow aerators</t>
  </si>
  <si>
    <t>pre war oil mid</t>
  </si>
  <si>
    <t>#2 oil to natural gas</t>
  </si>
  <si>
    <t>#6 oil or #4 oil to natural gas</t>
  </si>
  <si>
    <t>post war gas high</t>
  </si>
  <si>
    <t>pre war oil low</t>
  </si>
  <si>
    <t>all electric</t>
  </si>
  <si>
    <t>upgrade to led</t>
  </si>
  <si>
    <t>upgrade dhw boiler</t>
  </si>
  <si>
    <t>all district steam</t>
  </si>
  <si>
    <t>Replace with LED</t>
  </si>
  <si>
    <t>pre war gas mid</t>
  </si>
  <si>
    <t>Adjusted Savings by Building Type after Removing Uncovered Costs</t>
  </si>
  <si>
    <t>Area (million SF)</t>
  </si>
  <si>
    <t>Total Source Savings (TBTU)</t>
  </si>
  <si>
    <t>Retrofit cost (millions)</t>
  </si>
  <si>
    <t>Adjusted Source Savings (TBTU)</t>
  </si>
  <si>
    <t>Adjusted Costs ($)</t>
  </si>
  <si>
    <t>Cost per BTU Saved</t>
  </si>
  <si>
    <t>Source Energy Use</t>
  </si>
  <si>
    <t>Percent Reduction</t>
  </si>
  <si>
    <t>Floor area weighted cost per unit saved ($)</t>
  </si>
  <si>
    <t>Floor area weighted average percent reduction in energy consumption</t>
  </si>
  <si>
    <t>Average Costs ($/BTU saved)</t>
  </si>
  <si>
    <t>Average reduction in building energy use (%)</t>
  </si>
  <si>
    <t>Share of residential bldg energy use for space heating and cooling (ignoring non-appliance plug loads and "other")</t>
  </si>
  <si>
    <t>Perc reduction heating and cooling energy use</t>
  </si>
  <si>
    <t>Climate</t>
  </si>
  <si>
    <t>Measure</t>
  </si>
  <si>
    <t>Savings as % of Total Site Energy</t>
  </si>
  <si>
    <t>Remaining Site Energy Use</t>
  </si>
  <si>
    <t>Cost</t>
  </si>
  <si>
    <t>Include?</t>
  </si>
  <si>
    <t>Floorspace allocation</t>
  </si>
  <si>
    <t>Average Energy Consumption per Building (MMBtu)</t>
  </si>
  <si>
    <t>Total Reductions</t>
  </si>
  <si>
    <t>Average Building Sqaure Footage*</t>
  </si>
  <si>
    <t>Total Cost</t>
  </si>
  <si>
    <t>Hot &amp; Humid</t>
  </si>
  <si>
    <t>E7 Add AEDG roof insulation</t>
  </si>
  <si>
    <t>Cold</t>
  </si>
  <si>
    <t>Hot &amp; Dry</t>
  </si>
  <si>
    <t>Marine</t>
  </si>
  <si>
    <t>Very Cold</t>
  </si>
  <si>
    <t>HA13 Widen Zone Temperature Deadband, Add Conference Room Standby Control (Upgrade To DDC Zone Control)</t>
  </si>
  <si>
    <t xml:space="preserve">*see EERE doc pg. 51: Financial Analysis </t>
  </si>
  <si>
    <t>Share of commercial bldg energy use for space heating and cooling (ignoring non-appliance plug loads and "other")</t>
  </si>
  <si>
    <t>AEO Table 5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</si>
  <si>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</si>
  <si>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</si>
  <si>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</si>
  <si>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</si>
  <si>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</si>
  <si>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</si>
  <si>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</si>
  <si>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</si>
  <si>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</si>
  <si>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State Abbrev</t>
  </si>
  <si>
    <t>State</t>
  </si>
  <si>
    <t>County</t>
  </si>
  <si>
    <t>Division</t>
  </si>
  <si>
    <t>Total Floor Space (million)</t>
  </si>
  <si>
    <t>Count of County</t>
  </si>
  <si>
    <t>Column Labels</t>
  </si>
  <si>
    <t>AL</t>
  </si>
  <si>
    <t>Alabama</t>
  </si>
  <si>
    <t>Autauga</t>
  </si>
  <si>
    <t>Hot-Humid</t>
  </si>
  <si>
    <t>Row Labels</t>
  </si>
  <si>
    <t>Hot-Dry</t>
  </si>
  <si>
    <t>Mixed-Dry</t>
  </si>
  <si>
    <t>Mixed-Humid</t>
  </si>
  <si>
    <t>Subarctic</t>
  </si>
  <si>
    <t>Total Floor Area</t>
  </si>
  <si>
    <t>Baldwin</t>
  </si>
  <si>
    <t>East North Central Division</t>
  </si>
  <si>
    <t>Barbour</t>
  </si>
  <si>
    <t>East South Central Division</t>
  </si>
  <si>
    <t>Bibb</t>
  </si>
  <si>
    <t>Middle Atlantic Division</t>
  </si>
  <si>
    <t>Blount</t>
  </si>
  <si>
    <t>Mountain Division</t>
  </si>
  <si>
    <t>Bullock</t>
  </si>
  <si>
    <t>New England Division</t>
  </si>
  <si>
    <t>Butler</t>
  </si>
  <si>
    <t>Pacific Division</t>
  </si>
  <si>
    <t>Calhoun</t>
  </si>
  <si>
    <t>South Atlantic Division</t>
  </si>
  <si>
    <t>Chambers</t>
  </si>
  <si>
    <t>West North Central Division</t>
  </si>
  <si>
    <t>Cherokee</t>
  </si>
  <si>
    <t>West South Central Division</t>
  </si>
  <si>
    <t>Chilton</t>
  </si>
  <si>
    <t>Choctaw</t>
  </si>
  <si>
    <t>Clarke</t>
  </si>
  <si>
    <t>Region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</si>
  <si>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</si>
  <si>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</si>
  <si>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</si>
  <si>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</si>
  <si>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</si>
  <si>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</si>
  <si>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</si>
  <si>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</si>
  <si>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</si>
  <si>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</si>
  <si>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</si>
  <si>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Total</t>
  </si>
  <si>
    <t>DeKalb</t>
  </si>
  <si>
    <t>Elmore</t>
  </si>
  <si>
    <t>Share of Floorspace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</si>
  <si>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</si>
  <si>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</si>
  <si>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</si>
  <si>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</si>
  <si>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</si>
  <si>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</si>
  <si>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</si>
  <si>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</si>
  <si>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</si>
  <si>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</si>
  <si>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</si>
  <si>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</si>
  <si>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</si>
  <si>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</si>
  <si>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</si>
  <si>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</si>
  <si>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</si>
  <si>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</si>
  <si>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</si>
  <si>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</si>
  <si>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</si>
  <si>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</si>
  <si>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</si>
  <si>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</si>
  <si>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</si>
  <si>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</si>
  <si>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</si>
  <si>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</si>
  <si>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</si>
  <si>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</si>
  <si>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</si>
  <si>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</si>
  <si>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</si>
  <si>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</si>
  <si>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</si>
  <si>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</si>
  <si>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</si>
  <si>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</si>
  <si>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</si>
  <si>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t>AR</t>
  </si>
  <si>
    <t>Arkansas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</si>
  <si>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</si>
  <si>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</si>
  <si>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</si>
  <si>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</si>
  <si>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</si>
  <si>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</si>
  <si>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</si>
  <si>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</si>
  <si>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</si>
  <si>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</si>
  <si>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</si>
  <si>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</si>
  <si>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</si>
  <si>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</si>
  <si>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</si>
  <si>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</si>
  <si>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</si>
  <si>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</si>
  <si>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</si>
  <si>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</si>
  <si>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</si>
  <si>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</si>
  <si>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</si>
  <si>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</si>
  <si>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</si>
  <si>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</si>
  <si>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</si>
  <si>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</si>
  <si>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</si>
  <si>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</si>
  <si>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</si>
  <si>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</si>
  <si>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</si>
  <si>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</si>
  <si>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</si>
  <si>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</si>
  <si>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</si>
  <si>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</si>
  <si>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</si>
  <si>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</si>
  <si>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</si>
  <si>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t>CA</t>
  </si>
  <si>
    <t>California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</si>
  <si>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</si>
  <si>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</si>
  <si>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</si>
  <si>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</si>
  <si>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</si>
  <si>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</si>
  <si>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</si>
  <si>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</si>
  <si>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</si>
  <si>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</si>
  <si>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CO</t>
  </si>
  <si>
    <t>Colorado</t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</si>
  <si>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</si>
  <si>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</si>
  <si>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</si>
  <si>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</si>
  <si>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</si>
  <si>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</si>
  <si>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</si>
  <si>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</si>
  <si>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</si>
  <si>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</si>
  <si>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</si>
  <si>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</si>
  <si>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</si>
  <si>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</si>
  <si>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</si>
  <si>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</si>
  <si>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</si>
  <si>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</si>
  <si>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</si>
  <si>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</si>
  <si>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</si>
  <si>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</si>
  <si>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</si>
  <si>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</si>
  <si>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</si>
  <si>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</si>
  <si>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</si>
  <si>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</si>
  <si>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</si>
  <si>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</si>
  <si>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</si>
  <si>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</si>
  <si>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</si>
  <si>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</si>
  <si>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</si>
  <si>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</si>
  <si>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</si>
  <si>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</si>
  <si>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</si>
  <si>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</si>
  <si>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t>CT</t>
  </si>
  <si>
    <t>Connecticut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</si>
  <si>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</si>
  <si>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</si>
  <si>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</si>
  <si>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</si>
  <si>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</si>
  <si>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</si>
  <si>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</si>
  <si>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</si>
  <si>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</t>
  </si>
  <si>
    <t>Delaware</t>
  </si>
  <si>
    <t>Kent</t>
  </si>
  <si>
    <t>New Castle</t>
  </si>
  <si>
    <t>Sussex</t>
  </si>
  <si>
    <t>FL</t>
  </si>
  <si>
    <t>Florida</t>
  </si>
  <si>
    <t>Alachua</t>
  </si>
  <si>
    <t>Baker</t>
  </si>
  <si>
    <t>Bay</t>
  </si>
  <si>
    <t>Bradford</t>
  </si>
  <si>
    <t>Brevard</t>
  </si>
  <si>
    <t>GA</t>
  </si>
  <si>
    <t>Georgia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</si>
  <si>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</si>
  <si>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</si>
  <si>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</si>
  <si>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</si>
  <si>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</si>
  <si>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</si>
  <si>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</si>
  <si>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</si>
  <si>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</si>
  <si>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</si>
  <si>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</si>
  <si>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</si>
  <si>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</si>
  <si>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</si>
  <si>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</si>
  <si>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</si>
  <si>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</si>
  <si>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</si>
  <si>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</si>
  <si>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</si>
  <si>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</si>
  <si>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</si>
  <si>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</si>
  <si>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</si>
  <si>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</si>
  <si>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</si>
  <si>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</si>
  <si>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</si>
  <si>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</si>
  <si>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</si>
  <si>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</si>
  <si>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</si>
  <si>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</si>
  <si>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</si>
  <si>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</si>
  <si>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</si>
  <si>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</si>
  <si>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</si>
  <si>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</si>
  <si>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</si>
  <si>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</si>
  <si>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</si>
  <si>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</si>
  <si>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</si>
  <si>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</si>
  <si>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</si>
  <si>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</si>
  <si>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</si>
  <si>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</si>
  <si>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</si>
  <si>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</si>
  <si>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</si>
  <si>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</si>
  <si>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</si>
  <si>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</si>
  <si>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</si>
  <si>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</si>
  <si>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</si>
  <si>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</si>
  <si>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</si>
  <si>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</si>
  <si>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</si>
  <si>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</si>
  <si>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</si>
  <si>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</si>
  <si>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</si>
  <si>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</si>
  <si>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</si>
  <si>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</si>
  <si>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</si>
  <si>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</si>
  <si>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</si>
  <si>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</si>
  <si>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t>HI</t>
  </si>
  <si>
    <t>Hawaii</t>
  </si>
  <si>
    <t>Honolulu</t>
  </si>
  <si>
    <t>Kalawao</t>
  </si>
  <si>
    <t>Kauai</t>
  </si>
  <si>
    <t>Maui</t>
  </si>
  <si>
    <t>ID</t>
  </si>
  <si>
    <t>Idaho</t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</si>
  <si>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</si>
  <si>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</si>
  <si>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</si>
  <si>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</si>
  <si>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</si>
  <si>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</si>
  <si>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</si>
  <si>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</si>
  <si>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</si>
  <si>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</si>
  <si>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</si>
  <si>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</si>
  <si>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</si>
  <si>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</si>
  <si>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</si>
  <si>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</si>
  <si>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</si>
  <si>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</si>
  <si>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</si>
  <si>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</si>
  <si>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</si>
  <si>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</si>
  <si>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</si>
  <si>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</si>
  <si>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</si>
  <si>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</si>
  <si>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IL</t>
  </si>
  <si>
    <t>Illinois</t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</si>
  <si>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</si>
  <si>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</si>
  <si>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</si>
  <si>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</si>
  <si>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</si>
  <si>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</si>
  <si>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</si>
  <si>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</si>
  <si>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</si>
  <si>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</si>
  <si>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</si>
  <si>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</si>
  <si>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</si>
  <si>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</si>
  <si>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</si>
  <si>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</si>
  <si>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</si>
  <si>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</si>
  <si>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</si>
  <si>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</si>
  <si>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</si>
  <si>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</si>
  <si>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</si>
  <si>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</si>
  <si>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</si>
  <si>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</si>
  <si>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</si>
  <si>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</t>
  </si>
  <si>
    <t>Indiana</t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</si>
  <si>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</si>
  <si>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</si>
  <si>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</si>
  <si>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</si>
  <si>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</si>
  <si>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</si>
  <si>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</si>
  <si>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</si>
  <si>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</si>
  <si>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</si>
  <si>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</si>
  <si>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Vigo</t>
  </si>
  <si>
    <t>Warrick</t>
  </si>
  <si>
    <t>Wells</t>
  </si>
  <si>
    <t>Whitley</t>
  </si>
  <si>
    <t>IA</t>
  </si>
  <si>
    <t>Iowa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</si>
  <si>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</si>
  <si>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</si>
  <si>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</si>
  <si>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</si>
  <si>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</si>
  <si>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</si>
  <si>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</si>
  <si>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</si>
  <si>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</si>
  <si>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</si>
  <si>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</si>
  <si>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</si>
  <si>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</si>
  <si>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</si>
  <si>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</si>
  <si>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</si>
  <si>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</si>
  <si>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</si>
  <si>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</si>
  <si>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</si>
  <si>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</si>
  <si>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</si>
  <si>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</si>
  <si>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</si>
  <si>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Jasper</t>
  </si>
  <si>
    <t>Jones</t>
  </si>
  <si>
    <t>Keokuk</t>
  </si>
  <si>
    <t>Kossuth</t>
  </si>
  <si>
    <t>KS</t>
  </si>
  <si>
    <t>Kansas</t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</si>
  <si>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</si>
  <si>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</si>
  <si>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</si>
  <si>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</si>
  <si>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</si>
  <si>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</si>
  <si>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</si>
  <si>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</si>
  <si>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</si>
  <si>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</si>
  <si>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</si>
  <si>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</si>
  <si>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</si>
  <si>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</si>
  <si>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</si>
  <si>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</si>
  <si>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</si>
  <si>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</si>
  <si>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</si>
  <si>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</si>
  <si>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</si>
  <si>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</si>
  <si>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</si>
  <si>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</si>
  <si>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</si>
  <si>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</si>
  <si>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</si>
  <si>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</si>
  <si>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</si>
  <si>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</si>
  <si>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</si>
  <si>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</si>
  <si>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</si>
  <si>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</si>
  <si>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</si>
  <si>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</si>
  <si>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</si>
  <si>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</si>
  <si>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</si>
  <si>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</si>
  <si>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</si>
  <si>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</si>
  <si>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</si>
  <si>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</si>
  <si>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</si>
  <si>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</si>
  <si>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</si>
  <si>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t>KY</t>
  </si>
  <si>
    <t>Kentucky</t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</si>
  <si>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</si>
  <si>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</si>
  <si>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</si>
  <si>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</si>
  <si>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</si>
  <si>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</si>
  <si>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</si>
  <si>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</si>
  <si>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</si>
  <si>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</si>
  <si>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</si>
  <si>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</si>
  <si>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</si>
  <si>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</si>
  <si>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</si>
  <si>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</si>
  <si>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</si>
  <si>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</si>
  <si>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</si>
  <si>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</si>
  <si>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</si>
  <si>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</si>
  <si>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</si>
  <si>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</si>
  <si>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</si>
  <si>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</si>
  <si>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</si>
  <si>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</si>
  <si>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</si>
  <si>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</si>
  <si>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</si>
  <si>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</si>
  <si>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</si>
  <si>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</si>
  <si>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</si>
  <si>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</si>
  <si>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</si>
  <si>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</si>
  <si>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t>LA</t>
  </si>
  <si>
    <t>Louisiana</t>
  </si>
  <si>
    <t>Vernon</t>
  </si>
  <si>
    <t>West Baton Rouge</t>
  </si>
  <si>
    <t>West Carroll</t>
  </si>
  <si>
    <t>West Feliciana</t>
  </si>
  <si>
    <t>Winn</t>
  </si>
  <si>
    <t>ME</t>
  </si>
  <si>
    <t>Maine</t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</si>
  <si>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</si>
  <si>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</si>
  <si>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</si>
  <si>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</si>
  <si>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</si>
  <si>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</si>
  <si>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</si>
  <si>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</si>
  <si>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</si>
  <si>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</si>
  <si>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</si>
  <si>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MD</t>
  </si>
  <si>
    <t>Maryland</t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</si>
  <si>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</si>
  <si>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</si>
  <si>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</si>
  <si>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</si>
  <si>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</si>
  <si>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</si>
  <si>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</si>
  <si>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</si>
  <si>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</si>
  <si>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</si>
  <si>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</si>
  <si>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</si>
  <si>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</si>
  <si>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</si>
  <si>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</si>
  <si>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</si>
  <si>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</si>
  <si>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</si>
  <si>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t>MA</t>
  </si>
  <si>
    <t>Massachusetts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</si>
  <si>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</si>
  <si>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</si>
  <si>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</si>
  <si>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</si>
  <si>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</si>
  <si>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</si>
  <si>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</si>
  <si>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</si>
  <si>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</si>
  <si>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</si>
  <si>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</si>
  <si>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t>MI</t>
  </si>
  <si>
    <t>Michigan</t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</si>
  <si>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</si>
  <si>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</si>
  <si>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</si>
  <si>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</si>
  <si>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</si>
  <si>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</si>
  <si>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</si>
  <si>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</si>
  <si>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</si>
  <si>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</si>
  <si>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</si>
  <si>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</si>
  <si>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</si>
  <si>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</si>
  <si>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t>MN</t>
  </si>
  <si>
    <t>Minnesota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</si>
  <si>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</si>
  <si>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</si>
  <si>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</si>
  <si>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</si>
  <si>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</si>
  <si>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</si>
  <si>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</si>
  <si>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</si>
  <si>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</si>
  <si>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</si>
  <si>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</si>
  <si>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</si>
  <si>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</si>
  <si>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</si>
  <si>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</si>
  <si>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</si>
  <si>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</si>
  <si>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</si>
  <si>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</si>
  <si>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</si>
  <si>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</si>
  <si>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</si>
  <si>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</si>
  <si>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</si>
  <si>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</si>
  <si>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</si>
  <si>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</si>
  <si>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</si>
  <si>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</si>
  <si>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</si>
  <si>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</si>
  <si>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</si>
  <si>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</si>
  <si>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</si>
  <si>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</si>
  <si>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t>MS</t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</si>
  <si>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</si>
  <si>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</si>
  <si>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</si>
  <si>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</si>
  <si>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</si>
  <si>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</si>
  <si>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</si>
  <si>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</si>
  <si>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</si>
  <si>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</si>
  <si>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</si>
  <si>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</si>
  <si>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</si>
  <si>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</si>
  <si>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</si>
  <si>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</si>
  <si>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</si>
  <si>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</si>
  <si>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</si>
  <si>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</si>
  <si>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</si>
  <si>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</si>
  <si>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</si>
  <si>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</si>
  <si>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</si>
  <si>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t>MO</t>
  </si>
  <si>
    <t>Missouri</t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</si>
  <si>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</si>
  <si>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</si>
  <si>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</si>
  <si>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</si>
  <si>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</si>
  <si>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</si>
  <si>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</si>
  <si>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</si>
  <si>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</si>
  <si>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</si>
  <si>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</si>
  <si>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</si>
  <si>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</si>
  <si>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</si>
  <si>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</si>
  <si>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</si>
  <si>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</si>
  <si>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</si>
  <si>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</si>
  <si>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</si>
  <si>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</si>
  <si>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</si>
  <si>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</si>
  <si>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</si>
  <si>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</si>
  <si>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</si>
  <si>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</si>
  <si>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t>MT</t>
  </si>
  <si>
    <t>Montana</t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</si>
  <si>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</si>
  <si>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</si>
  <si>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</si>
  <si>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</si>
  <si>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</si>
  <si>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</si>
  <si>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</si>
  <si>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</si>
  <si>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</si>
  <si>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</si>
  <si>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</si>
  <si>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</si>
  <si>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</si>
  <si>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</si>
  <si>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</si>
  <si>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</si>
  <si>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</si>
  <si>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</si>
  <si>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</si>
  <si>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</si>
  <si>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t>NE</t>
  </si>
  <si>
    <t>Nebraska</t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</si>
  <si>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</si>
  <si>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</si>
  <si>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</si>
  <si>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</si>
  <si>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</si>
  <si>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</si>
  <si>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</si>
  <si>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</si>
  <si>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</si>
  <si>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</si>
  <si>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</si>
  <si>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</si>
  <si>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</si>
  <si>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</si>
  <si>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</si>
  <si>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</si>
  <si>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</si>
  <si>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</si>
  <si>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</si>
  <si>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</si>
  <si>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</si>
  <si>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</si>
  <si>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</si>
  <si>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</si>
  <si>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</si>
  <si>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</si>
  <si>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</si>
  <si>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</si>
  <si>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</si>
  <si>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</si>
  <si>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</si>
  <si>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</si>
  <si>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</si>
  <si>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t>NV</t>
  </si>
  <si>
    <t>Carson City (city)</t>
  </si>
  <si>
    <t>Churchill</t>
  </si>
  <si>
    <t>Elko</t>
  </si>
  <si>
    <t>Esmeralda</t>
  </si>
  <si>
    <t>Eureka</t>
  </si>
  <si>
    <t>NM</t>
  </si>
  <si>
    <t>New Mexico</t>
  </si>
  <si>
    <t>Sandoval</t>
  </si>
  <si>
    <t>Santa Fe</t>
  </si>
  <si>
    <t>Sierra</t>
  </si>
  <si>
    <t>Socorro</t>
  </si>
  <si>
    <t>Taos</t>
  </si>
  <si>
    <t>Torrance</t>
  </si>
  <si>
    <t>Valencia</t>
  </si>
  <si>
    <t>NY</t>
  </si>
  <si>
    <t>New York</t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</si>
  <si>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</si>
  <si>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</si>
  <si>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</si>
  <si>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</si>
  <si>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</si>
  <si>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</si>
  <si>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</si>
  <si>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</si>
  <si>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</si>
  <si>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</si>
  <si>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</si>
  <si>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</si>
  <si>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</si>
  <si>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</si>
  <si>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</si>
  <si>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</si>
  <si>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</si>
  <si>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</si>
  <si>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</si>
  <si>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</si>
  <si>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</si>
  <si>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</si>
  <si>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</si>
  <si>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</si>
  <si>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</si>
  <si>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</si>
  <si>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</si>
  <si>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</si>
  <si>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</si>
  <si>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</si>
  <si>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</si>
  <si>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</si>
  <si>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</si>
  <si>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</si>
  <si>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</si>
  <si>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</si>
  <si>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t>NC</t>
  </si>
  <si>
    <t>North Carolina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</si>
  <si>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</si>
  <si>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</si>
  <si>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</si>
  <si>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</si>
  <si>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</si>
  <si>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</si>
  <si>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</si>
  <si>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</si>
  <si>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</si>
  <si>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</si>
  <si>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</si>
  <si>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</si>
  <si>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</si>
  <si>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</si>
  <si>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</si>
  <si>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</si>
  <si>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</si>
  <si>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</si>
  <si>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</si>
  <si>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</si>
  <si>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</si>
  <si>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</si>
  <si>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</si>
  <si>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</si>
  <si>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</si>
  <si>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</si>
  <si>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</si>
  <si>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t>ND</t>
  </si>
  <si>
    <t>North Dakota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</si>
  <si>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</si>
  <si>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</si>
  <si>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</si>
  <si>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</si>
  <si>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</si>
  <si>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</si>
  <si>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</si>
  <si>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</si>
  <si>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</si>
  <si>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</si>
  <si>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</si>
  <si>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</si>
  <si>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</si>
  <si>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</si>
  <si>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</si>
  <si>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</si>
  <si>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</si>
  <si>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</si>
  <si>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t>OH</t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</si>
  <si>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</si>
  <si>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</si>
  <si>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</si>
  <si>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</si>
  <si>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</si>
  <si>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</si>
  <si>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</si>
  <si>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</si>
  <si>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</si>
  <si>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</si>
  <si>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</si>
  <si>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</si>
  <si>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</si>
  <si>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</si>
  <si>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</si>
  <si>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</si>
  <si>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</si>
  <si>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</si>
  <si>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</si>
  <si>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</si>
  <si>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</si>
  <si>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</si>
  <si>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</si>
  <si>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</si>
  <si>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</si>
  <si>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t>OK</t>
  </si>
  <si>
    <t>Oklahoma</t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</si>
  <si>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</si>
  <si>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</si>
  <si>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</si>
  <si>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</si>
  <si>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</si>
  <si>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</si>
  <si>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</si>
  <si>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</si>
  <si>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t>OR</t>
  </si>
  <si>
    <t>Oregon</t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</si>
  <si>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</si>
  <si>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</si>
  <si>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</si>
  <si>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</si>
  <si>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</si>
  <si>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</si>
  <si>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</si>
  <si>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</si>
  <si>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</si>
  <si>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</si>
  <si>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</si>
  <si>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</si>
  <si>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</si>
  <si>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</si>
  <si>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</si>
  <si>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</si>
  <si>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</si>
  <si>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</si>
  <si>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t>PA</t>
  </si>
  <si>
    <t>Pennsylvania</t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</si>
  <si>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</si>
  <si>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</si>
  <si>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</si>
  <si>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</si>
  <si>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</si>
  <si>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</si>
  <si>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</si>
  <si>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</si>
  <si>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</si>
  <si>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</si>
  <si>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</si>
  <si>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</si>
  <si>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</si>
  <si>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</si>
  <si>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</si>
  <si>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t>SC</t>
  </si>
  <si>
    <t>South Carolina</t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</si>
  <si>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</si>
  <si>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</si>
  <si>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</si>
  <si>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</si>
  <si>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</si>
  <si>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</si>
  <si>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</si>
  <si>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</si>
  <si>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</si>
  <si>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</si>
  <si>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</si>
  <si>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</si>
  <si>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</si>
  <si>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t>SD</t>
  </si>
  <si>
    <t>South Dakota</t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</si>
  <si>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</si>
  <si>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</si>
  <si>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</si>
  <si>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</si>
  <si>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</si>
  <si>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</si>
  <si>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</si>
  <si>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</si>
  <si>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</si>
  <si>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</si>
  <si>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</si>
  <si>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</si>
  <si>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</si>
  <si>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</si>
  <si>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</si>
  <si>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</si>
  <si>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</si>
  <si>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</si>
  <si>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</si>
  <si>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</si>
  <si>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</si>
  <si>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</si>
  <si>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</si>
  <si>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</si>
  <si>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</si>
  <si>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</si>
  <si>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</si>
  <si>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</si>
  <si>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</si>
  <si>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</si>
  <si>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t>TN</t>
  </si>
  <si>
    <t>Tennessee</t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</si>
  <si>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</si>
  <si>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</si>
  <si>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</si>
  <si>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</si>
  <si>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</si>
  <si>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</si>
  <si>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</si>
  <si>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</si>
  <si>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</si>
  <si>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</si>
  <si>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</si>
  <si>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</si>
  <si>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</si>
  <si>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</si>
  <si>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</si>
  <si>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</si>
  <si>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</si>
  <si>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t>TX</t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</si>
  <si>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</si>
  <si>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</si>
  <si>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</si>
  <si>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</si>
  <si>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</si>
  <si>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</si>
  <si>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</si>
  <si>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</si>
  <si>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</si>
  <si>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</si>
  <si>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</si>
  <si>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</si>
  <si>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</si>
  <si>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</si>
  <si>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</si>
  <si>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</si>
  <si>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</si>
  <si>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</si>
  <si>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</si>
  <si>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</si>
  <si>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</si>
  <si>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</si>
  <si>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</si>
  <si>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</si>
  <si>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</si>
  <si>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</si>
  <si>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</si>
  <si>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</si>
  <si>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</si>
  <si>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</si>
  <si>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</si>
  <si>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</si>
  <si>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</si>
  <si>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</si>
  <si>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</si>
  <si>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</si>
  <si>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</si>
  <si>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</si>
  <si>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</si>
  <si>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</si>
  <si>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</si>
  <si>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</si>
  <si>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</si>
  <si>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</si>
  <si>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</si>
  <si>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</si>
  <si>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</si>
  <si>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</si>
  <si>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</si>
  <si>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</si>
  <si>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</si>
  <si>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</si>
  <si>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</si>
  <si>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</si>
  <si>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</si>
  <si>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</si>
  <si>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</si>
  <si>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</si>
  <si>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</si>
  <si>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</si>
  <si>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</si>
  <si>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</si>
  <si>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</si>
  <si>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</si>
  <si>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</si>
  <si>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</si>
  <si>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</si>
  <si>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</si>
  <si>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</si>
  <si>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</si>
  <si>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</si>
  <si>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</si>
  <si>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</si>
  <si>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</si>
  <si>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</si>
  <si>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</si>
  <si>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</si>
  <si>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</si>
  <si>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</si>
  <si>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</si>
  <si>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</si>
  <si>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</si>
  <si>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</si>
  <si>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</si>
  <si>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</si>
  <si>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</si>
  <si>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</si>
  <si>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</si>
  <si>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</si>
  <si>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</si>
  <si>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</t>
  </si>
  <si>
    <t>Utah</t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</si>
  <si>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</si>
  <si>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</si>
  <si>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</si>
  <si>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</si>
  <si>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</si>
  <si>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</si>
  <si>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</si>
  <si>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</si>
  <si>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</si>
  <si>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</si>
  <si>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</si>
  <si>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</si>
  <si>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t>VA</t>
  </si>
  <si>
    <t>Virginia</t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</si>
  <si>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</si>
  <si>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</si>
  <si>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</si>
  <si>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</si>
  <si>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</si>
  <si>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</si>
  <si>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</si>
  <si>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</si>
  <si>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</si>
  <si>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</si>
  <si>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</si>
  <si>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</si>
  <si>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</si>
  <si>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</si>
  <si>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</si>
  <si>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</si>
  <si>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</si>
  <si>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</si>
  <si>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</si>
  <si>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</si>
  <si>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</si>
  <si>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</si>
  <si>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</si>
  <si>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</si>
  <si>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</si>
  <si>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</si>
  <si>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</si>
  <si>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</si>
  <si>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</si>
  <si>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</si>
  <si>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</si>
  <si>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</si>
  <si>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</si>
  <si>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</si>
  <si>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</si>
  <si>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</si>
  <si>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</si>
  <si>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</si>
  <si>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</si>
  <si>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</si>
  <si>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</si>
  <si>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</si>
  <si>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</si>
  <si>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</si>
  <si>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</si>
  <si>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</si>
  <si>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</si>
  <si>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</si>
  <si>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</si>
  <si>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</si>
  <si>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t>WA</t>
  </si>
  <si>
    <t>Walla Walla</t>
  </si>
  <si>
    <t>Whatcom</t>
  </si>
  <si>
    <t>Whitman</t>
  </si>
  <si>
    <t>Yakima</t>
  </si>
  <si>
    <t>WV</t>
  </si>
  <si>
    <t>West Virginia</t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</si>
  <si>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</si>
  <si>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</si>
  <si>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</si>
  <si>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</si>
  <si>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</si>
  <si>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</si>
  <si>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</si>
  <si>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</si>
  <si>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</si>
  <si>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</si>
  <si>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</si>
  <si>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</si>
  <si>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</si>
  <si>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</si>
  <si>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</si>
  <si>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</si>
  <si>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</si>
  <si>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</si>
  <si>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</si>
  <si>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</si>
  <si>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</si>
  <si>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t>WI</t>
  </si>
  <si>
    <t>Wisconsin</t>
  </si>
  <si>
    <t>Ashland</t>
  </si>
  <si>
    <t>Barron</t>
  </si>
  <si>
    <t>Bayfield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</si>
  <si>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</si>
  <si>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</si>
  <si>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</si>
  <si>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</si>
  <si>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</si>
  <si>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</si>
  <si>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</si>
  <si>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</si>
  <si>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</si>
  <si>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</si>
  <si>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</si>
  <si>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</si>
  <si>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</si>
  <si>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AK</t>
  </si>
  <si>
    <t>Alaska</t>
  </si>
  <si>
    <t>Aleutians East</t>
  </si>
  <si>
    <t>Aleutians West (CA)</t>
  </si>
  <si>
    <t>Anchorage</t>
  </si>
  <si>
    <t>Bethel (CA)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</si>
  <si>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</si>
  <si>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</si>
  <si>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</si>
  <si>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</si>
  <si>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</si>
  <si>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</si>
  <si>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</si>
  <si>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</si>
  <si>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</si>
  <si>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</si>
  <si>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</si>
  <si>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</si>
  <si>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</si>
  <si>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</si>
  <si>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</si>
  <si>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</si>
  <si>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</si>
  <si>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</si>
  <si>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</si>
  <si>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</si>
  <si>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</si>
  <si>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</si>
  <si>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</si>
  <si>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</si>
  <si>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</si>
  <si>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</si>
  <si>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</si>
  <si>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</si>
  <si>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</si>
  <si>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</si>
  <si>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</si>
  <si>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</si>
  <si>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</si>
  <si>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</si>
  <si>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</si>
  <si>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</si>
  <si>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</si>
  <si>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</si>
  <si>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</si>
  <si>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</si>
  <si>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</si>
  <si>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</si>
  <si>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</si>
  <si>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</si>
  <si>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</si>
  <si>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</si>
  <si>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</si>
  <si>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</si>
  <si>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</si>
  <si>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</si>
  <si>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</si>
  <si>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</si>
  <si>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</si>
  <si>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</si>
  <si>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</si>
  <si>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</si>
  <si>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</si>
  <si>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</si>
  <si>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</si>
  <si>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</si>
  <si>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</si>
  <si>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</si>
  <si>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</si>
  <si>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</si>
  <si>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</si>
  <si>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</si>
  <si>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</si>
  <si>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</si>
  <si>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</si>
  <si>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</si>
  <si>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</si>
  <si>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</si>
  <si>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</si>
  <si>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</si>
  <si>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</si>
  <si>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</si>
  <si>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</si>
  <si>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</si>
  <si>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</si>
  <si>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</si>
  <si>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</si>
  <si>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</si>
  <si>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</si>
  <si>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</si>
  <si>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</si>
  <si>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</si>
  <si>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</si>
  <si>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</si>
  <si>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</si>
  <si>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</si>
  <si>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</si>
  <si>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</si>
  <si>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</si>
  <si>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</si>
  <si>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</si>
  <si>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</si>
  <si>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</si>
  <si>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</si>
  <si>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</si>
  <si>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</si>
  <si>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</si>
  <si>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</si>
  <si>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</si>
  <si>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</si>
  <si>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</si>
  <si>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</si>
  <si>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</si>
  <si>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</si>
  <si>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</si>
  <si>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</si>
  <si>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</si>
  <si>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</si>
  <si>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</si>
  <si>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</si>
  <si>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</si>
  <si>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</si>
  <si>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</si>
  <si>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</si>
  <si>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</si>
  <si>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</si>
  <si>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</si>
  <si>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</si>
  <si>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</si>
  <si>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</si>
  <si>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</si>
  <si>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</si>
  <si>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</si>
  <si>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</si>
  <si>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</si>
  <si>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</si>
  <si>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</si>
  <si>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</si>
  <si>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</si>
  <si>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</si>
  <si>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</si>
  <si>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</si>
  <si>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</si>
  <si>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</si>
  <si>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</si>
  <si>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</si>
  <si>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</si>
  <si>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</si>
  <si>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</si>
  <si>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</si>
  <si>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</si>
  <si>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</si>
  <si>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</si>
  <si>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</si>
  <si>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</si>
  <si>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</si>
  <si>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</si>
  <si>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</si>
  <si>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</si>
  <si>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</si>
  <si>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</si>
  <si>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</si>
  <si>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</si>
  <si>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</si>
  <si>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</si>
  <si>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Nez Perce</t>
  </si>
  <si>
    <t>Owyhee</t>
  </si>
  <si>
    <t>Payette</t>
  </si>
  <si>
    <t>Power</t>
  </si>
  <si>
    <t>Shoshone</t>
  </si>
  <si>
    <t>Twin Falls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</si>
  <si>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</si>
  <si>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</si>
  <si>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</si>
  <si>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</si>
  <si>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</si>
  <si>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</si>
  <si>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</si>
  <si>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</si>
  <si>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</si>
  <si>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</si>
  <si>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</si>
  <si>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</si>
  <si>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</si>
  <si>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</si>
  <si>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</si>
  <si>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</si>
  <si>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</si>
  <si>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</si>
  <si>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</si>
  <si>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</si>
  <si>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</si>
  <si>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</si>
  <si>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</si>
  <si>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</si>
  <si>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</si>
  <si>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</si>
  <si>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</si>
  <si>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</si>
  <si>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</si>
  <si>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</si>
  <si>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</si>
  <si>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</si>
  <si>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</si>
  <si>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</si>
  <si>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</si>
  <si>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</si>
  <si>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</si>
  <si>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</si>
  <si>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</si>
  <si>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</si>
  <si>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</si>
  <si>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</si>
  <si>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</si>
  <si>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</si>
  <si>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</si>
  <si>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</si>
  <si>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</si>
  <si>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</si>
  <si>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</si>
  <si>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</si>
  <si>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</si>
  <si>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</si>
  <si>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</si>
  <si>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</si>
  <si>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</si>
  <si>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</si>
  <si>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</si>
  <si>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</si>
  <si>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</si>
  <si>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</si>
  <si>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</si>
  <si>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</si>
  <si>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</si>
  <si>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</si>
  <si>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</si>
  <si>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</si>
  <si>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</si>
  <si>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</si>
  <si>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</si>
  <si>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</si>
  <si>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</si>
  <si>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</si>
  <si>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</si>
  <si>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</si>
  <si>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</si>
  <si>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</si>
  <si>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</si>
  <si>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</si>
  <si>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</si>
  <si>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</si>
  <si>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</si>
  <si>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</si>
  <si>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</si>
  <si>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</si>
  <si>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</si>
  <si>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</si>
  <si>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</si>
  <si>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</si>
  <si>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</si>
  <si>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</si>
  <si>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</si>
  <si>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</si>
  <si>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</si>
  <si>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</si>
  <si>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</si>
  <si>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</si>
  <si>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</si>
  <si>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</si>
  <si>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</si>
  <si>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</si>
  <si>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</si>
  <si>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</si>
  <si>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</si>
  <si>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</si>
  <si>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</si>
  <si>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</si>
  <si>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</si>
  <si>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</si>
  <si>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</si>
  <si>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</si>
  <si>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</si>
  <si>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</si>
  <si>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</si>
  <si>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</si>
  <si>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</si>
  <si>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</si>
  <si>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</si>
  <si>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</si>
  <si>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</si>
  <si>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</si>
  <si>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</si>
  <si>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</si>
  <si>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</si>
  <si>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</si>
  <si>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</si>
  <si>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</si>
  <si>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</si>
  <si>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</si>
  <si>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</si>
  <si>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</si>
  <si>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</si>
  <si>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</si>
  <si>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</si>
  <si>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</si>
  <si>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</si>
  <si>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</si>
  <si>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</si>
  <si>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</si>
  <si>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</si>
  <si>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</si>
  <si>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</si>
  <si>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</si>
  <si>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</si>
  <si>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</si>
  <si>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</si>
  <si>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</si>
  <si>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</si>
  <si>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</si>
  <si>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</si>
  <si>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</si>
  <si>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</si>
  <si>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</si>
  <si>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</si>
  <si>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</si>
  <si>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</si>
  <si>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</si>
  <si>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</si>
  <si>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</si>
  <si>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</si>
  <si>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</si>
  <si>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</si>
  <si>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</si>
  <si>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</si>
  <si>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</si>
  <si>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</si>
  <si>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</si>
  <si>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</si>
  <si>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</si>
  <si>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</si>
  <si>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</si>
  <si>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</si>
  <si>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</si>
  <si>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</si>
  <si>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</si>
  <si>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</si>
  <si>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</si>
  <si>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</si>
  <si>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</si>
  <si>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</si>
  <si>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</si>
  <si>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</si>
  <si>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</si>
  <si>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</si>
  <si>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</si>
  <si>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</si>
  <si>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</si>
  <si>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</si>
  <si>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</si>
  <si>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</si>
  <si>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</si>
  <si>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</si>
  <si>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</si>
  <si>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</si>
  <si>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</si>
  <si>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</si>
  <si>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</si>
  <si>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</si>
  <si>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</si>
  <si>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</si>
  <si>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</si>
  <si>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</si>
  <si>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</si>
  <si>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</si>
  <si>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</si>
  <si>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</si>
  <si>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</si>
  <si>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</si>
  <si>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</si>
  <si>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</si>
  <si>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</si>
  <si>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</si>
  <si>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</si>
  <si>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</si>
  <si>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</si>
  <si>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</si>
  <si>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</si>
  <si>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</si>
  <si>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</si>
  <si>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</si>
  <si>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</si>
  <si>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</si>
  <si>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Ozark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</si>
  <si>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</si>
  <si>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</si>
  <si>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</si>
  <si>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</si>
  <si>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</si>
  <si>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</si>
  <si>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</si>
  <si>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</si>
  <si>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</si>
  <si>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</si>
  <si>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</si>
  <si>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</si>
  <si>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</si>
  <si>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</si>
  <si>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</si>
  <si>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</si>
  <si>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</si>
  <si>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</si>
  <si>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</si>
  <si>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</si>
  <si>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</si>
  <si>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</si>
  <si>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</si>
  <si>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</si>
  <si>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</si>
  <si>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</si>
  <si>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</si>
  <si>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</si>
  <si>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</si>
  <si>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</si>
  <si>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</si>
  <si>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</si>
  <si>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</si>
  <si>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</si>
  <si>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</si>
  <si>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</si>
  <si>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</si>
  <si>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</si>
  <si>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</si>
  <si>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</si>
  <si>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</si>
  <si>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</si>
  <si>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</si>
  <si>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</si>
  <si>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</si>
  <si>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</si>
  <si>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</si>
  <si>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</si>
  <si>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</si>
  <si>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</si>
  <si>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</si>
  <si>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</si>
  <si>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</si>
  <si>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</si>
  <si>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</si>
  <si>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</si>
  <si>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</si>
  <si>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</si>
  <si>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</si>
  <si>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</si>
  <si>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</si>
  <si>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</si>
  <si>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</si>
  <si>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</si>
  <si>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</si>
  <si>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</si>
  <si>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</si>
  <si>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</si>
  <si>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</si>
  <si>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</si>
  <si>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</si>
  <si>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</si>
  <si>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Westchester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</si>
  <si>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</si>
  <si>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</si>
  <si>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</si>
  <si>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</si>
  <si>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</si>
  <si>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</si>
  <si>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</si>
  <si>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</si>
  <si>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</si>
  <si>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</si>
  <si>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</si>
  <si>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</si>
  <si>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</si>
  <si>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</si>
  <si>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</si>
  <si>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</si>
  <si>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</si>
  <si>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</si>
  <si>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</si>
  <si>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</si>
  <si>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</si>
  <si>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</si>
  <si>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</si>
  <si>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</si>
  <si>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</si>
  <si>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</si>
  <si>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</si>
  <si>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</si>
  <si>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</si>
  <si>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</si>
  <si>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</si>
  <si>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</si>
  <si>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</si>
  <si>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</si>
  <si>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</si>
  <si>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</si>
  <si>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</si>
  <si>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</si>
  <si>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</si>
  <si>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</si>
  <si>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</si>
  <si>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</si>
  <si>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</si>
  <si>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</si>
  <si>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</si>
  <si>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</si>
  <si>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</si>
  <si>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</si>
  <si>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</si>
  <si>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</si>
  <si>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</si>
  <si>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</si>
  <si>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</si>
  <si>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</si>
  <si>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</si>
  <si>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</si>
  <si>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</si>
  <si>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</si>
  <si>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</si>
  <si>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</si>
  <si>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</si>
  <si>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</si>
  <si>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</si>
  <si>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</si>
  <si>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</si>
  <si>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</si>
  <si>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</si>
  <si>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</si>
  <si>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</si>
  <si>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</si>
  <si>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</si>
  <si>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</si>
  <si>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</si>
  <si>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</si>
  <si>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</si>
  <si>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</si>
  <si>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</si>
  <si>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</si>
  <si>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</si>
  <si>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</si>
  <si>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</si>
  <si>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</si>
  <si>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</si>
  <si>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</si>
  <si>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</si>
  <si>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</si>
  <si>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</si>
  <si>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</si>
  <si>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</si>
  <si>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</si>
  <si>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</si>
  <si>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</si>
  <si>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</si>
  <si>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</si>
  <si>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</si>
  <si>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</si>
  <si>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</si>
  <si>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</si>
  <si>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</si>
  <si>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</si>
  <si>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</si>
  <si>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</si>
  <si>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</si>
  <si>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</si>
  <si>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</si>
  <si>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</si>
  <si>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</si>
  <si>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</si>
  <si>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</si>
  <si>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</si>
  <si>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</si>
  <si>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</si>
  <si>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</si>
  <si>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</si>
  <si>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</si>
  <si>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</si>
  <si>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</si>
  <si>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</si>
  <si>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</si>
  <si>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</si>
  <si>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</si>
  <si>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</si>
  <si>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</si>
  <si>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</si>
  <si>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</si>
  <si>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</si>
  <si>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</si>
  <si>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</si>
  <si>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</si>
  <si>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</si>
  <si>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</si>
  <si>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</si>
  <si>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</si>
  <si>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</si>
  <si>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</si>
  <si>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</si>
  <si>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</si>
  <si>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</si>
  <si>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</si>
  <si>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</si>
  <si>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</si>
  <si>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</si>
  <si>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</si>
  <si>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</si>
  <si>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</si>
  <si>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</si>
  <si>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</si>
  <si>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</si>
  <si>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</si>
  <si>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</si>
  <si>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</si>
  <si>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</si>
  <si>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</si>
  <si>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</si>
  <si>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</si>
  <si>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</si>
  <si>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</si>
  <si>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</si>
  <si>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</si>
  <si>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</si>
  <si>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</si>
  <si>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</si>
  <si>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</si>
  <si>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</si>
  <si>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</si>
  <si>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</si>
  <si>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</si>
  <si>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</si>
  <si>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</si>
  <si>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</si>
  <si>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</si>
  <si>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</si>
  <si>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</si>
  <si>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</si>
  <si>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</si>
  <si>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</si>
  <si>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</si>
  <si>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</si>
  <si>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</si>
  <si>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</si>
  <si>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</si>
  <si>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</si>
  <si>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</si>
  <si>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</si>
  <si>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</si>
  <si>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</si>
  <si>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</si>
  <si>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</si>
  <si>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</si>
  <si>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</si>
  <si>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</si>
  <si>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</si>
  <si>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</si>
  <si>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</si>
  <si>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</si>
  <si>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</si>
  <si>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</si>
  <si>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</si>
  <si>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</si>
  <si>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</si>
  <si>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</si>
  <si>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</si>
  <si>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</si>
  <si>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</si>
  <si>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</si>
  <si>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</si>
  <si>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</si>
  <si>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</si>
  <si>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</si>
  <si>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</si>
  <si>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</si>
  <si>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</si>
  <si>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</si>
  <si>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</si>
  <si>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</si>
  <si>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</si>
  <si>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</si>
  <si>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</si>
  <si>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</si>
  <si>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</si>
  <si>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</si>
  <si>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</si>
  <si>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</si>
  <si>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</si>
  <si>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</si>
  <si>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</si>
  <si>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</si>
  <si>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</si>
  <si>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</si>
  <si>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</si>
  <si>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</si>
  <si>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</si>
  <si>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</si>
  <si>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</si>
  <si>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</si>
  <si>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</si>
  <si>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</si>
  <si>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</si>
  <si>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</si>
  <si>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</si>
  <si>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</si>
  <si>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</si>
  <si>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</si>
  <si>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</si>
  <si>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</si>
  <si>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</si>
  <si>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</si>
  <si>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</si>
  <si>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</si>
  <si>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</si>
  <si>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</si>
  <si>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</si>
  <si>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</si>
  <si>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</si>
  <si>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</si>
  <si>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</si>
  <si>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</si>
  <si>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</si>
  <si>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</si>
  <si>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</si>
  <si>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</si>
  <si>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</si>
  <si>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</si>
  <si>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</si>
  <si>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</si>
  <si>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</si>
  <si>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</si>
  <si>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</si>
  <si>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</si>
  <si>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</si>
  <si>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</si>
  <si>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</si>
  <si>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</si>
  <si>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</si>
  <si>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</si>
  <si>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</si>
  <si>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</si>
  <si>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</si>
  <si>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</si>
  <si>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</si>
  <si>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</si>
  <si>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</si>
  <si>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</si>
  <si>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</si>
  <si>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</si>
  <si>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</si>
  <si>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</si>
  <si>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</si>
  <si>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</si>
  <si>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</si>
  <si>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</si>
  <si>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</si>
  <si>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</si>
  <si>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</si>
  <si>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</si>
  <si>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</si>
  <si>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</si>
  <si>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</si>
  <si>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</si>
  <si>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</si>
  <si>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</si>
  <si>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</si>
  <si>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</si>
  <si>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</si>
  <si>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</si>
  <si>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</si>
  <si>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</si>
  <si>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</si>
  <si>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</si>
  <si>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</si>
  <si>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</si>
  <si>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</si>
  <si>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</si>
  <si>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</si>
  <si>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</si>
  <si>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</si>
  <si>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</si>
  <si>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</si>
  <si>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</si>
  <si>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</si>
  <si>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</si>
  <si>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</si>
  <si>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</si>
  <si>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</si>
  <si>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</si>
  <si>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</si>
  <si>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</si>
  <si>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</si>
  <si>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</si>
  <si>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</si>
  <si>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</si>
  <si>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</si>
  <si>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</si>
  <si>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</si>
  <si>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</si>
  <si>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</si>
  <si>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</si>
  <si>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</si>
  <si>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</si>
  <si>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</si>
  <si>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</si>
  <si>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</si>
  <si>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</si>
  <si>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Release date: September 2021</t>
  </si>
  <si>
    <t>Table B5.  Census region and division, floorspace, 2018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</si>
  <si>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</si>
  <si>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</si>
  <si>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</si>
  <si>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</si>
  <si>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</si>
  <si>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</si>
  <si>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</si>
  <si>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</si>
  <si>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</si>
  <si>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</si>
  <si>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</si>
  <si>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</si>
  <si>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</si>
  <si>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</si>
  <si>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</si>
  <si>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</si>
  <si>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</si>
  <si>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</si>
  <si>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</si>
  <si>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</si>
  <si>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</si>
  <si>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</si>
  <si>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</si>
  <si>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</si>
  <si>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</si>
  <si>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</si>
  <si>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</si>
  <si>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</si>
  <si>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</si>
  <si>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</si>
  <si>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</si>
  <si>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</si>
  <si>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</si>
  <si>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</si>
  <si>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</si>
  <si>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</si>
  <si>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</si>
  <si>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</si>
  <si>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</si>
  <si>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</si>
  <si>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</si>
  <si>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</si>
  <si>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</si>
  <si>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</si>
  <si>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</si>
  <si>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</si>
  <si>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</si>
  <si>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</si>
  <si>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</si>
  <si>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</si>
  <si>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</si>
  <si>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</si>
  <si>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2009</t>
  </si>
  <si>
    <t>2010 to 2018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</si>
  <si>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</si>
  <si>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</si>
  <si>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</si>
  <si>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</si>
  <si>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</si>
  <si>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</si>
  <si>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</si>
  <si>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</si>
  <si>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</si>
  <si>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</si>
  <si>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</si>
  <si>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</si>
  <si>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</si>
  <si>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</si>
  <si>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</si>
  <si>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</si>
  <si>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</si>
  <si>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</si>
  <si>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</si>
  <si>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</si>
  <si>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</si>
  <si>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</si>
  <si>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</si>
  <si>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</si>
  <si>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</si>
  <si>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</si>
  <si>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</si>
  <si>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</si>
  <si>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</si>
  <si>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</si>
  <si>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</si>
  <si>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Unoccupied</t>
  </si>
  <si>
    <t>Government owned</t>
  </si>
  <si>
    <t>Federal</t>
  </si>
  <si>
    <t>Local</t>
  </si>
  <si>
    <t>Party responsible for operation
of energy 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</si>
  <si>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</si>
  <si>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</si>
  <si>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</si>
  <si>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</si>
  <si>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</si>
  <si>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</si>
  <si>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</si>
  <si>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</si>
  <si>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</si>
  <si>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</si>
  <si>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</si>
  <si>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</si>
  <si>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</si>
  <si>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</si>
  <si>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</si>
  <si>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</si>
  <si>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</si>
  <si>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</si>
  <si>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</si>
  <si>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</si>
  <si>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</si>
  <si>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</si>
  <si>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</si>
  <si>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</si>
  <si>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</si>
  <si>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</si>
  <si>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</si>
  <si>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</si>
  <si>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</si>
  <si>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</si>
  <si>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</si>
  <si>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</si>
  <si>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</si>
  <si>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</si>
  <si>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</si>
  <si>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</si>
  <si>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</si>
  <si>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</si>
  <si>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tilt</t>
  </si>
  <si>
    <t>Flat</t>
  </si>
  <si>
    <t>Shallow pitch</t>
  </si>
  <si>
    <t>Steeper pitch</t>
  </si>
  <si>
    <t>Cool roof characteristics (more than one may apply)</t>
  </si>
  <si>
    <t>White/reflective coating or paint</t>
  </si>
  <si>
    <t>White/reflective tiles or shingles</t>
  </si>
  <si>
    <t>Aluminum coating</t>
  </si>
  <si>
    <t>Ballasted roof system</t>
  </si>
  <si>
    <t>Other cool roof property</t>
  </si>
  <si>
    <t>Renovations since 2000 
(more than one may apply)</t>
  </si>
  <si>
    <t>Any type of renovation</t>
  </si>
  <si>
    <t>Addition or annex</t>
  </si>
  <si>
    <t>Reduction in floorspace</t>
  </si>
  <si>
    <t>Roof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</si>
  <si>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</si>
  <si>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</si>
  <si>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</si>
  <si>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</si>
  <si>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</si>
  <si>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</si>
  <si>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</si>
  <si>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</si>
  <si>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</si>
  <si>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</si>
  <si>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2013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</si>
  <si>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</si>
  <si>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</si>
  <si>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</si>
  <si>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</si>
  <si>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</si>
  <si>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</si>
  <si>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</si>
  <si>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 xml:space="preserve">Solar  </t>
  </si>
  <si>
    <t>Wood, coal, and other</t>
  </si>
  <si>
    <t>Space-heating energy sources
(more than one may apply)</t>
  </si>
  <si>
    <t>Other sources1</t>
  </si>
  <si>
    <t>Primary space-heating 
energy source</t>
  </si>
  <si>
    <t>N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</si>
  <si>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</si>
  <si>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</si>
  <si>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</si>
  <si>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</si>
  <si>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</si>
  <si>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</si>
  <si>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</si>
  <si>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</si>
  <si>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</si>
  <si>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 generation</t>
  </si>
  <si>
    <t>Percentage of floorspace heated</t>
  </si>
  <si>
    <t>Not heated</t>
  </si>
  <si>
    <t>1 to 50</t>
  </si>
  <si>
    <t>51 to 99</t>
  </si>
  <si>
    <t>100</t>
  </si>
  <si>
    <t>Percentage of floorspace cooled</t>
  </si>
  <si>
    <t>Not cooled</t>
  </si>
  <si>
    <t>Percentage lit when open</t>
  </si>
  <si>
    <t>Zero</t>
  </si>
  <si>
    <t>Building never open/electricity
not used</t>
  </si>
  <si>
    <t>Percentage lit during off hours</t>
  </si>
  <si>
    <t>51 to 100</t>
  </si>
  <si>
    <t>Building always open with 
no "off hours"</t>
  </si>
  <si>
    <t>Electricity not used</t>
  </si>
  <si>
    <t>Heating equipment 
(more than one may apply)</t>
  </si>
  <si>
    <t>Packaged heating units</t>
  </si>
  <si>
    <t>Furnaces</t>
  </si>
  <si>
    <t>Individual space heaters</t>
  </si>
  <si>
    <t>Boilers</t>
  </si>
  <si>
    <t>Heat pumps</t>
  </si>
  <si>
    <t>Duct reheat</t>
  </si>
  <si>
    <t>Cooling equipment 
(more than one may apply)</t>
  </si>
  <si>
    <t>Packaged air-conditioning units</t>
  </si>
  <si>
    <t>Residential-type central air
conditioners</t>
  </si>
  <si>
    <t>Individual air conditioners</t>
  </si>
  <si>
    <t>Central chillers</t>
  </si>
  <si>
    <t>Swamp coolers</t>
  </si>
  <si>
    <t>HVAC features 
(more than one may apply)</t>
  </si>
  <si>
    <t>Economizer cycle</t>
  </si>
  <si>
    <t>Variable air volume (VAV) system</t>
  </si>
  <si>
    <t>Dedicated outside air system (DOAS)</t>
  </si>
  <si>
    <t>Demand controlled ventilation (DCV)</t>
  </si>
  <si>
    <t>Regular HVAC maintenance</t>
  </si>
  <si>
    <t>Building automation system (BAS) controls heating/cooling</t>
  </si>
  <si>
    <t>Internet-connected/smart thermostat</t>
  </si>
  <si>
    <t>Programmable thermostat</t>
  </si>
  <si>
    <t>Main equipment replaced since 
2000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</si>
  <si>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</si>
  <si>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</si>
  <si>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</si>
  <si>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</si>
  <si>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</si>
  <si>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</si>
  <si>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Generation technologies (more than one may apply)</t>
  </si>
  <si>
    <t>Reciprocating engine generator</t>
  </si>
  <si>
    <t>Solar panels</t>
  </si>
  <si>
    <t>Other generation technology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</si>
  <si>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</si>
  <si>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</si>
  <si>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</si>
  <si>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</si>
  <si>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</si>
  <si>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</si>
  <si>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</si>
  <si>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</si>
  <si>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</si>
  <si>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</si>
  <si>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</si>
  <si>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</si>
  <si>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</si>
  <si>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</si>
  <si>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</si>
  <si>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</si>
  <si>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</si>
  <si>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</si>
  <si>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multiple monitors</t>
  </si>
  <si>
    <t>Laptop computers</t>
  </si>
  <si>
    <t>Dedicated servers</t>
  </si>
  <si>
    <t>Tablets charged in building</t>
  </si>
  <si>
    <t>Large floor-standing office devices2</t>
  </si>
  <si>
    <t>Smaller desktop office devices2</t>
  </si>
  <si>
    <t>Interactive whiteboards</t>
  </si>
  <si>
    <t>Televisions/video displays</t>
  </si>
  <si>
    <t>Point-of-sales devices/cash registers</t>
  </si>
  <si>
    <t>Food preparation or serving areas 
in non-food service buildings
(more than one may apply)</t>
  </si>
  <si>
    <t>Snack bar/concession stand/coffee shop</t>
  </si>
  <si>
    <t>Fast food/small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</si>
  <si>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</si>
  <si>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</si>
  <si>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</si>
  <si>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</si>
  <si>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Server closet</t>
  </si>
  <si>
    <t>Data center or server farm</t>
  </si>
  <si>
    <t>Computer-based training room</t>
  </si>
  <si>
    <t>Student or public computer center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</si>
  <si>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</si>
  <si>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</si>
  <si>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</si>
  <si>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</si>
  <si>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</si>
  <si>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</si>
  <si>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</si>
  <si>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</si>
  <si>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</si>
  <si>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</si>
  <si>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Plug-load control</t>
  </si>
  <si>
    <t>Demand responsive lighting</t>
  </si>
  <si>
    <t>Building automation system (BAS) for lighting</t>
  </si>
  <si>
    <t>Electric vehicle (EV) charging</t>
  </si>
  <si>
    <t>Charging stations associated with the building</t>
  </si>
  <si>
    <t xml:space="preserve">     1Other sources includes wood, coal, solar, and all other energy sources.
     2Office devices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 See Guide to the 2018 CBECS Tables or CBECS Terminology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
     Source: U.S. Energy Information Administration, Office of Energy Consumption and Efficiency Statistics, Form EIA-871A of the 2018 Commercial Buildings Energy Consumption Survey.</t>
  </si>
  <si>
    <t>Table B10.  Number of floors, number of buildings and floorspace, 2018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</si>
  <si>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</si>
  <si>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</si>
  <si>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</si>
  <si>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</si>
  <si>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</si>
  <si>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</si>
  <si>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</si>
  <si>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t>Solar</t>
  </si>
  <si>
    <t>Space-heating energy sources 
(more than one may apply)</t>
  </si>
  <si>
    <t>Buildings with electricity
generation</t>
  </si>
  <si>
    <t>Generation technologies 
(more than one may apply)</t>
  </si>
  <si>
    <t>Reciprocating engine generators</t>
  </si>
  <si>
    <t>Cafeteria/large restaurant</t>
  </si>
  <si>
    <t>Data center</t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</si>
  <si>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</si>
  <si>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</si>
  <si>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</si>
  <si>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</si>
  <si>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</si>
  <si>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</si>
  <si>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</si>
  <si>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</si>
  <si>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</si>
  <si>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</si>
  <si>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</si>
  <si>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</si>
  <si>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</si>
  <si>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</si>
  <si>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2000 to 2003</t>
  </si>
  <si>
    <t>2004 to 2007</t>
  </si>
  <si>
    <t>2008 to 2012</t>
  </si>
  <si>
    <t>Census region and division</t>
  </si>
  <si>
    <t xml:space="preserve">New England </t>
  </si>
  <si>
    <t xml:space="preserve">South Atlantic </t>
  </si>
  <si>
    <t>Climate region1</t>
  </si>
  <si>
    <t>Very cold/Cold</t>
  </si>
  <si>
    <t>Mixed-humid</t>
  </si>
  <si>
    <t>Mixed-dry/Hot-dry</t>
  </si>
  <si>
    <t>Owner occupied and leased</t>
  </si>
  <si>
    <t>Party responsible for operation
and maintenance of energy
systems</t>
  </si>
  <si>
    <t>No one major type</t>
  </si>
  <si>
    <t>Roof characteristics</t>
  </si>
  <si>
    <t>Cool roof</t>
  </si>
  <si>
    <t>Renovations in buildings
constructed before 2008
(more than one may apply)</t>
  </si>
  <si>
    <t>Exterior wall replacement</t>
  </si>
  <si>
    <t>Buildings constructed 2008 or later</t>
  </si>
  <si>
    <t>Percent of floorspace heated</t>
  </si>
  <si>
    <t>Percent of floorspace cooled</t>
  </si>
  <si>
    <t>Percent lit when open</t>
  </si>
  <si>
    <t>Percent lit during off hours</t>
  </si>
  <si>
    <t>Packaged air conditioning units</t>
  </si>
  <si>
    <t>Main equipment replaced since 
1990 (more than one may apply)</t>
  </si>
  <si>
    <t>With flat screen monitors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</si>
  <si>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</si>
  <si>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</si>
  <si>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</si>
  <si>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</si>
  <si>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</si>
  <si>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</si>
  <si>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</si>
  <si>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</si>
  <si>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</si>
  <si>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</si>
  <si>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</si>
  <si>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</si>
  <si>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</si>
  <si>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</si>
  <si>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</si>
  <si>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Snack bar or concession stand</t>
  </si>
  <si>
    <t>Fast food or small restaurant</t>
  </si>
  <si>
    <t>HVAC conservation features 
(more than one may apply)</t>
  </si>
  <si>
    <t>Building automation system (BAS)2</t>
  </si>
  <si>
    <t>Building automation system (BAS) for lighting2</t>
  </si>
  <si>
    <t>Equipment usage reduced when 
building not in full use 
(more than one may apply)</t>
  </si>
  <si>
    <t>Lighting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</si>
  <si>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</si>
  <si>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</si>
  <si>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</si>
  <si>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State (FIPS)</t>
  </si>
  <si>
    <t>Name</t>
  </si>
  <si>
    <t>1</t>
  </si>
  <si>
    <t>Northeast Region</t>
  </si>
  <si>
    <t>2</t>
  </si>
  <si>
    <t>0</t>
  </si>
  <si>
    <t>Midwest Region</t>
  </si>
  <si>
    <t>3</t>
  </si>
  <si>
    <t>4</t>
  </si>
  <si>
    <t>South Region</t>
  </si>
  <si>
    <t>5</t>
  </si>
  <si>
    <t>District of Columbia</t>
  </si>
  <si>
    <t>6</t>
  </si>
  <si>
    <t>7</t>
  </si>
  <si>
    <t>West Region</t>
  </si>
  <si>
    <t>8</t>
  </si>
  <si>
    <t>9</t>
  </si>
  <si>
    <t>Key Indicators</t>
  </si>
  <si>
    <t>Energy Consumption by Fuel</t>
  </si>
  <si>
    <t>Heating Degree Days</t>
  </si>
  <si>
    <t>Cooling Degree Days</t>
  </si>
  <si>
    <t>Nonmarketed Renewable Fuels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</si>
  <si>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</si>
  <si>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</si>
  <si>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</si>
  <si>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</si>
  <si>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</si>
  <si>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</si>
  <si>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</si>
  <si>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</si>
  <si>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</si>
  <si>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</si>
  <si>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$/BTU</t>
  </si>
  <si>
    <t>electrnp.d021826a</t>
  </si>
  <si>
    <t>Report</t>
  </si>
  <si>
    <t>Scenario</t>
  </si>
  <si>
    <t>electrnp</t>
  </si>
  <si>
    <t>Alternative Electricity and Transportation</t>
  </si>
  <si>
    <t>Datekey</t>
  </si>
  <si>
    <t>d021826a</t>
  </si>
  <si>
    <t>Release Date</t>
  </si>
  <si>
    <t>April 2026</t>
  </si>
  <si>
    <t>4. Residential Sector Key Indicators and Consumption</t>
  </si>
  <si>
    <t>(quadrillion Btu, unless otherwise noted)</t>
  </si>
  <si>
    <t>Avg Annual Change</t>
  </si>
  <si>
    <t xml:space="preserve"> Key Indicators and Consumption</t>
  </si>
  <si>
    <t>2025-2050</t>
  </si>
  <si>
    <t xml:space="preserve"> Households (millions)</t>
  </si>
  <si>
    <t>RKI000:ba_Single-Family</t>
  </si>
  <si>
    <t xml:space="preserve">   Single-Family</t>
  </si>
  <si>
    <t>RKI000:ba_Multifamily</t>
  </si>
  <si>
    <t xml:space="preserve">   Multifamily</t>
  </si>
  <si>
    <t>RKI000:ba_MobileHomes</t>
  </si>
  <si>
    <t xml:space="preserve">   Mobile Homes</t>
  </si>
  <si>
    <t>RKI000:ba_Total</t>
  </si>
  <si>
    <t xml:space="preserve">     Total</t>
  </si>
  <si>
    <t>RKI000:ca_AverageHouseS</t>
  </si>
  <si>
    <t xml:space="preserve"> Average House Square Footage</t>
  </si>
  <si>
    <t xml:space="preserve"> Energy Intensity</t>
  </si>
  <si>
    <t xml:space="preserve"> (MMBtu per household)</t>
  </si>
  <si>
    <t>RKI000:da_DeliveredEner</t>
  </si>
  <si>
    <t xml:space="preserve">   Gross End-use Consumption 1/</t>
  </si>
  <si>
    <t>RKI000:da_TotalEnergyCo</t>
  </si>
  <si>
    <t xml:space="preserve">   Delivered Energy Consumption</t>
  </si>
  <si>
    <t xml:space="preserve"> (thousand Btu per square foot)</t>
  </si>
  <si>
    <t>RKI000:ea_DeliveredEner</t>
  </si>
  <si>
    <t>RKI000:ea_TotalEnergyCo</t>
  </si>
  <si>
    <t xml:space="preserve"> Electricity 1/</t>
  </si>
  <si>
    <t>RKI000:fa_SpaceHeating</t>
  </si>
  <si>
    <t xml:space="preserve">   Space Heating</t>
  </si>
  <si>
    <t>RKI000:fa_SpaceCooling</t>
  </si>
  <si>
    <t xml:space="preserve">   Space Cooling</t>
  </si>
  <si>
    <t>RKI000:fa_WaterHeating</t>
  </si>
  <si>
    <t xml:space="preserve">   Water Heating</t>
  </si>
  <si>
    <t>RKI000:fa_Refrigeration</t>
  </si>
  <si>
    <t xml:space="preserve">   Refrigeration</t>
  </si>
  <si>
    <t>RKI000:fa_Cooking</t>
  </si>
  <si>
    <t xml:space="preserve">   Cooking</t>
  </si>
  <si>
    <t>RKI000:fa_ClothesDryers</t>
  </si>
  <si>
    <t xml:space="preserve">   Clothes Dryers</t>
  </si>
  <si>
    <t>RKI000:fa_Freezers</t>
  </si>
  <si>
    <t xml:space="preserve">   Freezers</t>
  </si>
  <si>
    <t>RKI000:fa_Lighting</t>
  </si>
  <si>
    <t xml:space="preserve">   Lighting 2/</t>
  </si>
  <si>
    <t>RKI000:fa_ClothesWasher</t>
  </si>
  <si>
    <t xml:space="preserve">   Clothes Washers 3/</t>
  </si>
  <si>
    <t>RKI000:fa_Dishwashers</t>
  </si>
  <si>
    <t xml:space="preserve">   Dishwashers 3/</t>
  </si>
  <si>
    <t>RKI000:fa_ColorTelevisi</t>
  </si>
  <si>
    <t xml:space="preserve">   Televisions and Related Equipment 4/</t>
  </si>
  <si>
    <t>RKI000:fa_PersonalCompu</t>
  </si>
  <si>
    <t xml:space="preserve">   Computers and Related Equipment 5/</t>
  </si>
  <si>
    <t>RKI000:fa_FurnaceFans</t>
  </si>
  <si>
    <t xml:space="preserve">   Furnace Fans and Boiler Circulation Pumps</t>
  </si>
  <si>
    <t>RKI000:fa_OtherUses</t>
  </si>
  <si>
    <t xml:space="preserve">   Other Uses 6/</t>
  </si>
  <si>
    <t>RKI000:fa_DeliveredEner</t>
  </si>
  <si>
    <t xml:space="preserve">     Gross End-use Electricity Consumption</t>
  </si>
  <si>
    <t>RKI000:fa_PurchElecEVCha</t>
  </si>
  <si>
    <t xml:space="preserve">   Purchased Electricity for Electric Vehicle Charging 7/</t>
  </si>
  <si>
    <t>RKI000:fa_OwnGeneration</t>
  </si>
  <si>
    <t xml:space="preserve">   On-site Generation for Own Use</t>
  </si>
  <si>
    <t>RKI000:fa_PurchasedElec</t>
  </si>
  <si>
    <t xml:space="preserve">     Purchased Electricity at Residential Location 8/</t>
  </si>
  <si>
    <t xml:space="preserve"> Natural Gas</t>
  </si>
  <si>
    <t>RKI000:ga_SpaceHeating</t>
  </si>
  <si>
    <t>RKI000:ga_SpaceCooling</t>
  </si>
  <si>
    <t>RKI000:ga_WaterHeating</t>
  </si>
  <si>
    <t>RKI000:ga_Cooking</t>
  </si>
  <si>
    <t>RKI000:ga_ClothesDryers</t>
  </si>
  <si>
    <t>RKI000:ga_OtherNatGas</t>
  </si>
  <si>
    <t xml:space="preserve">   Other Uses 9/</t>
  </si>
  <si>
    <t>RKI000:ga_DeliveredEner</t>
  </si>
  <si>
    <t xml:space="preserve">     Delivered Energy</t>
  </si>
  <si>
    <t xml:space="preserve"> Distillate Fuel Oil 10/</t>
  </si>
  <si>
    <t>RKI000:ha_SpaceHeating</t>
  </si>
  <si>
    <t>RKI000:ha_WaterHeating</t>
  </si>
  <si>
    <t>RKI000:Other_ha_ha</t>
  </si>
  <si>
    <t xml:space="preserve">   Other Uses 11/</t>
  </si>
  <si>
    <t>RKI000:ha_DeliveredEner</t>
  </si>
  <si>
    <t xml:space="preserve"> Propane</t>
  </si>
  <si>
    <t>RKI000:ia_SpaceHeating</t>
  </si>
  <si>
    <t>RKI000:ia_WaterHeating</t>
  </si>
  <si>
    <t>RKI000:ia_Cooking</t>
  </si>
  <si>
    <t>RKI000:ia_OtherUses</t>
  </si>
  <si>
    <t xml:space="preserve">   Other Uses 12/</t>
  </si>
  <si>
    <t>RKI000:ia_DeliveredEner</t>
  </si>
  <si>
    <t>RKI000:ja_MarketedRenew</t>
  </si>
  <si>
    <t xml:space="preserve"> Marketed Renewables (wood) 13/</t>
  </si>
  <si>
    <t>Energy Consumption by End Use 1/</t>
  </si>
  <si>
    <t>RKI000:ka_SpaceHeating</t>
  </si>
  <si>
    <t xml:space="preserve"> Space Heating</t>
  </si>
  <si>
    <t>RKI000:ka_SpaceCooling</t>
  </si>
  <si>
    <t xml:space="preserve"> Space Cooling</t>
  </si>
  <si>
    <t>RKI000:ka_WaterHeating</t>
  </si>
  <si>
    <t xml:space="preserve"> Water Heating</t>
  </si>
  <si>
    <t>RKI000:ka_Refrigeration</t>
  </si>
  <si>
    <t xml:space="preserve"> Refrigeration</t>
  </si>
  <si>
    <t>RKI000:ka_Cooking</t>
  </si>
  <si>
    <t xml:space="preserve"> Cooking</t>
  </si>
  <si>
    <t>RKI000:ka_ClothesDryers</t>
  </si>
  <si>
    <t xml:space="preserve"> Clothes Dryers</t>
  </si>
  <si>
    <t>RKI000:ka_Freezers</t>
  </si>
  <si>
    <t xml:space="preserve"> Freezers</t>
  </si>
  <si>
    <t>RKI000:ka_Lighting</t>
  </si>
  <si>
    <t xml:space="preserve"> Lighting 2/</t>
  </si>
  <si>
    <t>RKI000:ka_ClothesWasher</t>
  </si>
  <si>
    <t xml:space="preserve"> Clothes Washers 3/</t>
  </si>
  <si>
    <t>RKI000:ka_Dishwashers</t>
  </si>
  <si>
    <t xml:space="preserve"> Dishwashers 3/</t>
  </si>
  <si>
    <t>RKI000:ka_ColorTelevisi</t>
  </si>
  <si>
    <t xml:space="preserve"> Televisions and Related Equipment 4/</t>
  </si>
  <si>
    <t>RKI000:ka_PersonalCompu</t>
  </si>
  <si>
    <t xml:space="preserve"> Computers and Related Equipment 5/</t>
  </si>
  <si>
    <t>RKI000:ka_FurnaceFans</t>
  </si>
  <si>
    <t xml:space="preserve"> Furnace Fans and Boiler Circulation Pumps</t>
  </si>
  <si>
    <t>RKI000:ka_OtherUses</t>
  </si>
  <si>
    <t xml:space="preserve"> Other Uses 14/</t>
  </si>
  <si>
    <t>RKI000:ka_GrsEndUseCons</t>
  </si>
  <si>
    <t xml:space="preserve">    Gross End-use Electricity Consumption</t>
  </si>
  <si>
    <t>RKI000:ka_PurElecEVCha</t>
  </si>
  <si>
    <t xml:space="preserve"> Purchased Electricity for Electric Vehicle Charging 7/</t>
  </si>
  <si>
    <t>RKI000:ka_OwnGeneration</t>
  </si>
  <si>
    <t xml:space="preserve"> On-site Generation for Own Use</t>
  </si>
  <si>
    <t>RKI000:ka_DeliveredEner</t>
  </si>
  <si>
    <t xml:space="preserve">    Delivered Energy 8/</t>
  </si>
  <si>
    <t>RKI000:la_ElectricityRe</t>
  </si>
  <si>
    <t>Electricity Related Losses 15/</t>
  </si>
  <si>
    <t>Total Energy Consumption by End Use 1/</t>
  </si>
  <si>
    <t>RKI000:ma_SpaceHeating</t>
  </si>
  <si>
    <t>RKI000:ma_SpaceCooling</t>
  </si>
  <si>
    <t>RKI000:ma_WaterHeating</t>
  </si>
  <si>
    <t>RKI000:ma_Refrigeration</t>
  </si>
  <si>
    <t>RKI000:ma_Cooking</t>
  </si>
  <si>
    <t>RKI000:ma_ClothesDryers</t>
  </si>
  <si>
    <t>RKI000:ma_Freezers</t>
  </si>
  <si>
    <t>RKI000:ma_Lighting</t>
  </si>
  <si>
    <t>RKI000:ma_ClothesWasher</t>
  </si>
  <si>
    <t>RKI000:ma_Dishwashers</t>
  </si>
  <si>
    <t>RKI000:ma_ColorTelevisi</t>
  </si>
  <si>
    <t>RKI000:ma_PersonalCompu</t>
  </si>
  <si>
    <t>RKI000:ma_FurnaceFans</t>
  </si>
  <si>
    <t>RKI000:ma_OtherUses</t>
  </si>
  <si>
    <t>RKI000:ma_Total</t>
  </si>
  <si>
    <t xml:space="preserve">   Total Gross End-use Consumption</t>
  </si>
  <si>
    <t>RKI000:ma_PurElecEVCha</t>
  </si>
  <si>
    <t>RKI000:ma_OwnGeneration</t>
  </si>
  <si>
    <t>RKI000:ma_TtllOwnUseGen</t>
  </si>
  <si>
    <t>Total Energy 8/</t>
  </si>
  <si>
    <t xml:space="preserve">Nonmarketed Renewables </t>
  </si>
  <si>
    <t>RKI000:na_SolarHotWater</t>
  </si>
  <si>
    <t xml:space="preserve">  Solar Hot Water Heating</t>
  </si>
  <si>
    <t>RKI000:na_SolarPhotovol</t>
  </si>
  <si>
    <t xml:space="preserve">  Solar Photovoltaic 16/</t>
  </si>
  <si>
    <t>RKI000:na_WindHuffPuff</t>
  </si>
  <si>
    <t xml:space="preserve">  Wind 16/</t>
  </si>
  <si>
    <t>RKI000:na_Total</t>
  </si>
  <si>
    <t xml:space="preserve">    Total</t>
  </si>
  <si>
    <t>RKI000:hdd_NewEngland</t>
  </si>
  <si>
    <t xml:space="preserve">   New England</t>
  </si>
  <si>
    <t>RKI000:hdd_MiddleAtlant</t>
  </si>
  <si>
    <t xml:space="preserve">   Middle Atlantic</t>
  </si>
  <si>
    <t>RKI000:hdd_EastNorthCen</t>
  </si>
  <si>
    <t xml:space="preserve">   East North Central</t>
  </si>
  <si>
    <t>RKI000:hdd_WestNorthCen</t>
  </si>
  <si>
    <t xml:space="preserve">   West North Central</t>
  </si>
  <si>
    <t>RKI000:hdd_SouthAtlantc</t>
  </si>
  <si>
    <t xml:space="preserve">   South Atlantic</t>
  </si>
  <si>
    <t>RKI000:hdd_EastSouthCen</t>
  </si>
  <si>
    <t xml:space="preserve">   East South Central</t>
  </si>
  <si>
    <t>RKI000:hdd_WestSouthCen</t>
  </si>
  <si>
    <t xml:space="preserve">   West South Central</t>
  </si>
  <si>
    <t>RKI000:hdd_Mountain</t>
  </si>
  <si>
    <t xml:space="preserve">   Mountain</t>
  </si>
  <si>
    <t>RKI000:hdd_Pacific</t>
  </si>
  <si>
    <t xml:space="preserve">   Pacific</t>
  </si>
  <si>
    <t>RKI000:hdd_UnitedStates</t>
  </si>
  <si>
    <t xml:space="preserve">      United States</t>
  </si>
  <si>
    <t>RKI000:cdd_NewEngland</t>
  </si>
  <si>
    <t>RKI000:cdd_MiddleAtlant</t>
  </si>
  <si>
    <t>RKI000:cdd_EastNorthCen</t>
  </si>
  <si>
    <t>RKI000:cdd_WestNorthCen</t>
  </si>
  <si>
    <t>RKI000:cdd_SouthAtlantc</t>
  </si>
  <si>
    <t>RKI000:cdd_EastSouthCen</t>
  </si>
  <si>
    <t>RKI000:cdd_WestSouthCen</t>
  </si>
  <si>
    <t>RKI000:cdd_Mountain</t>
  </si>
  <si>
    <t>RKI000:cdd_Pacific</t>
  </si>
  <si>
    <t>RKI000:cdd_UnitedStates</t>
  </si>
  <si>
    <t>Data source: U.S. Energy Information Administration (EIA), Short-Term Energy Outlook, November 2025, and EIA, Annual Energy Outlook 2026 (AEO2026)</t>
  </si>
  <si>
    <t>National Energy Modeling System (NEMS) run electrnp.d021826a. Projections: EIA, AEO2026 NEMS run electrnp.d021826a.</t>
  </si>
  <si>
    <t xml:space="preserve">Note: Totals may not equal sum of components due to independent rounding. </t>
  </si>
  <si>
    <t xml:space="preserve">1/ Unless otherwise specified, energy consumption by end use includes all electricity consumed for that end use, </t>
  </si>
  <si>
    <t>including purchased electricity and on-site generation for own use.</t>
  </si>
  <si>
    <t>2/ Does not include Wi-Fi energy consumption associated with smart lighting.</t>
  </si>
  <si>
    <t>3/ Does not include water heating portion of load.</t>
  </si>
  <si>
    <t>4/ Includes televisions, set-top boxes, home theater systems, over-the-top streaming devices, and video game consoles.</t>
  </si>
  <si>
    <t>5/ Includes desktop and laptop computers, monitors, and networking equipment.</t>
  </si>
  <si>
    <t xml:space="preserve">6/ Includes (but is not limited to) dehumidifiers, ceiling fans, non-PC rechargeables, smart speakers, smartphones, tablets, microwaves, </t>
  </si>
  <si>
    <t xml:space="preserve">coffee makers, miscellaneous refrigeration products, other small kitchen appliances, pool heaters, pool pumps, portable electric spas, and </t>
  </si>
  <si>
    <t>security systems, as well as electric and electronic devices, heating elements, and motors not listed above.</t>
  </si>
  <si>
    <t>7/ Electricity consumption when a vehicle is plugged in and charging at a residential location.</t>
  </si>
  <si>
    <t>8/ Equal to gross end-use consumption plus purchased electricity for electric vehicle charging less on-site generation for own use.</t>
  </si>
  <si>
    <t>9/ Includes such appliances as outdoor grills, natural gas-fueled lights, pool heaters, spa heaters, and backup electricity generators.</t>
  </si>
  <si>
    <t>10/ Includes kerosene use.</t>
  </si>
  <si>
    <t>11/ Includes such appliances as pool heaters, spa heaters, and backup electricity generators.</t>
  </si>
  <si>
    <t>12/ Includes such appliances as outdoor grills, propane-fueled lights, pool heaters, spa heaters, and backup electricity generators.</t>
  </si>
  <si>
    <t>13/ Includes wood used for primary and secondary heating in wood stoves or fireplaces as reported in the Residential Energy Consumption</t>
  </si>
  <si>
    <t>Survey.</t>
  </si>
  <si>
    <t>14/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</si>
  <si>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</si>
  <si>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</si>
  <si>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</t>
  </si>
  <si>
    <t>15/ Includes electricity losses for all electricity consumption at the residential location, including electric vehicle charging.</t>
  </si>
  <si>
    <t>16/ Consumption for solar photovoltaic and wind reflects the generation converted to Btu by multiplying by the heat content of electricity (3,412 Btu/kWh).</t>
  </si>
  <si>
    <t>Btu = British thermal unit</t>
  </si>
  <si>
    <t>kWH = kilowatthour</t>
  </si>
  <si>
    <t>-- = Not applicable</t>
  </si>
  <si>
    <t>5. Commercial Sector Key Indicators and Consumption</t>
  </si>
  <si>
    <t xml:space="preserve"> Total Floorspace (billion square feet) 1/</t>
  </si>
  <si>
    <t>CKI000:da_Surviving</t>
  </si>
  <si>
    <t xml:space="preserve">   Surviving</t>
  </si>
  <si>
    <t>CKI000:da_NewAdditions</t>
  </si>
  <si>
    <t xml:space="preserve">   New Additions</t>
  </si>
  <si>
    <t>CKI000:da_Total</t>
  </si>
  <si>
    <t xml:space="preserve"> Energy Consumption Intensity</t>
  </si>
  <si>
    <t>CKI000:ea_DeliveredEner</t>
  </si>
  <si>
    <t xml:space="preserve">   Gross End-use Consumption  2/</t>
  </si>
  <si>
    <t>CKI000:ea_ElectricityRe</t>
  </si>
  <si>
    <t xml:space="preserve"> Electricity  2/</t>
  </si>
  <si>
    <t>CKI000:ga_SpaceHeating</t>
  </si>
  <si>
    <t xml:space="preserve">   Space Heating 3/</t>
  </si>
  <si>
    <t>CKI000:ga_SpaceCooling</t>
  </si>
  <si>
    <t xml:space="preserve">   Space Cooling 3/ 4/</t>
  </si>
  <si>
    <t>CKI000:ga_WaterHeating</t>
  </si>
  <si>
    <t xml:space="preserve">   Water Heating 3/</t>
  </si>
  <si>
    <t>CKI000:ga_Ventilation</t>
  </si>
  <si>
    <t xml:space="preserve">   Ventilation 4/</t>
  </si>
  <si>
    <t>CKI000:ga_Cooking</t>
  </si>
  <si>
    <t>CKI000:ga_Lighting</t>
  </si>
  <si>
    <t xml:space="preserve">   Lighting</t>
  </si>
  <si>
    <t>CKI000:ga_Refrigeration</t>
  </si>
  <si>
    <t>CKI000:ga_DataCtrServ</t>
  </si>
  <si>
    <t xml:space="preserve">   Data Center Servers 4/</t>
  </si>
  <si>
    <t>CKI000:ha_CompOfficeEquipme</t>
  </si>
  <si>
    <t xml:space="preserve">   Computers and office equipment 5/</t>
  </si>
  <si>
    <t>CKI000:ha_OtherUses</t>
  </si>
  <si>
    <t xml:space="preserve">   Other Uses 4/ 6/</t>
  </si>
  <si>
    <t>CKI000:ha_ElecSubtotal</t>
  </si>
  <si>
    <t>CKI000:ha_PurchElecEVCha</t>
  </si>
  <si>
    <t>CKI000:ha_OwnGeneration</t>
  </si>
  <si>
    <t>CKI000:ha_PurchasedElec</t>
  </si>
  <si>
    <t xml:space="preserve">     Purchased Electricity at Commercial Location 8/</t>
  </si>
  <si>
    <t>CKI000:ia_SpaceHeating</t>
  </si>
  <si>
    <t>CKI000:ia_SpaceCooling</t>
  </si>
  <si>
    <t xml:space="preserve">   Space Cooling 3/</t>
  </si>
  <si>
    <t>CKI000:ia_WaterHeating</t>
  </si>
  <si>
    <t>CKI000:ia_Cooking</t>
  </si>
  <si>
    <t>CKI000:ia_OtherUses</t>
  </si>
  <si>
    <t>CKI000:ia_DeliveredEner</t>
  </si>
  <si>
    <t xml:space="preserve"> Distillate Fuel Oil</t>
  </si>
  <si>
    <t>CKI000:ja_SpaceHeating</t>
  </si>
  <si>
    <t>CKI000:ja_WaterHeating</t>
  </si>
  <si>
    <t>CKI000:ja_OtherUses</t>
  </si>
  <si>
    <t xml:space="preserve">   Other Uses 10/</t>
  </si>
  <si>
    <t>CKI000:ja_DeliveredEner</t>
  </si>
  <si>
    <t>CKI000:ka_MarketedRenew</t>
  </si>
  <si>
    <t xml:space="preserve"> Marketed Renewables (biomass)</t>
  </si>
  <si>
    <t>CKI000:ka_OtherFuels</t>
  </si>
  <si>
    <t xml:space="preserve"> Other Fuels 11/</t>
  </si>
  <si>
    <t>Energy Consumption by End Use 2/</t>
  </si>
  <si>
    <t>CKI000:la_SpaceHeating</t>
  </si>
  <si>
    <t>CKI000:la_SpaceCooling</t>
  </si>
  <si>
    <t>CKI000:la_WaterHeating</t>
  </si>
  <si>
    <t>CKI000:la_Ventilation</t>
  </si>
  <si>
    <t>CKI000:la_Cooking</t>
  </si>
  <si>
    <t>CKI000:la_Lighting</t>
  </si>
  <si>
    <t>CKI000:la_Refrigeration</t>
  </si>
  <si>
    <t>CKI000:la_DataCtrServ</t>
  </si>
  <si>
    <t>CKI000:ma_CompOfficeEquipme</t>
  </si>
  <si>
    <t>CKI000:ma_OtherUses</t>
  </si>
  <si>
    <t xml:space="preserve">   Other Uses 4/ 11/ 12/</t>
  </si>
  <si>
    <t>CKI000:ma_GrsEndUseCons</t>
  </si>
  <si>
    <t xml:space="preserve">     Gross End-use Consumption</t>
  </si>
  <si>
    <t>CKI000:ma_PurchElecEVCha</t>
  </si>
  <si>
    <t>CKI000:ma_OwnGeneration</t>
  </si>
  <si>
    <t>CKI000:ma_DeliveredEner</t>
  </si>
  <si>
    <t xml:space="preserve">     Delivered Energy 8/</t>
  </si>
  <si>
    <t>CKI000:na_ElectricityRe</t>
  </si>
  <si>
    <t>Electricity Related Losses 13/</t>
  </si>
  <si>
    <t>Total Energy Consumption by End Use 2/</t>
  </si>
  <si>
    <t>CKI000:oa_SpaceHeating</t>
  </si>
  <si>
    <t>CKI000:oa_SpaceCooling</t>
  </si>
  <si>
    <t>CKI000:oa_WaterHeating</t>
  </si>
  <si>
    <t>CKI000:oa_Ventilation</t>
  </si>
  <si>
    <t>CKI000:oa_Cooking</t>
  </si>
  <si>
    <t>CKI000:oa_Lighting</t>
  </si>
  <si>
    <t>CKI000:oa_Refrigeration</t>
  </si>
  <si>
    <t>CKI000:oa_DataCtrServ</t>
  </si>
  <si>
    <t>CKI000:pa_CompOfficeEquipme</t>
  </si>
  <si>
    <t>CKI000:pa_OtherUses</t>
  </si>
  <si>
    <t>CKI000:pa_Total</t>
  </si>
  <si>
    <t xml:space="preserve">     Total Gross End-use Consumption</t>
  </si>
  <si>
    <t>CKI000:pa_PurchElecEVCha</t>
  </si>
  <si>
    <t>CKI000:pa_OwnGeneration</t>
  </si>
  <si>
    <t>CKI000:pa_TtllOwnUseGen</t>
  </si>
  <si>
    <t>CKI000:qa_SolarThermal</t>
  </si>
  <si>
    <t xml:space="preserve">  Solar Thermal</t>
  </si>
  <si>
    <t>CKI000:qa_SolarPhotovol</t>
  </si>
  <si>
    <t xml:space="preserve">  Solar Photovoltaic 14/</t>
  </si>
  <si>
    <t>CKI000:qa_EKnowitzWindy</t>
  </si>
  <si>
    <t xml:space="preserve">  Wind 14/</t>
  </si>
  <si>
    <t>CKI000:qa_TotalSolar</t>
  </si>
  <si>
    <t>CKI000:hdd_NewEngland</t>
  </si>
  <si>
    <t>CKI000:hdd_MiddleAtlant</t>
  </si>
  <si>
    <t>CKI000:hdd_EastNorthCen</t>
  </si>
  <si>
    <t>CKI000:hdd_WestNorthCen</t>
  </si>
  <si>
    <t>CKI000:hdd_SouthAtlantc</t>
  </si>
  <si>
    <t>CKI000:hdd_EastSouthCen</t>
  </si>
  <si>
    <t>CKI000:hdd_WestSouthCen</t>
  </si>
  <si>
    <t>CKI000:hdd_Mountain</t>
  </si>
  <si>
    <t>CKI000:hdd_Pacific</t>
  </si>
  <si>
    <t>CKI000:hdd_UnitedStates</t>
  </si>
  <si>
    <t>CKI000:cdd_NewEngland</t>
  </si>
  <si>
    <t>CKI000:cdd_MiddleAtlant</t>
  </si>
  <si>
    <t>CKI000:cdd_EastNorthCen</t>
  </si>
  <si>
    <t>CKI000:cdd_WestNorthCen</t>
  </si>
  <si>
    <t>CKI000:cdd_SouthAtlantc</t>
  </si>
  <si>
    <t>CKI000:cdd_EastSouthCen</t>
  </si>
  <si>
    <t>CKI000:cdd_WestSouthCen</t>
  </si>
  <si>
    <t>CKI000:cdd_Mountain</t>
  </si>
  <si>
    <t>CKI000:cdd_Pacific</t>
  </si>
  <si>
    <t>CKI000:cdd_UnitedStates</t>
  </si>
  <si>
    <t>1/ Represents all floorspace in the commercial sector, including floorspace operating as on-premise data centers and</t>
  </si>
  <si>
    <t>server rooms within each applicable commercial building type. Standalone data centers are not modeled as a distinct building type in NEMS,</t>
  </si>
  <si>
    <t>but associated floorspace is implicitly represented in the "Other" building type.</t>
  </si>
  <si>
    <t>2/ Unless otherwise specified, energy consumption by end use includes all electricity consumed for that end use,</t>
  </si>
  <si>
    <t>3/ Includes fuel consumption for district services.</t>
  </si>
  <si>
    <t>4/ Includes energy consumed by all commercial buildings, including on-premise data centers and server rooms. Compared with non-data center floorspace,</t>
  </si>
  <si>
    <t>the on-premise data center proportion of floorspace exhibits a higher energy use intensity for space cooling,</t>
  </si>
  <si>
    <t>ventilation (for air exchange), computing, and other uses (miscellaneous electric loads, such as uninterruptible power supplies).</t>
  </si>
  <si>
    <t>5/ Includes energy consumed by desktop computers, monitors, laptops, video displays, copiers, scanners, faxes, printers, and multifunction devices.</t>
  </si>
  <si>
    <t>6/ Includes (but is not limited to) miscellaneous uses such as transformers, medical imaging and other medical equipment, elevators,</t>
  </si>
  <si>
    <t>escalators, off-road electric vehicles, laboratory fume hoods, laundry equipment, and coffee brewers. Also includes non-building uses</t>
  </si>
  <si>
    <t>such as telecommunication equipment, water services, parking garages, street lights, pumps, bridges, and other public services</t>
  </si>
  <si>
    <t>if the establishment operating them is classified as commercial.</t>
  </si>
  <si>
    <t>7/ Electricity consumption when a vehicle is plugged in and charging at a commercial location.</t>
  </si>
  <si>
    <t>9/ Includes miscellaneous uses, such as emergency generators, combined heat and power in commercial buildings, and manufacturing</t>
  </si>
  <si>
    <t>performed in commercial buildings.</t>
  </si>
  <si>
    <t>10/ Includes miscellaneous uses, such as cooking, emergency generators, and combined heat and power in commercial buildings.</t>
  </si>
  <si>
    <t>11/ Includes residual fuel oil, propane, coal, motor gasoline, and kerosene.</t>
  </si>
  <si>
    <t>12/ Includes (but is not limited to) miscellaneous uses such as transformers, medical imaging and other medical equipment, elevators,</t>
  </si>
  <si>
    <t>escalators, off-road electric vehicles, laboratory fume hoods, laundry equipment, coffee brewers, emergency generators, combined heat</t>
  </si>
  <si>
    <t>and power in commercial buildings, manufacturing performed in commercial buildings, and cooking (distillate). Also includes</t>
  </si>
  <si>
    <t>non-building uses such as telecommunication equipment, water services, parking garages, street lights, pumps, bridges, and other</t>
  </si>
  <si>
    <t>public services if the establishment operating them is classified as commercial.</t>
  </si>
  <si>
    <t>13/ Includes electricity losses for all electricity consumption at the commercial location, including electric vehicle charging.</t>
  </si>
  <si>
    <t>14/ Consumption for solar photovoltaic and wind reflects the generation converted to Btu by multiplying by the heat content of electricity (3,412 Btu/kWh).</t>
  </si>
  <si>
    <t>Residential</t>
  </si>
  <si>
    <t>Alternative electricity and transportation: Table 4</t>
  </si>
  <si>
    <t>Commercial</t>
  </si>
  <si>
    <t>Alternative electricity and transportation: 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</si>
</sst>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0.0E+00"/>
    <numFmt numFmtId="167" formatCode="_(* #,##0_);_(* \(#,##0\);_(* &quot;-&quot;??_);_(@_)"/>
    <numFmt numFmtId="168" formatCode="#,##0.0"/>
    <numFmt numFmtId="169" formatCode="0.00000"/>
    <numFmt numFmtId="170" formatCode="0.000"/>
    <numFmt numFmtId="171" formatCode="0.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/>
      <right/>
      <top style="thin">
        <color theme="0" tint="-0.24994659260841701"/>
      </top>
      <bottom style="thick">
        <color theme="4"/>
      </bottom>
      <diagonal/>
    </border>
    <border>
      <left/>
      <right/>
      <top style="thin">
        <color theme="0" tint="-0.24994659260841701"/>
      </top>
      <bottom style="thick">
        <color rgb="FF0096D7"/>
      </bottom>
      <diagonal/>
    </border>
  </borders>
  <cellStyleXfs count="36">
    <xf numFmtId="0" fontId="0" fillId="0" borderId="0"/>
    <xf numFmtId="44" fontId="1" fillId="0" borderId="0"/>
    <xf numFmtId="9" fontId="1" fillId="0" borderId="0"/>
    <xf numFmtId="0" fontId="3" fillId="0" borderId="0"/>
    <xf numFmtId="0" fontId="4" fillId="0" borderId="0"/>
    <xf numFmtId="0" fontId="5" fillId="0" borderId="2">
      <alignment wrapText="1"/>
    </xf>
    <xf numFmtId="0" fontId="6" fillId="0" borderId="0">
      <alignment horizontal="left"/>
    </xf>
    <xf numFmtId="0" fontId="5" fillId="0" borderId="3">
      <alignment wrapText="1"/>
    </xf>
    <xf numFmtId="0" fontId="4" fillId="0" borderId="4">
      <alignment wrapText="1"/>
    </xf>
    <xf numFmtId="0" fontId="4" fillId="0" borderId="5">
      <alignment wrapText="1"/>
    </xf>
    <xf numFmtId="43" fontId="1" fillId="0" borderId="0"/>
    <xf numFmtId="0" fontId="14" fillId="4" borderId="0"/>
    <xf numFmtId="0" fontId="4" fillId="0" borderId="0"/>
    <xf numFmtId="0" fontId="13" fillId="0" borderId="11">
      <alignment vertical="top" wrapText="1"/>
    </xf>
    <xf numFmtId="0" fontId="13" fillId="0" borderId="13">
      <alignment wrapText="1"/>
    </xf>
    <xf numFmtId="0" fontId="16" fillId="0" borderId="14">
      <alignment wrapText="1"/>
    </xf>
    <xf numFmtId="0" fontId="16" fillId="0" borderId="1">
      <alignment wrapText="1"/>
    </xf>
    <xf numFmtId="0" fontId="17" fillId="0" borderId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16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8" fillId="0" borderId="0" xfId="0" applyFont="1" applyProtection="1">
      <protection locked="0"/>
    </xf>
    <xf numFmtId="49" fontId="8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left" vertical="center"/>
      <protection locked="0"/>
    </xf>
    <xf numFmtId="49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quotePrefix="1" applyFont="1" applyProtection="1">
      <protection locked="0"/>
    </xf>
    <xf numFmtId="49" fontId="8" fillId="0" borderId="0" xfId="0" quotePrefix="1" applyNumberFormat="1" applyFont="1" applyProtection="1">
      <protection locked="0"/>
    </xf>
    <xf numFmtId="0" fontId="8" fillId="0" borderId="0" xfId="0" quotePrefix="1" applyFont="1" applyAlignment="1" applyProtection="1">
      <alignment horizontal="left" indent="1"/>
      <protection locked="0"/>
    </xf>
    <xf numFmtId="0" fontId="8" fillId="0" borderId="0" xfId="0" quotePrefix="1" applyFont="1" applyAlignment="1" applyProtection="1">
      <alignment horizontal="left" indent="2"/>
      <protection locked="0"/>
    </xf>
    <xf numFmtId="0" fontId="10" fillId="0" borderId="0" xfId="0" applyFont="1" applyAlignment="1">
      <alignment wrapText="1"/>
    </xf>
    <xf numFmtId="3" fontId="11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2" fillId="0" borderId="2" xfId="5" applyFont="1">
      <alignment wrapText="1"/>
    </xf>
    <xf numFmtId="0" fontId="12" fillId="0" borderId="10" xfId="8" applyFont="1" applyBorder="1">
      <alignment wrapText="1"/>
    </xf>
    <xf numFmtId="0" fontId="12" fillId="0" borderId="3" xfId="7" applyFont="1">
      <alignment wrapText="1"/>
    </xf>
    <xf numFmtId="0" fontId="11" fillId="0" borderId="4" xfId="8" applyFont="1">
      <alignment wrapText="1"/>
    </xf>
    <xf numFmtId="0" fontId="11" fillId="0" borderId="4" xfId="8" applyFont="1" applyAlignment="1">
      <alignment horizontal="left" wrapText="1" indent="1"/>
    </xf>
    <xf numFmtId="0" fontId="11" fillId="0" borderId="4" xfId="8" quotePrefix="1" applyFont="1">
      <alignment wrapText="1"/>
    </xf>
    <xf numFmtId="0" fontId="11" fillId="0" borderId="4" xfId="8" applyFont="1" applyAlignment="1">
      <alignment horizontal="left" wrapText="1"/>
    </xf>
    <xf numFmtId="10" fontId="0" fillId="0" borderId="0" xfId="0" applyNumberFormat="1"/>
    <xf numFmtId="166" fontId="0" fillId="0" borderId="0" xfId="0" applyNumberFormat="1"/>
    <xf numFmtId="3" fontId="11" fillId="0" borderId="10" xfId="8" applyNumberFormat="1" applyFont="1" applyBorder="1" applyAlignment="1">
      <alignment horizontal="right" wrapText="1"/>
    </xf>
    <xf numFmtId="3" fontId="12" fillId="0" borderId="3" xfId="7" applyNumberFormat="1" applyFont="1" applyAlignment="1">
      <alignment horizontal="right" wrapText="1"/>
    </xf>
    <xf numFmtId="3" fontId="11" fillId="0" borderId="4" xfId="8" applyNumberFormat="1" applyFont="1" applyAlignment="1">
      <alignment horizontal="right" wrapText="1"/>
    </xf>
    <xf numFmtId="1" fontId="0" fillId="0" borderId="0" xfId="0" applyNumberFormat="1"/>
    <xf numFmtId="167" fontId="0" fillId="0" borderId="0" xfId="10" applyNumberFormat="1" applyFont="1"/>
    <xf numFmtId="167" fontId="0" fillId="0" borderId="0" xfId="0" applyNumberFormat="1"/>
    <xf numFmtId="3" fontId="0" fillId="0" borderId="0" xfId="0" applyNumberFormat="1"/>
    <xf numFmtId="0" fontId="12" fillId="0" borderId="2" xfId="5" applyFont="1" applyAlignment="1">
      <alignment horizontal="right" wrapText="1"/>
    </xf>
    <xf numFmtId="168" fontId="11" fillId="0" borderId="10" xfId="8" applyNumberFormat="1" applyFont="1" applyBorder="1" applyAlignment="1">
      <alignment horizontal="right" wrapText="1"/>
    </xf>
    <xf numFmtId="168" fontId="12" fillId="0" borderId="3" xfId="7" applyNumberFormat="1" applyFont="1" applyAlignment="1">
      <alignment horizontal="right" wrapText="1"/>
    </xf>
    <xf numFmtId="168" fontId="11" fillId="0" borderId="4" xfId="8" applyNumberFormat="1" applyFont="1" applyAlignment="1">
      <alignment horizontal="right" wrapText="1"/>
    </xf>
    <xf numFmtId="165" fontId="1" fillId="0" borderId="0" xfId="2" applyNumberFormat="1"/>
    <xf numFmtId="0" fontId="14" fillId="4" borderId="0" xfId="11"/>
    <xf numFmtId="165" fontId="14" fillId="4" borderId="0" xfId="11" applyNumberFormat="1"/>
    <xf numFmtId="164" fontId="14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0" fontId="10" fillId="0" borderId="0" xfId="0" applyFont="1"/>
    <xf numFmtId="0" fontId="11" fillId="0" borderId="13" xfId="14" applyFont="1" applyAlignment="1">
      <alignment horizontal="left" wrapText="1" indent="1"/>
    </xf>
    <xf numFmtId="3" fontId="11" fillId="0" borderId="13" xfId="14" applyNumberFormat="1" applyFont="1" applyAlignment="1">
      <alignment horizontal="right" wrapText="1"/>
    </xf>
    <xf numFmtId="0" fontId="11" fillId="0" borderId="13" xfId="14" applyFont="1">
      <alignment wrapText="1"/>
    </xf>
    <xf numFmtId="3" fontId="11" fillId="0" borderId="8" xfId="14" applyNumberFormat="1" applyFont="1" applyBorder="1" applyAlignment="1">
      <alignment horizontal="right" wrapText="1"/>
    </xf>
    <xf numFmtId="0" fontId="12" fillId="0" borderId="8" xfId="14" applyFont="1" applyBorder="1">
      <alignment wrapText="1"/>
    </xf>
    <xf numFmtId="3" fontId="11" fillId="0" borderId="15" xfId="15" applyNumberFormat="1" applyFont="1" applyBorder="1" applyAlignment="1">
      <alignment horizontal="right" wrapText="1"/>
    </xf>
    <xf numFmtId="3" fontId="11" fillId="0" borderId="14" xfId="15" applyNumberFormat="1" applyFont="1" applyAlignment="1">
      <alignment horizontal="right" wrapText="1"/>
    </xf>
    <xf numFmtId="0" fontId="12" fillId="0" borderId="8" xfId="15" applyFont="1" applyBorder="1">
      <alignment wrapText="1"/>
    </xf>
    <xf numFmtId="3" fontId="11" fillId="0" borderId="16" xfId="14" applyNumberFormat="1" applyFont="1" applyBorder="1" applyAlignment="1">
      <alignment horizontal="right" wrapText="1"/>
    </xf>
    <xf numFmtId="0" fontId="12" fillId="0" borderId="16" xfId="15" applyFont="1" applyBorder="1">
      <alignment wrapText="1"/>
    </xf>
    <xf numFmtId="0" fontId="11" fillId="0" borderId="13" xfId="14" applyFont="1" applyAlignment="1">
      <alignment horizontal="left" wrapText="1"/>
    </xf>
    <xf numFmtId="0" fontId="12" fillId="0" borderId="16" xfId="14" applyFont="1" applyBorder="1">
      <alignment wrapText="1"/>
    </xf>
    <xf numFmtId="0" fontId="12" fillId="0" borderId="14" xfId="15" applyFont="1">
      <alignment wrapText="1"/>
    </xf>
    <xf numFmtId="0" fontId="11" fillId="0" borderId="17" xfId="14" applyFont="1" applyBorder="1">
      <alignment wrapText="1"/>
    </xf>
    <xf numFmtId="0" fontId="11" fillId="0" borderId="13" xfId="14" quotePrefix="1" applyFont="1">
      <alignment wrapText="1"/>
    </xf>
    <xf numFmtId="3" fontId="11" fillId="0" borderId="18" xfId="15" applyNumberFormat="1" applyFont="1" applyBorder="1" applyAlignment="1">
      <alignment horizontal="right" wrapText="1"/>
    </xf>
    <xf numFmtId="3" fontId="11" fillId="0" borderId="0" xfId="14" applyNumberFormat="1" applyFont="1" applyBorder="1" applyAlignment="1">
      <alignment horizontal="right" wrapText="1"/>
    </xf>
    <xf numFmtId="3" fontId="11" fillId="0" borderId="10" xfId="14" applyNumberFormat="1" applyFont="1" applyBorder="1" applyAlignment="1">
      <alignment horizontal="right" wrapText="1"/>
    </xf>
    <xf numFmtId="0" fontId="12" fillId="0" borderId="10" xfId="14" applyFont="1" applyBorder="1">
      <alignment wrapText="1"/>
    </xf>
    <xf numFmtId="3" fontId="12" fillId="0" borderId="1" xfId="16" applyNumberFormat="1" applyFont="1" applyAlignment="1">
      <alignment horizontal="right" wrapText="1"/>
    </xf>
    <xf numFmtId="0" fontId="12" fillId="0" borderId="1" xfId="16" applyFont="1">
      <alignment wrapText="1"/>
    </xf>
    <xf numFmtId="3" fontId="12" fillId="0" borderId="0" xfId="0" applyNumberFormat="1" applyFont="1" applyAlignment="1">
      <alignment horizontal="left" wrapText="1"/>
    </xf>
    <xf numFmtId="0" fontId="17" fillId="0" borderId="0" xfId="17" applyAlignment="1">
      <alignment horizontal="left" wrapText="1"/>
    </xf>
    <xf numFmtId="3" fontId="11" fillId="0" borderId="13" xfId="14" applyNumberFormat="1" applyFont="1">
      <alignment wrapText="1"/>
    </xf>
    <xf numFmtId="0" fontId="12" fillId="0" borderId="13" xfId="14" applyFont="1">
      <alignment wrapText="1"/>
    </xf>
    <xf numFmtId="3" fontId="12" fillId="0" borderId="14" xfId="15" applyNumberFormat="1" applyFont="1" applyAlignment="1">
      <alignment horizontal="right" wrapText="1"/>
    </xf>
    <xf numFmtId="3" fontId="12" fillId="0" borderId="13" xfId="14" applyNumberFormat="1" applyFont="1" applyAlignment="1">
      <alignment horizontal="right" wrapText="1"/>
    </xf>
    <xf numFmtId="11" fontId="2" fillId="6" borderId="6" xfId="0" applyNumberFormat="1" applyFont="1" applyFill="1" applyBorder="1"/>
    <xf numFmtId="165" fontId="1" fillId="6" borderId="0" xfId="2" applyNumberFormat="1" applyFill="1"/>
    <xf numFmtId="9" fontId="0" fillId="6" borderId="0" xfId="2" applyFont="1" applyFill="1"/>
    <xf numFmtId="0" fontId="18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3" fontId="12" fillId="0" borderId="9" xfId="0" applyNumberFormat="1" applyFont="1" applyBorder="1" applyAlignment="1">
      <alignment horizontal="left" wrapText="1"/>
    </xf>
    <xf numFmtId="0" fontId="0" fillId="0" borderId="8" xfId="0" applyBorder="1"/>
    <xf numFmtId="0" fontId="15" fillId="0" borderId="5" xfId="13" applyFont="1" applyBorder="1">
      <alignment vertical="top" wrapText="1"/>
    </xf>
    <xf numFmtId="0" fontId="0" fillId="0" borderId="5" xfId="0" applyBorder="1"/>
    <xf numFmtId="0" fontId="12" fillId="0" borderId="9" xfId="0" applyFont="1" applyBorder="1" applyAlignment="1">
      <alignment horizontal="left"/>
    </xf>
    <xf numFmtId="0" fontId="17" fillId="0" borderId="0" xfId="17" applyAlignment="1">
      <alignment horizontal="left" wrapText="1"/>
    </xf>
    <xf numFmtId="3" fontId="11" fillId="0" borderId="0" xfId="0" applyNumberFormat="1" applyFont="1"/>
    <xf numFmtId="3" fontId="12" fillId="0" borderId="7" xfId="0" applyNumberFormat="1" applyFont="1" applyBorder="1" applyAlignment="1">
      <alignment horizontal="left" wrapText="1"/>
    </xf>
    <xf numFmtId="0" fontId="0" fillId="0" borderId="7" xfId="0" applyBorder="1"/>
    <xf numFmtId="3" fontId="12" fillId="0" borderId="8" xfId="0" applyNumberFormat="1" applyFont="1" applyBorder="1" applyAlignment="1">
      <alignment horizontal="left" wrapText="1"/>
    </xf>
    <xf numFmtId="3" fontId="12" fillId="0" borderId="12" xfId="0" applyNumberFormat="1" applyFont="1" applyBorder="1" applyAlignment="1">
      <alignment horizontal="left" wrapText="1"/>
    </xf>
    <xf numFmtId="0" fontId="0" fillId="0" borderId="12" xfId="0" applyBorder="1"/>
    <xf numFmtId="0" fontId="13" fillId="0" borderId="11" xfId="13">
      <alignment vertical="top" wrapText="1"/>
    </xf>
    <xf numFmtId="0" fontId="0" fillId="0" borderId="11" xfId="0" applyBorder="1"/>
    <xf numFmtId="0" fontId="6" fillId="0" borderId="0" xfId="6" applyAlignment="1">
      <alignment horizontal="left" wrapText="1"/>
    </xf>
    <xf numFmtId="0" fontId="12" fillId="0" borderId="8" xfId="0" applyFont="1" applyBorder="1" applyAlignment="1">
      <alignment horizontal="left" wrapText="1"/>
    </xf>
    <xf numFmtId="0" fontId="12" fillId="0" borderId="19" xfId="5" applyFont="1" applyBorder="1" applyAlignment="1">
      <alignment horizontal="right" wrapText="1"/>
    </xf>
    <xf numFmtId="0" fontId="0" fillId="0" borderId="1" xfId="0" applyBorder="1"/>
    <xf numFmtId="0" fontId="12" fillId="0" borderId="20" xfId="5" applyFont="1" applyBorder="1" applyAlignment="1">
      <alignment horizontal="right" wrapText="1"/>
    </xf>
    <xf numFmtId="0" fontId="0" fillId="0" borderId="2" xfId="0" applyBorder="1"/>
    <xf numFmtId="0" fontId="7" fillId="0" borderId="0" xfId="0" applyFont="1" applyAlignment="1" applyProtection="1">
      <alignment wrapText="1"/>
      <protection locked="0"/>
    </xf>
    <xf numFmtId="0" fontId="0" fillId="0" borderId="0" xfId="0" applyProtection="1">
      <protection locked="0"/>
    </xf>
  </cellXfs>
  <cellStyles count="36">
    <cellStyle name="Bad" xfId="11" builtinId="27"/>
    <cellStyle name="Body: normal cell" xfId="8" xr:uid="{00000000-0005-0000-0000-000008000000}"/>
    <cellStyle name="Body: normal cell 2" xfId="14" xr:uid="{00000000-0005-0000-0000-00000E000000}"/>
    <cellStyle name="Body: normal cell 2 2" xfId="28" xr:uid="{00000000-0005-0000-0000-00001C000000}"/>
    <cellStyle name="Body: normal cell 3" xfId="20" xr:uid="{00000000-0005-0000-0000-000014000000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0000000-0005-0000-0000-000016000000}"/>
    <cellStyle name="Font: Calibri, 9pt regular 3" xfId="26" xr:uid="{00000000-0005-0000-0000-00001A000000}"/>
    <cellStyle name="Footnotes: top row" xfId="9" xr:uid="{00000000-0005-0000-0000-000009000000}"/>
    <cellStyle name="Footnotes: top row 2" xfId="13" xr:uid="{00000000-0005-0000-0000-00000D000000}"/>
    <cellStyle name="Footnotes: top row 2 2" xfId="29" xr:uid="{00000000-0005-0000-0000-00001D000000}"/>
    <cellStyle name="Footnotes: top row 3" xfId="18" xr:uid="{00000000-0005-0000-0000-000012000000}"/>
    <cellStyle name="Header: bottom row" xfId="5" xr:uid="{00000000-0005-0000-0000-000005000000}"/>
    <cellStyle name="Header: bottom row 2" xfId="16" xr:uid="{00000000-0005-0000-0000-000010000000}"/>
    <cellStyle name="Header: bottom row 2 2" xfId="30" xr:uid="{00000000-0005-0000-0000-00001E000000}"/>
    <cellStyle name="Header: bottom row 3" xfId="21" xr:uid="{00000000-0005-0000-0000-000015000000}"/>
    <cellStyle name="Hyperlink" xfId="3" builtinId="8"/>
    <cellStyle name="Normal" xfId="0" builtinId="0"/>
    <cellStyle name="Normal 2" xfId="12" xr:uid="{00000000-0005-0000-0000-00000C000000}"/>
    <cellStyle name="Normal 3" xfId="27" xr:uid="{00000000-0005-0000-0000-00001B000000}"/>
    <cellStyle name="Normal 3 2" xfId="34" xr:uid="{00000000-0005-0000-0000-000022000000}"/>
    <cellStyle name="Normal 4" xfId="25" xr:uid="{00000000-0005-0000-0000-000019000000}"/>
    <cellStyle name="Normal 5" xfId="24" xr:uid="{00000000-0005-0000-0000-000018000000}"/>
    <cellStyle name="Normal 5 2" xfId="35" xr:uid="{00000000-0005-0000-0000-000023000000}"/>
    <cellStyle name="Normal 6" xfId="33" xr:uid="{00000000-0005-0000-0000-000021000000}"/>
    <cellStyle name="Parent row" xfId="7" xr:uid="{00000000-0005-0000-0000-000007000000}"/>
    <cellStyle name="Parent row 2" xfId="15" xr:uid="{00000000-0005-0000-0000-00000F000000}"/>
    <cellStyle name="Parent row 2 2" xfId="31" xr:uid="{00000000-0005-0000-0000-00001F000000}"/>
    <cellStyle name="Parent row 3" xfId="19" xr:uid="{00000000-0005-0000-0000-000013000000}"/>
    <cellStyle name="Percent" xfId="2" builtinId="5"/>
    <cellStyle name="Table title" xfId="6" xr:uid="{00000000-0005-0000-0000-000006000000}"/>
    <cellStyle name="Table title 2" xfId="17" xr:uid="{00000000-0005-0000-0000-000011000000}"/>
    <cellStyle name="Table title 2 2" xfId="32" xr:uid="{00000000-0005-0000-0000-000020000000}"/>
    <cellStyle name="Table title 3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0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1.eere.energy.gov/buildings/publications/pdfs/building_america/ba_climateguide_7_1.pdf" TargetMode="External"/><Relationship Id="rId5" Type="http://schemas.openxmlformats.org/officeDocument/2006/relationships/hyperlink" Target="https://www.eia.gov/consumption/commercial/data/2018/index.php?view=characteristics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0"/>
  <sheetViews>
    <sheetView tabSelected="1" topLeftCell="A37" workbookViewId="0">
      <selection activeCell="B52" sqref="B52"/>
    </sheetView>
  </sheetViews>
  <sheetFormatPr defaultRowHeight="14.25" x14ac:dyDescent="0.45"/>
  <cols>
    <col min="2" max="2" width="73.19921875" customWidth="1"/>
  </cols>
  <sheetData>
    <row r="1" spans="1:2" x14ac:dyDescent="0.45">
      <c r="A1" s="2" t="s">
        <v>0</v>
      </c>
    </row>
    <row r="2" spans="1:2" x14ac:dyDescent="0.45">
      <c r="A2" s="2" t="s">
        <v>1</v>
      </c>
    </row>
    <row r="4" spans="1:2" x14ac:dyDescent="0.45">
      <c r="A4" s="2" t="s">
        <v>2</v>
      </c>
      <c r="B4" s="6" t="s">
        <v>3</v>
      </c>
    </row>
    <row r="5" spans="1:2" x14ac:dyDescent="0.45">
      <c r="B5" t="s">
        <v>4</v>
      </c>
    </row>
    <row r="6" spans="1:2" x14ac:dyDescent="0.45">
      <c r="B6" s="3">
        <v>2014</v>
      </c>
    </row>
    <row r="7" spans="1:2" x14ac:dyDescent="0.45">
      <c r="B7" t="s">
        <v>5</v>
      </c>
    </row>
    <row r="8" spans="1:2" x14ac:dyDescent="0.45">
      <c r="B8" s="4" t="s">
        <v>6</v>
      </c>
    </row>
    <row r="9" spans="1:2" x14ac:dyDescent="0.45">
      <c r="B9" t="s">
        <v>7</v>
      </c>
    </row>
    <row r="10" spans="1:2" x14ac:dyDescent="0.45">
      <c r="B10" t="s">
        <v>8</v>
      </c>
    </row>
    <row r="11" spans="1:2" x14ac:dyDescent="0.45">
      <c r="B11" s="6" t="s">
        <v>9</v>
      </c>
    </row>
    <row r="12" spans="1:2" x14ac:dyDescent="0.45">
      <c r="B12" t="s">
        <v>10</v>
      </c>
    </row>
    <row r="13" spans="1:2" x14ac:dyDescent="0.45">
      <c r="B13" s="3">
        <v>2015</v>
      </c>
    </row>
    <row r="14" spans="1:2" x14ac:dyDescent="0.45">
      <c r="B14" t="s">
        <v>11</v>
      </c>
    </row>
    <row r="15" spans="1:2" x14ac:dyDescent="0.45">
      <c r="B15" s="4" t="s">
        <v>12</v>
      </c>
    </row>
    <row r="16" spans="1:2" x14ac:dyDescent="0.45">
      <c r="B16" t="s">
        <v>13</v>
      </c>
    </row>
    <row r="18" spans="2:2" x14ac:dyDescent="0.45">
      <c r="B18" s="6" t="s">
        <v>14</v>
      </c>
    </row>
    <row r="19" spans="2:2" x14ac:dyDescent="0.45">
      <c r="B19" t="s">
        <v>15</v>
      </c>
    </row>
    <row r="20" spans="2:2" x14ac:dyDescent="0.45">
      <c r="B20" s="3">
        <v>2011</v>
      </c>
    </row>
    <row r="21" spans="2:2" x14ac:dyDescent="0.45">
      <c r="B21" t="s">
        <v>16</v>
      </c>
    </row>
    <row r="22" spans="2:2" x14ac:dyDescent="0.45">
      <c r="B22" s="4" t="s">
        <v>17</v>
      </c>
    </row>
    <row r="23" spans="2:2" x14ac:dyDescent="0.45">
      <c r="B23" t="s">
        <v>18</v>
      </c>
    </row>
    <row r="25" spans="2:2" x14ac:dyDescent="0.45">
      <c r="B25" s="6" t="s">
        <v>19</v>
      </c>
    </row>
    <row r="26" spans="2:2" x14ac:dyDescent="0.45">
      <c r="B26" t="s">
        <v>20</v>
      </c>
    </row>
    <row r="27" spans="2:2" x14ac:dyDescent="0.45">
      <c r="B27" s="3">
        <v>2015</v>
      </c>
    </row>
    <row r="28" spans="2:2" x14ac:dyDescent="0.45">
      <c r="B28" t="s">
        <v>21</v>
      </c>
    </row>
    <row r="29" spans="2:2" x14ac:dyDescent="0.45">
      <c r="B29" s="4" t="s">
        <v>22</v>
      </c>
    </row>
    <row r="30" spans="2:2" x14ac:dyDescent="0.45">
      <c r="B30" t="s">
        <v>23</v>
      </c>
    </row>
    <row r="31" spans="2:2" x14ac:dyDescent="0.45">
      <c r="B31" s="4"/>
    </row>
    <row r="32" spans="2:2" x14ac:dyDescent="0.45">
      <c r="B32" t="s">
        <v>20</v>
      </c>
    </row>
    <row r="33" spans="2:2" x14ac:dyDescent="0.45">
      <c r="B33" s="3">
        <v>2021</v>
      </c>
    </row>
    <row r="34" spans="2:2" x14ac:dyDescent="0.45">
      <c r="B34" t="s">
        <v>24</v>
      </c>
    </row>
    <row r="35" spans="2:2" x14ac:dyDescent="0.45">
      <c r="B35" s="4" t="s">
        <v>25</v>
      </c>
    </row>
    <row r="36" spans="2:2" x14ac:dyDescent="0.45">
      <c r="B36" t="s">
        <v>26</v>
      </c>
    </row>
    <row r="38" spans="2:2" x14ac:dyDescent="0.45">
      <c r="B38" s="6" t="s">
        <v>2840</v>
      </c>
    </row>
    <row r="39" spans="2:2" x14ac:dyDescent="0.45">
      <c r="B39" t="s">
        <v>27</v>
      </c>
    </row>
    <row r="40" spans="2:2" x14ac:dyDescent="0.45">
      <c r="B40" s="3">
        <v>2026</v>
      </c>
    </row>
    <row r="41" spans="2:2" x14ac:dyDescent="0.45">
      <c r="B41" t="s">
        <v>8</v>
      </c>
    </row>
    <row r="42" spans="2:2" x14ac:dyDescent="0.45">
      <c r="B42" t="s">
        <v>2841</v>
      </c>
    </row>
    <row r="43" spans="2:2" x14ac:dyDescent="0.45">
      <c r="B43" t="s">
        <v>28</v>
      </c>
    </row>
    <row r="46" spans="2:2" x14ac:dyDescent="0.45">
      <c r="B46" s="6" t="s">
        <v>2842</v>
      </c>
    </row>
    <row r="47" spans="2:2" x14ac:dyDescent="0.45">
      <c r="B47" t="s">
        <v>27</v>
      </c>
    </row>
    <row r="48" spans="2:2" x14ac:dyDescent="0.45">
      <c r="B48" s="3">
        <v>2026</v>
      </c>
    </row>
    <row r="49" spans="1:2" x14ac:dyDescent="0.45">
      <c r="B49" t="s">
        <v>8</v>
      </c>
    </row>
    <row r="50" spans="1:2" x14ac:dyDescent="0.45">
      <c r="B50" t="s">
        <v>2843</v>
      </c>
    </row>
    <row r="51" spans="1:2" x14ac:dyDescent="0.45">
      <c r="B51" t="s">
        <v>28</v>
      </c>
    </row>
    <row r="54" spans="1:2" x14ac:dyDescent="0.45">
      <c r="B54" s="6" t="s">
        <v>29</v>
      </c>
    </row>
    <row r="55" spans="1:2" x14ac:dyDescent="0.45">
      <c r="B55" t="s">
        <v>30</v>
      </c>
    </row>
    <row r="56" spans="1:2" x14ac:dyDescent="0.45">
      <c r="B56" s="3">
        <v>2010</v>
      </c>
    </row>
    <row r="57" spans="1:2" x14ac:dyDescent="0.45">
      <c r="B57" t="s">
        <v>31</v>
      </c>
    </row>
    <row r="58" spans="1:2" x14ac:dyDescent="0.45">
      <c r="B58" s="4" t="s">
        <v>32</v>
      </c>
    </row>
    <row r="59" spans="1:2" x14ac:dyDescent="0.45">
      <c r="B59" t="s">
        <v>33</v>
      </c>
    </row>
    <row r="61" spans="1:2" x14ac:dyDescent="0.45">
      <c r="A61" s="2" t="s">
        <v>34</v>
      </c>
    </row>
    <row r="62" spans="1:2" x14ac:dyDescent="0.45">
      <c r="A62" t="s">
        <v>35</v>
      </c>
    </row>
    <row r="63" spans="1:2" x14ac:dyDescent="0.45">
      <c r="A63" t="s">
        <v>36</v>
      </c>
    </row>
    <row r="65" spans="1:1" x14ac:dyDescent="0.45">
      <c r="A65" t="s">
        <v>37</v>
      </c>
    </row>
    <row r="66" spans="1:1" x14ac:dyDescent="0.45">
      <c r="A66" t="s">
        <v>38</v>
      </c>
    </row>
    <row r="67" spans="1:1" x14ac:dyDescent="0.45">
      <c r="A67" t="s">
        <v>39</v>
      </c>
    </row>
    <row r="68" spans="1:1" x14ac:dyDescent="0.45">
      <c r="A68" t="s">
        <v>40</v>
      </c>
    </row>
    <row r="69" spans="1:1" x14ac:dyDescent="0.45">
      <c r="A69" t="s">
        <v>41</v>
      </c>
    </row>
    <row r="70" spans="1:1" x14ac:dyDescent="0.45">
      <c r="A70" t="s">
        <v>42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35" r:id="rId5" location="b6-b10" xr:uid="{00000000-0004-0000-0000-000004000000}"/>
    <hyperlink ref="B58" r:id="rId6" xr:uid="{00000000-0004-0000-0000-000005000000}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I56"/>
  <sheetViews>
    <sheetView topLeftCell="A42" zoomScale="80" zoomScaleNormal="80" workbookViewId="0">
      <selection activeCell="B53" sqref="B53"/>
    </sheetView>
  </sheetViews>
  <sheetFormatPr defaultRowHeight="14.25" x14ac:dyDescent="0.45"/>
  <cols>
    <col min="1" max="1" width="39" customWidth="1"/>
    <col min="2" max="2" width="25.73046875" bestFit="1" customWidth="1"/>
    <col min="3" max="3" width="21.19921875" bestFit="1" customWidth="1"/>
    <col min="4" max="4" width="35.19921875" bestFit="1" customWidth="1"/>
    <col min="5" max="5" width="25.73046875" bestFit="1" customWidth="1"/>
    <col min="6" max="6" width="56.46484375" bestFit="1" customWidth="1"/>
    <col min="7" max="7" width="19.19921875" customWidth="1"/>
    <col min="8" max="8" width="21.46484375" customWidth="1"/>
    <col min="9" max="9" width="18.796875" customWidth="1"/>
  </cols>
  <sheetData>
    <row r="1" spans="1:6" x14ac:dyDescent="0.45">
      <c r="A1" s="6" t="s">
        <v>43</v>
      </c>
      <c r="B1" s="6"/>
      <c r="C1" s="6"/>
    </row>
    <row r="2" spans="1:6" x14ac:dyDescent="0.45">
      <c r="C2" t="s">
        <v>44</v>
      </c>
    </row>
    <row r="3" spans="1:6" x14ac:dyDescent="0.45">
      <c r="A3" t="s">
        <v>45</v>
      </c>
      <c r="B3" s="7">
        <v>40420</v>
      </c>
      <c r="C3" t="s">
        <v>46</v>
      </c>
    </row>
    <row r="4" spans="1:6" x14ac:dyDescent="0.45">
      <c r="A4" t="s">
        <v>47</v>
      </c>
      <c r="B4" s="7">
        <v>22.11</v>
      </c>
      <c r="C4" t="s">
        <v>46</v>
      </c>
    </row>
    <row r="5" spans="1:6" x14ac:dyDescent="0.45">
      <c r="A5" t="s">
        <v>48</v>
      </c>
      <c r="B5">
        <v>74.5</v>
      </c>
      <c r="C5" t="s">
        <v>49</v>
      </c>
    </row>
    <row r="6" spans="1:6" x14ac:dyDescent="0.45">
      <c r="A6" t="s">
        <v>50</v>
      </c>
      <c r="B6">
        <f>B3/(B5*10^6)</f>
        <v>5.4255033557046978E-4</v>
      </c>
    </row>
    <row r="7" spans="1:6" x14ac:dyDescent="0.45">
      <c r="A7" t="s">
        <v>51</v>
      </c>
      <c r="B7" s="1">
        <v>0.47</v>
      </c>
      <c r="C7" t="s">
        <v>49</v>
      </c>
    </row>
    <row r="10" spans="1:6" x14ac:dyDescent="0.45">
      <c r="A10" s="6" t="s">
        <v>52</v>
      </c>
      <c r="B10" s="6"/>
      <c r="C10" s="6"/>
      <c r="D10" s="5"/>
      <c r="E10" s="5"/>
      <c r="F10" s="5"/>
    </row>
    <row r="11" spans="1:6" x14ac:dyDescent="0.45">
      <c r="A11" s="10" t="s">
        <v>53</v>
      </c>
      <c r="B11" s="10"/>
      <c r="C11" s="10"/>
      <c r="D11" s="11"/>
      <c r="E11" s="11"/>
      <c r="F11" s="11"/>
    </row>
    <row r="12" spans="1:6" x14ac:dyDescent="0.45">
      <c r="A12" t="s">
        <v>54</v>
      </c>
      <c r="B12" t="s">
        <v>55</v>
      </c>
      <c r="C12" t="s">
        <v>56</v>
      </c>
      <c r="D12" t="s">
        <v>57</v>
      </c>
      <c r="E12" t="s">
        <v>58</v>
      </c>
      <c r="F12" t="s">
        <v>59</v>
      </c>
    </row>
    <row r="13" spans="1:6" x14ac:dyDescent="0.45">
      <c r="A13" t="s">
        <v>60</v>
      </c>
      <c r="B13" t="s">
        <v>61</v>
      </c>
      <c r="C13" s="8">
        <v>0.44</v>
      </c>
      <c r="D13">
        <v>1000</v>
      </c>
      <c r="E13">
        <v>0.3</v>
      </c>
      <c r="F13">
        <f t="shared" ref="F13:F35" si="0">E13*C13</f>
        <v>0.13200000000000001</v>
      </c>
    </row>
    <row r="14" spans="1:6" x14ac:dyDescent="0.45">
      <c r="A14" t="s">
        <v>60</v>
      </c>
      <c r="B14" t="s">
        <v>62</v>
      </c>
      <c r="C14" s="8">
        <v>0.28999999999999998</v>
      </c>
      <c r="D14">
        <v>500</v>
      </c>
      <c r="E14">
        <v>0.08</v>
      </c>
      <c r="F14">
        <f t="shared" si="0"/>
        <v>2.3199999999999998E-2</v>
      </c>
    </row>
    <row r="15" spans="1:6" x14ac:dyDescent="0.45">
      <c r="A15" t="s">
        <v>60</v>
      </c>
      <c r="B15" t="s">
        <v>63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45">
      <c r="A16" t="s">
        <v>64</v>
      </c>
      <c r="B16" t="s">
        <v>65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45">
      <c r="A17" t="s">
        <v>66</v>
      </c>
      <c r="B17" t="s">
        <v>61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45">
      <c r="A18" t="s">
        <v>66</v>
      </c>
      <c r="B18" t="s">
        <v>67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45">
      <c r="A19" t="s">
        <v>68</v>
      </c>
      <c r="B19" t="s">
        <v>61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45">
      <c r="A20" t="s">
        <v>68</v>
      </c>
      <c r="B20" t="s">
        <v>69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45">
      <c r="A21" t="s">
        <v>68</v>
      </c>
      <c r="B21" t="s">
        <v>70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45">
      <c r="A22" t="s">
        <v>71</v>
      </c>
      <c r="B22" t="s">
        <v>61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45">
      <c r="A23" t="s">
        <v>71</v>
      </c>
      <c r="B23" t="s">
        <v>72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45">
      <c r="A24" t="s">
        <v>71</v>
      </c>
      <c r="B24" t="s">
        <v>73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45">
      <c r="A25" t="s">
        <v>71</v>
      </c>
      <c r="B25" t="s">
        <v>62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45">
      <c r="A26" t="s">
        <v>74</v>
      </c>
      <c r="B26" t="s">
        <v>61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45">
      <c r="A27" t="s">
        <v>74</v>
      </c>
      <c r="B27" t="s">
        <v>62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45">
      <c r="A28" t="s">
        <v>75</v>
      </c>
      <c r="B28" t="s">
        <v>61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45">
      <c r="A29" t="s">
        <v>75</v>
      </c>
      <c r="B29" t="s">
        <v>62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45">
      <c r="A30" t="s">
        <v>76</v>
      </c>
      <c r="B30" t="s">
        <v>77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45">
      <c r="A31" t="s">
        <v>76</v>
      </c>
      <c r="B31" t="s">
        <v>62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45">
      <c r="A32" t="s">
        <v>76</v>
      </c>
      <c r="B32" t="s">
        <v>78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45">
      <c r="A33" t="s">
        <v>79</v>
      </c>
      <c r="B33" t="s">
        <v>80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45">
      <c r="A34" t="s">
        <v>81</v>
      </c>
      <c r="B34" t="s">
        <v>61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45">
      <c r="A35" t="s">
        <v>81</v>
      </c>
      <c r="B35" t="s">
        <v>62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45">
      <c r="A37" s="10" t="s">
        <v>82</v>
      </c>
      <c r="B37" s="11"/>
      <c r="C37" s="11"/>
      <c r="D37" s="11"/>
      <c r="E37" s="11"/>
      <c r="F37" s="11"/>
      <c r="G37" s="11"/>
    </row>
    <row r="38" spans="1:9" ht="14.25" customHeight="1" x14ac:dyDescent="0.45">
      <c r="B38" t="s">
        <v>83</v>
      </c>
      <c r="C38" t="s">
        <v>84</v>
      </c>
      <c r="D38" t="s">
        <v>85</v>
      </c>
      <c r="E38" t="s">
        <v>86</v>
      </c>
      <c r="F38" t="s">
        <v>87</v>
      </c>
      <c r="G38" s="51" t="s">
        <v>88</v>
      </c>
      <c r="H38" s="51" t="s">
        <v>89</v>
      </c>
      <c r="I38" s="51" t="s">
        <v>90</v>
      </c>
    </row>
    <row r="39" spans="1:9" x14ac:dyDescent="0.45">
      <c r="A39" t="s">
        <v>60</v>
      </c>
      <c r="B39">
        <v>270</v>
      </c>
      <c r="C39">
        <v>4.9000000000000004</v>
      </c>
      <c r="D39">
        <v>230</v>
      </c>
      <c r="E39">
        <f t="shared" ref="E39:E48" si="1">C39-SUMIF($A$13:$A$35,A39,$D$13:$D$35)/10^3</f>
        <v>3.16</v>
      </c>
      <c r="F39" s="7">
        <f t="shared" ref="F39:F48" si="2">D39*10^6-SUMIF($A$13:$A$35,A39,$F$13:$F$35)*B39*10^6</f>
        <v>180428000</v>
      </c>
      <c r="G39" s="9">
        <f t="shared" ref="G39:G48" si="3">F39/(E39*10^12)</f>
        <v>5.7097468354430379E-5</v>
      </c>
      <c r="H39">
        <v>31</v>
      </c>
      <c r="I39" s="12">
        <f t="shared" ref="I39:I48" si="4">1-(H39-E39)/H39</f>
        <v>0.10193548387096774</v>
      </c>
    </row>
    <row r="40" spans="1:9" x14ac:dyDescent="0.45">
      <c r="A40" t="s">
        <v>64</v>
      </c>
      <c r="B40">
        <v>200</v>
      </c>
      <c r="C40">
        <v>3.7</v>
      </c>
      <c r="D40">
        <v>430</v>
      </c>
      <c r="E40">
        <f t="shared" si="1"/>
        <v>3.1300000000000003</v>
      </c>
      <c r="F40" s="7">
        <f t="shared" si="2"/>
        <v>401200000</v>
      </c>
      <c r="G40" s="9">
        <f t="shared" si="3"/>
        <v>1.2817891373801915E-4</v>
      </c>
      <c r="H40">
        <v>26</v>
      </c>
      <c r="I40" s="12">
        <f t="shared" si="4"/>
        <v>0.12038461538461531</v>
      </c>
    </row>
    <row r="41" spans="1:9" x14ac:dyDescent="0.45">
      <c r="A41" t="s">
        <v>66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45">
      <c r="A42" t="s">
        <v>68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45">
      <c r="A43" t="s">
        <v>71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45">
      <c r="A44" t="s">
        <v>74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45">
      <c r="A45" t="s">
        <v>75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45">
      <c r="A46" t="s">
        <v>76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45">
      <c r="A47" t="s">
        <v>79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45">
      <c r="A48" t="s">
        <v>81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45">
      <c r="A50" t="s">
        <v>91</v>
      </c>
      <c r="C50" s="9">
        <f>SUMPRODUCT(B39:B48,G39:G48)/SUM(B39:B48)</f>
        <v>1.1262661801507862E-4</v>
      </c>
    </row>
    <row r="51" spans="1:3" x14ac:dyDescent="0.45">
      <c r="A51" t="s">
        <v>92</v>
      </c>
      <c r="C51" s="8">
        <f>SUMPRODUCT(B39:B48,I39:I48)/SUM(B39:B48)</f>
        <v>8.2858476068544143E-2</v>
      </c>
    </row>
    <row r="52" spans="1:3" ht="15.5" customHeight="1" thickBot="1" x14ac:dyDescent="0.5"/>
    <row r="53" spans="1:3" ht="15.5" customHeight="1" thickBot="1" x14ac:dyDescent="0.5">
      <c r="A53" s="2" t="s">
        <v>93</v>
      </c>
      <c r="B53" s="87">
        <f>(B6*'AEO 2026 Table 4 raw'!$C$14+C50*'AEO 2026 Table 4 raw'!$C$15)/SUM('AEO 2026 Table 4 raw'!$C$14:$C$15)</f>
        <v>4.2315385496418648E-4</v>
      </c>
    </row>
    <row r="54" spans="1:3" x14ac:dyDescent="0.45">
      <c r="A54" s="25" t="s">
        <v>94</v>
      </c>
      <c r="B54" s="88">
        <f>(B7*'AEO 2026 Table 4 raw'!$C$14+C51*'AEO 2026 Table 4 raw'!$C$15)/SUM('AEO 2026 Table 4 raw'!$C$14:$C$15)</f>
        <v>0.36248479772923053</v>
      </c>
    </row>
    <row r="55" spans="1:3" ht="45" customHeight="1" thickBot="1" x14ac:dyDescent="0.5">
      <c r="A55" s="25" t="s">
        <v>95</v>
      </c>
      <c r="B55" s="89">
        <f>SUM('AEO 2026 Table 4 raw'!$C$75:$C$76,'AEO 2026 Table 4 raw'!$C$87)/SUM('AEO 2026 Table 4 raw'!$C$75:$C$87)</f>
        <v>0.67740984587341413</v>
      </c>
    </row>
    <row r="56" spans="1:3" ht="30.3" customHeight="1" thickBot="1" x14ac:dyDescent="0.5">
      <c r="A56" s="55" t="s">
        <v>96</v>
      </c>
      <c r="B56" s="52">
        <f>B54/B55</f>
        <v>0.53510411745176667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N56"/>
  <sheetViews>
    <sheetView topLeftCell="I1" zoomScale="80" zoomScaleNormal="80" workbookViewId="0">
      <selection activeCell="K12" sqref="K12"/>
    </sheetView>
  </sheetViews>
  <sheetFormatPr defaultRowHeight="14.25" x14ac:dyDescent="0.45"/>
  <cols>
    <col min="1" max="1" width="12.265625" bestFit="1" customWidth="1"/>
    <col min="2" max="2" width="50.265625" customWidth="1"/>
    <col min="3" max="3" width="30" style="12" bestFit="1" customWidth="1"/>
    <col min="4" max="4" width="30" style="12" customWidth="1"/>
    <col min="5" max="5" width="14.265625" style="7" bestFit="1" customWidth="1"/>
    <col min="6" max="6" width="8.53125" bestFit="1" customWidth="1"/>
    <col min="7" max="7" width="5.53125" customWidth="1"/>
    <col min="8" max="8" width="14.46484375" customWidth="1"/>
    <col min="9" max="9" width="20" bestFit="1" customWidth="1"/>
    <col min="10" max="10" width="47.73046875" bestFit="1" customWidth="1"/>
    <col min="11" max="11" width="20.46484375" bestFit="1" customWidth="1"/>
    <col min="12" max="12" width="30.796875" bestFit="1" customWidth="1"/>
    <col min="13" max="13" width="18.265625" customWidth="1"/>
    <col min="14" max="14" width="38.73046875" bestFit="1" customWidth="1"/>
    <col min="15" max="15" width="37.53125" bestFit="1" customWidth="1"/>
    <col min="16" max="16" width="56.796875" bestFit="1" customWidth="1"/>
    <col min="17" max="17" width="48.53125" bestFit="1" customWidth="1"/>
    <col min="18" max="18" width="57.19921875" bestFit="1" customWidth="1"/>
    <col min="19" max="19" width="59.73046875" bestFit="1" customWidth="1"/>
    <col min="20" max="20" width="29" customWidth="1"/>
    <col min="21" max="21" width="50.53125" customWidth="1"/>
    <col min="22" max="22" width="7.265625" customWidth="1"/>
    <col min="23" max="23" width="11.265625" customWidth="1"/>
    <col min="24" max="24" width="30" bestFit="1" customWidth="1"/>
    <col min="25" max="25" width="32.46484375" bestFit="1" customWidth="1"/>
    <col min="26" max="26" width="55.265625" bestFit="1" customWidth="1"/>
    <col min="27" max="27" width="39.73046875" bestFit="1" customWidth="1"/>
    <col min="28" max="28" width="52" bestFit="1" customWidth="1"/>
    <col min="29" max="29" width="91" bestFit="1" customWidth="1"/>
    <col min="30" max="30" width="81.265625" bestFit="1" customWidth="1"/>
    <col min="31" max="31" width="11.265625" bestFit="1" customWidth="1"/>
  </cols>
  <sheetData>
    <row r="1" spans="1:14" x14ac:dyDescent="0.45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I1" t="s">
        <v>103</v>
      </c>
      <c r="J1" t="s">
        <v>104</v>
      </c>
      <c r="K1" t="s">
        <v>105</v>
      </c>
      <c r="L1" t="s">
        <v>106</v>
      </c>
      <c r="M1" t="s">
        <v>107</v>
      </c>
      <c r="N1" t="s">
        <v>88</v>
      </c>
    </row>
    <row r="2" spans="1:14" x14ac:dyDescent="0.45">
      <c r="A2" s="48" t="s">
        <v>108</v>
      </c>
      <c r="B2" s="48" t="s">
        <v>109</v>
      </c>
      <c r="C2" s="49">
        <v>1E-3</v>
      </c>
      <c r="D2" s="49">
        <f t="shared" ref="D2:D33" si="0">MIN(1,1-C2)</f>
        <v>0.999</v>
      </c>
      <c r="E2" s="50">
        <v>312358</v>
      </c>
      <c r="F2">
        <v>0</v>
      </c>
      <c r="H2" s="3" t="s">
        <v>110</v>
      </c>
      <c r="I2" s="1">
        <f>'County Climates'!L28</f>
        <v>0.45140543049506737</v>
      </c>
      <c r="J2" s="42">
        <f>'CBECS_Table C4'!C61*L2</f>
        <v>17220000</v>
      </c>
      <c r="K2" s="47">
        <f t="array" ref="K2">SUMPRODUCT(IF(A2:A56=H2,C2:C56),IF(A2:A56=H2,F2:F56))</f>
        <v>0.23800000000000002</v>
      </c>
      <c r="L2" s="40">
        <v>200000</v>
      </c>
      <c r="M2">
        <f t="array" ref="M2">SUMPRODUCT(IF(A2:A56=H2,E2:E56),IF(A2:A56=H2,F2:F56))</f>
        <v>1238255</v>
      </c>
      <c r="N2">
        <f>M2/(J2*10^3*K2)</f>
        <v>3.021342683414829E-4</v>
      </c>
    </row>
    <row r="3" spans="1:14" x14ac:dyDescent="0.45">
      <c r="A3" t="s">
        <v>111</v>
      </c>
      <c r="B3" t="s">
        <v>109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111</v>
      </c>
      <c r="I3" s="1">
        <f>'County Climates'!L29+'County Climates'!L32</f>
        <v>6.1563024941687555E-2</v>
      </c>
      <c r="J3" s="42">
        <f>'CBECS_Table C4'!C63*L3</f>
        <v>13360000</v>
      </c>
      <c r="K3" s="47">
        <f t="array" ref="K3">SUMPRODUCT(IF(A3:A57=H3,C3:C57),IF(A3:A57=H3,F3:F57))</f>
        <v>0.38200000000000006</v>
      </c>
      <c r="L3" s="41">
        <f>L2</f>
        <v>200000</v>
      </c>
      <c r="M3">
        <f t="array" ref="M3">SUMPRODUCT(IF(A3:A57=H3,E3:E57),IF(A3:A57=H3,F3:F57))</f>
        <v>1353942</v>
      </c>
      <c r="N3">
        <f>M3/(J3*10^3*K3)</f>
        <v>2.6529571746559234E-4</v>
      </c>
    </row>
    <row r="4" spans="1:14" x14ac:dyDescent="0.45">
      <c r="A4" t="s">
        <v>112</v>
      </c>
      <c r="B4" t="s">
        <v>109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108</v>
      </c>
      <c r="I4" s="1">
        <f>'County Climates'!L30+'County Climates'!L33</f>
        <v>0.40566317524959933</v>
      </c>
      <c r="J4" s="42">
        <f>'CBECS_Table C4'!C64*L4</f>
        <v>14760000</v>
      </c>
      <c r="K4" s="47">
        <f t="array" ref="K4">SUMPRODUCT(IF(A4:A58=H4,C4:C58),IF(A4:A58=H4,F4:F58))</f>
        <v>0.35200000000000004</v>
      </c>
      <c r="L4" s="41">
        <f>L3</f>
        <v>200000</v>
      </c>
      <c r="M4">
        <f t="array" ref="M4">SUMPRODUCT(IF(A4:A58=H4,E4:E58),IF(A4:A58=H4,F4:F58))</f>
        <v>857498</v>
      </c>
      <c r="N4">
        <f>M4/(J4*10^3*K4)</f>
        <v>1.6504565471791078E-4</v>
      </c>
    </row>
    <row r="5" spans="1:14" x14ac:dyDescent="0.45">
      <c r="A5" t="s">
        <v>110</v>
      </c>
      <c r="B5" t="s">
        <v>109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112</v>
      </c>
      <c r="I5" s="1">
        <f>'County Climates'!L31</f>
        <v>3.7672564038317376E-2</v>
      </c>
      <c r="J5" s="42">
        <f>'CBECS_Table C4'!C65*L5</f>
        <v>16040000</v>
      </c>
      <c r="K5" s="47">
        <f t="array" ref="K5">SUMPRODUCT(IF(A5:A59=H5,C5:C59),IF(A5:A59=H5,F5:F59))</f>
        <v>0.25700000000000001</v>
      </c>
      <c r="L5" s="41">
        <f>L4</f>
        <v>200000</v>
      </c>
      <c r="M5">
        <f t="array" ref="M5">SUMPRODUCT(IF(A5:A59=H5,E5:E59),IF(A5:A59=H5,F5:F59))</f>
        <v>827853</v>
      </c>
      <c r="N5">
        <f>M5/(J5*10^3*K5)</f>
        <v>2.00824058530716E-4</v>
      </c>
    </row>
    <row r="6" spans="1:14" x14ac:dyDescent="0.45">
      <c r="A6" t="s">
        <v>113</v>
      </c>
      <c r="B6" t="s">
        <v>109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113</v>
      </c>
      <c r="I6" s="1">
        <f>'County Climates'!L35+'County Climates'!L34</f>
        <v>4.3695805275328514E-2</v>
      </c>
      <c r="J6" s="42">
        <f>'CBECS_Table C4'!C61*L6</f>
        <v>17220000</v>
      </c>
      <c r="K6" s="47">
        <f t="array" ref="K6">SUMPRODUCT(IF(A6:A60=H6,C6:C60),IF(A6:A60=H6,F6:F60))</f>
        <v>0.224</v>
      </c>
      <c r="L6" s="41">
        <f>L5</f>
        <v>200000</v>
      </c>
      <c r="M6">
        <f t="array" ref="M6">SUMPRODUCT(IF(A6:A60=H6,E6:E60),IF(A6:A60=H6,F6:F60))</f>
        <v>1225959</v>
      </c>
      <c r="N6">
        <f>M6/(J6*10^3*K6)</f>
        <v>3.1782992160278746E-4</v>
      </c>
    </row>
    <row r="7" spans="1:14" ht="45" customHeight="1" thickBot="1" x14ac:dyDescent="0.5">
      <c r="A7" t="s">
        <v>108</v>
      </c>
      <c r="B7" s="25" t="s">
        <v>114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H7" s="3"/>
      <c r="L7" s="90" t="s">
        <v>115</v>
      </c>
    </row>
    <row r="8" spans="1:14" ht="45" customHeight="1" thickBot="1" x14ac:dyDescent="0.5">
      <c r="A8" t="s">
        <v>111</v>
      </c>
      <c r="B8" s="25" t="s">
        <v>114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  <c r="J8" s="2" t="s">
        <v>88</v>
      </c>
      <c r="K8" s="53">
        <f>SUMPRODUCT(I2:I6,N2:N6)</f>
        <v>2.4112379226373467E-4</v>
      </c>
      <c r="L8" s="41"/>
    </row>
    <row r="9" spans="1:14" ht="44.25" customHeight="1" x14ac:dyDescent="0.45">
      <c r="A9" t="s">
        <v>112</v>
      </c>
      <c r="B9" s="25" t="s">
        <v>114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J9" s="25" t="s">
        <v>94</v>
      </c>
      <c r="K9" s="47">
        <f>SUMPRODUCT(I2:I6,K2:K6)</f>
        <v>0.29321471501293078</v>
      </c>
    </row>
    <row r="10" spans="1:14" ht="45" customHeight="1" thickBot="1" x14ac:dyDescent="0.5">
      <c r="A10" t="s">
        <v>110</v>
      </c>
      <c r="B10" s="25" t="s">
        <v>114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116</v>
      </c>
      <c r="K10" s="89">
        <f>SUM('AEO 2026 Table 5 raw'!$C$59:$C$60)/SUM('AEO 2026 Table 5 raw'!$C$59:$C$65)</f>
        <v>0.49905880722364337</v>
      </c>
      <c r="L10" t="s">
        <v>117</v>
      </c>
    </row>
    <row r="11" spans="1:14" ht="45" customHeight="1" thickBot="1" x14ac:dyDescent="0.5">
      <c r="A11" t="s">
        <v>113</v>
      </c>
      <c r="B11" s="25" t="s">
        <v>114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" t="s">
        <v>96</v>
      </c>
      <c r="K11" s="54">
        <f>K9/K10</f>
        <v>0.58753539817108646</v>
      </c>
    </row>
    <row r="12" spans="1:14" ht="29.55" customHeight="1" x14ac:dyDescent="0.45">
      <c r="A12" t="s">
        <v>108</v>
      </c>
      <c r="B12" s="25" t="s">
        <v>118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</row>
    <row r="13" spans="1:14" ht="29.55" customHeight="1" x14ac:dyDescent="0.45">
      <c r="A13" t="s">
        <v>111</v>
      </c>
      <c r="B13" s="25" t="s">
        <v>118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  <c r="I13" s="7"/>
      <c r="J13" s="3"/>
    </row>
    <row r="14" spans="1:14" ht="29.55" customHeight="1" x14ac:dyDescent="0.45">
      <c r="A14" t="s">
        <v>112</v>
      </c>
      <c r="B14" s="25" t="s">
        <v>118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29.55" customHeight="1" x14ac:dyDescent="0.45">
      <c r="A15" t="s">
        <v>110</v>
      </c>
      <c r="B15" s="25" t="s">
        <v>118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29.55" customHeight="1" x14ac:dyDescent="0.45">
      <c r="A16" t="s">
        <v>113</v>
      </c>
      <c r="B16" s="25" t="s">
        <v>118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J16" s="3"/>
    </row>
    <row r="17" spans="1:10" x14ac:dyDescent="0.45">
      <c r="A17" t="s">
        <v>108</v>
      </c>
      <c r="B17" t="s">
        <v>119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0" x14ac:dyDescent="0.45">
      <c r="A18" t="s">
        <v>111</v>
      </c>
      <c r="B18" t="s">
        <v>119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0" x14ac:dyDescent="0.45">
      <c r="A19" t="s">
        <v>112</v>
      </c>
      <c r="B19" t="s">
        <v>119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0" x14ac:dyDescent="0.45">
      <c r="A20" t="s">
        <v>110</v>
      </c>
      <c r="B20" t="s">
        <v>119</v>
      </c>
      <c r="C20" s="12">
        <v>2E-3</v>
      </c>
      <c r="D20" s="12">
        <f t="shared" si="0"/>
        <v>0.998</v>
      </c>
      <c r="E20" s="7">
        <v>345387</v>
      </c>
      <c r="F20">
        <v>1</v>
      </c>
    </row>
    <row r="21" spans="1:10" x14ac:dyDescent="0.45">
      <c r="A21" t="s">
        <v>113</v>
      </c>
      <c r="B21" t="s">
        <v>119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0" x14ac:dyDescent="0.45">
      <c r="A22" t="s">
        <v>108</v>
      </c>
      <c r="B22" t="s">
        <v>120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0" x14ac:dyDescent="0.45">
      <c r="A23" t="s">
        <v>111</v>
      </c>
      <c r="B23" t="s">
        <v>120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0" x14ac:dyDescent="0.45">
      <c r="A24" t="s">
        <v>112</v>
      </c>
      <c r="B24" t="s">
        <v>120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0" x14ac:dyDescent="0.45">
      <c r="A25" t="s">
        <v>110</v>
      </c>
      <c r="B25" t="s">
        <v>120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0" x14ac:dyDescent="0.45">
      <c r="A26" t="s">
        <v>113</v>
      </c>
      <c r="B26" t="s">
        <v>120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J26" s="7"/>
    </row>
    <row r="27" spans="1:10" x14ac:dyDescent="0.45">
      <c r="A27" t="s">
        <v>108</v>
      </c>
      <c r="B27" t="s">
        <v>121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</row>
    <row r="28" spans="1:10" x14ac:dyDescent="0.45">
      <c r="A28" t="s">
        <v>111</v>
      </c>
      <c r="B28" t="s">
        <v>121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</row>
    <row r="29" spans="1:10" x14ac:dyDescent="0.45">
      <c r="A29" s="48" t="s">
        <v>112</v>
      </c>
      <c r="B29" s="48" t="s">
        <v>121</v>
      </c>
      <c r="C29" s="49">
        <v>2E-3</v>
      </c>
      <c r="D29" s="49">
        <f t="shared" si="0"/>
        <v>0.998</v>
      </c>
      <c r="E29" s="50">
        <v>1920</v>
      </c>
      <c r="F29">
        <v>0</v>
      </c>
    </row>
    <row r="30" spans="1:10" x14ac:dyDescent="0.45">
      <c r="A30" s="48" t="s">
        <v>110</v>
      </c>
      <c r="B30" s="48" t="s">
        <v>121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</row>
    <row r="31" spans="1:10" x14ac:dyDescent="0.45">
      <c r="A31" s="48" t="s">
        <v>113</v>
      </c>
      <c r="B31" s="48" t="s">
        <v>121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0" x14ac:dyDescent="0.45">
      <c r="A32" s="48" t="s">
        <v>108</v>
      </c>
      <c r="B32" s="48" t="s">
        <v>122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45">
      <c r="A33" t="s">
        <v>111</v>
      </c>
      <c r="B33" t="s">
        <v>122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45">
      <c r="A34" s="48" t="s">
        <v>112</v>
      </c>
      <c r="B34" s="48" t="s">
        <v>122</v>
      </c>
      <c r="C34" s="49">
        <v>5.0000000000000001E-3</v>
      </c>
      <c r="D34" s="49">
        <f t="shared" ref="D34:D56" si="1">MIN(1,1-C34)</f>
        <v>0.995</v>
      </c>
      <c r="E34" s="50">
        <v>42298</v>
      </c>
      <c r="F34">
        <v>0</v>
      </c>
    </row>
    <row r="35" spans="1:6" x14ac:dyDescent="0.45">
      <c r="A35" s="48" t="s">
        <v>110</v>
      </c>
      <c r="B35" s="48" t="s">
        <v>122</v>
      </c>
      <c r="C35" s="49">
        <v>5.0000000000000001E-3</v>
      </c>
      <c r="D35" s="49">
        <f t="shared" si="1"/>
        <v>0.995</v>
      </c>
      <c r="E35" s="50">
        <v>46189</v>
      </c>
      <c r="F35">
        <v>0</v>
      </c>
    </row>
    <row r="36" spans="1:6" x14ac:dyDescent="0.45">
      <c r="A36" s="48" t="s">
        <v>113</v>
      </c>
      <c r="B36" s="48" t="s">
        <v>122</v>
      </c>
      <c r="C36" s="49">
        <v>3.0000000000000001E-3</v>
      </c>
      <c r="D36" s="49">
        <f t="shared" si="1"/>
        <v>0.997</v>
      </c>
      <c r="E36" s="50">
        <v>42414</v>
      </c>
      <c r="F36">
        <v>0</v>
      </c>
    </row>
    <row r="37" spans="1:6" x14ac:dyDescent="0.45">
      <c r="A37" t="s">
        <v>108</v>
      </c>
      <c r="B37" t="s">
        <v>123</v>
      </c>
      <c r="C37" s="12">
        <v>8.0000000000000002E-3</v>
      </c>
      <c r="D37" s="12">
        <f t="shared" si="1"/>
        <v>0.99199999999999999</v>
      </c>
      <c r="E37" s="7">
        <v>24866</v>
      </c>
      <c r="F37">
        <v>1</v>
      </c>
    </row>
    <row r="38" spans="1:6" x14ac:dyDescent="0.45">
      <c r="A38" t="s">
        <v>111</v>
      </c>
      <c r="B38" t="s">
        <v>123</v>
      </c>
      <c r="C38" s="12">
        <v>8.9999999999999993E-3</v>
      </c>
      <c r="D38" s="12">
        <f t="shared" si="1"/>
        <v>0.99099999999999999</v>
      </c>
      <c r="E38" s="7">
        <v>29300</v>
      </c>
      <c r="F38">
        <v>1</v>
      </c>
    </row>
    <row r="39" spans="1:6" x14ac:dyDescent="0.45">
      <c r="A39" s="48" t="s">
        <v>112</v>
      </c>
      <c r="B39" s="48" t="s">
        <v>123</v>
      </c>
      <c r="C39" s="49">
        <v>3.0000000000000001E-3</v>
      </c>
      <c r="D39" s="49">
        <f t="shared" si="1"/>
        <v>0.997</v>
      </c>
      <c r="E39" s="50">
        <v>28326</v>
      </c>
      <c r="F39">
        <v>0</v>
      </c>
    </row>
    <row r="40" spans="1:6" x14ac:dyDescent="0.45">
      <c r="A40" s="48" t="s">
        <v>110</v>
      </c>
      <c r="B40" s="48" t="s">
        <v>123</v>
      </c>
      <c r="C40" s="49">
        <v>3.0000000000000001E-3</v>
      </c>
      <c r="D40" s="49">
        <f t="shared" si="1"/>
        <v>0.997</v>
      </c>
      <c r="E40" s="50">
        <v>30960</v>
      </c>
      <c r="F40">
        <v>0</v>
      </c>
    </row>
    <row r="41" spans="1:6" x14ac:dyDescent="0.45">
      <c r="A41" s="48" t="s">
        <v>113</v>
      </c>
      <c r="B41" s="48" t="s">
        <v>123</v>
      </c>
      <c r="C41" s="49">
        <v>2E-3</v>
      </c>
      <c r="D41" s="49">
        <f t="shared" si="1"/>
        <v>0.998</v>
      </c>
      <c r="E41" s="50">
        <v>28416</v>
      </c>
      <c r="F41">
        <v>0</v>
      </c>
    </row>
    <row r="42" spans="1:6" x14ac:dyDescent="0.45">
      <c r="A42" t="s">
        <v>108</v>
      </c>
      <c r="B42" t="s">
        <v>124</v>
      </c>
      <c r="C42" s="12">
        <v>1.2999999999999999E-2</v>
      </c>
      <c r="D42" s="12">
        <f t="shared" si="1"/>
        <v>0.98699999999999999</v>
      </c>
      <c r="E42" s="7">
        <v>64649</v>
      </c>
      <c r="F42">
        <v>1</v>
      </c>
    </row>
    <row r="43" spans="1:6" x14ac:dyDescent="0.45">
      <c r="A43" t="s">
        <v>111</v>
      </c>
      <c r="B43" t="s">
        <v>124</v>
      </c>
      <c r="C43" s="12">
        <v>1.4E-2</v>
      </c>
      <c r="D43" s="12">
        <f t="shared" si="1"/>
        <v>0.98599999999999999</v>
      </c>
      <c r="E43" s="7">
        <v>85146</v>
      </c>
      <c r="F43">
        <v>1</v>
      </c>
    </row>
    <row r="44" spans="1:6" x14ac:dyDescent="0.45">
      <c r="A44" s="48" t="s">
        <v>112</v>
      </c>
      <c r="B44" s="48" t="s">
        <v>124</v>
      </c>
      <c r="C44" s="49">
        <v>4.0000000000000001E-3</v>
      </c>
      <c r="D44" s="49">
        <f t="shared" si="1"/>
        <v>0.996</v>
      </c>
      <c r="E44" s="50">
        <v>74909</v>
      </c>
      <c r="F44">
        <v>0</v>
      </c>
    </row>
    <row r="45" spans="1:6" x14ac:dyDescent="0.45">
      <c r="A45" s="48" t="s">
        <v>110</v>
      </c>
      <c r="B45" s="48" t="s">
        <v>124</v>
      </c>
      <c r="C45" s="49">
        <v>5.0000000000000001E-3</v>
      </c>
      <c r="D45" s="49">
        <f t="shared" si="1"/>
        <v>0.995</v>
      </c>
      <c r="E45" s="50">
        <v>83928</v>
      </c>
      <c r="F45">
        <v>0</v>
      </c>
    </row>
    <row r="46" spans="1:6" x14ac:dyDescent="0.45">
      <c r="A46" s="48" t="s">
        <v>113</v>
      </c>
      <c r="B46" s="48" t="s">
        <v>124</v>
      </c>
      <c r="C46" s="49">
        <v>3.0000000000000001E-3</v>
      </c>
      <c r="D46" s="49">
        <f t="shared" si="1"/>
        <v>0.997</v>
      </c>
      <c r="E46" s="50">
        <v>75994</v>
      </c>
      <c r="F46">
        <v>0</v>
      </c>
    </row>
    <row r="47" spans="1:6" x14ac:dyDescent="0.45">
      <c r="A47" t="s">
        <v>108</v>
      </c>
      <c r="B47" t="s">
        <v>125</v>
      </c>
      <c r="C47" s="12">
        <v>1.7000000000000001E-2</v>
      </c>
      <c r="D47" s="12">
        <f t="shared" si="1"/>
        <v>0.98299999999999998</v>
      </c>
      <c r="E47" s="7">
        <v>49925</v>
      </c>
      <c r="F47">
        <v>1</v>
      </c>
    </row>
    <row r="48" spans="1:6" x14ac:dyDescent="0.45">
      <c r="A48" t="s">
        <v>111</v>
      </c>
      <c r="B48" t="s">
        <v>125</v>
      </c>
      <c r="C48" s="12">
        <v>1.4999999999999999E-2</v>
      </c>
      <c r="D48" s="12">
        <f t="shared" si="1"/>
        <v>0.98499999999999999</v>
      </c>
      <c r="E48" s="7">
        <v>55380</v>
      </c>
      <c r="F48">
        <v>1</v>
      </c>
    </row>
    <row r="49" spans="1:6" x14ac:dyDescent="0.45">
      <c r="A49" s="48" t="s">
        <v>112</v>
      </c>
      <c r="B49" s="48" t="s">
        <v>125</v>
      </c>
      <c r="C49" s="49">
        <v>4.0000000000000001E-3</v>
      </c>
      <c r="D49" s="49">
        <f t="shared" si="1"/>
        <v>0.996</v>
      </c>
      <c r="E49" s="50">
        <v>55399</v>
      </c>
      <c r="F49">
        <v>0</v>
      </c>
    </row>
    <row r="50" spans="1:6" x14ac:dyDescent="0.45">
      <c r="A50" s="48" t="s">
        <v>110</v>
      </c>
      <c r="B50" s="48" t="s">
        <v>125</v>
      </c>
      <c r="C50" s="49">
        <v>6.0000000000000001E-3</v>
      </c>
      <c r="D50" s="49">
        <f t="shared" si="1"/>
        <v>0.99399999999999999</v>
      </c>
      <c r="E50" s="50">
        <v>58155</v>
      </c>
      <c r="F50">
        <v>0</v>
      </c>
    </row>
    <row r="51" spans="1:6" x14ac:dyDescent="0.45">
      <c r="A51" s="48" t="s">
        <v>113</v>
      </c>
      <c r="B51" s="48" t="s">
        <v>125</v>
      </c>
      <c r="C51" s="49">
        <v>3.0000000000000001E-3</v>
      </c>
      <c r="D51" s="49">
        <f t="shared" si="1"/>
        <v>0.997</v>
      </c>
      <c r="E51" s="50">
        <v>54585</v>
      </c>
      <c r="F51">
        <v>0</v>
      </c>
    </row>
    <row r="52" spans="1:6" x14ac:dyDescent="0.45">
      <c r="A52" s="48" t="s">
        <v>108</v>
      </c>
      <c r="B52" s="48" t="s">
        <v>126</v>
      </c>
      <c r="C52" s="49">
        <v>2E-3</v>
      </c>
      <c r="D52" s="49">
        <f t="shared" si="1"/>
        <v>0.998</v>
      </c>
      <c r="E52" s="50">
        <v>33440</v>
      </c>
      <c r="F52">
        <v>0</v>
      </c>
    </row>
    <row r="53" spans="1:6" x14ac:dyDescent="0.45">
      <c r="A53" s="48" t="s">
        <v>111</v>
      </c>
      <c r="B53" s="48" t="s">
        <v>126</v>
      </c>
      <c r="C53" s="49">
        <v>3.0000000000000001E-3</v>
      </c>
      <c r="D53" s="49">
        <f t="shared" si="1"/>
        <v>0.997</v>
      </c>
      <c r="E53" s="50">
        <v>46801</v>
      </c>
      <c r="F53">
        <v>0</v>
      </c>
    </row>
    <row r="54" spans="1:6" x14ac:dyDescent="0.45">
      <c r="A54" t="s">
        <v>112</v>
      </c>
      <c r="B54" t="s">
        <v>126</v>
      </c>
      <c r="C54" s="12">
        <v>3.0000000000000001E-3</v>
      </c>
      <c r="D54" s="12">
        <f t="shared" si="1"/>
        <v>0.997</v>
      </c>
      <c r="E54" s="7">
        <v>44195</v>
      </c>
      <c r="F54">
        <v>1</v>
      </c>
    </row>
    <row r="55" spans="1:6" x14ac:dyDescent="0.45">
      <c r="A55" t="s">
        <v>110</v>
      </c>
      <c r="B55" t="s">
        <v>126</v>
      </c>
      <c r="C55" s="12">
        <v>3.0000000000000001E-3</v>
      </c>
      <c r="D55" s="12">
        <f t="shared" si="1"/>
        <v>0.997</v>
      </c>
      <c r="E55" s="7">
        <v>57232</v>
      </c>
      <c r="F55">
        <v>1</v>
      </c>
    </row>
    <row r="56" spans="1:6" x14ac:dyDescent="0.45">
      <c r="A56" t="s">
        <v>113</v>
      </c>
      <c r="B56" t="s">
        <v>126</v>
      </c>
      <c r="C56" s="12">
        <v>4.0000000000000001E-3</v>
      </c>
      <c r="D56" s="12">
        <f t="shared" si="1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141"/>
  <sheetViews>
    <sheetView topLeftCell="D1" workbookViewId="0">
      <selection activeCell="P19" sqref="P19"/>
    </sheetView>
  </sheetViews>
  <sheetFormatPr defaultRowHeight="14.25" x14ac:dyDescent="0.45"/>
  <cols>
    <col min="1" max="1" width="14.73046875" customWidth="1"/>
    <col min="2" max="2" width="15.265625" customWidth="1"/>
    <col min="3" max="3" width="28.53125" bestFit="1" customWidth="1"/>
    <col min="4" max="4" width="13.265625" bestFit="1" customWidth="1"/>
    <col min="5" max="5" width="26.19921875" bestFit="1" customWidth="1"/>
    <col min="11" max="11" width="26.19921875" bestFit="1" customWidth="1"/>
    <col min="12" max="12" width="16.265625" bestFit="1" customWidth="1"/>
    <col min="13" max="13" width="7.796875" customWidth="1"/>
    <col min="14" max="14" width="10.73046875" customWidth="1"/>
    <col min="15" max="15" width="7.46484375" customWidth="1"/>
    <col min="16" max="16" width="10.46484375" customWidth="1"/>
    <col min="17" max="17" width="13.46484375" bestFit="1" customWidth="1"/>
    <col min="18" max="18" width="9" customWidth="1"/>
    <col min="19" max="19" width="9.53125" customWidth="1"/>
    <col min="20" max="21" width="11.265625" bestFit="1" customWidth="1"/>
  </cols>
  <sheetData>
    <row r="1" spans="1:21" x14ac:dyDescent="0.45">
      <c r="A1" s="2" t="s">
        <v>127</v>
      </c>
      <c r="B1" s="2" t="s">
        <v>128</v>
      </c>
      <c r="C1" s="2" t="s">
        <v>129</v>
      </c>
      <c r="D1" s="2" t="s">
        <v>97</v>
      </c>
      <c r="E1" s="2" t="s">
        <v>130</v>
      </c>
      <c r="F1" s="2" t="s">
        <v>131</v>
      </c>
      <c r="K1" s="13" t="s">
        <v>132</v>
      </c>
      <c r="L1" s="13" t="s">
        <v>133</v>
      </c>
    </row>
    <row r="2" spans="1:21" x14ac:dyDescent="0.45">
      <c r="A2" t="s">
        <v>134</v>
      </c>
      <c r="B2" t="s">
        <v>135</v>
      </c>
      <c r="C2" t="s">
        <v>136</v>
      </c>
      <c r="D2" t="s">
        <v>137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138</v>
      </c>
      <c r="L2" t="s">
        <v>110</v>
      </c>
      <c r="M2" t="s">
        <v>139</v>
      </c>
      <c r="N2" t="s">
        <v>137</v>
      </c>
      <c r="O2" t="s">
        <v>112</v>
      </c>
      <c r="P2" t="s">
        <v>140</v>
      </c>
      <c r="Q2" t="s">
        <v>141</v>
      </c>
      <c r="R2" t="s">
        <v>142</v>
      </c>
      <c r="S2" t="s">
        <v>113</v>
      </c>
      <c r="U2" t="s">
        <v>143</v>
      </c>
    </row>
    <row r="3" spans="1:21" x14ac:dyDescent="0.45">
      <c r="A3" t="s">
        <v>134</v>
      </c>
      <c r="B3" t="s">
        <v>135</v>
      </c>
      <c r="C3" t="s">
        <v>144</v>
      </c>
      <c r="D3" t="s">
        <v>137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145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0.17620137299771171</v>
      </c>
      <c r="R3" s="34">
        <v>0</v>
      </c>
      <c r="S3" s="34">
        <v>5.7208237986270033E-2</v>
      </c>
      <c r="U3">
        <f>INDEX('CBECS_Table B5'!$C$6:$K$6,1,MATCH('County Climates'!K3,'CBECS_Table B5'!$C$1:$K$1,0))</f>
        <v>17642</v>
      </c>
    </row>
    <row r="4" spans="1:21" x14ac:dyDescent="0.45">
      <c r="A4" t="s">
        <v>134</v>
      </c>
      <c r="B4" t="s">
        <v>135</v>
      </c>
      <c r="C4" t="s">
        <v>146</v>
      </c>
      <c r="D4" t="s">
        <v>137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147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45">
      <c r="A5" t="s">
        <v>134</v>
      </c>
      <c r="B5" t="s">
        <v>135</v>
      </c>
      <c r="C5" t="s">
        <v>148</v>
      </c>
      <c r="D5" t="s">
        <v>141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149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45">
      <c r="A6" t="s">
        <v>134</v>
      </c>
      <c r="B6" t="s">
        <v>135</v>
      </c>
      <c r="C6" t="s">
        <v>150</v>
      </c>
      <c r="D6" t="s">
        <v>141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151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6.0498220640569388E-2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45">
      <c r="A7" t="s">
        <v>134</v>
      </c>
      <c r="B7" t="s">
        <v>135</v>
      </c>
      <c r="C7" t="s">
        <v>152</v>
      </c>
      <c r="D7" t="s">
        <v>137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153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1.492537313432836E-2</v>
      </c>
      <c r="U7">
        <f>INDEX('CBECS_Table B5'!$C$6:$K$6,1,MATCH('County Climates'!K7,'CBECS_Table B5'!$C$1:$K$1,0))</f>
        <v>3748</v>
      </c>
    </row>
    <row r="8" spans="1:21" x14ac:dyDescent="0.45">
      <c r="A8" t="s">
        <v>134</v>
      </c>
      <c r="B8" t="s">
        <v>135</v>
      </c>
      <c r="C8" t="s">
        <v>154</v>
      </c>
      <c r="D8" t="s">
        <v>137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155</v>
      </c>
      <c r="L8" s="34">
        <v>0.29878048780487798</v>
      </c>
      <c r="M8" s="34">
        <v>0.15853658536585369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5.4878048780487812E-2</v>
      </c>
      <c r="S8" s="34">
        <v>0.10365853658536579</v>
      </c>
      <c r="U8">
        <f>INDEX('CBECS_Table B5'!$C$6:$K$6,1,MATCH('County Climates'!K8,'CBECS_Table B5'!$C$1:$K$1,0))</f>
        <v>11956</v>
      </c>
    </row>
    <row r="9" spans="1:21" x14ac:dyDescent="0.45">
      <c r="A9" t="s">
        <v>134</v>
      </c>
      <c r="B9" t="s">
        <v>135</v>
      </c>
      <c r="C9" t="s">
        <v>156</v>
      </c>
      <c r="D9" t="s">
        <v>141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157</v>
      </c>
      <c r="L9" s="34">
        <v>5.9422750424448223E-2</v>
      </c>
      <c r="M9" s="34">
        <v>0</v>
      </c>
      <c r="N9" s="34">
        <v>0.27504244482173168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45">
      <c r="A10" t="s">
        <v>134</v>
      </c>
      <c r="B10" t="s">
        <v>135</v>
      </c>
      <c r="C10" t="s">
        <v>158</v>
      </c>
      <c r="D10" t="s">
        <v>141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159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0.26375404530744329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45">
      <c r="A11" t="s">
        <v>134</v>
      </c>
      <c r="B11" t="s">
        <v>135</v>
      </c>
      <c r="C11" t="s">
        <v>160</v>
      </c>
      <c r="D11" t="s">
        <v>141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161</v>
      </c>
      <c r="L11" s="34">
        <v>0</v>
      </c>
      <c r="M11" s="34">
        <v>0.14893617021276601</v>
      </c>
      <c r="N11" s="34">
        <v>0.44468085106382982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45">
      <c r="A12" t="s">
        <v>134</v>
      </c>
      <c r="B12" t="s">
        <v>135</v>
      </c>
      <c r="C12" t="s">
        <v>162</v>
      </c>
      <c r="D12" t="s">
        <v>141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45">
      <c r="A13" t="s">
        <v>134</v>
      </c>
      <c r="B13" t="s">
        <v>135</v>
      </c>
      <c r="C13" t="s">
        <v>163</v>
      </c>
      <c r="D13" t="s">
        <v>137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45">
      <c r="A14" t="s">
        <v>134</v>
      </c>
      <c r="B14" t="s">
        <v>135</v>
      </c>
      <c r="C14" t="s">
        <v>164</v>
      </c>
      <c r="D14" t="s">
        <v>137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93" t="s">
        <v>165</v>
      </c>
      <c r="L14" s="91" t="s">
        <v>143</v>
      </c>
      <c r="M14" s="92"/>
      <c r="N14" s="92"/>
      <c r="O14" s="92"/>
      <c r="P14" s="92"/>
      <c r="Q14" s="92"/>
      <c r="R14" s="92"/>
      <c r="S14" s="92"/>
    </row>
    <row r="15" spans="1:21" x14ac:dyDescent="0.45">
      <c r="A15" t="s">
        <v>134</v>
      </c>
      <c r="B15" t="s">
        <v>135</v>
      </c>
      <c r="C15" t="s">
        <v>166</v>
      </c>
      <c r="D15" t="s">
        <v>141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92"/>
      <c r="L15" t="s">
        <v>110</v>
      </c>
      <c r="M15" t="s">
        <v>139</v>
      </c>
      <c r="N15" t="s">
        <v>137</v>
      </c>
      <c r="O15" t="s">
        <v>112</v>
      </c>
      <c r="P15" t="s">
        <v>140</v>
      </c>
      <c r="Q15" t="s">
        <v>141</v>
      </c>
      <c r="R15" t="s">
        <v>142</v>
      </c>
      <c r="S15" t="s">
        <v>113</v>
      </c>
    </row>
    <row r="16" spans="1:21" x14ac:dyDescent="0.45">
      <c r="A16" t="s">
        <v>134</v>
      </c>
      <c r="B16" t="s">
        <v>135</v>
      </c>
      <c r="C16" t="s">
        <v>167</v>
      </c>
      <c r="D16" t="s">
        <v>141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145</v>
      </c>
      <c r="L16" s="35">
        <f t="shared" ref="L16:S24" si="0">L3*$U3*10^6</f>
        <v>13524187643.020594</v>
      </c>
      <c r="M16" s="35">
        <f t="shared" si="0"/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3108544622.4256301</v>
      </c>
      <c r="R16" s="35">
        <f t="shared" si="0"/>
        <v>0</v>
      </c>
      <c r="S16" s="35">
        <f t="shared" si="0"/>
        <v>1009267734.5537759</v>
      </c>
    </row>
    <row r="17" spans="1:19" x14ac:dyDescent="0.45">
      <c r="A17" t="s">
        <v>134</v>
      </c>
      <c r="B17" t="s">
        <v>135</v>
      </c>
      <c r="C17" t="s">
        <v>168</v>
      </c>
      <c r="D17" t="s">
        <v>137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147</v>
      </c>
      <c r="L17" s="35">
        <f t="shared" si="0"/>
        <v>0</v>
      </c>
      <c r="M17" s="35">
        <f t="shared" si="0"/>
        <v>0</v>
      </c>
      <c r="N17" s="35">
        <f t="shared" si="0"/>
        <v>809739010.98901093</v>
      </c>
      <c r="O17" s="35">
        <f t="shared" si="0"/>
        <v>0</v>
      </c>
      <c r="P17" s="35">
        <f t="shared" si="0"/>
        <v>0</v>
      </c>
      <c r="Q17" s="35">
        <f t="shared" si="0"/>
        <v>4549260989.0109892</v>
      </c>
      <c r="R17" s="35">
        <f t="shared" si="0"/>
        <v>0</v>
      </c>
      <c r="S17" s="35">
        <f t="shared" si="0"/>
        <v>0</v>
      </c>
    </row>
    <row r="18" spans="1:19" x14ac:dyDescent="0.45">
      <c r="A18" t="s">
        <v>134</v>
      </c>
      <c r="B18" t="s">
        <v>135</v>
      </c>
      <c r="C18" t="s">
        <v>169</v>
      </c>
      <c r="D18" t="s">
        <v>141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149</v>
      </c>
      <c r="L18" s="35">
        <f t="shared" si="0"/>
        <v>10063040000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35">
        <f t="shared" si="0"/>
        <v>0</v>
      </c>
      <c r="Q18" s="35">
        <f t="shared" si="0"/>
        <v>2208960000</v>
      </c>
      <c r="R18" s="35">
        <f t="shared" si="0"/>
        <v>0</v>
      </c>
      <c r="S18" s="35">
        <f t="shared" si="0"/>
        <v>0</v>
      </c>
    </row>
    <row r="19" spans="1:19" x14ac:dyDescent="0.45">
      <c r="A19" t="s">
        <v>134</v>
      </c>
      <c r="B19" t="s">
        <v>135</v>
      </c>
      <c r="C19" t="s">
        <v>170</v>
      </c>
      <c r="D19" t="s">
        <v>137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151</v>
      </c>
      <c r="L19" s="35">
        <f t="shared" si="0"/>
        <v>6324800711.7437725</v>
      </c>
      <c r="M19" s="35">
        <f t="shared" si="0"/>
        <v>524765124.55516011</v>
      </c>
      <c r="N19" s="35">
        <f t="shared" si="0"/>
        <v>0</v>
      </c>
      <c r="O19" s="35">
        <f t="shared" si="0"/>
        <v>0</v>
      </c>
      <c r="P19" s="35">
        <f t="shared" si="0"/>
        <v>469526690.39145899</v>
      </c>
      <c r="Q19" s="35">
        <f t="shared" si="0"/>
        <v>0</v>
      </c>
      <c r="R19" s="35">
        <f t="shared" si="0"/>
        <v>0</v>
      </c>
      <c r="S19" s="35">
        <f t="shared" si="0"/>
        <v>441907473.30960852</v>
      </c>
    </row>
    <row r="20" spans="1:19" x14ac:dyDescent="0.45">
      <c r="A20" t="s">
        <v>134</v>
      </c>
      <c r="B20" t="s">
        <v>135</v>
      </c>
      <c r="C20" t="s">
        <v>171</v>
      </c>
      <c r="D20" t="s">
        <v>141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153</v>
      </c>
      <c r="L20" s="35">
        <f t="shared" si="0"/>
        <v>3692059701.492537</v>
      </c>
      <c r="M20" s="35">
        <f t="shared" si="0"/>
        <v>0</v>
      </c>
      <c r="N20" s="35">
        <f t="shared" si="0"/>
        <v>0</v>
      </c>
      <c r="O20" s="35">
        <f t="shared" si="0"/>
        <v>0</v>
      </c>
      <c r="P20" s="35">
        <f t="shared" si="0"/>
        <v>0</v>
      </c>
      <c r="Q20" s="35">
        <f t="shared" si="0"/>
        <v>0</v>
      </c>
      <c r="R20" s="35">
        <f t="shared" si="0"/>
        <v>0</v>
      </c>
      <c r="S20" s="35">
        <f t="shared" si="0"/>
        <v>55940298.507462695</v>
      </c>
    </row>
    <row r="21" spans="1:19" x14ac:dyDescent="0.45">
      <c r="A21" t="s">
        <v>134</v>
      </c>
      <c r="B21" t="s">
        <v>135</v>
      </c>
      <c r="C21" t="s">
        <v>172</v>
      </c>
      <c r="D21" t="s">
        <v>137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155</v>
      </c>
      <c r="L21" s="35">
        <f t="shared" si="0"/>
        <v>3572219512.1951213</v>
      </c>
      <c r="M21" s="35">
        <f t="shared" si="0"/>
        <v>1895463414.6341467</v>
      </c>
      <c r="N21" s="35">
        <f t="shared" si="0"/>
        <v>364512195.12195122</v>
      </c>
      <c r="O21" s="35">
        <f t="shared" si="0"/>
        <v>3645121951.219512</v>
      </c>
      <c r="P21" s="35">
        <f t="shared" si="0"/>
        <v>583219512.195122</v>
      </c>
      <c r="Q21" s="35">
        <f t="shared" si="0"/>
        <v>0</v>
      </c>
      <c r="R21" s="35">
        <f t="shared" si="0"/>
        <v>656121951.21951234</v>
      </c>
      <c r="S21" s="35">
        <f t="shared" si="0"/>
        <v>1239341463.4146333</v>
      </c>
    </row>
    <row r="22" spans="1:19" x14ac:dyDescent="0.45">
      <c r="A22" t="s">
        <v>134</v>
      </c>
      <c r="B22" t="s">
        <v>135</v>
      </c>
      <c r="C22" t="s">
        <v>173</v>
      </c>
      <c r="D22" t="s">
        <v>137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157</v>
      </c>
      <c r="L22" s="35">
        <f t="shared" si="0"/>
        <v>1067292020.3735145</v>
      </c>
      <c r="M22" s="35">
        <f t="shared" si="0"/>
        <v>0</v>
      </c>
      <c r="N22" s="35">
        <f t="shared" si="0"/>
        <v>4940037351.4431229</v>
      </c>
      <c r="O22" s="35">
        <f t="shared" si="0"/>
        <v>0</v>
      </c>
      <c r="P22" s="35">
        <f t="shared" si="0"/>
        <v>0</v>
      </c>
      <c r="Q22" s="35">
        <f t="shared" si="0"/>
        <v>11953670628.183361</v>
      </c>
      <c r="R22" s="35">
        <f t="shared" si="0"/>
        <v>0</v>
      </c>
      <c r="S22" s="35">
        <f t="shared" si="0"/>
        <v>0</v>
      </c>
    </row>
    <row r="23" spans="1:19" x14ac:dyDescent="0.45">
      <c r="A23" t="s">
        <v>134</v>
      </c>
      <c r="B23" t="s">
        <v>135</v>
      </c>
      <c r="C23" t="s">
        <v>174</v>
      </c>
      <c r="D23" t="s">
        <v>141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159</v>
      </c>
      <c r="L23" s="35">
        <f t="shared" si="0"/>
        <v>5433487055.016181</v>
      </c>
      <c r="M23" s="35">
        <f t="shared" si="0"/>
        <v>0</v>
      </c>
      <c r="N23" s="35">
        <f t="shared" si="0"/>
        <v>0</v>
      </c>
      <c r="O23" s="35">
        <f t="shared" si="0"/>
        <v>0</v>
      </c>
      <c r="P23" s="35">
        <f t="shared" si="0"/>
        <v>0</v>
      </c>
      <c r="Q23" s="35">
        <f t="shared" si="0"/>
        <v>2242173139.1585755</v>
      </c>
      <c r="R23" s="35">
        <f t="shared" si="0"/>
        <v>0</v>
      </c>
      <c r="S23" s="35">
        <f t="shared" si="0"/>
        <v>825339805.82524276</v>
      </c>
    </row>
    <row r="24" spans="1:19" x14ac:dyDescent="0.45">
      <c r="A24" t="s">
        <v>134</v>
      </c>
      <c r="B24" t="s">
        <v>135</v>
      </c>
      <c r="C24" t="s">
        <v>175</v>
      </c>
      <c r="D24" t="s">
        <v>137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161</v>
      </c>
      <c r="L24" s="35">
        <f t="shared" si="0"/>
        <v>0</v>
      </c>
      <c r="M24" s="35">
        <f t="shared" si="0"/>
        <v>1721404255.3191495</v>
      </c>
      <c r="N24" s="35">
        <f t="shared" si="0"/>
        <v>5139621276.5957451</v>
      </c>
      <c r="O24" s="35">
        <f t="shared" si="0"/>
        <v>0</v>
      </c>
      <c r="P24" s="35">
        <f t="shared" si="0"/>
        <v>762336170.21276593</v>
      </c>
      <c r="Q24" s="35">
        <f t="shared" si="0"/>
        <v>3934638297.8723407</v>
      </c>
      <c r="R24" s="35">
        <f t="shared" si="0"/>
        <v>0</v>
      </c>
      <c r="S24" s="35">
        <f t="shared" si="0"/>
        <v>0</v>
      </c>
    </row>
    <row r="25" spans="1:19" x14ac:dyDescent="0.45">
      <c r="A25" t="s">
        <v>134</v>
      </c>
      <c r="B25" t="s">
        <v>135</v>
      </c>
      <c r="C25" t="s">
        <v>176</v>
      </c>
      <c r="D25" t="s">
        <v>137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177</v>
      </c>
      <c r="L25" s="35">
        <f t="shared" ref="L25:S25" si="1">SUM(L16:L24)</f>
        <v>43677086643.841721</v>
      </c>
      <c r="M25" s="35">
        <f t="shared" si="1"/>
        <v>4141632794.5084562</v>
      </c>
      <c r="N25" s="35">
        <f t="shared" si="1"/>
        <v>11253909834.14983</v>
      </c>
      <c r="O25" s="35">
        <f t="shared" si="1"/>
        <v>3645121951.219512</v>
      </c>
      <c r="P25" s="35">
        <f t="shared" si="1"/>
        <v>1815082372.7993469</v>
      </c>
      <c r="Q25" s="35">
        <f t="shared" si="1"/>
        <v>27997247676.650898</v>
      </c>
      <c r="R25" s="35">
        <f t="shared" si="1"/>
        <v>656121951.21951234</v>
      </c>
      <c r="S25" s="35">
        <f t="shared" si="1"/>
        <v>3571796775.6107235</v>
      </c>
    </row>
    <row r="26" spans="1:19" x14ac:dyDescent="0.45">
      <c r="A26" t="s">
        <v>134</v>
      </c>
      <c r="B26" t="s">
        <v>135</v>
      </c>
      <c r="C26" t="s">
        <v>178</v>
      </c>
      <c r="D26" t="s">
        <v>141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45">
      <c r="A27" t="s">
        <v>134</v>
      </c>
      <c r="B27" t="s">
        <v>135</v>
      </c>
      <c r="C27" t="s">
        <v>179</v>
      </c>
      <c r="D27" t="s">
        <v>137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180</v>
      </c>
    </row>
    <row r="28" spans="1:19" x14ac:dyDescent="0.45">
      <c r="A28" t="s">
        <v>134</v>
      </c>
      <c r="B28" t="s">
        <v>135</v>
      </c>
      <c r="C28" t="s">
        <v>181</v>
      </c>
      <c r="D28" t="s">
        <v>137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110</v>
      </c>
      <c r="L28" s="8">
        <f t="shared" ref="L28:L35" si="2">SUMIF($L$15:$S$15,K28,$L$25:$S$25)/SUM($L$25:$S$25)</f>
        <v>0.45140543049506737</v>
      </c>
    </row>
    <row r="29" spans="1:19" x14ac:dyDescent="0.45">
      <c r="A29" t="s">
        <v>134</v>
      </c>
      <c r="B29" t="s">
        <v>135</v>
      </c>
      <c r="C29" t="s">
        <v>182</v>
      </c>
      <c r="D29" t="s">
        <v>141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139</v>
      </c>
      <c r="L29" s="8">
        <f t="shared" si="2"/>
        <v>4.2804034751735845E-2</v>
      </c>
    </row>
    <row r="30" spans="1:19" x14ac:dyDescent="0.45">
      <c r="A30" t="s">
        <v>134</v>
      </c>
      <c r="B30" t="s">
        <v>135</v>
      </c>
      <c r="C30" t="s">
        <v>183</v>
      </c>
      <c r="D30" t="s">
        <v>141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137</v>
      </c>
      <c r="L30" s="8">
        <f t="shared" si="2"/>
        <v>0.11630986413681382</v>
      </c>
    </row>
    <row r="31" spans="1:19" x14ac:dyDescent="0.45">
      <c r="A31" t="s">
        <v>134</v>
      </c>
      <c r="B31" t="s">
        <v>135</v>
      </c>
      <c r="C31" t="s">
        <v>184</v>
      </c>
      <c r="D31" t="s">
        <v>141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112</v>
      </c>
      <c r="L31" s="8">
        <f t="shared" si="2"/>
        <v>3.7672564038317376E-2</v>
      </c>
    </row>
    <row r="32" spans="1:19" x14ac:dyDescent="0.45">
      <c r="A32" t="s">
        <v>134</v>
      </c>
      <c r="B32" t="s">
        <v>135</v>
      </c>
      <c r="C32" t="s">
        <v>185</v>
      </c>
      <c r="D32" t="s">
        <v>137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140</v>
      </c>
      <c r="L32" s="8">
        <f t="shared" si="2"/>
        <v>1.8758990189951707E-2</v>
      </c>
    </row>
    <row r="33" spans="1:12" x14ac:dyDescent="0.45">
      <c r="A33" t="s">
        <v>134</v>
      </c>
      <c r="B33" t="s">
        <v>135</v>
      </c>
      <c r="C33" t="s">
        <v>186</v>
      </c>
      <c r="D33" t="s">
        <v>141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141</v>
      </c>
      <c r="L33" s="8">
        <f t="shared" si="2"/>
        <v>0.28935331111278551</v>
      </c>
    </row>
    <row r="34" spans="1:12" x14ac:dyDescent="0.45">
      <c r="A34" t="s">
        <v>134</v>
      </c>
      <c r="B34" t="s">
        <v>135</v>
      </c>
      <c r="C34" t="s">
        <v>187</v>
      </c>
      <c r="D34" t="s">
        <v>141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142</v>
      </c>
      <c r="L34" s="8">
        <f t="shared" si="2"/>
        <v>6.7810615268971298E-3</v>
      </c>
    </row>
    <row r="35" spans="1:12" x14ac:dyDescent="0.45">
      <c r="A35" t="s">
        <v>134</v>
      </c>
      <c r="B35" t="s">
        <v>135</v>
      </c>
      <c r="C35" t="s">
        <v>188</v>
      </c>
      <c r="D35" t="s">
        <v>137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113</v>
      </c>
      <c r="L35" s="8">
        <f t="shared" si="2"/>
        <v>3.6914743748431386E-2</v>
      </c>
    </row>
    <row r="36" spans="1:12" x14ac:dyDescent="0.45">
      <c r="A36" t="s">
        <v>134</v>
      </c>
      <c r="B36" t="s">
        <v>135</v>
      </c>
      <c r="C36" t="s">
        <v>189</v>
      </c>
      <c r="D36" t="s">
        <v>137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45">
      <c r="A37" t="s">
        <v>134</v>
      </c>
      <c r="B37" t="s">
        <v>135</v>
      </c>
      <c r="C37" t="s">
        <v>190</v>
      </c>
      <c r="D37" t="s">
        <v>141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45">
      <c r="A38" t="s">
        <v>134</v>
      </c>
      <c r="B38" t="s">
        <v>135</v>
      </c>
      <c r="C38" t="s">
        <v>191</v>
      </c>
      <c r="D38" t="s">
        <v>141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45">
      <c r="A39" t="s">
        <v>134</v>
      </c>
      <c r="B39" t="s">
        <v>135</v>
      </c>
      <c r="C39" t="s">
        <v>192</v>
      </c>
      <c r="D39" t="s">
        <v>141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45">
      <c r="A40" t="s">
        <v>134</v>
      </c>
      <c r="B40" t="s">
        <v>135</v>
      </c>
      <c r="C40" t="s">
        <v>193</v>
      </c>
      <c r="D40" t="s">
        <v>141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45">
      <c r="A41" t="s">
        <v>134</v>
      </c>
      <c r="B41" t="s">
        <v>135</v>
      </c>
      <c r="C41" t="s">
        <v>194</v>
      </c>
      <c r="D41" t="s">
        <v>141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45">
      <c r="A42" t="s">
        <v>134</v>
      </c>
      <c r="B42" t="s">
        <v>135</v>
      </c>
      <c r="C42" t="s">
        <v>195</v>
      </c>
      <c r="D42" t="s">
        <v>141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45">
      <c r="A43" t="s">
        <v>134</v>
      </c>
      <c r="B43" t="s">
        <v>135</v>
      </c>
      <c r="C43" t="s">
        <v>196</v>
      </c>
      <c r="D43" t="s">
        <v>141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45">
      <c r="A44" t="s">
        <v>134</v>
      </c>
      <c r="B44" t="s">
        <v>135</v>
      </c>
      <c r="C44" t="s">
        <v>197</v>
      </c>
      <c r="D44" t="s">
        <v>137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45">
      <c r="A45" t="s">
        <v>134</v>
      </c>
      <c r="B45" t="s">
        <v>135</v>
      </c>
      <c r="C45" t="s">
        <v>198</v>
      </c>
      <c r="D45" t="s">
        <v>137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45">
      <c r="A46" t="s">
        <v>134</v>
      </c>
      <c r="B46" t="s">
        <v>135</v>
      </c>
      <c r="C46" t="s">
        <v>199</v>
      </c>
      <c r="D46" t="s">
        <v>141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45">
      <c r="A47" t="s">
        <v>134</v>
      </c>
      <c r="B47" t="s">
        <v>135</v>
      </c>
      <c r="C47" t="s">
        <v>200</v>
      </c>
      <c r="D47" t="s">
        <v>137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45">
      <c r="A48" t="s">
        <v>134</v>
      </c>
      <c r="B48" t="s">
        <v>135</v>
      </c>
      <c r="C48" t="s">
        <v>201</v>
      </c>
      <c r="D48" t="s">
        <v>141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45">
      <c r="A49" t="s">
        <v>134</v>
      </c>
      <c r="B49" t="s">
        <v>135</v>
      </c>
      <c r="C49" t="s">
        <v>202</v>
      </c>
      <c r="D49" t="s">
        <v>141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45">
      <c r="A50" t="s">
        <v>134</v>
      </c>
      <c r="B50" t="s">
        <v>135</v>
      </c>
      <c r="C50" t="s">
        <v>203</v>
      </c>
      <c r="D50" t="s">
        <v>137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45">
      <c r="A51" t="s">
        <v>134</v>
      </c>
      <c r="B51" t="s">
        <v>135</v>
      </c>
      <c r="C51" t="s">
        <v>204</v>
      </c>
      <c r="D51" t="s">
        <v>137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45">
      <c r="A52" t="s">
        <v>134</v>
      </c>
      <c r="B52" t="s">
        <v>135</v>
      </c>
      <c r="C52" t="s">
        <v>205</v>
      </c>
      <c r="D52" t="s">
        <v>137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45">
      <c r="A53" t="s">
        <v>134</v>
      </c>
      <c r="B53" t="s">
        <v>135</v>
      </c>
      <c r="C53" t="s">
        <v>206</v>
      </c>
      <c r="D53" t="s">
        <v>141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45">
      <c r="A54" t="s">
        <v>134</v>
      </c>
      <c r="B54" t="s">
        <v>135</v>
      </c>
      <c r="C54" t="s">
        <v>207</v>
      </c>
      <c r="D54" t="s">
        <v>137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45">
      <c r="A55" t="s">
        <v>134</v>
      </c>
      <c r="B55" t="s">
        <v>135</v>
      </c>
      <c r="C55" t="s">
        <v>208</v>
      </c>
      <c r="D55" t="s">
        <v>141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45">
      <c r="A56" t="s">
        <v>134</v>
      </c>
      <c r="B56" t="s">
        <v>135</v>
      </c>
      <c r="C56" t="s">
        <v>209</v>
      </c>
      <c r="D56" t="s">
        <v>137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45">
      <c r="A57" t="s">
        <v>134</v>
      </c>
      <c r="B57" t="s">
        <v>135</v>
      </c>
      <c r="C57" t="s">
        <v>210</v>
      </c>
      <c r="D57" t="s">
        <v>141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45">
      <c r="A58" t="s">
        <v>134</v>
      </c>
      <c r="B58" t="s">
        <v>135</v>
      </c>
      <c r="C58" t="s">
        <v>211</v>
      </c>
      <c r="D58" t="s">
        <v>137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45">
      <c r="A59" t="s">
        <v>134</v>
      </c>
      <c r="B59" t="s">
        <v>135</v>
      </c>
      <c r="C59" t="s">
        <v>212</v>
      </c>
      <c r="D59" t="s">
        <v>141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45">
      <c r="A60" t="s">
        <v>134</v>
      </c>
      <c r="B60" t="s">
        <v>135</v>
      </c>
      <c r="C60" t="s">
        <v>213</v>
      </c>
      <c r="D60" t="s">
        <v>141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45">
      <c r="A61" t="s">
        <v>134</v>
      </c>
      <c r="B61" t="s">
        <v>135</v>
      </c>
      <c r="C61" t="s">
        <v>214</v>
      </c>
      <c r="D61" t="s">
        <v>141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45">
      <c r="A62" t="s">
        <v>134</v>
      </c>
      <c r="B62" t="s">
        <v>135</v>
      </c>
      <c r="C62" t="s">
        <v>215</v>
      </c>
      <c r="D62" t="s">
        <v>141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45">
      <c r="A63" t="s">
        <v>134</v>
      </c>
      <c r="B63" t="s">
        <v>135</v>
      </c>
      <c r="C63" t="s">
        <v>216</v>
      </c>
      <c r="D63" t="s">
        <v>141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45">
      <c r="A64" t="s">
        <v>134</v>
      </c>
      <c r="B64" t="s">
        <v>135</v>
      </c>
      <c r="C64" t="s">
        <v>217</v>
      </c>
      <c r="D64" t="s">
        <v>141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45">
      <c r="A65" t="s">
        <v>134</v>
      </c>
      <c r="B65" t="s">
        <v>135</v>
      </c>
      <c r="C65" t="s">
        <v>218</v>
      </c>
      <c r="D65" t="s">
        <v>141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45">
      <c r="A66" t="s">
        <v>134</v>
      </c>
      <c r="B66" t="s">
        <v>135</v>
      </c>
      <c r="C66" t="s">
        <v>219</v>
      </c>
      <c r="D66" t="s">
        <v>137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45">
      <c r="A67" t="s">
        <v>220</v>
      </c>
      <c r="B67" t="s">
        <v>221</v>
      </c>
      <c r="C67" t="s">
        <v>222</v>
      </c>
      <c r="D67" t="s">
        <v>141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45">
      <c r="A68" t="s">
        <v>220</v>
      </c>
      <c r="B68" t="s">
        <v>221</v>
      </c>
      <c r="C68" t="s">
        <v>223</v>
      </c>
      <c r="D68" t="s">
        <v>141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45">
      <c r="A69" t="s">
        <v>220</v>
      </c>
      <c r="B69" t="s">
        <v>221</v>
      </c>
      <c r="C69" t="s">
        <v>224</v>
      </c>
      <c r="D69" t="s">
        <v>141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45">
      <c r="A70" t="s">
        <v>220</v>
      </c>
      <c r="B70" t="s">
        <v>221</v>
      </c>
      <c r="C70" t="s">
        <v>184</v>
      </c>
      <c r="D70" t="s">
        <v>141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45">
      <c r="A71" t="s">
        <v>220</v>
      </c>
      <c r="B71" t="s">
        <v>221</v>
      </c>
      <c r="C71" t="s">
        <v>225</v>
      </c>
      <c r="D71" t="s">
        <v>141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45">
      <c r="A72" t="s">
        <v>220</v>
      </c>
      <c r="B72" t="s">
        <v>221</v>
      </c>
      <c r="C72" t="s">
        <v>226</v>
      </c>
      <c r="D72" t="s">
        <v>141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45">
      <c r="A73" t="s">
        <v>220</v>
      </c>
      <c r="B73" t="s">
        <v>221</v>
      </c>
      <c r="C73" t="s">
        <v>227</v>
      </c>
      <c r="D73" t="s">
        <v>141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45">
      <c r="A74" t="s">
        <v>220</v>
      </c>
      <c r="B74" t="s">
        <v>221</v>
      </c>
      <c r="C74" t="s">
        <v>186</v>
      </c>
      <c r="D74" t="s">
        <v>141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45">
      <c r="A75" t="s">
        <v>220</v>
      </c>
      <c r="B75" t="s">
        <v>221</v>
      </c>
      <c r="C75" t="s">
        <v>228</v>
      </c>
      <c r="D75" t="s">
        <v>141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45">
      <c r="A76" t="s">
        <v>220</v>
      </c>
      <c r="B76" t="s">
        <v>221</v>
      </c>
      <c r="C76" t="s">
        <v>229</v>
      </c>
      <c r="D76" t="s">
        <v>141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45">
      <c r="A77" t="s">
        <v>220</v>
      </c>
      <c r="B77" t="s">
        <v>221</v>
      </c>
      <c r="C77" t="s">
        <v>230</v>
      </c>
      <c r="D77" t="s">
        <v>141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45">
      <c r="A78" t="s">
        <v>220</v>
      </c>
      <c r="B78" t="s">
        <v>221</v>
      </c>
      <c r="C78" t="s">
        <v>231</v>
      </c>
      <c r="D78" t="s">
        <v>141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45">
      <c r="A79" t="s">
        <v>220</v>
      </c>
      <c r="B79" t="s">
        <v>221</v>
      </c>
      <c r="C79" t="s">
        <v>232</v>
      </c>
      <c r="D79" t="s">
        <v>141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45">
      <c r="A80" t="s">
        <v>220</v>
      </c>
      <c r="B80" t="s">
        <v>221</v>
      </c>
      <c r="C80" t="s">
        <v>190</v>
      </c>
      <c r="D80" t="s">
        <v>141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45">
      <c r="A81" t="s">
        <v>220</v>
      </c>
      <c r="B81" t="s">
        <v>221</v>
      </c>
      <c r="C81" t="s">
        <v>191</v>
      </c>
      <c r="D81" t="s">
        <v>141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45">
      <c r="A82" t="s">
        <v>220</v>
      </c>
      <c r="B82" t="s">
        <v>221</v>
      </c>
      <c r="C82" t="s">
        <v>233</v>
      </c>
      <c r="D82" t="s">
        <v>141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45">
      <c r="A83" t="s">
        <v>220</v>
      </c>
      <c r="B83" t="s">
        <v>221</v>
      </c>
      <c r="C83" t="s">
        <v>234</v>
      </c>
      <c r="D83" t="s">
        <v>137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45">
      <c r="A84" t="s">
        <v>220</v>
      </c>
      <c r="B84" t="s">
        <v>221</v>
      </c>
      <c r="C84" t="s">
        <v>194</v>
      </c>
      <c r="D84" t="s">
        <v>141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45">
      <c r="A85" t="s">
        <v>220</v>
      </c>
      <c r="B85" t="s">
        <v>221</v>
      </c>
      <c r="C85" t="s">
        <v>195</v>
      </c>
      <c r="D85" t="s">
        <v>141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45">
      <c r="A86" t="s">
        <v>220</v>
      </c>
      <c r="B86" t="s">
        <v>221</v>
      </c>
      <c r="C86" t="s">
        <v>235</v>
      </c>
      <c r="D86" t="s">
        <v>141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45">
      <c r="A87" t="s">
        <v>220</v>
      </c>
      <c r="B87" t="s">
        <v>221</v>
      </c>
      <c r="C87" t="s">
        <v>236</v>
      </c>
      <c r="D87" t="s">
        <v>137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45">
      <c r="A88" t="s">
        <v>220</v>
      </c>
      <c r="B88" t="s">
        <v>221</v>
      </c>
      <c r="C88" t="s">
        <v>237</v>
      </c>
      <c r="D88" t="s">
        <v>141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45">
      <c r="A89" t="s">
        <v>220</v>
      </c>
      <c r="B89" t="s">
        <v>221</v>
      </c>
      <c r="C89" t="s">
        <v>238</v>
      </c>
      <c r="D89" t="s">
        <v>141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45">
      <c r="A90" t="s">
        <v>220</v>
      </c>
      <c r="B90" t="s">
        <v>221</v>
      </c>
      <c r="C90" t="s">
        <v>199</v>
      </c>
      <c r="D90" t="s">
        <v>141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45">
      <c r="A91" t="s">
        <v>220</v>
      </c>
      <c r="B91" t="s">
        <v>221</v>
      </c>
      <c r="C91" t="s">
        <v>201</v>
      </c>
      <c r="D91" t="s">
        <v>141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45">
      <c r="A92" t="s">
        <v>220</v>
      </c>
      <c r="B92" t="s">
        <v>221</v>
      </c>
      <c r="C92" t="s">
        <v>239</v>
      </c>
      <c r="D92" t="s">
        <v>137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45">
      <c r="A93" t="s">
        <v>220</v>
      </c>
      <c r="B93" t="s">
        <v>221</v>
      </c>
      <c r="C93" t="s">
        <v>240</v>
      </c>
      <c r="D93" t="s">
        <v>141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45">
      <c r="A94" t="s">
        <v>220</v>
      </c>
      <c r="B94" t="s">
        <v>221</v>
      </c>
      <c r="C94" t="s">
        <v>204</v>
      </c>
      <c r="D94" t="s">
        <v>141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45">
      <c r="A95" t="s">
        <v>220</v>
      </c>
      <c r="B95" t="s">
        <v>221</v>
      </c>
      <c r="C95" t="s">
        <v>205</v>
      </c>
      <c r="D95" t="s">
        <v>141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45">
      <c r="A96" t="s">
        <v>220</v>
      </c>
      <c r="B96" t="s">
        <v>221</v>
      </c>
      <c r="C96" t="s">
        <v>241</v>
      </c>
      <c r="D96" t="s">
        <v>141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45">
      <c r="A97" t="s">
        <v>220</v>
      </c>
      <c r="B97" t="s">
        <v>221</v>
      </c>
      <c r="C97" t="s">
        <v>242</v>
      </c>
      <c r="D97" t="s">
        <v>141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45">
      <c r="A98" t="s">
        <v>220</v>
      </c>
      <c r="B98" t="s">
        <v>221</v>
      </c>
      <c r="C98" t="s">
        <v>243</v>
      </c>
      <c r="D98" t="s">
        <v>141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45">
      <c r="A99" t="s">
        <v>220</v>
      </c>
      <c r="B99" t="s">
        <v>221</v>
      </c>
      <c r="C99" t="s">
        <v>207</v>
      </c>
      <c r="D99" t="s">
        <v>141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45">
      <c r="A100" t="s">
        <v>220</v>
      </c>
      <c r="B100" t="s">
        <v>221</v>
      </c>
      <c r="C100" t="s">
        <v>244</v>
      </c>
      <c r="D100" t="s">
        <v>141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45">
      <c r="A101" t="s">
        <v>220</v>
      </c>
      <c r="B101" t="s">
        <v>221</v>
      </c>
      <c r="C101" t="s">
        <v>209</v>
      </c>
      <c r="D101" t="s">
        <v>141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45">
      <c r="A102" t="s">
        <v>220</v>
      </c>
      <c r="B102" t="s">
        <v>221</v>
      </c>
      <c r="C102" t="s">
        <v>245</v>
      </c>
      <c r="D102" t="s">
        <v>141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45">
      <c r="A103" t="s">
        <v>220</v>
      </c>
      <c r="B103" t="s">
        <v>221</v>
      </c>
      <c r="C103" t="s">
        <v>246</v>
      </c>
      <c r="D103" t="s">
        <v>141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45">
      <c r="A104" t="s">
        <v>220</v>
      </c>
      <c r="B104" t="s">
        <v>221</v>
      </c>
      <c r="C104" t="s">
        <v>247</v>
      </c>
      <c r="D104" t="s">
        <v>141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45">
      <c r="A105" t="s">
        <v>220</v>
      </c>
      <c r="B105" t="s">
        <v>221</v>
      </c>
      <c r="C105" t="s">
        <v>248</v>
      </c>
      <c r="D105" t="s">
        <v>141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45">
      <c r="A106" t="s">
        <v>220</v>
      </c>
      <c r="B106" t="s">
        <v>221</v>
      </c>
      <c r="C106" t="s">
        <v>249</v>
      </c>
      <c r="D106" t="s">
        <v>141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45">
      <c r="A107" t="s">
        <v>220</v>
      </c>
      <c r="B107" t="s">
        <v>221</v>
      </c>
      <c r="C107" t="s">
        <v>210</v>
      </c>
      <c r="D107" t="s">
        <v>141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45">
      <c r="A108" t="s">
        <v>220</v>
      </c>
      <c r="B108" t="s">
        <v>221</v>
      </c>
      <c r="C108" t="s">
        <v>250</v>
      </c>
      <c r="D108" t="s">
        <v>141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45">
      <c r="A109" t="s">
        <v>220</v>
      </c>
      <c r="B109" t="s">
        <v>221</v>
      </c>
      <c r="C109" t="s">
        <v>251</v>
      </c>
      <c r="D109" t="s">
        <v>141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45">
      <c r="A110" t="s">
        <v>220</v>
      </c>
      <c r="B110" t="s">
        <v>221</v>
      </c>
      <c r="C110" t="s">
        <v>252</v>
      </c>
      <c r="D110" t="s">
        <v>141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45">
      <c r="A111" t="s">
        <v>220</v>
      </c>
      <c r="B111" t="s">
        <v>221</v>
      </c>
      <c r="C111" t="s">
        <v>253</v>
      </c>
      <c r="D111" t="s">
        <v>141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45">
      <c r="A112" t="s">
        <v>220</v>
      </c>
      <c r="B112" t="s">
        <v>221</v>
      </c>
      <c r="C112" t="s">
        <v>254</v>
      </c>
      <c r="D112" t="s">
        <v>141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45">
      <c r="A113" t="s">
        <v>220</v>
      </c>
      <c r="B113" t="s">
        <v>221</v>
      </c>
      <c r="C113" t="s">
        <v>255</v>
      </c>
      <c r="D113" t="s">
        <v>141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45">
      <c r="A114" t="s">
        <v>220</v>
      </c>
      <c r="B114" t="s">
        <v>221</v>
      </c>
      <c r="C114" t="s">
        <v>256</v>
      </c>
      <c r="D114" t="s">
        <v>141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45">
      <c r="A115" t="s">
        <v>220</v>
      </c>
      <c r="B115" t="s">
        <v>221</v>
      </c>
      <c r="C115" t="s">
        <v>257</v>
      </c>
      <c r="D115" t="s">
        <v>141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45">
      <c r="A116" t="s">
        <v>220</v>
      </c>
      <c r="B116" t="s">
        <v>221</v>
      </c>
      <c r="C116" t="s">
        <v>258</v>
      </c>
      <c r="D116" t="s">
        <v>137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45">
      <c r="A117" t="s">
        <v>220</v>
      </c>
      <c r="B117" t="s">
        <v>221</v>
      </c>
      <c r="C117" t="s">
        <v>259</v>
      </c>
      <c r="D117" t="s">
        <v>141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45">
      <c r="A118" t="s">
        <v>220</v>
      </c>
      <c r="B118" t="s">
        <v>221</v>
      </c>
      <c r="C118" t="s">
        <v>219</v>
      </c>
      <c r="D118" t="s">
        <v>141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45">
      <c r="A119" t="s">
        <v>220</v>
      </c>
      <c r="B119" t="s">
        <v>221</v>
      </c>
      <c r="C119" t="s">
        <v>260</v>
      </c>
      <c r="D119" t="s">
        <v>141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45">
      <c r="A120" t="s">
        <v>220</v>
      </c>
      <c r="B120" t="s">
        <v>221</v>
      </c>
      <c r="C120" t="s">
        <v>261</v>
      </c>
      <c r="D120" t="s">
        <v>141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45">
      <c r="A121" t="s">
        <v>220</v>
      </c>
      <c r="B121" t="s">
        <v>221</v>
      </c>
      <c r="C121" t="s">
        <v>262</v>
      </c>
      <c r="D121" t="s">
        <v>141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45">
      <c r="A122" t="s">
        <v>263</v>
      </c>
      <c r="B122" t="s">
        <v>264</v>
      </c>
      <c r="C122" t="s">
        <v>265</v>
      </c>
      <c r="D122" t="s">
        <v>112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45">
      <c r="A123" t="s">
        <v>263</v>
      </c>
      <c r="B123" t="s">
        <v>264</v>
      </c>
      <c r="C123" t="s">
        <v>266</v>
      </c>
      <c r="D123" t="s">
        <v>110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45">
      <c r="A124" t="s">
        <v>263</v>
      </c>
      <c r="B124" t="s">
        <v>264</v>
      </c>
      <c r="C124" t="s">
        <v>267</v>
      </c>
      <c r="D124" t="s">
        <v>140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45">
      <c r="A125" t="s">
        <v>263</v>
      </c>
      <c r="B125" t="s">
        <v>264</v>
      </c>
      <c r="C125" t="s">
        <v>268</v>
      </c>
      <c r="D125" t="s">
        <v>139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45">
      <c r="A126" t="s">
        <v>263</v>
      </c>
      <c r="B126" t="s">
        <v>264</v>
      </c>
      <c r="C126" t="s">
        <v>269</v>
      </c>
      <c r="D126" t="s">
        <v>140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45">
      <c r="A127" t="s">
        <v>263</v>
      </c>
      <c r="B127" t="s">
        <v>264</v>
      </c>
      <c r="C127" t="s">
        <v>270</v>
      </c>
      <c r="D127" t="s">
        <v>139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45">
      <c r="A128" t="s">
        <v>263</v>
      </c>
      <c r="B128" t="s">
        <v>264</v>
      </c>
      <c r="C128" t="s">
        <v>271</v>
      </c>
      <c r="D128" t="s">
        <v>139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45">
      <c r="A129" t="s">
        <v>263</v>
      </c>
      <c r="B129" t="s">
        <v>264</v>
      </c>
      <c r="C129" t="s">
        <v>272</v>
      </c>
      <c r="D129" t="s">
        <v>112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45">
      <c r="A130" t="s">
        <v>263</v>
      </c>
      <c r="B130" t="s">
        <v>264</v>
      </c>
      <c r="C130" t="s">
        <v>273</v>
      </c>
      <c r="D130" t="s">
        <v>140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45">
      <c r="A131" t="s">
        <v>263</v>
      </c>
      <c r="B131" t="s">
        <v>264</v>
      </c>
      <c r="C131" t="s">
        <v>274</v>
      </c>
      <c r="D131" t="s">
        <v>139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45">
      <c r="A132" t="s">
        <v>275</v>
      </c>
      <c r="B132" t="s">
        <v>276</v>
      </c>
      <c r="C132" t="s">
        <v>277</v>
      </c>
      <c r="D132" t="s">
        <v>110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45">
      <c r="A133" t="s">
        <v>275</v>
      </c>
      <c r="B133" t="s">
        <v>276</v>
      </c>
      <c r="C133" t="s">
        <v>278</v>
      </c>
      <c r="D133" t="s">
        <v>110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45">
      <c r="A134" t="s">
        <v>275</v>
      </c>
      <c r="B134" t="s">
        <v>276</v>
      </c>
      <c r="C134" t="s">
        <v>279</v>
      </c>
      <c r="D134" t="s">
        <v>110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45">
      <c r="A135" t="s">
        <v>275</v>
      </c>
      <c r="B135" t="s">
        <v>276</v>
      </c>
      <c r="C135" t="s">
        <v>280</v>
      </c>
      <c r="D135" t="s">
        <v>110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45">
      <c r="A136" t="s">
        <v>275</v>
      </c>
      <c r="B136" t="s">
        <v>276</v>
      </c>
      <c r="C136" t="s">
        <v>281</v>
      </c>
      <c r="D136" t="s">
        <v>110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45">
      <c r="A137" t="s">
        <v>275</v>
      </c>
      <c r="B137" t="s">
        <v>276</v>
      </c>
      <c r="C137" t="s">
        <v>282</v>
      </c>
      <c r="D137" t="s">
        <v>110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45">
      <c r="A138" t="s">
        <v>275</v>
      </c>
      <c r="B138" t="s">
        <v>276</v>
      </c>
      <c r="C138" t="s">
        <v>283</v>
      </c>
      <c r="D138" t="s">
        <v>110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45">
      <c r="A139" t="s">
        <v>275</v>
      </c>
      <c r="B139" t="s">
        <v>276</v>
      </c>
      <c r="C139" t="s">
        <v>284</v>
      </c>
      <c r="D139" t="s">
        <v>110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45">
      <c r="A140" t="s">
        <v>275</v>
      </c>
      <c r="B140" t="s">
        <v>276</v>
      </c>
      <c r="C140" t="s">
        <v>285</v>
      </c>
      <c r="D140" t="s">
        <v>113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45">
      <c r="A141" t="s">
        <v>275</v>
      </c>
      <c r="B141" t="s">
        <v>276</v>
      </c>
      <c r="C141" t="s">
        <v>286</v>
      </c>
      <c r="D141" t="s">
        <v>113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45">
      <c r="A142" t="s">
        <v>275</v>
      </c>
      <c r="B142" t="s">
        <v>276</v>
      </c>
      <c r="C142" t="s">
        <v>287</v>
      </c>
      <c r="D142" t="s">
        <v>113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45">
      <c r="A143" t="s">
        <v>275</v>
      </c>
      <c r="B143" t="s">
        <v>276</v>
      </c>
      <c r="C143" t="s">
        <v>288</v>
      </c>
      <c r="D143" t="s">
        <v>110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45">
      <c r="A144" t="s">
        <v>275</v>
      </c>
      <c r="B144" t="s">
        <v>276</v>
      </c>
      <c r="C144" t="s">
        <v>190</v>
      </c>
      <c r="D144" t="s">
        <v>113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45">
      <c r="A145" t="s">
        <v>275</v>
      </c>
      <c r="B145" t="s">
        <v>276</v>
      </c>
      <c r="C145" t="s">
        <v>191</v>
      </c>
      <c r="D145" t="s">
        <v>110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45">
      <c r="A146" t="s">
        <v>275</v>
      </c>
      <c r="B146" t="s">
        <v>276</v>
      </c>
      <c r="C146" t="s">
        <v>289</v>
      </c>
      <c r="D146" t="s">
        <v>110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45">
      <c r="A147" t="s">
        <v>275</v>
      </c>
      <c r="B147" t="s">
        <v>276</v>
      </c>
      <c r="C147" t="s">
        <v>290</v>
      </c>
      <c r="D147" t="s">
        <v>110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45">
      <c r="A148" t="s">
        <v>275</v>
      </c>
      <c r="B148" t="s">
        <v>276</v>
      </c>
      <c r="C148" t="s">
        <v>291</v>
      </c>
      <c r="D148" t="s">
        <v>110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45">
      <c r="A149" t="s">
        <v>275</v>
      </c>
      <c r="B149" t="s">
        <v>276</v>
      </c>
      <c r="C149" t="s">
        <v>292</v>
      </c>
      <c r="D149" t="s">
        <v>113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45">
      <c r="A150" t="s">
        <v>275</v>
      </c>
      <c r="B150" t="s">
        <v>276</v>
      </c>
      <c r="C150" t="s">
        <v>293</v>
      </c>
      <c r="D150" t="s">
        <v>110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45">
      <c r="A151" t="s">
        <v>275</v>
      </c>
      <c r="B151" t="s">
        <v>276</v>
      </c>
      <c r="C151" t="s">
        <v>294</v>
      </c>
      <c r="D151" t="s">
        <v>140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45">
      <c r="A152" t="s">
        <v>275</v>
      </c>
      <c r="B152" t="s">
        <v>276</v>
      </c>
      <c r="C152" t="s">
        <v>235</v>
      </c>
      <c r="D152" t="s">
        <v>110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45">
      <c r="A153" t="s">
        <v>275</v>
      </c>
      <c r="B153" t="s">
        <v>276</v>
      </c>
      <c r="C153" t="s">
        <v>237</v>
      </c>
      <c r="D153" t="s">
        <v>110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45">
      <c r="A154" t="s">
        <v>275</v>
      </c>
      <c r="B154" t="s">
        <v>276</v>
      </c>
      <c r="C154" t="s">
        <v>295</v>
      </c>
      <c r="D154" t="s">
        <v>110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45">
      <c r="A155" t="s">
        <v>275</v>
      </c>
      <c r="B155" t="s">
        <v>276</v>
      </c>
      <c r="C155" t="s">
        <v>296</v>
      </c>
      <c r="D155" t="s">
        <v>113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45">
      <c r="A156" t="s">
        <v>275</v>
      </c>
      <c r="B156" t="s">
        <v>276</v>
      </c>
      <c r="C156" t="s">
        <v>297</v>
      </c>
      <c r="D156" t="s">
        <v>110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45">
      <c r="A157" t="s">
        <v>275</v>
      </c>
      <c r="B157" t="s">
        <v>276</v>
      </c>
      <c r="C157" t="s">
        <v>298</v>
      </c>
      <c r="D157" t="s">
        <v>110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45">
      <c r="A158" t="s">
        <v>275</v>
      </c>
      <c r="B158" t="s">
        <v>276</v>
      </c>
      <c r="C158" t="s">
        <v>299</v>
      </c>
      <c r="D158" t="s">
        <v>110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45">
      <c r="A159" t="s">
        <v>275</v>
      </c>
      <c r="B159" t="s">
        <v>276</v>
      </c>
      <c r="C159" t="s">
        <v>206</v>
      </c>
      <c r="D159" t="s">
        <v>110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45">
      <c r="A160" t="s">
        <v>275</v>
      </c>
      <c r="B160" t="s">
        <v>276</v>
      </c>
      <c r="C160" t="s">
        <v>300</v>
      </c>
      <c r="D160" t="s">
        <v>140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45">
      <c r="A161" t="s">
        <v>275</v>
      </c>
      <c r="B161" t="s">
        <v>276</v>
      </c>
      <c r="C161" t="s">
        <v>301</v>
      </c>
      <c r="D161" t="s">
        <v>110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45">
      <c r="A162" t="s">
        <v>275</v>
      </c>
      <c r="B162" t="s">
        <v>276</v>
      </c>
      <c r="C162" t="s">
        <v>302</v>
      </c>
      <c r="D162" t="s">
        <v>113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45">
      <c r="A163" t="s">
        <v>275</v>
      </c>
      <c r="B163" t="s">
        <v>276</v>
      </c>
      <c r="C163" t="s">
        <v>244</v>
      </c>
      <c r="D163" t="s">
        <v>110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45">
      <c r="A164" t="s">
        <v>275</v>
      </c>
      <c r="B164" t="s">
        <v>276</v>
      </c>
      <c r="C164" t="s">
        <v>303</v>
      </c>
      <c r="D164" t="s">
        <v>113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45">
      <c r="A165" t="s">
        <v>275</v>
      </c>
      <c r="B165" t="s">
        <v>276</v>
      </c>
      <c r="C165" t="s">
        <v>304</v>
      </c>
      <c r="D165" t="s">
        <v>110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45">
      <c r="A166" t="s">
        <v>275</v>
      </c>
      <c r="B166" t="s">
        <v>276</v>
      </c>
      <c r="C166" t="s">
        <v>305</v>
      </c>
      <c r="D166" t="s">
        <v>110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45">
      <c r="A167" t="s">
        <v>275</v>
      </c>
      <c r="B167" t="s">
        <v>276</v>
      </c>
      <c r="C167" t="s">
        <v>306</v>
      </c>
      <c r="D167" t="s">
        <v>110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45">
      <c r="A168" t="s">
        <v>275</v>
      </c>
      <c r="B168" t="s">
        <v>276</v>
      </c>
      <c r="C168" t="s">
        <v>307</v>
      </c>
      <c r="D168" t="s">
        <v>113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45">
      <c r="A169" t="s">
        <v>275</v>
      </c>
      <c r="B169" t="s">
        <v>276</v>
      </c>
      <c r="C169" t="s">
        <v>308</v>
      </c>
      <c r="D169" t="s">
        <v>113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45">
      <c r="A170" t="s">
        <v>275</v>
      </c>
      <c r="B170" t="s">
        <v>276</v>
      </c>
      <c r="C170" t="s">
        <v>309</v>
      </c>
      <c r="D170" t="s">
        <v>110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45">
      <c r="A171" t="s">
        <v>275</v>
      </c>
      <c r="B171" t="s">
        <v>276</v>
      </c>
      <c r="C171" t="s">
        <v>310</v>
      </c>
      <c r="D171" t="s">
        <v>113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45">
      <c r="A172" t="s">
        <v>275</v>
      </c>
      <c r="B172" t="s">
        <v>276</v>
      </c>
      <c r="C172" t="s">
        <v>311</v>
      </c>
      <c r="D172" t="s">
        <v>110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45">
      <c r="A173" t="s">
        <v>275</v>
      </c>
      <c r="B173" t="s">
        <v>276</v>
      </c>
      <c r="C173" t="s">
        <v>312</v>
      </c>
      <c r="D173" t="s">
        <v>110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45">
      <c r="A174" t="s">
        <v>275</v>
      </c>
      <c r="B174" t="s">
        <v>276</v>
      </c>
      <c r="C174" t="s">
        <v>313</v>
      </c>
      <c r="D174" t="s">
        <v>113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45">
      <c r="A175" t="s">
        <v>275</v>
      </c>
      <c r="B175" t="s">
        <v>276</v>
      </c>
      <c r="C175" t="s">
        <v>314</v>
      </c>
      <c r="D175" t="s">
        <v>110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45">
      <c r="A176" t="s">
        <v>275</v>
      </c>
      <c r="B176" t="s">
        <v>276</v>
      </c>
      <c r="C176" t="s">
        <v>219</v>
      </c>
      <c r="D176" t="s">
        <v>110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45">
      <c r="A177" t="s">
        <v>275</v>
      </c>
      <c r="B177" t="s">
        <v>276</v>
      </c>
      <c r="C177" t="s">
        <v>315</v>
      </c>
      <c r="D177" t="s">
        <v>110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45">
      <c r="A178" t="s">
        <v>275</v>
      </c>
      <c r="B178" t="s">
        <v>276</v>
      </c>
      <c r="C178" t="s">
        <v>316</v>
      </c>
      <c r="D178" t="s">
        <v>110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45">
      <c r="A179" t="s">
        <v>317</v>
      </c>
      <c r="B179" t="s">
        <v>318</v>
      </c>
      <c r="C179" t="s">
        <v>319</v>
      </c>
      <c r="D179" t="s">
        <v>110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45">
      <c r="A180" t="s">
        <v>317</v>
      </c>
      <c r="B180" t="s">
        <v>318</v>
      </c>
      <c r="C180" t="s">
        <v>320</v>
      </c>
      <c r="D180" t="s">
        <v>110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45">
      <c r="A181" t="s">
        <v>317</v>
      </c>
      <c r="B181" t="s">
        <v>318</v>
      </c>
      <c r="C181" t="s">
        <v>321</v>
      </c>
      <c r="D181" t="s">
        <v>110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45">
      <c r="A182" t="s">
        <v>317</v>
      </c>
      <c r="B182" t="s">
        <v>318</v>
      </c>
      <c r="C182" t="s">
        <v>322</v>
      </c>
      <c r="D182" t="s">
        <v>110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45">
      <c r="A183" t="s">
        <v>317</v>
      </c>
      <c r="B183" t="s">
        <v>318</v>
      </c>
      <c r="C183" t="s">
        <v>323</v>
      </c>
      <c r="D183" t="s">
        <v>110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45">
      <c r="A184" t="s">
        <v>317</v>
      </c>
      <c r="B184" t="s">
        <v>318</v>
      </c>
      <c r="C184" t="s">
        <v>324</v>
      </c>
      <c r="D184" t="s">
        <v>110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45">
      <c r="A185" t="s">
        <v>317</v>
      </c>
      <c r="B185" t="s">
        <v>318</v>
      </c>
      <c r="C185" t="s">
        <v>325</v>
      </c>
      <c r="D185" t="s">
        <v>110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45">
      <c r="A186" t="s">
        <v>317</v>
      </c>
      <c r="B186" t="s">
        <v>318</v>
      </c>
      <c r="C186" t="s">
        <v>326</v>
      </c>
      <c r="D186" t="s">
        <v>110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45">
      <c r="A187" t="s">
        <v>327</v>
      </c>
      <c r="B187" t="s">
        <v>328</v>
      </c>
      <c r="C187" t="s">
        <v>329</v>
      </c>
      <c r="D187" t="s">
        <v>141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45">
      <c r="A188" t="s">
        <v>327</v>
      </c>
      <c r="B188" t="s">
        <v>328</v>
      </c>
      <c r="C188" t="s">
        <v>330</v>
      </c>
      <c r="D188" t="s">
        <v>141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45">
      <c r="A189" t="s">
        <v>327</v>
      </c>
      <c r="B189" t="s">
        <v>328</v>
      </c>
      <c r="C189" t="s">
        <v>331</v>
      </c>
      <c r="D189" t="s">
        <v>141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45">
      <c r="A190" t="s">
        <v>332</v>
      </c>
      <c r="B190" t="s">
        <v>333</v>
      </c>
      <c r="C190" t="s">
        <v>334</v>
      </c>
      <c r="D190" t="s">
        <v>137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45">
      <c r="A191" t="s">
        <v>332</v>
      </c>
      <c r="B191" t="s">
        <v>333</v>
      </c>
      <c r="C191" t="s">
        <v>335</v>
      </c>
      <c r="D191" t="s">
        <v>137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45">
      <c r="A192" t="s">
        <v>332</v>
      </c>
      <c r="B192" t="s">
        <v>333</v>
      </c>
      <c r="C192" t="s">
        <v>336</v>
      </c>
      <c r="D192" t="s">
        <v>137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45">
      <c r="A193" t="s">
        <v>332</v>
      </c>
      <c r="B193" t="s">
        <v>333</v>
      </c>
      <c r="C193" t="s">
        <v>337</v>
      </c>
      <c r="D193" t="s">
        <v>137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45">
      <c r="A194" t="s">
        <v>332</v>
      </c>
      <c r="B194" t="s">
        <v>333</v>
      </c>
      <c r="C194" t="s">
        <v>338</v>
      </c>
      <c r="D194" t="s">
        <v>137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45">
      <c r="A195" t="s">
        <v>339</v>
      </c>
      <c r="B195" t="s">
        <v>340</v>
      </c>
      <c r="C195" t="s">
        <v>335</v>
      </c>
      <c r="D195" t="s">
        <v>137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45">
      <c r="A196" t="s">
        <v>339</v>
      </c>
      <c r="B196" t="s">
        <v>340</v>
      </c>
      <c r="C196" t="s">
        <v>144</v>
      </c>
      <c r="D196" t="s">
        <v>141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45">
      <c r="A197" t="s">
        <v>339</v>
      </c>
      <c r="B197" t="s">
        <v>340</v>
      </c>
      <c r="C197" t="s">
        <v>341</v>
      </c>
      <c r="D197" t="s">
        <v>141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45">
      <c r="A198" t="s">
        <v>339</v>
      </c>
      <c r="B198" t="s">
        <v>340</v>
      </c>
      <c r="C198" t="s">
        <v>342</v>
      </c>
      <c r="D198" t="s">
        <v>141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45">
      <c r="A199" t="s">
        <v>339</v>
      </c>
      <c r="B199" t="s">
        <v>340</v>
      </c>
      <c r="C199" t="s">
        <v>343</v>
      </c>
      <c r="D199" t="s">
        <v>141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45">
      <c r="A200" t="s">
        <v>339</v>
      </c>
      <c r="B200" t="s">
        <v>340</v>
      </c>
      <c r="C200" t="s">
        <v>344</v>
      </c>
      <c r="D200" t="s">
        <v>137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45">
      <c r="A201" t="s">
        <v>339</v>
      </c>
      <c r="B201" t="s">
        <v>340</v>
      </c>
      <c r="C201" t="s">
        <v>345</v>
      </c>
      <c r="D201" t="s">
        <v>137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45">
      <c r="A202" t="s">
        <v>339</v>
      </c>
      <c r="B202" t="s">
        <v>340</v>
      </c>
      <c r="C202" t="s">
        <v>148</v>
      </c>
      <c r="D202" t="s">
        <v>141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45">
      <c r="A203" t="s">
        <v>339</v>
      </c>
      <c r="B203" t="s">
        <v>340</v>
      </c>
      <c r="C203" t="s">
        <v>346</v>
      </c>
      <c r="D203" t="s">
        <v>137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45">
      <c r="A204" t="s">
        <v>339</v>
      </c>
      <c r="B204" t="s">
        <v>340</v>
      </c>
      <c r="C204" t="s">
        <v>347</v>
      </c>
      <c r="D204" t="s">
        <v>137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45">
      <c r="A205" t="s">
        <v>339</v>
      </c>
      <c r="B205" t="s">
        <v>340</v>
      </c>
      <c r="C205" t="s">
        <v>348</v>
      </c>
      <c r="D205" t="s">
        <v>137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45">
      <c r="A206" t="s">
        <v>339</v>
      </c>
      <c r="B206" t="s">
        <v>340</v>
      </c>
      <c r="C206" t="s">
        <v>349</v>
      </c>
      <c r="D206" t="s">
        <v>137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45">
      <c r="A207" t="s">
        <v>339</v>
      </c>
      <c r="B207" t="s">
        <v>340</v>
      </c>
      <c r="C207" t="s">
        <v>350</v>
      </c>
      <c r="D207" t="s">
        <v>137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45">
      <c r="A208" t="s">
        <v>339</v>
      </c>
      <c r="B208" t="s">
        <v>340</v>
      </c>
      <c r="C208" t="s">
        <v>351</v>
      </c>
      <c r="D208" t="s">
        <v>141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45">
      <c r="A209" t="s">
        <v>339</v>
      </c>
      <c r="B209" t="s">
        <v>340</v>
      </c>
      <c r="C209" t="s">
        <v>352</v>
      </c>
      <c r="D209" t="s">
        <v>141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45">
      <c r="A210" t="s">
        <v>339</v>
      </c>
      <c r="B210" t="s">
        <v>340</v>
      </c>
      <c r="C210" t="s">
        <v>156</v>
      </c>
      <c r="D210" t="s">
        <v>137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45">
      <c r="A211" t="s">
        <v>339</v>
      </c>
      <c r="B211" t="s">
        <v>340</v>
      </c>
      <c r="C211" t="s">
        <v>353</v>
      </c>
      <c r="D211" t="s">
        <v>137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45">
      <c r="A212" t="s">
        <v>339</v>
      </c>
      <c r="B212" t="s">
        <v>340</v>
      </c>
      <c r="C212" t="s">
        <v>354</v>
      </c>
      <c r="D212" t="s">
        <v>137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45">
      <c r="A213" t="s">
        <v>339</v>
      </c>
      <c r="B213" t="s">
        <v>340</v>
      </c>
      <c r="C213" t="s">
        <v>355</v>
      </c>
      <c r="D213" t="s">
        <v>141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45">
      <c r="A214" t="s">
        <v>339</v>
      </c>
      <c r="B214" t="s">
        <v>340</v>
      </c>
      <c r="C214" t="s">
        <v>356</v>
      </c>
      <c r="D214" t="s">
        <v>141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45">
      <c r="A215" t="s">
        <v>339</v>
      </c>
      <c r="B215" t="s">
        <v>340</v>
      </c>
      <c r="C215" t="s">
        <v>357</v>
      </c>
      <c r="D215" t="s">
        <v>137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45">
      <c r="A216" t="s">
        <v>339</v>
      </c>
      <c r="B216" t="s">
        <v>340</v>
      </c>
      <c r="C216" t="s">
        <v>358</v>
      </c>
      <c r="D216" t="s">
        <v>137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45">
      <c r="A217" t="s">
        <v>339</v>
      </c>
      <c r="B217" t="s">
        <v>340</v>
      </c>
      <c r="C217" t="s">
        <v>359</v>
      </c>
      <c r="D217" t="s">
        <v>137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45">
      <c r="A218" t="s">
        <v>339</v>
      </c>
      <c r="B218" t="s">
        <v>340</v>
      </c>
      <c r="C218" t="s">
        <v>360</v>
      </c>
      <c r="D218" t="s">
        <v>141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45">
      <c r="A219" t="s">
        <v>339</v>
      </c>
      <c r="B219" t="s">
        <v>340</v>
      </c>
      <c r="C219" t="s">
        <v>160</v>
      </c>
      <c r="D219" t="s">
        <v>141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45">
      <c r="A220" t="s">
        <v>339</v>
      </c>
      <c r="B220" t="s">
        <v>340</v>
      </c>
      <c r="C220" t="s">
        <v>164</v>
      </c>
      <c r="D220" t="s">
        <v>141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45">
      <c r="A221" t="s">
        <v>339</v>
      </c>
      <c r="B221" t="s">
        <v>340</v>
      </c>
      <c r="C221" t="s">
        <v>166</v>
      </c>
      <c r="D221" t="s">
        <v>137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45">
      <c r="A222" t="s">
        <v>339</v>
      </c>
      <c r="B222" t="s">
        <v>340</v>
      </c>
      <c r="C222" t="s">
        <v>361</v>
      </c>
      <c r="D222" t="s">
        <v>141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45">
      <c r="A223" t="s">
        <v>339</v>
      </c>
      <c r="B223" t="s">
        <v>340</v>
      </c>
      <c r="C223" t="s">
        <v>362</v>
      </c>
      <c r="D223" t="s">
        <v>137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45">
      <c r="A224" t="s">
        <v>339</v>
      </c>
      <c r="B224" t="s">
        <v>340</v>
      </c>
      <c r="C224" t="s">
        <v>363</v>
      </c>
      <c r="D224" t="s">
        <v>141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45">
      <c r="A225" t="s">
        <v>339</v>
      </c>
      <c r="B225" t="s">
        <v>340</v>
      </c>
      <c r="C225" t="s">
        <v>168</v>
      </c>
      <c r="D225" t="s">
        <v>137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45">
      <c r="A226" t="s">
        <v>339</v>
      </c>
      <c r="B226" t="s">
        <v>340</v>
      </c>
      <c r="C226" t="s">
        <v>364</v>
      </c>
      <c r="D226" t="s">
        <v>137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45">
      <c r="A227" t="s">
        <v>339</v>
      </c>
      <c r="B227" t="s">
        <v>340</v>
      </c>
      <c r="C227" t="s">
        <v>365</v>
      </c>
      <c r="D227" t="s">
        <v>141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45">
      <c r="A228" t="s">
        <v>339</v>
      </c>
      <c r="B228" t="s">
        <v>340</v>
      </c>
      <c r="C228" t="s">
        <v>366</v>
      </c>
      <c r="D228" t="s">
        <v>137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45">
      <c r="A229" t="s">
        <v>339</v>
      </c>
      <c r="B229" t="s">
        <v>340</v>
      </c>
      <c r="C229" t="s">
        <v>367</v>
      </c>
      <c r="D229" t="s">
        <v>141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45">
      <c r="A230" t="s">
        <v>339</v>
      </c>
      <c r="B230" t="s">
        <v>340</v>
      </c>
      <c r="C230" t="s">
        <v>368</v>
      </c>
      <c r="D230" t="s">
        <v>141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45">
      <c r="A231" t="s">
        <v>339</v>
      </c>
      <c r="B231" t="s">
        <v>340</v>
      </c>
      <c r="C231" t="s">
        <v>369</v>
      </c>
      <c r="D231" t="s">
        <v>137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45">
      <c r="A232" t="s">
        <v>339</v>
      </c>
      <c r="B232" t="s">
        <v>340</v>
      </c>
      <c r="C232" t="s">
        <v>370</v>
      </c>
      <c r="D232" t="s">
        <v>141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45">
      <c r="A233" t="s">
        <v>339</v>
      </c>
      <c r="B233" t="s">
        <v>340</v>
      </c>
      <c r="C233" t="s">
        <v>371</v>
      </c>
      <c r="D233" t="s">
        <v>141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45">
      <c r="A234" t="s">
        <v>339</v>
      </c>
      <c r="B234" t="s">
        <v>340</v>
      </c>
      <c r="C234" t="s">
        <v>372</v>
      </c>
      <c r="D234" t="s">
        <v>137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45">
      <c r="A235" t="s">
        <v>339</v>
      </c>
      <c r="B235" t="s">
        <v>340</v>
      </c>
      <c r="C235" t="s">
        <v>178</v>
      </c>
      <c r="D235" t="s">
        <v>141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45">
      <c r="A236" t="s">
        <v>339</v>
      </c>
      <c r="B236" t="s">
        <v>340</v>
      </c>
      <c r="C236" t="s">
        <v>373</v>
      </c>
      <c r="D236" t="s">
        <v>137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45">
      <c r="A237" t="s">
        <v>339</v>
      </c>
      <c r="B237" t="s">
        <v>340</v>
      </c>
      <c r="C237" t="s">
        <v>374</v>
      </c>
      <c r="D237" t="s">
        <v>137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45">
      <c r="A238" t="s">
        <v>339</v>
      </c>
      <c r="B238" t="s">
        <v>340</v>
      </c>
      <c r="C238" t="s">
        <v>375</v>
      </c>
      <c r="D238" t="s">
        <v>137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45">
      <c r="A239" t="s">
        <v>339</v>
      </c>
      <c r="B239" t="s">
        <v>340</v>
      </c>
      <c r="C239" t="s">
        <v>278</v>
      </c>
      <c r="D239" t="s">
        <v>141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45">
      <c r="A240" t="s">
        <v>339</v>
      </c>
      <c r="B240" t="s">
        <v>340</v>
      </c>
      <c r="C240" t="s">
        <v>376</v>
      </c>
      <c r="D240" t="s">
        <v>137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45">
      <c r="A241" t="s">
        <v>339</v>
      </c>
      <c r="B241" t="s">
        <v>340</v>
      </c>
      <c r="C241" t="s">
        <v>377</v>
      </c>
      <c r="D241" t="s">
        <v>137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45">
      <c r="A242" t="s">
        <v>339</v>
      </c>
      <c r="B242" t="s">
        <v>340</v>
      </c>
      <c r="C242" t="s">
        <v>378</v>
      </c>
      <c r="D242" t="s">
        <v>137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45">
      <c r="A243" t="s">
        <v>339</v>
      </c>
      <c r="B243" t="s">
        <v>340</v>
      </c>
      <c r="C243" t="s">
        <v>281</v>
      </c>
      <c r="D243" t="s">
        <v>141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45">
      <c r="A244" t="s">
        <v>339</v>
      </c>
      <c r="B244" t="s">
        <v>340</v>
      </c>
      <c r="C244" t="s">
        <v>379</v>
      </c>
      <c r="D244" t="s">
        <v>137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45">
      <c r="A245" t="s">
        <v>339</v>
      </c>
      <c r="B245" t="s">
        <v>340</v>
      </c>
      <c r="C245" t="s">
        <v>380</v>
      </c>
      <c r="D245" t="s">
        <v>137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45">
      <c r="A246" t="s">
        <v>339</v>
      </c>
      <c r="B246" t="s">
        <v>340</v>
      </c>
      <c r="C246" t="s">
        <v>381</v>
      </c>
      <c r="D246" t="s">
        <v>141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45">
      <c r="A247" t="s">
        <v>339</v>
      </c>
      <c r="B247" t="s">
        <v>340</v>
      </c>
      <c r="C247" t="s">
        <v>183</v>
      </c>
      <c r="D247" t="s">
        <v>141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45">
      <c r="A248" t="s">
        <v>339</v>
      </c>
      <c r="B248" t="s">
        <v>340</v>
      </c>
      <c r="C248" t="s">
        <v>382</v>
      </c>
      <c r="D248" t="s">
        <v>141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45">
      <c r="A249" t="s">
        <v>339</v>
      </c>
      <c r="B249" t="s">
        <v>340</v>
      </c>
      <c r="C249" t="s">
        <v>383</v>
      </c>
      <c r="D249" t="s">
        <v>141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45">
      <c r="A250" t="s">
        <v>339</v>
      </c>
      <c r="B250" t="s">
        <v>340</v>
      </c>
      <c r="C250" t="s">
        <v>184</v>
      </c>
      <c r="D250" t="s">
        <v>141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45">
      <c r="A251" t="s">
        <v>339</v>
      </c>
      <c r="B251" t="s">
        <v>340</v>
      </c>
      <c r="C251" t="s">
        <v>225</v>
      </c>
      <c r="D251" t="s">
        <v>141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45">
      <c r="A252" t="s">
        <v>339</v>
      </c>
      <c r="B252" t="s">
        <v>340</v>
      </c>
      <c r="C252" t="s">
        <v>384</v>
      </c>
      <c r="D252" t="s">
        <v>141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45">
      <c r="A253" t="s">
        <v>339</v>
      </c>
      <c r="B253" t="s">
        <v>340</v>
      </c>
      <c r="C253" t="s">
        <v>385</v>
      </c>
      <c r="D253" t="s">
        <v>141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45">
      <c r="A254" t="s">
        <v>339</v>
      </c>
      <c r="B254" t="s">
        <v>340</v>
      </c>
      <c r="C254" t="s">
        <v>386</v>
      </c>
      <c r="D254" t="s">
        <v>137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45">
      <c r="A255" t="s">
        <v>339</v>
      </c>
      <c r="B255" t="s">
        <v>340</v>
      </c>
      <c r="C255" t="s">
        <v>387</v>
      </c>
      <c r="D255" t="s">
        <v>141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45">
      <c r="A256" t="s">
        <v>339</v>
      </c>
      <c r="B256" t="s">
        <v>340</v>
      </c>
      <c r="C256" t="s">
        <v>388</v>
      </c>
      <c r="D256" t="s">
        <v>137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45">
      <c r="A257" t="s">
        <v>339</v>
      </c>
      <c r="B257" t="s">
        <v>340</v>
      </c>
      <c r="C257" t="s">
        <v>186</v>
      </c>
      <c r="D257" t="s">
        <v>141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45">
      <c r="A258" t="s">
        <v>339</v>
      </c>
      <c r="B258" t="s">
        <v>340</v>
      </c>
      <c r="C258" t="s">
        <v>389</v>
      </c>
      <c r="D258" t="s">
        <v>141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45">
      <c r="A259" t="s">
        <v>339</v>
      </c>
      <c r="B259" t="s">
        <v>340</v>
      </c>
      <c r="C259" t="s">
        <v>390</v>
      </c>
      <c r="D259" t="s">
        <v>141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45">
      <c r="A260" t="s">
        <v>339</v>
      </c>
      <c r="B260" t="s">
        <v>340</v>
      </c>
      <c r="C260" t="s">
        <v>391</v>
      </c>
      <c r="D260" t="s">
        <v>392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45">
      <c r="A261" t="s">
        <v>339</v>
      </c>
      <c r="B261" t="s">
        <v>340</v>
      </c>
      <c r="C261" t="s">
        <v>393</v>
      </c>
      <c r="D261" t="s">
        <v>392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45">
      <c r="A262" t="s">
        <v>339</v>
      </c>
      <c r="B262" t="s">
        <v>340</v>
      </c>
      <c r="C262" t="s">
        <v>394</v>
      </c>
      <c r="D262" t="s">
        <v>137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45">
      <c r="A263" t="s">
        <v>339</v>
      </c>
      <c r="B263" t="s">
        <v>340</v>
      </c>
      <c r="C263" t="s">
        <v>395</v>
      </c>
      <c r="D263" t="s">
        <v>392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45">
      <c r="A264" t="s">
        <v>339</v>
      </c>
      <c r="B264" t="s">
        <v>340</v>
      </c>
      <c r="C264" t="s">
        <v>396</v>
      </c>
      <c r="D264" t="s">
        <v>137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45">
      <c r="A265" t="s">
        <v>339</v>
      </c>
      <c r="B265" t="s">
        <v>340</v>
      </c>
      <c r="C265" t="s">
        <v>397</v>
      </c>
      <c r="D265" t="s">
        <v>141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45">
      <c r="A266" t="s">
        <v>339</v>
      </c>
      <c r="B266" t="s">
        <v>340</v>
      </c>
      <c r="C266" t="s">
        <v>398</v>
      </c>
      <c r="D266" t="s">
        <v>392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45">
      <c r="A267" t="s">
        <v>339</v>
      </c>
      <c r="B267" t="s">
        <v>340</v>
      </c>
      <c r="C267" t="s">
        <v>399</v>
      </c>
      <c r="D267" t="s">
        <v>141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45">
      <c r="A268" t="s">
        <v>339</v>
      </c>
      <c r="B268" t="s">
        <v>340</v>
      </c>
      <c r="C268" t="s">
        <v>400</v>
      </c>
      <c r="D268" t="s">
        <v>392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45">
      <c r="A269" t="s">
        <v>339</v>
      </c>
      <c r="B269" t="s">
        <v>340</v>
      </c>
      <c r="C269" t="s">
        <v>401</v>
      </c>
      <c r="D269" t="s">
        <v>392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45">
      <c r="A270" t="s">
        <v>339</v>
      </c>
      <c r="B270" t="s">
        <v>340</v>
      </c>
      <c r="C270" t="s">
        <v>258</v>
      </c>
      <c r="D270" t="s">
        <v>141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45">
      <c r="A271" t="s">
        <v>339</v>
      </c>
      <c r="B271" t="s">
        <v>340</v>
      </c>
      <c r="C271" t="s">
        <v>402</v>
      </c>
      <c r="D271" t="s">
        <v>141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45">
      <c r="A272" t="s">
        <v>339</v>
      </c>
      <c r="B272" t="s">
        <v>340</v>
      </c>
      <c r="C272" t="s">
        <v>218</v>
      </c>
      <c r="D272" t="s">
        <v>141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45">
      <c r="A273" t="s">
        <v>339</v>
      </c>
      <c r="B273" t="s">
        <v>340</v>
      </c>
      <c r="C273" t="s">
        <v>403</v>
      </c>
      <c r="D273" t="s">
        <v>141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45">
      <c r="A274" t="s">
        <v>339</v>
      </c>
      <c r="B274" t="s">
        <v>340</v>
      </c>
      <c r="C274" t="s">
        <v>404</v>
      </c>
      <c r="D274" t="s">
        <v>137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45">
      <c r="A275" t="s">
        <v>339</v>
      </c>
      <c r="B275" t="s">
        <v>340</v>
      </c>
      <c r="C275" t="s">
        <v>405</v>
      </c>
      <c r="D275" t="s">
        <v>141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45">
      <c r="A276" t="s">
        <v>339</v>
      </c>
      <c r="B276" t="s">
        <v>340</v>
      </c>
      <c r="C276" t="s">
        <v>219</v>
      </c>
      <c r="D276" t="s">
        <v>141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45">
      <c r="A277" t="s">
        <v>339</v>
      </c>
      <c r="B277" t="s">
        <v>340</v>
      </c>
      <c r="C277" t="s">
        <v>406</v>
      </c>
      <c r="D277" t="s">
        <v>137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45">
      <c r="A278" t="s">
        <v>339</v>
      </c>
      <c r="B278" t="s">
        <v>340</v>
      </c>
      <c r="C278" t="s">
        <v>407</v>
      </c>
      <c r="D278" t="s">
        <v>392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45">
      <c r="A279" t="s">
        <v>339</v>
      </c>
      <c r="B279" t="s">
        <v>340</v>
      </c>
      <c r="C279" t="s">
        <v>408</v>
      </c>
      <c r="D279" t="s">
        <v>392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45">
      <c r="A280" t="s">
        <v>339</v>
      </c>
      <c r="B280" t="s">
        <v>340</v>
      </c>
      <c r="C280" t="s">
        <v>260</v>
      </c>
      <c r="D280" t="s">
        <v>141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45">
      <c r="A281" t="s">
        <v>339</v>
      </c>
      <c r="B281" t="s">
        <v>340</v>
      </c>
      <c r="C281" t="s">
        <v>409</v>
      </c>
      <c r="D281" t="s">
        <v>141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45">
      <c r="A282" t="s">
        <v>339</v>
      </c>
      <c r="B282" t="s">
        <v>340</v>
      </c>
      <c r="C282" t="s">
        <v>410</v>
      </c>
      <c r="D282" t="s">
        <v>392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45">
      <c r="A283" t="s">
        <v>339</v>
      </c>
      <c r="B283" t="s">
        <v>340</v>
      </c>
      <c r="C283" t="s">
        <v>411</v>
      </c>
      <c r="D283" t="s">
        <v>141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45">
      <c r="A284" t="s">
        <v>339</v>
      </c>
      <c r="B284" t="s">
        <v>340</v>
      </c>
      <c r="C284" t="s">
        <v>412</v>
      </c>
      <c r="D284" t="s">
        <v>141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45">
      <c r="A285" t="s">
        <v>339</v>
      </c>
      <c r="B285" t="s">
        <v>340</v>
      </c>
      <c r="C285" t="s">
        <v>413</v>
      </c>
      <c r="D285" t="s">
        <v>392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45">
      <c r="A286" t="s">
        <v>414</v>
      </c>
      <c r="B286" t="s">
        <v>415</v>
      </c>
      <c r="C286" t="s">
        <v>415</v>
      </c>
      <c r="D286" t="s">
        <v>137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45">
      <c r="A287" t="s">
        <v>414</v>
      </c>
      <c r="B287" t="s">
        <v>415</v>
      </c>
      <c r="C287" t="s">
        <v>416</v>
      </c>
      <c r="D287" t="s">
        <v>137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45">
      <c r="A288" t="s">
        <v>414</v>
      </c>
      <c r="B288" t="s">
        <v>415</v>
      </c>
      <c r="C288" t="s">
        <v>417</v>
      </c>
      <c r="D288" t="s">
        <v>137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45">
      <c r="A289" t="s">
        <v>414</v>
      </c>
      <c r="B289" t="s">
        <v>415</v>
      </c>
      <c r="C289" t="s">
        <v>418</v>
      </c>
      <c r="D289" t="s">
        <v>137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45">
      <c r="A290" t="s">
        <v>414</v>
      </c>
      <c r="B290" t="s">
        <v>415</v>
      </c>
      <c r="C290" t="s">
        <v>419</v>
      </c>
      <c r="D290" t="s">
        <v>137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45">
      <c r="A291" t="s">
        <v>420</v>
      </c>
      <c r="B291" t="s">
        <v>421</v>
      </c>
      <c r="C291" t="s">
        <v>422</v>
      </c>
      <c r="D291" t="s">
        <v>110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45">
      <c r="A292" t="s">
        <v>420</v>
      </c>
      <c r="B292" t="s">
        <v>421</v>
      </c>
      <c r="C292" t="s">
        <v>423</v>
      </c>
      <c r="D292" t="s">
        <v>110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45">
      <c r="A293" t="s">
        <v>420</v>
      </c>
      <c r="B293" t="s">
        <v>421</v>
      </c>
      <c r="C293" t="s">
        <v>424</v>
      </c>
      <c r="D293" t="s">
        <v>110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45">
      <c r="A294" t="s">
        <v>420</v>
      </c>
      <c r="B294" t="s">
        <v>421</v>
      </c>
      <c r="C294" t="s">
        <v>425</v>
      </c>
      <c r="D294" t="s">
        <v>110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45">
      <c r="A295" t="s">
        <v>420</v>
      </c>
      <c r="B295" t="s">
        <v>421</v>
      </c>
      <c r="C295" t="s">
        <v>426</v>
      </c>
      <c r="D295" t="s">
        <v>110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45">
      <c r="A296" t="s">
        <v>420</v>
      </c>
      <c r="B296" t="s">
        <v>421</v>
      </c>
      <c r="C296" t="s">
        <v>427</v>
      </c>
      <c r="D296" t="s">
        <v>110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45">
      <c r="A297" t="s">
        <v>420</v>
      </c>
      <c r="B297" t="s">
        <v>421</v>
      </c>
      <c r="C297" t="s">
        <v>428</v>
      </c>
      <c r="D297" t="s">
        <v>110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45">
      <c r="A298" t="s">
        <v>420</v>
      </c>
      <c r="B298" t="s">
        <v>421</v>
      </c>
      <c r="C298" t="s">
        <v>429</v>
      </c>
      <c r="D298" t="s">
        <v>110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45">
      <c r="A299" t="s">
        <v>420</v>
      </c>
      <c r="B299" t="s">
        <v>421</v>
      </c>
      <c r="C299" t="s">
        <v>430</v>
      </c>
      <c r="D299" t="s">
        <v>110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45">
      <c r="A300" t="s">
        <v>420</v>
      </c>
      <c r="B300" t="s">
        <v>421</v>
      </c>
      <c r="C300" t="s">
        <v>431</v>
      </c>
      <c r="D300" t="s">
        <v>110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45">
      <c r="A301" t="s">
        <v>420</v>
      </c>
      <c r="B301" t="s">
        <v>421</v>
      </c>
      <c r="C301" t="s">
        <v>432</v>
      </c>
      <c r="D301" t="s">
        <v>110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45">
      <c r="A302" t="s">
        <v>420</v>
      </c>
      <c r="B302" t="s">
        <v>421</v>
      </c>
      <c r="C302" t="s">
        <v>268</v>
      </c>
      <c r="D302" t="s">
        <v>110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45">
      <c r="A303" t="s">
        <v>420</v>
      </c>
      <c r="B303" t="s">
        <v>421</v>
      </c>
      <c r="C303" t="s">
        <v>433</v>
      </c>
      <c r="D303" t="s">
        <v>110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45">
      <c r="A304" t="s">
        <v>420</v>
      </c>
      <c r="B304" t="s">
        <v>421</v>
      </c>
      <c r="C304" t="s">
        <v>434</v>
      </c>
      <c r="D304" t="s">
        <v>110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45">
      <c r="A305" t="s">
        <v>420</v>
      </c>
      <c r="B305" t="s">
        <v>421</v>
      </c>
      <c r="C305" t="s">
        <v>435</v>
      </c>
      <c r="D305" t="s">
        <v>110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45">
      <c r="A306" t="s">
        <v>420</v>
      </c>
      <c r="B306" t="s">
        <v>421</v>
      </c>
      <c r="C306" t="s">
        <v>436</v>
      </c>
      <c r="D306" t="s">
        <v>110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45">
      <c r="A307" t="s">
        <v>420</v>
      </c>
      <c r="B307" t="s">
        <v>421</v>
      </c>
      <c r="C307" t="s">
        <v>437</v>
      </c>
      <c r="D307" t="s">
        <v>110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45">
      <c r="A308" t="s">
        <v>420</v>
      </c>
      <c r="B308" t="s">
        <v>421</v>
      </c>
      <c r="C308" t="s">
        <v>438</v>
      </c>
      <c r="D308" t="s">
        <v>110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45">
      <c r="A309" t="s">
        <v>420</v>
      </c>
      <c r="B309" t="s">
        <v>421</v>
      </c>
      <c r="C309" t="s">
        <v>439</v>
      </c>
      <c r="D309" t="s">
        <v>110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45">
      <c r="A310" t="s">
        <v>420</v>
      </c>
      <c r="B310" t="s">
        <v>421</v>
      </c>
      <c r="C310" t="s">
        <v>179</v>
      </c>
      <c r="D310" t="s">
        <v>110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45">
      <c r="A311" t="s">
        <v>420</v>
      </c>
      <c r="B311" t="s">
        <v>421</v>
      </c>
      <c r="C311" t="s">
        <v>184</v>
      </c>
      <c r="D311" t="s">
        <v>110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45">
      <c r="A312" t="s">
        <v>420</v>
      </c>
      <c r="B312" t="s">
        <v>421</v>
      </c>
      <c r="C312" t="s">
        <v>282</v>
      </c>
      <c r="D312" t="s">
        <v>110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45">
      <c r="A313" t="s">
        <v>420</v>
      </c>
      <c r="B313" t="s">
        <v>421</v>
      </c>
      <c r="C313" t="s">
        <v>440</v>
      </c>
      <c r="D313" t="s">
        <v>110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45">
      <c r="A314" t="s">
        <v>420</v>
      </c>
      <c r="B314" t="s">
        <v>421</v>
      </c>
      <c r="C314" t="s">
        <v>441</v>
      </c>
      <c r="D314" t="s">
        <v>110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45">
      <c r="A315" t="s">
        <v>420</v>
      </c>
      <c r="B315" t="s">
        <v>421</v>
      </c>
      <c r="C315" t="s">
        <v>421</v>
      </c>
      <c r="D315" t="s">
        <v>110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45">
      <c r="A316" t="s">
        <v>420</v>
      </c>
      <c r="B316" t="s">
        <v>421</v>
      </c>
      <c r="C316" t="s">
        <v>191</v>
      </c>
      <c r="D316" t="s">
        <v>110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45">
      <c r="A317" t="s">
        <v>420</v>
      </c>
      <c r="B317" t="s">
        <v>421</v>
      </c>
      <c r="C317" t="s">
        <v>442</v>
      </c>
      <c r="D317" t="s">
        <v>110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45">
      <c r="A318" t="s">
        <v>420</v>
      </c>
      <c r="B318" t="s">
        <v>421</v>
      </c>
      <c r="C318" t="s">
        <v>443</v>
      </c>
      <c r="D318" t="s">
        <v>110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45">
      <c r="A319" t="s">
        <v>420</v>
      </c>
      <c r="B319" t="s">
        <v>421</v>
      </c>
      <c r="C319" t="s">
        <v>444</v>
      </c>
      <c r="D319" t="s">
        <v>110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45">
      <c r="A320" t="s">
        <v>420</v>
      </c>
      <c r="B320" t="s">
        <v>421</v>
      </c>
      <c r="C320" t="s">
        <v>445</v>
      </c>
      <c r="D320" t="s">
        <v>110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45">
      <c r="A321" t="s">
        <v>420</v>
      </c>
      <c r="B321" t="s">
        <v>421</v>
      </c>
      <c r="C321" t="s">
        <v>446</v>
      </c>
      <c r="D321" t="s">
        <v>110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45">
      <c r="A322" t="s">
        <v>420</v>
      </c>
      <c r="B322" t="s">
        <v>421</v>
      </c>
      <c r="C322" t="s">
        <v>235</v>
      </c>
      <c r="D322" t="s">
        <v>110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45">
      <c r="A323" t="s">
        <v>420</v>
      </c>
      <c r="B323" t="s">
        <v>421</v>
      </c>
      <c r="C323" t="s">
        <v>199</v>
      </c>
      <c r="D323" t="s">
        <v>110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45">
      <c r="A324" t="s">
        <v>420</v>
      </c>
      <c r="B324" t="s">
        <v>421</v>
      </c>
      <c r="C324" t="s">
        <v>447</v>
      </c>
      <c r="D324" t="s">
        <v>110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45">
      <c r="A325" t="s">
        <v>448</v>
      </c>
      <c r="B325" t="s">
        <v>449</v>
      </c>
      <c r="C325" t="s">
        <v>450</v>
      </c>
      <c r="D325" t="s">
        <v>141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45">
      <c r="A326" t="s">
        <v>448</v>
      </c>
      <c r="B326" t="s">
        <v>449</v>
      </c>
      <c r="C326" t="s">
        <v>199</v>
      </c>
      <c r="D326" t="s">
        <v>141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45">
      <c r="A327" t="s">
        <v>448</v>
      </c>
      <c r="B327" t="s">
        <v>449</v>
      </c>
      <c r="C327" t="s">
        <v>201</v>
      </c>
      <c r="D327" t="s">
        <v>141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45">
      <c r="A328" t="s">
        <v>448</v>
      </c>
      <c r="B328" t="s">
        <v>449</v>
      </c>
      <c r="C328" t="s">
        <v>202</v>
      </c>
      <c r="D328" t="s">
        <v>110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45">
      <c r="A329" t="s">
        <v>448</v>
      </c>
      <c r="B329" t="s">
        <v>449</v>
      </c>
      <c r="C329" t="s">
        <v>451</v>
      </c>
      <c r="D329" t="s">
        <v>110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45">
      <c r="A330" t="s">
        <v>448</v>
      </c>
      <c r="B330" t="s">
        <v>449</v>
      </c>
      <c r="C330" t="s">
        <v>452</v>
      </c>
      <c r="D330" t="s">
        <v>141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45">
      <c r="A331" t="s">
        <v>448</v>
      </c>
      <c r="B331" t="s">
        <v>449</v>
      </c>
      <c r="C331" t="s">
        <v>453</v>
      </c>
      <c r="D331" t="s">
        <v>110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45">
      <c r="A332" t="s">
        <v>448</v>
      </c>
      <c r="B332" t="s">
        <v>449</v>
      </c>
      <c r="C332" t="s">
        <v>454</v>
      </c>
      <c r="D332" t="s">
        <v>110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45">
      <c r="A333" t="s">
        <v>448</v>
      </c>
      <c r="B333" t="s">
        <v>449</v>
      </c>
      <c r="C333" t="s">
        <v>455</v>
      </c>
      <c r="D333" t="s">
        <v>110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45">
      <c r="A334" t="s">
        <v>448</v>
      </c>
      <c r="B334" t="s">
        <v>449</v>
      </c>
      <c r="C334" t="s">
        <v>456</v>
      </c>
      <c r="D334" t="s">
        <v>110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45">
      <c r="A335" t="s">
        <v>448</v>
      </c>
      <c r="B335" t="s">
        <v>449</v>
      </c>
      <c r="C335" t="s">
        <v>457</v>
      </c>
      <c r="D335" t="s">
        <v>110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45">
      <c r="A336" t="s">
        <v>448</v>
      </c>
      <c r="B336" t="s">
        <v>449</v>
      </c>
      <c r="C336" t="s">
        <v>204</v>
      </c>
      <c r="D336" t="s">
        <v>141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45">
      <c r="A337" t="s">
        <v>448</v>
      </c>
      <c r="B337" t="s">
        <v>449</v>
      </c>
      <c r="C337" t="s">
        <v>205</v>
      </c>
      <c r="D337" t="s">
        <v>141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45">
      <c r="A338" t="s">
        <v>448</v>
      </c>
      <c r="B338" t="s">
        <v>449</v>
      </c>
      <c r="C338" t="s">
        <v>206</v>
      </c>
      <c r="D338" t="s">
        <v>110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45">
      <c r="A339" t="s">
        <v>448</v>
      </c>
      <c r="B339" t="s">
        <v>449</v>
      </c>
      <c r="C339" t="s">
        <v>458</v>
      </c>
      <c r="D339" t="s">
        <v>110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45">
      <c r="A340" t="s">
        <v>448</v>
      </c>
      <c r="B340" t="s">
        <v>449</v>
      </c>
      <c r="C340" t="s">
        <v>459</v>
      </c>
      <c r="D340" t="s">
        <v>110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45">
      <c r="A341" t="s">
        <v>448</v>
      </c>
      <c r="B341" t="s">
        <v>449</v>
      </c>
      <c r="C341" t="s">
        <v>460</v>
      </c>
      <c r="D341" t="s">
        <v>110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45">
      <c r="A342" t="s">
        <v>448</v>
      </c>
      <c r="B342" t="s">
        <v>449</v>
      </c>
      <c r="C342" t="s">
        <v>207</v>
      </c>
      <c r="D342" t="s">
        <v>141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45">
      <c r="A343" t="s">
        <v>448</v>
      </c>
      <c r="B343" t="s">
        <v>449</v>
      </c>
      <c r="C343" t="s">
        <v>461</v>
      </c>
      <c r="D343" t="s">
        <v>110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45">
      <c r="A344" t="s">
        <v>448</v>
      </c>
      <c r="B344" t="s">
        <v>449</v>
      </c>
      <c r="C344" t="s">
        <v>209</v>
      </c>
      <c r="D344" t="s">
        <v>110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45">
      <c r="A345" t="s">
        <v>448</v>
      </c>
      <c r="B345" t="s">
        <v>449</v>
      </c>
      <c r="C345" t="s">
        <v>247</v>
      </c>
      <c r="D345" t="s">
        <v>141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45">
      <c r="A346" t="s">
        <v>448</v>
      </c>
      <c r="B346" t="s">
        <v>449</v>
      </c>
      <c r="C346" t="s">
        <v>249</v>
      </c>
      <c r="D346" t="s">
        <v>141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45">
      <c r="A347" t="s">
        <v>448</v>
      </c>
      <c r="B347" t="s">
        <v>449</v>
      </c>
      <c r="C347" t="s">
        <v>462</v>
      </c>
      <c r="D347" t="s">
        <v>110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45">
      <c r="A348" t="s">
        <v>448</v>
      </c>
      <c r="B348" t="s">
        <v>449</v>
      </c>
      <c r="C348" t="s">
        <v>210</v>
      </c>
      <c r="D348" t="s">
        <v>141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45">
      <c r="A349" t="s">
        <v>448</v>
      </c>
      <c r="B349" t="s">
        <v>449</v>
      </c>
      <c r="C349" t="s">
        <v>463</v>
      </c>
      <c r="D349" t="s">
        <v>141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45">
      <c r="A350" t="s">
        <v>448</v>
      </c>
      <c r="B350" t="s">
        <v>449</v>
      </c>
      <c r="C350" t="s">
        <v>464</v>
      </c>
      <c r="D350" t="s">
        <v>110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45">
      <c r="A351" t="s">
        <v>448</v>
      </c>
      <c r="B351" t="s">
        <v>449</v>
      </c>
      <c r="C351" t="s">
        <v>250</v>
      </c>
      <c r="D351" t="s">
        <v>141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45">
      <c r="A352" t="s">
        <v>448</v>
      </c>
      <c r="B352" t="s">
        <v>449</v>
      </c>
      <c r="C352" t="s">
        <v>465</v>
      </c>
      <c r="D352" t="s">
        <v>110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45">
      <c r="A353" t="s">
        <v>448</v>
      </c>
      <c r="B353" t="s">
        <v>449</v>
      </c>
      <c r="C353" t="s">
        <v>466</v>
      </c>
      <c r="D353" t="s">
        <v>110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45">
      <c r="A354" t="s">
        <v>448</v>
      </c>
      <c r="B354" t="s">
        <v>449</v>
      </c>
      <c r="C354" t="s">
        <v>251</v>
      </c>
      <c r="D354" t="s">
        <v>110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45">
      <c r="A355" t="s">
        <v>448</v>
      </c>
      <c r="B355" t="s">
        <v>449</v>
      </c>
      <c r="C355" t="s">
        <v>212</v>
      </c>
      <c r="D355" t="s">
        <v>141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45">
      <c r="A356" t="s">
        <v>448</v>
      </c>
      <c r="B356" t="s">
        <v>449</v>
      </c>
      <c r="C356" t="s">
        <v>213</v>
      </c>
      <c r="D356" t="s">
        <v>141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45">
      <c r="A357" t="s">
        <v>448</v>
      </c>
      <c r="B357" t="s">
        <v>449</v>
      </c>
      <c r="C357" t="s">
        <v>467</v>
      </c>
      <c r="D357" t="s">
        <v>110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45">
      <c r="A358" t="s">
        <v>448</v>
      </c>
      <c r="B358" t="s">
        <v>449</v>
      </c>
      <c r="C358" t="s">
        <v>468</v>
      </c>
      <c r="D358" t="s">
        <v>110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45">
      <c r="A359" t="s">
        <v>448</v>
      </c>
      <c r="B359" t="s">
        <v>449</v>
      </c>
      <c r="C359" t="s">
        <v>469</v>
      </c>
      <c r="D359" t="s">
        <v>110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45">
      <c r="A360" t="s">
        <v>448</v>
      </c>
      <c r="B360" t="s">
        <v>449</v>
      </c>
      <c r="C360" t="s">
        <v>258</v>
      </c>
      <c r="D360" t="s">
        <v>141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45">
      <c r="A361" t="s">
        <v>448</v>
      </c>
      <c r="B361" t="s">
        <v>449</v>
      </c>
      <c r="C361" t="s">
        <v>470</v>
      </c>
      <c r="D361" t="s">
        <v>110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45">
      <c r="A362" t="s">
        <v>448</v>
      </c>
      <c r="B362" t="s">
        <v>449</v>
      </c>
      <c r="C362" t="s">
        <v>471</v>
      </c>
      <c r="D362" t="s">
        <v>141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45">
      <c r="A363" t="s">
        <v>448</v>
      </c>
      <c r="B363" t="s">
        <v>449</v>
      </c>
      <c r="C363" t="s">
        <v>405</v>
      </c>
      <c r="D363" t="s">
        <v>110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45">
      <c r="A364" t="s">
        <v>448</v>
      </c>
      <c r="B364" t="s">
        <v>449</v>
      </c>
      <c r="C364" t="s">
        <v>219</v>
      </c>
      <c r="D364" t="s">
        <v>141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45">
      <c r="A365" t="s">
        <v>448</v>
      </c>
      <c r="B365" t="s">
        <v>449</v>
      </c>
      <c r="C365" t="s">
        <v>406</v>
      </c>
      <c r="D365" t="s">
        <v>141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45">
      <c r="A366" t="s">
        <v>448</v>
      </c>
      <c r="B366" t="s">
        <v>449</v>
      </c>
      <c r="C366" t="s">
        <v>260</v>
      </c>
      <c r="D366" t="s">
        <v>141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45">
      <c r="A367" t="s">
        <v>448</v>
      </c>
      <c r="B367" t="s">
        <v>449</v>
      </c>
      <c r="C367" t="s">
        <v>472</v>
      </c>
      <c r="D367" t="s">
        <v>110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45">
      <c r="A368" t="s">
        <v>448</v>
      </c>
      <c r="B368" t="s">
        <v>449</v>
      </c>
      <c r="C368" t="s">
        <v>473</v>
      </c>
      <c r="D368" t="s">
        <v>110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45">
      <c r="A369" t="s">
        <v>448</v>
      </c>
      <c r="B369" t="s">
        <v>449</v>
      </c>
      <c r="C369" t="s">
        <v>474</v>
      </c>
      <c r="D369" t="s">
        <v>141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45">
      <c r="A370" t="s">
        <v>448</v>
      </c>
      <c r="B370" t="s">
        <v>449</v>
      </c>
      <c r="C370" t="s">
        <v>475</v>
      </c>
      <c r="D370" t="s">
        <v>110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45">
      <c r="A371" t="s">
        <v>448</v>
      </c>
      <c r="B371" t="s">
        <v>449</v>
      </c>
      <c r="C371" t="s">
        <v>476</v>
      </c>
      <c r="D371" t="s">
        <v>110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45">
      <c r="A372" t="s">
        <v>477</v>
      </c>
      <c r="B372" t="s">
        <v>478</v>
      </c>
      <c r="C372" t="s">
        <v>423</v>
      </c>
      <c r="D372" t="s">
        <v>110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45">
      <c r="A373" t="s">
        <v>477</v>
      </c>
      <c r="B373" t="s">
        <v>478</v>
      </c>
      <c r="C373" t="s">
        <v>479</v>
      </c>
      <c r="D373" t="s">
        <v>110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45">
      <c r="A374" t="s">
        <v>477</v>
      </c>
      <c r="B374" t="s">
        <v>478</v>
      </c>
      <c r="C374" t="s">
        <v>480</v>
      </c>
      <c r="D374" t="s">
        <v>110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45">
      <c r="A375" t="s">
        <v>477</v>
      </c>
      <c r="B375" t="s">
        <v>478</v>
      </c>
      <c r="C375" t="s">
        <v>481</v>
      </c>
      <c r="D375" t="s">
        <v>110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45">
      <c r="A376" t="s">
        <v>477</v>
      </c>
      <c r="B376" t="s">
        <v>478</v>
      </c>
      <c r="C376" t="s">
        <v>482</v>
      </c>
      <c r="D376" t="s">
        <v>110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45">
      <c r="A377" t="s">
        <v>477</v>
      </c>
      <c r="B377" t="s">
        <v>478</v>
      </c>
      <c r="C377" t="s">
        <v>483</v>
      </c>
      <c r="D377" t="s">
        <v>110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45">
      <c r="A378" t="s">
        <v>477</v>
      </c>
      <c r="B378" t="s">
        <v>478</v>
      </c>
      <c r="C378" t="s">
        <v>484</v>
      </c>
      <c r="D378" t="s">
        <v>141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45">
      <c r="A379" t="s">
        <v>477</v>
      </c>
      <c r="B379" t="s">
        <v>478</v>
      </c>
      <c r="C379" t="s">
        <v>355</v>
      </c>
      <c r="D379" t="s">
        <v>110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45">
      <c r="A380" t="s">
        <v>477</v>
      </c>
      <c r="B380" t="s">
        <v>478</v>
      </c>
      <c r="C380" t="s">
        <v>485</v>
      </c>
      <c r="D380" t="s">
        <v>110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45">
      <c r="A381" t="s">
        <v>477</v>
      </c>
      <c r="B381" t="s">
        <v>478</v>
      </c>
      <c r="C381" t="s">
        <v>437</v>
      </c>
      <c r="D381" t="s">
        <v>141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45">
      <c r="A382" t="s">
        <v>477</v>
      </c>
      <c r="B382" t="s">
        <v>478</v>
      </c>
      <c r="C382" t="s">
        <v>166</v>
      </c>
      <c r="D382" t="s">
        <v>110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45">
      <c r="A383" t="s">
        <v>477</v>
      </c>
      <c r="B383" t="s">
        <v>478</v>
      </c>
      <c r="C383" t="s">
        <v>486</v>
      </c>
      <c r="D383" t="s">
        <v>110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45">
      <c r="A384" t="s">
        <v>477</v>
      </c>
      <c r="B384" t="s">
        <v>478</v>
      </c>
      <c r="C384" t="s">
        <v>368</v>
      </c>
      <c r="D384" t="s">
        <v>141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45">
      <c r="A385" t="s">
        <v>477</v>
      </c>
      <c r="B385" t="s">
        <v>478</v>
      </c>
      <c r="C385" t="s">
        <v>487</v>
      </c>
      <c r="D385" t="s">
        <v>141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45">
      <c r="A386" t="s">
        <v>477</v>
      </c>
      <c r="B386" t="s">
        <v>478</v>
      </c>
      <c r="C386" t="s">
        <v>488</v>
      </c>
      <c r="D386" t="s">
        <v>110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45">
      <c r="A387" t="s">
        <v>477</v>
      </c>
      <c r="B387" t="s">
        <v>478</v>
      </c>
      <c r="C387" t="s">
        <v>489</v>
      </c>
      <c r="D387" t="s">
        <v>141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45">
      <c r="A388" t="s">
        <v>477</v>
      </c>
      <c r="B388" t="s">
        <v>478</v>
      </c>
      <c r="C388" t="s">
        <v>372</v>
      </c>
      <c r="D388" t="s">
        <v>110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45">
      <c r="A389" t="s">
        <v>477</v>
      </c>
      <c r="B389" t="s">
        <v>478</v>
      </c>
      <c r="C389" t="s">
        <v>328</v>
      </c>
      <c r="D389" t="s">
        <v>110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45">
      <c r="A390" t="s">
        <v>477</v>
      </c>
      <c r="B390" t="s">
        <v>478</v>
      </c>
      <c r="C390" t="s">
        <v>490</v>
      </c>
      <c r="D390" t="s">
        <v>110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45">
      <c r="A391" t="s">
        <v>477</v>
      </c>
      <c r="B391" t="s">
        <v>478</v>
      </c>
      <c r="C391" t="s">
        <v>471</v>
      </c>
      <c r="D391" t="s">
        <v>110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45">
      <c r="A392" t="s">
        <v>477</v>
      </c>
      <c r="B392" t="s">
        <v>478</v>
      </c>
      <c r="C392" t="s">
        <v>405</v>
      </c>
      <c r="D392" t="s">
        <v>110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45">
      <c r="A393" t="s">
        <v>477</v>
      </c>
      <c r="B393" t="s">
        <v>478</v>
      </c>
      <c r="C393" t="s">
        <v>491</v>
      </c>
      <c r="D393" t="s">
        <v>141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45">
      <c r="A394" t="s">
        <v>477</v>
      </c>
      <c r="B394" t="s">
        <v>478</v>
      </c>
      <c r="C394" t="s">
        <v>219</v>
      </c>
      <c r="D394" t="s">
        <v>141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45">
      <c r="A395" t="s">
        <v>477</v>
      </c>
      <c r="B395" t="s">
        <v>478</v>
      </c>
      <c r="C395" t="s">
        <v>406</v>
      </c>
      <c r="D395" t="s">
        <v>110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45">
      <c r="A396" t="s">
        <v>477</v>
      </c>
      <c r="B396" t="s">
        <v>478</v>
      </c>
      <c r="C396" t="s">
        <v>492</v>
      </c>
      <c r="D396" t="s">
        <v>110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45">
      <c r="A397" t="s">
        <v>477</v>
      </c>
      <c r="B397" t="s">
        <v>478</v>
      </c>
      <c r="C397" t="s">
        <v>260</v>
      </c>
      <c r="D397" t="s">
        <v>110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45">
      <c r="A398" t="s">
        <v>477</v>
      </c>
      <c r="B398" t="s">
        <v>478</v>
      </c>
      <c r="C398" t="s">
        <v>493</v>
      </c>
      <c r="D398" t="s">
        <v>110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45">
      <c r="A399" t="s">
        <v>494</v>
      </c>
      <c r="B399" t="s">
        <v>495</v>
      </c>
      <c r="C399" t="s">
        <v>496</v>
      </c>
      <c r="D399" t="s">
        <v>110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45">
      <c r="A400" t="s">
        <v>494</v>
      </c>
      <c r="B400" t="s">
        <v>495</v>
      </c>
      <c r="C400" t="s">
        <v>423</v>
      </c>
      <c r="D400" t="s">
        <v>110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45">
      <c r="A401" t="s">
        <v>494</v>
      </c>
      <c r="B401" t="s">
        <v>495</v>
      </c>
      <c r="C401" t="s">
        <v>497</v>
      </c>
      <c r="D401" t="s">
        <v>110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45">
      <c r="A402" t="s">
        <v>494</v>
      </c>
      <c r="B402" t="s">
        <v>495</v>
      </c>
      <c r="C402" t="s">
        <v>498</v>
      </c>
      <c r="D402" t="s">
        <v>110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45">
      <c r="A403" t="s">
        <v>494</v>
      </c>
      <c r="B403" t="s">
        <v>495</v>
      </c>
      <c r="C403" t="s">
        <v>499</v>
      </c>
      <c r="D403" t="s">
        <v>110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45">
      <c r="A404" t="s">
        <v>494</v>
      </c>
      <c r="B404" t="s">
        <v>495</v>
      </c>
      <c r="C404" t="s">
        <v>481</v>
      </c>
      <c r="D404" t="s">
        <v>110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45">
      <c r="A405" t="s">
        <v>494</v>
      </c>
      <c r="B405" t="s">
        <v>495</v>
      </c>
      <c r="C405" t="s">
        <v>500</v>
      </c>
      <c r="D405" t="s">
        <v>110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45">
      <c r="A406" t="s">
        <v>494</v>
      </c>
      <c r="B406" t="s">
        <v>495</v>
      </c>
      <c r="C406" t="s">
        <v>483</v>
      </c>
      <c r="D406" t="s">
        <v>110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45">
      <c r="A407" t="s">
        <v>494</v>
      </c>
      <c r="B407" t="s">
        <v>495</v>
      </c>
      <c r="C407" t="s">
        <v>501</v>
      </c>
      <c r="D407" t="s">
        <v>110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45">
      <c r="A408" t="s">
        <v>494</v>
      </c>
      <c r="B408" t="s">
        <v>495</v>
      </c>
      <c r="C408" t="s">
        <v>502</v>
      </c>
      <c r="D408" t="s">
        <v>110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45">
      <c r="A409" t="s">
        <v>494</v>
      </c>
      <c r="B409" t="s">
        <v>495</v>
      </c>
      <c r="C409" t="s">
        <v>503</v>
      </c>
      <c r="D409" t="s">
        <v>110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45">
      <c r="A410" t="s">
        <v>494</v>
      </c>
      <c r="B410" t="s">
        <v>495</v>
      </c>
      <c r="C410" t="s">
        <v>154</v>
      </c>
      <c r="D410" t="s">
        <v>110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45">
      <c r="A411" t="s">
        <v>494</v>
      </c>
      <c r="B411" t="s">
        <v>495</v>
      </c>
      <c r="C411" t="s">
        <v>156</v>
      </c>
      <c r="D411" t="s">
        <v>110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45">
      <c r="A412" t="s">
        <v>494</v>
      </c>
      <c r="B412" t="s">
        <v>495</v>
      </c>
      <c r="C412" t="s">
        <v>355</v>
      </c>
      <c r="D412" t="s">
        <v>110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45">
      <c r="A413" t="s">
        <v>494</v>
      </c>
      <c r="B413" t="s">
        <v>495</v>
      </c>
      <c r="C413" t="s">
        <v>485</v>
      </c>
      <c r="D413" t="s">
        <v>110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45">
      <c r="A414" t="s">
        <v>494</v>
      </c>
      <c r="B414" t="s">
        <v>495</v>
      </c>
      <c r="C414" t="s">
        <v>504</v>
      </c>
      <c r="D414" t="s">
        <v>110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45">
      <c r="A415" t="s">
        <v>494</v>
      </c>
      <c r="B415" t="s">
        <v>495</v>
      </c>
      <c r="C415" t="s">
        <v>505</v>
      </c>
      <c r="D415" t="s">
        <v>110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45">
      <c r="A416" t="s">
        <v>494</v>
      </c>
      <c r="B416" t="s">
        <v>495</v>
      </c>
      <c r="C416" t="s">
        <v>160</v>
      </c>
      <c r="D416" t="s">
        <v>110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45">
      <c r="A417" t="s">
        <v>494</v>
      </c>
      <c r="B417" t="s">
        <v>495</v>
      </c>
      <c r="C417" t="s">
        <v>506</v>
      </c>
      <c r="D417" t="s">
        <v>110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45">
      <c r="A418" t="s">
        <v>494</v>
      </c>
      <c r="B418" t="s">
        <v>495</v>
      </c>
      <c r="C418" t="s">
        <v>164</v>
      </c>
      <c r="D418" t="s">
        <v>110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45">
      <c r="A419" t="s">
        <v>494</v>
      </c>
      <c r="B419" t="s">
        <v>495</v>
      </c>
      <c r="C419" t="s">
        <v>166</v>
      </c>
      <c r="D419" t="s">
        <v>110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45">
      <c r="A420" t="s">
        <v>494</v>
      </c>
      <c r="B420" t="s">
        <v>495</v>
      </c>
      <c r="C420" t="s">
        <v>361</v>
      </c>
      <c r="D420" t="s">
        <v>110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45">
      <c r="A421" t="s">
        <v>494</v>
      </c>
      <c r="B421" t="s">
        <v>495</v>
      </c>
      <c r="C421" t="s">
        <v>486</v>
      </c>
      <c r="D421" t="s">
        <v>110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45">
      <c r="A422" t="s">
        <v>494</v>
      </c>
      <c r="B422" t="s">
        <v>495</v>
      </c>
      <c r="C422" t="s">
        <v>368</v>
      </c>
      <c r="D422" t="s">
        <v>110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45">
      <c r="A423" t="s">
        <v>494</v>
      </c>
      <c r="B423" t="s">
        <v>495</v>
      </c>
      <c r="C423" t="s">
        <v>176</v>
      </c>
      <c r="D423" t="s">
        <v>110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45">
      <c r="A424" t="s">
        <v>494</v>
      </c>
      <c r="B424" t="s">
        <v>495</v>
      </c>
      <c r="C424" t="s">
        <v>507</v>
      </c>
      <c r="D424" t="s">
        <v>110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45">
      <c r="A425" t="s">
        <v>494</v>
      </c>
      <c r="B425" t="s">
        <v>495</v>
      </c>
      <c r="C425" t="s">
        <v>372</v>
      </c>
      <c r="D425" t="s">
        <v>110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45">
      <c r="A426" t="s">
        <v>494</v>
      </c>
      <c r="B426" t="s">
        <v>495</v>
      </c>
      <c r="C426" t="s">
        <v>328</v>
      </c>
      <c r="D426" t="s">
        <v>110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45">
      <c r="A427" t="s">
        <v>494</v>
      </c>
      <c r="B427" t="s">
        <v>495</v>
      </c>
      <c r="C427" t="s">
        <v>508</v>
      </c>
      <c r="D427" t="s">
        <v>110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45">
      <c r="A428" t="s">
        <v>494</v>
      </c>
      <c r="B428" t="s">
        <v>495</v>
      </c>
      <c r="C428" t="s">
        <v>509</v>
      </c>
      <c r="D428" t="s">
        <v>110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45">
      <c r="A429" t="s">
        <v>494</v>
      </c>
      <c r="B429" t="s">
        <v>495</v>
      </c>
      <c r="C429" t="s">
        <v>510</v>
      </c>
      <c r="D429" t="s">
        <v>110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45">
      <c r="A430" t="s">
        <v>494</v>
      </c>
      <c r="B430" t="s">
        <v>495</v>
      </c>
      <c r="C430" t="s">
        <v>511</v>
      </c>
      <c r="D430" t="s">
        <v>110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45">
      <c r="A431" t="s">
        <v>494</v>
      </c>
      <c r="B431" t="s">
        <v>495</v>
      </c>
      <c r="C431" t="s">
        <v>183</v>
      </c>
      <c r="D431" t="s">
        <v>110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45">
      <c r="A432" t="s">
        <v>494</v>
      </c>
      <c r="B432" t="s">
        <v>495</v>
      </c>
      <c r="C432" t="s">
        <v>382</v>
      </c>
      <c r="D432" t="s">
        <v>110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45">
      <c r="A433" t="s">
        <v>494</v>
      </c>
      <c r="B433" t="s">
        <v>495</v>
      </c>
      <c r="C433" t="s">
        <v>184</v>
      </c>
      <c r="D433" t="s">
        <v>110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45">
      <c r="A434" t="s">
        <v>494</v>
      </c>
      <c r="B434" t="s">
        <v>495</v>
      </c>
      <c r="C434" t="s">
        <v>282</v>
      </c>
      <c r="D434" t="s">
        <v>110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45">
      <c r="A435" t="s">
        <v>494</v>
      </c>
      <c r="B435" t="s">
        <v>495</v>
      </c>
      <c r="C435" t="s">
        <v>186</v>
      </c>
      <c r="D435" t="s">
        <v>110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45">
      <c r="A436" t="s">
        <v>494</v>
      </c>
      <c r="B436" t="s">
        <v>495</v>
      </c>
      <c r="C436" t="s">
        <v>512</v>
      </c>
      <c r="D436" t="s">
        <v>110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45">
      <c r="A437" t="s">
        <v>494</v>
      </c>
      <c r="B437" t="s">
        <v>495</v>
      </c>
      <c r="C437" t="s">
        <v>513</v>
      </c>
      <c r="D437" t="s">
        <v>110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45">
      <c r="A438" t="s">
        <v>494</v>
      </c>
      <c r="B438" t="s">
        <v>495</v>
      </c>
      <c r="C438" t="s">
        <v>514</v>
      </c>
      <c r="D438" t="s">
        <v>110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45">
      <c r="A439" t="s">
        <v>494</v>
      </c>
      <c r="B439" t="s">
        <v>495</v>
      </c>
      <c r="C439" t="s">
        <v>515</v>
      </c>
      <c r="D439" t="s">
        <v>110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45">
      <c r="A440" t="s">
        <v>494</v>
      </c>
      <c r="B440" t="s">
        <v>495</v>
      </c>
      <c r="C440" t="s">
        <v>516</v>
      </c>
      <c r="D440" t="s">
        <v>110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45">
      <c r="A441" t="s">
        <v>494</v>
      </c>
      <c r="B441" t="s">
        <v>495</v>
      </c>
      <c r="C441" t="s">
        <v>517</v>
      </c>
      <c r="D441" t="s">
        <v>110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45">
      <c r="A442" t="s">
        <v>494</v>
      </c>
      <c r="B442" t="s">
        <v>495</v>
      </c>
      <c r="C442" t="s">
        <v>188</v>
      </c>
      <c r="D442" t="s">
        <v>110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45">
      <c r="A443" t="s">
        <v>494</v>
      </c>
      <c r="B443" t="s">
        <v>495</v>
      </c>
      <c r="C443" t="s">
        <v>230</v>
      </c>
      <c r="D443" t="s">
        <v>110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45">
      <c r="A444" t="s">
        <v>494</v>
      </c>
      <c r="B444" t="s">
        <v>495</v>
      </c>
      <c r="C444" t="s">
        <v>518</v>
      </c>
      <c r="D444" t="s">
        <v>110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45">
      <c r="A445" t="s">
        <v>494</v>
      </c>
      <c r="B445" t="s">
        <v>495</v>
      </c>
      <c r="C445" t="s">
        <v>519</v>
      </c>
      <c r="D445" t="s">
        <v>110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45">
      <c r="A446" t="s">
        <v>494</v>
      </c>
      <c r="B446" t="s">
        <v>495</v>
      </c>
      <c r="C446" t="s">
        <v>495</v>
      </c>
      <c r="D446" t="s">
        <v>110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45">
      <c r="A447" t="s">
        <v>494</v>
      </c>
      <c r="B447" t="s">
        <v>495</v>
      </c>
      <c r="C447" t="s">
        <v>190</v>
      </c>
      <c r="D447" t="s">
        <v>110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45">
      <c r="A448" t="s">
        <v>494</v>
      </c>
      <c r="B448" t="s">
        <v>495</v>
      </c>
      <c r="C448" t="s">
        <v>520</v>
      </c>
      <c r="D448" t="s">
        <v>110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45">
      <c r="A449" t="s">
        <v>494</v>
      </c>
      <c r="B449" t="s">
        <v>495</v>
      </c>
      <c r="C449" t="s">
        <v>191</v>
      </c>
      <c r="D449" t="s">
        <v>110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45">
      <c r="A450" t="s">
        <v>494</v>
      </c>
      <c r="B450" t="s">
        <v>495</v>
      </c>
      <c r="C450" t="s">
        <v>233</v>
      </c>
      <c r="D450" t="s">
        <v>110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45">
      <c r="A451" t="s">
        <v>494</v>
      </c>
      <c r="B451" t="s">
        <v>495</v>
      </c>
      <c r="C451" t="s">
        <v>521</v>
      </c>
      <c r="D451" t="s">
        <v>110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45">
      <c r="A452" t="s">
        <v>494</v>
      </c>
      <c r="B452" t="s">
        <v>495</v>
      </c>
      <c r="C452" t="s">
        <v>522</v>
      </c>
      <c r="D452" t="s">
        <v>110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45">
      <c r="A453" t="s">
        <v>494</v>
      </c>
      <c r="B453" t="s">
        <v>495</v>
      </c>
      <c r="C453" t="s">
        <v>523</v>
      </c>
      <c r="D453" t="s">
        <v>110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45">
      <c r="A454" t="s">
        <v>494</v>
      </c>
      <c r="B454" t="s">
        <v>495</v>
      </c>
      <c r="C454" t="s">
        <v>195</v>
      </c>
      <c r="D454" t="s">
        <v>110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45">
      <c r="A455" t="s">
        <v>524</v>
      </c>
      <c r="B455" t="s">
        <v>525</v>
      </c>
      <c r="C455" t="s">
        <v>278</v>
      </c>
      <c r="D455" t="s">
        <v>141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45">
      <c r="A456" t="s">
        <v>524</v>
      </c>
      <c r="B456" t="s">
        <v>525</v>
      </c>
      <c r="C456" t="s">
        <v>526</v>
      </c>
      <c r="D456" t="s">
        <v>141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45">
      <c r="A457" t="s">
        <v>524</v>
      </c>
      <c r="B457" t="s">
        <v>525</v>
      </c>
      <c r="C457" t="s">
        <v>527</v>
      </c>
      <c r="D457" t="s">
        <v>141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45">
      <c r="A458" t="s">
        <v>524</v>
      </c>
      <c r="B458" t="s">
        <v>525</v>
      </c>
      <c r="C458" t="s">
        <v>528</v>
      </c>
      <c r="D458" t="s">
        <v>110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45">
      <c r="A459" t="s">
        <v>524</v>
      </c>
      <c r="B459" t="s">
        <v>525</v>
      </c>
      <c r="C459" t="s">
        <v>529</v>
      </c>
      <c r="D459" t="s">
        <v>141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45">
      <c r="A460" t="s">
        <v>524</v>
      </c>
      <c r="B460" t="s">
        <v>525</v>
      </c>
      <c r="C460" t="s">
        <v>530</v>
      </c>
      <c r="D460" t="s">
        <v>141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45">
      <c r="A461" t="s">
        <v>524</v>
      </c>
      <c r="B461" t="s">
        <v>525</v>
      </c>
      <c r="C461" t="s">
        <v>531</v>
      </c>
      <c r="D461" t="s">
        <v>141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45">
      <c r="A462" t="s">
        <v>524</v>
      </c>
      <c r="B462" t="s">
        <v>525</v>
      </c>
      <c r="C462" t="s">
        <v>184</v>
      </c>
      <c r="D462" t="s">
        <v>141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45">
      <c r="A463" t="s">
        <v>524</v>
      </c>
      <c r="B463" t="s">
        <v>525</v>
      </c>
      <c r="C463" t="s">
        <v>532</v>
      </c>
      <c r="D463" t="s">
        <v>141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45">
      <c r="A464" t="s">
        <v>524</v>
      </c>
      <c r="B464" t="s">
        <v>525</v>
      </c>
      <c r="C464" t="s">
        <v>533</v>
      </c>
      <c r="D464" t="s">
        <v>110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45">
      <c r="A465" t="s">
        <v>524</v>
      </c>
      <c r="B465" t="s">
        <v>525</v>
      </c>
      <c r="C465" t="s">
        <v>534</v>
      </c>
      <c r="D465" t="s">
        <v>110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45">
      <c r="A466" t="s">
        <v>524</v>
      </c>
      <c r="B466" t="s">
        <v>525</v>
      </c>
      <c r="C466" t="s">
        <v>227</v>
      </c>
      <c r="D466" t="s">
        <v>141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45">
      <c r="A467" t="s">
        <v>524</v>
      </c>
      <c r="B467" t="s">
        <v>525</v>
      </c>
      <c r="C467" t="s">
        <v>535</v>
      </c>
      <c r="D467" t="s">
        <v>141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45">
      <c r="A468" t="s">
        <v>524</v>
      </c>
      <c r="B468" t="s">
        <v>525</v>
      </c>
      <c r="C468" t="s">
        <v>536</v>
      </c>
      <c r="D468" t="s">
        <v>110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45">
      <c r="A469" t="s">
        <v>524</v>
      </c>
      <c r="B469" t="s">
        <v>525</v>
      </c>
      <c r="C469" t="s">
        <v>537</v>
      </c>
      <c r="D469" t="s">
        <v>141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45">
      <c r="A470" t="s">
        <v>524</v>
      </c>
      <c r="B470" t="s">
        <v>525</v>
      </c>
      <c r="C470" t="s">
        <v>514</v>
      </c>
      <c r="D470" t="s">
        <v>110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45">
      <c r="A471" t="s">
        <v>524</v>
      </c>
      <c r="B471" t="s">
        <v>525</v>
      </c>
      <c r="C471" t="s">
        <v>538</v>
      </c>
      <c r="D471" t="s">
        <v>141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45">
      <c r="A472" t="s">
        <v>524</v>
      </c>
      <c r="B472" t="s">
        <v>525</v>
      </c>
      <c r="C472" t="s">
        <v>539</v>
      </c>
      <c r="D472" t="s">
        <v>141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45">
      <c r="A473" t="s">
        <v>524</v>
      </c>
      <c r="B473" t="s">
        <v>525</v>
      </c>
      <c r="C473" t="s">
        <v>540</v>
      </c>
      <c r="D473" t="s">
        <v>141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45">
      <c r="A474" t="s">
        <v>524</v>
      </c>
      <c r="B474" t="s">
        <v>525</v>
      </c>
      <c r="C474" t="s">
        <v>541</v>
      </c>
      <c r="D474" t="s">
        <v>141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45">
      <c r="A475" t="s">
        <v>524</v>
      </c>
      <c r="B475" t="s">
        <v>525</v>
      </c>
      <c r="C475" t="s">
        <v>190</v>
      </c>
      <c r="D475" t="s">
        <v>141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45">
      <c r="A476" t="s">
        <v>524</v>
      </c>
      <c r="B476" t="s">
        <v>525</v>
      </c>
      <c r="C476" t="s">
        <v>191</v>
      </c>
      <c r="D476" t="s">
        <v>141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45">
      <c r="A477" t="s">
        <v>524</v>
      </c>
      <c r="B477" t="s">
        <v>525</v>
      </c>
      <c r="C477" t="s">
        <v>542</v>
      </c>
      <c r="D477" t="s">
        <v>110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45">
      <c r="A478" t="s">
        <v>524</v>
      </c>
      <c r="B478" t="s">
        <v>525</v>
      </c>
      <c r="C478" t="s">
        <v>233</v>
      </c>
      <c r="D478" t="s">
        <v>141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45">
      <c r="A479" t="s">
        <v>524</v>
      </c>
      <c r="B479" t="s">
        <v>525</v>
      </c>
      <c r="C479" t="s">
        <v>543</v>
      </c>
      <c r="D479" t="s">
        <v>141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45">
      <c r="A480" t="s">
        <v>524</v>
      </c>
      <c r="B480" t="s">
        <v>525</v>
      </c>
      <c r="C480" t="s">
        <v>544</v>
      </c>
      <c r="D480" t="s">
        <v>141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45">
      <c r="A481" t="s">
        <v>524</v>
      </c>
      <c r="B481" t="s">
        <v>525</v>
      </c>
      <c r="C481" t="s">
        <v>289</v>
      </c>
      <c r="D481" t="s">
        <v>141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45">
      <c r="A482" t="s">
        <v>524</v>
      </c>
      <c r="B482" t="s">
        <v>525</v>
      </c>
      <c r="C482" t="s">
        <v>545</v>
      </c>
      <c r="D482" t="s">
        <v>141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45">
      <c r="A483" t="s">
        <v>524</v>
      </c>
      <c r="B483" t="s">
        <v>525</v>
      </c>
      <c r="C483" t="s">
        <v>546</v>
      </c>
      <c r="D483" t="s">
        <v>110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45">
      <c r="A484" t="s">
        <v>524</v>
      </c>
      <c r="B484" t="s">
        <v>525</v>
      </c>
      <c r="C484" t="s">
        <v>547</v>
      </c>
      <c r="D484" t="s">
        <v>141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45">
      <c r="A485" t="s">
        <v>524</v>
      </c>
      <c r="B485" t="s">
        <v>525</v>
      </c>
      <c r="C485" t="s">
        <v>235</v>
      </c>
      <c r="D485" t="s">
        <v>141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45">
      <c r="A486" t="s">
        <v>524</v>
      </c>
      <c r="B486" t="s">
        <v>525</v>
      </c>
      <c r="C486" t="s">
        <v>548</v>
      </c>
      <c r="D486" t="s">
        <v>141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45">
      <c r="A487" t="s">
        <v>524</v>
      </c>
      <c r="B487" t="s">
        <v>525</v>
      </c>
      <c r="C487" t="s">
        <v>237</v>
      </c>
      <c r="D487" t="s">
        <v>110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45">
      <c r="A488" t="s">
        <v>524</v>
      </c>
      <c r="B488" t="s">
        <v>525</v>
      </c>
      <c r="C488" t="s">
        <v>549</v>
      </c>
      <c r="D488" t="s">
        <v>141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45">
      <c r="A489" t="s">
        <v>524</v>
      </c>
      <c r="B489" t="s">
        <v>525</v>
      </c>
      <c r="C489" t="s">
        <v>201</v>
      </c>
      <c r="D489" t="s">
        <v>141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45">
      <c r="A490" t="s">
        <v>524</v>
      </c>
      <c r="B490" t="s">
        <v>525</v>
      </c>
      <c r="C490" t="s">
        <v>202</v>
      </c>
      <c r="D490" t="s">
        <v>141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45">
      <c r="A491" t="s">
        <v>524</v>
      </c>
      <c r="B491" t="s">
        <v>525</v>
      </c>
      <c r="C491" t="s">
        <v>550</v>
      </c>
      <c r="D491" t="s">
        <v>141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45">
      <c r="A492" t="s">
        <v>524</v>
      </c>
      <c r="B492" t="s">
        <v>525</v>
      </c>
      <c r="C492" t="s">
        <v>551</v>
      </c>
      <c r="D492" t="s">
        <v>141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45">
      <c r="A493" t="s">
        <v>524</v>
      </c>
      <c r="B493" t="s">
        <v>525</v>
      </c>
      <c r="C493" t="s">
        <v>552</v>
      </c>
      <c r="D493" t="s">
        <v>141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45">
      <c r="A494" t="s">
        <v>524</v>
      </c>
      <c r="B494" t="s">
        <v>525</v>
      </c>
      <c r="C494" t="s">
        <v>553</v>
      </c>
      <c r="D494" t="s">
        <v>110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45">
      <c r="A495" t="s">
        <v>524</v>
      </c>
      <c r="B495" t="s">
        <v>525</v>
      </c>
      <c r="C495" t="s">
        <v>205</v>
      </c>
      <c r="D495" t="s">
        <v>141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45">
      <c r="A496" t="s">
        <v>524</v>
      </c>
      <c r="B496" t="s">
        <v>525</v>
      </c>
      <c r="C496" t="s">
        <v>554</v>
      </c>
      <c r="D496" t="s">
        <v>141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45">
      <c r="A497" t="s">
        <v>524</v>
      </c>
      <c r="B497" t="s">
        <v>525</v>
      </c>
      <c r="C497" t="s">
        <v>555</v>
      </c>
      <c r="D497" t="s">
        <v>141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45">
      <c r="A498" t="s">
        <v>524</v>
      </c>
      <c r="B498" t="s">
        <v>525</v>
      </c>
      <c r="C498" t="s">
        <v>556</v>
      </c>
      <c r="D498" t="s">
        <v>141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45">
      <c r="A499" t="s">
        <v>524</v>
      </c>
      <c r="B499" t="s">
        <v>525</v>
      </c>
      <c r="C499" t="s">
        <v>557</v>
      </c>
      <c r="D499" t="s">
        <v>141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45">
      <c r="A500" t="s">
        <v>524</v>
      </c>
      <c r="B500" t="s">
        <v>525</v>
      </c>
      <c r="C500" t="s">
        <v>558</v>
      </c>
      <c r="D500" t="s">
        <v>110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45">
      <c r="A501" t="s">
        <v>524</v>
      </c>
      <c r="B501" t="s">
        <v>525</v>
      </c>
      <c r="C501" t="s">
        <v>559</v>
      </c>
      <c r="D501" t="s">
        <v>110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45">
      <c r="A502" t="s">
        <v>524</v>
      </c>
      <c r="B502" t="s">
        <v>525</v>
      </c>
      <c r="C502" t="s">
        <v>560</v>
      </c>
      <c r="D502" t="s">
        <v>141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45">
      <c r="A503" t="s">
        <v>524</v>
      </c>
      <c r="B503" t="s">
        <v>525</v>
      </c>
      <c r="C503" t="s">
        <v>561</v>
      </c>
      <c r="D503" t="s">
        <v>110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45">
      <c r="A504" t="s">
        <v>524</v>
      </c>
      <c r="B504" t="s">
        <v>525</v>
      </c>
      <c r="C504" t="s">
        <v>562</v>
      </c>
      <c r="D504" t="s">
        <v>141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45">
      <c r="A505" t="s">
        <v>524</v>
      </c>
      <c r="B505" t="s">
        <v>525</v>
      </c>
      <c r="C505" t="s">
        <v>563</v>
      </c>
      <c r="D505" t="s">
        <v>141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45">
      <c r="A506" t="s">
        <v>524</v>
      </c>
      <c r="B506" t="s">
        <v>525</v>
      </c>
      <c r="C506" t="s">
        <v>244</v>
      </c>
      <c r="D506" t="s">
        <v>110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45">
      <c r="A507" t="s">
        <v>524</v>
      </c>
      <c r="B507" t="s">
        <v>525</v>
      </c>
      <c r="C507" t="s">
        <v>564</v>
      </c>
      <c r="D507" t="s">
        <v>141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45">
      <c r="A508" t="s">
        <v>524</v>
      </c>
      <c r="B508" t="s">
        <v>525</v>
      </c>
      <c r="C508" t="s">
        <v>565</v>
      </c>
      <c r="D508" t="s">
        <v>141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45">
      <c r="A509" t="s">
        <v>524</v>
      </c>
      <c r="B509" t="s">
        <v>525</v>
      </c>
      <c r="C509" t="s">
        <v>566</v>
      </c>
      <c r="D509" t="s">
        <v>110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45">
      <c r="A510" t="s">
        <v>524</v>
      </c>
      <c r="B510" t="s">
        <v>525</v>
      </c>
      <c r="C510" t="s">
        <v>567</v>
      </c>
      <c r="D510" t="s">
        <v>141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45">
      <c r="A511" t="s">
        <v>524</v>
      </c>
      <c r="B511" t="s">
        <v>525</v>
      </c>
      <c r="C511" t="s">
        <v>568</v>
      </c>
      <c r="D511" t="s">
        <v>110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45">
      <c r="A512" t="s">
        <v>524</v>
      </c>
      <c r="B512" t="s">
        <v>525</v>
      </c>
      <c r="C512" t="s">
        <v>569</v>
      </c>
      <c r="D512" t="s">
        <v>141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45">
      <c r="A513" t="s">
        <v>524</v>
      </c>
      <c r="B513" t="s">
        <v>525</v>
      </c>
      <c r="C513" t="s">
        <v>570</v>
      </c>
      <c r="D513" t="s">
        <v>141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45">
      <c r="A514" t="s">
        <v>524</v>
      </c>
      <c r="B514" t="s">
        <v>525</v>
      </c>
      <c r="C514" t="s">
        <v>571</v>
      </c>
      <c r="D514" t="s">
        <v>110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45">
      <c r="A515" t="s">
        <v>524</v>
      </c>
      <c r="B515" t="s">
        <v>525</v>
      </c>
      <c r="C515" t="s">
        <v>572</v>
      </c>
      <c r="D515" t="s">
        <v>141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45">
      <c r="A516" t="s">
        <v>524</v>
      </c>
      <c r="B516" t="s">
        <v>525</v>
      </c>
      <c r="C516" t="s">
        <v>211</v>
      </c>
      <c r="D516" t="s">
        <v>141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45">
      <c r="A517" t="s">
        <v>524</v>
      </c>
      <c r="B517" t="s">
        <v>525</v>
      </c>
      <c r="C517" t="s">
        <v>250</v>
      </c>
      <c r="D517" t="s">
        <v>141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45">
      <c r="A518" t="s">
        <v>524</v>
      </c>
      <c r="B518" t="s">
        <v>525</v>
      </c>
      <c r="C518" t="s">
        <v>251</v>
      </c>
      <c r="D518" t="s">
        <v>110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45">
      <c r="A519" t="s">
        <v>524</v>
      </c>
      <c r="B519" t="s">
        <v>525</v>
      </c>
      <c r="C519" t="s">
        <v>312</v>
      </c>
      <c r="D519" t="s">
        <v>141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45">
      <c r="A520" t="s">
        <v>573</v>
      </c>
      <c r="B520" t="s">
        <v>574</v>
      </c>
      <c r="C520" t="s">
        <v>575</v>
      </c>
      <c r="D520" t="s">
        <v>141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45">
      <c r="A521" t="s">
        <v>573</v>
      </c>
      <c r="B521" t="s">
        <v>574</v>
      </c>
      <c r="C521" t="s">
        <v>517</v>
      </c>
      <c r="D521" t="s">
        <v>141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45">
      <c r="A522" t="s">
        <v>573</v>
      </c>
      <c r="B522" t="s">
        <v>574</v>
      </c>
      <c r="C522" t="s">
        <v>576</v>
      </c>
      <c r="D522" t="s">
        <v>141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45">
      <c r="A523" t="s">
        <v>573</v>
      </c>
      <c r="B523" t="s">
        <v>574</v>
      </c>
      <c r="C523" t="s">
        <v>577</v>
      </c>
      <c r="D523" t="s">
        <v>141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45">
      <c r="A524" t="s">
        <v>573</v>
      </c>
      <c r="B524" t="s">
        <v>574</v>
      </c>
      <c r="C524" t="s">
        <v>188</v>
      </c>
      <c r="D524" t="s">
        <v>141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45">
      <c r="A525" t="s">
        <v>573</v>
      </c>
      <c r="B525" t="s">
        <v>574</v>
      </c>
      <c r="C525" t="s">
        <v>578</v>
      </c>
      <c r="D525" t="s">
        <v>141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45">
      <c r="A526" t="s">
        <v>573</v>
      </c>
      <c r="B526" t="s">
        <v>574</v>
      </c>
      <c r="C526" t="s">
        <v>579</v>
      </c>
      <c r="D526" t="s">
        <v>141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45">
      <c r="A527" t="s">
        <v>573</v>
      </c>
      <c r="B527" t="s">
        <v>574</v>
      </c>
      <c r="C527" t="s">
        <v>190</v>
      </c>
      <c r="D527" t="s">
        <v>141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45">
      <c r="A528" t="s">
        <v>573</v>
      </c>
      <c r="B528" t="s">
        <v>574</v>
      </c>
      <c r="C528" t="s">
        <v>191</v>
      </c>
      <c r="D528" t="s">
        <v>141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45">
      <c r="A529" t="s">
        <v>573</v>
      </c>
      <c r="B529" t="s">
        <v>574</v>
      </c>
      <c r="C529" t="s">
        <v>580</v>
      </c>
      <c r="D529" t="s">
        <v>141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45">
      <c r="A530" t="s">
        <v>573</v>
      </c>
      <c r="B530" t="s">
        <v>574</v>
      </c>
      <c r="C530" t="s">
        <v>233</v>
      </c>
      <c r="D530" t="s">
        <v>141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45">
      <c r="A531" t="s">
        <v>573</v>
      </c>
      <c r="B531" t="s">
        <v>574</v>
      </c>
      <c r="C531" t="s">
        <v>581</v>
      </c>
      <c r="D531" t="s">
        <v>141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45">
      <c r="A532" t="s">
        <v>573</v>
      </c>
      <c r="B532" t="s">
        <v>574</v>
      </c>
      <c r="C532" t="s">
        <v>582</v>
      </c>
      <c r="D532" t="s">
        <v>141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45">
      <c r="A533" t="s">
        <v>573</v>
      </c>
      <c r="B533" t="s">
        <v>574</v>
      </c>
      <c r="C533" t="s">
        <v>583</v>
      </c>
      <c r="D533" t="s">
        <v>141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45">
      <c r="A534" t="s">
        <v>573</v>
      </c>
      <c r="B534" t="s">
        <v>574</v>
      </c>
      <c r="C534" t="s">
        <v>584</v>
      </c>
      <c r="D534" t="s">
        <v>141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45">
      <c r="A535" t="s">
        <v>573</v>
      </c>
      <c r="B535" t="s">
        <v>574</v>
      </c>
      <c r="C535" t="s">
        <v>585</v>
      </c>
      <c r="D535" t="s">
        <v>141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45">
      <c r="A536" t="s">
        <v>573</v>
      </c>
      <c r="B536" t="s">
        <v>574</v>
      </c>
      <c r="C536" t="s">
        <v>194</v>
      </c>
      <c r="D536" t="s">
        <v>141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45">
      <c r="A537" t="s">
        <v>573</v>
      </c>
      <c r="B537" t="s">
        <v>574</v>
      </c>
      <c r="C537" t="s">
        <v>195</v>
      </c>
      <c r="D537" t="s">
        <v>141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45">
      <c r="A538" t="s">
        <v>573</v>
      </c>
      <c r="B538" t="s">
        <v>574</v>
      </c>
      <c r="C538" t="s">
        <v>586</v>
      </c>
      <c r="D538" t="s">
        <v>141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45">
      <c r="A539" t="s">
        <v>573</v>
      </c>
      <c r="B539" t="s">
        <v>574</v>
      </c>
      <c r="C539" t="s">
        <v>587</v>
      </c>
      <c r="D539" t="s">
        <v>141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45">
      <c r="A540" t="s">
        <v>573</v>
      </c>
      <c r="B540" t="s">
        <v>574</v>
      </c>
      <c r="C540" t="s">
        <v>446</v>
      </c>
      <c r="D540" t="s">
        <v>141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45">
      <c r="A541" t="s">
        <v>573</v>
      </c>
      <c r="B541" t="s">
        <v>574</v>
      </c>
      <c r="C541" t="s">
        <v>235</v>
      </c>
      <c r="D541" t="s">
        <v>141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45">
      <c r="A542" t="s">
        <v>573</v>
      </c>
      <c r="B542" t="s">
        <v>574</v>
      </c>
      <c r="C542" t="s">
        <v>588</v>
      </c>
      <c r="D542" t="s">
        <v>141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45">
      <c r="A543" t="s">
        <v>573</v>
      </c>
      <c r="B543" t="s">
        <v>574</v>
      </c>
      <c r="C543" t="s">
        <v>237</v>
      </c>
      <c r="D543" t="s">
        <v>141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45">
      <c r="A544" t="s">
        <v>573</v>
      </c>
      <c r="B544" t="s">
        <v>574</v>
      </c>
      <c r="C544" t="s">
        <v>549</v>
      </c>
      <c r="D544" t="s">
        <v>141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45">
      <c r="A545" t="s">
        <v>573</v>
      </c>
      <c r="B545" t="s">
        <v>574</v>
      </c>
      <c r="C545" t="s">
        <v>199</v>
      </c>
      <c r="D545" t="s">
        <v>141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45">
      <c r="A546" t="s">
        <v>573</v>
      </c>
      <c r="B546" t="s">
        <v>574</v>
      </c>
      <c r="C546" t="s">
        <v>589</v>
      </c>
      <c r="D546" t="s">
        <v>141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45">
      <c r="A547" t="s">
        <v>573</v>
      </c>
      <c r="B547" t="s">
        <v>574</v>
      </c>
      <c r="C547" t="s">
        <v>201</v>
      </c>
      <c r="D547" t="s">
        <v>141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45">
      <c r="A548" t="s">
        <v>573</v>
      </c>
      <c r="B548" t="s">
        <v>574</v>
      </c>
      <c r="C548" t="s">
        <v>202</v>
      </c>
      <c r="D548" t="s">
        <v>141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45">
      <c r="A549" t="s">
        <v>573</v>
      </c>
      <c r="B549" t="s">
        <v>574</v>
      </c>
      <c r="C549" t="s">
        <v>590</v>
      </c>
      <c r="D549" t="s">
        <v>141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45">
      <c r="A550" t="s">
        <v>573</v>
      </c>
      <c r="B550" t="s">
        <v>574</v>
      </c>
      <c r="C550" t="s">
        <v>451</v>
      </c>
      <c r="D550" t="s">
        <v>141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45">
      <c r="A551" t="s">
        <v>573</v>
      </c>
      <c r="B551" t="s">
        <v>574</v>
      </c>
      <c r="C551" t="s">
        <v>591</v>
      </c>
      <c r="D551" t="s">
        <v>141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45">
      <c r="A552" t="s">
        <v>573</v>
      </c>
      <c r="B552" t="s">
        <v>574</v>
      </c>
      <c r="C552" t="s">
        <v>592</v>
      </c>
      <c r="D552" t="s">
        <v>141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45">
      <c r="A553" t="s">
        <v>573</v>
      </c>
      <c r="B553" t="s">
        <v>574</v>
      </c>
      <c r="C553" t="s">
        <v>455</v>
      </c>
      <c r="D553" t="s">
        <v>141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45">
      <c r="A554" t="s">
        <v>573</v>
      </c>
      <c r="B554" t="s">
        <v>574</v>
      </c>
      <c r="C554" t="s">
        <v>551</v>
      </c>
      <c r="D554" t="s">
        <v>141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45">
      <c r="A555" t="s">
        <v>573</v>
      </c>
      <c r="B555" t="s">
        <v>574</v>
      </c>
      <c r="C555" t="s">
        <v>593</v>
      </c>
      <c r="D555" t="s">
        <v>141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45">
      <c r="A556" t="s">
        <v>573</v>
      </c>
      <c r="B556" t="s">
        <v>574</v>
      </c>
      <c r="C556" t="s">
        <v>457</v>
      </c>
      <c r="D556" t="s">
        <v>141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45">
      <c r="A557" t="s">
        <v>573</v>
      </c>
      <c r="B557" t="s">
        <v>574</v>
      </c>
      <c r="C557" t="s">
        <v>594</v>
      </c>
      <c r="D557" t="s">
        <v>141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45">
      <c r="A558" t="s">
        <v>573</v>
      </c>
      <c r="B558" t="s">
        <v>574</v>
      </c>
      <c r="C558" t="s">
        <v>204</v>
      </c>
      <c r="D558" t="s">
        <v>141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45">
      <c r="A559" t="s">
        <v>573</v>
      </c>
      <c r="B559" t="s">
        <v>574</v>
      </c>
      <c r="C559" t="s">
        <v>205</v>
      </c>
      <c r="D559" t="s">
        <v>141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45">
      <c r="A560" t="s">
        <v>573</v>
      </c>
      <c r="B560" t="s">
        <v>574</v>
      </c>
      <c r="C560" t="s">
        <v>206</v>
      </c>
      <c r="D560" t="s">
        <v>141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45">
      <c r="A561" t="s">
        <v>573</v>
      </c>
      <c r="B561" t="s">
        <v>574</v>
      </c>
      <c r="C561" t="s">
        <v>595</v>
      </c>
      <c r="D561" t="s">
        <v>141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45">
      <c r="A562" t="s">
        <v>573</v>
      </c>
      <c r="B562" t="s">
        <v>574</v>
      </c>
      <c r="C562" t="s">
        <v>596</v>
      </c>
      <c r="D562" t="s">
        <v>141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45">
      <c r="A563" t="s">
        <v>573</v>
      </c>
      <c r="B563" t="s">
        <v>574</v>
      </c>
      <c r="C563" t="s">
        <v>597</v>
      </c>
      <c r="D563" t="s">
        <v>141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45">
      <c r="A564" t="s">
        <v>573</v>
      </c>
      <c r="B564" t="s">
        <v>574</v>
      </c>
      <c r="C564" t="s">
        <v>598</v>
      </c>
      <c r="D564" t="s">
        <v>141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45">
      <c r="A565" t="s">
        <v>573</v>
      </c>
      <c r="B565" t="s">
        <v>574</v>
      </c>
      <c r="C565" t="s">
        <v>599</v>
      </c>
      <c r="D565" t="s">
        <v>141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45">
      <c r="A566" t="s">
        <v>573</v>
      </c>
      <c r="B566" t="s">
        <v>574</v>
      </c>
      <c r="C566" t="s">
        <v>600</v>
      </c>
      <c r="D566" t="s">
        <v>141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45">
      <c r="A567" t="s">
        <v>573</v>
      </c>
      <c r="B567" t="s">
        <v>574</v>
      </c>
      <c r="C567" t="s">
        <v>601</v>
      </c>
      <c r="D567" t="s">
        <v>141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45">
      <c r="A568" t="s">
        <v>573</v>
      </c>
      <c r="B568" t="s">
        <v>574</v>
      </c>
      <c r="C568" t="s">
        <v>602</v>
      </c>
      <c r="D568" t="s">
        <v>141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45">
      <c r="A569" t="s">
        <v>573</v>
      </c>
      <c r="B569" t="s">
        <v>574</v>
      </c>
      <c r="C569" t="s">
        <v>207</v>
      </c>
      <c r="D569" t="s">
        <v>141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45">
      <c r="A570" t="s">
        <v>573</v>
      </c>
      <c r="B570" t="s">
        <v>574</v>
      </c>
      <c r="C570" t="s">
        <v>209</v>
      </c>
      <c r="D570" t="s">
        <v>141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45">
      <c r="A571" t="s">
        <v>573</v>
      </c>
      <c r="B571" t="s">
        <v>574</v>
      </c>
      <c r="C571" t="s">
        <v>603</v>
      </c>
      <c r="D571" t="s">
        <v>141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45">
      <c r="A572" t="s">
        <v>573</v>
      </c>
      <c r="B572" t="s">
        <v>574</v>
      </c>
      <c r="C572" t="s">
        <v>249</v>
      </c>
      <c r="D572" t="s">
        <v>141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45">
      <c r="A573" t="s">
        <v>573</v>
      </c>
      <c r="B573" t="s">
        <v>574</v>
      </c>
      <c r="C573" t="s">
        <v>604</v>
      </c>
      <c r="D573" t="s">
        <v>141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45">
      <c r="A574" t="s">
        <v>573</v>
      </c>
      <c r="B574" t="s">
        <v>574</v>
      </c>
      <c r="C574" t="s">
        <v>605</v>
      </c>
      <c r="D574" t="s">
        <v>141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45">
      <c r="A575" t="s">
        <v>573</v>
      </c>
      <c r="B575" t="s">
        <v>574</v>
      </c>
      <c r="C575" t="s">
        <v>606</v>
      </c>
      <c r="D575" t="s">
        <v>141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45">
      <c r="A576" t="s">
        <v>573</v>
      </c>
      <c r="B576" t="s">
        <v>574</v>
      </c>
      <c r="C576" t="s">
        <v>211</v>
      </c>
      <c r="D576" t="s">
        <v>141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45">
      <c r="A577" t="s">
        <v>573</v>
      </c>
      <c r="B577" t="s">
        <v>574</v>
      </c>
      <c r="C577" t="s">
        <v>251</v>
      </c>
      <c r="D577" t="s">
        <v>141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45">
      <c r="A578" t="s">
        <v>573</v>
      </c>
      <c r="B578" t="s">
        <v>574</v>
      </c>
      <c r="C578" t="s">
        <v>212</v>
      </c>
      <c r="D578" t="s">
        <v>141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45">
      <c r="A579" t="s">
        <v>573</v>
      </c>
      <c r="B579" t="s">
        <v>574</v>
      </c>
      <c r="C579" t="s">
        <v>607</v>
      </c>
      <c r="D579" t="s">
        <v>141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45">
      <c r="A580" t="s">
        <v>573</v>
      </c>
      <c r="B580" t="s">
        <v>574</v>
      </c>
      <c r="C580" t="s">
        <v>608</v>
      </c>
      <c r="D580" t="s">
        <v>141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45">
      <c r="A581" t="s">
        <v>573</v>
      </c>
      <c r="B581" t="s">
        <v>574</v>
      </c>
      <c r="C581" t="s">
        <v>609</v>
      </c>
      <c r="D581" t="s">
        <v>141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45">
      <c r="A582" t="s">
        <v>573</v>
      </c>
      <c r="B582" t="s">
        <v>574</v>
      </c>
      <c r="C582" t="s">
        <v>610</v>
      </c>
      <c r="D582" t="s">
        <v>141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45">
      <c r="A583" t="s">
        <v>573</v>
      </c>
      <c r="B583" t="s">
        <v>574</v>
      </c>
      <c r="C583" t="s">
        <v>611</v>
      </c>
      <c r="D583" t="s">
        <v>141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45">
      <c r="A584" t="s">
        <v>573</v>
      </c>
      <c r="B584" t="s">
        <v>574</v>
      </c>
      <c r="C584" t="s">
        <v>612</v>
      </c>
      <c r="D584" t="s">
        <v>141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45">
      <c r="A585" t="s">
        <v>613</v>
      </c>
      <c r="B585" t="s">
        <v>614</v>
      </c>
      <c r="C585" t="s">
        <v>615</v>
      </c>
      <c r="D585" t="s">
        <v>392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45">
      <c r="A586" t="s">
        <v>613</v>
      </c>
      <c r="B586" t="s">
        <v>614</v>
      </c>
      <c r="C586" t="s">
        <v>219</v>
      </c>
      <c r="D586" t="s">
        <v>137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45">
      <c r="A587" t="s">
        <v>613</v>
      </c>
      <c r="B587" t="s">
        <v>614</v>
      </c>
      <c r="C587" t="s">
        <v>407</v>
      </c>
      <c r="D587" t="s">
        <v>392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45">
      <c r="A588" t="s">
        <v>613</v>
      </c>
      <c r="B588" t="s">
        <v>614</v>
      </c>
      <c r="C588" t="s">
        <v>616</v>
      </c>
      <c r="D588" t="s">
        <v>137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45">
      <c r="A589" t="s">
        <v>613</v>
      </c>
      <c r="B589" t="s">
        <v>614</v>
      </c>
      <c r="C589" t="s">
        <v>617</v>
      </c>
      <c r="D589" t="s">
        <v>141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45">
      <c r="A590" t="s">
        <v>613</v>
      </c>
      <c r="B590" t="s">
        <v>614</v>
      </c>
      <c r="C590" t="s">
        <v>618</v>
      </c>
      <c r="D590" t="s">
        <v>137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45">
      <c r="A591" t="s">
        <v>613</v>
      </c>
      <c r="B591" t="s">
        <v>614</v>
      </c>
      <c r="C591" t="s">
        <v>619</v>
      </c>
      <c r="D591" t="s">
        <v>392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45">
      <c r="A592" t="s">
        <v>620</v>
      </c>
      <c r="B592" t="s">
        <v>621</v>
      </c>
      <c r="C592" t="s">
        <v>622</v>
      </c>
      <c r="D592" t="s">
        <v>110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45">
      <c r="A593" t="s">
        <v>620</v>
      </c>
      <c r="B593" t="s">
        <v>621</v>
      </c>
      <c r="C593" t="s">
        <v>623</v>
      </c>
      <c r="D593" t="s">
        <v>113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45">
      <c r="A594" t="s">
        <v>620</v>
      </c>
      <c r="B594" t="s">
        <v>621</v>
      </c>
      <c r="C594" t="s">
        <v>624</v>
      </c>
      <c r="D594" t="s">
        <v>110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45">
      <c r="A595" t="s">
        <v>620</v>
      </c>
      <c r="B595" t="s">
        <v>621</v>
      </c>
      <c r="C595" t="s">
        <v>184</v>
      </c>
      <c r="D595" t="s">
        <v>110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45">
      <c r="A596" t="s">
        <v>620</v>
      </c>
      <c r="B596" t="s">
        <v>621</v>
      </c>
      <c r="C596" t="s">
        <v>515</v>
      </c>
      <c r="D596" t="s">
        <v>110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45">
      <c r="A597" t="s">
        <v>620</v>
      </c>
      <c r="B597" t="s">
        <v>621</v>
      </c>
      <c r="C597" t="s">
        <v>625</v>
      </c>
      <c r="D597" t="s">
        <v>110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45">
      <c r="A598" t="s">
        <v>620</v>
      </c>
      <c r="B598" t="s">
        <v>621</v>
      </c>
      <c r="C598" t="s">
        <v>583</v>
      </c>
      <c r="D598" t="s">
        <v>110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45">
      <c r="A599" t="s">
        <v>620</v>
      </c>
      <c r="B599" t="s">
        <v>621</v>
      </c>
      <c r="C599" t="s">
        <v>235</v>
      </c>
      <c r="D599" t="s">
        <v>110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45">
      <c r="A600" t="s">
        <v>620</v>
      </c>
      <c r="B600" t="s">
        <v>621</v>
      </c>
      <c r="C600" t="s">
        <v>626</v>
      </c>
      <c r="D600" t="s">
        <v>110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45">
      <c r="A601" t="s">
        <v>620</v>
      </c>
      <c r="B601" t="s">
        <v>621</v>
      </c>
      <c r="C601" t="s">
        <v>627</v>
      </c>
      <c r="D601" t="s">
        <v>110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45">
      <c r="A602" t="s">
        <v>620</v>
      </c>
      <c r="B602" t="s">
        <v>621</v>
      </c>
      <c r="C602" t="s">
        <v>628</v>
      </c>
      <c r="D602" t="s">
        <v>110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45">
      <c r="A603" t="s">
        <v>620</v>
      </c>
      <c r="B603" t="s">
        <v>621</v>
      </c>
      <c r="C603" t="s">
        <v>629</v>
      </c>
      <c r="D603" t="s">
        <v>110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45">
      <c r="A604" t="s">
        <v>620</v>
      </c>
      <c r="B604" t="s">
        <v>621</v>
      </c>
      <c r="C604" t="s">
        <v>630</v>
      </c>
      <c r="D604" t="s">
        <v>110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45">
      <c r="A605" t="s">
        <v>620</v>
      </c>
      <c r="B605" t="s">
        <v>621</v>
      </c>
      <c r="C605" t="s">
        <v>631</v>
      </c>
      <c r="D605" t="s">
        <v>110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45">
      <c r="A606" t="s">
        <v>620</v>
      </c>
      <c r="B606" t="s">
        <v>621</v>
      </c>
      <c r="C606" t="s">
        <v>219</v>
      </c>
      <c r="D606" t="s">
        <v>110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45">
      <c r="A607" t="s">
        <v>620</v>
      </c>
      <c r="B607" t="s">
        <v>621</v>
      </c>
      <c r="C607" t="s">
        <v>632</v>
      </c>
      <c r="D607" t="s">
        <v>110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45">
      <c r="A608" t="s">
        <v>633</v>
      </c>
      <c r="B608" t="s">
        <v>634</v>
      </c>
      <c r="C608" t="s">
        <v>635</v>
      </c>
      <c r="D608" t="s">
        <v>141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45">
      <c r="A609" t="s">
        <v>633</v>
      </c>
      <c r="B609" t="s">
        <v>634</v>
      </c>
      <c r="C609" t="s">
        <v>636</v>
      </c>
      <c r="D609" t="s">
        <v>141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45">
      <c r="A610" t="s">
        <v>633</v>
      </c>
      <c r="B610" t="s">
        <v>634</v>
      </c>
      <c r="C610" t="s">
        <v>637</v>
      </c>
      <c r="D610" t="s">
        <v>141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45">
      <c r="A611" t="s">
        <v>633</v>
      </c>
      <c r="B611" t="s">
        <v>634</v>
      </c>
      <c r="C611" t="s">
        <v>638</v>
      </c>
      <c r="D611" t="s">
        <v>141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45">
      <c r="A612" t="s">
        <v>633</v>
      </c>
      <c r="B612" t="s">
        <v>634</v>
      </c>
      <c r="C612" t="s">
        <v>639</v>
      </c>
      <c r="D612" t="s">
        <v>141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45">
      <c r="A613" t="s">
        <v>633</v>
      </c>
      <c r="B613" t="s">
        <v>634</v>
      </c>
      <c r="C613" t="s">
        <v>640</v>
      </c>
      <c r="D613" t="s">
        <v>141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45">
      <c r="A614" t="s">
        <v>633</v>
      </c>
      <c r="B614" t="s">
        <v>634</v>
      </c>
      <c r="C614" t="s">
        <v>355</v>
      </c>
      <c r="D614" t="s">
        <v>141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45">
      <c r="A615" t="s">
        <v>633</v>
      </c>
      <c r="B615" t="s">
        <v>634</v>
      </c>
      <c r="C615" t="s">
        <v>641</v>
      </c>
      <c r="D615" t="s">
        <v>141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45">
      <c r="A616" t="s">
        <v>633</v>
      </c>
      <c r="B616" t="s">
        <v>634</v>
      </c>
      <c r="C616" t="s">
        <v>642</v>
      </c>
      <c r="D616" t="s">
        <v>141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45">
      <c r="A617" t="s">
        <v>633</v>
      </c>
      <c r="B617" t="s">
        <v>634</v>
      </c>
      <c r="C617" t="s">
        <v>643</v>
      </c>
      <c r="D617" t="s">
        <v>141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45">
      <c r="A618" t="s">
        <v>633</v>
      </c>
      <c r="B618" t="s">
        <v>634</v>
      </c>
      <c r="C618" t="s">
        <v>644</v>
      </c>
      <c r="D618" t="s">
        <v>141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45">
      <c r="A619" t="s">
        <v>633</v>
      </c>
      <c r="B619" t="s">
        <v>634</v>
      </c>
      <c r="C619" t="s">
        <v>645</v>
      </c>
      <c r="D619" t="s">
        <v>110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45">
      <c r="A620" t="s">
        <v>633</v>
      </c>
      <c r="B620" t="s">
        <v>634</v>
      </c>
      <c r="C620" t="s">
        <v>646</v>
      </c>
      <c r="D620" t="s">
        <v>141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45">
      <c r="A621" t="s">
        <v>633</v>
      </c>
      <c r="B621" t="s">
        <v>634</v>
      </c>
      <c r="C621" t="s">
        <v>230</v>
      </c>
      <c r="D621" t="s">
        <v>141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45">
      <c r="A622" t="s">
        <v>633</v>
      </c>
      <c r="B622" t="s">
        <v>634</v>
      </c>
      <c r="C622" t="s">
        <v>329</v>
      </c>
      <c r="D622" t="s">
        <v>141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45">
      <c r="A623" t="s">
        <v>633</v>
      </c>
      <c r="B623" t="s">
        <v>634</v>
      </c>
      <c r="C623" t="s">
        <v>205</v>
      </c>
      <c r="D623" t="s">
        <v>141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45">
      <c r="A624" t="s">
        <v>633</v>
      </c>
      <c r="B624" t="s">
        <v>634</v>
      </c>
      <c r="C624" t="s">
        <v>647</v>
      </c>
      <c r="D624" t="s">
        <v>141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45">
      <c r="A625" t="s">
        <v>633</v>
      </c>
      <c r="B625" t="s">
        <v>634</v>
      </c>
      <c r="C625" t="s">
        <v>648</v>
      </c>
      <c r="D625" t="s">
        <v>141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45">
      <c r="A626" t="s">
        <v>633</v>
      </c>
      <c r="B626" t="s">
        <v>634</v>
      </c>
      <c r="C626" t="s">
        <v>630</v>
      </c>
      <c r="D626" t="s">
        <v>141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45">
      <c r="A627" t="s">
        <v>633</v>
      </c>
      <c r="B627" t="s">
        <v>634</v>
      </c>
      <c r="C627" t="s">
        <v>649</v>
      </c>
      <c r="D627" t="s">
        <v>141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45">
      <c r="A628" t="s">
        <v>633</v>
      </c>
      <c r="B628" t="s">
        <v>634</v>
      </c>
      <c r="C628" t="s">
        <v>650</v>
      </c>
      <c r="D628" t="s">
        <v>141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45">
      <c r="A629" t="s">
        <v>633</v>
      </c>
      <c r="B629" t="s">
        <v>634</v>
      </c>
      <c r="C629" t="s">
        <v>219</v>
      </c>
      <c r="D629" t="s">
        <v>141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45">
      <c r="A630" t="s">
        <v>633</v>
      </c>
      <c r="B630" t="s">
        <v>634</v>
      </c>
      <c r="C630" t="s">
        <v>651</v>
      </c>
      <c r="D630" t="s">
        <v>141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45">
      <c r="A631" t="s">
        <v>633</v>
      </c>
      <c r="B631" t="s">
        <v>634</v>
      </c>
      <c r="C631" t="s">
        <v>652</v>
      </c>
      <c r="D631" t="s">
        <v>141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45">
      <c r="A632" t="s">
        <v>653</v>
      </c>
      <c r="B632" t="s">
        <v>654</v>
      </c>
      <c r="C632" t="s">
        <v>655</v>
      </c>
      <c r="D632" t="s">
        <v>110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45">
      <c r="A633" t="s">
        <v>653</v>
      </c>
      <c r="B633" t="s">
        <v>654</v>
      </c>
      <c r="C633" t="s">
        <v>656</v>
      </c>
      <c r="D633" t="s">
        <v>110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45">
      <c r="A634" t="s">
        <v>653</v>
      </c>
      <c r="B634" t="s">
        <v>654</v>
      </c>
      <c r="C634" t="s">
        <v>657</v>
      </c>
      <c r="D634" t="s">
        <v>110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45">
      <c r="A635" t="s">
        <v>653</v>
      </c>
      <c r="B635" t="s">
        <v>654</v>
      </c>
      <c r="C635" t="s">
        <v>658</v>
      </c>
      <c r="D635" t="s">
        <v>110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45">
      <c r="A636" t="s">
        <v>653</v>
      </c>
      <c r="B636" t="s">
        <v>654</v>
      </c>
      <c r="C636" t="s">
        <v>659</v>
      </c>
      <c r="D636" t="s">
        <v>110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45">
      <c r="A637" t="s">
        <v>653</v>
      </c>
      <c r="B637" t="s">
        <v>654</v>
      </c>
      <c r="C637" t="s">
        <v>184</v>
      </c>
      <c r="D637" t="s">
        <v>110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45">
      <c r="A638" t="s">
        <v>653</v>
      </c>
      <c r="B638" t="s">
        <v>654</v>
      </c>
      <c r="C638" t="s">
        <v>660</v>
      </c>
      <c r="D638" t="s">
        <v>110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45">
      <c r="A639" t="s">
        <v>653</v>
      </c>
      <c r="B639" t="s">
        <v>654</v>
      </c>
      <c r="C639" t="s">
        <v>661</v>
      </c>
      <c r="D639" t="s">
        <v>110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45">
      <c r="A640" t="s">
        <v>653</v>
      </c>
      <c r="B640" t="s">
        <v>654</v>
      </c>
      <c r="C640" t="s">
        <v>322</v>
      </c>
      <c r="D640" t="s">
        <v>110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45">
      <c r="A641" t="s">
        <v>653</v>
      </c>
      <c r="B641" t="s">
        <v>654</v>
      </c>
      <c r="C641" t="s">
        <v>662</v>
      </c>
      <c r="D641" t="s">
        <v>110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45">
      <c r="A642" t="s">
        <v>653</v>
      </c>
      <c r="B642" t="s">
        <v>654</v>
      </c>
      <c r="C642" t="s">
        <v>663</v>
      </c>
      <c r="D642" t="s">
        <v>110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45">
      <c r="A643" t="s">
        <v>653</v>
      </c>
      <c r="B643" t="s">
        <v>654</v>
      </c>
      <c r="C643" t="s">
        <v>664</v>
      </c>
      <c r="D643" t="s">
        <v>110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45">
      <c r="A644" t="s">
        <v>653</v>
      </c>
      <c r="B644" t="s">
        <v>654</v>
      </c>
      <c r="C644" t="s">
        <v>665</v>
      </c>
      <c r="D644" t="s">
        <v>110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45">
      <c r="A645" t="s">
        <v>653</v>
      </c>
      <c r="B645" t="s">
        <v>654</v>
      </c>
      <c r="C645" t="s">
        <v>652</v>
      </c>
      <c r="D645" t="s">
        <v>110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45">
      <c r="A646" t="s">
        <v>666</v>
      </c>
      <c r="B646" t="s">
        <v>667</v>
      </c>
      <c r="C646" t="s">
        <v>668</v>
      </c>
      <c r="D646" t="s">
        <v>110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45">
      <c r="A647" t="s">
        <v>666</v>
      </c>
      <c r="B647" t="s">
        <v>667</v>
      </c>
      <c r="C647" t="s">
        <v>669</v>
      </c>
      <c r="D647" t="s">
        <v>110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45">
      <c r="A648" t="s">
        <v>666</v>
      </c>
      <c r="B648" t="s">
        <v>667</v>
      </c>
      <c r="C648" t="s">
        <v>670</v>
      </c>
      <c r="D648" t="s">
        <v>110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45">
      <c r="A649" t="s">
        <v>666</v>
      </c>
      <c r="B649" t="s">
        <v>667</v>
      </c>
      <c r="C649" t="s">
        <v>671</v>
      </c>
      <c r="D649" t="s">
        <v>110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45">
      <c r="A650" t="s">
        <v>666</v>
      </c>
      <c r="B650" t="s">
        <v>667</v>
      </c>
      <c r="C650" t="s">
        <v>562</v>
      </c>
      <c r="D650" t="s">
        <v>110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45">
      <c r="A651" t="s">
        <v>666</v>
      </c>
      <c r="B651" t="s">
        <v>667</v>
      </c>
      <c r="C651" t="s">
        <v>672</v>
      </c>
      <c r="D651" t="s">
        <v>110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45">
      <c r="A652" t="s">
        <v>666</v>
      </c>
      <c r="B652" t="s">
        <v>667</v>
      </c>
      <c r="C652" t="s">
        <v>673</v>
      </c>
      <c r="D652" t="s">
        <v>110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45">
      <c r="A653" t="s">
        <v>666</v>
      </c>
      <c r="B653" t="s">
        <v>667</v>
      </c>
      <c r="C653" t="s">
        <v>674</v>
      </c>
      <c r="D653" t="s">
        <v>110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45">
      <c r="A654" t="s">
        <v>666</v>
      </c>
      <c r="B654" t="s">
        <v>667</v>
      </c>
      <c r="C654" t="s">
        <v>675</v>
      </c>
      <c r="D654" t="s">
        <v>110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45">
      <c r="A655" t="s">
        <v>666</v>
      </c>
      <c r="B655" t="s">
        <v>667</v>
      </c>
      <c r="C655" t="s">
        <v>676</v>
      </c>
      <c r="D655" t="s">
        <v>113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45">
      <c r="A656" t="s">
        <v>666</v>
      </c>
      <c r="B656" t="s">
        <v>667</v>
      </c>
      <c r="C656" t="s">
        <v>677</v>
      </c>
      <c r="D656" t="s">
        <v>110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45">
      <c r="A657" t="s">
        <v>666</v>
      </c>
      <c r="B657" t="s">
        <v>667</v>
      </c>
      <c r="C657" t="s">
        <v>213</v>
      </c>
      <c r="D657" t="s">
        <v>110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45">
      <c r="A658" t="s">
        <v>666</v>
      </c>
      <c r="B658" t="s">
        <v>667</v>
      </c>
      <c r="C658" t="s">
        <v>678</v>
      </c>
      <c r="D658" t="s">
        <v>110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45">
      <c r="A659" t="s">
        <v>666</v>
      </c>
      <c r="B659" t="s">
        <v>667</v>
      </c>
      <c r="C659" t="s">
        <v>679</v>
      </c>
      <c r="D659" t="s">
        <v>110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45">
      <c r="A660" t="s">
        <v>666</v>
      </c>
      <c r="B660" t="s">
        <v>667</v>
      </c>
      <c r="C660" t="s">
        <v>259</v>
      </c>
      <c r="D660" t="s">
        <v>110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45">
      <c r="A661" t="s">
        <v>666</v>
      </c>
      <c r="B661" t="s">
        <v>667</v>
      </c>
      <c r="C661" t="s">
        <v>680</v>
      </c>
      <c r="D661" t="s">
        <v>110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45">
      <c r="A662" t="s">
        <v>666</v>
      </c>
      <c r="B662" t="s">
        <v>667</v>
      </c>
      <c r="C662" t="s">
        <v>406</v>
      </c>
      <c r="D662" t="s">
        <v>110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45">
      <c r="A663" t="s">
        <v>666</v>
      </c>
      <c r="B663" t="s">
        <v>667</v>
      </c>
      <c r="C663" t="s">
        <v>681</v>
      </c>
      <c r="D663" t="s">
        <v>110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45">
      <c r="A664" t="s">
        <v>682</v>
      </c>
      <c r="B664" t="s">
        <v>683</v>
      </c>
      <c r="C664" t="s">
        <v>684</v>
      </c>
      <c r="D664" t="s">
        <v>113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45">
      <c r="A665" t="s">
        <v>682</v>
      </c>
      <c r="B665" t="s">
        <v>683</v>
      </c>
      <c r="C665" t="s">
        <v>685</v>
      </c>
      <c r="D665" t="s">
        <v>110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45">
      <c r="A666" t="s">
        <v>682</v>
      </c>
      <c r="B666" t="s">
        <v>683</v>
      </c>
      <c r="C666" t="s">
        <v>686</v>
      </c>
      <c r="D666" t="s">
        <v>113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45">
      <c r="A667" t="s">
        <v>682</v>
      </c>
      <c r="B667" t="s">
        <v>683</v>
      </c>
      <c r="C667" t="s">
        <v>687</v>
      </c>
      <c r="D667" t="s">
        <v>113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45">
      <c r="A668" t="s">
        <v>682</v>
      </c>
      <c r="B668" t="s">
        <v>683</v>
      </c>
      <c r="C668" t="s">
        <v>481</v>
      </c>
      <c r="D668" t="s">
        <v>110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45">
      <c r="A669" t="s">
        <v>682</v>
      </c>
      <c r="B669" t="s">
        <v>683</v>
      </c>
      <c r="C669" t="s">
        <v>688</v>
      </c>
      <c r="D669" t="s">
        <v>110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45">
      <c r="A670" t="s">
        <v>682</v>
      </c>
      <c r="B670" t="s">
        <v>683</v>
      </c>
      <c r="C670" t="s">
        <v>689</v>
      </c>
      <c r="D670" t="s">
        <v>110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45">
      <c r="A671" t="s">
        <v>682</v>
      </c>
      <c r="B671" t="s">
        <v>683</v>
      </c>
      <c r="C671" t="s">
        <v>484</v>
      </c>
      <c r="D671" t="s">
        <v>110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45">
      <c r="A672" t="s">
        <v>682</v>
      </c>
      <c r="B672" t="s">
        <v>683</v>
      </c>
      <c r="C672" t="s">
        <v>690</v>
      </c>
      <c r="D672" t="s">
        <v>113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45">
      <c r="A673" t="s">
        <v>682</v>
      </c>
      <c r="B673" t="s">
        <v>683</v>
      </c>
      <c r="C673" t="s">
        <v>691</v>
      </c>
      <c r="D673" t="s">
        <v>110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45">
      <c r="A674" t="s">
        <v>682</v>
      </c>
      <c r="B674" t="s">
        <v>683</v>
      </c>
      <c r="C674" t="s">
        <v>485</v>
      </c>
      <c r="D674" t="s">
        <v>113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45">
      <c r="A675" t="s">
        <v>682</v>
      </c>
      <c r="B675" t="s">
        <v>683</v>
      </c>
      <c r="C675" t="s">
        <v>692</v>
      </c>
      <c r="D675" t="s">
        <v>110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45">
      <c r="A676" t="s">
        <v>682</v>
      </c>
      <c r="B676" t="s">
        <v>683</v>
      </c>
      <c r="C676" t="s">
        <v>693</v>
      </c>
      <c r="D676" t="s">
        <v>110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45">
      <c r="A677" t="s">
        <v>682</v>
      </c>
      <c r="B677" t="s">
        <v>683</v>
      </c>
      <c r="C677" t="s">
        <v>166</v>
      </c>
      <c r="D677" t="s">
        <v>113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45">
      <c r="A678" t="s">
        <v>682</v>
      </c>
      <c r="B678" t="s">
        <v>683</v>
      </c>
      <c r="C678" t="s">
        <v>438</v>
      </c>
      <c r="D678" t="s">
        <v>113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45">
      <c r="A679" t="s">
        <v>682</v>
      </c>
      <c r="B679" t="s">
        <v>683</v>
      </c>
      <c r="C679" t="s">
        <v>366</v>
      </c>
      <c r="D679" t="s">
        <v>113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45">
      <c r="A680" t="s">
        <v>682</v>
      </c>
      <c r="B680" t="s">
        <v>683</v>
      </c>
      <c r="C680" t="s">
        <v>694</v>
      </c>
      <c r="D680" t="s">
        <v>110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45">
      <c r="A681" t="s">
        <v>682</v>
      </c>
      <c r="B681" t="s">
        <v>683</v>
      </c>
      <c r="C681" t="s">
        <v>695</v>
      </c>
      <c r="D681" t="s">
        <v>113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45">
      <c r="A682" t="s">
        <v>682</v>
      </c>
      <c r="B682" t="s">
        <v>683</v>
      </c>
      <c r="C682" t="s">
        <v>696</v>
      </c>
      <c r="D682" t="s">
        <v>110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45">
      <c r="A683" t="s">
        <v>682</v>
      </c>
      <c r="B683" t="s">
        <v>683</v>
      </c>
      <c r="C683" t="s">
        <v>373</v>
      </c>
      <c r="D683" t="s">
        <v>110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45">
      <c r="A684" t="s">
        <v>682</v>
      </c>
      <c r="B684" t="s">
        <v>683</v>
      </c>
      <c r="C684" t="s">
        <v>278</v>
      </c>
      <c r="D684" t="s">
        <v>110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45">
      <c r="A685" t="s">
        <v>682</v>
      </c>
      <c r="B685" t="s">
        <v>683</v>
      </c>
      <c r="C685" t="s">
        <v>697</v>
      </c>
      <c r="D685" t="s">
        <v>110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45">
      <c r="A686" t="s">
        <v>682</v>
      </c>
      <c r="B686" t="s">
        <v>683</v>
      </c>
      <c r="C686" t="s">
        <v>698</v>
      </c>
      <c r="D686" t="s">
        <v>110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45">
      <c r="A687" t="s">
        <v>682</v>
      </c>
      <c r="B687" t="s">
        <v>683</v>
      </c>
      <c r="C687" t="s">
        <v>699</v>
      </c>
      <c r="D687" t="s">
        <v>110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45">
      <c r="A688" t="s">
        <v>682</v>
      </c>
      <c r="B688" t="s">
        <v>683</v>
      </c>
      <c r="C688" t="s">
        <v>700</v>
      </c>
      <c r="D688" t="s">
        <v>110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45">
      <c r="A689" t="s">
        <v>682</v>
      </c>
      <c r="B689" t="s">
        <v>683</v>
      </c>
      <c r="C689" t="s">
        <v>227</v>
      </c>
      <c r="D689" t="s">
        <v>113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45">
      <c r="A690" t="s">
        <v>682</v>
      </c>
      <c r="B690" t="s">
        <v>683</v>
      </c>
      <c r="C690" t="s">
        <v>701</v>
      </c>
      <c r="D690" t="s">
        <v>110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45">
      <c r="A691" t="s">
        <v>682</v>
      </c>
      <c r="B691" t="s">
        <v>683</v>
      </c>
      <c r="C691" t="s">
        <v>189</v>
      </c>
      <c r="D691" t="s">
        <v>110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45">
      <c r="A692" t="s">
        <v>682</v>
      </c>
      <c r="B692" t="s">
        <v>683</v>
      </c>
      <c r="C692" t="s">
        <v>702</v>
      </c>
      <c r="D692" t="s">
        <v>113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45">
      <c r="A693" t="s">
        <v>682</v>
      </c>
      <c r="B693" t="s">
        <v>683</v>
      </c>
      <c r="C693" t="s">
        <v>703</v>
      </c>
      <c r="D693" t="s">
        <v>110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45">
      <c r="A694" t="s">
        <v>682</v>
      </c>
      <c r="B694" t="s">
        <v>683</v>
      </c>
      <c r="C694" t="s">
        <v>704</v>
      </c>
      <c r="D694" t="s">
        <v>113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45">
      <c r="A695" t="s">
        <v>682</v>
      </c>
      <c r="B695" t="s">
        <v>683</v>
      </c>
      <c r="C695" t="s">
        <v>190</v>
      </c>
      <c r="D695" t="s">
        <v>110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45">
      <c r="A696" t="s">
        <v>682</v>
      </c>
      <c r="B696" t="s">
        <v>683</v>
      </c>
      <c r="C696" t="s">
        <v>705</v>
      </c>
      <c r="D696" t="s">
        <v>113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45">
      <c r="A697" t="s">
        <v>682</v>
      </c>
      <c r="B697" t="s">
        <v>683</v>
      </c>
      <c r="C697" t="s">
        <v>706</v>
      </c>
      <c r="D697" t="s">
        <v>110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45">
      <c r="A698" t="s">
        <v>682</v>
      </c>
      <c r="B698" t="s">
        <v>683</v>
      </c>
      <c r="C698" t="s">
        <v>707</v>
      </c>
      <c r="D698" t="s">
        <v>113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45">
      <c r="A699" t="s">
        <v>682</v>
      </c>
      <c r="B699" t="s">
        <v>683</v>
      </c>
      <c r="C699" t="s">
        <v>708</v>
      </c>
      <c r="D699" t="s">
        <v>113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45">
      <c r="A700" t="s">
        <v>682</v>
      </c>
      <c r="B700" t="s">
        <v>683</v>
      </c>
      <c r="C700" t="s">
        <v>709</v>
      </c>
      <c r="D700" t="s">
        <v>110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45">
      <c r="A701" t="s">
        <v>682</v>
      </c>
      <c r="B701" t="s">
        <v>683</v>
      </c>
      <c r="C701" t="s">
        <v>292</v>
      </c>
      <c r="D701" t="s">
        <v>113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45">
      <c r="A702" t="s">
        <v>682</v>
      </c>
      <c r="B702" t="s">
        <v>683</v>
      </c>
      <c r="C702" t="s">
        <v>710</v>
      </c>
      <c r="D702" t="s">
        <v>113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45">
      <c r="A703" t="s">
        <v>682</v>
      </c>
      <c r="B703" t="s">
        <v>683</v>
      </c>
      <c r="C703" t="s">
        <v>711</v>
      </c>
      <c r="D703" t="s">
        <v>110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45">
      <c r="A704" t="s">
        <v>682</v>
      </c>
      <c r="B704" t="s">
        <v>683</v>
      </c>
      <c r="C704" t="s">
        <v>235</v>
      </c>
      <c r="D704" t="s">
        <v>110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45">
      <c r="A705" t="s">
        <v>682</v>
      </c>
      <c r="B705" t="s">
        <v>683</v>
      </c>
      <c r="C705" t="s">
        <v>549</v>
      </c>
      <c r="D705" t="s">
        <v>110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45">
      <c r="A706" t="s">
        <v>682</v>
      </c>
      <c r="B706" t="s">
        <v>683</v>
      </c>
      <c r="C706" t="s">
        <v>712</v>
      </c>
      <c r="D706" t="s">
        <v>113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45">
      <c r="A707" t="s">
        <v>682</v>
      </c>
      <c r="B707" t="s">
        <v>683</v>
      </c>
      <c r="C707" t="s">
        <v>202</v>
      </c>
      <c r="D707" t="s">
        <v>113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45">
      <c r="A708" t="s">
        <v>682</v>
      </c>
      <c r="B708" t="s">
        <v>683</v>
      </c>
      <c r="C708" t="s">
        <v>590</v>
      </c>
      <c r="D708" t="s">
        <v>110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45">
      <c r="A709" t="s">
        <v>682</v>
      </c>
      <c r="B709" t="s">
        <v>683</v>
      </c>
      <c r="C709" t="s">
        <v>713</v>
      </c>
      <c r="D709" t="s">
        <v>110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45">
      <c r="A710" t="s">
        <v>682</v>
      </c>
      <c r="B710" t="s">
        <v>683</v>
      </c>
      <c r="C710" t="s">
        <v>714</v>
      </c>
      <c r="D710" t="s">
        <v>110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45">
      <c r="A711" t="s">
        <v>682</v>
      </c>
      <c r="B711" t="s">
        <v>683</v>
      </c>
      <c r="C711" t="s">
        <v>715</v>
      </c>
      <c r="D711" t="s">
        <v>113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45">
      <c r="A712" t="s">
        <v>682</v>
      </c>
      <c r="B712" t="s">
        <v>683</v>
      </c>
      <c r="C712" t="s">
        <v>716</v>
      </c>
      <c r="D712" t="s">
        <v>110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45">
      <c r="A713" t="s">
        <v>682</v>
      </c>
      <c r="B713" t="s">
        <v>683</v>
      </c>
      <c r="C713" t="s">
        <v>717</v>
      </c>
      <c r="D713" t="s">
        <v>110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45">
      <c r="A714" t="s">
        <v>682</v>
      </c>
      <c r="B714" t="s">
        <v>683</v>
      </c>
      <c r="C714" t="s">
        <v>718</v>
      </c>
      <c r="D714" t="s">
        <v>110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45">
      <c r="A715" t="s">
        <v>719</v>
      </c>
      <c r="B715" t="s">
        <v>240</v>
      </c>
      <c r="C715" t="s">
        <v>190</v>
      </c>
      <c r="D715" t="s">
        <v>141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45">
      <c r="A716" t="s">
        <v>719</v>
      </c>
      <c r="B716" t="s">
        <v>240</v>
      </c>
      <c r="C716" t="s">
        <v>520</v>
      </c>
      <c r="D716" t="s">
        <v>141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45">
      <c r="A717" t="s">
        <v>719</v>
      </c>
      <c r="B717" t="s">
        <v>240</v>
      </c>
      <c r="C717" t="s">
        <v>191</v>
      </c>
      <c r="D717" t="s">
        <v>137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45">
      <c r="A718" t="s">
        <v>719</v>
      </c>
      <c r="B718" t="s">
        <v>240</v>
      </c>
      <c r="C718" t="s">
        <v>720</v>
      </c>
      <c r="D718" t="s">
        <v>137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45">
      <c r="A719" t="s">
        <v>719</v>
      </c>
      <c r="B719" t="s">
        <v>240</v>
      </c>
      <c r="C719" t="s">
        <v>521</v>
      </c>
      <c r="D719" t="s">
        <v>137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45">
      <c r="A720" t="s">
        <v>719</v>
      </c>
      <c r="B720" t="s">
        <v>240</v>
      </c>
      <c r="C720" t="s">
        <v>721</v>
      </c>
      <c r="D720" t="s">
        <v>141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45">
      <c r="A721" t="s">
        <v>719</v>
      </c>
      <c r="B721" t="s">
        <v>240</v>
      </c>
      <c r="C721" t="s">
        <v>234</v>
      </c>
      <c r="D721" t="s">
        <v>141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45">
      <c r="A722" t="s">
        <v>719</v>
      </c>
      <c r="B722" t="s">
        <v>240</v>
      </c>
      <c r="C722" t="s">
        <v>192</v>
      </c>
      <c r="D722" t="s">
        <v>137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45">
      <c r="A723" t="s">
        <v>719</v>
      </c>
      <c r="B723" t="s">
        <v>240</v>
      </c>
      <c r="C723" t="s">
        <v>193</v>
      </c>
      <c r="D723" t="s">
        <v>141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45">
      <c r="A724" t="s">
        <v>719</v>
      </c>
      <c r="B724" t="s">
        <v>240</v>
      </c>
      <c r="C724" t="s">
        <v>194</v>
      </c>
      <c r="D724" t="s">
        <v>137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45">
      <c r="A725" t="s">
        <v>719</v>
      </c>
      <c r="B725" t="s">
        <v>240</v>
      </c>
      <c r="C725" t="s">
        <v>722</v>
      </c>
      <c r="D725" t="s">
        <v>141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45">
      <c r="A726" t="s">
        <v>719</v>
      </c>
      <c r="B726" t="s">
        <v>240</v>
      </c>
      <c r="C726" t="s">
        <v>195</v>
      </c>
      <c r="D726" t="s">
        <v>141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45">
      <c r="A727" t="s">
        <v>719</v>
      </c>
      <c r="B727" t="s">
        <v>240</v>
      </c>
      <c r="C727" t="s">
        <v>723</v>
      </c>
      <c r="D727" t="s">
        <v>141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45">
      <c r="A728" t="s">
        <v>719</v>
      </c>
      <c r="B728" t="s">
        <v>240</v>
      </c>
      <c r="C728" t="s">
        <v>235</v>
      </c>
      <c r="D728" t="s">
        <v>137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45">
      <c r="A729" t="s">
        <v>719</v>
      </c>
      <c r="B729" t="s">
        <v>240</v>
      </c>
      <c r="C729" t="s">
        <v>197</v>
      </c>
      <c r="D729" t="s">
        <v>141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45">
      <c r="A730" t="s">
        <v>719</v>
      </c>
      <c r="B730" t="s">
        <v>240</v>
      </c>
      <c r="C730" t="s">
        <v>199</v>
      </c>
      <c r="D730" t="s">
        <v>141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45">
      <c r="A731" t="s">
        <v>719</v>
      </c>
      <c r="B731" t="s">
        <v>240</v>
      </c>
      <c r="C731" t="s">
        <v>201</v>
      </c>
      <c r="D731" t="s">
        <v>137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45">
      <c r="A732" t="s">
        <v>719</v>
      </c>
      <c r="B732" t="s">
        <v>240</v>
      </c>
      <c r="C732" t="s">
        <v>202</v>
      </c>
      <c r="D732" t="s">
        <v>141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45">
      <c r="A733" t="s">
        <v>719</v>
      </c>
      <c r="B733" t="s">
        <v>240</v>
      </c>
      <c r="C733" t="s">
        <v>204</v>
      </c>
      <c r="D733" t="s">
        <v>141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45">
      <c r="A734" t="s">
        <v>719</v>
      </c>
      <c r="B734" t="s">
        <v>240</v>
      </c>
      <c r="C734" t="s">
        <v>205</v>
      </c>
      <c r="D734" t="s">
        <v>141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45">
      <c r="A735" t="s">
        <v>719</v>
      </c>
      <c r="B735" t="s">
        <v>240</v>
      </c>
      <c r="C735" t="s">
        <v>724</v>
      </c>
      <c r="D735" t="s">
        <v>141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45">
      <c r="A736" t="s">
        <v>719</v>
      </c>
      <c r="B736" t="s">
        <v>240</v>
      </c>
      <c r="C736" t="s">
        <v>242</v>
      </c>
      <c r="D736" t="s">
        <v>141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45">
      <c r="A737" t="s">
        <v>719</v>
      </c>
      <c r="B737" t="s">
        <v>240</v>
      </c>
      <c r="C737" t="s">
        <v>725</v>
      </c>
      <c r="D737" t="s">
        <v>141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45">
      <c r="A738" t="s">
        <v>719</v>
      </c>
      <c r="B738" t="s">
        <v>240</v>
      </c>
      <c r="C738" t="s">
        <v>726</v>
      </c>
      <c r="D738" t="s">
        <v>141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45">
      <c r="A739" t="s">
        <v>719</v>
      </c>
      <c r="B739" t="s">
        <v>240</v>
      </c>
      <c r="C739" t="s">
        <v>727</v>
      </c>
      <c r="D739" t="s">
        <v>141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45">
      <c r="A740" t="s">
        <v>719</v>
      </c>
      <c r="B740" t="s">
        <v>240</v>
      </c>
      <c r="C740" t="s">
        <v>728</v>
      </c>
      <c r="D740" t="s">
        <v>141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45">
      <c r="A741" t="s">
        <v>719</v>
      </c>
      <c r="B741" t="s">
        <v>240</v>
      </c>
      <c r="C741" t="s">
        <v>207</v>
      </c>
      <c r="D741" t="s">
        <v>137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45">
      <c r="A742" t="s">
        <v>719</v>
      </c>
      <c r="B742" t="s">
        <v>240</v>
      </c>
      <c r="C742" t="s">
        <v>209</v>
      </c>
      <c r="D742" t="s">
        <v>137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45">
      <c r="A743" t="s">
        <v>719</v>
      </c>
      <c r="B743" t="s">
        <v>240</v>
      </c>
      <c r="C743" t="s">
        <v>729</v>
      </c>
      <c r="D743" t="s">
        <v>141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45">
      <c r="A744" t="s">
        <v>719</v>
      </c>
      <c r="B744" t="s">
        <v>240</v>
      </c>
      <c r="C744" t="s">
        <v>730</v>
      </c>
      <c r="D744" t="s">
        <v>141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45">
      <c r="A745" t="s">
        <v>719</v>
      </c>
      <c r="B745" t="s">
        <v>240</v>
      </c>
      <c r="C745" t="s">
        <v>731</v>
      </c>
      <c r="D745" t="s">
        <v>141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45">
      <c r="A746" t="s">
        <v>719</v>
      </c>
      <c r="B746" t="s">
        <v>240</v>
      </c>
      <c r="C746" t="s">
        <v>732</v>
      </c>
      <c r="D746" t="s">
        <v>137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45">
      <c r="A747" t="s">
        <v>719</v>
      </c>
      <c r="B747" t="s">
        <v>240</v>
      </c>
      <c r="C747" t="s">
        <v>251</v>
      </c>
      <c r="D747" t="s">
        <v>141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45">
      <c r="A748" t="s">
        <v>719</v>
      </c>
      <c r="B748" t="s">
        <v>240</v>
      </c>
      <c r="C748" t="s">
        <v>733</v>
      </c>
      <c r="D748" t="s">
        <v>141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45">
      <c r="A749" t="s">
        <v>719</v>
      </c>
      <c r="B749" t="s">
        <v>240</v>
      </c>
      <c r="C749" t="s">
        <v>607</v>
      </c>
      <c r="D749" t="s">
        <v>137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45">
      <c r="A750" t="s">
        <v>719</v>
      </c>
      <c r="B750" t="s">
        <v>240</v>
      </c>
      <c r="C750" t="s">
        <v>734</v>
      </c>
      <c r="D750" t="s">
        <v>137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45">
      <c r="A751" t="s">
        <v>719</v>
      </c>
      <c r="B751" t="s">
        <v>240</v>
      </c>
      <c r="C751" t="s">
        <v>257</v>
      </c>
      <c r="D751" t="s">
        <v>141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45">
      <c r="A752" t="s">
        <v>719</v>
      </c>
      <c r="B752" t="s">
        <v>240</v>
      </c>
      <c r="C752" t="s">
        <v>735</v>
      </c>
      <c r="D752" t="s">
        <v>141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45">
      <c r="A753" t="s">
        <v>719</v>
      </c>
      <c r="B753" t="s">
        <v>240</v>
      </c>
      <c r="C753" t="s">
        <v>736</v>
      </c>
      <c r="D753" t="s">
        <v>141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45">
      <c r="A754" t="s">
        <v>719</v>
      </c>
      <c r="B754" t="s">
        <v>240</v>
      </c>
      <c r="C754" t="s">
        <v>737</v>
      </c>
      <c r="D754" t="s">
        <v>141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45">
      <c r="A755" t="s">
        <v>719</v>
      </c>
      <c r="B755" t="s">
        <v>240</v>
      </c>
      <c r="C755" t="s">
        <v>738</v>
      </c>
      <c r="D755" t="s">
        <v>141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45">
      <c r="A756" t="s">
        <v>719</v>
      </c>
      <c r="B756" t="s">
        <v>240</v>
      </c>
      <c r="C756" t="s">
        <v>739</v>
      </c>
      <c r="D756" t="s">
        <v>141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45">
      <c r="A757" t="s">
        <v>719</v>
      </c>
      <c r="B757" t="s">
        <v>240</v>
      </c>
      <c r="C757" t="s">
        <v>740</v>
      </c>
      <c r="D757" t="s">
        <v>141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45">
      <c r="A758" t="s">
        <v>719</v>
      </c>
      <c r="B758" t="s">
        <v>240</v>
      </c>
      <c r="C758" t="s">
        <v>258</v>
      </c>
      <c r="D758" t="s">
        <v>141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45">
      <c r="A759" t="s">
        <v>719</v>
      </c>
      <c r="B759" t="s">
        <v>240</v>
      </c>
      <c r="C759" t="s">
        <v>741</v>
      </c>
      <c r="D759" t="s">
        <v>137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45">
      <c r="A760" t="s">
        <v>719</v>
      </c>
      <c r="B760" t="s">
        <v>240</v>
      </c>
      <c r="C760" t="s">
        <v>405</v>
      </c>
      <c r="D760" t="s">
        <v>137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45">
      <c r="A761" t="s">
        <v>719</v>
      </c>
      <c r="B761" t="s">
        <v>240</v>
      </c>
      <c r="C761" t="s">
        <v>219</v>
      </c>
      <c r="D761" t="s">
        <v>141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45">
      <c r="A762" t="s">
        <v>719</v>
      </c>
      <c r="B762" t="s">
        <v>240</v>
      </c>
      <c r="C762" t="s">
        <v>406</v>
      </c>
      <c r="D762" t="s">
        <v>137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45">
      <c r="A763" t="s">
        <v>719</v>
      </c>
      <c r="B763" t="s">
        <v>240</v>
      </c>
      <c r="C763" t="s">
        <v>407</v>
      </c>
      <c r="D763" t="s">
        <v>141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45">
      <c r="A764" t="s">
        <v>719</v>
      </c>
      <c r="B764" t="s">
        <v>240</v>
      </c>
      <c r="C764" t="s">
        <v>412</v>
      </c>
      <c r="D764" t="s">
        <v>137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45">
      <c r="A765" t="s">
        <v>719</v>
      </c>
      <c r="B765" t="s">
        <v>240</v>
      </c>
      <c r="C765" t="s">
        <v>742</v>
      </c>
      <c r="D765" t="s">
        <v>141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45">
      <c r="A766" t="s">
        <v>719</v>
      </c>
      <c r="B766" t="s">
        <v>240</v>
      </c>
      <c r="C766" t="s">
        <v>743</v>
      </c>
      <c r="D766" t="s">
        <v>141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45">
      <c r="A767" t="s">
        <v>719</v>
      </c>
      <c r="B767" t="s">
        <v>240</v>
      </c>
      <c r="C767" t="s">
        <v>744</v>
      </c>
      <c r="D767" t="s">
        <v>141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45">
      <c r="A768" t="s">
        <v>745</v>
      </c>
      <c r="B768" t="s">
        <v>746</v>
      </c>
      <c r="C768" t="s">
        <v>496</v>
      </c>
      <c r="D768" t="s">
        <v>110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45">
      <c r="A769" t="s">
        <v>745</v>
      </c>
      <c r="B769" t="s">
        <v>746</v>
      </c>
      <c r="C769" t="s">
        <v>747</v>
      </c>
      <c r="D769" t="s">
        <v>110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45">
      <c r="A770" t="s">
        <v>745</v>
      </c>
      <c r="B770" t="s">
        <v>746</v>
      </c>
      <c r="C770" t="s">
        <v>748</v>
      </c>
      <c r="D770" t="s">
        <v>110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45">
      <c r="A771" t="s">
        <v>745</v>
      </c>
      <c r="B771" t="s">
        <v>746</v>
      </c>
      <c r="C771" t="s">
        <v>749</v>
      </c>
      <c r="D771" t="s">
        <v>141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45">
      <c r="A772" t="s">
        <v>745</v>
      </c>
      <c r="B772" t="s">
        <v>746</v>
      </c>
      <c r="C772" t="s">
        <v>750</v>
      </c>
      <c r="D772" t="s">
        <v>141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45">
      <c r="A773" t="s">
        <v>745</v>
      </c>
      <c r="B773" t="s">
        <v>746</v>
      </c>
      <c r="C773" t="s">
        <v>751</v>
      </c>
      <c r="D773" t="s">
        <v>141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45">
      <c r="A774" t="s">
        <v>745</v>
      </c>
      <c r="B774" t="s">
        <v>746</v>
      </c>
      <c r="C774" t="s">
        <v>752</v>
      </c>
      <c r="D774" t="s">
        <v>141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45">
      <c r="A775" t="s">
        <v>745</v>
      </c>
      <c r="B775" t="s">
        <v>746</v>
      </c>
      <c r="C775" t="s">
        <v>481</v>
      </c>
      <c r="D775" t="s">
        <v>141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45">
      <c r="A776" t="s">
        <v>745</v>
      </c>
      <c r="B776" t="s">
        <v>746</v>
      </c>
      <c r="C776" t="s">
        <v>753</v>
      </c>
      <c r="D776" t="s">
        <v>141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45">
      <c r="A777" t="s">
        <v>745</v>
      </c>
      <c r="B777" t="s">
        <v>746</v>
      </c>
      <c r="C777" t="s">
        <v>483</v>
      </c>
      <c r="D777" t="s">
        <v>141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45">
      <c r="A778" t="s">
        <v>745</v>
      </c>
      <c r="B778" t="s">
        <v>746</v>
      </c>
      <c r="C778" t="s">
        <v>502</v>
      </c>
      <c r="D778" t="s">
        <v>110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45">
      <c r="A779" t="s">
        <v>745</v>
      </c>
      <c r="B779" t="s">
        <v>746</v>
      </c>
      <c r="C779" t="s">
        <v>154</v>
      </c>
      <c r="D779" t="s">
        <v>141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45">
      <c r="A780" t="s">
        <v>745</v>
      </c>
      <c r="B780" t="s">
        <v>746</v>
      </c>
      <c r="C780" t="s">
        <v>754</v>
      </c>
      <c r="D780" t="s">
        <v>141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45">
      <c r="A781" t="s">
        <v>745</v>
      </c>
      <c r="B781" t="s">
        <v>746</v>
      </c>
      <c r="C781" t="s">
        <v>207</v>
      </c>
      <c r="D781" t="s">
        <v>141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45">
      <c r="A782" t="s">
        <v>745</v>
      </c>
      <c r="B782" t="s">
        <v>746</v>
      </c>
      <c r="C782" t="s">
        <v>755</v>
      </c>
      <c r="D782" t="s">
        <v>141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45">
      <c r="A783" t="s">
        <v>745</v>
      </c>
      <c r="B783" t="s">
        <v>746</v>
      </c>
      <c r="C783" t="s">
        <v>756</v>
      </c>
      <c r="D783" t="s">
        <v>141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45">
      <c r="A784" t="s">
        <v>745</v>
      </c>
      <c r="B784" t="s">
        <v>746</v>
      </c>
      <c r="C784" t="s">
        <v>209</v>
      </c>
      <c r="D784" t="s">
        <v>110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45">
      <c r="A785" t="s">
        <v>745</v>
      </c>
      <c r="B785" t="s">
        <v>746</v>
      </c>
      <c r="C785" t="s">
        <v>757</v>
      </c>
      <c r="D785" t="s">
        <v>141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45">
      <c r="A786" t="s">
        <v>745</v>
      </c>
      <c r="B786" t="s">
        <v>746</v>
      </c>
      <c r="C786" t="s">
        <v>246</v>
      </c>
      <c r="D786" t="s">
        <v>141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45">
      <c r="A787" t="s">
        <v>745</v>
      </c>
      <c r="B787" t="s">
        <v>746</v>
      </c>
      <c r="C787" t="s">
        <v>249</v>
      </c>
      <c r="D787" t="s">
        <v>141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45">
      <c r="A788" t="s">
        <v>745</v>
      </c>
      <c r="B788" t="s">
        <v>746</v>
      </c>
      <c r="C788" t="s">
        <v>462</v>
      </c>
      <c r="D788" t="s">
        <v>110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45">
      <c r="A789" t="s">
        <v>745</v>
      </c>
      <c r="B789" t="s">
        <v>746</v>
      </c>
      <c r="C789" t="s">
        <v>758</v>
      </c>
      <c r="D789" t="s">
        <v>110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45">
      <c r="A790" t="s">
        <v>745</v>
      </c>
      <c r="B790" t="s">
        <v>746</v>
      </c>
      <c r="C790" t="s">
        <v>210</v>
      </c>
      <c r="D790" t="s">
        <v>141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45">
      <c r="A791" t="s">
        <v>745</v>
      </c>
      <c r="B791" t="s">
        <v>746</v>
      </c>
      <c r="C791" t="s">
        <v>759</v>
      </c>
      <c r="D791" t="s">
        <v>141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45">
      <c r="A792" t="s">
        <v>745</v>
      </c>
      <c r="B792" t="s">
        <v>746</v>
      </c>
      <c r="C792" t="s">
        <v>760</v>
      </c>
      <c r="D792" t="s">
        <v>141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45">
      <c r="A793" t="s">
        <v>745</v>
      </c>
      <c r="B793" t="s">
        <v>746</v>
      </c>
      <c r="C793" t="s">
        <v>761</v>
      </c>
      <c r="D793" t="s">
        <v>141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45">
      <c r="A794" t="s">
        <v>745</v>
      </c>
      <c r="B794" t="s">
        <v>746</v>
      </c>
      <c r="C794" t="s">
        <v>250</v>
      </c>
      <c r="D794" t="s">
        <v>141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45">
      <c r="A795" t="s">
        <v>745</v>
      </c>
      <c r="B795" t="s">
        <v>746</v>
      </c>
      <c r="C795" t="s">
        <v>466</v>
      </c>
      <c r="D795" t="s">
        <v>110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45">
      <c r="A796" t="s">
        <v>745</v>
      </c>
      <c r="B796" t="s">
        <v>746</v>
      </c>
      <c r="C796" t="s">
        <v>762</v>
      </c>
      <c r="D796" t="s">
        <v>110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45">
      <c r="A797" t="s">
        <v>745</v>
      </c>
      <c r="B797" t="s">
        <v>746</v>
      </c>
      <c r="C797" t="s">
        <v>251</v>
      </c>
      <c r="D797" t="s">
        <v>141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45">
      <c r="A798" t="s">
        <v>745</v>
      </c>
      <c r="B798" t="s">
        <v>746</v>
      </c>
      <c r="C798" t="s">
        <v>763</v>
      </c>
      <c r="D798" t="s">
        <v>141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45">
      <c r="A799" t="s">
        <v>745</v>
      </c>
      <c r="B799" t="s">
        <v>746</v>
      </c>
      <c r="C799" t="s">
        <v>212</v>
      </c>
      <c r="D799" t="s">
        <v>110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45">
      <c r="A800" t="s">
        <v>745</v>
      </c>
      <c r="B800" t="s">
        <v>746</v>
      </c>
      <c r="C800" t="s">
        <v>764</v>
      </c>
      <c r="D800" t="s">
        <v>141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45">
      <c r="A801" t="s">
        <v>745</v>
      </c>
      <c r="B801" t="s">
        <v>746</v>
      </c>
      <c r="C801" t="s">
        <v>213</v>
      </c>
      <c r="D801" t="s">
        <v>141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45">
      <c r="A802" t="s">
        <v>745</v>
      </c>
      <c r="B802" t="s">
        <v>746</v>
      </c>
      <c r="C802" t="s">
        <v>765</v>
      </c>
      <c r="D802" t="s">
        <v>141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45">
      <c r="A803" t="s">
        <v>745</v>
      </c>
      <c r="B803" t="s">
        <v>746</v>
      </c>
      <c r="C803" t="s">
        <v>766</v>
      </c>
      <c r="D803" t="s">
        <v>141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45">
      <c r="A804" t="s">
        <v>745</v>
      </c>
      <c r="B804" t="s">
        <v>746</v>
      </c>
      <c r="C804" t="s">
        <v>767</v>
      </c>
      <c r="D804" t="s">
        <v>141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45">
      <c r="A805" t="s">
        <v>745</v>
      </c>
      <c r="B805" t="s">
        <v>746</v>
      </c>
      <c r="C805" t="s">
        <v>768</v>
      </c>
      <c r="D805" t="s">
        <v>141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45">
      <c r="A806" t="s">
        <v>745</v>
      </c>
      <c r="B806" t="s">
        <v>746</v>
      </c>
      <c r="C806" t="s">
        <v>769</v>
      </c>
      <c r="D806" t="s">
        <v>141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45">
      <c r="A807" t="s">
        <v>745</v>
      </c>
      <c r="B807" t="s">
        <v>746</v>
      </c>
      <c r="C807" t="s">
        <v>257</v>
      </c>
      <c r="D807" t="s">
        <v>141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45">
      <c r="A808" t="s">
        <v>745</v>
      </c>
      <c r="B808" t="s">
        <v>746</v>
      </c>
      <c r="C808" t="s">
        <v>770</v>
      </c>
      <c r="D808" t="s">
        <v>110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45">
      <c r="A809" t="s">
        <v>745</v>
      </c>
      <c r="B809" t="s">
        <v>746</v>
      </c>
      <c r="C809" t="s">
        <v>771</v>
      </c>
      <c r="D809" t="s">
        <v>141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45">
      <c r="A810" t="s">
        <v>745</v>
      </c>
      <c r="B810" t="s">
        <v>746</v>
      </c>
      <c r="C810" t="s">
        <v>772</v>
      </c>
      <c r="D810" t="s">
        <v>141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45">
      <c r="A811" t="s">
        <v>745</v>
      </c>
      <c r="B811" t="s">
        <v>746</v>
      </c>
      <c r="C811" t="s">
        <v>615</v>
      </c>
      <c r="D811" t="s">
        <v>141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45">
      <c r="A812" t="s">
        <v>745</v>
      </c>
      <c r="B812" t="s">
        <v>746</v>
      </c>
      <c r="C812" t="s">
        <v>405</v>
      </c>
      <c r="D812" t="s">
        <v>141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45">
      <c r="A813" t="s">
        <v>745</v>
      </c>
      <c r="B813" t="s">
        <v>746</v>
      </c>
      <c r="C813" t="s">
        <v>219</v>
      </c>
      <c r="D813" t="s">
        <v>141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45">
      <c r="A814" t="s">
        <v>745</v>
      </c>
      <c r="B814" t="s">
        <v>746</v>
      </c>
      <c r="C814" t="s">
        <v>406</v>
      </c>
      <c r="D814" t="s">
        <v>141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45">
      <c r="A815" t="s">
        <v>745</v>
      </c>
      <c r="B815" t="s">
        <v>746</v>
      </c>
      <c r="C815" t="s">
        <v>407</v>
      </c>
      <c r="D815" t="s">
        <v>141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45">
      <c r="A816" t="s">
        <v>745</v>
      </c>
      <c r="B816" t="s">
        <v>746</v>
      </c>
      <c r="C816" t="s">
        <v>413</v>
      </c>
      <c r="D816" t="s">
        <v>110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45">
      <c r="A817" t="s">
        <v>745</v>
      </c>
      <c r="B817" t="s">
        <v>746</v>
      </c>
      <c r="C817" t="s">
        <v>773</v>
      </c>
      <c r="D817" t="s">
        <v>141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45">
      <c r="A818" t="s">
        <v>774</v>
      </c>
      <c r="B818" t="s">
        <v>775</v>
      </c>
      <c r="C818" t="s">
        <v>776</v>
      </c>
      <c r="D818" t="s">
        <v>110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45">
      <c r="A819" t="s">
        <v>774</v>
      </c>
      <c r="B819" t="s">
        <v>775</v>
      </c>
      <c r="C819" t="s">
        <v>777</v>
      </c>
      <c r="D819" t="s">
        <v>110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45">
      <c r="A820" t="s">
        <v>774</v>
      </c>
      <c r="B820" t="s">
        <v>775</v>
      </c>
      <c r="C820" t="s">
        <v>428</v>
      </c>
      <c r="D820" t="s">
        <v>110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45">
      <c r="A821" t="s">
        <v>774</v>
      </c>
      <c r="B821" t="s">
        <v>775</v>
      </c>
      <c r="C821" t="s">
        <v>778</v>
      </c>
      <c r="D821" t="s">
        <v>110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45">
      <c r="A822" t="s">
        <v>774</v>
      </c>
      <c r="B822" t="s">
        <v>775</v>
      </c>
      <c r="C822" t="s">
        <v>779</v>
      </c>
      <c r="D822" t="s">
        <v>110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45">
      <c r="A823" t="s">
        <v>774</v>
      </c>
      <c r="B823" t="s">
        <v>775</v>
      </c>
      <c r="C823" t="s">
        <v>780</v>
      </c>
      <c r="D823" t="s">
        <v>110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45">
      <c r="A824" t="s">
        <v>774</v>
      </c>
      <c r="B824" t="s">
        <v>775</v>
      </c>
      <c r="C824" t="s">
        <v>781</v>
      </c>
      <c r="D824" t="s">
        <v>110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45">
      <c r="A825" t="s">
        <v>774</v>
      </c>
      <c r="B825" t="s">
        <v>775</v>
      </c>
      <c r="C825" t="s">
        <v>782</v>
      </c>
      <c r="D825" t="s">
        <v>110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45">
      <c r="A826" t="s">
        <v>774</v>
      </c>
      <c r="B826" t="s">
        <v>775</v>
      </c>
      <c r="C826" t="s">
        <v>439</v>
      </c>
      <c r="D826" t="s">
        <v>110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45">
      <c r="A827" t="s">
        <v>774</v>
      </c>
      <c r="B827" t="s">
        <v>775</v>
      </c>
      <c r="C827" t="s">
        <v>783</v>
      </c>
      <c r="D827" t="s">
        <v>110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45">
      <c r="A828" t="s">
        <v>774</v>
      </c>
      <c r="B828" t="s">
        <v>775</v>
      </c>
      <c r="C828" t="s">
        <v>371</v>
      </c>
      <c r="D828" t="s">
        <v>110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45">
      <c r="A829" t="s">
        <v>774</v>
      </c>
      <c r="B829" t="s">
        <v>775</v>
      </c>
      <c r="C829" t="s">
        <v>784</v>
      </c>
      <c r="D829" t="s">
        <v>110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45">
      <c r="A830" t="s">
        <v>774</v>
      </c>
      <c r="B830" t="s">
        <v>775</v>
      </c>
      <c r="C830" t="s">
        <v>785</v>
      </c>
      <c r="D830" t="s">
        <v>110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45">
      <c r="A831" t="s">
        <v>774</v>
      </c>
      <c r="B831" t="s">
        <v>775</v>
      </c>
      <c r="C831" t="s">
        <v>786</v>
      </c>
      <c r="D831" t="s">
        <v>110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45">
      <c r="A832" t="s">
        <v>774</v>
      </c>
      <c r="B832" t="s">
        <v>775</v>
      </c>
      <c r="C832" t="s">
        <v>787</v>
      </c>
      <c r="D832" t="s">
        <v>110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45">
      <c r="A833" t="s">
        <v>774</v>
      </c>
      <c r="B833" t="s">
        <v>775</v>
      </c>
      <c r="C833" t="s">
        <v>788</v>
      </c>
      <c r="D833" t="s">
        <v>110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45">
      <c r="A834" t="s">
        <v>774</v>
      </c>
      <c r="B834" t="s">
        <v>775</v>
      </c>
      <c r="C834" t="s">
        <v>283</v>
      </c>
      <c r="D834" t="s">
        <v>110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45">
      <c r="A835" t="s">
        <v>774</v>
      </c>
      <c r="B835" t="s">
        <v>775</v>
      </c>
      <c r="C835" t="s">
        <v>789</v>
      </c>
      <c r="D835" t="s">
        <v>110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45">
      <c r="A836" t="s">
        <v>774</v>
      </c>
      <c r="B836" t="s">
        <v>775</v>
      </c>
      <c r="C836" t="s">
        <v>790</v>
      </c>
      <c r="D836" t="s">
        <v>110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45">
      <c r="A837" t="s">
        <v>774</v>
      </c>
      <c r="B837" t="s">
        <v>775</v>
      </c>
      <c r="C837" t="s">
        <v>791</v>
      </c>
      <c r="D837" t="s">
        <v>110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45">
      <c r="A838" t="s">
        <v>774</v>
      </c>
      <c r="B838" t="s">
        <v>775</v>
      </c>
      <c r="C838" t="s">
        <v>792</v>
      </c>
      <c r="D838" t="s">
        <v>110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45">
      <c r="A839" t="s">
        <v>774</v>
      </c>
      <c r="B839" t="s">
        <v>775</v>
      </c>
      <c r="C839" t="s">
        <v>191</v>
      </c>
      <c r="D839" t="s">
        <v>110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45">
      <c r="A840" t="s">
        <v>774</v>
      </c>
      <c r="B840" t="s">
        <v>775</v>
      </c>
      <c r="C840" t="s">
        <v>793</v>
      </c>
      <c r="D840" t="s">
        <v>110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45">
      <c r="A841" t="s">
        <v>774</v>
      </c>
      <c r="B841" t="s">
        <v>775</v>
      </c>
      <c r="C841" t="s">
        <v>292</v>
      </c>
      <c r="D841" t="s">
        <v>110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45">
      <c r="A842" t="s">
        <v>774</v>
      </c>
      <c r="B842" t="s">
        <v>775</v>
      </c>
      <c r="C842" t="s">
        <v>794</v>
      </c>
      <c r="D842" t="s">
        <v>110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45">
      <c r="A843" t="s">
        <v>774</v>
      </c>
      <c r="B843" t="s">
        <v>775</v>
      </c>
      <c r="C843" t="s">
        <v>795</v>
      </c>
      <c r="D843" t="s">
        <v>110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45">
      <c r="A844" t="s">
        <v>774</v>
      </c>
      <c r="B844" t="s">
        <v>775</v>
      </c>
      <c r="C844" t="s">
        <v>235</v>
      </c>
      <c r="D844" t="s">
        <v>110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45">
      <c r="A845" t="s">
        <v>796</v>
      </c>
      <c r="B845" t="s">
        <v>797</v>
      </c>
      <c r="C845" t="s">
        <v>798</v>
      </c>
      <c r="D845" t="s">
        <v>110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45">
      <c r="A846" t="s">
        <v>796</v>
      </c>
      <c r="B846" t="s">
        <v>797</v>
      </c>
      <c r="C846" t="s">
        <v>227</v>
      </c>
      <c r="D846" t="s">
        <v>110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45">
      <c r="A847" t="s">
        <v>796</v>
      </c>
      <c r="B847" t="s">
        <v>797</v>
      </c>
      <c r="C847" t="s">
        <v>536</v>
      </c>
      <c r="D847" t="s">
        <v>110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45">
      <c r="A848" t="s">
        <v>796</v>
      </c>
      <c r="B848" t="s">
        <v>797</v>
      </c>
      <c r="C848" t="s">
        <v>799</v>
      </c>
      <c r="D848" t="s">
        <v>110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45">
      <c r="A849" t="s">
        <v>796</v>
      </c>
      <c r="B849" t="s">
        <v>797</v>
      </c>
      <c r="C849" t="s">
        <v>514</v>
      </c>
      <c r="D849" t="s">
        <v>110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45">
      <c r="A850" t="s">
        <v>796</v>
      </c>
      <c r="B850" t="s">
        <v>797</v>
      </c>
      <c r="C850" t="s">
        <v>575</v>
      </c>
      <c r="D850" t="s">
        <v>110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45">
      <c r="A851" t="s">
        <v>796</v>
      </c>
      <c r="B851" t="s">
        <v>797</v>
      </c>
      <c r="C851" t="s">
        <v>800</v>
      </c>
      <c r="D851" t="s">
        <v>110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45">
      <c r="A852" t="s">
        <v>796</v>
      </c>
      <c r="B852" t="s">
        <v>797</v>
      </c>
      <c r="C852" t="s">
        <v>801</v>
      </c>
      <c r="D852" t="s">
        <v>110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45">
      <c r="A853" t="s">
        <v>796</v>
      </c>
      <c r="B853" t="s">
        <v>797</v>
      </c>
      <c r="C853" t="s">
        <v>802</v>
      </c>
      <c r="D853" t="s">
        <v>110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45">
      <c r="A854" t="s">
        <v>796</v>
      </c>
      <c r="B854" t="s">
        <v>797</v>
      </c>
      <c r="C854" t="s">
        <v>803</v>
      </c>
      <c r="D854" t="s">
        <v>110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45">
      <c r="A855" t="s">
        <v>796</v>
      </c>
      <c r="B855" t="s">
        <v>797</v>
      </c>
      <c r="C855" t="s">
        <v>230</v>
      </c>
      <c r="D855" t="s">
        <v>110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45">
      <c r="A856" t="s">
        <v>796</v>
      </c>
      <c r="B856" t="s">
        <v>797</v>
      </c>
      <c r="C856" t="s">
        <v>191</v>
      </c>
      <c r="D856" t="s">
        <v>110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45">
      <c r="A857" t="s">
        <v>796</v>
      </c>
      <c r="B857" t="s">
        <v>797</v>
      </c>
      <c r="C857" t="s">
        <v>233</v>
      </c>
      <c r="D857" t="s">
        <v>110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45">
      <c r="A858" t="s">
        <v>796</v>
      </c>
      <c r="B858" t="s">
        <v>797</v>
      </c>
      <c r="C858" t="s">
        <v>804</v>
      </c>
      <c r="D858" t="s">
        <v>110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45">
      <c r="A859" t="s">
        <v>796</v>
      </c>
      <c r="B859" t="s">
        <v>797</v>
      </c>
      <c r="C859" t="s">
        <v>805</v>
      </c>
      <c r="D859" t="s">
        <v>110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45">
      <c r="A860" t="s">
        <v>796</v>
      </c>
      <c r="B860" t="s">
        <v>797</v>
      </c>
      <c r="C860" t="s">
        <v>806</v>
      </c>
      <c r="D860" t="s">
        <v>110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45">
      <c r="A861" t="s">
        <v>796</v>
      </c>
      <c r="B861" t="s">
        <v>797</v>
      </c>
      <c r="C861" t="s">
        <v>807</v>
      </c>
      <c r="D861" t="s">
        <v>110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45">
      <c r="A862" t="s">
        <v>796</v>
      </c>
      <c r="B862" t="s">
        <v>797</v>
      </c>
      <c r="C862" t="s">
        <v>583</v>
      </c>
      <c r="D862" t="s">
        <v>110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45">
      <c r="A863" t="s">
        <v>796</v>
      </c>
      <c r="B863" t="s">
        <v>797</v>
      </c>
      <c r="C863" t="s">
        <v>808</v>
      </c>
      <c r="D863" t="s">
        <v>110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45">
      <c r="A864" t="s">
        <v>796</v>
      </c>
      <c r="B864" t="s">
        <v>797</v>
      </c>
      <c r="C864" t="s">
        <v>235</v>
      </c>
      <c r="D864" t="s">
        <v>110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45">
      <c r="A865" t="s">
        <v>796</v>
      </c>
      <c r="B865" t="s">
        <v>797</v>
      </c>
      <c r="C865" t="s">
        <v>237</v>
      </c>
      <c r="D865" t="s">
        <v>110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45">
      <c r="A866" t="s">
        <v>796</v>
      </c>
      <c r="B866" t="s">
        <v>797</v>
      </c>
      <c r="C866" t="s">
        <v>809</v>
      </c>
      <c r="D866" t="s">
        <v>110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45">
      <c r="A867" t="s">
        <v>796</v>
      </c>
      <c r="B867" t="s">
        <v>797</v>
      </c>
      <c r="C867" t="s">
        <v>199</v>
      </c>
      <c r="D867" t="s">
        <v>110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45">
      <c r="A868" t="s">
        <v>796</v>
      </c>
      <c r="B868" t="s">
        <v>797</v>
      </c>
      <c r="C868" t="s">
        <v>550</v>
      </c>
      <c r="D868" t="s">
        <v>110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45">
      <c r="A869" t="s">
        <v>796</v>
      </c>
      <c r="B869" t="s">
        <v>797</v>
      </c>
      <c r="C869" t="s">
        <v>810</v>
      </c>
      <c r="D869" t="s">
        <v>110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45">
      <c r="A870" t="s">
        <v>796</v>
      </c>
      <c r="B870" t="s">
        <v>797</v>
      </c>
      <c r="C870" t="s">
        <v>811</v>
      </c>
      <c r="D870" t="s">
        <v>110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45">
      <c r="A871" t="s">
        <v>796</v>
      </c>
      <c r="B871" t="s">
        <v>797</v>
      </c>
      <c r="C871" t="s">
        <v>812</v>
      </c>
      <c r="D871" t="s">
        <v>110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45">
      <c r="A872" t="s">
        <v>796</v>
      </c>
      <c r="B872" t="s">
        <v>797</v>
      </c>
      <c r="C872" t="s">
        <v>556</v>
      </c>
      <c r="D872" t="s">
        <v>110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45">
      <c r="A873" t="s">
        <v>796</v>
      </c>
      <c r="B873" t="s">
        <v>797</v>
      </c>
      <c r="C873" t="s">
        <v>813</v>
      </c>
      <c r="D873" t="s">
        <v>110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45">
      <c r="A874" t="s">
        <v>796</v>
      </c>
      <c r="B874" t="s">
        <v>797</v>
      </c>
      <c r="C874" t="s">
        <v>814</v>
      </c>
      <c r="D874" t="s">
        <v>110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45">
      <c r="A875" t="s">
        <v>796</v>
      </c>
      <c r="B875" t="s">
        <v>797</v>
      </c>
      <c r="C875" t="s">
        <v>563</v>
      </c>
      <c r="D875" t="s">
        <v>110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45">
      <c r="A876" t="s">
        <v>796</v>
      </c>
      <c r="B876" t="s">
        <v>797</v>
      </c>
      <c r="C876" t="s">
        <v>815</v>
      </c>
      <c r="D876" t="s">
        <v>110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45">
      <c r="A877" t="s">
        <v>796</v>
      </c>
      <c r="B877" t="s">
        <v>797</v>
      </c>
      <c r="C877" t="s">
        <v>756</v>
      </c>
      <c r="D877" t="s">
        <v>110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45">
      <c r="A878" t="s">
        <v>796</v>
      </c>
      <c r="B878" t="s">
        <v>797</v>
      </c>
      <c r="C878" t="s">
        <v>816</v>
      </c>
      <c r="D878" t="s">
        <v>110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45">
      <c r="A879" t="s">
        <v>796</v>
      </c>
      <c r="B879" t="s">
        <v>797</v>
      </c>
      <c r="C879" t="s">
        <v>757</v>
      </c>
      <c r="D879" t="s">
        <v>110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45">
      <c r="A880" t="s">
        <v>796</v>
      </c>
      <c r="B880" t="s">
        <v>797</v>
      </c>
      <c r="C880" t="s">
        <v>246</v>
      </c>
      <c r="D880" t="s">
        <v>110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45">
      <c r="A881" t="s">
        <v>796</v>
      </c>
      <c r="B881" t="s">
        <v>797</v>
      </c>
      <c r="C881" t="s">
        <v>817</v>
      </c>
      <c r="D881" t="s">
        <v>110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45">
      <c r="A882" t="s">
        <v>796</v>
      </c>
      <c r="B882" t="s">
        <v>797</v>
      </c>
      <c r="C882" t="s">
        <v>818</v>
      </c>
      <c r="D882" t="s">
        <v>110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45">
      <c r="A883" t="s">
        <v>796</v>
      </c>
      <c r="B883" t="s">
        <v>797</v>
      </c>
      <c r="C883" t="s">
        <v>819</v>
      </c>
      <c r="D883" t="s">
        <v>110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45">
      <c r="A884" t="s">
        <v>796</v>
      </c>
      <c r="B884" t="s">
        <v>797</v>
      </c>
      <c r="C884" t="s">
        <v>250</v>
      </c>
      <c r="D884" t="s">
        <v>110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45">
      <c r="A885" t="s">
        <v>796</v>
      </c>
      <c r="B885" t="s">
        <v>797</v>
      </c>
      <c r="C885" t="s">
        <v>820</v>
      </c>
      <c r="D885" t="s">
        <v>110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45">
      <c r="A886" t="s">
        <v>796</v>
      </c>
      <c r="B886" t="s">
        <v>797</v>
      </c>
      <c r="C886" t="s">
        <v>821</v>
      </c>
      <c r="D886" t="s">
        <v>110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45">
      <c r="A887" t="s">
        <v>796</v>
      </c>
      <c r="B887" t="s">
        <v>797</v>
      </c>
      <c r="C887" t="s">
        <v>822</v>
      </c>
      <c r="D887" t="s">
        <v>110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45">
      <c r="A888" t="s">
        <v>796</v>
      </c>
      <c r="B888" t="s">
        <v>797</v>
      </c>
      <c r="C888" t="s">
        <v>823</v>
      </c>
      <c r="D888" t="s">
        <v>110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45">
      <c r="A889" t="s">
        <v>796</v>
      </c>
      <c r="B889" t="s">
        <v>797</v>
      </c>
      <c r="C889" t="s">
        <v>824</v>
      </c>
      <c r="D889" t="s">
        <v>110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45">
      <c r="A890" t="s">
        <v>796</v>
      </c>
      <c r="B890" t="s">
        <v>797</v>
      </c>
      <c r="C890" t="s">
        <v>825</v>
      </c>
      <c r="D890" t="s">
        <v>110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45">
      <c r="A891" t="s">
        <v>796</v>
      </c>
      <c r="B891" t="s">
        <v>797</v>
      </c>
      <c r="C891" t="s">
        <v>826</v>
      </c>
      <c r="D891" t="s">
        <v>110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45">
      <c r="A892" t="s">
        <v>796</v>
      </c>
      <c r="B892" t="s">
        <v>797</v>
      </c>
      <c r="C892" t="s">
        <v>827</v>
      </c>
      <c r="D892" t="s">
        <v>110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45">
      <c r="A893" t="s">
        <v>796</v>
      </c>
      <c r="B893" t="s">
        <v>797</v>
      </c>
      <c r="C893" t="s">
        <v>828</v>
      </c>
      <c r="D893" t="s">
        <v>110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45">
      <c r="A894" t="s">
        <v>796</v>
      </c>
      <c r="B894" t="s">
        <v>797</v>
      </c>
      <c r="C894" t="s">
        <v>394</v>
      </c>
      <c r="D894" t="s">
        <v>110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45">
      <c r="A895" t="s">
        <v>796</v>
      </c>
      <c r="B895" t="s">
        <v>797</v>
      </c>
      <c r="C895" t="s">
        <v>829</v>
      </c>
      <c r="D895" t="s">
        <v>110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45">
      <c r="A896" t="s">
        <v>796</v>
      </c>
      <c r="B896" t="s">
        <v>797</v>
      </c>
      <c r="C896" t="s">
        <v>830</v>
      </c>
      <c r="D896" t="s">
        <v>110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45">
      <c r="A897" t="s">
        <v>796</v>
      </c>
      <c r="B897" t="s">
        <v>797</v>
      </c>
      <c r="C897" t="s">
        <v>219</v>
      </c>
      <c r="D897" t="s">
        <v>110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45">
      <c r="A898" t="s">
        <v>796</v>
      </c>
      <c r="B898" t="s">
        <v>797</v>
      </c>
      <c r="C898" t="s">
        <v>406</v>
      </c>
      <c r="D898" t="s">
        <v>110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45">
      <c r="A899" t="s">
        <v>796</v>
      </c>
      <c r="B899" t="s">
        <v>797</v>
      </c>
      <c r="C899" t="s">
        <v>407</v>
      </c>
      <c r="D899" t="s">
        <v>110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45">
      <c r="A900" t="s">
        <v>796</v>
      </c>
      <c r="B900" t="s">
        <v>797</v>
      </c>
      <c r="C900" t="s">
        <v>408</v>
      </c>
      <c r="D900" t="s">
        <v>110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45">
      <c r="A901" t="s">
        <v>796</v>
      </c>
      <c r="B901" t="s">
        <v>797</v>
      </c>
      <c r="C901" t="s">
        <v>632</v>
      </c>
      <c r="D901" t="s">
        <v>110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45">
      <c r="A902" t="s">
        <v>831</v>
      </c>
      <c r="B902" t="s">
        <v>241</v>
      </c>
      <c r="C902" t="s">
        <v>832</v>
      </c>
      <c r="D902" t="s">
        <v>110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45">
      <c r="A903" t="s">
        <v>831</v>
      </c>
      <c r="B903" t="s">
        <v>241</v>
      </c>
      <c r="C903" t="s">
        <v>833</v>
      </c>
      <c r="D903" t="s">
        <v>110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45">
      <c r="A904" t="s">
        <v>831</v>
      </c>
      <c r="B904" t="s">
        <v>241</v>
      </c>
      <c r="C904" t="s">
        <v>437</v>
      </c>
      <c r="D904" t="s">
        <v>139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45">
      <c r="A905" t="s">
        <v>831</v>
      </c>
      <c r="B905" t="s">
        <v>241</v>
      </c>
      <c r="C905" t="s">
        <v>278</v>
      </c>
      <c r="D905" t="s">
        <v>110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45">
      <c r="A906" t="s">
        <v>831</v>
      </c>
      <c r="B906" t="s">
        <v>241</v>
      </c>
      <c r="C906" t="s">
        <v>834</v>
      </c>
      <c r="D906" t="s">
        <v>110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45">
      <c r="A907" t="s">
        <v>831</v>
      </c>
      <c r="B907" t="s">
        <v>241</v>
      </c>
      <c r="C907" t="s">
        <v>835</v>
      </c>
      <c r="D907" t="s">
        <v>110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45">
      <c r="A908" t="s">
        <v>831</v>
      </c>
      <c r="B908" t="s">
        <v>241</v>
      </c>
      <c r="C908" t="s">
        <v>836</v>
      </c>
      <c r="D908" t="s">
        <v>110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45">
      <c r="A909" t="s">
        <v>831</v>
      </c>
      <c r="B909" t="s">
        <v>241</v>
      </c>
      <c r="C909" t="s">
        <v>518</v>
      </c>
      <c r="D909" t="s">
        <v>110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45">
      <c r="A910" t="s">
        <v>837</v>
      </c>
      <c r="B910" t="s">
        <v>838</v>
      </c>
      <c r="C910" t="s">
        <v>839</v>
      </c>
      <c r="D910" t="s">
        <v>110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45">
      <c r="A911" t="s">
        <v>837</v>
      </c>
      <c r="B911" t="s">
        <v>838</v>
      </c>
      <c r="C911" t="s">
        <v>840</v>
      </c>
      <c r="D911" t="s">
        <v>110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45">
      <c r="A912" t="s">
        <v>837</v>
      </c>
      <c r="B912" t="s">
        <v>838</v>
      </c>
      <c r="C912" t="s">
        <v>841</v>
      </c>
      <c r="D912" t="s">
        <v>140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45">
      <c r="A913" t="s">
        <v>837</v>
      </c>
      <c r="B913" t="s">
        <v>838</v>
      </c>
      <c r="C913" t="s">
        <v>842</v>
      </c>
      <c r="D913" t="s">
        <v>140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45">
      <c r="A914" t="s">
        <v>837</v>
      </c>
      <c r="B914" t="s">
        <v>838</v>
      </c>
      <c r="C914" t="s">
        <v>843</v>
      </c>
      <c r="D914" t="s">
        <v>110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45">
      <c r="A915" t="s">
        <v>837</v>
      </c>
      <c r="B915" t="s">
        <v>838</v>
      </c>
      <c r="C915" t="s">
        <v>844</v>
      </c>
      <c r="D915" t="s">
        <v>110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45">
      <c r="A916" t="s">
        <v>837</v>
      </c>
      <c r="B916" t="s">
        <v>838</v>
      </c>
      <c r="C916" t="s">
        <v>258</v>
      </c>
      <c r="D916" t="s">
        <v>140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45">
      <c r="A917" t="s">
        <v>837</v>
      </c>
      <c r="B917" t="s">
        <v>838</v>
      </c>
      <c r="C917" t="s">
        <v>845</v>
      </c>
      <c r="D917" t="s">
        <v>140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45">
      <c r="A918" t="s">
        <v>846</v>
      </c>
      <c r="B918" t="s">
        <v>847</v>
      </c>
      <c r="C918" t="s">
        <v>848</v>
      </c>
      <c r="D918" t="s">
        <v>110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45">
      <c r="A919" t="s">
        <v>846</v>
      </c>
      <c r="B919" t="s">
        <v>847</v>
      </c>
      <c r="C919" t="s">
        <v>635</v>
      </c>
      <c r="D919" t="s">
        <v>110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45">
      <c r="A920" t="s">
        <v>846</v>
      </c>
      <c r="B920" t="s">
        <v>847</v>
      </c>
      <c r="C920" t="s">
        <v>849</v>
      </c>
      <c r="D920" t="s">
        <v>141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45">
      <c r="A921" t="s">
        <v>846</v>
      </c>
      <c r="B921" t="s">
        <v>847</v>
      </c>
      <c r="C921" t="s">
        <v>850</v>
      </c>
      <c r="D921" t="s">
        <v>110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45">
      <c r="A922" t="s">
        <v>846</v>
      </c>
      <c r="B922" t="s">
        <v>847</v>
      </c>
      <c r="C922" t="s">
        <v>851</v>
      </c>
      <c r="D922" t="s">
        <v>110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45">
      <c r="A923" t="s">
        <v>846</v>
      </c>
      <c r="B923" t="s">
        <v>847</v>
      </c>
      <c r="C923" t="s">
        <v>852</v>
      </c>
      <c r="D923" t="s">
        <v>110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45">
      <c r="A924" t="s">
        <v>846</v>
      </c>
      <c r="B924" t="s">
        <v>847</v>
      </c>
      <c r="C924" t="s">
        <v>853</v>
      </c>
      <c r="D924" t="s">
        <v>110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45">
      <c r="A925" t="s">
        <v>846</v>
      </c>
      <c r="B925" t="s">
        <v>847</v>
      </c>
      <c r="C925" t="s">
        <v>854</v>
      </c>
      <c r="D925" t="s">
        <v>110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45">
      <c r="A926" t="s">
        <v>846</v>
      </c>
      <c r="B926" t="s">
        <v>847</v>
      </c>
      <c r="C926" t="s">
        <v>855</v>
      </c>
      <c r="D926" t="s">
        <v>110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45">
      <c r="A927" t="s">
        <v>846</v>
      </c>
      <c r="B927" t="s">
        <v>847</v>
      </c>
      <c r="C927" t="s">
        <v>486</v>
      </c>
      <c r="D927" t="s">
        <v>110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45">
      <c r="A928" t="s">
        <v>846</v>
      </c>
      <c r="B928" t="s">
        <v>847</v>
      </c>
      <c r="C928" t="s">
        <v>365</v>
      </c>
      <c r="D928" t="s">
        <v>110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45">
      <c r="A929" t="s">
        <v>846</v>
      </c>
      <c r="B929" t="s">
        <v>847</v>
      </c>
      <c r="C929" t="s">
        <v>856</v>
      </c>
      <c r="D929" t="s">
        <v>110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45">
      <c r="A930" t="s">
        <v>846</v>
      </c>
      <c r="B930" t="s">
        <v>847</v>
      </c>
      <c r="C930" t="s">
        <v>328</v>
      </c>
      <c r="D930" t="s">
        <v>110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45">
      <c r="A931" t="s">
        <v>846</v>
      </c>
      <c r="B931" t="s">
        <v>847</v>
      </c>
      <c r="C931" t="s">
        <v>857</v>
      </c>
      <c r="D931" t="s">
        <v>110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45">
      <c r="A932" t="s">
        <v>846</v>
      </c>
      <c r="B932" t="s">
        <v>847</v>
      </c>
      <c r="C932" t="s">
        <v>858</v>
      </c>
      <c r="D932" t="s">
        <v>110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45">
      <c r="A933" t="s">
        <v>846</v>
      </c>
      <c r="B933" t="s">
        <v>847</v>
      </c>
      <c r="C933" t="s">
        <v>659</v>
      </c>
      <c r="D933" t="s">
        <v>110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45">
      <c r="A934" t="s">
        <v>846</v>
      </c>
      <c r="B934" t="s">
        <v>847</v>
      </c>
      <c r="C934" t="s">
        <v>184</v>
      </c>
      <c r="D934" t="s">
        <v>110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45">
      <c r="A935" t="s">
        <v>846</v>
      </c>
      <c r="B935" t="s">
        <v>847</v>
      </c>
      <c r="C935" t="s">
        <v>225</v>
      </c>
      <c r="D935" t="s">
        <v>110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45">
      <c r="A936" t="s">
        <v>846</v>
      </c>
      <c r="B936" t="s">
        <v>847</v>
      </c>
      <c r="C936" t="s">
        <v>859</v>
      </c>
      <c r="D936" t="s">
        <v>110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45">
      <c r="A937" t="s">
        <v>846</v>
      </c>
      <c r="B937" t="s">
        <v>847</v>
      </c>
      <c r="C937" t="s">
        <v>186</v>
      </c>
      <c r="D937" t="s">
        <v>110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45">
      <c r="A938" t="s">
        <v>846</v>
      </c>
      <c r="B938" t="s">
        <v>847</v>
      </c>
      <c r="C938" t="s">
        <v>514</v>
      </c>
      <c r="D938" t="s">
        <v>110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45">
      <c r="A939" t="s">
        <v>846</v>
      </c>
      <c r="B939" t="s">
        <v>847</v>
      </c>
      <c r="C939" t="s">
        <v>860</v>
      </c>
      <c r="D939" t="s">
        <v>110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45">
      <c r="A940" t="s">
        <v>846</v>
      </c>
      <c r="B940" t="s">
        <v>847</v>
      </c>
      <c r="C940" t="s">
        <v>191</v>
      </c>
      <c r="D940" t="s">
        <v>110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45">
      <c r="A941" t="s">
        <v>846</v>
      </c>
      <c r="B941" t="s">
        <v>847</v>
      </c>
      <c r="C941" t="s">
        <v>861</v>
      </c>
      <c r="D941" t="s">
        <v>141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45">
      <c r="A942" t="s">
        <v>846</v>
      </c>
      <c r="B942" t="s">
        <v>847</v>
      </c>
      <c r="C942" t="s">
        <v>446</v>
      </c>
      <c r="D942" t="s">
        <v>110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45">
      <c r="A943" t="s">
        <v>846</v>
      </c>
      <c r="B943" t="s">
        <v>847</v>
      </c>
      <c r="C943" t="s">
        <v>588</v>
      </c>
      <c r="D943" t="s">
        <v>110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45">
      <c r="A944" t="s">
        <v>846</v>
      </c>
      <c r="B944" t="s">
        <v>847</v>
      </c>
      <c r="C944" t="s">
        <v>199</v>
      </c>
      <c r="D944" t="s">
        <v>110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45">
      <c r="A945" t="s">
        <v>846</v>
      </c>
      <c r="B945" t="s">
        <v>847</v>
      </c>
      <c r="C945" t="s">
        <v>204</v>
      </c>
      <c r="D945" t="s">
        <v>110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45">
      <c r="A946" t="s">
        <v>846</v>
      </c>
      <c r="B946" t="s">
        <v>847</v>
      </c>
      <c r="C946" t="s">
        <v>205</v>
      </c>
      <c r="D946" t="s">
        <v>110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45">
      <c r="A947" t="s">
        <v>846</v>
      </c>
      <c r="B947" t="s">
        <v>847</v>
      </c>
      <c r="C947" t="s">
        <v>862</v>
      </c>
      <c r="D947" t="s">
        <v>141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45">
      <c r="A948" t="s">
        <v>846</v>
      </c>
      <c r="B948" t="s">
        <v>847</v>
      </c>
      <c r="C948" t="s">
        <v>847</v>
      </c>
      <c r="D948" t="s">
        <v>141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45">
      <c r="A949" t="s">
        <v>846</v>
      </c>
      <c r="B949" t="s">
        <v>847</v>
      </c>
      <c r="C949" t="s">
        <v>863</v>
      </c>
      <c r="D949" t="s">
        <v>110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45">
      <c r="A950" t="s">
        <v>846</v>
      </c>
      <c r="B950" t="s">
        <v>847</v>
      </c>
      <c r="C950" t="s">
        <v>864</v>
      </c>
      <c r="D950" t="s">
        <v>110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45">
      <c r="A951" t="s">
        <v>846</v>
      </c>
      <c r="B951" t="s">
        <v>847</v>
      </c>
      <c r="C951" t="s">
        <v>865</v>
      </c>
      <c r="D951" t="s">
        <v>110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45">
      <c r="A952" t="s">
        <v>846</v>
      </c>
      <c r="B952" t="s">
        <v>847</v>
      </c>
      <c r="C952" t="s">
        <v>866</v>
      </c>
      <c r="D952" t="s">
        <v>110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45">
      <c r="A953" t="s">
        <v>846</v>
      </c>
      <c r="B953" t="s">
        <v>847</v>
      </c>
      <c r="C953" t="s">
        <v>867</v>
      </c>
      <c r="D953" t="s">
        <v>110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45">
      <c r="A954" t="s">
        <v>846</v>
      </c>
      <c r="B954" t="s">
        <v>847</v>
      </c>
      <c r="C954" t="s">
        <v>868</v>
      </c>
      <c r="D954" t="s">
        <v>110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45">
      <c r="A955" t="s">
        <v>846</v>
      </c>
      <c r="B955" t="s">
        <v>847</v>
      </c>
      <c r="C955" t="s">
        <v>869</v>
      </c>
      <c r="D955" t="s">
        <v>110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45">
      <c r="A956" t="s">
        <v>846</v>
      </c>
      <c r="B956" t="s">
        <v>847</v>
      </c>
      <c r="C956" t="s">
        <v>870</v>
      </c>
      <c r="D956" t="s">
        <v>110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45">
      <c r="A957" t="s">
        <v>846</v>
      </c>
      <c r="B957" t="s">
        <v>847</v>
      </c>
      <c r="C957" t="s">
        <v>462</v>
      </c>
      <c r="D957" t="s">
        <v>110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45">
      <c r="A958" t="s">
        <v>846</v>
      </c>
      <c r="B958" t="s">
        <v>847</v>
      </c>
      <c r="C958" t="s">
        <v>871</v>
      </c>
      <c r="D958" t="s">
        <v>141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45">
      <c r="A959" t="s">
        <v>846</v>
      </c>
      <c r="B959" t="s">
        <v>847</v>
      </c>
      <c r="C959" t="s">
        <v>872</v>
      </c>
      <c r="D959" t="s">
        <v>110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45">
      <c r="A960" t="s">
        <v>846</v>
      </c>
      <c r="B960" t="s">
        <v>847</v>
      </c>
      <c r="C960" t="s">
        <v>873</v>
      </c>
      <c r="D960" t="s">
        <v>141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45">
      <c r="A961" t="s">
        <v>846</v>
      </c>
      <c r="B961" t="s">
        <v>847</v>
      </c>
      <c r="C961" t="s">
        <v>874</v>
      </c>
      <c r="D961" t="s">
        <v>110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45">
      <c r="A962" t="s">
        <v>846</v>
      </c>
      <c r="B962" t="s">
        <v>847</v>
      </c>
      <c r="C962" t="s">
        <v>875</v>
      </c>
      <c r="D962" t="s">
        <v>110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45">
      <c r="A963" t="s">
        <v>846</v>
      </c>
      <c r="B963" t="s">
        <v>847</v>
      </c>
      <c r="C963" t="s">
        <v>876</v>
      </c>
      <c r="D963" t="s">
        <v>110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45">
      <c r="A964" t="s">
        <v>846</v>
      </c>
      <c r="B964" t="s">
        <v>847</v>
      </c>
      <c r="C964" t="s">
        <v>877</v>
      </c>
      <c r="D964" t="s">
        <v>110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45">
      <c r="A965" t="s">
        <v>846</v>
      </c>
      <c r="B965" t="s">
        <v>847</v>
      </c>
      <c r="C965" t="s">
        <v>466</v>
      </c>
      <c r="D965" t="s">
        <v>110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45">
      <c r="A966" t="s">
        <v>846</v>
      </c>
      <c r="B966" t="s">
        <v>847</v>
      </c>
      <c r="C966" t="s">
        <v>878</v>
      </c>
      <c r="D966" t="s">
        <v>110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45">
      <c r="A967" t="s">
        <v>846</v>
      </c>
      <c r="B967" t="s">
        <v>847</v>
      </c>
      <c r="C967" t="s">
        <v>879</v>
      </c>
      <c r="D967" t="s">
        <v>110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45">
      <c r="A968" t="s">
        <v>846</v>
      </c>
      <c r="B968" t="s">
        <v>847</v>
      </c>
      <c r="C968" t="s">
        <v>880</v>
      </c>
      <c r="D968" t="s">
        <v>110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45">
      <c r="A969" t="s">
        <v>846</v>
      </c>
      <c r="B969" t="s">
        <v>847</v>
      </c>
      <c r="C969" t="s">
        <v>665</v>
      </c>
      <c r="D969" t="s">
        <v>141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45">
      <c r="A970" t="s">
        <v>846</v>
      </c>
      <c r="B970" t="s">
        <v>847</v>
      </c>
      <c r="C970" t="s">
        <v>770</v>
      </c>
      <c r="D970" t="s">
        <v>110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45">
      <c r="A971" t="s">
        <v>846</v>
      </c>
      <c r="B971" t="s">
        <v>847</v>
      </c>
      <c r="C971" t="s">
        <v>881</v>
      </c>
      <c r="D971" t="s">
        <v>110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45">
      <c r="A972" t="s">
        <v>846</v>
      </c>
      <c r="B972" t="s">
        <v>847</v>
      </c>
      <c r="C972" t="s">
        <v>882</v>
      </c>
      <c r="D972" t="s">
        <v>110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45">
      <c r="A973" t="s">
        <v>846</v>
      </c>
      <c r="B973" t="s">
        <v>847</v>
      </c>
      <c r="C973" t="s">
        <v>883</v>
      </c>
      <c r="D973" t="s">
        <v>110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45">
      <c r="A974" t="s">
        <v>846</v>
      </c>
      <c r="B974" t="s">
        <v>847</v>
      </c>
      <c r="C974" t="s">
        <v>405</v>
      </c>
      <c r="D974" t="s">
        <v>110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45">
      <c r="A975" t="s">
        <v>884</v>
      </c>
      <c r="B975" t="s">
        <v>885</v>
      </c>
      <c r="C975" t="s">
        <v>553</v>
      </c>
      <c r="D975" t="s">
        <v>110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45">
      <c r="A976" t="s">
        <v>884</v>
      </c>
      <c r="B976" t="s">
        <v>885</v>
      </c>
      <c r="C976" t="s">
        <v>205</v>
      </c>
      <c r="D976" t="s">
        <v>141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45">
      <c r="A977" t="s">
        <v>884</v>
      </c>
      <c r="B977" t="s">
        <v>885</v>
      </c>
      <c r="C977" t="s">
        <v>886</v>
      </c>
      <c r="D977" t="s">
        <v>141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45">
      <c r="A978" t="s">
        <v>884</v>
      </c>
      <c r="B978" t="s">
        <v>885</v>
      </c>
      <c r="C978" t="s">
        <v>887</v>
      </c>
      <c r="D978" t="s">
        <v>141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45">
      <c r="A979" t="s">
        <v>884</v>
      </c>
      <c r="B979" t="s">
        <v>885</v>
      </c>
      <c r="C979" t="s">
        <v>888</v>
      </c>
      <c r="D979" t="s">
        <v>137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45">
      <c r="A980" t="s">
        <v>884</v>
      </c>
      <c r="B980" t="s">
        <v>885</v>
      </c>
      <c r="C980" t="s">
        <v>889</v>
      </c>
      <c r="D980" t="s">
        <v>141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45">
      <c r="A981" t="s">
        <v>884</v>
      </c>
      <c r="B981" t="s">
        <v>885</v>
      </c>
      <c r="C981" t="s">
        <v>890</v>
      </c>
      <c r="D981" t="s">
        <v>137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45">
      <c r="A982" t="s">
        <v>884</v>
      </c>
      <c r="B982" t="s">
        <v>885</v>
      </c>
      <c r="C982" t="s">
        <v>867</v>
      </c>
      <c r="D982" t="s">
        <v>141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45">
      <c r="A983" t="s">
        <v>884</v>
      </c>
      <c r="B983" t="s">
        <v>885</v>
      </c>
      <c r="C983" t="s">
        <v>891</v>
      </c>
      <c r="D983" t="s">
        <v>141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45">
      <c r="A984" t="s">
        <v>884</v>
      </c>
      <c r="B984" t="s">
        <v>885</v>
      </c>
      <c r="C984" t="s">
        <v>892</v>
      </c>
      <c r="D984" t="s">
        <v>141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45">
      <c r="A985" t="s">
        <v>884</v>
      </c>
      <c r="B985" t="s">
        <v>885</v>
      </c>
      <c r="C985" t="s">
        <v>893</v>
      </c>
      <c r="D985" t="s">
        <v>137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45">
      <c r="A986" t="s">
        <v>884</v>
      </c>
      <c r="B986" t="s">
        <v>885</v>
      </c>
      <c r="C986" t="s">
        <v>894</v>
      </c>
      <c r="D986" t="s">
        <v>141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45">
      <c r="A987" t="s">
        <v>884</v>
      </c>
      <c r="B987" t="s">
        <v>885</v>
      </c>
      <c r="C987" t="s">
        <v>895</v>
      </c>
      <c r="D987" t="s">
        <v>141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45">
      <c r="A988" t="s">
        <v>884</v>
      </c>
      <c r="B988" t="s">
        <v>885</v>
      </c>
      <c r="C988" t="s">
        <v>896</v>
      </c>
      <c r="D988" t="s">
        <v>141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45">
      <c r="A989" t="s">
        <v>884</v>
      </c>
      <c r="B989" t="s">
        <v>885</v>
      </c>
      <c r="C989" t="s">
        <v>246</v>
      </c>
      <c r="D989" t="s">
        <v>141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45">
      <c r="A990" t="s">
        <v>884</v>
      </c>
      <c r="B990" t="s">
        <v>885</v>
      </c>
      <c r="C990" t="s">
        <v>210</v>
      </c>
      <c r="D990" t="s">
        <v>141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45">
      <c r="A991" t="s">
        <v>884</v>
      </c>
      <c r="B991" t="s">
        <v>885</v>
      </c>
      <c r="C991" t="s">
        <v>873</v>
      </c>
      <c r="D991" t="s">
        <v>141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45">
      <c r="A992" t="s">
        <v>884</v>
      </c>
      <c r="B992" t="s">
        <v>885</v>
      </c>
      <c r="C992" t="s">
        <v>897</v>
      </c>
      <c r="D992" t="s">
        <v>141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45">
      <c r="A993" t="s">
        <v>884</v>
      </c>
      <c r="B993" t="s">
        <v>885</v>
      </c>
      <c r="C993" t="s">
        <v>898</v>
      </c>
      <c r="D993" t="s">
        <v>141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45">
      <c r="A994" t="s">
        <v>884</v>
      </c>
      <c r="B994" t="s">
        <v>885</v>
      </c>
      <c r="C994" t="s">
        <v>606</v>
      </c>
      <c r="D994" t="s">
        <v>141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45">
      <c r="A995" t="s">
        <v>884</v>
      </c>
      <c r="B995" t="s">
        <v>885</v>
      </c>
      <c r="C995" t="s">
        <v>899</v>
      </c>
      <c r="D995" t="s">
        <v>141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45">
      <c r="A996" t="s">
        <v>884</v>
      </c>
      <c r="B996" t="s">
        <v>885</v>
      </c>
      <c r="C996" t="s">
        <v>900</v>
      </c>
      <c r="D996" t="s">
        <v>141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45">
      <c r="A997" t="s">
        <v>884</v>
      </c>
      <c r="B997" t="s">
        <v>885</v>
      </c>
      <c r="C997" t="s">
        <v>762</v>
      </c>
      <c r="D997" t="s">
        <v>141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45">
      <c r="A998" t="s">
        <v>884</v>
      </c>
      <c r="B998" t="s">
        <v>885</v>
      </c>
      <c r="C998" t="s">
        <v>901</v>
      </c>
      <c r="D998" t="s">
        <v>141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45">
      <c r="A999" t="s">
        <v>884</v>
      </c>
      <c r="B999" t="s">
        <v>885</v>
      </c>
      <c r="C999" t="s">
        <v>902</v>
      </c>
      <c r="D999" t="s">
        <v>141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45">
      <c r="A1000" t="s">
        <v>884</v>
      </c>
      <c r="B1000" t="s">
        <v>885</v>
      </c>
      <c r="C1000" t="s">
        <v>903</v>
      </c>
      <c r="D1000" t="s">
        <v>141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45">
      <c r="A1001" t="s">
        <v>884</v>
      </c>
      <c r="B1001" t="s">
        <v>885</v>
      </c>
      <c r="C1001" t="s">
        <v>904</v>
      </c>
      <c r="D1001" t="s">
        <v>141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45">
      <c r="A1002" t="s">
        <v>884</v>
      </c>
      <c r="B1002" t="s">
        <v>885</v>
      </c>
      <c r="C1002" t="s">
        <v>905</v>
      </c>
      <c r="D1002" t="s">
        <v>141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45">
      <c r="A1003" t="s">
        <v>884</v>
      </c>
      <c r="B1003" t="s">
        <v>885</v>
      </c>
      <c r="C1003" t="s">
        <v>906</v>
      </c>
      <c r="D1003" t="s">
        <v>141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45">
      <c r="A1004" t="s">
        <v>884</v>
      </c>
      <c r="B1004" t="s">
        <v>885</v>
      </c>
      <c r="C1004" t="s">
        <v>258</v>
      </c>
      <c r="D1004" t="s">
        <v>141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45">
      <c r="A1005" t="s">
        <v>884</v>
      </c>
      <c r="B1005" t="s">
        <v>885</v>
      </c>
      <c r="C1005" t="s">
        <v>907</v>
      </c>
      <c r="D1005" t="s">
        <v>141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45">
      <c r="A1006" t="s">
        <v>884</v>
      </c>
      <c r="B1006" t="s">
        <v>885</v>
      </c>
      <c r="C1006" t="s">
        <v>908</v>
      </c>
      <c r="D1006" t="s">
        <v>141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45">
      <c r="A1007" t="s">
        <v>884</v>
      </c>
      <c r="B1007" t="s">
        <v>885</v>
      </c>
      <c r="C1007" t="s">
        <v>405</v>
      </c>
      <c r="D1007" t="s">
        <v>141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45">
      <c r="A1008" t="s">
        <v>884</v>
      </c>
      <c r="B1008" t="s">
        <v>885</v>
      </c>
      <c r="C1008" t="s">
        <v>219</v>
      </c>
      <c r="D1008" t="s">
        <v>141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45">
      <c r="A1009" t="s">
        <v>884</v>
      </c>
      <c r="B1009" t="s">
        <v>885</v>
      </c>
      <c r="C1009" t="s">
        <v>909</v>
      </c>
      <c r="D1009" t="s">
        <v>110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45">
      <c r="A1010" t="s">
        <v>884</v>
      </c>
      <c r="B1010" t="s">
        <v>885</v>
      </c>
      <c r="C1010" t="s">
        <v>406</v>
      </c>
      <c r="D1010" t="s">
        <v>141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45">
      <c r="A1011" t="s">
        <v>884</v>
      </c>
      <c r="B1011" t="s">
        <v>885</v>
      </c>
      <c r="C1011" t="s">
        <v>411</v>
      </c>
      <c r="D1011" t="s">
        <v>141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45">
      <c r="A1012" t="s">
        <v>884</v>
      </c>
      <c r="B1012" t="s">
        <v>885</v>
      </c>
      <c r="C1012" t="s">
        <v>910</v>
      </c>
      <c r="D1012" t="s">
        <v>141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45">
      <c r="A1013" t="s">
        <v>884</v>
      </c>
      <c r="B1013" t="s">
        <v>885</v>
      </c>
      <c r="C1013" t="s">
        <v>911</v>
      </c>
      <c r="D1013" t="s">
        <v>141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45">
      <c r="A1014" t="s">
        <v>884</v>
      </c>
      <c r="B1014" t="s">
        <v>885</v>
      </c>
      <c r="C1014" t="s">
        <v>912</v>
      </c>
      <c r="D1014" t="s">
        <v>110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45">
      <c r="A1015" t="s">
        <v>913</v>
      </c>
      <c r="B1015" t="s">
        <v>914</v>
      </c>
      <c r="C1015" t="s">
        <v>423</v>
      </c>
      <c r="D1015" t="s">
        <v>110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45">
      <c r="A1016" t="s">
        <v>913</v>
      </c>
      <c r="B1016" t="s">
        <v>914</v>
      </c>
      <c r="C1016" t="s">
        <v>915</v>
      </c>
      <c r="D1016" t="s">
        <v>113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45">
      <c r="A1017" t="s">
        <v>913</v>
      </c>
      <c r="B1017" t="s">
        <v>914</v>
      </c>
      <c r="C1017" t="s">
        <v>916</v>
      </c>
      <c r="D1017" t="s">
        <v>113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45">
      <c r="A1018" t="s">
        <v>913</v>
      </c>
      <c r="B1018" t="s">
        <v>914</v>
      </c>
      <c r="C1018" t="s">
        <v>917</v>
      </c>
      <c r="D1018" t="s">
        <v>110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45">
      <c r="A1019" t="s">
        <v>913</v>
      </c>
      <c r="B1019" t="s">
        <v>914</v>
      </c>
      <c r="C1019" t="s">
        <v>918</v>
      </c>
      <c r="D1019" t="s">
        <v>113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45">
      <c r="A1020" t="s">
        <v>913</v>
      </c>
      <c r="B1020" t="s">
        <v>914</v>
      </c>
      <c r="C1020" t="s">
        <v>919</v>
      </c>
      <c r="D1020" t="s">
        <v>110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45">
      <c r="A1021" t="s">
        <v>913</v>
      </c>
      <c r="B1021" t="s">
        <v>914</v>
      </c>
      <c r="C1021" t="s">
        <v>351</v>
      </c>
      <c r="D1021" t="s">
        <v>113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45">
      <c r="A1022" t="s">
        <v>913</v>
      </c>
      <c r="B1022" t="s">
        <v>914</v>
      </c>
      <c r="C1022" t="s">
        <v>920</v>
      </c>
      <c r="D1022" t="s">
        <v>110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45">
      <c r="A1023" t="s">
        <v>913</v>
      </c>
      <c r="B1023" t="s">
        <v>914</v>
      </c>
      <c r="C1023" t="s">
        <v>485</v>
      </c>
      <c r="D1023" t="s">
        <v>113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45">
      <c r="A1024" t="s">
        <v>913</v>
      </c>
      <c r="B1024" t="s">
        <v>914</v>
      </c>
      <c r="C1024" t="s">
        <v>921</v>
      </c>
      <c r="D1024" t="s">
        <v>113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45">
      <c r="A1025" t="s">
        <v>913</v>
      </c>
      <c r="B1025" t="s">
        <v>914</v>
      </c>
      <c r="C1025" t="s">
        <v>922</v>
      </c>
      <c r="D1025" t="s">
        <v>110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45">
      <c r="A1026" t="s">
        <v>913</v>
      </c>
      <c r="B1026" t="s">
        <v>914</v>
      </c>
      <c r="C1026" t="s">
        <v>923</v>
      </c>
      <c r="D1026" t="s">
        <v>113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45">
      <c r="A1027" t="s">
        <v>913</v>
      </c>
      <c r="B1027" t="s">
        <v>914</v>
      </c>
      <c r="C1027" t="s">
        <v>924</v>
      </c>
      <c r="D1027" t="s">
        <v>110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45">
      <c r="A1028" t="s">
        <v>913</v>
      </c>
      <c r="B1028" t="s">
        <v>914</v>
      </c>
      <c r="C1028" t="s">
        <v>925</v>
      </c>
      <c r="D1028" t="s">
        <v>113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45">
      <c r="A1029" t="s">
        <v>913</v>
      </c>
      <c r="B1029" t="s">
        <v>914</v>
      </c>
      <c r="C1029" t="s">
        <v>926</v>
      </c>
      <c r="D1029" t="s">
        <v>110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45">
      <c r="A1030" t="s">
        <v>913</v>
      </c>
      <c r="B1030" t="s">
        <v>914</v>
      </c>
      <c r="C1030" t="s">
        <v>927</v>
      </c>
      <c r="D1030" t="s">
        <v>113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45">
      <c r="A1031" t="s">
        <v>913</v>
      </c>
      <c r="B1031" t="s">
        <v>914</v>
      </c>
      <c r="C1031" t="s">
        <v>790</v>
      </c>
      <c r="D1031" t="s">
        <v>110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45">
      <c r="A1032" t="s">
        <v>913</v>
      </c>
      <c r="B1032" t="s">
        <v>914</v>
      </c>
      <c r="C1032" t="s">
        <v>928</v>
      </c>
      <c r="D1032" t="s">
        <v>113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45">
      <c r="A1033" t="s">
        <v>913</v>
      </c>
      <c r="B1033" t="s">
        <v>914</v>
      </c>
      <c r="C1033" t="s">
        <v>227</v>
      </c>
      <c r="D1033" t="s">
        <v>110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45">
      <c r="A1034" t="s">
        <v>913</v>
      </c>
      <c r="B1034" t="s">
        <v>914</v>
      </c>
      <c r="C1034" t="s">
        <v>929</v>
      </c>
      <c r="D1034" t="s">
        <v>113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45">
      <c r="A1035" t="s">
        <v>913</v>
      </c>
      <c r="B1035" t="s">
        <v>914</v>
      </c>
      <c r="C1035" t="s">
        <v>930</v>
      </c>
      <c r="D1035" t="s">
        <v>110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45">
      <c r="A1036" t="s">
        <v>913</v>
      </c>
      <c r="B1036" t="s">
        <v>914</v>
      </c>
      <c r="C1036" t="s">
        <v>931</v>
      </c>
      <c r="D1036" t="s">
        <v>113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45">
      <c r="A1037" t="s">
        <v>913</v>
      </c>
      <c r="B1037" t="s">
        <v>914</v>
      </c>
      <c r="C1037" t="s">
        <v>932</v>
      </c>
      <c r="D1037" t="s">
        <v>110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45">
      <c r="A1038" t="s">
        <v>913</v>
      </c>
      <c r="B1038" t="s">
        <v>914</v>
      </c>
      <c r="C1038" t="s">
        <v>237</v>
      </c>
      <c r="D1038" t="s">
        <v>110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45">
      <c r="A1039" t="s">
        <v>913</v>
      </c>
      <c r="B1039" t="s">
        <v>914</v>
      </c>
      <c r="C1039" t="s">
        <v>454</v>
      </c>
      <c r="D1039" t="s">
        <v>113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45">
      <c r="A1040" t="s">
        <v>933</v>
      </c>
      <c r="B1040" t="s">
        <v>598</v>
      </c>
      <c r="C1040" t="s">
        <v>934</v>
      </c>
      <c r="D1040" t="s">
        <v>110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45">
      <c r="A1041" t="s">
        <v>933</v>
      </c>
      <c r="B1041" t="s">
        <v>598</v>
      </c>
      <c r="C1041" t="s">
        <v>935</v>
      </c>
      <c r="D1041" t="s">
        <v>110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45">
      <c r="A1042" t="s">
        <v>933</v>
      </c>
      <c r="B1042" t="s">
        <v>598</v>
      </c>
      <c r="C1042" t="s">
        <v>190</v>
      </c>
      <c r="D1042" t="s">
        <v>110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45">
      <c r="A1043" t="s">
        <v>933</v>
      </c>
      <c r="B1043" t="s">
        <v>598</v>
      </c>
      <c r="C1043" t="s">
        <v>191</v>
      </c>
      <c r="D1043" t="s">
        <v>110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45">
      <c r="A1044" t="s">
        <v>933</v>
      </c>
      <c r="B1044" t="s">
        <v>598</v>
      </c>
      <c r="C1044" t="s">
        <v>583</v>
      </c>
      <c r="D1044" t="s">
        <v>110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45">
      <c r="A1045" t="s">
        <v>933</v>
      </c>
      <c r="B1045" t="s">
        <v>598</v>
      </c>
      <c r="C1045" t="s">
        <v>292</v>
      </c>
      <c r="D1045" t="s">
        <v>110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45">
      <c r="A1046" t="s">
        <v>933</v>
      </c>
      <c r="B1046" t="s">
        <v>598</v>
      </c>
      <c r="C1046" t="s">
        <v>194</v>
      </c>
      <c r="D1046" t="s">
        <v>141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45">
      <c r="A1047" t="s">
        <v>933</v>
      </c>
      <c r="B1047" t="s">
        <v>598</v>
      </c>
      <c r="C1047" t="s">
        <v>936</v>
      </c>
      <c r="D1047" t="s">
        <v>110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45">
      <c r="A1048" t="s">
        <v>933</v>
      </c>
      <c r="B1048" t="s">
        <v>598</v>
      </c>
      <c r="C1048" t="s">
        <v>237</v>
      </c>
      <c r="D1048" t="s">
        <v>110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45">
      <c r="A1049" t="s">
        <v>933</v>
      </c>
      <c r="B1049" t="s">
        <v>598</v>
      </c>
      <c r="C1049" t="s">
        <v>937</v>
      </c>
      <c r="D1049" t="s">
        <v>110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45">
      <c r="A1050" t="s">
        <v>933</v>
      </c>
      <c r="B1050" t="s">
        <v>598</v>
      </c>
      <c r="C1050" t="s">
        <v>938</v>
      </c>
      <c r="D1050" t="s">
        <v>110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45">
      <c r="A1051" t="s">
        <v>933</v>
      </c>
      <c r="B1051" t="s">
        <v>598</v>
      </c>
      <c r="C1051" t="s">
        <v>199</v>
      </c>
      <c r="D1051" t="s">
        <v>110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45">
      <c r="A1052" t="s">
        <v>933</v>
      </c>
      <c r="B1052" t="s">
        <v>598</v>
      </c>
      <c r="C1052" t="s">
        <v>939</v>
      </c>
      <c r="D1052" t="s">
        <v>110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45">
      <c r="A1053" t="s">
        <v>933</v>
      </c>
      <c r="B1053" t="s">
        <v>598</v>
      </c>
      <c r="C1053" t="s">
        <v>201</v>
      </c>
      <c r="D1053" t="s">
        <v>110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45">
      <c r="A1054" t="s">
        <v>933</v>
      </c>
      <c r="B1054" t="s">
        <v>598</v>
      </c>
      <c r="C1054" t="s">
        <v>940</v>
      </c>
      <c r="D1054" t="s">
        <v>110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45">
      <c r="A1055" t="s">
        <v>933</v>
      </c>
      <c r="B1055" t="s">
        <v>598</v>
      </c>
      <c r="C1055" t="s">
        <v>941</v>
      </c>
      <c r="D1055" t="s">
        <v>110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45">
      <c r="A1056" t="s">
        <v>933</v>
      </c>
      <c r="B1056" t="s">
        <v>598</v>
      </c>
      <c r="C1056" t="s">
        <v>457</v>
      </c>
      <c r="D1056" t="s">
        <v>110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45">
      <c r="A1057" t="s">
        <v>933</v>
      </c>
      <c r="B1057" t="s">
        <v>598</v>
      </c>
      <c r="C1057" t="s">
        <v>552</v>
      </c>
      <c r="D1057" t="s">
        <v>110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45">
      <c r="A1058" t="s">
        <v>933</v>
      </c>
      <c r="B1058" t="s">
        <v>598</v>
      </c>
      <c r="C1058" t="s">
        <v>204</v>
      </c>
      <c r="D1058" t="s">
        <v>110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45">
      <c r="A1059" t="s">
        <v>933</v>
      </c>
      <c r="B1059" t="s">
        <v>598</v>
      </c>
      <c r="C1059" t="s">
        <v>205</v>
      </c>
      <c r="D1059" t="s">
        <v>110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45">
      <c r="A1060" t="s">
        <v>933</v>
      </c>
      <c r="B1060" t="s">
        <v>598</v>
      </c>
      <c r="C1060" t="s">
        <v>206</v>
      </c>
      <c r="D1060" t="s">
        <v>110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45">
      <c r="A1061" t="s">
        <v>933</v>
      </c>
      <c r="B1061" t="s">
        <v>598</v>
      </c>
      <c r="C1061" t="s">
        <v>942</v>
      </c>
      <c r="D1061" t="s">
        <v>110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45">
      <c r="A1062" t="s">
        <v>933</v>
      </c>
      <c r="B1062" t="s">
        <v>598</v>
      </c>
      <c r="C1062" t="s">
        <v>943</v>
      </c>
      <c r="D1062" t="s">
        <v>110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45">
      <c r="A1063" t="s">
        <v>933</v>
      </c>
      <c r="B1063" t="s">
        <v>598</v>
      </c>
      <c r="C1063" t="s">
        <v>944</v>
      </c>
      <c r="D1063" t="s">
        <v>110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45">
      <c r="A1064" t="s">
        <v>933</v>
      </c>
      <c r="B1064" t="s">
        <v>598</v>
      </c>
      <c r="C1064" t="s">
        <v>562</v>
      </c>
      <c r="D1064" t="s">
        <v>110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45">
      <c r="A1065" t="s">
        <v>933</v>
      </c>
      <c r="B1065" t="s">
        <v>598</v>
      </c>
      <c r="C1065" t="s">
        <v>945</v>
      </c>
      <c r="D1065" t="s">
        <v>110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45">
      <c r="A1066" t="s">
        <v>933</v>
      </c>
      <c r="B1066" t="s">
        <v>598</v>
      </c>
      <c r="C1066" t="s">
        <v>207</v>
      </c>
      <c r="D1066" t="s">
        <v>110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45">
      <c r="A1067" t="s">
        <v>933</v>
      </c>
      <c r="B1067" t="s">
        <v>598</v>
      </c>
      <c r="C1067" t="s">
        <v>946</v>
      </c>
      <c r="D1067" t="s">
        <v>110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45">
      <c r="A1068" t="s">
        <v>933</v>
      </c>
      <c r="B1068" t="s">
        <v>598</v>
      </c>
      <c r="C1068" t="s">
        <v>209</v>
      </c>
      <c r="D1068" t="s">
        <v>141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45">
      <c r="A1069" t="s">
        <v>933</v>
      </c>
      <c r="B1069" t="s">
        <v>598</v>
      </c>
      <c r="C1069" t="s">
        <v>947</v>
      </c>
      <c r="D1069" t="s">
        <v>110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45">
      <c r="A1070" t="s">
        <v>933</v>
      </c>
      <c r="B1070" t="s">
        <v>598</v>
      </c>
      <c r="C1070" t="s">
        <v>948</v>
      </c>
      <c r="D1070" t="s">
        <v>110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45">
      <c r="A1071" t="s">
        <v>933</v>
      </c>
      <c r="B1071" t="s">
        <v>598</v>
      </c>
      <c r="C1071" t="s">
        <v>462</v>
      </c>
      <c r="D1071" t="s">
        <v>110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45">
      <c r="A1072" t="s">
        <v>933</v>
      </c>
      <c r="B1072" t="s">
        <v>598</v>
      </c>
      <c r="C1072" t="s">
        <v>463</v>
      </c>
      <c r="D1072" t="s">
        <v>110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45">
      <c r="A1073" t="s">
        <v>933</v>
      </c>
      <c r="B1073" t="s">
        <v>598</v>
      </c>
      <c r="C1073" t="s">
        <v>949</v>
      </c>
      <c r="D1073" t="s">
        <v>110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45">
      <c r="A1074" t="s">
        <v>933</v>
      </c>
      <c r="B1074" t="s">
        <v>598</v>
      </c>
      <c r="C1074" t="s">
        <v>950</v>
      </c>
      <c r="D1074" t="s">
        <v>110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45">
      <c r="A1075" t="s">
        <v>933</v>
      </c>
      <c r="B1075" t="s">
        <v>598</v>
      </c>
      <c r="C1075" t="s">
        <v>951</v>
      </c>
      <c r="D1075" t="s">
        <v>141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45">
      <c r="A1076" t="s">
        <v>933</v>
      </c>
      <c r="B1076" t="s">
        <v>598</v>
      </c>
      <c r="C1076" t="s">
        <v>878</v>
      </c>
      <c r="D1076" t="s">
        <v>110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45">
      <c r="A1077" t="s">
        <v>933</v>
      </c>
      <c r="B1077" t="s">
        <v>598</v>
      </c>
      <c r="C1077" t="s">
        <v>212</v>
      </c>
      <c r="D1077" t="s">
        <v>110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45">
      <c r="A1078" t="s">
        <v>933</v>
      </c>
      <c r="B1078" t="s">
        <v>598</v>
      </c>
      <c r="C1078" t="s">
        <v>467</v>
      </c>
      <c r="D1078" t="s">
        <v>110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45">
      <c r="A1079" t="s">
        <v>933</v>
      </c>
      <c r="B1079" t="s">
        <v>598</v>
      </c>
      <c r="C1079" t="s">
        <v>313</v>
      </c>
      <c r="D1079" t="s">
        <v>110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45">
      <c r="A1080" t="s">
        <v>933</v>
      </c>
      <c r="B1080" t="s">
        <v>598</v>
      </c>
      <c r="C1080" t="s">
        <v>952</v>
      </c>
      <c r="D1080" t="s">
        <v>110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45">
      <c r="A1081" t="s">
        <v>933</v>
      </c>
      <c r="B1081" t="s">
        <v>598</v>
      </c>
      <c r="C1081" t="s">
        <v>953</v>
      </c>
      <c r="D1081" t="s">
        <v>110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45">
      <c r="A1082" t="s">
        <v>933</v>
      </c>
      <c r="B1082" t="s">
        <v>598</v>
      </c>
      <c r="C1082" t="s">
        <v>258</v>
      </c>
      <c r="D1082" t="s">
        <v>110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45">
      <c r="A1083" t="s">
        <v>933</v>
      </c>
      <c r="B1083" t="s">
        <v>598</v>
      </c>
      <c r="C1083" t="s">
        <v>954</v>
      </c>
      <c r="D1083" t="s">
        <v>110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45">
      <c r="A1084" t="s">
        <v>933</v>
      </c>
      <c r="B1084" t="s">
        <v>598</v>
      </c>
      <c r="C1084" t="s">
        <v>955</v>
      </c>
      <c r="D1084" t="s">
        <v>110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45">
      <c r="A1085" t="s">
        <v>933</v>
      </c>
      <c r="B1085" t="s">
        <v>598</v>
      </c>
      <c r="C1085" t="s">
        <v>405</v>
      </c>
      <c r="D1085" t="s">
        <v>110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45">
      <c r="A1086" t="s">
        <v>933</v>
      </c>
      <c r="B1086" t="s">
        <v>598</v>
      </c>
      <c r="C1086" t="s">
        <v>219</v>
      </c>
      <c r="D1086" t="s">
        <v>141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45">
      <c r="A1087" t="s">
        <v>933</v>
      </c>
      <c r="B1087" t="s">
        <v>598</v>
      </c>
      <c r="C1087" t="s">
        <v>406</v>
      </c>
      <c r="D1087" t="s">
        <v>110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45">
      <c r="A1088" t="s">
        <v>933</v>
      </c>
      <c r="B1088" t="s">
        <v>598</v>
      </c>
      <c r="C1088" t="s">
        <v>956</v>
      </c>
      <c r="D1088" t="s">
        <v>110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45">
      <c r="A1089" t="s">
        <v>933</v>
      </c>
      <c r="B1089" t="s">
        <v>598</v>
      </c>
      <c r="C1089" t="s">
        <v>957</v>
      </c>
      <c r="D1089" t="s">
        <v>110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45">
      <c r="A1090" t="s">
        <v>933</v>
      </c>
      <c r="B1090" t="s">
        <v>598</v>
      </c>
      <c r="C1090" t="s">
        <v>958</v>
      </c>
      <c r="D1090" t="s">
        <v>110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45">
      <c r="A1091" t="s">
        <v>959</v>
      </c>
      <c r="B1091" t="s">
        <v>960</v>
      </c>
      <c r="C1091" t="s">
        <v>496</v>
      </c>
      <c r="D1091" t="s">
        <v>141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45">
      <c r="A1092" t="s">
        <v>959</v>
      </c>
      <c r="B1092" t="s">
        <v>960</v>
      </c>
      <c r="C1092" t="s">
        <v>961</v>
      </c>
      <c r="D1092" t="s">
        <v>141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45">
      <c r="A1093" t="s">
        <v>959</v>
      </c>
      <c r="B1093" t="s">
        <v>960</v>
      </c>
      <c r="C1093" t="s">
        <v>962</v>
      </c>
      <c r="D1093" t="s">
        <v>141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45">
      <c r="A1094" t="s">
        <v>959</v>
      </c>
      <c r="B1094" t="s">
        <v>960</v>
      </c>
      <c r="C1094" t="s">
        <v>963</v>
      </c>
      <c r="D1094" t="s">
        <v>140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45">
      <c r="A1095" t="s">
        <v>959</v>
      </c>
      <c r="B1095" t="s">
        <v>960</v>
      </c>
      <c r="C1095" t="s">
        <v>964</v>
      </c>
      <c r="D1095" t="s">
        <v>141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45">
      <c r="A1096" t="s">
        <v>959</v>
      </c>
      <c r="B1096" t="s">
        <v>960</v>
      </c>
      <c r="C1096" t="s">
        <v>428</v>
      </c>
      <c r="D1096" t="s">
        <v>141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45">
      <c r="A1097" t="s">
        <v>959</v>
      </c>
      <c r="B1097" t="s">
        <v>960</v>
      </c>
      <c r="C1097" t="s">
        <v>349</v>
      </c>
      <c r="D1097" t="s">
        <v>141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45">
      <c r="A1098" t="s">
        <v>959</v>
      </c>
      <c r="B1098" t="s">
        <v>960</v>
      </c>
      <c r="C1098" t="s">
        <v>965</v>
      </c>
      <c r="D1098" t="s">
        <v>141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45">
      <c r="A1099" t="s">
        <v>959</v>
      </c>
      <c r="B1099" t="s">
        <v>960</v>
      </c>
      <c r="C1099" t="s">
        <v>966</v>
      </c>
      <c r="D1099" t="s">
        <v>141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45">
      <c r="A1100" t="s">
        <v>959</v>
      </c>
      <c r="B1100" t="s">
        <v>960</v>
      </c>
      <c r="C1100" t="s">
        <v>780</v>
      </c>
      <c r="D1100" t="s">
        <v>141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45">
      <c r="A1101" t="s">
        <v>959</v>
      </c>
      <c r="B1101" t="s">
        <v>960</v>
      </c>
      <c r="C1101" t="s">
        <v>160</v>
      </c>
      <c r="D1101" t="s">
        <v>141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45">
      <c r="A1102" t="s">
        <v>959</v>
      </c>
      <c r="B1102" t="s">
        <v>960</v>
      </c>
      <c r="C1102" t="s">
        <v>163</v>
      </c>
      <c r="D1102" t="s">
        <v>141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45">
      <c r="A1103" t="s">
        <v>959</v>
      </c>
      <c r="B1103" t="s">
        <v>960</v>
      </c>
      <c r="C1103" t="s">
        <v>967</v>
      </c>
      <c r="D1103" t="s">
        <v>140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45">
      <c r="A1104" t="s">
        <v>959</v>
      </c>
      <c r="B1104" t="s">
        <v>960</v>
      </c>
      <c r="C1104" t="s">
        <v>968</v>
      </c>
      <c r="D1104" t="s">
        <v>141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45">
      <c r="A1105" t="s">
        <v>969</v>
      </c>
      <c r="B1105" t="s">
        <v>970</v>
      </c>
      <c r="C1105" t="s">
        <v>971</v>
      </c>
      <c r="D1105" t="s">
        <v>112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45">
      <c r="A1106" t="s">
        <v>969</v>
      </c>
      <c r="B1106" t="s">
        <v>970</v>
      </c>
      <c r="C1106" t="s">
        <v>972</v>
      </c>
      <c r="D1106" t="s">
        <v>112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45">
      <c r="A1107" t="s">
        <v>969</v>
      </c>
      <c r="B1107" t="s">
        <v>970</v>
      </c>
      <c r="C1107" t="s">
        <v>365</v>
      </c>
      <c r="D1107" t="s">
        <v>112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45">
      <c r="A1108" t="s">
        <v>969</v>
      </c>
      <c r="B1108" t="s">
        <v>970</v>
      </c>
      <c r="C1108" t="s">
        <v>973</v>
      </c>
      <c r="D1108" t="s">
        <v>112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45">
      <c r="A1109" t="s">
        <v>969</v>
      </c>
      <c r="B1109" t="s">
        <v>970</v>
      </c>
      <c r="C1109" t="s">
        <v>974</v>
      </c>
      <c r="D1109" t="s">
        <v>110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45">
      <c r="A1110" t="s">
        <v>969</v>
      </c>
      <c r="B1110" t="s">
        <v>970</v>
      </c>
      <c r="C1110" t="s">
        <v>975</v>
      </c>
      <c r="D1110" t="s">
        <v>112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45">
      <c r="A1111" t="s">
        <v>969</v>
      </c>
      <c r="B1111" t="s">
        <v>970</v>
      </c>
      <c r="C1111" t="s">
        <v>976</v>
      </c>
      <c r="D1111" t="s">
        <v>110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45">
      <c r="A1112" t="s">
        <v>969</v>
      </c>
      <c r="B1112" t="s">
        <v>970</v>
      </c>
      <c r="C1112" t="s">
        <v>278</v>
      </c>
      <c r="D1112" t="s">
        <v>112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45">
      <c r="A1113" t="s">
        <v>969</v>
      </c>
      <c r="B1113" t="s">
        <v>970</v>
      </c>
      <c r="C1113" t="s">
        <v>977</v>
      </c>
      <c r="D1113" t="s">
        <v>110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45">
      <c r="A1114" t="s">
        <v>969</v>
      </c>
      <c r="B1114" t="s">
        <v>970</v>
      </c>
      <c r="C1114" t="s">
        <v>227</v>
      </c>
      <c r="D1114" t="s">
        <v>110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45">
      <c r="A1115" t="s">
        <v>969</v>
      </c>
      <c r="B1115" t="s">
        <v>970</v>
      </c>
      <c r="C1115" t="s">
        <v>978</v>
      </c>
      <c r="D1115" t="s">
        <v>110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45">
      <c r="A1116" t="s">
        <v>969</v>
      </c>
      <c r="B1116" t="s">
        <v>970</v>
      </c>
      <c r="C1116" t="s">
        <v>979</v>
      </c>
      <c r="D1116" t="s">
        <v>110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45">
      <c r="A1117" t="s">
        <v>969</v>
      </c>
      <c r="B1117" t="s">
        <v>970</v>
      </c>
      <c r="C1117" t="s">
        <v>190</v>
      </c>
      <c r="D1117" t="s">
        <v>112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45">
      <c r="A1118" t="s">
        <v>969</v>
      </c>
      <c r="B1118" t="s">
        <v>970</v>
      </c>
      <c r="C1118" t="s">
        <v>191</v>
      </c>
      <c r="D1118" t="s">
        <v>110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45">
      <c r="A1119" t="s">
        <v>969</v>
      </c>
      <c r="B1119" t="s">
        <v>970</v>
      </c>
      <c r="C1119" t="s">
        <v>980</v>
      </c>
      <c r="D1119" t="s">
        <v>112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45">
      <c r="A1120" t="s">
        <v>969</v>
      </c>
      <c r="B1120" t="s">
        <v>970</v>
      </c>
      <c r="C1120" t="s">
        <v>981</v>
      </c>
      <c r="D1120" t="s">
        <v>110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45">
      <c r="A1121" t="s">
        <v>969</v>
      </c>
      <c r="B1121" t="s">
        <v>970</v>
      </c>
      <c r="C1121" t="s">
        <v>292</v>
      </c>
      <c r="D1121" t="s">
        <v>110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45">
      <c r="A1122" t="s">
        <v>969</v>
      </c>
      <c r="B1122" t="s">
        <v>970</v>
      </c>
      <c r="C1122" t="s">
        <v>546</v>
      </c>
      <c r="D1122" t="s">
        <v>112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45">
      <c r="A1123" t="s">
        <v>969</v>
      </c>
      <c r="B1123" t="s">
        <v>970</v>
      </c>
      <c r="C1123" t="s">
        <v>235</v>
      </c>
      <c r="D1123" t="s">
        <v>112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45">
      <c r="A1124" t="s">
        <v>969</v>
      </c>
      <c r="B1124" t="s">
        <v>970</v>
      </c>
      <c r="C1124" t="s">
        <v>548</v>
      </c>
      <c r="D1124" t="s">
        <v>112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45">
      <c r="A1125" t="s">
        <v>969</v>
      </c>
      <c r="B1125" t="s">
        <v>970</v>
      </c>
      <c r="C1125" t="s">
        <v>982</v>
      </c>
      <c r="D1125" t="s">
        <v>110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45">
      <c r="A1126" t="s">
        <v>969</v>
      </c>
      <c r="B1126" t="s">
        <v>970</v>
      </c>
      <c r="C1126" t="s">
        <v>201</v>
      </c>
      <c r="D1126" t="s">
        <v>112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45">
      <c r="A1127" t="s">
        <v>969</v>
      </c>
      <c r="B1127" t="s">
        <v>970</v>
      </c>
      <c r="C1127" t="s">
        <v>942</v>
      </c>
      <c r="D1127" t="s">
        <v>110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45">
      <c r="A1128" t="s">
        <v>969</v>
      </c>
      <c r="B1128" t="s">
        <v>970</v>
      </c>
      <c r="C1128" t="s">
        <v>983</v>
      </c>
      <c r="D1128" t="s">
        <v>112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45">
      <c r="A1129" t="s">
        <v>969</v>
      </c>
      <c r="B1129" t="s">
        <v>970</v>
      </c>
      <c r="C1129" t="s">
        <v>246</v>
      </c>
      <c r="D1129" t="s">
        <v>112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45">
      <c r="A1130" t="s">
        <v>969</v>
      </c>
      <c r="B1130" t="s">
        <v>970</v>
      </c>
      <c r="C1130" t="s">
        <v>825</v>
      </c>
      <c r="D1130" t="s">
        <v>110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45">
      <c r="A1131" t="s">
        <v>969</v>
      </c>
      <c r="B1131" t="s">
        <v>970</v>
      </c>
      <c r="C1131" t="s">
        <v>984</v>
      </c>
      <c r="D1131" t="s">
        <v>112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45">
      <c r="A1132" t="s">
        <v>969</v>
      </c>
      <c r="B1132" t="s">
        <v>970</v>
      </c>
      <c r="C1132" t="s">
        <v>985</v>
      </c>
      <c r="D1132" t="s">
        <v>110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45">
      <c r="A1133" t="s">
        <v>969</v>
      </c>
      <c r="B1133" t="s">
        <v>970</v>
      </c>
      <c r="C1133" t="s">
        <v>258</v>
      </c>
      <c r="D1133" t="s">
        <v>110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45">
      <c r="A1134" t="s">
        <v>969</v>
      </c>
      <c r="B1134" t="s">
        <v>970</v>
      </c>
      <c r="C1134" t="s">
        <v>986</v>
      </c>
      <c r="D1134" t="s">
        <v>110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45">
      <c r="A1135" t="s">
        <v>969</v>
      </c>
      <c r="B1135" t="s">
        <v>970</v>
      </c>
      <c r="C1135" t="s">
        <v>987</v>
      </c>
      <c r="D1135" t="s">
        <v>110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45">
      <c r="A1136" t="s">
        <v>969</v>
      </c>
      <c r="B1136" t="s">
        <v>970</v>
      </c>
      <c r="C1136" t="s">
        <v>219</v>
      </c>
      <c r="D1136" t="s">
        <v>112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45">
      <c r="A1137" t="s">
        <v>969</v>
      </c>
      <c r="B1137" t="s">
        <v>970</v>
      </c>
      <c r="C1137" t="s">
        <v>408</v>
      </c>
      <c r="D1137" t="s">
        <v>110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45">
      <c r="A1138" t="s">
        <v>969</v>
      </c>
      <c r="B1138" t="s">
        <v>970</v>
      </c>
      <c r="C1138" t="s">
        <v>988</v>
      </c>
      <c r="D1138" t="s">
        <v>112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45">
      <c r="A1139" t="s">
        <v>989</v>
      </c>
      <c r="B1139" t="s">
        <v>990</v>
      </c>
      <c r="C1139" t="s">
        <v>423</v>
      </c>
      <c r="D1139" t="s">
        <v>110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45">
      <c r="A1140" t="s">
        <v>989</v>
      </c>
      <c r="B1140" t="s">
        <v>990</v>
      </c>
      <c r="C1140" t="s">
        <v>991</v>
      </c>
      <c r="D1140" t="s">
        <v>110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45">
      <c r="A1141" t="s">
        <v>989</v>
      </c>
      <c r="B1141" t="s">
        <v>990</v>
      </c>
      <c r="C1141" t="s">
        <v>992</v>
      </c>
      <c r="D1141" t="s">
        <v>110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45">
      <c r="A1142" t="s">
        <v>989</v>
      </c>
      <c r="B1142" t="s">
        <v>990</v>
      </c>
      <c r="C1142" t="s">
        <v>963</v>
      </c>
      <c r="D1142" t="s">
        <v>110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45">
      <c r="A1143" t="s">
        <v>989</v>
      </c>
      <c r="B1143" t="s">
        <v>990</v>
      </c>
      <c r="C1143" t="s">
        <v>993</v>
      </c>
      <c r="D1143" t="s">
        <v>110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45">
      <c r="A1144" t="s">
        <v>989</v>
      </c>
      <c r="B1144" t="s">
        <v>990</v>
      </c>
      <c r="C1144" t="s">
        <v>994</v>
      </c>
      <c r="D1144" t="s">
        <v>110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45">
      <c r="A1145" t="s">
        <v>989</v>
      </c>
      <c r="B1145" t="s">
        <v>990</v>
      </c>
      <c r="C1145" t="s">
        <v>995</v>
      </c>
      <c r="D1145" t="s">
        <v>110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45">
      <c r="A1146" t="s">
        <v>989</v>
      </c>
      <c r="B1146" t="s">
        <v>990</v>
      </c>
      <c r="C1146" t="s">
        <v>337</v>
      </c>
      <c r="D1146" t="s">
        <v>110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45">
      <c r="A1147" t="s">
        <v>989</v>
      </c>
      <c r="B1147" t="s">
        <v>990</v>
      </c>
      <c r="C1147" t="s">
        <v>996</v>
      </c>
      <c r="D1147" t="s">
        <v>141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45">
      <c r="A1148" t="s">
        <v>989</v>
      </c>
      <c r="B1148" t="s">
        <v>990</v>
      </c>
      <c r="C1148" t="s">
        <v>154</v>
      </c>
      <c r="D1148" t="s">
        <v>110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45">
      <c r="A1149" t="s">
        <v>989</v>
      </c>
      <c r="B1149" t="s">
        <v>990</v>
      </c>
      <c r="C1149" t="s">
        <v>997</v>
      </c>
      <c r="D1149" t="s">
        <v>110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45">
      <c r="A1150" t="s">
        <v>989</v>
      </c>
      <c r="B1150" t="s">
        <v>990</v>
      </c>
      <c r="C1150" t="s">
        <v>998</v>
      </c>
      <c r="D1150" t="s">
        <v>110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45">
      <c r="A1151" t="s">
        <v>989</v>
      </c>
      <c r="B1151" t="s">
        <v>990</v>
      </c>
      <c r="C1151" t="s">
        <v>779</v>
      </c>
      <c r="D1151" t="s">
        <v>110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45">
      <c r="A1152" t="s">
        <v>989</v>
      </c>
      <c r="B1152" t="s">
        <v>990</v>
      </c>
      <c r="C1152" t="s">
        <v>999</v>
      </c>
      <c r="D1152" t="s">
        <v>110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45">
      <c r="A1153" t="s">
        <v>989</v>
      </c>
      <c r="B1153" t="s">
        <v>990</v>
      </c>
      <c r="C1153" t="s">
        <v>1000</v>
      </c>
      <c r="D1153" t="s">
        <v>141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45">
      <c r="A1154" t="s">
        <v>989</v>
      </c>
      <c r="B1154" t="s">
        <v>990</v>
      </c>
      <c r="C1154" t="s">
        <v>1001</v>
      </c>
      <c r="D1154" t="s">
        <v>110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45">
      <c r="A1155" t="s">
        <v>989</v>
      </c>
      <c r="B1155" t="s">
        <v>990</v>
      </c>
      <c r="C1155" t="s">
        <v>1002</v>
      </c>
      <c r="D1155" t="s">
        <v>110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45">
      <c r="A1156" t="s">
        <v>989</v>
      </c>
      <c r="B1156" t="s">
        <v>990</v>
      </c>
      <c r="C1156" t="s">
        <v>486</v>
      </c>
      <c r="D1156" t="s">
        <v>110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45">
      <c r="A1157" t="s">
        <v>989</v>
      </c>
      <c r="B1157" t="s">
        <v>990</v>
      </c>
      <c r="C1157" t="s">
        <v>365</v>
      </c>
      <c r="D1157" t="s">
        <v>110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45">
      <c r="A1158" t="s">
        <v>989</v>
      </c>
      <c r="B1158" t="s">
        <v>990</v>
      </c>
      <c r="C1158" t="s">
        <v>368</v>
      </c>
      <c r="D1158" t="s">
        <v>110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45">
      <c r="A1159" t="s">
        <v>989</v>
      </c>
      <c r="B1159" t="s">
        <v>990</v>
      </c>
      <c r="C1159" t="s">
        <v>624</v>
      </c>
      <c r="D1159" t="s">
        <v>110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45">
      <c r="A1160" t="s">
        <v>989</v>
      </c>
      <c r="B1160" t="s">
        <v>990</v>
      </c>
      <c r="C1160" t="s">
        <v>1003</v>
      </c>
      <c r="D1160" t="s">
        <v>110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45">
      <c r="A1161" t="s">
        <v>989</v>
      </c>
      <c r="B1161" t="s">
        <v>990</v>
      </c>
      <c r="C1161" t="s">
        <v>328</v>
      </c>
      <c r="D1161" t="s">
        <v>141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45">
      <c r="A1162" t="s">
        <v>989</v>
      </c>
      <c r="B1162" t="s">
        <v>990</v>
      </c>
      <c r="C1162" t="s">
        <v>527</v>
      </c>
      <c r="D1162" t="s">
        <v>110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45">
      <c r="A1163" t="s">
        <v>989</v>
      </c>
      <c r="B1163" t="s">
        <v>990</v>
      </c>
      <c r="C1163" t="s">
        <v>858</v>
      </c>
      <c r="D1163" t="s">
        <v>110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45">
      <c r="A1164" t="s">
        <v>989</v>
      </c>
      <c r="B1164" t="s">
        <v>990</v>
      </c>
      <c r="C1164" t="s">
        <v>183</v>
      </c>
      <c r="D1164" t="s">
        <v>110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45">
      <c r="A1165" t="s">
        <v>989</v>
      </c>
      <c r="B1165" t="s">
        <v>990</v>
      </c>
      <c r="C1165" t="s">
        <v>1004</v>
      </c>
      <c r="D1165" t="s">
        <v>110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45">
      <c r="A1166" t="s">
        <v>989</v>
      </c>
      <c r="B1166" t="s">
        <v>990</v>
      </c>
      <c r="C1166" t="s">
        <v>184</v>
      </c>
      <c r="D1166" t="s">
        <v>110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45">
      <c r="A1167" t="s">
        <v>989</v>
      </c>
      <c r="B1167" t="s">
        <v>990</v>
      </c>
      <c r="C1167" t="s">
        <v>225</v>
      </c>
      <c r="D1167" t="s">
        <v>110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45">
      <c r="A1168" t="s">
        <v>989</v>
      </c>
      <c r="B1168" t="s">
        <v>990</v>
      </c>
      <c r="C1168" t="s">
        <v>186</v>
      </c>
      <c r="D1168" t="s">
        <v>110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45">
      <c r="A1169" t="s">
        <v>989</v>
      </c>
      <c r="B1169" t="s">
        <v>990</v>
      </c>
      <c r="C1169" t="s">
        <v>1005</v>
      </c>
      <c r="D1169" t="s">
        <v>110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45">
      <c r="A1170" t="s">
        <v>1006</v>
      </c>
      <c r="B1170" t="s">
        <v>1007</v>
      </c>
      <c r="C1170" t="s">
        <v>1008</v>
      </c>
      <c r="D1170" t="s">
        <v>137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45">
      <c r="A1171" t="s">
        <v>1006</v>
      </c>
      <c r="B1171" t="s">
        <v>1007</v>
      </c>
      <c r="C1171" t="s">
        <v>1009</v>
      </c>
      <c r="D1171" t="s">
        <v>137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45">
      <c r="A1172" t="s">
        <v>1006</v>
      </c>
      <c r="B1172" t="s">
        <v>1007</v>
      </c>
      <c r="C1172" t="s">
        <v>520</v>
      </c>
      <c r="D1172" t="s">
        <v>137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45">
      <c r="A1173" t="s">
        <v>1006</v>
      </c>
      <c r="B1173" t="s">
        <v>1007</v>
      </c>
      <c r="C1173" t="s">
        <v>1010</v>
      </c>
      <c r="D1173" t="s">
        <v>141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45">
      <c r="A1174" t="s">
        <v>1006</v>
      </c>
      <c r="B1174" t="s">
        <v>1007</v>
      </c>
      <c r="C1174" t="s">
        <v>808</v>
      </c>
      <c r="D1174" t="s">
        <v>141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45">
      <c r="A1175" t="s">
        <v>1006</v>
      </c>
      <c r="B1175" t="s">
        <v>1007</v>
      </c>
      <c r="C1175" t="s">
        <v>1011</v>
      </c>
      <c r="D1175" t="s">
        <v>141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45">
      <c r="A1176" t="s">
        <v>1006</v>
      </c>
      <c r="B1176" t="s">
        <v>1007</v>
      </c>
      <c r="C1176" t="s">
        <v>195</v>
      </c>
      <c r="D1176" t="s">
        <v>141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45">
      <c r="A1177" t="s">
        <v>1006</v>
      </c>
      <c r="B1177" t="s">
        <v>1007</v>
      </c>
      <c r="C1177" t="s">
        <v>1012</v>
      </c>
      <c r="D1177" t="s">
        <v>141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45">
      <c r="A1178" t="s">
        <v>1006</v>
      </c>
      <c r="B1178" t="s">
        <v>1007</v>
      </c>
      <c r="C1178" t="s">
        <v>201</v>
      </c>
      <c r="D1178" t="s">
        <v>141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45">
      <c r="A1179" t="s">
        <v>1006</v>
      </c>
      <c r="B1179" t="s">
        <v>1007</v>
      </c>
      <c r="C1179" t="s">
        <v>1013</v>
      </c>
      <c r="D1179" t="s">
        <v>141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45">
      <c r="A1180" t="s">
        <v>1006</v>
      </c>
      <c r="B1180" t="s">
        <v>1007</v>
      </c>
      <c r="C1180" t="s">
        <v>1014</v>
      </c>
      <c r="D1180" t="s">
        <v>141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45">
      <c r="A1181" t="s">
        <v>1006</v>
      </c>
      <c r="B1181" t="s">
        <v>1007</v>
      </c>
      <c r="C1181" t="s">
        <v>1015</v>
      </c>
      <c r="D1181" t="s">
        <v>141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45">
      <c r="A1182" t="s">
        <v>1006</v>
      </c>
      <c r="B1182" t="s">
        <v>1007</v>
      </c>
      <c r="C1182" t="s">
        <v>1016</v>
      </c>
      <c r="D1182" t="s">
        <v>141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45">
      <c r="A1183" t="s">
        <v>1006</v>
      </c>
      <c r="B1183" t="s">
        <v>1007</v>
      </c>
      <c r="C1183" t="s">
        <v>1017</v>
      </c>
      <c r="D1183" t="s">
        <v>141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45">
      <c r="A1184" t="s">
        <v>1006</v>
      </c>
      <c r="B1184" t="s">
        <v>1007</v>
      </c>
      <c r="C1184" t="s">
        <v>208</v>
      </c>
      <c r="D1184" t="s">
        <v>141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45">
      <c r="A1185" t="s">
        <v>1006</v>
      </c>
      <c r="B1185" t="s">
        <v>1007</v>
      </c>
      <c r="C1185" t="s">
        <v>463</v>
      </c>
      <c r="D1185" t="s">
        <v>141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45">
      <c r="A1186" t="s">
        <v>1006</v>
      </c>
      <c r="B1186" t="s">
        <v>1007</v>
      </c>
      <c r="C1186" t="s">
        <v>1018</v>
      </c>
      <c r="D1186" t="s">
        <v>141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45">
      <c r="A1187" t="s">
        <v>1006</v>
      </c>
      <c r="B1187" t="s">
        <v>1007</v>
      </c>
      <c r="C1187" t="s">
        <v>1019</v>
      </c>
      <c r="D1187" t="s">
        <v>141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45">
      <c r="A1188" t="s">
        <v>1006</v>
      </c>
      <c r="B1188" t="s">
        <v>1007</v>
      </c>
      <c r="C1188" t="s">
        <v>214</v>
      </c>
      <c r="D1188" t="s">
        <v>141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45">
      <c r="A1189" t="s">
        <v>1006</v>
      </c>
      <c r="B1189" t="s">
        <v>1007</v>
      </c>
      <c r="C1189" t="s">
        <v>258</v>
      </c>
      <c r="D1189" t="s">
        <v>141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45">
      <c r="A1190" t="s">
        <v>1006</v>
      </c>
      <c r="B1190" t="s">
        <v>1007</v>
      </c>
      <c r="C1190" t="s">
        <v>1020</v>
      </c>
      <c r="D1190" t="s">
        <v>141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45">
      <c r="A1191" t="s">
        <v>1006</v>
      </c>
      <c r="B1191" t="s">
        <v>1007</v>
      </c>
      <c r="C1191" t="s">
        <v>632</v>
      </c>
      <c r="D1191" t="s">
        <v>141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45">
      <c r="A1192" t="s">
        <v>1021</v>
      </c>
      <c r="B1192" t="s">
        <v>1022</v>
      </c>
      <c r="C1192" t="s">
        <v>1023</v>
      </c>
      <c r="D1192" t="s">
        <v>110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45">
      <c r="A1193" t="s">
        <v>1021</v>
      </c>
      <c r="B1193" t="s">
        <v>1022</v>
      </c>
      <c r="C1193" t="s">
        <v>1024</v>
      </c>
      <c r="D1193" t="s">
        <v>110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45">
      <c r="A1194" t="s">
        <v>1021</v>
      </c>
      <c r="B1194" t="s">
        <v>1022</v>
      </c>
      <c r="C1194" t="s">
        <v>1025</v>
      </c>
      <c r="D1194" t="s">
        <v>110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45">
      <c r="A1195" t="s">
        <v>1021</v>
      </c>
      <c r="B1195" t="s">
        <v>1022</v>
      </c>
      <c r="C1195" t="s">
        <v>1026</v>
      </c>
      <c r="D1195" t="s">
        <v>110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45">
      <c r="A1196" t="s">
        <v>1021</v>
      </c>
      <c r="B1196" t="s">
        <v>1022</v>
      </c>
      <c r="C1196" t="s">
        <v>1027</v>
      </c>
      <c r="D1196" t="s">
        <v>110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45">
      <c r="A1197" t="s">
        <v>1021</v>
      </c>
      <c r="B1197" t="s">
        <v>1022</v>
      </c>
      <c r="C1197" t="s">
        <v>484</v>
      </c>
      <c r="D1197" t="s">
        <v>110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45">
      <c r="A1198" t="s">
        <v>1021</v>
      </c>
      <c r="B1198" t="s">
        <v>1022</v>
      </c>
      <c r="C1198" t="s">
        <v>1028</v>
      </c>
      <c r="D1198" t="s">
        <v>110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45">
      <c r="A1199" t="s">
        <v>1021</v>
      </c>
      <c r="B1199" t="s">
        <v>1022</v>
      </c>
      <c r="C1199" t="s">
        <v>1029</v>
      </c>
      <c r="D1199" t="s">
        <v>110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45">
      <c r="A1200" t="s">
        <v>1021</v>
      </c>
      <c r="B1200" t="s">
        <v>1022</v>
      </c>
      <c r="C1200" t="s">
        <v>268</v>
      </c>
      <c r="D1200" t="s">
        <v>110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45">
      <c r="A1201" t="s">
        <v>1021</v>
      </c>
      <c r="B1201" t="s">
        <v>1022</v>
      </c>
      <c r="C1201" t="s">
        <v>1030</v>
      </c>
      <c r="D1201" t="s">
        <v>110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45">
      <c r="A1202" t="s">
        <v>1021</v>
      </c>
      <c r="B1202" t="s">
        <v>1022</v>
      </c>
      <c r="C1202" t="s">
        <v>1031</v>
      </c>
      <c r="D1202" t="s">
        <v>110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45">
      <c r="A1203" t="s">
        <v>1021</v>
      </c>
      <c r="B1203" t="s">
        <v>1022</v>
      </c>
      <c r="C1203" t="s">
        <v>437</v>
      </c>
      <c r="D1203" t="s">
        <v>110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45">
      <c r="A1204" t="s">
        <v>1021</v>
      </c>
      <c r="B1204" t="s">
        <v>1022</v>
      </c>
      <c r="C1204" t="s">
        <v>166</v>
      </c>
      <c r="D1204" t="s">
        <v>110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45">
      <c r="A1205" t="s">
        <v>1021</v>
      </c>
      <c r="B1205" t="s">
        <v>1022</v>
      </c>
      <c r="C1205" t="s">
        <v>1032</v>
      </c>
      <c r="D1205" t="s">
        <v>110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45">
      <c r="A1206" t="s">
        <v>1021</v>
      </c>
      <c r="B1206" t="s">
        <v>1022</v>
      </c>
      <c r="C1206" t="s">
        <v>1033</v>
      </c>
      <c r="D1206" t="s">
        <v>110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45">
      <c r="A1207" t="s">
        <v>1021</v>
      </c>
      <c r="B1207" t="s">
        <v>1022</v>
      </c>
      <c r="C1207" t="s">
        <v>439</v>
      </c>
      <c r="D1207" t="s">
        <v>110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45">
      <c r="A1208" t="s">
        <v>1021</v>
      </c>
      <c r="B1208" t="s">
        <v>1022</v>
      </c>
      <c r="C1208" t="s">
        <v>1034</v>
      </c>
      <c r="D1208" t="s">
        <v>110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45">
      <c r="A1209" t="s">
        <v>1021</v>
      </c>
      <c r="B1209" t="s">
        <v>1022</v>
      </c>
      <c r="C1209" t="s">
        <v>1035</v>
      </c>
      <c r="D1209" t="s">
        <v>110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45">
      <c r="A1210" t="s">
        <v>1021</v>
      </c>
      <c r="B1210" t="s">
        <v>1022</v>
      </c>
      <c r="C1210" t="s">
        <v>1036</v>
      </c>
      <c r="D1210" t="s">
        <v>110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45">
      <c r="A1211" t="s">
        <v>1021</v>
      </c>
      <c r="B1211" t="s">
        <v>1022</v>
      </c>
      <c r="C1211" t="s">
        <v>1037</v>
      </c>
      <c r="D1211" t="s">
        <v>110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45">
      <c r="A1212" t="s">
        <v>1021</v>
      </c>
      <c r="B1212" t="s">
        <v>1022</v>
      </c>
      <c r="C1212" t="s">
        <v>278</v>
      </c>
      <c r="D1212" t="s">
        <v>110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45">
      <c r="A1213" t="s">
        <v>1021</v>
      </c>
      <c r="B1213" t="s">
        <v>1022</v>
      </c>
      <c r="C1213" t="s">
        <v>1038</v>
      </c>
      <c r="D1213" t="s">
        <v>110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45">
      <c r="A1214" t="s">
        <v>1021</v>
      </c>
      <c r="B1214" t="s">
        <v>1022</v>
      </c>
      <c r="C1214" t="s">
        <v>1039</v>
      </c>
      <c r="D1214" t="s">
        <v>110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45">
      <c r="A1215" t="s">
        <v>1021</v>
      </c>
      <c r="B1215" t="s">
        <v>1022</v>
      </c>
      <c r="C1215" t="s">
        <v>1040</v>
      </c>
      <c r="D1215" t="s">
        <v>110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45">
      <c r="A1216" t="s">
        <v>1021</v>
      </c>
      <c r="B1216" t="s">
        <v>1022</v>
      </c>
      <c r="C1216" t="s">
        <v>227</v>
      </c>
      <c r="D1216" t="s">
        <v>110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45">
      <c r="A1217" t="s">
        <v>1021</v>
      </c>
      <c r="B1217" t="s">
        <v>1022</v>
      </c>
      <c r="C1217" t="s">
        <v>1041</v>
      </c>
      <c r="D1217" t="s">
        <v>110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45">
      <c r="A1218" t="s">
        <v>1021</v>
      </c>
      <c r="B1218" t="s">
        <v>1022</v>
      </c>
      <c r="C1218" t="s">
        <v>1042</v>
      </c>
      <c r="D1218" t="s">
        <v>110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45">
      <c r="A1219" t="s">
        <v>1021</v>
      </c>
      <c r="B1219" t="s">
        <v>1022</v>
      </c>
      <c r="C1219" t="s">
        <v>1043</v>
      </c>
      <c r="D1219" t="s">
        <v>110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45">
      <c r="A1220" t="s">
        <v>1021</v>
      </c>
      <c r="B1220" t="s">
        <v>1022</v>
      </c>
      <c r="C1220" t="s">
        <v>1044</v>
      </c>
      <c r="D1220" t="s">
        <v>110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45">
      <c r="A1221" t="s">
        <v>1021</v>
      </c>
      <c r="B1221" t="s">
        <v>1022</v>
      </c>
      <c r="C1221" t="s">
        <v>1045</v>
      </c>
      <c r="D1221" t="s">
        <v>110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45">
      <c r="A1222" t="s">
        <v>1021</v>
      </c>
      <c r="B1222" t="s">
        <v>1022</v>
      </c>
      <c r="C1222" t="s">
        <v>1046</v>
      </c>
      <c r="D1222" t="s">
        <v>110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45">
      <c r="A1223" t="s">
        <v>1021</v>
      </c>
      <c r="B1223" t="s">
        <v>1022</v>
      </c>
      <c r="C1223" t="s">
        <v>1047</v>
      </c>
      <c r="D1223" t="s">
        <v>110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45">
      <c r="A1224" t="s">
        <v>1021</v>
      </c>
      <c r="B1224" t="s">
        <v>1022</v>
      </c>
      <c r="C1224" t="s">
        <v>1048</v>
      </c>
      <c r="D1224" t="s">
        <v>110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45">
      <c r="A1225" t="s">
        <v>1021</v>
      </c>
      <c r="B1225" t="s">
        <v>1022</v>
      </c>
      <c r="C1225" t="s">
        <v>1049</v>
      </c>
      <c r="D1225" t="s">
        <v>110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45">
      <c r="A1226" t="s">
        <v>1021</v>
      </c>
      <c r="B1226" t="s">
        <v>1022</v>
      </c>
      <c r="C1226" t="s">
        <v>190</v>
      </c>
      <c r="D1226" t="s">
        <v>110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45">
      <c r="A1227" t="s">
        <v>1021</v>
      </c>
      <c r="B1227" t="s">
        <v>1022</v>
      </c>
      <c r="C1227" t="s">
        <v>1050</v>
      </c>
      <c r="D1227" t="s">
        <v>110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45">
      <c r="A1228" t="s">
        <v>1021</v>
      </c>
      <c r="B1228" t="s">
        <v>1022</v>
      </c>
      <c r="C1228" t="s">
        <v>521</v>
      </c>
      <c r="D1228" t="s">
        <v>110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45">
      <c r="A1229" t="s">
        <v>1021</v>
      </c>
      <c r="B1229" t="s">
        <v>1022</v>
      </c>
      <c r="C1229" t="s">
        <v>1051</v>
      </c>
      <c r="D1229" t="s">
        <v>110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45">
      <c r="A1230" t="s">
        <v>1021</v>
      </c>
      <c r="B1230" t="s">
        <v>1022</v>
      </c>
      <c r="C1230" t="s">
        <v>292</v>
      </c>
      <c r="D1230" t="s">
        <v>110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45">
      <c r="A1231" t="s">
        <v>1021</v>
      </c>
      <c r="B1231" t="s">
        <v>1022</v>
      </c>
      <c r="C1231" t="s">
        <v>194</v>
      </c>
      <c r="D1231" t="s">
        <v>110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45">
      <c r="A1232" t="s">
        <v>1021</v>
      </c>
      <c r="B1232" t="s">
        <v>1022</v>
      </c>
      <c r="C1232" t="s">
        <v>235</v>
      </c>
      <c r="D1232" t="s">
        <v>110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45">
      <c r="A1233" t="s">
        <v>1021</v>
      </c>
      <c r="B1233" t="s">
        <v>1022</v>
      </c>
      <c r="C1233" t="s">
        <v>1052</v>
      </c>
      <c r="D1233" t="s">
        <v>110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45">
      <c r="A1234" t="s">
        <v>1021</v>
      </c>
      <c r="B1234" t="s">
        <v>1022</v>
      </c>
      <c r="C1234" t="s">
        <v>202</v>
      </c>
      <c r="D1234" t="s">
        <v>110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45">
      <c r="A1235" t="s">
        <v>1053</v>
      </c>
      <c r="B1235" t="s">
        <v>1054</v>
      </c>
      <c r="C1235" t="s">
        <v>1055</v>
      </c>
      <c r="D1235" t="s">
        <v>141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45">
      <c r="A1236" t="s">
        <v>1053</v>
      </c>
      <c r="B1236" t="s">
        <v>1054</v>
      </c>
      <c r="C1236" t="s">
        <v>190</v>
      </c>
      <c r="D1236" t="s">
        <v>141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45">
      <c r="A1237" t="s">
        <v>1053</v>
      </c>
      <c r="B1237" t="s">
        <v>1054</v>
      </c>
      <c r="C1237" t="s">
        <v>191</v>
      </c>
      <c r="D1237" t="s">
        <v>141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45">
      <c r="A1238" t="s">
        <v>1053</v>
      </c>
      <c r="B1238" t="s">
        <v>1054</v>
      </c>
      <c r="C1238" t="s">
        <v>233</v>
      </c>
      <c r="D1238" t="s">
        <v>141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45">
      <c r="A1239" t="s">
        <v>1053</v>
      </c>
      <c r="B1239" t="s">
        <v>1054</v>
      </c>
      <c r="C1239" t="s">
        <v>583</v>
      </c>
      <c r="D1239" t="s">
        <v>141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45">
      <c r="A1240" t="s">
        <v>1053</v>
      </c>
      <c r="B1240" t="s">
        <v>1054</v>
      </c>
      <c r="C1240" t="s">
        <v>292</v>
      </c>
      <c r="D1240" t="s">
        <v>141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45">
      <c r="A1241" t="s">
        <v>1053</v>
      </c>
      <c r="B1241" t="s">
        <v>1054</v>
      </c>
      <c r="C1241" t="s">
        <v>193</v>
      </c>
      <c r="D1241" t="s">
        <v>141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45">
      <c r="A1242" t="s">
        <v>1053</v>
      </c>
      <c r="B1242" t="s">
        <v>1054</v>
      </c>
      <c r="C1242" t="s">
        <v>194</v>
      </c>
      <c r="D1242" t="s">
        <v>141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45">
      <c r="A1243" t="s">
        <v>1053</v>
      </c>
      <c r="B1243" t="s">
        <v>1054</v>
      </c>
      <c r="C1243" t="s">
        <v>446</v>
      </c>
      <c r="D1243" t="s">
        <v>141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45">
      <c r="A1244" t="s">
        <v>1053</v>
      </c>
      <c r="B1244" t="s">
        <v>1054</v>
      </c>
      <c r="C1244" t="s">
        <v>235</v>
      </c>
      <c r="D1244" t="s">
        <v>141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45">
      <c r="A1245" t="s">
        <v>1053</v>
      </c>
      <c r="B1245" t="s">
        <v>1054</v>
      </c>
      <c r="C1245" t="s">
        <v>1056</v>
      </c>
      <c r="D1245" t="s">
        <v>141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45">
      <c r="A1246" t="s">
        <v>1053</v>
      </c>
      <c r="B1246" t="s">
        <v>1054</v>
      </c>
      <c r="C1246" t="s">
        <v>198</v>
      </c>
      <c r="D1246" t="s">
        <v>141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45">
      <c r="A1247" t="s">
        <v>1053</v>
      </c>
      <c r="B1247" t="s">
        <v>1054</v>
      </c>
      <c r="C1247" t="s">
        <v>199</v>
      </c>
      <c r="D1247" t="s">
        <v>141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45">
      <c r="A1248" t="s">
        <v>1053</v>
      </c>
      <c r="B1248" t="s">
        <v>1054</v>
      </c>
      <c r="C1248" t="s">
        <v>201</v>
      </c>
      <c r="D1248" t="s">
        <v>141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45">
      <c r="A1249" t="s">
        <v>1053</v>
      </c>
      <c r="B1249" t="s">
        <v>1054</v>
      </c>
      <c r="C1249" t="s">
        <v>202</v>
      </c>
      <c r="D1249" t="s">
        <v>141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45">
      <c r="A1250" t="s">
        <v>1053</v>
      </c>
      <c r="B1250" t="s">
        <v>1054</v>
      </c>
      <c r="C1250" t="s">
        <v>1057</v>
      </c>
      <c r="D1250" t="s">
        <v>141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45">
      <c r="A1251" t="s">
        <v>1053</v>
      </c>
      <c r="B1251" t="s">
        <v>1054</v>
      </c>
      <c r="C1251" t="s">
        <v>1058</v>
      </c>
      <c r="D1251" t="s">
        <v>141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45">
      <c r="A1252" t="s">
        <v>1053</v>
      </c>
      <c r="B1252" t="s">
        <v>1054</v>
      </c>
      <c r="C1252" t="s">
        <v>1059</v>
      </c>
      <c r="D1252" t="s">
        <v>141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45">
      <c r="A1253" t="s">
        <v>1053</v>
      </c>
      <c r="B1253" t="s">
        <v>1054</v>
      </c>
      <c r="C1253" t="s">
        <v>941</v>
      </c>
      <c r="D1253" t="s">
        <v>141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45">
      <c r="A1254" t="s">
        <v>1053</v>
      </c>
      <c r="B1254" t="s">
        <v>1054</v>
      </c>
      <c r="C1254" t="s">
        <v>204</v>
      </c>
      <c r="D1254" t="s">
        <v>141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45">
      <c r="A1255" t="s">
        <v>1053</v>
      </c>
      <c r="B1255" t="s">
        <v>1054</v>
      </c>
      <c r="C1255" t="s">
        <v>205</v>
      </c>
      <c r="D1255" t="s">
        <v>141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45">
      <c r="A1256" t="s">
        <v>1053</v>
      </c>
      <c r="B1256" t="s">
        <v>1054</v>
      </c>
      <c r="C1256" t="s">
        <v>886</v>
      </c>
      <c r="D1256" t="s">
        <v>141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45">
      <c r="A1257" t="s">
        <v>1053</v>
      </c>
      <c r="B1257" t="s">
        <v>1054</v>
      </c>
      <c r="C1257" t="s">
        <v>206</v>
      </c>
      <c r="D1257" t="s">
        <v>141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45">
      <c r="A1258" t="s">
        <v>1053</v>
      </c>
      <c r="B1258" t="s">
        <v>1054</v>
      </c>
      <c r="C1258" t="s">
        <v>1060</v>
      </c>
      <c r="D1258" t="s">
        <v>141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45">
      <c r="A1259" t="s">
        <v>1053</v>
      </c>
      <c r="B1259" t="s">
        <v>1054</v>
      </c>
      <c r="C1259" t="s">
        <v>1061</v>
      </c>
      <c r="D1259" t="s">
        <v>141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45">
      <c r="A1260" t="s">
        <v>1053</v>
      </c>
      <c r="B1260" t="s">
        <v>1054</v>
      </c>
      <c r="C1260" t="s">
        <v>207</v>
      </c>
      <c r="D1260" t="s">
        <v>141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45">
      <c r="A1261" t="s">
        <v>1053</v>
      </c>
      <c r="B1261" t="s">
        <v>1054</v>
      </c>
      <c r="C1261" t="s">
        <v>1062</v>
      </c>
      <c r="D1261" t="s">
        <v>141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45">
      <c r="A1262" t="s">
        <v>1053</v>
      </c>
      <c r="B1262" t="s">
        <v>1054</v>
      </c>
      <c r="C1262" t="s">
        <v>246</v>
      </c>
      <c r="D1262" t="s">
        <v>141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45">
      <c r="A1263" t="s">
        <v>1053</v>
      </c>
      <c r="B1263" t="s">
        <v>1054</v>
      </c>
      <c r="C1263" t="s">
        <v>462</v>
      </c>
      <c r="D1263" t="s">
        <v>141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45">
      <c r="A1264" t="s">
        <v>1053</v>
      </c>
      <c r="B1264" t="s">
        <v>1054</v>
      </c>
      <c r="C1264" t="s">
        <v>1063</v>
      </c>
      <c r="D1264" t="s">
        <v>141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45">
      <c r="A1265" t="s">
        <v>1053</v>
      </c>
      <c r="B1265" t="s">
        <v>1054</v>
      </c>
      <c r="C1265" t="s">
        <v>1064</v>
      </c>
      <c r="D1265" t="s">
        <v>141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45">
      <c r="A1266" t="s">
        <v>1053</v>
      </c>
      <c r="B1266" t="s">
        <v>1054</v>
      </c>
      <c r="C1266" t="s">
        <v>604</v>
      </c>
      <c r="D1266" t="s">
        <v>141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45">
      <c r="A1267" t="s">
        <v>1053</v>
      </c>
      <c r="B1267" t="s">
        <v>1054</v>
      </c>
      <c r="C1267" t="s">
        <v>899</v>
      </c>
      <c r="D1267" t="s">
        <v>141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45">
      <c r="A1268" t="s">
        <v>1053</v>
      </c>
      <c r="B1268" t="s">
        <v>1054</v>
      </c>
      <c r="C1268" t="s">
        <v>251</v>
      </c>
      <c r="D1268" t="s">
        <v>141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45">
      <c r="A1269" t="s">
        <v>1053</v>
      </c>
      <c r="B1269" t="s">
        <v>1054</v>
      </c>
      <c r="C1269" t="s">
        <v>1065</v>
      </c>
      <c r="D1269" t="s">
        <v>141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45">
      <c r="A1270" t="s">
        <v>1053</v>
      </c>
      <c r="B1270" t="s">
        <v>1054</v>
      </c>
      <c r="C1270" t="s">
        <v>254</v>
      </c>
      <c r="D1270" t="s">
        <v>141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45">
      <c r="A1271" t="s">
        <v>1053</v>
      </c>
      <c r="B1271" t="s">
        <v>1054</v>
      </c>
      <c r="C1271" t="s">
        <v>212</v>
      </c>
      <c r="D1271" t="s">
        <v>141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45">
      <c r="A1272" t="s">
        <v>1053</v>
      </c>
      <c r="B1272" t="s">
        <v>1054</v>
      </c>
      <c r="C1272" t="s">
        <v>734</v>
      </c>
      <c r="D1272" t="s">
        <v>141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45">
      <c r="A1273" t="s">
        <v>1053</v>
      </c>
      <c r="B1273" t="s">
        <v>1054</v>
      </c>
      <c r="C1273" t="s">
        <v>1066</v>
      </c>
      <c r="D1273" t="s">
        <v>141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45">
      <c r="A1274" t="s">
        <v>1053</v>
      </c>
      <c r="B1274" t="s">
        <v>1054</v>
      </c>
      <c r="C1274" t="s">
        <v>770</v>
      </c>
      <c r="D1274" t="s">
        <v>141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45">
      <c r="A1275" t="s">
        <v>1053</v>
      </c>
      <c r="B1275" t="s">
        <v>1054</v>
      </c>
      <c r="C1275" t="s">
        <v>1067</v>
      </c>
      <c r="D1275" t="s">
        <v>141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45">
      <c r="A1276" t="s">
        <v>1053</v>
      </c>
      <c r="B1276" t="s">
        <v>1054</v>
      </c>
      <c r="C1276" t="s">
        <v>1068</v>
      </c>
      <c r="D1276" t="s">
        <v>141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45">
      <c r="A1277" t="s">
        <v>1053</v>
      </c>
      <c r="B1277" t="s">
        <v>1054</v>
      </c>
      <c r="C1277" t="s">
        <v>1069</v>
      </c>
      <c r="D1277" t="s">
        <v>141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45">
      <c r="A1278" t="s">
        <v>1053</v>
      </c>
      <c r="B1278" t="s">
        <v>1054</v>
      </c>
      <c r="C1278" t="s">
        <v>1070</v>
      </c>
      <c r="D1278" t="s">
        <v>141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45">
      <c r="A1279" t="s">
        <v>1053</v>
      </c>
      <c r="B1279" t="s">
        <v>1054</v>
      </c>
      <c r="C1279" t="s">
        <v>258</v>
      </c>
      <c r="D1279" t="s">
        <v>141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45">
      <c r="A1280" t="s">
        <v>1053</v>
      </c>
      <c r="B1280" t="s">
        <v>1054</v>
      </c>
      <c r="C1280" t="s">
        <v>259</v>
      </c>
      <c r="D1280" t="s">
        <v>141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45">
      <c r="A1281" t="s">
        <v>1053</v>
      </c>
      <c r="B1281" t="s">
        <v>1054</v>
      </c>
      <c r="C1281" t="s">
        <v>405</v>
      </c>
      <c r="D1281" t="s">
        <v>141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45">
      <c r="A1282" t="s">
        <v>1053</v>
      </c>
      <c r="B1282" t="s">
        <v>1054</v>
      </c>
      <c r="C1282" t="s">
        <v>219</v>
      </c>
      <c r="D1282" t="s">
        <v>141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45">
      <c r="A1283" t="s">
        <v>1053</v>
      </c>
      <c r="B1283" t="s">
        <v>1054</v>
      </c>
      <c r="C1283" t="s">
        <v>406</v>
      </c>
      <c r="D1283" t="s">
        <v>141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45">
      <c r="A1284" t="s">
        <v>1053</v>
      </c>
      <c r="B1284" t="s">
        <v>1054</v>
      </c>
      <c r="C1284" t="s">
        <v>1071</v>
      </c>
      <c r="D1284" t="s">
        <v>141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45">
      <c r="A1285" t="s">
        <v>1053</v>
      </c>
      <c r="B1285" t="s">
        <v>1054</v>
      </c>
      <c r="C1285" t="s">
        <v>260</v>
      </c>
      <c r="D1285" t="s">
        <v>141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45">
      <c r="A1286" t="s">
        <v>1053</v>
      </c>
      <c r="B1286" t="s">
        <v>1054</v>
      </c>
      <c r="C1286" t="s">
        <v>474</v>
      </c>
      <c r="D1286" t="s">
        <v>141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45">
      <c r="A1287" t="s">
        <v>1053</v>
      </c>
      <c r="B1287" t="s">
        <v>1054</v>
      </c>
      <c r="C1287" t="s">
        <v>910</v>
      </c>
      <c r="D1287" t="s">
        <v>141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45">
      <c r="A1288" t="s">
        <v>1072</v>
      </c>
      <c r="B1288" t="s">
        <v>772</v>
      </c>
      <c r="C1288" t="s">
        <v>1073</v>
      </c>
      <c r="D1288" t="s">
        <v>137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45">
      <c r="A1289" t="s">
        <v>1072</v>
      </c>
      <c r="B1289" t="s">
        <v>772</v>
      </c>
      <c r="C1289" t="s">
        <v>1074</v>
      </c>
      <c r="D1289" t="s">
        <v>139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45">
      <c r="A1290" t="s">
        <v>1072</v>
      </c>
      <c r="B1290" t="s">
        <v>772</v>
      </c>
      <c r="C1290" t="s">
        <v>1075</v>
      </c>
      <c r="D1290" t="s">
        <v>137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45">
      <c r="A1291" t="s">
        <v>1072</v>
      </c>
      <c r="B1291" t="s">
        <v>772</v>
      </c>
      <c r="C1291" t="s">
        <v>1076</v>
      </c>
      <c r="D1291" t="s">
        <v>137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45">
      <c r="A1292" t="s">
        <v>1072</v>
      </c>
      <c r="B1292" t="s">
        <v>772</v>
      </c>
      <c r="C1292" t="s">
        <v>1077</v>
      </c>
      <c r="D1292" t="s">
        <v>141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45">
      <c r="A1293" t="s">
        <v>1072</v>
      </c>
      <c r="B1293" t="s">
        <v>772</v>
      </c>
      <c r="C1293" t="s">
        <v>992</v>
      </c>
      <c r="D1293" t="s">
        <v>140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45">
      <c r="A1294" t="s">
        <v>1072</v>
      </c>
      <c r="B1294" t="s">
        <v>772</v>
      </c>
      <c r="C1294" t="s">
        <v>1078</v>
      </c>
      <c r="D1294" t="s">
        <v>137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45">
      <c r="A1295" t="s">
        <v>1072</v>
      </c>
      <c r="B1295" t="s">
        <v>772</v>
      </c>
      <c r="C1295" t="s">
        <v>1079</v>
      </c>
      <c r="D1295" t="s">
        <v>137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45">
      <c r="A1296" t="s">
        <v>1072</v>
      </c>
      <c r="B1296" t="s">
        <v>772</v>
      </c>
      <c r="C1296" t="s">
        <v>1080</v>
      </c>
      <c r="D1296" t="s">
        <v>140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45">
      <c r="A1297" t="s">
        <v>1072</v>
      </c>
      <c r="B1297" t="s">
        <v>772</v>
      </c>
      <c r="C1297" t="s">
        <v>1081</v>
      </c>
      <c r="D1297" t="s">
        <v>137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45">
      <c r="A1298" t="s">
        <v>1072</v>
      </c>
      <c r="B1298" t="s">
        <v>772</v>
      </c>
      <c r="C1298" t="s">
        <v>1082</v>
      </c>
      <c r="D1298" t="s">
        <v>137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45">
      <c r="A1299" t="s">
        <v>1072</v>
      </c>
      <c r="B1299" t="s">
        <v>772</v>
      </c>
      <c r="C1299" t="s">
        <v>1083</v>
      </c>
      <c r="D1299" t="s">
        <v>139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45">
      <c r="A1300" t="s">
        <v>1072</v>
      </c>
      <c r="B1300" t="s">
        <v>772</v>
      </c>
      <c r="C1300" t="s">
        <v>1084</v>
      </c>
      <c r="D1300" t="s">
        <v>139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45">
      <c r="A1301" t="s">
        <v>1072</v>
      </c>
      <c r="B1301" t="s">
        <v>772</v>
      </c>
      <c r="C1301" t="s">
        <v>1085</v>
      </c>
      <c r="D1301" t="s">
        <v>137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45">
      <c r="A1302" t="s">
        <v>1072</v>
      </c>
      <c r="B1302" t="s">
        <v>772</v>
      </c>
      <c r="C1302" t="s">
        <v>184</v>
      </c>
      <c r="D1302" t="s">
        <v>137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45">
      <c r="A1303" t="s">
        <v>1072</v>
      </c>
      <c r="B1303" t="s">
        <v>772</v>
      </c>
      <c r="C1303" t="s">
        <v>1086</v>
      </c>
      <c r="D1303" t="s">
        <v>137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45">
      <c r="A1304" t="s">
        <v>1072</v>
      </c>
      <c r="B1304" t="s">
        <v>772</v>
      </c>
      <c r="C1304" t="s">
        <v>1087</v>
      </c>
      <c r="D1304" t="s">
        <v>137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45">
      <c r="A1305" t="s">
        <v>1072</v>
      </c>
      <c r="B1305" t="s">
        <v>772</v>
      </c>
      <c r="C1305" t="s">
        <v>1088</v>
      </c>
      <c r="D1305" t="s">
        <v>139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45">
      <c r="A1306" t="s">
        <v>1072</v>
      </c>
      <c r="B1306" t="s">
        <v>772</v>
      </c>
      <c r="C1306" t="s">
        <v>1089</v>
      </c>
      <c r="D1306" t="s">
        <v>137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45">
      <c r="A1307" t="s">
        <v>1072</v>
      </c>
      <c r="B1307" t="s">
        <v>772</v>
      </c>
      <c r="C1307" t="s">
        <v>1090</v>
      </c>
      <c r="D1307" t="s">
        <v>139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45">
      <c r="A1308" t="s">
        <v>1072</v>
      </c>
      <c r="B1308" t="s">
        <v>772</v>
      </c>
      <c r="C1308" t="s">
        <v>1091</v>
      </c>
      <c r="D1308" t="s">
        <v>137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45">
      <c r="A1309" t="s">
        <v>1072</v>
      </c>
      <c r="B1309" t="s">
        <v>772</v>
      </c>
      <c r="C1309" t="s">
        <v>1092</v>
      </c>
      <c r="D1309" t="s">
        <v>139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45">
      <c r="A1310" t="s">
        <v>1072</v>
      </c>
      <c r="B1310" t="s">
        <v>772</v>
      </c>
      <c r="C1310" t="s">
        <v>1093</v>
      </c>
      <c r="D1310" t="s">
        <v>137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45">
      <c r="A1311" t="s">
        <v>1072</v>
      </c>
      <c r="B1311" t="s">
        <v>772</v>
      </c>
      <c r="C1311" t="s">
        <v>1094</v>
      </c>
      <c r="D1311" t="s">
        <v>137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45">
      <c r="A1312" t="s">
        <v>1072</v>
      </c>
      <c r="B1312" t="s">
        <v>772</v>
      </c>
      <c r="C1312" t="s">
        <v>535</v>
      </c>
      <c r="D1312" t="s">
        <v>140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45">
      <c r="A1313" t="s">
        <v>1072</v>
      </c>
      <c r="B1313" t="s">
        <v>772</v>
      </c>
      <c r="C1313" t="s">
        <v>1095</v>
      </c>
      <c r="D1313" t="s">
        <v>141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45">
      <c r="A1314" t="s">
        <v>1072</v>
      </c>
      <c r="B1314" t="s">
        <v>772</v>
      </c>
      <c r="C1314" t="s">
        <v>1096</v>
      </c>
      <c r="D1314" t="s">
        <v>137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45">
      <c r="A1315" t="s">
        <v>1072</v>
      </c>
      <c r="B1315" t="s">
        <v>772</v>
      </c>
      <c r="C1315" t="s">
        <v>1097</v>
      </c>
      <c r="D1315" t="s">
        <v>137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45">
      <c r="A1316" t="s">
        <v>1072</v>
      </c>
      <c r="B1316" t="s">
        <v>772</v>
      </c>
      <c r="C1316" t="s">
        <v>1098</v>
      </c>
      <c r="D1316" t="s">
        <v>137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45">
      <c r="A1317" t="s">
        <v>1072</v>
      </c>
      <c r="B1317" t="s">
        <v>772</v>
      </c>
      <c r="C1317" t="s">
        <v>187</v>
      </c>
      <c r="D1317" t="s">
        <v>140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45">
      <c r="A1318" t="s">
        <v>1072</v>
      </c>
      <c r="B1318" t="s">
        <v>772</v>
      </c>
      <c r="C1318" t="s">
        <v>799</v>
      </c>
      <c r="D1318" t="s">
        <v>139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45">
      <c r="A1319" t="s">
        <v>1072</v>
      </c>
      <c r="B1319" t="s">
        <v>772</v>
      </c>
      <c r="C1319" t="s">
        <v>514</v>
      </c>
      <c r="D1319" t="s">
        <v>137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45">
      <c r="A1320" t="s">
        <v>1072</v>
      </c>
      <c r="B1320" t="s">
        <v>772</v>
      </c>
      <c r="C1320" t="s">
        <v>1099</v>
      </c>
      <c r="D1320" t="s">
        <v>140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45">
      <c r="A1321" t="s">
        <v>1072</v>
      </c>
      <c r="B1321" t="s">
        <v>772</v>
      </c>
      <c r="C1321" t="s">
        <v>1100</v>
      </c>
      <c r="D1321" t="s">
        <v>139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45">
      <c r="A1322" t="s">
        <v>1072</v>
      </c>
      <c r="B1322" t="s">
        <v>772</v>
      </c>
      <c r="C1322" t="s">
        <v>516</v>
      </c>
      <c r="D1322" t="s">
        <v>137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45">
      <c r="A1323" t="s">
        <v>1072</v>
      </c>
      <c r="B1323" t="s">
        <v>772</v>
      </c>
      <c r="C1323" t="s">
        <v>1101</v>
      </c>
      <c r="D1323" t="s">
        <v>137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45">
      <c r="A1324" t="s">
        <v>1072</v>
      </c>
      <c r="B1324" t="s">
        <v>772</v>
      </c>
      <c r="C1324" t="s">
        <v>517</v>
      </c>
      <c r="D1324" t="s">
        <v>137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45">
      <c r="A1325" t="s">
        <v>1072</v>
      </c>
      <c r="B1325" t="s">
        <v>772</v>
      </c>
      <c r="C1325" t="s">
        <v>1102</v>
      </c>
      <c r="D1325" t="s">
        <v>140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45">
      <c r="A1326" t="s">
        <v>1072</v>
      </c>
      <c r="B1326" t="s">
        <v>772</v>
      </c>
      <c r="C1326" t="s">
        <v>540</v>
      </c>
      <c r="D1326" t="s">
        <v>139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45">
      <c r="A1327" t="s">
        <v>1072</v>
      </c>
      <c r="B1327" t="s">
        <v>772</v>
      </c>
      <c r="C1327" t="s">
        <v>1103</v>
      </c>
      <c r="D1327" t="s">
        <v>137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45">
      <c r="A1328" t="s">
        <v>1072</v>
      </c>
      <c r="B1328" t="s">
        <v>772</v>
      </c>
      <c r="C1328" t="s">
        <v>1104</v>
      </c>
      <c r="D1328" t="s">
        <v>139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45">
      <c r="A1329" t="s">
        <v>1072</v>
      </c>
      <c r="B1329" t="s">
        <v>772</v>
      </c>
      <c r="C1329" t="s">
        <v>577</v>
      </c>
      <c r="D1329" t="s">
        <v>137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45">
      <c r="A1330" t="s">
        <v>1072</v>
      </c>
      <c r="B1330" t="s">
        <v>772</v>
      </c>
      <c r="C1330" t="s">
        <v>1105</v>
      </c>
      <c r="D1330" t="s">
        <v>137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45">
      <c r="A1331" t="s">
        <v>1072</v>
      </c>
      <c r="B1331" t="s">
        <v>772</v>
      </c>
      <c r="C1331" t="s">
        <v>792</v>
      </c>
      <c r="D1331" t="s">
        <v>137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45">
      <c r="A1332" t="s">
        <v>1072</v>
      </c>
      <c r="B1332" t="s">
        <v>772</v>
      </c>
      <c r="C1332" t="s">
        <v>1106</v>
      </c>
      <c r="D1332" t="s">
        <v>140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45">
      <c r="A1333" t="s">
        <v>1072</v>
      </c>
      <c r="B1333" t="s">
        <v>772</v>
      </c>
      <c r="C1333" t="s">
        <v>1107</v>
      </c>
      <c r="D1333" t="s">
        <v>137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45">
      <c r="A1334" t="s">
        <v>1072</v>
      </c>
      <c r="B1334" t="s">
        <v>772</v>
      </c>
      <c r="C1334" t="s">
        <v>579</v>
      </c>
      <c r="D1334" t="s">
        <v>137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45">
      <c r="A1335" t="s">
        <v>1072</v>
      </c>
      <c r="B1335" t="s">
        <v>772</v>
      </c>
      <c r="C1335" t="s">
        <v>189</v>
      </c>
      <c r="D1335" t="s">
        <v>137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45">
      <c r="A1336" t="s">
        <v>1072</v>
      </c>
      <c r="B1336" t="s">
        <v>772</v>
      </c>
      <c r="C1336" t="s">
        <v>230</v>
      </c>
      <c r="D1336" t="s">
        <v>139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45">
      <c r="A1337" t="s">
        <v>1072</v>
      </c>
      <c r="B1337" t="s">
        <v>772</v>
      </c>
      <c r="C1337" t="s">
        <v>1108</v>
      </c>
      <c r="D1337" t="s">
        <v>139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45">
      <c r="A1338" t="s">
        <v>1072</v>
      </c>
      <c r="B1338" t="s">
        <v>772</v>
      </c>
      <c r="C1338" t="s">
        <v>1109</v>
      </c>
      <c r="D1338" t="s">
        <v>137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45">
      <c r="A1339" t="s">
        <v>1072</v>
      </c>
      <c r="B1339" t="s">
        <v>772</v>
      </c>
      <c r="C1339" t="s">
        <v>1048</v>
      </c>
      <c r="D1339" t="s">
        <v>140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45">
      <c r="A1340" t="s">
        <v>1072</v>
      </c>
      <c r="B1340" t="s">
        <v>772</v>
      </c>
      <c r="C1340" t="s">
        <v>1110</v>
      </c>
      <c r="D1340" t="s">
        <v>139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45">
      <c r="A1341" t="s">
        <v>1072</v>
      </c>
      <c r="B1341" t="s">
        <v>772</v>
      </c>
      <c r="C1341" t="s">
        <v>1111</v>
      </c>
      <c r="D1341" t="s">
        <v>141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45">
      <c r="A1342" t="s">
        <v>1072</v>
      </c>
      <c r="B1342" t="s">
        <v>772</v>
      </c>
      <c r="C1342" t="s">
        <v>190</v>
      </c>
      <c r="D1342" t="s">
        <v>137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45">
      <c r="A1343" t="s">
        <v>1072</v>
      </c>
      <c r="B1343" t="s">
        <v>772</v>
      </c>
      <c r="C1343" t="s">
        <v>520</v>
      </c>
      <c r="D1343" t="s">
        <v>137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45">
      <c r="A1344" t="s">
        <v>1072</v>
      </c>
      <c r="B1344" t="s">
        <v>772</v>
      </c>
      <c r="C1344" t="s">
        <v>1112</v>
      </c>
      <c r="D1344" t="s">
        <v>139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45">
      <c r="A1345" t="s">
        <v>1072</v>
      </c>
      <c r="B1345" t="s">
        <v>772</v>
      </c>
      <c r="C1345" t="s">
        <v>191</v>
      </c>
      <c r="D1345" t="s">
        <v>137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45">
      <c r="A1346" t="s">
        <v>1072</v>
      </c>
      <c r="B1346" t="s">
        <v>772</v>
      </c>
      <c r="C1346" t="s">
        <v>1113</v>
      </c>
      <c r="D1346" t="s">
        <v>137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45">
      <c r="A1347" t="s">
        <v>1072</v>
      </c>
      <c r="B1347" t="s">
        <v>772</v>
      </c>
      <c r="C1347" t="s">
        <v>1114</v>
      </c>
      <c r="D1347" t="s">
        <v>137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45">
      <c r="A1348" t="s">
        <v>1072</v>
      </c>
      <c r="B1348" t="s">
        <v>772</v>
      </c>
      <c r="C1348" t="s">
        <v>233</v>
      </c>
      <c r="D1348" t="s">
        <v>137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45">
      <c r="A1349" t="s">
        <v>1072</v>
      </c>
      <c r="B1349" t="s">
        <v>772</v>
      </c>
      <c r="C1349" t="s">
        <v>521</v>
      </c>
      <c r="D1349" t="s">
        <v>139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45">
      <c r="A1350" t="s">
        <v>1072</v>
      </c>
      <c r="B1350" t="s">
        <v>772</v>
      </c>
      <c r="C1350" t="s">
        <v>1115</v>
      </c>
      <c r="D1350" t="s">
        <v>137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45">
      <c r="A1351" t="s">
        <v>1072</v>
      </c>
      <c r="B1351" t="s">
        <v>772</v>
      </c>
      <c r="C1351" t="s">
        <v>1116</v>
      </c>
      <c r="D1351" t="s">
        <v>137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45">
      <c r="A1352" t="s">
        <v>1072</v>
      </c>
      <c r="B1352" t="s">
        <v>772</v>
      </c>
      <c r="C1352" t="s">
        <v>1117</v>
      </c>
      <c r="D1352" t="s">
        <v>137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45">
      <c r="A1353" t="s">
        <v>1072</v>
      </c>
      <c r="B1353" t="s">
        <v>772</v>
      </c>
      <c r="C1353" t="s">
        <v>1118</v>
      </c>
      <c r="D1353" t="s">
        <v>137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45">
      <c r="A1354" t="s">
        <v>1072</v>
      </c>
      <c r="B1354" t="s">
        <v>772</v>
      </c>
      <c r="C1354" t="s">
        <v>329</v>
      </c>
      <c r="D1354" t="s">
        <v>139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45">
      <c r="A1355" t="s">
        <v>1072</v>
      </c>
      <c r="B1355" t="s">
        <v>772</v>
      </c>
      <c r="C1355" t="s">
        <v>1119</v>
      </c>
      <c r="D1355" t="s">
        <v>139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45">
      <c r="A1356" t="s">
        <v>1072</v>
      </c>
      <c r="B1356" t="s">
        <v>772</v>
      </c>
      <c r="C1356" t="s">
        <v>1120</v>
      </c>
      <c r="D1356" t="s">
        <v>139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45">
      <c r="A1357" t="s">
        <v>1072</v>
      </c>
      <c r="B1357" t="s">
        <v>772</v>
      </c>
      <c r="C1357" t="s">
        <v>1121</v>
      </c>
      <c r="D1357" t="s">
        <v>139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45">
      <c r="A1358" t="s">
        <v>1072</v>
      </c>
      <c r="B1358" t="s">
        <v>772</v>
      </c>
      <c r="C1358" t="s">
        <v>1122</v>
      </c>
      <c r="D1358" t="s">
        <v>137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45">
      <c r="A1359" t="s">
        <v>1072</v>
      </c>
      <c r="B1359" t="s">
        <v>772</v>
      </c>
      <c r="C1359" t="s">
        <v>1123</v>
      </c>
      <c r="D1359" t="s">
        <v>137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45">
      <c r="A1360" t="s">
        <v>1072</v>
      </c>
      <c r="B1360" t="s">
        <v>772</v>
      </c>
      <c r="C1360" t="s">
        <v>583</v>
      </c>
      <c r="D1360" t="s">
        <v>139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45">
      <c r="A1361" t="s">
        <v>1072</v>
      </c>
      <c r="B1361" t="s">
        <v>772</v>
      </c>
      <c r="C1361" t="s">
        <v>1124</v>
      </c>
      <c r="D1361" t="s">
        <v>137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45">
      <c r="A1362" t="s">
        <v>1072</v>
      </c>
      <c r="B1362" t="s">
        <v>772</v>
      </c>
      <c r="C1362" t="s">
        <v>192</v>
      </c>
      <c r="D1362" t="s">
        <v>137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45">
      <c r="A1363" t="s">
        <v>1072</v>
      </c>
      <c r="B1363" t="s">
        <v>772</v>
      </c>
      <c r="C1363" t="s">
        <v>1125</v>
      </c>
      <c r="D1363" t="s">
        <v>140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45">
      <c r="A1364" t="s">
        <v>1072</v>
      </c>
      <c r="B1364" t="s">
        <v>772</v>
      </c>
      <c r="C1364" t="s">
        <v>1126</v>
      </c>
      <c r="D1364" t="s">
        <v>137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45">
      <c r="A1365" t="s">
        <v>1072</v>
      </c>
      <c r="B1365" t="s">
        <v>772</v>
      </c>
      <c r="C1365" t="s">
        <v>1127</v>
      </c>
      <c r="D1365" t="s">
        <v>139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45">
      <c r="A1366" t="s">
        <v>1072</v>
      </c>
      <c r="B1366" t="s">
        <v>772</v>
      </c>
      <c r="C1366" t="s">
        <v>1128</v>
      </c>
      <c r="D1366" t="s">
        <v>139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45">
      <c r="A1367" t="s">
        <v>1072</v>
      </c>
      <c r="B1367" t="s">
        <v>772</v>
      </c>
      <c r="C1367" t="s">
        <v>212</v>
      </c>
      <c r="D1367" t="s">
        <v>137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45">
      <c r="A1368" t="s">
        <v>1072</v>
      </c>
      <c r="B1368" t="s">
        <v>772</v>
      </c>
      <c r="C1368" t="s">
        <v>825</v>
      </c>
      <c r="D1368" t="s">
        <v>140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45">
      <c r="A1369" t="s">
        <v>1072</v>
      </c>
      <c r="B1369" t="s">
        <v>772</v>
      </c>
      <c r="C1369" t="s">
        <v>734</v>
      </c>
      <c r="D1369" t="s">
        <v>137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45">
      <c r="A1370" t="s">
        <v>1072</v>
      </c>
      <c r="B1370" t="s">
        <v>772</v>
      </c>
      <c r="C1370" t="s">
        <v>1129</v>
      </c>
      <c r="D1370" t="s">
        <v>137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45">
      <c r="A1371" t="s">
        <v>1072</v>
      </c>
      <c r="B1371" t="s">
        <v>772</v>
      </c>
      <c r="C1371" t="s">
        <v>1130</v>
      </c>
      <c r="D1371" t="s">
        <v>137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45">
      <c r="A1372" t="s">
        <v>1072</v>
      </c>
      <c r="B1372" t="s">
        <v>772</v>
      </c>
      <c r="C1372" t="s">
        <v>1131</v>
      </c>
      <c r="D1372" t="s">
        <v>141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45">
      <c r="A1373" t="s">
        <v>1072</v>
      </c>
      <c r="B1373" t="s">
        <v>772</v>
      </c>
      <c r="C1373" t="s">
        <v>1132</v>
      </c>
      <c r="D1373" t="s">
        <v>139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45">
      <c r="A1374" t="s">
        <v>1072</v>
      </c>
      <c r="B1374" t="s">
        <v>772</v>
      </c>
      <c r="C1374" t="s">
        <v>1133</v>
      </c>
      <c r="D1374" t="s">
        <v>139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45">
      <c r="A1375" t="s">
        <v>1072</v>
      </c>
      <c r="B1375" t="s">
        <v>772</v>
      </c>
      <c r="C1375" t="s">
        <v>1134</v>
      </c>
      <c r="D1375" t="s">
        <v>139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45">
      <c r="A1376" t="s">
        <v>1072</v>
      </c>
      <c r="B1376" t="s">
        <v>772</v>
      </c>
      <c r="C1376" t="s">
        <v>1135</v>
      </c>
      <c r="D1376" t="s">
        <v>140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45">
      <c r="A1377" t="s">
        <v>1072</v>
      </c>
      <c r="B1377" t="s">
        <v>772</v>
      </c>
      <c r="C1377" t="s">
        <v>1136</v>
      </c>
      <c r="D1377" t="s">
        <v>137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45">
      <c r="A1378" t="s">
        <v>1072</v>
      </c>
      <c r="B1378" t="s">
        <v>772</v>
      </c>
      <c r="C1378" t="s">
        <v>609</v>
      </c>
      <c r="D1378" t="s">
        <v>139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45">
      <c r="A1379" t="s">
        <v>1072</v>
      </c>
      <c r="B1379" t="s">
        <v>772</v>
      </c>
      <c r="C1379" t="s">
        <v>393</v>
      </c>
      <c r="D1379" t="s">
        <v>139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45">
      <c r="A1380" t="s">
        <v>1072</v>
      </c>
      <c r="B1380" t="s">
        <v>772</v>
      </c>
      <c r="C1380" t="s">
        <v>1137</v>
      </c>
      <c r="D1380" t="s">
        <v>139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45">
      <c r="A1381" t="s">
        <v>1072</v>
      </c>
      <c r="B1381" t="s">
        <v>772</v>
      </c>
      <c r="C1381" t="s">
        <v>1138</v>
      </c>
      <c r="D1381" t="s">
        <v>139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45">
      <c r="A1382" t="s">
        <v>1072</v>
      </c>
      <c r="B1382" t="s">
        <v>772</v>
      </c>
      <c r="C1382" t="s">
        <v>1139</v>
      </c>
      <c r="D1382" t="s">
        <v>137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45">
      <c r="A1383" t="s">
        <v>1072</v>
      </c>
      <c r="B1383" t="s">
        <v>772</v>
      </c>
      <c r="C1383" t="s">
        <v>1140</v>
      </c>
      <c r="D1383" t="s">
        <v>139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45">
      <c r="A1384" t="s">
        <v>1072</v>
      </c>
      <c r="B1384" t="s">
        <v>772</v>
      </c>
      <c r="C1384" t="s">
        <v>1141</v>
      </c>
      <c r="D1384" t="s">
        <v>137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45">
      <c r="A1385" t="s">
        <v>1072</v>
      </c>
      <c r="B1385" t="s">
        <v>772</v>
      </c>
      <c r="C1385" t="s">
        <v>1142</v>
      </c>
      <c r="D1385" t="s">
        <v>137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45">
      <c r="A1386" t="s">
        <v>1072</v>
      </c>
      <c r="B1386" t="s">
        <v>772</v>
      </c>
      <c r="C1386" t="s">
        <v>1143</v>
      </c>
      <c r="D1386" t="s">
        <v>137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45">
      <c r="A1387" t="s">
        <v>1072</v>
      </c>
      <c r="B1387" t="s">
        <v>772</v>
      </c>
      <c r="C1387" t="s">
        <v>1144</v>
      </c>
      <c r="D1387" t="s">
        <v>137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45">
      <c r="A1388" t="s">
        <v>1072</v>
      </c>
      <c r="B1388" t="s">
        <v>772</v>
      </c>
      <c r="C1388" t="s">
        <v>1145</v>
      </c>
      <c r="D1388" t="s">
        <v>139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45">
      <c r="A1389" t="s">
        <v>1072</v>
      </c>
      <c r="B1389" t="s">
        <v>772</v>
      </c>
      <c r="C1389" t="s">
        <v>1146</v>
      </c>
      <c r="D1389" t="s">
        <v>137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45">
      <c r="A1390" t="s">
        <v>1072</v>
      </c>
      <c r="B1390" t="s">
        <v>772</v>
      </c>
      <c r="C1390" t="s">
        <v>1147</v>
      </c>
      <c r="D1390" t="s">
        <v>137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45">
      <c r="A1391" t="s">
        <v>1072</v>
      </c>
      <c r="B1391" t="s">
        <v>772</v>
      </c>
      <c r="C1391" t="s">
        <v>1148</v>
      </c>
      <c r="D1391" t="s">
        <v>137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45">
      <c r="A1392" t="s">
        <v>1072</v>
      </c>
      <c r="B1392" t="s">
        <v>772</v>
      </c>
      <c r="C1392" t="s">
        <v>1149</v>
      </c>
      <c r="D1392" t="s">
        <v>137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45">
      <c r="A1393" t="s">
        <v>1072</v>
      </c>
      <c r="B1393" t="s">
        <v>772</v>
      </c>
      <c r="C1393" t="s">
        <v>218</v>
      </c>
      <c r="D1393" t="s">
        <v>137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45">
      <c r="A1394" t="s">
        <v>1072</v>
      </c>
      <c r="B1394" t="s">
        <v>772</v>
      </c>
      <c r="C1394" t="s">
        <v>1150</v>
      </c>
      <c r="D1394" t="s">
        <v>137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45">
      <c r="A1395" t="s">
        <v>1072</v>
      </c>
      <c r="B1395" t="s">
        <v>772</v>
      </c>
      <c r="C1395" t="s">
        <v>1151</v>
      </c>
      <c r="D1395" t="s">
        <v>139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45">
      <c r="A1396" t="s">
        <v>1072</v>
      </c>
      <c r="B1396" t="s">
        <v>772</v>
      </c>
      <c r="C1396" t="s">
        <v>219</v>
      </c>
      <c r="D1396" t="s">
        <v>137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45">
      <c r="A1397" t="s">
        <v>1072</v>
      </c>
      <c r="B1397" t="s">
        <v>772</v>
      </c>
      <c r="C1397" t="s">
        <v>1152</v>
      </c>
      <c r="D1397" t="s">
        <v>137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45">
      <c r="A1398" t="s">
        <v>1072</v>
      </c>
      <c r="B1398" t="s">
        <v>772</v>
      </c>
      <c r="C1398" t="s">
        <v>1153</v>
      </c>
      <c r="D1398" t="s">
        <v>137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45">
      <c r="A1399" t="s">
        <v>1072</v>
      </c>
      <c r="B1399" t="s">
        <v>772</v>
      </c>
      <c r="C1399" t="s">
        <v>408</v>
      </c>
      <c r="D1399" t="s">
        <v>139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45">
      <c r="A1400" t="s">
        <v>1072</v>
      </c>
      <c r="B1400" t="s">
        <v>772</v>
      </c>
      <c r="C1400" t="s">
        <v>1154</v>
      </c>
      <c r="D1400" t="s">
        <v>141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45">
      <c r="A1401" t="s">
        <v>1072</v>
      </c>
      <c r="B1401" t="s">
        <v>772</v>
      </c>
      <c r="C1401" t="s">
        <v>1155</v>
      </c>
      <c r="D1401" t="s">
        <v>139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45">
      <c r="A1402" t="s">
        <v>1072</v>
      </c>
      <c r="B1402" t="s">
        <v>772</v>
      </c>
      <c r="C1402" t="s">
        <v>1156</v>
      </c>
      <c r="D1402" t="s">
        <v>137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45">
      <c r="A1403" t="s">
        <v>1072</v>
      </c>
      <c r="B1403" t="s">
        <v>772</v>
      </c>
      <c r="C1403" t="s">
        <v>474</v>
      </c>
      <c r="D1403" t="s">
        <v>137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45">
      <c r="A1404" t="s">
        <v>1072</v>
      </c>
      <c r="B1404" t="s">
        <v>772</v>
      </c>
      <c r="C1404" t="s">
        <v>910</v>
      </c>
      <c r="D1404" t="s">
        <v>137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45">
      <c r="A1405" t="s">
        <v>1072</v>
      </c>
      <c r="B1405" t="s">
        <v>772</v>
      </c>
      <c r="C1405" t="s">
        <v>1157</v>
      </c>
      <c r="D1405" t="s">
        <v>139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45">
      <c r="A1406" t="s">
        <v>1072</v>
      </c>
      <c r="B1406" t="s">
        <v>772</v>
      </c>
      <c r="C1406" t="s">
        <v>1158</v>
      </c>
      <c r="D1406" t="s">
        <v>141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45">
      <c r="A1407" t="s">
        <v>1072</v>
      </c>
      <c r="B1407" t="s">
        <v>772</v>
      </c>
      <c r="C1407" t="s">
        <v>957</v>
      </c>
      <c r="D1407" t="s">
        <v>137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45">
      <c r="A1408" t="s">
        <v>1072</v>
      </c>
      <c r="B1408" t="s">
        <v>772</v>
      </c>
      <c r="C1408" t="s">
        <v>1159</v>
      </c>
      <c r="D1408" t="s">
        <v>140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45">
      <c r="A1409" t="s">
        <v>1072</v>
      </c>
      <c r="B1409" t="s">
        <v>772</v>
      </c>
      <c r="C1409" t="s">
        <v>1160</v>
      </c>
      <c r="D1409" t="s">
        <v>141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45">
      <c r="A1410" t="s">
        <v>1072</v>
      </c>
      <c r="B1410" t="s">
        <v>772</v>
      </c>
      <c r="C1410" t="s">
        <v>1161</v>
      </c>
      <c r="D1410" t="s">
        <v>137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45">
      <c r="A1411" t="s">
        <v>1072</v>
      </c>
      <c r="B1411" t="s">
        <v>772</v>
      </c>
      <c r="C1411" t="s">
        <v>1162</v>
      </c>
      <c r="D1411" t="s">
        <v>137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45">
      <c r="A1412" t="s">
        <v>1163</v>
      </c>
      <c r="B1412" t="s">
        <v>1164</v>
      </c>
      <c r="C1412" t="s">
        <v>963</v>
      </c>
      <c r="D1412" t="s">
        <v>110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45">
      <c r="A1413" t="s">
        <v>1163</v>
      </c>
      <c r="B1413" t="s">
        <v>1164</v>
      </c>
      <c r="C1413" t="s">
        <v>1165</v>
      </c>
      <c r="D1413" t="s">
        <v>110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45">
      <c r="A1414" t="s">
        <v>1163</v>
      </c>
      <c r="B1414" t="s">
        <v>1164</v>
      </c>
      <c r="C1414" t="s">
        <v>1166</v>
      </c>
      <c r="D1414" t="s">
        <v>110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45">
      <c r="A1415" t="s">
        <v>1163</v>
      </c>
      <c r="B1415" t="s">
        <v>1164</v>
      </c>
      <c r="C1415" t="s">
        <v>779</v>
      </c>
      <c r="D1415" t="s">
        <v>110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45">
      <c r="A1416" t="s">
        <v>1163</v>
      </c>
      <c r="B1416" t="s">
        <v>1164</v>
      </c>
      <c r="C1416" t="s">
        <v>1167</v>
      </c>
      <c r="D1416" t="s">
        <v>110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45">
      <c r="A1417" t="s">
        <v>1163</v>
      </c>
      <c r="B1417" t="s">
        <v>1164</v>
      </c>
      <c r="C1417" t="s">
        <v>507</v>
      </c>
      <c r="D1417" t="s">
        <v>110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45">
      <c r="A1418" t="s">
        <v>1163</v>
      </c>
      <c r="B1418" t="s">
        <v>1164</v>
      </c>
      <c r="C1418" t="s">
        <v>1168</v>
      </c>
      <c r="D1418" t="s">
        <v>110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45">
      <c r="A1419" t="s">
        <v>1163</v>
      </c>
      <c r="B1419" t="s">
        <v>1164</v>
      </c>
      <c r="C1419" t="s">
        <v>1169</v>
      </c>
      <c r="D1419" t="s">
        <v>110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45">
      <c r="A1420" t="s">
        <v>1163</v>
      </c>
      <c r="B1420" t="s">
        <v>1164</v>
      </c>
      <c r="C1420" t="s">
        <v>283</v>
      </c>
      <c r="D1420" t="s">
        <v>110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45">
      <c r="A1421" t="s">
        <v>1163</v>
      </c>
      <c r="B1421" t="s">
        <v>1164</v>
      </c>
      <c r="C1421" t="s">
        <v>285</v>
      </c>
      <c r="D1421" t="s">
        <v>110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45">
      <c r="A1422" t="s">
        <v>1163</v>
      </c>
      <c r="B1422" t="s">
        <v>1164</v>
      </c>
      <c r="C1422" t="s">
        <v>1170</v>
      </c>
      <c r="D1422" t="s">
        <v>110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45">
      <c r="A1423" t="s">
        <v>1163</v>
      </c>
      <c r="B1423" t="s">
        <v>1164</v>
      </c>
      <c r="C1423" t="s">
        <v>1171</v>
      </c>
      <c r="D1423" t="s">
        <v>110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45">
      <c r="A1424" t="s">
        <v>1163</v>
      </c>
      <c r="B1424" t="s">
        <v>1164</v>
      </c>
      <c r="C1424" t="s">
        <v>1172</v>
      </c>
      <c r="D1424" t="s">
        <v>110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45">
      <c r="A1425" t="s">
        <v>1163</v>
      </c>
      <c r="B1425" t="s">
        <v>1164</v>
      </c>
      <c r="C1425" t="s">
        <v>1173</v>
      </c>
      <c r="D1425" t="s">
        <v>110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45">
      <c r="A1426" t="s">
        <v>1163</v>
      </c>
      <c r="B1426" t="s">
        <v>1164</v>
      </c>
      <c r="C1426" t="s">
        <v>206</v>
      </c>
      <c r="D1426" t="s">
        <v>110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45">
      <c r="A1427" t="s">
        <v>1163</v>
      </c>
      <c r="B1427" t="s">
        <v>1164</v>
      </c>
      <c r="C1427" t="s">
        <v>1174</v>
      </c>
      <c r="D1427" t="s">
        <v>110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45">
      <c r="A1428" t="s">
        <v>1163</v>
      </c>
      <c r="B1428" t="s">
        <v>1164</v>
      </c>
      <c r="C1428" t="s">
        <v>1175</v>
      </c>
      <c r="D1428" t="s">
        <v>110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45">
      <c r="A1429" t="s">
        <v>1163</v>
      </c>
      <c r="B1429" t="s">
        <v>1164</v>
      </c>
      <c r="C1429" t="s">
        <v>1176</v>
      </c>
      <c r="D1429" t="s">
        <v>110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45">
      <c r="A1430" t="s">
        <v>1177</v>
      </c>
      <c r="B1430" t="s">
        <v>1178</v>
      </c>
      <c r="C1430" t="s">
        <v>1179</v>
      </c>
      <c r="D1430" t="s">
        <v>141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45">
      <c r="A1431" t="s">
        <v>1177</v>
      </c>
      <c r="B1431" t="s">
        <v>1178</v>
      </c>
      <c r="C1431" t="s">
        <v>1180</v>
      </c>
      <c r="D1431" t="s">
        <v>141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45">
      <c r="A1432" t="s">
        <v>1177</v>
      </c>
      <c r="B1432" t="s">
        <v>1178</v>
      </c>
      <c r="C1432" t="s">
        <v>1181</v>
      </c>
      <c r="D1432" t="s">
        <v>141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45">
      <c r="A1433" t="s">
        <v>1177</v>
      </c>
      <c r="B1433" t="s">
        <v>1178</v>
      </c>
      <c r="C1433" t="s">
        <v>382</v>
      </c>
      <c r="D1433" t="s">
        <v>141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45">
      <c r="A1434" t="s">
        <v>1177</v>
      </c>
      <c r="B1434" t="s">
        <v>1178</v>
      </c>
      <c r="C1434" t="s">
        <v>1182</v>
      </c>
      <c r="D1434" t="s">
        <v>141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45">
      <c r="A1435" t="s">
        <v>1177</v>
      </c>
      <c r="B1435" t="s">
        <v>1178</v>
      </c>
      <c r="C1435" t="s">
        <v>184</v>
      </c>
      <c r="D1435" t="s">
        <v>141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45">
      <c r="A1436" t="s">
        <v>1177</v>
      </c>
      <c r="B1436" t="s">
        <v>1178</v>
      </c>
      <c r="C1436" t="s">
        <v>1183</v>
      </c>
      <c r="D1436" t="s">
        <v>141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45">
      <c r="A1437" t="s">
        <v>1177</v>
      </c>
      <c r="B1437" t="s">
        <v>1178</v>
      </c>
      <c r="C1437" t="s">
        <v>644</v>
      </c>
      <c r="D1437" t="s">
        <v>141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45">
      <c r="A1438" t="s">
        <v>1177</v>
      </c>
      <c r="B1438" t="s">
        <v>1178</v>
      </c>
      <c r="C1438" t="s">
        <v>1184</v>
      </c>
      <c r="D1438" t="s">
        <v>141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45">
      <c r="A1439" t="s">
        <v>1177</v>
      </c>
      <c r="B1439" t="s">
        <v>1178</v>
      </c>
      <c r="C1439" t="s">
        <v>1185</v>
      </c>
      <c r="D1439" t="s">
        <v>141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45">
      <c r="A1440" t="s">
        <v>1177</v>
      </c>
      <c r="B1440" t="s">
        <v>1178</v>
      </c>
      <c r="C1440" t="s">
        <v>1186</v>
      </c>
      <c r="D1440" t="s">
        <v>141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45">
      <c r="A1441" t="s">
        <v>1177</v>
      </c>
      <c r="B1441" t="s">
        <v>1178</v>
      </c>
      <c r="C1441" t="s">
        <v>1187</v>
      </c>
      <c r="D1441" t="s">
        <v>141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45">
      <c r="A1442" t="s">
        <v>1177</v>
      </c>
      <c r="B1442" t="s">
        <v>1178</v>
      </c>
      <c r="C1442" t="s">
        <v>1188</v>
      </c>
      <c r="D1442" t="s">
        <v>141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45">
      <c r="A1443" t="s">
        <v>1177</v>
      </c>
      <c r="B1443" t="s">
        <v>1178</v>
      </c>
      <c r="C1443" t="s">
        <v>1095</v>
      </c>
      <c r="D1443" t="s">
        <v>141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45">
      <c r="A1444" t="s">
        <v>1177</v>
      </c>
      <c r="B1444" t="s">
        <v>1178</v>
      </c>
      <c r="C1444" t="s">
        <v>186</v>
      </c>
      <c r="D1444" t="s">
        <v>141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45">
      <c r="A1445" t="s">
        <v>1177</v>
      </c>
      <c r="B1445" t="s">
        <v>1178</v>
      </c>
      <c r="C1445" t="s">
        <v>1189</v>
      </c>
      <c r="D1445" t="s">
        <v>141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45">
      <c r="A1446" t="s">
        <v>1177</v>
      </c>
      <c r="B1446" t="s">
        <v>1178</v>
      </c>
      <c r="C1446" t="s">
        <v>1190</v>
      </c>
      <c r="D1446" t="s">
        <v>141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45">
      <c r="A1447" t="s">
        <v>1177</v>
      </c>
      <c r="B1447" t="s">
        <v>1178</v>
      </c>
      <c r="C1447" t="s">
        <v>1191</v>
      </c>
      <c r="D1447" t="s">
        <v>141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45">
      <c r="A1448" t="s">
        <v>1177</v>
      </c>
      <c r="B1448" t="s">
        <v>1178</v>
      </c>
      <c r="C1448" t="s">
        <v>1192</v>
      </c>
      <c r="D1448" t="s">
        <v>141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45">
      <c r="A1449" t="s">
        <v>1177</v>
      </c>
      <c r="B1449" t="s">
        <v>1178</v>
      </c>
      <c r="C1449" t="s">
        <v>1193</v>
      </c>
      <c r="D1449" t="s">
        <v>141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45">
      <c r="A1450" t="s">
        <v>1177</v>
      </c>
      <c r="B1450" t="s">
        <v>1178</v>
      </c>
      <c r="C1450" t="s">
        <v>1194</v>
      </c>
      <c r="D1450" t="s">
        <v>141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45">
      <c r="A1451" t="s">
        <v>1177</v>
      </c>
      <c r="B1451" t="s">
        <v>1178</v>
      </c>
      <c r="C1451" t="s">
        <v>188</v>
      </c>
      <c r="D1451" t="s">
        <v>141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45">
      <c r="A1452" t="s">
        <v>1177</v>
      </c>
      <c r="B1452" t="s">
        <v>1178</v>
      </c>
      <c r="C1452" t="s">
        <v>1195</v>
      </c>
      <c r="D1452" t="s">
        <v>141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45">
      <c r="A1453" t="s">
        <v>1177</v>
      </c>
      <c r="B1453" t="s">
        <v>1178</v>
      </c>
      <c r="C1453" t="s">
        <v>1196</v>
      </c>
      <c r="D1453" t="s">
        <v>141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45">
      <c r="A1454" t="s">
        <v>1177</v>
      </c>
      <c r="B1454" t="s">
        <v>1178</v>
      </c>
      <c r="C1454" t="s">
        <v>1197</v>
      </c>
      <c r="D1454" t="s">
        <v>141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45">
      <c r="A1455" t="s">
        <v>1177</v>
      </c>
      <c r="B1455" t="s">
        <v>1178</v>
      </c>
      <c r="C1455" t="s">
        <v>1198</v>
      </c>
      <c r="D1455" t="s">
        <v>141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45">
      <c r="A1456" t="s">
        <v>1177</v>
      </c>
      <c r="B1456" t="s">
        <v>1178</v>
      </c>
      <c r="C1456" t="s">
        <v>1199</v>
      </c>
      <c r="D1456" t="s">
        <v>141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45">
      <c r="A1457" t="s">
        <v>1177</v>
      </c>
      <c r="B1457" t="s">
        <v>1178</v>
      </c>
      <c r="C1457" t="s">
        <v>1200</v>
      </c>
      <c r="D1457" t="s">
        <v>141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45">
      <c r="A1458" t="s">
        <v>1177</v>
      </c>
      <c r="B1458" t="s">
        <v>1178</v>
      </c>
      <c r="C1458" t="s">
        <v>1201</v>
      </c>
      <c r="D1458" t="s">
        <v>141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45">
      <c r="A1459" t="s">
        <v>1177</v>
      </c>
      <c r="B1459" t="s">
        <v>1178</v>
      </c>
      <c r="C1459" t="s">
        <v>808</v>
      </c>
      <c r="D1459" t="s">
        <v>141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45">
      <c r="A1460" t="s">
        <v>1177</v>
      </c>
      <c r="B1460" t="s">
        <v>1178</v>
      </c>
      <c r="C1460" t="s">
        <v>195</v>
      </c>
      <c r="D1460" t="s">
        <v>141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45">
      <c r="A1461" t="s">
        <v>1177</v>
      </c>
      <c r="B1461" t="s">
        <v>1178</v>
      </c>
      <c r="C1461" t="s">
        <v>1202</v>
      </c>
      <c r="D1461" t="s">
        <v>141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45">
      <c r="A1462" t="s">
        <v>1177</v>
      </c>
      <c r="B1462" t="s">
        <v>1178</v>
      </c>
      <c r="C1462" t="s">
        <v>1203</v>
      </c>
      <c r="D1462" t="s">
        <v>141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45">
      <c r="A1463" t="s">
        <v>1177</v>
      </c>
      <c r="B1463" t="s">
        <v>1178</v>
      </c>
      <c r="C1463" t="s">
        <v>1204</v>
      </c>
      <c r="D1463" t="s">
        <v>141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45">
      <c r="A1464" t="s">
        <v>1177</v>
      </c>
      <c r="B1464" t="s">
        <v>1178</v>
      </c>
      <c r="C1464" t="s">
        <v>1205</v>
      </c>
      <c r="D1464" t="s">
        <v>141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45">
      <c r="A1465" t="s">
        <v>1177</v>
      </c>
      <c r="B1465" t="s">
        <v>1178</v>
      </c>
      <c r="C1465" t="s">
        <v>1206</v>
      </c>
      <c r="D1465" t="s">
        <v>141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45">
      <c r="A1466" t="s">
        <v>1177</v>
      </c>
      <c r="B1466" t="s">
        <v>1178</v>
      </c>
      <c r="C1466" t="s">
        <v>199</v>
      </c>
      <c r="D1466" t="s">
        <v>141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45">
      <c r="A1467" t="s">
        <v>1177</v>
      </c>
      <c r="B1467" t="s">
        <v>1178</v>
      </c>
      <c r="C1467" t="s">
        <v>1207</v>
      </c>
      <c r="D1467" t="s">
        <v>141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45">
      <c r="A1468" t="s">
        <v>1177</v>
      </c>
      <c r="B1468" t="s">
        <v>1178</v>
      </c>
      <c r="C1468" t="s">
        <v>1208</v>
      </c>
      <c r="D1468" t="s">
        <v>141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45">
      <c r="A1469" t="s">
        <v>1177</v>
      </c>
      <c r="B1469" t="s">
        <v>1178</v>
      </c>
      <c r="C1469" t="s">
        <v>1209</v>
      </c>
      <c r="D1469" t="s">
        <v>141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45">
      <c r="A1470" t="s">
        <v>1177</v>
      </c>
      <c r="B1470" t="s">
        <v>1178</v>
      </c>
      <c r="C1470" t="s">
        <v>1210</v>
      </c>
      <c r="D1470" t="s">
        <v>141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45">
      <c r="A1471" t="s">
        <v>1177</v>
      </c>
      <c r="B1471" t="s">
        <v>1178</v>
      </c>
      <c r="C1471" t="s">
        <v>1211</v>
      </c>
      <c r="D1471" t="s">
        <v>141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45">
      <c r="A1472" t="s">
        <v>1177</v>
      </c>
      <c r="B1472" t="s">
        <v>1178</v>
      </c>
      <c r="C1472" t="s">
        <v>322</v>
      </c>
      <c r="D1472" t="s">
        <v>141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45">
      <c r="A1473" t="s">
        <v>1177</v>
      </c>
      <c r="B1473" t="s">
        <v>1178</v>
      </c>
      <c r="C1473" t="s">
        <v>205</v>
      </c>
      <c r="D1473" t="s">
        <v>141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45">
      <c r="A1474" t="s">
        <v>1177</v>
      </c>
      <c r="B1474" t="s">
        <v>1178</v>
      </c>
      <c r="C1474" t="s">
        <v>596</v>
      </c>
      <c r="D1474" t="s">
        <v>141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45">
      <c r="A1475" t="s">
        <v>1177</v>
      </c>
      <c r="B1475" t="s">
        <v>1178</v>
      </c>
      <c r="C1475" t="s">
        <v>1212</v>
      </c>
      <c r="D1475" t="s">
        <v>141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45">
      <c r="A1476" t="s">
        <v>1177</v>
      </c>
      <c r="B1476" t="s">
        <v>1178</v>
      </c>
      <c r="C1476" t="s">
        <v>1213</v>
      </c>
      <c r="D1476" t="s">
        <v>141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45">
      <c r="A1477" t="s">
        <v>1177</v>
      </c>
      <c r="B1477" t="s">
        <v>1178</v>
      </c>
      <c r="C1477" t="s">
        <v>1214</v>
      </c>
      <c r="D1477" t="s">
        <v>141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45">
      <c r="A1478" t="s">
        <v>1177</v>
      </c>
      <c r="B1478" t="s">
        <v>1178</v>
      </c>
      <c r="C1478" t="s">
        <v>889</v>
      </c>
      <c r="D1478" t="s">
        <v>141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45">
      <c r="A1479" t="s">
        <v>1177</v>
      </c>
      <c r="B1479" t="s">
        <v>1178</v>
      </c>
      <c r="C1479" t="s">
        <v>1215</v>
      </c>
      <c r="D1479" t="s">
        <v>141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45">
      <c r="A1480" t="s">
        <v>1177</v>
      </c>
      <c r="B1480" t="s">
        <v>1178</v>
      </c>
      <c r="C1480" t="s">
        <v>1216</v>
      </c>
      <c r="D1480" t="s">
        <v>141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45">
      <c r="A1481" t="s">
        <v>1177</v>
      </c>
      <c r="B1481" t="s">
        <v>1178</v>
      </c>
      <c r="C1481" t="s">
        <v>1217</v>
      </c>
      <c r="D1481" t="s">
        <v>141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45">
      <c r="A1482" t="s">
        <v>1177</v>
      </c>
      <c r="B1482" t="s">
        <v>1178</v>
      </c>
      <c r="C1482" t="s">
        <v>867</v>
      </c>
      <c r="D1482" t="s">
        <v>141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45">
      <c r="A1483" t="s">
        <v>1177</v>
      </c>
      <c r="B1483" t="s">
        <v>1178</v>
      </c>
      <c r="C1483" t="s">
        <v>1218</v>
      </c>
      <c r="D1483" t="s">
        <v>141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45">
      <c r="A1484" t="s">
        <v>1177</v>
      </c>
      <c r="B1484" t="s">
        <v>1178</v>
      </c>
      <c r="C1484" t="s">
        <v>1219</v>
      </c>
      <c r="D1484" t="s">
        <v>141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45">
      <c r="A1485" t="s">
        <v>1177</v>
      </c>
      <c r="B1485" t="s">
        <v>1178</v>
      </c>
      <c r="C1485" t="s">
        <v>1220</v>
      </c>
      <c r="D1485" t="s">
        <v>141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45">
      <c r="A1486" t="s">
        <v>1177</v>
      </c>
      <c r="B1486" t="s">
        <v>1178</v>
      </c>
      <c r="C1486" t="s">
        <v>1221</v>
      </c>
      <c r="D1486" t="s">
        <v>141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45">
      <c r="A1487" t="s">
        <v>1177</v>
      </c>
      <c r="B1487" t="s">
        <v>1178</v>
      </c>
      <c r="C1487" t="s">
        <v>1222</v>
      </c>
      <c r="D1487" t="s">
        <v>141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45">
      <c r="A1488" t="s">
        <v>1177</v>
      </c>
      <c r="B1488" t="s">
        <v>1178</v>
      </c>
      <c r="C1488" t="s">
        <v>1223</v>
      </c>
      <c r="D1488" t="s">
        <v>141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45">
      <c r="A1489" t="s">
        <v>1177</v>
      </c>
      <c r="B1489" t="s">
        <v>1178</v>
      </c>
      <c r="C1489" t="s">
        <v>1224</v>
      </c>
      <c r="D1489" t="s">
        <v>141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45">
      <c r="A1490" t="s">
        <v>1177</v>
      </c>
      <c r="B1490" t="s">
        <v>1178</v>
      </c>
      <c r="C1490" t="s">
        <v>1225</v>
      </c>
      <c r="D1490" t="s">
        <v>141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45">
      <c r="A1491" t="s">
        <v>1177</v>
      </c>
      <c r="B1491" t="s">
        <v>1178</v>
      </c>
      <c r="C1491" t="s">
        <v>1226</v>
      </c>
      <c r="D1491" t="s">
        <v>141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45">
      <c r="A1492" t="s">
        <v>1177</v>
      </c>
      <c r="B1492" t="s">
        <v>1178</v>
      </c>
      <c r="C1492" t="s">
        <v>1227</v>
      </c>
      <c r="D1492" t="s">
        <v>141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45">
      <c r="A1493" t="s">
        <v>1177</v>
      </c>
      <c r="B1493" t="s">
        <v>1178</v>
      </c>
      <c r="C1493" t="s">
        <v>249</v>
      </c>
      <c r="D1493" t="s">
        <v>141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45">
      <c r="A1494" t="s">
        <v>1177</v>
      </c>
      <c r="B1494" t="s">
        <v>1178</v>
      </c>
      <c r="C1494" t="s">
        <v>1228</v>
      </c>
      <c r="D1494" t="s">
        <v>141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45">
      <c r="A1495" t="s">
        <v>1229</v>
      </c>
      <c r="B1495" t="s">
        <v>219</v>
      </c>
      <c r="C1495" t="s">
        <v>1230</v>
      </c>
      <c r="D1495" t="s">
        <v>110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45">
      <c r="A1496" t="s">
        <v>1229</v>
      </c>
      <c r="B1496" t="s">
        <v>219</v>
      </c>
      <c r="C1496" t="s">
        <v>1231</v>
      </c>
      <c r="D1496" t="s">
        <v>112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45">
      <c r="A1497" t="s">
        <v>1229</v>
      </c>
      <c r="B1497" t="s">
        <v>219</v>
      </c>
      <c r="C1497" t="s">
        <v>1232</v>
      </c>
      <c r="D1497" t="s">
        <v>110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45">
      <c r="A1498" t="s">
        <v>1229</v>
      </c>
      <c r="B1498" t="s">
        <v>219</v>
      </c>
      <c r="C1498" t="s">
        <v>1233</v>
      </c>
      <c r="D1498" t="s">
        <v>110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45">
      <c r="A1499" t="s">
        <v>1234</v>
      </c>
      <c r="B1499" t="s">
        <v>1235</v>
      </c>
      <c r="C1499" t="s">
        <v>146</v>
      </c>
      <c r="D1499" t="s">
        <v>110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45">
      <c r="A1500" t="s">
        <v>1234</v>
      </c>
      <c r="B1500" t="s">
        <v>1235</v>
      </c>
      <c r="C1500" t="s">
        <v>1236</v>
      </c>
      <c r="D1500" t="s">
        <v>141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45">
      <c r="A1501" t="s">
        <v>1234</v>
      </c>
      <c r="B1501" t="s">
        <v>1235</v>
      </c>
      <c r="C1501" t="s">
        <v>483</v>
      </c>
      <c r="D1501" t="s">
        <v>141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45">
      <c r="A1502" t="s">
        <v>1234</v>
      </c>
      <c r="B1502" t="s">
        <v>1235</v>
      </c>
      <c r="C1502" t="s">
        <v>1237</v>
      </c>
      <c r="D1502" t="s">
        <v>141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45">
      <c r="A1503" t="s">
        <v>1234</v>
      </c>
      <c r="B1503" t="s">
        <v>1235</v>
      </c>
      <c r="C1503" t="s">
        <v>1238</v>
      </c>
      <c r="D1503" t="s">
        <v>110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45">
      <c r="A1504" t="s">
        <v>1234</v>
      </c>
      <c r="B1504" t="s">
        <v>1235</v>
      </c>
      <c r="C1504" t="s">
        <v>1239</v>
      </c>
      <c r="D1504" t="s">
        <v>141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45">
      <c r="A1505" t="s">
        <v>1234</v>
      </c>
      <c r="B1505" t="s">
        <v>1235</v>
      </c>
      <c r="C1505" t="s">
        <v>156</v>
      </c>
      <c r="D1505" t="s">
        <v>141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45">
      <c r="A1506" t="s">
        <v>1234</v>
      </c>
      <c r="B1506" t="s">
        <v>1235</v>
      </c>
      <c r="C1506" t="s">
        <v>166</v>
      </c>
      <c r="D1506" t="s">
        <v>141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45">
      <c r="A1507" t="s">
        <v>1234</v>
      </c>
      <c r="B1507" t="s">
        <v>1235</v>
      </c>
      <c r="C1507" t="s">
        <v>1240</v>
      </c>
      <c r="D1507" t="s">
        <v>110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45">
      <c r="A1508" t="s">
        <v>1234</v>
      </c>
      <c r="B1508" t="s">
        <v>1235</v>
      </c>
      <c r="C1508" t="s">
        <v>183</v>
      </c>
      <c r="D1508" t="s">
        <v>110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45">
      <c r="A1509" t="s">
        <v>1234</v>
      </c>
      <c r="B1509" t="s">
        <v>1235</v>
      </c>
      <c r="C1509" t="s">
        <v>384</v>
      </c>
      <c r="D1509" t="s">
        <v>141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45">
      <c r="A1510" t="s">
        <v>1234</v>
      </c>
      <c r="B1510" t="s">
        <v>1235</v>
      </c>
      <c r="C1510" t="s">
        <v>227</v>
      </c>
      <c r="D1510" t="s">
        <v>110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45">
      <c r="A1511" t="s">
        <v>1234</v>
      </c>
      <c r="B1511" t="s">
        <v>1235</v>
      </c>
      <c r="C1511" t="s">
        <v>1241</v>
      </c>
      <c r="D1511" t="s">
        <v>110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45">
      <c r="A1512" t="s">
        <v>1234</v>
      </c>
      <c r="B1512" t="s">
        <v>1235</v>
      </c>
      <c r="C1512" t="s">
        <v>661</v>
      </c>
      <c r="D1512" t="s">
        <v>110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45">
      <c r="A1513" t="s">
        <v>1234</v>
      </c>
      <c r="B1513" t="s">
        <v>1235</v>
      </c>
      <c r="C1513" t="s">
        <v>515</v>
      </c>
      <c r="D1513" t="s">
        <v>110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45">
      <c r="A1514" t="s">
        <v>1234</v>
      </c>
      <c r="B1514" t="s">
        <v>1235</v>
      </c>
      <c r="C1514" t="s">
        <v>1242</v>
      </c>
      <c r="D1514" t="s">
        <v>110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45">
      <c r="A1515" t="s">
        <v>1234</v>
      </c>
      <c r="B1515" t="s">
        <v>1235</v>
      </c>
      <c r="C1515" t="s">
        <v>517</v>
      </c>
      <c r="D1515" t="s">
        <v>110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45">
      <c r="A1516" t="s">
        <v>1234</v>
      </c>
      <c r="B1516" t="s">
        <v>1235</v>
      </c>
      <c r="C1516" t="s">
        <v>190</v>
      </c>
      <c r="D1516" t="s">
        <v>141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45">
      <c r="A1517" t="s">
        <v>1234</v>
      </c>
      <c r="B1517" t="s">
        <v>1235</v>
      </c>
      <c r="C1517" t="s">
        <v>191</v>
      </c>
      <c r="D1517" t="s">
        <v>141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45">
      <c r="A1518" t="s">
        <v>1234</v>
      </c>
      <c r="B1518" t="s">
        <v>1235</v>
      </c>
      <c r="C1518" t="s">
        <v>1243</v>
      </c>
      <c r="D1518" t="s">
        <v>141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45">
      <c r="A1519" t="s">
        <v>1234</v>
      </c>
      <c r="B1519" t="s">
        <v>1235</v>
      </c>
      <c r="C1519" t="s">
        <v>446</v>
      </c>
      <c r="D1519" t="s">
        <v>110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45">
      <c r="A1520" t="s">
        <v>1234</v>
      </c>
      <c r="B1520" t="s">
        <v>1235</v>
      </c>
      <c r="C1520" t="s">
        <v>235</v>
      </c>
      <c r="D1520" t="s">
        <v>141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45">
      <c r="A1521" t="s">
        <v>1234</v>
      </c>
      <c r="B1521" t="s">
        <v>1235</v>
      </c>
      <c r="C1521" t="s">
        <v>237</v>
      </c>
      <c r="D1521" t="s">
        <v>141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45">
      <c r="A1522" t="s">
        <v>1234</v>
      </c>
      <c r="B1522" t="s">
        <v>1235</v>
      </c>
      <c r="C1522" t="s">
        <v>201</v>
      </c>
      <c r="D1522" t="s">
        <v>110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45">
      <c r="A1523" t="s">
        <v>1234</v>
      </c>
      <c r="B1523" t="s">
        <v>1235</v>
      </c>
      <c r="C1523" t="s">
        <v>202</v>
      </c>
      <c r="D1523" t="s">
        <v>110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45">
      <c r="A1524" t="s">
        <v>1234</v>
      </c>
      <c r="B1524" t="s">
        <v>1235</v>
      </c>
      <c r="C1524" t="s">
        <v>451</v>
      </c>
      <c r="D1524" t="s">
        <v>141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45">
      <c r="A1525" t="s">
        <v>1234</v>
      </c>
      <c r="B1525" t="s">
        <v>1235</v>
      </c>
      <c r="C1525" t="s">
        <v>1244</v>
      </c>
      <c r="D1525" t="s">
        <v>141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45">
      <c r="A1526" t="s">
        <v>1234</v>
      </c>
      <c r="B1526" t="s">
        <v>1235</v>
      </c>
      <c r="C1526" t="s">
        <v>457</v>
      </c>
      <c r="D1526" t="s">
        <v>141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45">
      <c r="A1527" t="s">
        <v>1234</v>
      </c>
      <c r="B1527" t="s">
        <v>1235</v>
      </c>
      <c r="C1527" t="s">
        <v>296</v>
      </c>
      <c r="D1527" t="s">
        <v>110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45">
      <c r="A1528" t="s">
        <v>1234</v>
      </c>
      <c r="B1528" t="s">
        <v>1235</v>
      </c>
      <c r="C1528" t="s">
        <v>1245</v>
      </c>
      <c r="D1528" t="s">
        <v>141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45">
      <c r="A1529" t="s">
        <v>1234</v>
      </c>
      <c r="B1529" t="s">
        <v>1235</v>
      </c>
      <c r="C1529" t="s">
        <v>1246</v>
      </c>
      <c r="D1529" t="s">
        <v>110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45">
      <c r="A1530" t="s">
        <v>1234</v>
      </c>
      <c r="B1530" t="s">
        <v>1235</v>
      </c>
      <c r="C1530" t="s">
        <v>204</v>
      </c>
      <c r="D1530" t="s">
        <v>141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45">
      <c r="A1531" t="s">
        <v>1234</v>
      </c>
      <c r="B1531" t="s">
        <v>1235</v>
      </c>
      <c r="C1531" t="s">
        <v>206</v>
      </c>
      <c r="D1531" t="s">
        <v>141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45">
      <c r="A1532" t="s">
        <v>1234</v>
      </c>
      <c r="B1532" t="s">
        <v>1235</v>
      </c>
      <c r="C1532" t="s">
        <v>597</v>
      </c>
      <c r="D1532" t="s">
        <v>110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45">
      <c r="A1533" t="s">
        <v>1234</v>
      </c>
      <c r="B1533" t="s">
        <v>1235</v>
      </c>
      <c r="C1533" t="s">
        <v>598</v>
      </c>
      <c r="D1533" t="s">
        <v>110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45">
      <c r="A1534" t="s">
        <v>1234</v>
      </c>
      <c r="B1534" t="s">
        <v>1235</v>
      </c>
      <c r="C1534" t="s">
        <v>602</v>
      </c>
      <c r="D1534" t="s">
        <v>110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45">
      <c r="A1535" t="s">
        <v>1234</v>
      </c>
      <c r="B1535" t="s">
        <v>1235</v>
      </c>
      <c r="C1535" t="s">
        <v>1247</v>
      </c>
      <c r="D1535" t="s">
        <v>141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45">
      <c r="A1536" t="s">
        <v>1234</v>
      </c>
      <c r="B1536" t="s">
        <v>1235</v>
      </c>
      <c r="C1536" t="s">
        <v>1248</v>
      </c>
      <c r="D1536" t="s">
        <v>110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45">
      <c r="A1537" t="s">
        <v>1234</v>
      </c>
      <c r="B1537" t="s">
        <v>1235</v>
      </c>
      <c r="C1537" t="s">
        <v>1249</v>
      </c>
      <c r="D1537" t="s">
        <v>110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45">
      <c r="A1538" t="s">
        <v>1234</v>
      </c>
      <c r="B1538" t="s">
        <v>1235</v>
      </c>
      <c r="C1538" t="s">
        <v>462</v>
      </c>
      <c r="D1538" t="s">
        <v>141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45">
      <c r="A1539" t="s">
        <v>1234</v>
      </c>
      <c r="B1539" t="s">
        <v>1235</v>
      </c>
      <c r="C1539" t="s">
        <v>1250</v>
      </c>
      <c r="D1539" t="s">
        <v>110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45">
      <c r="A1540" t="s">
        <v>1234</v>
      </c>
      <c r="B1540" t="s">
        <v>1235</v>
      </c>
      <c r="C1540" t="s">
        <v>210</v>
      </c>
      <c r="D1540" t="s">
        <v>110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45">
      <c r="A1541" t="s">
        <v>1234</v>
      </c>
      <c r="B1541" t="s">
        <v>1235</v>
      </c>
      <c r="C1541" t="s">
        <v>1251</v>
      </c>
      <c r="D1541" t="s">
        <v>141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45">
      <c r="A1542" t="s">
        <v>1234</v>
      </c>
      <c r="B1542" t="s">
        <v>1235</v>
      </c>
      <c r="C1542" t="s">
        <v>1064</v>
      </c>
      <c r="D1542" t="s">
        <v>141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45">
      <c r="A1543" t="s">
        <v>1234</v>
      </c>
      <c r="B1543" t="s">
        <v>1235</v>
      </c>
      <c r="C1543" t="s">
        <v>1252</v>
      </c>
      <c r="D1543" t="s">
        <v>110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45">
      <c r="A1544" t="s">
        <v>1234</v>
      </c>
      <c r="B1544" t="s">
        <v>1235</v>
      </c>
      <c r="C1544" t="s">
        <v>609</v>
      </c>
      <c r="D1544" t="s">
        <v>110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45">
      <c r="A1545" t="s">
        <v>1234</v>
      </c>
      <c r="B1545" t="s">
        <v>1235</v>
      </c>
      <c r="C1545" t="s">
        <v>1253</v>
      </c>
      <c r="D1545" t="s">
        <v>110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45">
      <c r="A1546" t="s">
        <v>1234</v>
      </c>
      <c r="B1546" t="s">
        <v>1235</v>
      </c>
      <c r="C1546" t="s">
        <v>1143</v>
      </c>
      <c r="D1546" t="s">
        <v>141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45">
      <c r="A1547" t="s">
        <v>1234</v>
      </c>
      <c r="B1547" t="s">
        <v>1235</v>
      </c>
      <c r="C1547" t="s">
        <v>1144</v>
      </c>
      <c r="D1547" t="s">
        <v>110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45">
      <c r="A1548" t="s">
        <v>1234</v>
      </c>
      <c r="B1548" t="s">
        <v>1235</v>
      </c>
      <c r="C1548" t="s">
        <v>406</v>
      </c>
      <c r="D1548" t="s">
        <v>141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45">
      <c r="A1549" t="s">
        <v>1234</v>
      </c>
      <c r="B1549" t="s">
        <v>1235</v>
      </c>
      <c r="C1549" t="s">
        <v>407</v>
      </c>
      <c r="D1549" t="s">
        <v>110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45">
      <c r="A1550" t="s">
        <v>1234</v>
      </c>
      <c r="B1550" t="s">
        <v>1235</v>
      </c>
      <c r="C1550" t="s">
        <v>1254</v>
      </c>
      <c r="D1550" t="s">
        <v>110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45">
      <c r="A1551" t="s">
        <v>1234</v>
      </c>
      <c r="B1551" t="s">
        <v>1235</v>
      </c>
      <c r="C1551" t="s">
        <v>1255</v>
      </c>
      <c r="D1551" t="s">
        <v>141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45">
      <c r="A1552" t="s">
        <v>1234</v>
      </c>
      <c r="B1552" t="s">
        <v>1235</v>
      </c>
      <c r="C1552" t="s">
        <v>957</v>
      </c>
      <c r="D1552" t="s">
        <v>141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45">
      <c r="A1553" t="s">
        <v>1234</v>
      </c>
      <c r="B1553" t="s">
        <v>1235</v>
      </c>
      <c r="C1553" t="s">
        <v>1256</v>
      </c>
      <c r="D1553" t="s">
        <v>141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45">
      <c r="A1554" t="s">
        <v>1257</v>
      </c>
      <c r="B1554" t="s">
        <v>1258</v>
      </c>
      <c r="C1554" t="s">
        <v>423</v>
      </c>
      <c r="D1554" t="s">
        <v>110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45">
      <c r="A1555" t="s">
        <v>1257</v>
      </c>
      <c r="B1555" t="s">
        <v>1258</v>
      </c>
      <c r="C1555" t="s">
        <v>1259</v>
      </c>
      <c r="D1555" t="s">
        <v>113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45">
      <c r="A1556" t="s">
        <v>1257</v>
      </c>
      <c r="B1556" t="s">
        <v>1258</v>
      </c>
      <c r="C1556" t="s">
        <v>1260</v>
      </c>
      <c r="D1556" t="s">
        <v>110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45">
      <c r="A1557" t="s">
        <v>1257</v>
      </c>
      <c r="B1557" t="s">
        <v>1258</v>
      </c>
      <c r="C1557" t="s">
        <v>1261</v>
      </c>
      <c r="D1557" t="s">
        <v>113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45">
      <c r="A1558" t="s">
        <v>1257</v>
      </c>
      <c r="B1558" t="s">
        <v>1258</v>
      </c>
      <c r="C1558" t="s">
        <v>484</v>
      </c>
      <c r="D1558" t="s">
        <v>110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45">
      <c r="A1559" t="s">
        <v>1257</v>
      </c>
      <c r="B1559" t="s">
        <v>1258</v>
      </c>
      <c r="C1559" t="s">
        <v>1029</v>
      </c>
      <c r="D1559" t="s">
        <v>110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45">
      <c r="A1560" t="s">
        <v>1257</v>
      </c>
      <c r="B1560" t="s">
        <v>1258</v>
      </c>
      <c r="C1560" t="s">
        <v>957</v>
      </c>
      <c r="D1560" t="s">
        <v>110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45">
      <c r="A1561" t="s">
        <v>1262</v>
      </c>
      <c r="B1561" t="s">
        <v>1256</v>
      </c>
      <c r="C1561" t="s">
        <v>848</v>
      </c>
      <c r="D1561" t="s">
        <v>110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45">
      <c r="A1562" t="s">
        <v>1262</v>
      </c>
      <c r="B1562" t="s">
        <v>1256</v>
      </c>
      <c r="C1562" t="s">
        <v>777</v>
      </c>
      <c r="D1562" t="s">
        <v>110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45">
      <c r="A1563" t="s">
        <v>1262</v>
      </c>
      <c r="B1563" t="s">
        <v>1256</v>
      </c>
      <c r="C1563" t="s">
        <v>1030</v>
      </c>
      <c r="D1563" t="s">
        <v>110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45">
      <c r="A1564" t="s">
        <v>1262</v>
      </c>
      <c r="B1564" t="s">
        <v>1256</v>
      </c>
      <c r="C1564" t="s">
        <v>779</v>
      </c>
      <c r="D1564" t="s">
        <v>110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45">
      <c r="A1565" t="s">
        <v>1262</v>
      </c>
      <c r="B1565" t="s">
        <v>1256</v>
      </c>
      <c r="C1565" t="s">
        <v>1263</v>
      </c>
      <c r="D1565" t="s">
        <v>110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45">
      <c r="A1566" t="s">
        <v>1262</v>
      </c>
      <c r="B1566" t="s">
        <v>1256</v>
      </c>
      <c r="C1566" t="s">
        <v>974</v>
      </c>
      <c r="D1566" t="s">
        <v>110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45">
      <c r="A1567" t="s">
        <v>1262</v>
      </c>
      <c r="B1567" t="s">
        <v>1256</v>
      </c>
      <c r="C1567" t="s">
        <v>282</v>
      </c>
      <c r="D1567" t="s">
        <v>110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45">
      <c r="A1568" t="s">
        <v>1262</v>
      </c>
      <c r="B1568" t="s">
        <v>1256</v>
      </c>
      <c r="C1568" t="s">
        <v>1264</v>
      </c>
      <c r="D1568" t="s">
        <v>110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45">
      <c r="A1569" t="s">
        <v>1262</v>
      </c>
      <c r="B1569" t="s">
        <v>1256</v>
      </c>
      <c r="C1569" t="s">
        <v>1265</v>
      </c>
      <c r="D1569" t="s">
        <v>110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45">
      <c r="A1570" t="s">
        <v>1262</v>
      </c>
      <c r="B1570" t="s">
        <v>1256</v>
      </c>
      <c r="C1570" t="s">
        <v>233</v>
      </c>
      <c r="D1570" t="s">
        <v>110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45">
      <c r="A1571" t="s">
        <v>1262</v>
      </c>
      <c r="B1571" t="s">
        <v>1256</v>
      </c>
      <c r="C1571" t="s">
        <v>1266</v>
      </c>
      <c r="D1571" t="s">
        <v>110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45">
      <c r="A1572" t="s">
        <v>1262</v>
      </c>
      <c r="B1572" t="s">
        <v>1256</v>
      </c>
      <c r="C1572" t="s">
        <v>235</v>
      </c>
      <c r="D1572" t="s">
        <v>113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45">
      <c r="A1573" t="s">
        <v>1262</v>
      </c>
      <c r="B1573" t="s">
        <v>1256</v>
      </c>
      <c r="C1573" t="s">
        <v>1267</v>
      </c>
      <c r="D1573" t="s">
        <v>110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45">
      <c r="A1574" t="s">
        <v>1262</v>
      </c>
      <c r="B1574" t="s">
        <v>1256</v>
      </c>
      <c r="C1574" t="s">
        <v>1268</v>
      </c>
      <c r="D1574" t="s">
        <v>110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45">
      <c r="A1575" t="s">
        <v>1262</v>
      </c>
      <c r="B1575" t="s">
        <v>1256</v>
      </c>
      <c r="C1575" t="s">
        <v>302</v>
      </c>
      <c r="D1575" t="s">
        <v>110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45">
      <c r="A1576" t="s">
        <v>1262</v>
      </c>
      <c r="B1576" t="s">
        <v>1256</v>
      </c>
      <c r="C1576" t="s">
        <v>757</v>
      </c>
      <c r="D1576" t="s">
        <v>110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45">
      <c r="A1577" t="s">
        <v>1262</v>
      </c>
      <c r="B1577" t="s">
        <v>1256</v>
      </c>
      <c r="C1577" t="s">
        <v>824</v>
      </c>
      <c r="D1577" t="s">
        <v>110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45">
      <c r="A1578" t="s">
        <v>1262</v>
      </c>
      <c r="B1578" t="s">
        <v>1256</v>
      </c>
      <c r="C1578" t="s">
        <v>1269</v>
      </c>
      <c r="D1578" t="s">
        <v>113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45">
      <c r="A1579" t="s">
        <v>1262</v>
      </c>
      <c r="B1579" t="s">
        <v>1256</v>
      </c>
      <c r="C1579" t="s">
        <v>1270</v>
      </c>
      <c r="D1579" t="s">
        <v>110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45">
      <c r="A1580" t="s">
        <v>1262</v>
      </c>
      <c r="B1580" t="s">
        <v>1256</v>
      </c>
      <c r="C1580" t="s">
        <v>1271</v>
      </c>
      <c r="D1580" t="s">
        <v>113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45">
      <c r="A1581" t="s">
        <v>1262</v>
      </c>
      <c r="B1581" t="s">
        <v>1256</v>
      </c>
      <c r="C1581" t="s">
        <v>1272</v>
      </c>
      <c r="D1581" t="s">
        <v>110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45">
      <c r="A1582" t="s">
        <v>1262</v>
      </c>
      <c r="B1582" t="s">
        <v>1256</v>
      </c>
      <c r="C1582" t="s">
        <v>1273</v>
      </c>
      <c r="D1582" t="s">
        <v>110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45">
      <c r="A1583" t="s">
        <v>1262</v>
      </c>
      <c r="B1583" t="s">
        <v>1256</v>
      </c>
      <c r="C1583" t="s">
        <v>1274</v>
      </c>
      <c r="D1583" t="s">
        <v>110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45">
      <c r="A1584" t="s">
        <v>134</v>
      </c>
      <c r="B1584" t="s">
        <v>135</v>
      </c>
      <c r="C1584" t="s">
        <v>410</v>
      </c>
      <c r="D1584" t="s">
        <v>137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45">
      <c r="A1585" t="s">
        <v>134</v>
      </c>
      <c r="B1585" t="s">
        <v>135</v>
      </c>
      <c r="C1585" t="s">
        <v>742</v>
      </c>
      <c r="D1585" t="s">
        <v>141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45">
      <c r="A1586" t="s">
        <v>1275</v>
      </c>
      <c r="B1586" t="s">
        <v>1276</v>
      </c>
      <c r="C1586" t="s">
        <v>1277</v>
      </c>
      <c r="D1586" t="s">
        <v>113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45">
      <c r="A1587" t="s">
        <v>1275</v>
      </c>
      <c r="B1587" t="s">
        <v>1276</v>
      </c>
      <c r="C1587" t="s">
        <v>1278</v>
      </c>
      <c r="D1587" t="s">
        <v>113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45">
      <c r="A1588" t="s">
        <v>1275</v>
      </c>
      <c r="B1588" t="s">
        <v>1276</v>
      </c>
      <c r="C1588" t="s">
        <v>1279</v>
      </c>
      <c r="D1588" t="s">
        <v>113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45">
      <c r="A1589" t="s">
        <v>1275</v>
      </c>
      <c r="B1589" t="s">
        <v>1276</v>
      </c>
      <c r="C1589" t="s">
        <v>1280</v>
      </c>
      <c r="D1589" t="s">
        <v>142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45">
      <c r="A1590" t="s">
        <v>1275</v>
      </c>
      <c r="B1590" t="s">
        <v>1276</v>
      </c>
      <c r="C1590" t="s">
        <v>1281</v>
      </c>
      <c r="D1590" t="s">
        <v>113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45">
      <c r="A1591" t="s">
        <v>1275</v>
      </c>
      <c r="B1591" t="s">
        <v>1276</v>
      </c>
      <c r="C1591" t="s">
        <v>1282</v>
      </c>
      <c r="D1591" t="s">
        <v>113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45">
      <c r="A1592" t="s">
        <v>1275</v>
      </c>
      <c r="B1592" t="s">
        <v>1276</v>
      </c>
      <c r="C1592" t="s">
        <v>1283</v>
      </c>
      <c r="D1592" t="s">
        <v>142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45">
      <c r="A1593" t="s">
        <v>1275</v>
      </c>
      <c r="B1593" t="s">
        <v>1276</v>
      </c>
      <c r="C1593" t="s">
        <v>1284</v>
      </c>
      <c r="D1593" t="s">
        <v>142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45">
      <c r="A1594" t="s">
        <v>1275</v>
      </c>
      <c r="B1594" t="s">
        <v>1276</v>
      </c>
      <c r="C1594" t="s">
        <v>1285</v>
      </c>
      <c r="D1594" t="s">
        <v>113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45">
      <c r="A1595" t="s">
        <v>1275</v>
      </c>
      <c r="B1595" t="s">
        <v>1276</v>
      </c>
      <c r="C1595" t="s">
        <v>1286</v>
      </c>
      <c r="D1595" t="s">
        <v>113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45">
      <c r="A1596" t="s">
        <v>1275</v>
      </c>
      <c r="B1596" t="s">
        <v>1276</v>
      </c>
      <c r="C1596" t="s">
        <v>1287</v>
      </c>
      <c r="D1596" t="s">
        <v>113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45">
      <c r="A1597" t="s">
        <v>1275</v>
      </c>
      <c r="B1597" t="s">
        <v>1276</v>
      </c>
      <c r="C1597" t="s">
        <v>1288</v>
      </c>
      <c r="D1597" t="s">
        <v>113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45">
      <c r="A1598" t="s">
        <v>1275</v>
      </c>
      <c r="B1598" t="s">
        <v>1276</v>
      </c>
      <c r="C1598" t="s">
        <v>1289</v>
      </c>
      <c r="D1598" t="s">
        <v>113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45">
      <c r="A1599" t="s">
        <v>1275</v>
      </c>
      <c r="B1599" t="s">
        <v>1276</v>
      </c>
      <c r="C1599" t="s">
        <v>1290</v>
      </c>
      <c r="D1599" t="s">
        <v>113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45">
      <c r="A1600" t="s">
        <v>1275</v>
      </c>
      <c r="B1600" t="s">
        <v>1276</v>
      </c>
      <c r="C1600" t="s">
        <v>1291</v>
      </c>
      <c r="D1600" t="s">
        <v>113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45">
      <c r="A1601" t="s">
        <v>1275</v>
      </c>
      <c r="B1601" t="s">
        <v>1276</v>
      </c>
      <c r="C1601" t="s">
        <v>1292</v>
      </c>
      <c r="D1601" t="s">
        <v>142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45">
      <c r="A1602" t="s">
        <v>1275</v>
      </c>
      <c r="B1602" t="s">
        <v>1276</v>
      </c>
      <c r="C1602" t="s">
        <v>1293</v>
      </c>
      <c r="D1602" t="s">
        <v>142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45">
      <c r="A1603" t="s">
        <v>1275</v>
      </c>
      <c r="B1603" t="s">
        <v>1276</v>
      </c>
      <c r="C1603" t="s">
        <v>1294</v>
      </c>
      <c r="D1603" t="s">
        <v>142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45">
      <c r="A1604" t="s">
        <v>1275</v>
      </c>
      <c r="B1604" t="s">
        <v>1276</v>
      </c>
      <c r="C1604" t="s">
        <v>1295</v>
      </c>
      <c r="D1604" t="s">
        <v>113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45">
      <c r="A1605" t="s">
        <v>1275</v>
      </c>
      <c r="B1605" t="s">
        <v>1276</v>
      </c>
      <c r="C1605" t="s">
        <v>1296</v>
      </c>
      <c r="D1605" t="s">
        <v>113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45">
      <c r="A1606" t="s">
        <v>1275</v>
      </c>
      <c r="B1606" t="s">
        <v>1276</v>
      </c>
      <c r="C1606" t="s">
        <v>1297</v>
      </c>
      <c r="D1606" t="s">
        <v>142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45">
      <c r="A1607" t="s">
        <v>1275</v>
      </c>
      <c r="B1607" t="s">
        <v>1276</v>
      </c>
      <c r="C1607" t="s">
        <v>1298</v>
      </c>
      <c r="D1607" t="s">
        <v>113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45">
      <c r="A1608" t="s">
        <v>1275</v>
      </c>
      <c r="B1608" t="s">
        <v>1276</v>
      </c>
      <c r="C1608" t="s">
        <v>1299</v>
      </c>
      <c r="D1608" t="s">
        <v>142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45">
      <c r="A1609" t="s">
        <v>1275</v>
      </c>
      <c r="B1609" t="s">
        <v>1276</v>
      </c>
      <c r="C1609" t="s">
        <v>1300</v>
      </c>
      <c r="D1609" t="s">
        <v>113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45">
      <c r="A1610" t="s">
        <v>1275</v>
      </c>
      <c r="B1610" t="s">
        <v>1276</v>
      </c>
      <c r="C1610" t="s">
        <v>1301</v>
      </c>
      <c r="D1610" t="s">
        <v>113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45">
      <c r="A1611" t="s">
        <v>1275</v>
      </c>
      <c r="B1611" t="s">
        <v>1276</v>
      </c>
      <c r="C1611" t="s">
        <v>1302</v>
      </c>
      <c r="D1611" t="s">
        <v>142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45">
      <c r="A1612" t="s">
        <v>1303</v>
      </c>
      <c r="B1612" t="s">
        <v>1304</v>
      </c>
      <c r="C1612" t="s">
        <v>1305</v>
      </c>
      <c r="D1612" t="s">
        <v>110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45">
      <c r="A1613" t="s">
        <v>1303</v>
      </c>
      <c r="B1613" t="s">
        <v>1304</v>
      </c>
      <c r="C1613" t="s">
        <v>1306</v>
      </c>
      <c r="D1613" t="s">
        <v>139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45">
      <c r="A1614" t="s">
        <v>1303</v>
      </c>
      <c r="B1614" t="s">
        <v>1304</v>
      </c>
      <c r="C1614" t="s">
        <v>1307</v>
      </c>
      <c r="D1614" t="s">
        <v>110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45">
      <c r="A1615" t="s">
        <v>1303</v>
      </c>
      <c r="B1615" t="s">
        <v>1304</v>
      </c>
      <c r="C1615" t="s">
        <v>1308</v>
      </c>
      <c r="D1615" t="s">
        <v>140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45">
      <c r="A1616" t="s">
        <v>1303</v>
      </c>
      <c r="B1616" t="s">
        <v>1304</v>
      </c>
      <c r="C1616" t="s">
        <v>534</v>
      </c>
      <c r="D1616" t="s">
        <v>139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45">
      <c r="A1617" t="s">
        <v>1303</v>
      </c>
      <c r="B1617" t="s">
        <v>1304</v>
      </c>
      <c r="C1617" t="s">
        <v>1309</v>
      </c>
      <c r="D1617" t="s">
        <v>139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45">
      <c r="A1618" t="s">
        <v>1303</v>
      </c>
      <c r="B1618" t="s">
        <v>1304</v>
      </c>
      <c r="C1618" t="s">
        <v>1310</v>
      </c>
      <c r="D1618" t="s">
        <v>139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45">
      <c r="A1619" t="s">
        <v>1303</v>
      </c>
      <c r="B1619" t="s">
        <v>1304</v>
      </c>
      <c r="C1619" t="s">
        <v>1311</v>
      </c>
      <c r="D1619" t="s">
        <v>139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45">
      <c r="A1620" t="s">
        <v>1303</v>
      </c>
      <c r="B1620" t="s">
        <v>1304</v>
      </c>
      <c r="C1620" t="s">
        <v>1312</v>
      </c>
      <c r="D1620" t="s">
        <v>139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45">
      <c r="A1621" t="s">
        <v>1303</v>
      </c>
      <c r="B1621" t="s">
        <v>1304</v>
      </c>
      <c r="C1621" t="s">
        <v>1313</v>
      </c>
      <c r="D1621" t="s">
        <v>110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45">
      <c r="A1622" t="s">
        <v>1303</v>
      </c>
      <c r="B1622" t="s">
        <v>1304</v>
      </c>
      <c r="C1622" t="s">
        <v>1314</v>
      </c>
      <c r="D1622" t="s">
        <v>139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45">
      <c r="A1623" t="s">
        <v>1303</v>
      </c>
      <c r="B1623" t="s">
        <v>1304</v>
      </c>
      <c r="C1623" t="s">
        <v>1315</v>
      </c>
      <c r="D1623" t="s">
        <v>139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45">
      <c r="A1624" t="s">
        <v>1303</v>
      </c>
      <c r="B1624" t="s">
        <v>1304</v>
      </c>
      <c r="C1624" t="s">
        <v>1316</v>
      </c>
      <c r="D1624" t="s">
        <v>139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45">
      <c r="A1625" t="s">
        <v>1303</v>
      </c>
      <c r="B1625" t="s">
        <v>1304</v>
      </c>
      <c r="C1625" t="s">
        <v>1317</v>
      </c>
      <c r="D1625" t="s">
        <v>140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45">
      <c r="A1626" t="s">
        <v>1303</v>
      </c>
      <c r="B1626" t="s">
        <v>1304</v>
      </c>
      <c r="C1626" t="s">
        <v>316</v>
      </c>
      <c r="D1626" t="s">
        <v>139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45">
      <c r="A1627" t="s">
        <v>220</v>
      </c>
      <c r="B1627" t="s">
        <v>221</v>
      </c>
      <c r="C1627" t="s">
        <v>221</v>
      </c>
      <c r="D1627" t="s">
        <v>141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45">
      <c r="A1628" t="s">
        <v>220</v>
      </c>
      <c r="B1628" t="s">
        <v>221</v>
      </c>
      <c r="C1628" t="s">
        <v>1318</v>
      </c>
      <c r="D1628" t="s">
        <v>141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45">
      <c r="A1629" t="s">
        <v>220</v>
      </c>
      <c r="B1629" t="s">
        <v>221</v>
      </c>
      <c r="C1629" t="s">
        <v>1319</v>
      </c>
      <c r="D1629" t="s">
        <v>141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45">
      <c r="A1630" t="s">
        <v>220</v>
      </c>
      <c r="B1630" t="s">
        <v>221</v>
      </c>
      <c r="C1630" t="s">
        <v>481</v>
      </c>
      <c r="D1630" t="s">
        <v>141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45">
      <c r="A1631" t="s">
        <v>220</v>
      </c>
      <c r="B1631" t="s">
        <v>221</v>
      </c>
      <c r="C1631" t="s">
        <v>483</v>
      </c>
      <c r="D1631" t="s">
        <v>141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45">
      <c r="A1632" t="s">
        <v>220</v>
      </c>
      <c r="B1632" t="s">
        <v>221</v>
      </c>
      <c r="C1632" t="s">
        <v>1320</v>
      </c>
      <c r="D1632" t="s">
        <v>141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45">
      <c r="A1633" t="s">
        <v>220</v>
      </c>
      <c r="B1633" t="s">
        <v>221</v>
      </c>
      <c r="C1633" t="s">
        <v>156</v>
      </c>
      <c r="D1633" t="s">
        <v>141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45">
      <c r="A1634" t="s">
        <v>220</v>
      </c>
      <c r="B1634" t="s">
        <v>221</v>
      </c>
      <c r="C1634" t="s">
        <v>355</v>
      </c>
      <c r="D1634" t="s">
        <v>141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45">
      <c r="A1635" t="s">
        <v>220</v>
      </c>
      <c r="B1635" t="s">
        <v>221</v>
      </c>
      <c r="C1635" t="s">
        <v>1321</v>
      </c>
      <c r="D1635" t="s">
        <v>141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45">
      <c r="A1636" t="s">
        <v>220</v>
      </c>
      <c r="B1636" t="s">
        <v>221</v>
      </c>
      <c r="C1636" t="s">
        <v>437</v>
      </c>
      <c r="D1636" t="s">
        <v>141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45">
      <c r="A1637" t="s">
        <v>220</v>
      </c>
      <c r="B1637" t="s">
        <v>221</v>
      </c>
      <c r="C1637" t="s">
        <v>166</v>
      </c>
      <c r="D1637" t="s">
        <v>141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45">
      <c r="A1638" t="s">
        <v>220</v>
      </c>
      <c r="B1638" t="s">
        <v>221</v>
      </c>
      <c r="C1638" t="s">
        <v>167</v>
      </c>
      <c r="D1638" t="s">
        <v>141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45">
      <c r="A1639" t="s">
        <v>220</v>
      </c>
      <c r="B1639" t="s">
        <v>221</v>
      </c>
      <c r="C1639" t="s">
        <v>968</v>
      </c>
      <c r="D1639" t="s">
        <v>141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45">
      <c r="A1640" t="s">
        <v>220</v>
      </c>
      <c r="B1640" t="s">
        <v>221</v>
      </c>
      <c r="C1640" t="s">
        <v>365</v>
      </c>
      <c r="D1640" t="s">
        <v>137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45">
      <c r="A1641" t="s">
        <v>220</v>
      </c>
      <c r="B1641" t="s">
        <v>221</v>
      </c>
      <c r="C1641" t="s">
        <v>1322</v>
      </c>
      <c r="D1641" t="s">
        <v>141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45">
      <c r="A1642" t="s">
        <v>220</v>
      </c>
      <c r="B1642" t="s">
        <v>221</v>
      </c>
      <c r="C1642" t="s">
        <v>1323</v>
      </c>
      <c r="D1642" t="s">
        <v>141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45">
      <c r="A1643" t="s">
        <v>220</v>
      </c>
      <c r="B1643" t="s">
        <v>221</v>
      </c>
      <c r="C1643" t="s">
        <v>368</v>
      </c>
      <c r="D1643" t="s">
        <v>141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45">
      <c r="A1644" t="s">
        <v>220</v>
      </c>
      <c r="B1644" t="s">
        <v>221</v>
      </c>
      <c r="C1644" t="s">
        <v>1324</v>
      </c>
      <c r="D1644" t="s">
        <v>141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45">
      <c r="A1645" t="s">
        <v>220</v>
      </c>
      <c r="B1645" t="s">
        <v>221</v>
      </c>
      <c r="C1645" t="s">
        <v>1325</v>
      </c>
      <c r="D1645" t="s">
        <v>141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45">
      <c r="A1646" t="s">
        <v>220</v>
      </c>
      <c r="B1646" t="s">
        <v>221</v>
      </c>
      <c r="C1646" t="s">
        <v>176</v>
      </c>
      <c r="D1646" t="s">
        <v>141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45">
      <c r="A1647" t="s">
        <v>263</v>
      </c>
      <c r="B1647" t="s">
        <v>264</v>
      </c>
      <c r="C1647" t="s">
        <v>1326</v>
      </c>
      <c r="D1647" t="s">
        <v>139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45">
      <c r="A1648" t="s">
        <v>263</v>
      </c>
      <c r="B1648" t="s">
        <v>264</v>
      </c>
      <c r="C1648" t="s">
        <v>518</v>
      </c>
      <c r="D1648" t="s">
        <v>112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45">
      <c r="A1649" t="s">
        <v>263</v>
      </c>
      <c r="B1649" t="s">
        <v>264</v>
      </c>
      <c r="C1649" t="s">
        <v>1327</v>
      </c>
      <c r="D1649" t="s">
        <v>139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45">
      <c r="A1650" t="s">
        <v>263</v>
      </c>
      <c r="B1650" t="s">
        <v>264</v>
      </c>
      <c r="C1650" t="s">
        <v>1328</v>
      </c>
      <c r="D1650" t="s">
        <v>140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45">
      <c r="A1651" t="s">
        <v>263</v>
      </c>
      <c r="B1651" t="s">
        <v>264</v>
      </c>
      <c r="C1651" t="s">
        <v>1329</v>
      </c>
      <c r="D1651" t="s">
        <v>139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45">
      <c r="A1652" t="s">
        <v>263</v>
      </c>
      <c r="B1652" t="s">
        <v>264</v>
      </c>
      <c r="C1652" t="s">
        <v>861</v>
      </c>
      <c r="D1652" t="s">
        <v>139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45">
      <c r="A1653" t="s">
        <v>263</v>
      </c>
      <c r="B1653" t="s">
        <v>264</v>
      </c>
      <c r="C1653" t="s">
        <v>292</v>
      </c>
      <c r="D1653" t="s">
        <v>140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45">
      <c r="A1654" t="s">
        <v>263</v>
      </c>
      <c r="B1654" t="s">
        <v>264</v>
      </c>
      <c r="C1654" t="s">
        <v>1330</v>
      </c>
      <c r="D1654" t="s">
        <v>110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45">
      <c r="A1655" t="s">
        <v>263</v>
      </c>
      <c r="B1655" t="s">
        <v>264</v>
      </c>
      <c r="C1655" t="s">
        <v>1331</v>
      </c>
      <c r="D1655" t="s">
        <v>139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45">
      <c r="A1656" t="s">
        <v>263</v>
      </c>
      <c r="B1656" t="s">
        <v>264</v>
      </c>
      <c r="C1656" t="s">
        <v>1332</v>
      </c>
      <c r="D1656" t="s">
        <v>139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45">
      <c r="A1657" t="s">
        <v>263</v>
      </c>
      <c r="B1657" t="s">
        <v>264</v>
      </c>
      <c r="C1657" t="s">
        <v>1333</v>
      </c>
      <c r="D1657" t="s">
        <v>112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45">
      <c r="A1658" t="s">
        <v>263</v>
      </c>
      <c r="B1658" t="s">
        <v>264</v>
      </c>
      <c r="C1658" t="s">
        <v>1334</v>
      </c>
      <c r="D1658" t="s">
        <v>140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45">
      <c r="A1659" t="s">
        <v>263</v>
      </c>
      <c r="B1659" t="s">
        <v>264</v>
      </c>
      <c r="C1659" t="s">
        <v>1335</v>
      </c>
      <c r="D1659" t="s">
        <v>112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45">
      <c r="A1660" t="s">
        <v>263</v>
      </c>
      <c r="B1660" t="s">
        <v>264</v>
      </c>
      <c r="C1660" t="s">
        <v>1336</v>
      </c>
      <c r="D1660" t="s">
        <v>139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45">
      <c r="A1661" t="s">
        <v>263</v>
      </c>
      <c r="B1661" t="s">
        <v>264</v>
      </c>
      <c r="C1661" t="s">
        <v>1337</v>
      </c>
      <c r="D1661" t="s">
        <v>110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45">
      <c r="A1662" t="s">
        <v>263</v>
      </c>
      <c r="B1662" t="s">
        <v>264</v>
      </c>
      <c r="C1662" t="s">
        <v>1338</v>
      </c>
      <c r="D1662" t="s">
        <v>110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45">
      <c r="A1663" t="s">
        <v>263</v>
      </c>
      <c r="B1663" t="s">
        <v>264</v>
      </c>
      <c r="C1663" t="s">
        <v>1339</v>
      </c>
      <c r="D1663" t="s">
        <v>112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45">
      <c r="A1664" t="s">
        <v>263</v>
      </c>
      <c r="B1664" t="s">
        <v>264</v>
      </c>
      <c r="C1664" t="s">
        <v>1340</v>
      </c>
      <c r="D1664" t="s">
        <v>112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45">
      <c r="A1665" t="s">
        <v>263</v>
      </c>
      <c r="B1665" t="s">
        <v>264</v>
      </c>
      <c r="C1665" t="s">
        <v>241</v>
      </c>
      <c r="D1665" t="s">
        <v>110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45">
      <c r="A1666" t="s">
        <v>263</v>
      </c>
      <c r="B1666" t="s">
        <v>264</v>
      </c>
      <c r="C1666" t="s">
        <v>867</v>
      </c>
      <c r="D1666" t="s">
        <v>139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45">
      <c r="A1667" t="s">
        <v>263</v>
      </c>
      <c r="B1667" t="s">
        <v>264</v>
      </c>
      <c r="C1667" t="s">
        <v>1341</v>
      </c>
      <c r="D1667" t="s">
        <v>139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45">
      <c r="A1668" t="s">
        <v>263</v>
      </c>
      <c r="B1668" t="s">
        <v>264</v>
      </c>
      <c r="C1668" t="s">
        <v>1342</v>
      </c>
      <c r="D1668" t="s">
        <v>110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45">
      <c r="A1669" t="s">
        <v>263</v>
      </c>
      <c r="B1669" t="s">
        <v>264</v>
      </c>
      <c r="C1669" t="s">
        <v>1343</v>
      </c>
      <c r="D1669" t="s">
        <v>139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45">
      <c r="A1670" t="s">
        <v>263</v>
      </c>
      <c r="B1670" t="s">
        <v>264</v>
      </c>
      <c r="C1670" t="s">
        <v>1344</v>
      </c>
      <c r="D1670" t="s">
        <v>139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45">
      <c r="A1671" t="s">
        <v>263</v>
      </c>
      <c r="B1671" t="s">
        <v>264</v>
      </c>
      <c r="C1671" t="s">
        <v>1345</v>
      </c>
      <c r="D1671" t="s">
        <v>112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45">
      <c r="A1672" t="s">
        <v>263</v>
      </c>
      <c r="B1672" t="s">
        <v>264</v>
      </c>
      <c r="C1672" t="s">
        <v>1346</v>
      </c>
      <c r="D1672" t="s">
        <v>139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45">
      <c r="A1673" t="s">
        <v>263</v>
      </c>
      <c r="B1673" t="s">
        <v>264</v>
      </c>
      <c r="C1673" t="s">
        <v>1347</v>
      </c>
      <c r="D1673" t="s">
        <v>139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45">
      <c r="A1674" t="s">
        <v>263</v>
      </c>
      <c r="B1674" t="s">
        <v>264</v>
      </c>
      <c r="C1674" t="s">
        <v>1348</v>
      </c>
      <c r="D1674" t="s">
        <v>112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45">
      <c r="A1675" t="s">
        <v>263</v>
      </c>
      <c r="B1675" t="s">
        <v>264</v>
      </c>
      <c r="C1675" t="s">
        <v>1349</v>
      </c>
      <c r="D1675" t="s">
        <v>139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45">
      <c r="A1676" t="s">
        <v>263</v>
      </c>
      <c r="B1676" t="s">
        <v>264</v>
      </c>
      <c r="C1676" t="s">
        <v>1350</v>
      </c>
      <c r="D1676" t="s">
        <v>112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45">
      <c r="A1677" t="s">
        <v>263</v>
      </c>
      <c r="B1677" t="s">
        <v>264</v>
      </c>
      <c r="C1677" t="s">
        <v>1351</v>
      </c>
      <c r="D1677" t="s">
        <v>112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45">
      <c r="A1678" t="s">
        <v>263</v>
      </c>
      <c r="B1678" t="s">
        <v>264</v>
      </c>
      <c r="C1678" t="s">
        <v>1352</v>
      </c>
      <c r="D1678" t="s">
        <v>112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45">
      <c r="A1679" t="s">
        <v>263</v>
      </c>
      <c r="B1679" t="s">
        <v>264</v>
      </c>
      <c r="C1679" t="s">
        <v>1353</v>
      </c>
      <c r="D1679" t="s">
        <v>112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45">
      <c r="A1680" t="s">
        <v>263</v>
      </c>
      <c r="B1680" t="s">
        <v>264</v>
      </c>
      <c r="C1680" t="s">
        <v>1316</v>
      </c>
      <c r="D1680" t="s">
        <v>112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45">
      <c r="A1681" t="s">
        <v>263</v>
      </c>
      <c r="B1681" t="s">
        <v>264</v>
      </c>
      <c r="C1681" t="s">
        <v>1354</v>
      </c>
      <c r="D1681" t="s">
        <v>139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45">
      <c r="A1682" t="s">
        <v>263</v>
      </c>
      <c r="B1682" t="s">
        <v>264</v>
      </c>
      <c r="C1682" t="s">
        <v>841</v>
      </c>
      <c r="D1682" t="s">
        <v>110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45">
      <c r="A1683" t="s">
        <v>263</v>
      </c>
      <c r="B1683" t="s">
        <v>264</v>
      </c>
      <c r="C1683" t="s">
        <v>1355</v>
      </c>
      <c r="D1683" t="s">
        <v>110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45">
      <c r="A1684" t="s">
        <v>263</v>
      </c>
      <c r="B1684" t="s">
        <v>264</v>
      </c>
      <c r="C1684" t="s">
        <v>1356</v>
      </c>
      <c r="D1684" t="s">
        <v>139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45">
      <c r="A1685" t="s">
        <v>263</v>
      </c>
      <c r="B1685" t="s">
        <v>264</v>
      </c>
      <c r="C1685" t="s">
        <v>1357</v>
      </c>
      <c r="D1685" t="s">
        <v>112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45">
      <c r="A1686" t="s">
        <v>263</v>
      </c>
      <c r="B1686" t="s">
        <v>264</v>
      </c>
      <c r="C1686" t="s">
        <v>1358</v>
      </c>
      <c r="D1686" t="s">
        <v>139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45">
      <c r="A1687" t="s">
        <v>263</v>
      </c>
      <c r="B1687" t="s">
        <v>264</v>
      </c>
      <c r="C1687" t="s">
        <v>1359</v>
      </c>
      <c r="D1687" t="s">
        <v>139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45">
      <c r="A1688" t="s">
        <v>263</v>
      </c>
      <c r="B1688" t="s">
        <v>264</v>
      </c>
      <c r="C1688" t="s">
        <v>1360</v>
      </c>
      <c r="D1688" t="s">
        <v>139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45">
      <c r="A1689" t="s">
        <v>263</v>
      </c>
      <c r="B1689" t="s">
        <v>264</v>
      </c>
      <c r="C1689" t="s">
        <v>1142</v>
      </c>
      <c r="D1689" t="s">
        <v>140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45">
      <c r="A1690" t="s">
        <v>263</v>
      </c>
      <c r="B1690" t="s">
        <v>264</v>
      </c>
      <c r="C1690" t="s">
        <v>1361</v>
      </c>
      <c r="D1690" t="s">
        <v>139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45">
      <c r="A1691" t="s">
        <v>263</v>
      </c>
      <c r="B1691" t="s">
        <v>264</v>
      </c>
      <c r="C1691" t="s">
        <v>1362</v>
      </c>
      <c r="D1691" t="s">
        <v>140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45">
      <c r="A1692" t="s">
        <v>263</v>
      </c>
      <c r="B1692" t="s">
        <v>264</v>
      </c>
      <c r="C1692" t="s">
        <v>1363</v>
      </c>
      <c r="D1692" t="s">
        <v>112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45">
      <c r="A1693" t="s">
        <v>263</v>
      </c>
      <c r="B1693" t="s">
        <v>264</v>
      </c>
      <c r="C1693" t="s">
        <v>1364</v>
      </c>
      <c r="D1693" t="s">
        <v>139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45">
      <c r="A1694" t="s">
        <v>263</v>
      </c>
      <c r="B1694" t="s">
        <v>264</v>
      </c>
      <c r="C1694" t="s">
        <v>1365</v>
      </c>
      <c r="D1694" t="s">
        <v>139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45">
      <c r="A1695" t="s">
        <v>275</v>
      </c>
      <c r="B1695" t="s">
        <v>276</v>
      </c>
      <c r="C1695" t="s">
        <v>423</v>
      </c>
      <c r="D1695" t="s">
        <v>110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45">
      <c r="A1696" t="s">
        <v>275</v>
      </c>
      <c r="B1696" t="s">
        <v>276</v>
      </c>
      <c r="C1696" t="s">
        <v>1366</v>
      </c>
      <c r="D1696" t="s">
        <v>110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45">
      <c r="A1697" t="s">
        <v>275</v>
      </c>
      <c r="B1697" t="s">
        <v>276</v>
      </c>
      <c r="C1697" t="s">
        <v>1367</v>
      </c>
      <c r="D1697" t="s">
        <v>110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45">
      <c r="A1698" t="s">
        <v>275</v>
      </c>
      <c r="B1698" t="s">
        <v>276</v>
      </c>
      <c r="C1698" t="s">
        <v>1368</v>
      </c>
      <c r="D1698" t="s">
        <v>110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45">
      <c r="A1699" t="s">
        <v>275</v>
      </c>
      <c r="B1699" t="s">
        <v>276</v>
      </c>
      <c r="C1699" t="s">
        <v>1369</v>
      </c>
      <c r="D1699" t="s">
        <v>140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45">
      <c r="A1700" t="s">
        <v>275</v>
      </c>
      <c r="B1700" t="s">
        <v>276</v>
      </c>
      <c r="C1700" t="s">
        <v>1370</v>
      </c>
      <c r="D1700" t="s">
        <v>110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45">
      <c r="A1701" t="s">
        <v>275</v>
      </c>
      <c r="B1701" t="s">
        <v>276</v>
      </c>
      <c r="C1701" t="s">
        <v>1371</v>
      </c>
      <c r="D1701" t="s">
        <v>110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45">
      <c r="A1702" t="s">
        <v>275</v>
      </c>
      <c r="B1702" t="s">
        <v>276</v>
      </c>
      <c r="C1702" t="s">
        <v>1372</v>
      </c>
      <c r="D1702" t="s">
        <v>110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45">
      <c r="A1703" t="s">
        <v>275</v>
      </c>
      <c r="B1703" t="s">
        <v>276</v>
      </c>
      <c r="C1703" t="s">
        <v>1373</v>
      </c>
      <c r="D1703" t="s">
        <v>110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45">
      <c r="A1704" t="s">
        <v>275</v>
      </c>
      <c r="B1704" t="s">
        <v>276</v>
      </c>
      <c r="C1704" t="s">
        <v>1374</v>
      </c>
      <c r="D1704" t="s">
        <v>110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45">
      <c r="A1705" t="s">
        <v>275</v>
      </c>
      <c r="B1705" t="s">
        <v>276</v>
      </c>
      <c r="C1705" t="s">
        <v>1375</v>
      </c>
      <c r="D1705" t="s">
        <v>113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45">
      <c r="A1706" t="s">
        <v>275</v>
      </c>
      <c r="B1706" t="s">
        <v>276</v>
      </c>
      <c r="C1706" t="s">
        <v>1376</v>
      </c>
      <c r="D1706" t="s">
        <v>110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45">
      <c r="A1707" t="s">
        <v>275</v>
      </c>
      <c r="B1707" t="s">
        <v>276</v>
      </c>
      <c r="C1707" t="s">
        <v>1377</v>
      </c>
      <c r="D1707" t="s">
        <v>110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45">
      <c r="A1708" t="s">
        <v>275</v>
      </c>
      <c r="B1708" t="s">
        <v>276</v>
      </c>
      <c r="C1708" t="s">
        <v>1378</v>
      </c>
      <c r="D1708" t="s">
        <v>110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45">
      <c r="A1709" t="s">
        <v>275</v>
      </c>
      <c r="B1709" t="s">
        <v>276</v>
      </c>
      <c r="C1709" t="s">
        <v>439</v>
      </c>
      <c r="D1709" t="s">
        <v>110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45">
      <c r="A1710" t="s">
        <v>275</v>
      </c>
      <c r="B1710" t="s">
        <v>276</v>
      </c>
      <c r="C1710" t="s">
        <v>1379</v>
      </c>
      <c r="D1710" t="s">
        <v>110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45">
      <c r="A1711" t="s">
        <v>275</v>
      </c>
      <c r="B1711" t="s">
        <v>276</v>
      </c>
      <c r="C1711" t="s">
        <v>1380</v>
      </c>
      <c r="D1711" t="s">
        <v>110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45">
      <c r="A1712" t="s">
        <v>332</v>
      </c>
      <c r="B1712" t="s">
        <v>333</v>
      </c>
      <c r="C1712" t="s">
        <v>1381</v>
      </c>
      <c r="D1712" t="s">
        <v>137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45">
      <c r="A1713" t="s">
        <v>332</v>
      </c>
      <c r="B1713" t="s">
        <v>333</v>
      </c>
      <c r="C1713" t="s">
        <v>156</v>
      </c>
      <c r="D1713" t="s">
        <v>137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45">
      <c r="A1714" t="s">
        <v>332</v>
      </c>
      <c r="B1714" t="s">
        <v>333</v>
      </c>
      <c r="C1714" t="s">
        <v>1382</v>
      </c>
      <c r="D1714" t="s">
        <v>137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45">
      <c r="A1715" t="s">
        <v>332</v>
      </c>
      <c r="B1715" t="s">
        <v>333</v>
      </c>
      <c r="C1715" t="s">
        <v>1383</v>
      </c>
      <c r="D1715" t="s">
        <v>137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45">
      <c r="A1716" t="s">
        <v>332</v>
      </c>
      <c r="B1716" t="s">
        <v>333</v>
      </c>
      <c r="C1716" t="s">
        <v>166</v>
      </c>
      <c r="D1716" t="s">
        <v>137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45">
      <c r="A1717" t="s">
        <v>332</v>
      </c>
      <c r="B1717" t="s">
        <v>333</v>
      </c>
      <c r="C1717" t="s">
        <v>1384</v>
      </c>
      <c r="D1717" t="s">
        <v>137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45">
      <c r="A1718" t="s">
        <v>332</v>
      </c>
      <c r="B1718" t="s">
        <v>333</v>
      </c>
      <c r="C1718" t="s">
        <v>365</v>
      </c>
      <c r="D1718" t="s">
        <v>137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45">
      <c r="A1719" t="s">
        <v>332</v>
      </c>
      <c r="B1719" t="s">
        <v>333</v>
      </c>
      <c r="C1719" t="s">
        <v>1385</v>
      </c>
      <c r="D1719" t="s">
        <v>137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45">
      <c r="A1720" t="s">
        <v>332</v>
      </c>
      <c r="B1720" t="s">
        <v>333</v>
      </c>
      <c r="C1720" t="s">
        <v>1386</v>
      </c>
      <c r="D1720" t="s">
        <v>137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45">
      <c r="A1721" t="s">
        <v>332</v>
      </c>
      <c r="B1721" t="s">
        <v>333</v>
      </c>
      <c r="C1721" t="s">
        <v>1387</v>
      </c>
      <c r="D1721" t="s">
        <v>137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45">
      <c r="A1722" t="s">
        <v>332</v>
      </c>
      <c r="B1722" t="s">
        <v>333</v>
      </c>
      <c r="C1722" t="s">
        <v>181</v>
      </c>
      <c r="D1722" t="s">
        <v>137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45">
      <c r="A1723" t="s">
        <v>332</v>
      </c>
      <c r="B1723" t="s">
        <v>333</v>
      </c>
      <c r="C1723" t="s">
        <v>1388</v>
      </c>
      <c r="D1723" t="s">
        <v>137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45">
      <c r="A1724" t="s">
        <v>332</v>
      </c>
      <c r="B1724" t="s">
        <v>333</v>
      </c>
      <c r="C1724" t="s">
        <v>184</v>
      </c>
      <c r="D1724" t="s">
        <v>137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45">
      <c r="A1725" t="s">
        <v>332</v>
      </c>
      <c r="B1725" t="s">
        <v>333</v>
      </c>
      <c r="C1725" t="s">
        <v>1389</v>
      </c>
      <c r="D1725" t="s">
        <v>137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45">
      <c r="A1726" t="s">
        <v>332</v>
      </c>
      <c r="B1726" t="s">
        <v>333</v>
      </c>
      <c r="C1726" t="s">
        <v>1390</v>
      </c>
      <c r="D1726" t="s">
        <v>137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45">
      <c r="A1727" t="s">
        <v>332</v>
      </c>
      <c r="B1727" t="s">
        <v>333</v>
      </c>
      <c r="C1727" t="s">
        <v>1391</v>
      </c>
      <c r="D1727" t="s">
        <v>137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45">
      <c r="A1728" t="s">
        <v>332</v>
      </c>
      <c r="B1728" t="s">
        <v>333</v>
      </c>
      <c r="C1728" t="s">
        <v>1392</v>
      </c>
      <c r="D1728" t="s">
        <v>137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45">
      <c r="A1729" t="s">
        <v>332</v>
      </c>
      <c r="B1729" t="s">
        <v>333</v>
      </c>
      <c r="C1729" t="s">
        <v>514</v>
      </c>
      <c r="D1729" t="s">
        <v>137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45">
      <c r="A1730" t="s">
        <v>332</v>
      </c>
      <c r="B1730" t="s">
        <v>333</v>
      </c>
      <c r="C1730" t="s">
        <v>1393</v>
      </c>
      <c r="D1730" t="s">
        <v>137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45">
      <c r="A1731" t="s">
        <v>332</v>
      </c>
      <c r="B1731" t="s">
        <v>333</v>
      </c>
      <c r="C1731" t="s">
        <v>1394</v>
      </c>
      <c r="D1731" t="s">
        <v>137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45">
      <c r="A1732" t="s">
        <v>332</v>
      </c>
      <c r="B1732" t="s">
        <v>333</v>
      </c>
      <c r="C1732" t="s">
        <v>1395</v>
      </c>
      <c r="D1732" t="s">
        <v>137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45">
      <c r="A1733" t="s">
        <v>332</v>
      </c>
      <c r="B1733" t="s">
        <v>333</v>
      </c>
      <c r="C1733" t="s">
        <v>1396</v>
      </c>
      <c r="D1733" t="s">
        <v>137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45">
      <c r="A1734" t="s">
        <v>332</v>
      </c>
      <c r="B1734" t="s">
        <v>333</v>
      </c>
      <c r="C1734" t="s">
        <v>1397</v>
      </c>
      <c r="D1734" t="s">
        <v>137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45">
      <c r="A1735" t="s">
        <v>332</v>
      </c>
      <c r="B1735" t="s">
        <v>333</v>
      </c>
      <c r="C1735" t="s">
        <v>934</v>
      </c>
      <c r="D1735" t="s">
        <v>137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45">
      <c r="A1736" t="s">
        <v>332</v>
      </c>
      <c r="B1736" t="s">
        <v>333</v>
      </c>
      <c r="C1736" t="s">
        <v>1398</v>
      </c>
      <c r="D1736" t="s">
        <v>137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45">
      <c r="A1737" t="s">
        <v>332</v>
      </c>
      <c r="B1737" t="s">
        <v>333</v>
      </c>
      <c r="C1737" t="s">
        <v>190</v>
      </c>
      <c r="D1737" t="s">
        <v>137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45">
      <c r="A1738" t="s">
        <v>332</v>
      </c>
      <c r="B1738" t="s">
        <v>333</v>
      </c>
      <c r="C1738" t="s">
        <v>191</v>
      </c>
      <c r="D1738" t="s">
        <v>137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45">
      <c r="A1739" t="s">
        <v>332</v>
      </c>
      <c r="B1739" t="s">
        <v>333</v>
      </c>
      <c r="C1739" t="s">
        <v>234</v>
      </c>
      <c r="D1739" t="s">
        <v>137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45">
      <c r="A1740" t="s">
        <v>332</v>
      </c>
      <c r="B1740" t="s">
        <v>333</v>
      </c>
      <c r="C1740" t="s">
        <v>292</v>
      </c>
      <c r="D1740" t="s">
        <v>137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45">
      <c r="A1741" t="s">
        <v>332</v>
      </c>
      <c r="B1741" t="s">
        <v>333</v>
      </c>
      <c r="C1741" t="s">
        <v>195</v>
      </c>
      <c r="D1741" t="s">
        <v>137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45">
      <c r="A1742" t="s">
        <v>332</v>
      </c>
      <c r="B1742" t="s">
        <v>333</v>
      </c>
      <c r="C1742" t="s">
        <v>1399</v>
      </c>
      <c r="D1742" t="s">
        <v>137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45">
      <c r="A1743" t="s">
        <v>332</v>
      </c>
      <c r="B1743" t="s">
        <v>333</v>
      </c>
      <c r="C1743" t="s">
        <v>1400</v>
      </c>
      <c r="D1743" t="s">
        <v>137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45">
      <c r="A1744" t="s">
        <v>332</v>
      </c>
      <c r="B1744" t="s">
        <v>333</v>
      </c>
      <c r="C1744" t="s">
        <v>795</v>
      </c>
      <c r="D1744" t="s">
        <v>137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45">
      <c r="A1745" t="s">
        <v>332</v>
      </c>
      <c r="B1745" t="s">
        <v>333</v>
      </c>
      <c r="C1745" t="s">
        <v>199</v>
      </c>
      <c r="D1745" t="s">
        <v>137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45">
      <c r="A1746" t="s">
        <v>332</v>
      </c>
      <c r="B1746" t="s">
        <v>333</v>
      </c>
      <c r="C1746" t="s">
        <v>1401</v>
      </c>
      <c r="D1746" t="s">
        <v>137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45">
      <c r="A1747" t="s">
        <v>332</v>
      </c>
      <c r="B1747" t="s">
        <v>333</v>
      </c>
      <c r="C1747" t="s">
        <v>201</v>
      </c>
      <c r="D1747" t="s">
        <v>137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45">
      <c r="A1748" t="s">
        <v>332</v>
      </c>
      <c r="B1748" t="s">
        <v>333</v>
      </c>
      <c r="C1748" t="s">
        <v>590</v>
      </c>
      <c r="D1748" t="s">
        <v>137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45">
      <c r="A1749" t="s">
        <v>332</v>
      </c>
      <c r="B1749" t="s">
        <v>333</v>
      </c>
      <c r="C1749" t="s">
        <v>1402</v>
      </c>
      <c r="D1749" t="s">
        <v>137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45">
      <c r="A1750" t="s">
        <v>332</v>
      </c>
      <c r="B1750" t="s">
        <v>333</v>
      </c>
      <c r="C1750" t="s">
        <v>204</v>
      </c>
      <c r="D1750" t="s">
        <v>137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45">
      <c r="A1751" t="s">
        <v>332</v>
      </c>
      <c r="B1751" t="s">
        <v>333</v>
      </c>
      <c r="C1751" t="s">
        <v>862</v>
      </c>
      <c r="D1751" t="s">
        <v>137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45">
      <c r="A1752" t="s">
        <v>332</v>
      </c>
      <c r="B1752" t="s">
        <v>333</v>
      </c>
      <c r="C1752" t="s">
        <v>1403</v>
      </c>
      <c r="D1752" t="s">
        <v>137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45">
      <c r="A1753" t="s">
        <v>332</v>
      </c>
      <c r="B1753" t="s">
        <v>333</v>
      </c>
      <c r="C1753" t="s">
        <v>1404</v>
      </c>
      <c r="D1753" t="s">
        <v>137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45">
      <c r="A1754" t="s">
        <v>332</v>
      </c>
      <c r="B1754" t="s">
        <v>333</v>
      </c>
      <c r="C1754" t="s">
        <v>867</v>
      </c>
      <c r="D1754" t="s">
        <v>137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45">
      <c r="A1755" t="s">
        <v>332</v>
      </c>
      <c r="B1755" t="s">
        <v>333</v>
      </c>
      <c r="C1755" t="s">
        <v>1405</v>
      </c>
      <c r="D1755" t="s">
        <v>137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45">
      <c r="A1756" t="s">
        <v>332</v>
      </c>
      <c r="B1756" t="s">
        <v>333</v>
      </c>
      <c r="C1756" t="s">
        <v>1406</v>
      </c>
      <c r="D1756" t="s">
        <v>137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45">
      <c r="A1757" t="s">
        <v>332</v>
      </c>
      <c r="B1757" t="s">
        <v>333</v>
      </c>
      <c r="C1757" t="s">
        <v>1407</v>
      </c>
      <c r="D1757" t="s">
        <v>137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45">
      <c r="A1758" t="s">
        <v>332</v>
      </c>
      <c r="B1758" t="s">
        <v>333</v>
      </c>
      <c r="C1758" t="s">
        <v>1408</v>
      </c>
      <c r="D1758" t="s">
        <v>137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45">
      <c r="A1759" t="s">
        <v>332</v>
      </c>
      <c r="B1759" t="s">
        <v>333</v>
      </c>
      <c r="C1759" t="s">
        <v>246</v>
      </c>
      <c r="D1759" t="s">
        <v>137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45">
      <c r="A1760" t="s">
        <v>332</v>
      </c>
      <c r="B1760" t="s">
        <v>333</v>
      </c>
      <c r="C1760" t="s">
        <v>462</v>
      </c>
      <c r="D1760" t="s">
        <v>137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45">
      <c r="A1761" t="s">
        <v>332</v>
      </c>
      <c r="B1761" t="s">
        <v>333</v>
      </c>
      <c r="C1761" t="s">
        <v>1409</v>
      </c>
      <c r="D1761" t="s">
        <v>137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45">
      <c r="A1762" t="s">
        <v>332</v>
      </c>
      <c r="B1762" t="s">
        <v>333</v>
      </c>
      <c r="C1762" t="s">
        <v>1410</v>
      </c>
      <c r="D1762" t="s">
        <v>137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45">
      <c r="A1763" t="s">
        <v>332</v>
      </c>
      <c r="B1763" t="s">
        <v>333</v>
      </c>
      <c r="C1763" t="s">
        <v>1411</v>
      </c>
      <c r="D1763" t="s">
        <v>137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45">
      <c r="A1764" t="s">
        <v>332</v>
      </c>
      <c r="B1764" t="s">
        <v>333</v>
      </c>
      <c r="C1764" t="s">
        <v>1412</v>
      </c>
      <c r="D1764" t="s">
        <v>137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45">
      <c r="A1765" t="s">
        <v>332</v>
      </c>
      <c r="B1765" t="s">
        <v>333</v>
      </c>
      <c r="C1765" t="s">
        <v>1413</v>
      </c>
      <c r="D1765" t="s">
        <v>137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45">
      <c r="A1766" t="s">
        <v>332</v>
      </c>
      <c r="B1766" t="s">
        <v>333</v>
      </c>
      <c r="C1766" t="s">
        <v>214</v>
      </c>
      <c r="D1766" t="s">
        <v>137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45">
      <c r="A1767" t="s">
        <v>332</v>
      </c>
      <c r="B1767" t="s">
        <v>333</v>
      </c>
      <c r="C1767" t="s">
        <v>1414</v>
      </c>
      <c r="D1767" t="s">
        <v>137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45">
      <c r="A1768" t="s">
        <v>332</v>
      </c>
      <c r="B1768" t="s">
        <v>333</v>
      </c>
      <c r="C1768" t="s">
        <v>609</v>
      </c>
      <c r="D1768" t="s">
        <v>137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45">
      <c r="A1769" t="s">
        <v>332</v>
      </c>
      <c r="B1769" t="s">
        <v>333</v>
      </c>
      <c r="C1769" t="s">
        <v>258</v>
      </c>
      <c r="D1769" t="s">
        <v>137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45">
      <c r="A1770" t="s">
        <v>332</v>
      </c>
      <c r="B1770" t="s">
        <v>333</v>
      </c>
      <c r="C1770" t="s">
        <v>1415</v>
      </c>
      <c r="D1770" t="s">
        <v>137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45">
      <c r="A1771" t="s">
        <v>332</v>
      </c>
      <c r="B1771" t="s">
        <v>333</v>
      </c>
      <c r="C1771" t="s">
        <v>1416</v>
      </c>
      <c r="D1771" t="s">
        <v>137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45">
      <c r="A1772" t="s">
        <v>332</v>
      </c>
      <c r="B1772" t="s">
        <v>333</v>
      </c>
      <c r="C1772" t="s">
        <v>403</v>
      </c>
      <c r="D1772" t="s">
        <v>137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45">
      <c r="A1773" t="s">
        <v>332</v>
      </c>
      <c r="B1773" t="s">
        <v>333</v>
      </c>
      <c r="C1773" t="s">
        <v>219</v>
      </c>
      <c r="D1773" t="s">
        <v>137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45">
      <c r="A1774" t="s">
        <v>339</v>
      </c>
      <c r="B1774" t="s">
        <v>340</v>
      </c>
      <c r="C1774" t="s">
        <v>1417</v>
      </c>
      <c r="D1774" t="s">
        <v>137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45">
      <c r="A1775" t="s">
        <v>339</v>
      </c>
      <c r="B1775" t="s">
        <v>340</v>
      </c>
      <c r="C1775" t="s">
        <v>1418</v>
      </c>
      <c r="D1775" t="s">
        <v>137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45">
      <c r="A1776" t="s">
        <v>339</v>
      </c>
      <c r="B1776" t="s">
        <v>340</v>
      </c>
      <c r="C1776" t="s">
        <v>1419</v>
      </c>
      <c r="D1776" t="s">
        <v>137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45">
      <c r="A1777" t="s">
        <v>339</v>
      </c>
      <c r="B1777" t="s">
        <v>340</v>
      </c>
      <c r="C1777" t="s">
        <v>799</v>
      </c>
      <c r="D1777" t="s">
        <v>141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45">
      <c r="A1778" t="s">
        <v>339</v>
      </c>
      <c r="B1778" t="s">
        <v>340</v>
      </c>
      <c r="C1778" t="s">
        <v>515</v>
      </c>
      <c r="D1778" t="s">
        <v>141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45">
      <c r="A1779" t="s">
        <v>339</v>
      </c>
      <c r="B1779" t="s">
        <v>340</v>
      </c>
      <c r="C1779" t="s">
        <v>1420</v>
      </c>
      <c r="D1779" t="s">
        <v>141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45">
      <c r="A1780" t="s">
        <v>339</v>
      </c>
      <c r="B1780" t="s">
        <v>340</v>
      </c>
      <c r="C1780" t="s">
        <v>1101</v>
      </c>
      <c r="D1780" t="s">
        <v>141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45">
      <c r="A1781" t="s">
        <v>339</v>
      </c>
      <c r="B1781" t="s">
        <v>340</v>
      </c>
      <c r="C1781" t="s">
        <v>576</v>
      </c>
      <c r="D1781" t="s">
        <v>141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45">
      <c r="A1782" t="s">
        <v>339</v>
      </c>
      <c r="B1782" t="s">
        <v>340</v>
      </c>
      <c r="C1782" t="s">
        <v>1421</v>
      </c>
      <c r="D1782" t="s">
        <v>141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45">
      <c r="A1783" t="s">
        <v>339</v>
      </c>
      <c r="B1783" t="s">
        <v>340</v>
      </c>
      <c r="C1783" t="s">
        <v>188</v>
      </c>
      <c r="D1783" t="s">
        <v>141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45">
      <c r="A1784" t="s">
        <v>339</v>
      </c>
      <c r="B1784" t="s">
        <v>340</v>
      </c>
      <c r="C1784" t="s">
        <v>189</v>
      </c>
      <c r="D1784" t="s">
        <v>137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45">
      <c r="A1785" t="s">
        <v>339</v>
      </c>
      <c r="B1785" t="s">
        <v>340</v>
      </c>
      <c r="C1785" t="s">
        <v>1422</v>
      </c>
      <c r="D1785" t="s">
        <v>137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45">
      <c r="A1786" t="s">
        <v>339</v>
      </c>
      <c r="B1786" t="s">
        <v>340</v>
      </c>
      <c r="C1786" t="s">
        <v>190</v>
      </c>
      <c r="D1786" t="s">
        <v>141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45">
      <c r="A1787" t="s">
        <v>339</v>
      </c>
      <c r="B1787" t="s">
        <v>340</v>
      </c>
      <c r="C1787" t="s">
        <v>520</v>
      </c>
      <c r="D1787" t="s">
        <v>141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45">
      <c r="A1788" t="s">
        <v>339</v>
      </c>
      <c r="B1788" t="s">
        <v>340</v>
      </c>
      <c r="C1788" t="s">
        <v>1112</v>
      </c>
      <c r="D1788" t="s">
        <v>137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45">
      <c r="A1789" t="s">
        <v>339</v>
      </c>
      <c r="B1789" t="s">
        <v>340</v>
      </c>
      <c r="C1789" t="s">
        <v>191</v>
      </c>
      <c r="D1789" t="s">
        <v>141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45">
      <c r="A1790" t="s">
        <v>339</v>
      </c>
      <c r="B1790" t="s">
        <v>340</v>
      </c>
      <c r="C1790" t="s">
        <v>1423</v>
      </c>
      <c r="D1790" t="s">
        <v>137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45">
      <c r="A1791" t="s">
        <v>339</v>
      </c>
      <c r="B1791" t="s">
        <v>340</v>
      </c>
      <c r="C1791" t="s">
        <v>233</v>
      </c>
      <c r="D1791" t="s">
        <v>137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45">
      <c r="A1792" t="s">
        <v>339</v>
      </c>
      <c r="B1792" t="s">
        <v>340</v>
      </c>
      <c r="C1792" t="s">
        <v>521</v>
      </c>
      <c r="D1792" t="s">
        <v>141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45">
      <c r="A1793" t="s">
        <v>339</v>
      </c>
      <c r="B1793" t="s">
        <v>340</v>
      </c>
      <c r="C1793" t="s">
        <v>192</v>
      </c>
      <c r="D1793" t="s">
        <v>141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45">
      <c r="A1794" t="s">
        <v>339</v>
      </c>
      <c r="B1794" t="s">
        <v>340</v>
      </c>
      <c r="C1794" t="s">
        <v>1424</v>
      </c>
      <c r="D1794" t="s">
        <v>137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45">
      <c r="A1795" t="s">
        <v>339</v>
      </c>
      <c r="B1795" t="s">
        <v>340</v>
      </c>
      <c r="C1795" t="s">
        <v>1011</v>
      </c>
      <c r="D1795" t="s">
        <v>137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45">
      <c r="A1796" t="s">
        <v>339</v>
      </c>
      <c r="B1796" t="s">
        <v>340</v>
      </c>
      <c r="C1796" t="s">
        <v>195</v>
      </c>
      <c r="D1796" t="s">
        <v>137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45">
      <c r="A1797" t="s">
        <v>339</v>
      </c>
      <c r="B1797" t="s">
        <v>340</v>
      </c>
      <c r="C1797" t="s">
        <v>795</v>
      </c>
      <c r="D1797" t="s">
        <v>137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45">
      <c r="A1798" t="s">
        <v>339</v>
      </c>
      <c r="B1798" t="s">
        <v>340</v>
      </c>
      <c r="C1798" t="s">
        <v>235</v>
      </c>
      <c r="D1798" t="s">
        <v>141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45">
      <c r="A1799" t="s">
        <v>339</v>
      </c>
      <c r="B1799" t="s">
        <v>340</v>
      </c>
      <c r="C1799" t="s">
        <v>1425</v>
      </c>
      <c r="D1799" t="s">
        <v>137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45">
      <c r="A1800" t="s">
        <v>339</v>
      </c>
      <c r="B1800" t="s">
        <v>340</v>
      </c>
      <c r="C1800" t="s">
        <v>197</v>
      </c>
      <c r="D1800" t="s">
        <v>137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45">
      <c r="A1801" t="s">
        <v>339</v>
      </c>
      <c r="B1801" t="s">
        <v>340</v>
      </c>
      <c r="C1801" t="s">
        <v>1426</v>
      </c>
      <c r="D1801" t="s">
        <v>141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45">
      <c r="A1802" t="s">
        <v>339</v>
      </c>
      <c r="B1802" t="s">
        <v>340</v>
      </c>
      <c r="C1802" t="s">
        <v>198</v>
      </c>
      <c r="D1802" t="s">
        <v>392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45">
      <c r="A1803" t="s">
        <v>339</v>
      </c>
      <c r="B1803" t="s">
        <v>340</v>
      </c>
      <c r="C1803" t="s">
        <v>199</v>
      </c>
      <c r="D1803" t="s">
        <v>141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45">
      <c r="A1804" t="s">
        <v>339</v>
      </c>
      <c r="B1804" t="s">
        <v>340</v>
      </c>
      <c r="C1804" t="s">
        <v>201</v>
      </c>
      <c r="D1804" t="s">
        <v>392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45">
      <c r="A1805" t="s">
        <v>339</v>
      </c>
      <c r="B1805" t="s">
        <v>340</v>
      </c>
      <c r="C1805" t="s">
        <v>1427</v>
      </c>
      <c r="D1805" t="s">
        <v>141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45">
      <c r="A1806" t="s">
        <v>339</v>
      </c>
      <c r="B1806" t="s">
        <v>340</v>
      </c>
      <c r="C1806" t="s">
        <v>1428</v>
      </c>
      <c r="D1806" t="s">
        <v>137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45">
      <c r="A1807" t="s">
        <v>339</v>
      </c>
      <c r="B1807" t="s">
        <v>340</v>
      </c>
      <c r="C1807" t="s">
        <v>1429</v>
      </c>
      <c r="D1807" t="s">
        <v>141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45">
      <c r="A1808" t="s">
        <v>339</v>
      </c>
      <c r="B1808" t="s">
        <v>340</v>
      </c>
      <c r="C1808" t="s">
        <v>239</v>
      </c>
      <c r="D1808" t="s">
        <v>137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45">
      <c r="A1809" t="s">
        <v>339</v>
      </c>
      <c r="B1809" t="s">
        <v>340</v>
      </c>
      <c r="C1809" t="s">
        <v>553</v>
      </c>
      <c r="D1809" t="s">
        <v>137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45">
      <c r="A1810" t="s">
        <v>339</v>
      </c>
      <c r="B1810" t="s">
        <v>340</v>
      </c>
      <c r="C1810" t="s">
        <v>204</v>
      </c>
      <c r="D1810" t="s">
        <v>141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45">
      <c r="A1811" t="s">
        <v>339</v>
      </c>
      <c r="B1811" t="s">
        <v>340</v>
      </c>
      <c r="C1811" t="s">
        <v>205</v>
      </c>
      <c r="D1811" t="s">
        <v>392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45">
      <c r="A1812" t="s">
        <v>339</v>
      </c>
      <c r="B1812" t="s">
        <v>340</v>
      </c>
      <c r="C1812" t="s">
        <v>206</v>
      </c>
      <c r="D1812" t="s">
        <v>141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45">
      <c r="A1813" t="s">
        <v>339</v>
      </c>
      <c r="B1813" t="s">
        <v>340</v>
      </c>
      <c r="C1813" t="s">
        <v>718</v>
      </c>
      <c r="D1813" t="s">
        <v>141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45">
      <c r="A1814" t="s">
        <v>339</v>
      </c>
      <c r="B1814" t="s">
        <v>340</v>
      </c>
      <c r="C1814" t="s">
        <v>1430</v>
      </c>
      <c r="D1814" t="s">
        <v>141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45">
      <c r="A1815" t="s">
        <v>339</v>
      </c>
      <c r="B1815" t="s">
        <v>340</v>
      </c>
      <c r="C1815" t="s">
        <v>242</v>
      </c>
      <c r="D1815" t="s">
        <v>141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45">
      <c r="A1816" t="s">
        <v>339</v>
      </c>
      <c r="B1816" t="s">
        <v>340</v>
      </c>
      <c r="C1816" t="s">
        <v>1016</v>
      </c>
      <c r="D1816" t="s">
        <v>141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45">
      <c r="A1817" t="s">
        <v>339</v>
      </c>
      <c r="B1817" t="s">
        <v>340</v>
      </c>
      <c r="C1817" t="s">
        <v>1431</v>
      </c>
      <c r="D1817" t="s">
        <v>141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45">
      <c r="A1818" t="s">
        <v>339</v>
      </c>
      <c r="B1818" t="s">
        <v>340</v>
      </c>
      <c r="C1818" t="s">
        <v>945</v>
      </c>
      <c r="D1818" t="s">
        <v>141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45">
      <c r="A1819" t="s">
        <v>339</v>
      </c>
      <c r="B1819" t="s">
        <v>340</v>
      </c>
      <c r="C1819" t="s">
        <v>1432</v>
      </c>
      <c r="D1819" t="s">
        <v>392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45">
      <c r="A1820" t="s">
        <v>339</v>
      </c>
      <c r="B1820" t="s">
        <v>340</v>
      </c>
      <c r="C1820" t="s">
        <v>208</v>
      </c>
      <c r="D1820" t="s">
        <v>141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45">
      <c r="A1821" t="s">
        <v>339</v>
      </c>
      <c r="B1821" t="s">
        <v>340</v>
      </c>
      <c r="C1821" t="s">
        <v>816</v>
      </c>
      <c r="D1821" t="s">
        <v>137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45">
      <c r="A1822" t="s">
        <v>339</v>
      </c>
      <c r="B1822" t="s">
        <v>340</v>
      </c>
      <c r="C1822" t="s">
        <v>209</v>
      </c>
      <c r="D1822" t="s">
        <v>141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45">
      <c r="A1823" t="s">
        <v>339</v>
      </c>
      <c r="B1823" t="s">
        <v>340</v>
      </c>
      <c r="C1823" t="s">
        <v>246</v>
      </c>
      <c r="D1823" t="s">
        <v>141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45">
      <c r="A1824" t="s">
        <v>339</v>
      </c>
      <c r="B1824" t="s">
        <v>340</v>
      </c>
      <c r="C1824" t="s">
        <v>249</v>
      </c>
      <c r="D1824" t="s">
        <v>392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45">
      <c r="A1825" t="s">
        <v>339</v>
      </c>
      <c r="B1825" t="s">
        <v>340</v>
      </c>
      <c r="C1825" t="s">
        <v>462</v>
      </c>
      <c r="D1825" t="s">
        <v>141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45">
      <c r="A1826" t="s">
        <v>339</v>
      </c>
      <c r="B1826" t="s">
        <v>340</v>
      </c>
      <c r="C1826" t="s">
        <v>731</v>
      </c>
      <c r="D1826" t="s">
        <v>392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45">
      <c r="A1827" t="s">
        <v>339</v>
      </c>
      <c r="B1827" t="s">
        <v>340</v>
      </c>
      <c r="C1827" t="s">
        <v>1433</v>
      </c>
      <c r="D1827" t="s">
        <v>141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45">
      <c r="A1828" t="s">
        <v>339</v>
      </c>
      <c r="B1828" t="s">
        <v>340</v>
      </c>
      <c r="C1828" t="s">
        <v>210</v>
      </c>
      <c r="D1828" t="s">
        <v>392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45">
      <c r="A1829" t="s">
        <v>339</v>
      </c>
      <c r="B1829" t="s">
        <v>340</v>
      </c>
      <c r="C1829" t="s">
        <v>873</v>
      </c>
      <c r="D1829" t="s">
        <v>141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45">
      <c r="A1830" t="s">
        <v>339</v>
      </c>
      <c r="B1830" t="s">
        <v>340</v>
      </c>
      <c r="C1830" t="s">
        <v>1434</v>
      </c>
      <c r="D1830" t="s">
        <v>141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45">
      <c r="A1831" t="s">
        <v>339</v>
      </c>
      <c r="B1831" t="s">
        <v>340</v>
      </c>
      <c r="C1831" t="s">
        <v>1435</v>
      </c>
      <c r="D1831" t="s">
        <v>392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45">
      <c r="A1832" t="s">
        <v>339</v>
      </c>
      <c r="B1832" t="s">
        <v>340</v>
      </c>
      <c r="C1832" t="s">
        <v>1436</v>
      </c>
      <c r="D1832" t="s">
        <v>392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45">
      <c r="A1833" t="s">
        <v>339</v>
      </c>
      <c r="B1833" t="s">
        <v>340</v>
      </c>
      <c r="C1833" t="s">
        <v>1411</v>
      </c>
      <c r="D1833" t="s">
        <v>137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45">
      <c r="A1834" t="s">
        <v>339</v>
      </c>
      <c r="B1834" t="s">
        <v>340</v>
      </c>
      <c r="C1834" t="s">
        <v>1437</v>
      </c>
      <c r="D1834" t="s">
        <v>141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45">
      <c r="A1835" t="s">
        <v>339</v>
      </c>
      <c r="B1835" t="s">
        <v>340</v>
      </c>
      <c r="C1835" t="s">
        <v>1131</v>
      </c>
      <c r="D1835" t="s">
        <v>141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45">
      <c r="A1836" t="s">
        <v>339</v>
      </c>
      <c r="B1836" t="s">
        <v>340</v>
      </c>
      <c r="C1836" t="s">
        <v>1066</v>
      </c>
      <c r="D1836" t="s">
        <v>392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45">
      <c r="A1837" t="s">
        <v>339</v>
      </c>
      <c r="B1837" t="s">
        <v>340</v>
      </c>
      <c r="C1837" t="s">
        <v>214</v>
      </c>
      <c r="D1837" t="s">
        <v>392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45">
      <c r="A1838" t="s">
        <v>339</v>
      </c>
      <c r="B1838" t="s">
        <v>340</v>
      </c>
      <c r="C1838" t="s">
        <v>650</v>
      </c>
      <c r="D1838" t="s">
        <v>141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45">
      <c r="A1839" t="s">
        <v>339</v>
      </c>
      <c r="B1839" t="s">
        <v>340</v>
      </c>
      <c r="C1839" t="s">
        <v>1438</v>
      </c>
      <c r="D1839" t="s">
        <v>141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45">
      <c r="A1840" t="s">
        <v>339</v>
      </c>
      <c r="B1840" t="s">
        <v>340</v>
      </c>
      <c r="C1840" t="s">
        <v>1439</v>
      </c>
      <c r="D1840" t="s">
        <v>137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45">
      <c r="A1841" t="s">
        <v>339</v>
      </c>
      <c r="B1841" t="s">
        <v>340</v>
      </c>
      <c r="C1841" t="s">
        <v>609</v>
      </c>
      <c r="D1841" t="s">
        <v>392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45">
      <c r="A1842" t="s">
        <v>420</v>
      </c>
      <c r="B1842" t="s">
        <v>421</v>
      </c>
      <c r="C1842" t="s">
        <v>1440</v>
      </c>
      <c r="D1842" t="s">
        <v>110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45">
      <c r="A1843" t="s">
        <v>420</v>
      </c>
      <c r="B1843" t="s">
        <v>421</v>
      </c>
      <c r="C1843" t="s">
        <v>864</v>
      </c>
      <c r="D1843" t="s">
        <v>110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45">
      <c r="A1844" t="s">
        <v>420</v>
      </c>
      <c r="B1844" t="s">
        <v>421</v>
      </c>
      <c r="C1844" t="s">
        <v>1441</v>
      </c>
      <c r="D1844" t="s">
        <v>110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45">
      <c r="A1845" t="s">
        <v>420</v>
      </c>
      <c r="B1845" t="s">
        <v>421</v>
      </c>
      <c r="C1845" t="s">
        <v>1442</v>
      </c>
      <c r="D1845" t="s">
        <v>110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45">
      <c r="A1846" t="s">
        <v>420</v>
      </c>
      <c r="B1846" t="s">
        <v>421</v>
      </c>
      <c r="C1846" t="s">
        <v>1443</v>
      </c>
      <c r="D1846" t="s">
        <v>110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45">
      <c r="A1847" t="s">
        <v>420</v>
      </c>
      <c r="B1847" t="s">
        <v>421</v>
      </c>
      <c r="C1847" t="s">
        <v>1444</v>
      </c>
      <c r="D1847" t="s">
        <v>110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45">
      <c r="A1848" t="s">
        <v>420</v>
      </c>
      <c r="B1848" t="s">
        <v>421</v>
      </c>
      <c r="C1848" t="s">
        <v>1271</v>
      </c>
      <c r="D1848" t="s">
        <v>110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45">
      <c r="A1849" t="s">
        <v>420</v>
      </c>
      <c r="B1849" t="s">
        <v>421</v>
      </c>
      <c r="C1849" t="s">
        <v>1445</v>
      </c>
      <c r="D1849" t="s">
        <v>110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45">
      <c r="A1850" t="s">
        <v>420</v>
      </c>
      <c r="B1850" t="s">
        <v>421</v>
      </c>
      <c r="C1850" t="s">
        <v>830</v>
      </c>
      <c r="D1850" t="s">
        <v>110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45">
      <c r="A1851" t="s">
        <v>420</v>
      </c>
      <c r="B1851" t="s">
        <v>421</v>
      </c>
      <c r="C1851" t="s">
        <v>219</v>
      </c>
      <c r="D1851" t="s">
        <v>110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45">
      <c r="A1852" t="s">
        <v>448</v>
      </c>
      <c r="B1852" t="s">
        <v>449</v>
      </c>
      <c r="C1852" t="s">
        <v>423</v>
      </c>
      <c r="D1852" t="s">
        <v>110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45">
      <c r="A1853" t="s">
        <v>448</v>
      </c>
      <c r="B1853" t="s">
        <v>449</v>
      </c>
      <c r="C1853" t="s">
        <v>1446</v>
      </c>
      <c r="D1853" t="s">
        <v>141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45">
      <c r="A1854" t="s">
        <v>448</v>
      </c>
      <c r="B1854" t="s">
        <v>449</v>
      </c>
      <c r="C1854" t="s">
        <v>1447</v>
      </c>
      <c r="D1854" t="s">
        <v>141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45">
      <c r="A1855" t="s">
        <v>448</v>
      </c>
      <c r="B1855" t="s">
        <v>449</v>
      </c>
      <c r="C1855" t="s">
        <v>483</v>
      </c>
      <c r="D1855" t="s">
        <v>110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45">
      <c r="A1856" t="s">
        <v>448</v>
      </c>
      <c r="B1856" t="s">
        <v>449</v>
      </c>
      <c r="C1856" t="s">
        <v>484</v>
      </c>
      <c r="D1856" t="s">
        <v>110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45">
      <c r="A1857" t="s">
        <v>448</v>
      </c>
      <c r="B1857" t="s">
        <v>449</v>
      </c>
      <c r="C1857" t="s">
        <v>1448</v>
      </c>
      <c r="D1857" t="s">
        <v>110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45">
      <c r="A1858" t="s">
        <v>448</v>
      </c>
      <c r="B1858" t="s">
        <v>449</v>
      </c>
      <c r="C1858" t="s">
        <v>156</v>
      </c>
      <c r="D1858" t="s">
        <v>110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45">
      <c r="A1859" t="s">
        <v>448</v>
      </c>
      <c r="B1859" t="s">
        <v>449</v>
      </c>
      <c r="C1859" t="s">
        <v>355</v>
      </c>
      <c r="D1859" t="s">
        <v>110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45">
      <c r="A1860" t="s">
        <v>448</v>
      </c>
      <c r="B1860" t="s">
        <v>449</v>
      </c>
      <c r="C1860" t="s">
        <v>485</v>
      </c>
      <c r="D1860" t="s">
        <v>110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45">
      <c r="A1861" t="s">
        <v>448</v>
      </c>
      <c r="B1861" t="s">
        <v>449</v>
      </c>
      <c r="C1861" t="s">
        <v>1449</v>
      </c>
      <c r="D1861" t="s">
        <v>110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45">
      <c r="A1862" t="s">
        <v>448</v>
      </c>
      <c r="B1862" t="s">
        <v>449</v>
      </c>
      <c r="C1862" t="s">
        <v>1450</v>
      </c>
      <c r="D1862" t="s">
        <v>141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45">
      <c r="A1863" t="s">
        <v>448</v>
      </c>
      <c r="B1863" t="s">
        <v>449</v>
      </c>
      <c r="C1863" t="s">
        <v>437</v>
      </c>
      <c r="D1863" t="s">
        <v>110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45">
      <c r="A1864" t="s">
        <v>448</v>
      </c>
      <c r="B1864" t="s">
        <v>449</v>
      </c>
      <c r="C1864" t="s">
        <v>166</v>
      </c>
      <c r="D1864" t="s">
        <v>141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45">
      <c r="A1865" t="s">
        <v>448</v>
      </c>
      <c r="B1865" t="s">
        <v>449</v>
      </c>
      <c r="C1865" t="s">
        <v>486</v>
      </c>
      <c r="D1865" t="s">
        <v>141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45">
      <c r="A1866" t="s">
        <v>448</v>
      </c>
      <c r="B1866" t="s">
        <v>449</v>
      </c>
      <c r="C1866" t="s">
        <v>1451</v>
      </c>
      <c r="D1866" t="s">
        <v>110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45">
      <c r="A1867" t="s">
        <v>448</v>
      </c>
      <c r="B1867" t="s">
        <v>449</v>
      </c>
      <c r="C1867" t="s">
        <v>366</v>
      </c>
      <c r="D1867" t="s">
        <v>110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45">
      <c r="A1868" t="s">
        <v>448</v>
      </c>
      <c r="B1868" t="s">
        <v>449</v>
      </c>
      <c r="C1868" t="s">
        <v>368</v>
      </c>
      <c r="D1868" t="s">
        <v>141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45">
      <c r="A1869" t="s">
        <v>448</v>
      </c>
      <c r="B1869" t="s">
        <v>449</v>
      </c>
      <c r="C1869" t="s">
        <v>624</v>
      </c>
      <c r="D1869" t="s">
        <v>110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45">
      <c r="A1870" t="s">
        <v>448</v>
      </c>
      <c r="B1870" t="s">
        <v>449</v>
      </c>
      <c r="C1870" t="s">
        <v>1452</v>
      </c>
      <c r="D1870" t="s">
        <v>110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45">
      <c r="A1871" t="s">
        <v>448</v>
      </c>
      <c r="B1871" t="s">
        <v>449</v>
      </c>
      <c r="C1871" t="s">
        <v>178</v>
      </c>
      <c r="D1871" t="s">
        <v>110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45">
      <c r="A1872" t="s">
        <v>448</v>
      </c>
      <c r="B1872" t="s">
        <v>449</v>
      </c>
      <c r="C1872" t="s">
        <v>278</v>
      </c>
      <c r="D1872" t="s">
        <v>110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45">
      <c r="A1873" t="s">
        <v>448</v>
      </c>
      <c r="B1873" t="s">
        <v>449</v>
      </c>
      <c r="C1873" t="s">
        <v>1453</v>
      </c>
      <c r="D1873" t="s">
        <v>110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45">
      <c r="A1874" t="s">
        <v>448</v>
      </c>
      <c r="B1874" t="s">
        <v>449</v>
      </c>
      <c r="C1874" t="s">
        <v>1454</v>
      </c>
      <c r="D1874" t="s">
        <v>110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45">
      <c r="A1875" t="s">
        <v>448</v>
      </c>
      <c r="B1875" t="s">
        <v>449</v>
      </c>
      <c r="C1875" t="s">
        <v>526</v>
      </c>
      <c r="D1875" t="s">
        <v>141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45">
      <c r="A1876" t="s">
        <v>448</v>
      </c>
      <c r="B1876" t="s">
        <v>449</v>
      </c>
      <c r="C1876" t="s">
        <v>378</v>
      </c>
      <c r="D1876" t="s">
        <v>141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45">
      <c r="A1877" t="s">
        <v>448</v>
      </c>
      <c r="B1877" t="s">
        <v>449</v>
      </c>
      <c r="C1877" t="s">
        <v>183</v>
      </c>
      <c r="D1877" t="s">
        <v>141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45">
      <c r="A1878" t="s">
        <v>448</v>
      </c>
      <c r="B1878" t="s">
        <v>449</v>
      </c>
      <c r="C1878" t="s">
        <v>531</v>
      </c>
      <c r="D1878" t="s">
        <v>110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45">
      <c r="A1879" t="s">
        <v>448</v>
      </c>
      <c r="B1879" t="s">
        <v>449</v>
      </c>
      <c r="C1879" t="s">
        <v>184</v>
      </c>
      <c r="D1879" t="s">
        <v>141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45">
      <c r="A1880" t="s">
        <v>448</v>
      </c>
      <c r="B1880" t="s">
        <v>449</v>
      </c>
      <c r="C1880" t="s">
        <v>225</v>
      </c>
      <c r="D1880" t="s">
        <v>110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45">
      <c r="A1881" t="s">
        <v>448</v>
      </c>
      <c r="B1881" t="s">
        <v>449</v>
      </c>
      <c r="C1881" t="s">
        <v>788</v>
      </c>
      <c r="D1881" t="s">
        <v>141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45">
      <c r="A1882" t="s">
        <v>448</v>
      </c>
      <c r="B1882" t="s">
        <v>449</v>
      </c>
      <c r="C1882" t="s">
        <v>186</v>
      </c>
      <c r="D1882" t="s">
        <v>110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45">
      <c r="A1883" t="s">
        <v>448</v>
      </c>
      <c r="B1883" t="s">
        <v>449</v>
      </c>
      <c r="C1883" t="s">
        <v>512</v>
      </c>
      <c r="D1883" t="s">
        <v>110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45">
      <c r="A1884" t="s">
        <v>448</v>
      </c>
      <c r="B1884" t="s">
        <v>449</v>
      </c>
      <c r="C1884" t="s">
        <v>514</v>
      </c>
      <c r="D1884" t="s">
        <v>141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45">
      <c r="A1885" t="s">
        <v>448</v>
      </c>
      <c r="B1885" t="s">
        <v>449</v>
      </c>
      <c r="C1885" t="s">
        <v>515</v>
      </c>
      <c r="D1885" t="s">
        <v>110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45">
      <c r="A1886" t="s">
        <v>448</v>
      </c>
      <c r="B1886" t="s">
        <v>449</v>
      </c>
      <c r="C1886" t="s">
        <v>516</v>
      </c>
      <c r="D1886" t="s">
        <v>141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45">
      <c r="A1887" t="s">
        <v>448</v>
      </c>
      <c r="B1887" t="s">
        <v>449</v>
      </c>
      <c r="C1887" t="s">
        <v>577</v>
      </c>
      <c r="D1887" t="s">
        <v>110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45">
      <c r="A1888" t="s">
        <v>448</v>
      </c>
      <c r="B1888" t="s">
        <v>449</v>
      </c>
      <c r="C1888" t="s">
        <v>188</v>
      </c>
      <c r="D1888" t="s">
        <v>110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45">
      <c r="A1889" t="s">
        <v>448</v>
      </c>
      <c r="B1889" t="s">
        <v>449</v>
      </c>
      <c r="C1889" t="s">
        <v>1455</v>
      </c>
      <c r="D1889" t="s">
        <v>110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45">
      <c r="A1890" t="s">
        <v>448</v>
      </c>
      <c r="B1890" t="s">
        <v>449</v>
      </c>
      <c r="C1890" t="s">
        <v>190</v>
      </c>
      <c r="D1890" t="s">
        <v>141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45">
      <c r="A1891" t="s">
        <v>448</v>
      </c>
      <c r="B1891" t="s">
        <v>449</v>
      </c>
      <c r="C1891" t="s">
        <v>520</v>
      </c>
      <c r="D1891" t="s">
        <v>141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45">
      <c r="A1892" t="s">
        <v>448</v>
      </c>
      <c r="B1892" t="s">
        <v>449</v>
      </c>
      <c r="C1892" t="s">
        <v>191</v>
      </c>
      <c r="D1892" t="s">
        <v>141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45">
      <c r="A1893" t="s">
        <v>448</v>
      </c>
      <c r="B1893" t="s">
        <v>449</v>
      </c>
      <c r="C1893" t="s">
        <v>1456</v>
      </c>
      <c r="D1893" t="s">
        <v>110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45">
      <c r="A1894" t="s">
        <v>448</v>
      </c>
      <c r="B1894" t="s">
        <v>449</v>
      </c>
      <c r="C1894" t="s">
        <v>1457</v>
      </c>
      <c r="D1894" t="s">
        <v>110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45">
      <c r="A1895" t="s">
        <v>448</v>
      </c>
      <c r="B1895" t="s">
        <v>449</v>
      </c>
      <c r="C1895" t="s">
        <v>233</v>
      </c>
      <c r="D1895" t="s">
        <v>141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45">
      <c r="A1896" t="s">
        <v>448</v>
      </c>
      <c r="B1896" t="s">
        <v>449</v>
      </c>
      <c r="C1896" t="s">
        <v>1172</v>
      </c>
      <c r="D1896" t="s">
        <v>110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45">
      <c r="A1897" t="s">
        <v>448</v>
      </c>
      <c r="B1897" t="s">
        <v>449</v>
      </c>
      <c r="C1897" t="s">
        <v>1458</v>
      </c>
      <c r="D1897" t="s">
        <v>110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45">
      <c r="A1898" t="s">
        <v>448</v>
      </c>
      <c r="B1898" t="s">
        <v>449</v>
      </c>
      <c r="C1898" t="s">
        <v>1117</v>
      </c>
      <c r="D1898" t="s">
        <v>110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45">
      <c r="A1899" t="s">
        <v>448</v>
      </c>
      <c r="B1899" t="s">
        <v>449</v>
      </c>
      <c r="C1899" t="s">
        <v>583</v>
      </c>
      <c r="D1899" t="s">
        <v>110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45">
      <c r="A1900" t="s">
        <v>448</v>
      </c>
      <c r="B1900" t="s">
        <v>449</v>
      </c>
      <c r="C1900" t="s">
        <v>1124</v>
      </c>
      <c r="D1900" t="s">
        <v>110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45">
      <c r="A1901" t="s">
        <v>448</v>
      </c>
      <c r="B1901" t="s">
        <v>449</v>
      </c>
      <c r="C1901" t="s">
        <v>292</v>
      </c>
      <c r="D1901" t="s">
        <v>110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45">
      <c r="A1902" t="s">
        <v>448</v>
      </c>
      <c r="B1902" t="s">
        <v>449</v>
      </c>
      <c r="C1902" t="s">
        <v>194</v>
      </c>
      <c r="D1902" t="s">
        <v>141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45">
      <c r="A1903" t="s">
        <v>448</v>
      </c>
      <c r="B1903" t="s">
        <v>449</v>
      </c>
      <c r="C1903" t="s">
        <v>195</v>
      </c>
      <c r="D1903" t="s">
        <v>110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45">
      <c r="A1904" t="s">
        <v>448</v>
      </c>
      <c r="B1904" t="s">
        <v>449</v>
      </c>
      <c r="C1904" t="s">
        <v>588</v>
      </c>
      <c r="D1904" t="s">
        <v>110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45">
      <c r="A1905" t="s">
        <v>448</v>
      </c>
      <c r="B1905" t="s">
        <v>449</v>
      </c>
      <c r="C1905" t="s">
        <v>237</v>
      </c>
      <c r="D1905" t="s">
        <v>110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45">
      <c r="A1906" t="s">
        <v>448</v>
      </c>
      <c r="B1906" t="s">
        <v>449</v>
      </c>
      <c r="C1906" t="s">
        <v>198</v>
      </c>
      <c r="D1906" t="s">
        <v>110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45">
      <c r="A1907" t="s">
        <v>477</v>
      </c>
      <c r="B1907" t="s">
        <v>478</v>
      </c>
      <c r="C1907" t="s">
        <v>1459</v>
      </c>
      <c r="D1907" t="s">
        <v>141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45">
      <c r="A1908" t="s">
        <v>477</v>
      </c>
      <c r="B1908" t="s">
        <v>478</v>
      </c>
      <c r="C1908" t="s">
        <v>1460</v>
      </c>
      <c r="D1908" t="s">
        <v>110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45">
      <c r="A1909" t="s">
        <v>477</v>
      </c>
      <c r="B1909" t="s">
        <v>478</v>
      </c>
      <c r="C1909" t="s">
        <v>183</v>
      </c>
      <c r="D1909" t="s">
        <v>110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45">
      <c r="A1910" t="s">
        <v>477</v>
      </c>
      <c r="B1910" t="s">
        <v>478</v>
      </c>
      <c r="C1910" t="s">
        <v>382</v>
      </c>
      <c r="D1910" t="s">
        <v>141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45">
      <c r="A1911" t="s">
        <v>477</v>
      </c>
      <c r="B1911" t="s">
        <v>478</v>
      </c>
      <c r="C1911" t="s">
        <v>1461</v>
      </c>
      <c r="D1911" t="s">
        <v>110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45">
      <c r="A1912" t="s">
        <v>477</v>
      </c>
      <c r="B1912" t="s">
        <v>478</v>
      </c>
      <c r="C1912" t="s">
        <v>184</v>
      </c>
      <c r="D1912" t="s">
        <v>110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45">
      <c r="A1913" t="s">
        <v>477</v>
      </c>
      <c r="B1913" t="s">
        <v>478</v>
      </c>
      <c r="C1913" t="s">
        <v>225</v>
      </c>
      <c r="D1913" t="s">
        <v>110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45">
      <c r="A1914" t="s">
        <v>477</v>
      </c>
      <c r="B1914" t="s">
        <v>478</v>
      </c>
      <c r="C1914" t="s">
        <v>1462</v>
      </c>
      <c r="D1914" t="s">
        <v>141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45">
      <c r="A1915" t="s">
        <v>477</v>
      </c>
      <c r="B1915" t="s">
        <v>478</v>
      </c>
      <c r="C1915" t="s">
        <v>227</v>
      </c>
      <c r="D1915" t="s">
        <v>110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45">
      <c r="A1916" t="s">
        <v>477</v>
      </c>
      <c r="B1916" t="s">
        <v>478</v>
      </c>
      <c r="C1916" t="s">
        <v>186</v>
      </c>
      <c r="D1916" t="s">
        <v>141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45">
      <c r="A1917" t="s">
        <v>477</v>
      </c>
      <c r="B1917" t="s">
        <v>478</v>
      </c>
      <c r="C1917" t="s">
        <v>514</v>
      </c>
      <c r="D1917" t="s">
        <v>110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45">
      <c r="A1918" t="s">
        <v>477</v>
      </c>
      <c r="B1918" t="s">
        <v>478</v>
      </c>
      <c r="C1918" t="s">
        <v>515</v>
      </c>
      <c r="D1918" t="s">
        <v>110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45">
      <c r="A1919" t="s">
        <v>477</v>
      </c>
      <c r="B1919" t="s">
        <v>478</v>
      </c>
      <c r="C1919" t="s">
        <v>517</v>
      </c>
      <c r="D1919" t="s">
        <v>141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45">
      <c r="A1920" t="s">
        <v>477</v>
      </c>
      <c r="B1920" t="s">
        <v>478</v>
      </c>
      <c r="C1920" t="s">
        <v>1463</v>
      </c>
      <c r="D1920" t="s">
        <v>110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45">
      <c r="A1921" t="s">
        <v>477</v>
      </c>
      <c r="B1921" t="s">
        <v>478</v>
      </c>
      <c r="C1921" t="s">
        <v>188</v>
      </c>
      <c r="D1921" t="s">
        <v>110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45">
      <c r="A1922" t="s">
        <v>477</v>
      </c>
      <c r="B1922" t="s">
        <v>478</v>
      </c>
      <c r="C1922" t="s">
        <v>230</v>
      </c>
      <c r="D1922" t="s">
        <v>110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45">
      <c r="A1923" t="s">
        <v>477</v>
      </c>
      <c r="B1923" t="s">
        <v>478</v>
      </c>
      <c r="C1923" t="s">
        <v>1464</v>
      </c>
      <c r="D1923" t="s">
        <v>110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45">
      <c r="A1924" t="s">
        <v>477</v>
      </c>
      <c r="B1924" t="s">
        <v>478</v>
      </c>
      <c r="C1924" t="s">
        <v>190</v>
      </c>
      <c r="D1924" t="s">
        <v>141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45">
      <c r="A1925" t="s">
        <v>477</v>
      </c>
      <c r="B1925" t="s">
        <v>478</v>
      </c>
      <c r="C1925" t="s">
        <v>520</v>
      </c>
      <c r="D1925" t="s">
        <v>110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45">
      <c r="A1926" t="s">
        <v>477</v>
      </c>
      <c r="B1926" t="s">
        <v>478</v>
      </c>
      <c r="C1926" t="s">
        <v>1465</v>
      </c>
      <c r="D1926" t="s">
        <v>110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45">
      <c r="A1927" t="s">
        <v>477</v>
      </c>
      <c r="B1927" t="s">
        <v>478</v>
      </c>
      <c r="C1927" t="s">
        <v>191</v>
      </c>
      <c r="D1927" t="s">
        <v>141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45">
      <c r="A1928" t="s">
        <v>477</v>
      </c>
      <c r="B1928" t="s">
        <v>478</v>
      </c>
      <c r="C1928" t="s">
        <v>1466</v>
      </c>
      <c r="D1928" t="s">
        <v>141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45">
      <c r="A1929" t="s">
        <v>477</v>
      </c>
      <c r="B1929" t="s">
        <v>478</v>
      </c>
      <c r="C1929" t="s">
        <v>233</v>
      </c>
      <c r="D1929" t="s">
        <v>110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45">
      <c r="A1930" t="s">
        <v>477</v>
      </c>
      <c r="B1930" t="s">
        <v>478</v>
      </c>
      <c r="C1930" t="s">
        <v>583</v>
      </c>
      <c r="D1930" t="s">
        <v>141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45">
      <c r="A1931" t="s">
        <v>477</v>
      </c>
      <c r="B1931" t="s">
        <v>478</v>
      </c>
      <c r="C1931" t="s">
        <v>1467</v>
      </c>
      <c r="D1931" t="s">
        <v>110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45">
      <c r="A1932" t="s">
        <v>477</v>
      </c>
      <c r="B1932" t="s">
        <v>478</v>
      </c>
      <c r="C1932" t="s">
        <v>1468</v>
      </c>
      <c r="D1932" t="s">
        <v>110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45">
      <c r="A1933" t="s">
        <v>477</v>
      </c>
      <c r="B1933" t="s">
        <v>478</v>
      </c>
      <c r="C1933" t="s">
        <v>1469</v>
      </c>
      <c r="D1933" t="s">
        <v>110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45">
      <c r="A1934" t="s">
        <v>477</v>
      </c>
      <c r="B1934" t="s">
        <v>478</v>
      </c>
      <c r="C1934" t="s">
        <v>292</v>
      </c>
      <c r="D1934" t="s">
        <v>110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45">
      <c r="A1935" t="s">
        <v>477</v>
      </c>
      <c r="B1935" t="s">
        <v>478</v>
      </c>
      <c r="C1935" t="s">
        <v>194</v>
      </c>
      <c r="D1935" t="s">
        <v>141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45">
      <c r="A1936" t="s">
        <v>477</v>
      </c>
      <c r="B1936" t="s">
        <v>478</v>
      </c>
      <c r="C1936" t="s">
        <v>199</v>
      </c>
      <c r="D1936" t="s">
        <v>110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45">
      <c r="A1937" t="s">
        <v>477</v>
      </c>
      <c r="B1937" t="s">
        <v>478</v>
      </c>
      <c r="C1937" t="s">
        <v>201</v>
      </c>
      <c r="D1937" t="s">
        <v>110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45">
      <c r="A1938" t="s">
        <v>477</v>
      </c>
      <c r="B1938" t="s">
        <v>478</v>
      </c>
      <c r="C1938" t="s">
        <v>202</v>
      </c>
      <c r="D1938" t="s">
        <v>110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45">
      <c r="A1939" t="s">
        <v>477</v>
      </c>
      <c r="B1939" t="s">
        <v>478</v>
      </c>
      <c r="C1939" t="s">
        <v>590</v>
      </c>
      <c r="D1939" t="s">
        <v>141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45">
      <c r="A1940" t="s">
        <v>477</v>
      </c>
      <c r="B1940" t="s">
        <v>478</v>
      </c>
      <c r="C1940" t="s">
        <v>552</v>
      </c>
      <c r="D1940" t="s">
        <v>110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45">
      <c r="A1941" t="s">
        <v>477</v>
      </c>
      <c r="B1941" t="s">
        <v>478</v>
      </c>
      <c r="C1941" t="s">
        <v>204</v>
      </c>
      <c r="D1941" t="s">
        <v>141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45">
      <c r="A1942" t="s">
        <v>477</v>
      </c>
      <c r="B1942" t="s">
        <v>478</v>
      </c>
      <c r="C1942" t="s">
        <v>205</v>
      </c>
      <c r="D1942" t="s">
        <v>110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45">
      <c r="A1943" t="s">
        <v>477</v>
      </c>
      <c r="B1943" t="s">
        <v>478</v>
      </c>
      <c r="C1943" t="s">
        <v>206</v>
      </c>
      <c r="D1943" t="s">
        <v>110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45">
      <c r="A1944" t="s">
        <v>477</v>
      </c>
      <c r="B1944" t="s">
        <v>478</v>
      </c>
      <c r="C1944" t="s">
        <v>242</v>
      </c>
      <c r="D1944" t="s">
        <v>110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45">
      <c r="A1945" t="s">
        <v>477</v>
      </c>
      <c r="B1945" t="s">
        <v>478</v>
      </c>
      <c r="C1945" t="s">
        <v>944</v>
      </c>
      <c r="D1945" t="s">
        <v>110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45">
      <c r="A1946" t="s">
        <v>477</v>
      </c>
      <c r="B1946" t="s">
        <v>478</v>
      </c>
      <c r="C1946" t="s">
        <v>598</v>
      </c>
      <c r="D1946" t="s">
        <v>141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45">
      <c r="A1947" t="s">
        <v>477</v>
      </c>
      <c r="B1947" t="s">
        <v>478</v>
      </c>
      <c r="C1947" t="s">
        <v>867</v>
      </c>
      <c r="D1947" t="s">
        <v>141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45">
      <c r="A1948" t="s">
        <v>477</v>
      </c>
      <c r="B1948" t="s">
        <v>478</v>
      </c>
      <c r="C1948" t="s">
        <v>600</v>
      </c>
      <c r="D1948" t="s">
        <v>110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45">
      <c r="A1949" t="s">
        <v>477</v>
      </c>
      <c r="B1949" t="s">
        <v>478</v>
      </c>
      <c r="C1949" t="s">
        <v>1470</v>
      </c>
      <c r="D1949" t="s">
        <v>110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45">
      <c r="A1950" t="s">
        <v>477</v>
      </c>
      <c r="B1950" t="s">
        <v>478</v>
      </c>
      <c r="C1950" t="s">
        <v>207</v>
      </c>
      <c r="D1950" t="s">
        <v>141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45">
      <c r="A1951" t="s">
        <v>477</v>
      </c>
      <c r="B1951" t="s">
        <v>478</v>
      </c>
      <c r="C1951" t="s">
        <v>209</v>
      </c>
      <c r="D1951" t="s">
        <v>141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45">
      <c r="A1952" t="s">
        <v>477</v>
      </c>
      <c r="B1952" t="s">
        <v>478</v>
      </c>
      <c r="C1952" t="s">
        <v>1471</v>
      </c>
      <c r="D1952" t="s">
        <v>110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45">
      <c r="A1953" t="s">
        <v>477</v>
      </c>
      <c r="B1953" t="s">
        <v>478</v>
      </c>
      <c r="C1953" t="s">
        <v>1472</v>
      </c>
      <c r="D1953" t="s">
        <v>141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45">
      <c r="A1954" t="s">
        <v>477</v>
      </c>
      <c r="B1954" t="s">
        <v>478</v>
      </c>
      <c r="C1954" t="s">
        <v>249</v>
      </c>
      <c r="D1954" t="s">
        <v>110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45">
      <c r="A1955" t="s">
        <v>477</v>
      </c>
      <c r="B1955" t="s">
        <v>478</v>
      </c>
      <c r="C1955" t="s">
        <v>462</v>
      </c>
      <c r="D1955" t="s">
        <v>110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45">
      <c r="A1956" t="s">
        <v>477</v>
      </c>
      <c r="B1956" t="s">
        <v>478</v>
      </c>
      <c r="C1956" t="s">
        <v>210</v>
      </c>
      <c r="D1956" t="s">
        <v>110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45">
      <c r="A1957" t="s">
        <v>477</v>
      </c>
      <c r="B1957" t="s">
        <v>478</v>
      </c>
      <c r="C1957" t="s">
        <v>761</v>
      </c>
      <c r="D1957" t="s">
        <v>141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45">
      <c r="A1958" t="s">
        <v>477</v>
      </c>
      <c r="B1958" t="s">
        <v>478</v>
      </c>
      <c r="C1958" t="s">
        <v>572</v>
      </c>
      <c r="D1958" t="s">
        <v>110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45">
      <c r="A1959" t="s">
        <v>477</v>
      </c>
      <c r="B1959" t="s">
        <v>478</v>
      </c>
      <c r="C1959" t="s">
        <v>251</v>
      </c>
      <c r="D1959" t="s">
        <v>141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45">
      <c r="A1960" t="s">
        <v>477</v>
      </c>
      <c r="B1960" t="s">
        <v>478</v>
      </c>
      <c r="C1960" t="s">
        <v>212</v>
      </c>
      <c r="D1960" t="s">
        <v>110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45">
      <c r="A1961" t="s">
        <v>477</v>
      </c>
      <c r="B1961" t="s">
        <v>478</v>
      </c>
      <c r="C1961" t="s">
        <v>608</v>
      </c>
      <c r="D1961" t="s">
        <v>141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45">
      <c r="A1962" t="s">
        <v>477</v>
      </c>
      <c r="B1962" t="s">
        <v>478</v>
      </c>
      <c r="C1962" t="s">
        <v>678</v>
      </c>
      <c r="D1962" t="s">
        <v>110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45">
      <c r="A1963" t="s">
        <v>477</v>
      </c>
      <c r="B1963" t="s">
        <v>478</v>
      </c>
      <c r="C1963" t="s">
        <v>1473</v>
      </c>
      <c r="D1963" t="s">
        <v>110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45">
      <c r="A1964" t="s">
        <v>477</v>
      </c>
      <c r="B1964" t="s">
        <v>478</v>
      </c>
      <c r="C1964" t="s">
        <v>880</v>
      </c>
      <c r="D1964" t="s">
        <v>110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45">
      <c r="A1965" t="s">
        <v>477</v>
      </c>
      <c r="B1965" t="s">
        <v>478</v>
      </c>
      <c r="C1965" t="s">
        <v>770</v>
      </c>
      <c r="D1965" t="s">
        <v>141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45">
      <c r="A1966" t="s">
        <v>477</v>
      </c>
      <c r="B1966" t="s">
        <v>478</v>
      </c>
      <c r="C1966" t="s">
        <v>1474</v>
      </c>
      <c r="D1966" t="s">
        <v>141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45">
      <c r="A1967" t="s">
        <v>477</v>
      </c>
      <c r="B1967" t="s">
        <v>478</v>
      </c>
      <c r="C1967" t="s">
        <v>1475</v>
      </c>
      <c r="D1967" t="s">
        <v>110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45">
      <c r="A1968" t="s">
        <v>477</v>
      </c>
      <c r="B1968" t="s">
        <v>478</v>
      </c>
      <c r="C1968" t="s">
        <v>1068</v>
      </c>
      <c r="D1968" t="s">
        <v>110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45">
      <c r="A1969" t="s">
        <v>477</v>
      </c>
      <c r="B1969" t="s">
        <v>478</v>
      </c>
      <c r="C1969" t="s">
        <v>258</v>
      </c>
      <c r="D1969" t="s">
        <v>110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45">
      <c r="A1970" t="s">
        <v>477</v>
      </c>
      <c r="B1970" t="s">
        <v>478</v>
      </c>
      <c r="C1970" t="s">
        <v>1476</v>
      </c>
      <c r="D1970" t="s">
        <v>141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45">
      <c r="A1971" t="s">
        <v>477</v>
      </c>
      <c r="B1971" t="s">
        <v>478</v>
      </c>
      <c r="C1971" t="s">
        <v>1477</v>
      </c>
      <c r="D1971" t="s">
        <v>110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45">
      <c r="A1972" t="s">
        <v>494</v>
      </c>
      <c r="B1972" t="s">
        <v>495</v>
      </c>
      <c r="C1972" t="s">
        <v>548</v>
      </c>
      <c r="D1972" t="s">
        <v>110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45">
      <c r="A1973" t="s">
        <v>494</v>
      </c>
      <c r="B1973" t="s">
        <v>495</v>
      </c>
      <c r="C1973" t="s">
        <v>1204</v>
      </c>
      <c r="D1973" t="s">
        <v>110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45">
      <c r="A1974" t="s">
        <v>494</v>
      </c>
      <c r="B1974" t="s">
        <v>495</v>
      </c>
      <c r="C1974" t="s">
        <v>938</v>
      </c>
      <c r="D1974" t="s">
        <v>110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45">
      <c r="A1975" t="s">
        <v>494</v>
      </c>
      <c r="B1975" t="s">
        <v>495</v>
      </c>
      <c r="C1975" t="s">
        <v>549</v>
      </c>
      <c r="D1975" t="s">
        <v>110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45">
      <c r="A1976" t="s">
        <v>494</v>
      </c>
      <c r="B1976" t="s">
        <v>495</v>
      </c>
      <c r="C1976" t="s">
        <v>199</v>
      </c>
      <c r="D1976" t="s">
        <v>110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45">
      <c r="A1977" t="s">
        <v>494</v>
      </c>
      <c r="B1977" t="s">
        <v>495</v>
      </c>
      <c r="C1977" t="s">
        <v>1478</v>
      </c>
      <c r="D1977" t="s">
        <v>110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45">
      <c r="A1978" t="s">
        <v>494</v>
      </c>
      <c r="B1978" t="s">
        <v>495</v>
      </c>
      <c r="C1978" t="s">
        <v>201</v>
      </c>
      <c r="D1978" t="s">
        <v>110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45">
      <c r="A1979" t="s">
        <v>494</v>
      </c>
      <c r="B1979" t="s">
        <v>495</v>
      </c>
      <c r="C1979" t="s">
        <v>202</v>
      </c>
      <c r="D1979" t="s">
        <v>110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45">
      <c r="A1980" t="s">
        <v>494</v>
      </c>
      <c r="B1980" t="s">
        <v>495</v>
      </c>
      <c r="C1980" t="s">
        <v>1479</v>
      </c>
      <c r="D1980" t="s">
        <v>110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45">
      <c r="A1981" t="s">
        <v>494</v>
      </c>
      <c r="B1981" t="s">
        <v>495</v>
      </c>
      <c r="C1981" t="s">
        <v>553</v>
      </c>
      <c r="D1981" t="s">
        <v>110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45">
      <c r="A1982" t="s">
        <v>494</v>
      </c>
      <c r="B1982" t="s">
        <v>495</v>
      </c>
      <c r="C1982" t="s">
        <v>1480</v>
      </c>
      <c r="D1982" t="s">
        <v>110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45">
      <c r="A1983" t="s">
        <v>494</v>
      </c>
      <c r="B1983" t="s">
        <v>495</v>
      </c>
      <c r="C1983" t="s">
        <v>204</v>
      </c>
      <c r="D1983" t="s">
        <v>110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45">
      <c r="A1984" t="s">
        <v>494</v>
      </c>
      <c r="B1984" t="s">
        <v>495</v>
      </c>
      <c r="C1984" t="s">
        <v>205</v>
      </c>
      <c r="D1984" t="s">
        <v>110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45">
      <c r="A1985" t="s">
        <v>494</v>
      </c>
      <c r="B1985" t="s">
        <v>495</v>
      </c>
      <c r="C1985" t="s">
        <v>1481</v>
      </c>
      <c r="D1985" t="s">
        <v>110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45">
      <c r="A1986" t="s">
        <v>494</v>
      </c>
      <c r="B1986" t="s">
        <v>495</v>
      </c>
      <c r="C1986" t="s">
        <v>1482</v>
      </c>
      <c r="D1986" t="s">
        <v>110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45">
      <c r="A1987" t="s">
        <v>494</v>
      </c>
      <c r="B1987" t="s">
        <v>495</v>
      </c>
      <c r="C1987" t="s">
        <v>1405</v>
      </c>
      <c r="D1987" t="s">
        <v>110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45">
      <c r="A1988" t="s">
        <v>494</v>
      </c>
      <c r="B1988" t="s">
        <v>495</v>
      </c>
      <c r="C1988" t="s">
        <v>1218</v>
      </c>
      <c r="D1988" t="s">
        <v>110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45">
      <c r="A1989" t="s">
        <v>494</v>
      </c>
      <c r="B1989" t="s">
        <v>495</v>
      </c>
      <c r="C1989" t="s">
        <v>1483</v>
      </c>
      <c r="D1989" t="s">
        <v>110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45">
      <c r="A1990" t="s">
        <v>494</v>
      </c>
      <c r="B1990" t="s">
        <v>495</v>
      </c>
      <c r="C1990" t="s">
        <v>664</v>
      </c>
      <c r="D1990" t="s">
        <v>110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45">
      <c r="A1991" t="s">
        <v>494</v>
      </c>
      <c r="B1991" t="s">
        <v>495</v>
      </c>
      <c r="C1991" t="s">
        <v>1248</v>
      </c>
      <c r="D1991" t="s">
        <v>110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45">
      <c r="A1992" t="s">
        <v>494</v>
      </c>
      <c r="B1992" t="s">
        <v>495</v>
      </c>
      <c r="C1992" t="s">
        <v>246</v>
      </c>
      <c r="D1992" t="s">
        <v>110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45">
      <c r="A1993" t="s">
        <v>494</v>
      </c>
      <c r="B1993" t="s">
        <v>495</v>
      </c>
      <c r="C1993" t="s">
        <v>1484</v>
      </c>
      <c r="D1993" t="s">
        <v>110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45">
      <c r="A1994" t="s">
        <v>494</v>
      </c>
      <c r="B1994" t="s">
        <v>495</v>
      </c>
      <c r="C1994" t="s">
        <v>1485</v>
      </c>
      <c r="D1994" t="s">
        <v>110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45">
      <c r="A1995" t="s">
        <v>494</v>
      </c>
      <c r="B1995" t="s">
        <v>495</v>
      </c>
      <c r="C1995" t="s">
        <v>1486</v>
      </c>
      <c r="D1995" t="s">
        <v>110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45">
      <c r="A1996" t="s">
        <v>494</v>
      </c>
      <c r="B1996" t="s">
        <v>495</v>
      </c>
      <c r="C1996" t="s">
        <v>1487</v>
      </c>
      <c r="D1996" t="s">
        <v>110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45">
      <c r="A1997" t="s">
        <v>494</v>
      </c>
      <c r="B1997" t="s">
        <v>495</v>
      </c>
      <c r="C1997" t="s">
        <v>251</v>
      </c>
      <c r="D1997" t="s">
        <v>110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45">
      <c r="A1998" t="s">
        <v>494</v>
      </c>
      <c r="B1998" t="s">
        <v>495</v>
      </c>
      <c r="C1998" t="s">
        <v>212</v>
      </c>
      <c r="D1998" t="s">
        <v>110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45">
      <c r="A1999" t="s">
        <v>494</v>
      </c>
      <c r="B1999" t="s">
        <v>495</v>
      </c>
      <c r="C1999" t="s">
        <v>826</v>
      </c>
      <c r="D1999" t="s">
        <v>110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45">
      <c r="A2000" t="s">
        <v>494</v>
      </c>
      <c r="B2000" t="s">
        <v>495</v>
      </c>
      <c r="C2000" t="s">
        <v>1488</v>
      </c>
      <c r="D2000" t="s">
        <v>110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45">
      <c r="A2001" t="s">
        <v>494</v>
      </c>
      <c r="B2001" t="s">
        <v>495</v>
      </c>
      <c r="C2001" t="s">
        <v>1489</v>
      </c>
      <c r="D2001" t="s">
        <v>110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45">
      <c r="A2002" t="s">
        <v>494</v>
      </c>
      <c r="B2002" t="s">
        <v>495</v>
      </c>
      <c r="C2002" t="s">
        <v>609</v>
      </c>
      <c r="D2002" t="s">
        <v>110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45">
      <c r="A2003" t="s">
        <v>494</v>
      </c>
      <c r="B2003" t="s">
        <v>495</v>
      </c>
      <c r="C2003" t="s">
        <v>258</v>
      </c>
      <c r="D2003" t="s">
        <v>110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45">
      <c r="A2004" t="s">
        <v>494</v>
      </c>
      <c r="B2004" t="s">
        <v>495</v>
      </c>
      <c r="C2004" t="s">
        <v>259</v>
      </c>
      <c r="D2004" t="s">
        <v>110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45">
      <c r="A2005" t="s">
        <v>494</v>
      </c>
      <c r="B2005" t="s">
        <v>495</v>
      </c>
      <c r="C2005" t="s">
        <v>1490</v>
      </c>
      <c r="D2005" t="s">
        <v>110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45">
      <c r="A2006" t="s">
        <v>494</v>
      </c>
      <c r="B2006" t="s">
        <v>495</v>
      </c>
      <c r="C2006" t="s">
        <v>405</v>
      </c>
      <c r="D2006" t="s">
        <v>110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45">
      <c r="A2007" t="s">
        <v>494</v>
      </c>
      <c r="B2007" t="s">
        <v>495</v>
      </c>
      <c r="C2007" t="s">
        <v>219</v>
      </c>
      <c r="D2007" t="s">
        <v>110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45">
      <c r="A2008" t="s">
        <v>494</v>
      </c>
      <c r="B2008" t="s">
        <v>495</v>
      </c>
      <c r="C2008" t="s">
        <v>406</v>
      </c>
      <c r="D2008" t="s">
        <v>110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45">
      <c r="A2009" t="s">
        <v>494</v>
      </c>
      <c r="B2009" t="s">
        <v>495</v>
      </c>
      <c r="C2009" t="s">
        <v>407</v>
      </c>
      <c r="D2009" t="s">
        <v>110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45">
      <c r="A2010" t="s">
        <v>494</v>
      </c>
      <c r="B2010" t="s">
        <v>495</v>
      </c>
      <c r="C2010" t="s">
        <v>475</v>
      </c>
      <c r="D2010" t="s">
        <v>110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45">
      <c r="A2011" t="s">
        <v>494</v>
      </c>
      <c r="B2011" t="s">
        <v>495</v>
      </c>
      <c r="C2011" t="s">
        <v>1491</v>
      </c>
      <c r="D2011" t="s">
        <v>110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45">
      <c r="A2012" t="s">
        <v>494</v>
      </c>
      <c r="B2012" t="s">
        <v>495</v>
      </c>
      <c r="C2012" t="s">
        <v>1492</v>
      </c>
      <c r="D2012" t="s">
        <v>110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45">
      <c r="A2013" t="s">
        <v>494</v>
      </c>
      <c r="B2013" t="s">
        <v>495</v>
      </c>
      <c r="C2013" t="s">
        <v>413</v>
      </c>
      <c r="D2013" t="s">
        <v>110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45">
      <c r="A2014" t="s">
        <v>494</v>
      </c>
      <c r="B2014" t="s">
        <v>495</v>
      </c>
      <c r="C2014" t="s">
        <v>773</v>
      </c>
      <c r="D2014" t="s">
        <v>110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45">
      <c r="A2015" t="s">
        <v>524</v>
      </c>
      <c r="B2015" t="s">
        <v>525</v>
      </c>
      <c r="C2015" t="s">
        <v>479</v>
      </c>
      <c r="D2015" t="s">
        <v>141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45">
      <c r="A2016" t="s">
        <v>524</v>
      </c>
      <c r="B2016" t="s">
        <v>525</v>
      </c>
      <c r="C2016" t="s">
        <v>1073</v>
      </c>
      <c r="D2016" t="s">
        <v>141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45">
      <c r="A2017" t="s">
        <v>524</v>
      </c>
      <c r="B2017" t="s">
        <v>525</v>
      </c>
      <c r="C2017" t="s">
        <v>748</v>
      </c>
      <c r="D2017" t="s">
        <v>141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45">
      <c r="A2018" t="s">
        <v>524</v>
      </c>
      <c r="B2018" t="s">
        <v>525</v>
      </c>
      <c r="C2018" t="s">
        <v>1493</v>
      </c>
      <c r="D2018" t="s">
        <v>141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45">
      <c r="A2019" t="s">
        <v>524</v>
      </c>
      <c r="B2019" t="s">
        <v>525</v>
      </c>
      <c r="C2019" t="s">
        <v>751</v>
      </c>
      <c r="D2019" t="s">
        <v>141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45">
      <c r="A2020" t="s">
        <v>524</v>
      </c>
      <c r="B2020" t="s">
        <v>525</v>
      </c>
      <c r="C2020" t="s">
        <v>1494</v>
      </c>
      <c r="D2020" t="s">
        <v>141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45">
      <c r="A2021" t="s">
        <v>524</v>
      </c>
      <c r="B2021" t="s">
        <v>525</v>
      </c>
      <c r="C2021" t="s">
        <v>484</v>
      </c>
      <c r="D2021" t="s">
        <v>141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45">
      <c r="A2022" t="s">
        <v>524</v>
      </c>
      <c r="B2022" t="s">
        <v>525</v>
      </c>
      <c r="C2022" t="s">
        <v>154</v>
      </c>
      <c r="D2022" t="s">
        <v>141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45">
      <c r="A2023" t="s">
        <v>524</v>
      </c>
      <c r="B2023" t="s">
        <v>525</v>
      </c>
      <c r="C2023" t="s">
        <v>1495</v>
      </c>
      <c r="D2023" t="s">
        <v>141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45">
      <c r="A2024" t="s">
        <v>524</v>
      </c>
      <c r="B2024" t="s">
        <v>525</v>
      </c>
      <c r="C2024" t="s">
        <v>853</v>
      </c>
      <c r="D2024" t="s">
        <v>141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45">
      <c r="A2025" t="s">
        <v>524</v>
      </c>
      <c r="B2025" t="s">
        <v>525</v>
      </c>
      <c r="C2025" t="s">
        <v>160</v>
      </c>
      <c r="D2025" t="s">
        <v>141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45">
      <c r="A2026" t="s">
        <v>524</v>
      </c>
      <c r="B2026" t="s">
        <v>525</v>
      </c>
      <c r="C2026" t="s">
        <v>1374</v>
      </c>
      <c r="D2026" t="s">
        <v>110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45">
      <c r="A2027" t="s">
        <v>524</v>
      </c>
      <c r="B2027" t="s">
        <v>525</v>
      </c>
      <c r="C2027" t="s">
        <v>437</v>
      </c>
      <c r="D2027" t="s">
        <v>141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45">
      <c r="A2028" t="s">
        <v>524</v>
      </c>
      <c r="B2028" t="s">
        <v>525</v>
      </c>
      <c r="C2028" t="s">
        <v>166</v>
      </c>
      <c r="D2028" t="s">
        <v>141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45">
      <c r="A2029" t="s">
        <v>524</v>
      </c>
      <c r="B2029" t="s">
        <v>525</v>
      </c>
      <c r="C2029" t="s">
        <v>1496</v>
      </c>
      <c r="D2029" t="s">
        <v>110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45">
      <c r="A2030" t="s">
        <v>524</v>
      </c>
      <c r="B2030" t="s">
        <v>525</v>
      </c>
      <c r="C2030" t="s">
        <v>1497</v>
      </c>
      <c r="D2030" t="s">
        <v>141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45">
      <c r="A2031" t="s">
        <v>524</v>
      </c>
      <c r="B2031" t="s">
        <v>525</v>
      </c>
      <c r="C2031" t="s">
        <v>1498</v>
      </c>
      <c r="D2031" t="s">
        <v>141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45">
      <c r="A2032" t="s">
        <v>524</v>
      </c>
      <c r="B2032" t="s">
        <v>525</v>
      </c>
      <c r="C2032" t="s">
        <v>1499</v>
      </c>
      <c r="D2032" t="s">
        <v>141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45">
      <c r="A2033" t="s">
        <v>524</v>
      </c>
      <c r="B2033" t="s">
        <v>525</v>
      </c>
      <c r="C2033" t="s">
        <v>368</v>
      </c>
      <c r="D2033" t="s">
        <v>141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45">
      <c r="A2034" t="s">
        <v>524</v>
      </c>
      <c r="B2034" t="s">
        <v>525</v>
      </c>
      <c r="C2034" t="s">
        <v>372</v>
      </c>
      <c r="D2034" t="s">
        <v>110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45">
      <c r="A2035" t="s">
        <v>524</v>
      </c>
      <c r="B2035" t="s">
        <v>525</v>
      </c>
      <c r="C2035" t="s">
        <v>509</v>
      </c>
      <c r="D2035" t="s">
        <v>141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45">
      <c r="A2036" t="s">
        <v>524</v>
      </c>
      <c r="B2036" t="s">
        <v>525</v>
      </c>
      <c r="C2036" t="s">
        <v>1500</v>
      </c>
      <c r="D2036" t="s">
        <v>141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45">
      <c r="A2037" t="s">
        <v>524</v>
      </c>
      <c r="B2037" t="s">
        <v>525</v>
      </c>
      <c r="C2037" t="s">
        <v>823</v>
      </c>
      <c r="D2037" t="s">
        <v>141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45">
      <c r="A2038" t="s">
        <v>524</v>
      </c>
      <c r="B2038" t="s">
        <v>525</v>
      </c>
      <c r="C2038" t="s">
        <v>1501</v>
      </c>
      <c r="D2038" t="s">
        <v>141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45">
      <c r="A2039" t="s">
        <v>524</v>
      </c>
      <c r="B2039" t="s">
        <v>525</v>
      </c>
      <c r="C2039" t="s">
        <v>824</v>
      </c>
      <c r="D2039" t="s">
        <v>110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45">
      <c r="A2040" t="s">
        <v>524</v>
      </c>
      <c r="B2040" t="s">
        <v>525</v>
      </c>
      <c r="C2040" t="s">
        <v>825</v>
      </c>
      <c r="D2040" t="s">
        <v>110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45">
      <c r="A2041" t="s">
        <v>524</v>
      </c>
      <c r="B2041" t="s">
        <v>525</v>
      </c>
      <c r="C2041" t="s">
        <v>734</v>
      </c>
      <c r="D2041" t="s">
        <v>110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45">
      <c r="A2042" t="s">
        <v>524</v>
      </c>
      <c r="B2042" t="s">
        <v>525</v>
      </c>
      <c r="C2042" t="s">
        <v>1502</v>
      </c>
      <c r="D2042" t="s">
        <v>141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45">
      <c r="A2043" t="s">
        <v>524</v>
      </c>
      <c r="B2043" t="s">
        <v>525</v>
      </c>
      <c r="C2043" t="s">
        <v>827</v>
      </c>
      <c r="D2043" t="s">
        <v>141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45">
      <c r="A2044" t="s">
        <v>524</v>
      </c>
      <c r="B2044" t="s">
        <v>525</v>
      </c>
      <c r="C2044" t="s">
        <v>1503</v>
      </c>
      <c r="D2044" t="s">
        <v>141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45">
      <c r="A2045" t="s">
        <v>524</v>
      </c>
      <c r="B2045" t="s">
        <v>525</v>
      </c>
      <c r="C2045" t="s">
        <v>1067</v>
      </c>
      <c r="D2045" t="s">
        <v>141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45">
      <c r="A2046" t="s">
        <v>524</v>
      </c>
      <c r="B2046" t="s">
        <v>525</v>
      </c>
      <c r="C2046" t="s">
        <v>394</v>
      </c>
      <c r="D2046" t="s">
        <v>110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45">
      <c r="A2047" t="s">
        <v>524</v>
      </c>
      <c r="B2047" t="s">
        <v>525</v>
      </c>
      <c r="C2047" t="s">
        <v>1504</v>
      </c>
      <c r="D2047" t="s">
        <v>110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45">
      <c r="A2048" t="s">
        <v>524</v>
      </c>
      <c r="B2048" t="s">
        <v>525</v>
      </c>
      <c r="C2048" t="s">
        <v>1505</v>
      </c>
      <c r="D2048" t="s">
        <v>141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45">
      <c r="A2049" t="s">
        <v>524</v>
      </c>
      <c r="B2049" t="s">
        <v>525</v>
      </c>
      <c r="C2049" t="s">
        <v>1506</v>
      </c>
      <c r="D2049" t="s">
        <v>110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45">
      <c r="A2050" t="s">
        <v>524</v>
      </c>
      <c r="B2050" t="s">
        <v>525</v>
      </c>
      <c r="C2050" t="s">
        <v>219</v>
      </c>
      <c r="D2050" t="s">
        <v>141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45">
      <c r="A2051" t="s">
        <v>524</v>
      </c>
      <c r="B2051" t="s">
        <v>525</v>
      </c>
      <c r="C2051" t="s">
        <v>1154</v>
      </c>
      <c r="D2051" t="s">
        <v>110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45">
      <c r="A2052" t="s">
        <v>524</v>
      </c>
      <c r="B2052" t="s">
        <v>525</v>
      </c>
      <c r="C2052" t="s">
        <v>910</v>
      </c>
      <c r="D2052" t="s">
        <v>141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45">
      <c r="A2053" t="s">
        <v>524</v>
      </c>
      <c r="B2053" t="s">
        <v>525</v>
      </c>
      <c r="C2053" t="s">
        <v>1507</v>
      </c>
      <c r="D2053" t="s">
        <v>141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45">
      <c r="A2054" t="s">
        <v>524</v>
      </c>
      <c r="B2054" t="s">
        <v>525</v>
      </c>
      <c r="C2054" t="s">
        <v>1508</v>
      </c>
      <c r="D2054" t="s">
        <v>141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45">
      <c r="A2055" t="s">
        <v>573</v>
      </c>
      <c r="B2055" t="s">
        <v>574</v>
      </c>
      <c r="C2055" t="s">
        <v>496</v>
      </c>
      <c r="D2055" t="s">
        <v>141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45">
      <c r="A2056" t="s">
        <v>573</v>
      </c>
      <c r="B2056" t="s">
        <v>574</v>
      </c>
      <c r="C2056" t="s">
        <v>479</v>
      </c>
      <c r="D2056" t="s">
        <v>141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45">
      <c r="A2057" t="s">
        <v>573</v>
      </c>
      <c r="B2057" t="s">
        <v>574</v>
      </c>
      <c r="C2057" t="s">
        <v>1073</v>
      </c>
      <c r="D2057" t="s">
        <v>141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45">
      <c r="A2058" t="s">
        <v>573</v>
      </c>
      <c r="B2058" t="s">
        <v>574</v>
      </c>
      <c r="C2058" t="s">
        <v>1509</v>
      </c>
      <c r="D2058" t="s">
        <v>141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45">
      <c r="A2059" t="s">
        <v>573</v>
      </c>
      <c r="B2059" t="s">
        <v>574</v>
      </c>
      <c r="C2059" t="s">
        <v>1510</v>
      </c>
      <c r="D2059" t="s">
        <v>141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45">
      <c r="A2060" t="s">
        <v>573</v>
      </c>
      <c r="B2060" t="s">
        <v>574</v>
      </c>
      <c r="C2060" t="s">
        <v>1511</v>
      </c>
      <c r="D2060" t="s">
        <v>141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45">
      <c r="A2061" t="s">
        <v>573</v>
      </c>
      <c r="B2061" t="s">
        <v>574</v>
      </c>
      <c r="C2061" t="s">
        <v>1512</v>
      </c>
      <c r="D2061" t="s">
        <v>141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45">
      <c r="A2062" t="s">
        <v>573</v>
      </c>
      <c r="B2062" t="s">
        <v>574</v>
      </c>
      <c r="C2062" t="s">
        <v>483</v>
      </c>
      <c r="D2062" t="s">
        <v>141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45">
      <c r="A2063" t="s">
        <v>573</v>
      </c>
      <c r="B2063" t="s">
        <v>574</v>
      </c>
      <c r="C2063" t="s">
        <v>1494</v>
      </c>
      <c r="D2063" t="s">
        <v>141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45">
      <c r="A2064" t="s">
        <v>573</v>
      </c>
      <c r="B2064" t="s">
        <v>574</v>
      </c>
      <c r="C2064" t="s">
        <v>1513</v>
      </c>
      <c r="D2064" t="s">
        <v>141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45">
      <c r="A2065" t="s">
        <v>573</v>
      </c>
      <c r="B2065" t="s">
        <v>574</v>
      </c>
      <c r="C2065" t="s">
        <v>1514</v>
      </c>
      <c r="D2065" t="s">
        <v>141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45">
      <c r="A2066" t="s">
        <v>573</v>
      </c>
      <c r="B2066" t="s">
        <v>574</v>
      </c>
      <c r="C2066" t="s">
        <v>1515</v>
      </c>
      <c r="D2066" t="s">
        <v>141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45">
      <c r="A2067" t="s">
        <v>573</v>
      </c>
      <c r="B2067" t="s">
        <v>574</v>
      </c>
      <c r="C2067" t="s">
        <v>1516</v>
      </c>
      <c r="D2067" t="s">
        <v>141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45">
      <c r="A2068" t="s">
        <v>573</v>
      </c>
      <c r="B2068" t="s">
        <v>574</v>
      </c>
      <c r="C2068" t="s">
        <v>1517</v>
      </c>
      <c r="D2068" t="s">
        <v>141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45">
      <c r="A2069" t="s">
        <v>573</v>
      </c>
      <c r="B2069" t="s">
        <v>574</v>
      </c>
      <c r="C2069" t="s">
        <v>1518</v>
      </c>
      <c r="D2069" t="s">
        <v>141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45">
      <c r="A2070" t="s">
        <v>573</v>
      </c>
      <c r="B2070" t="s">
        <v>574</v>
      </c>
      <c r="C2070" t="s">
        <v>154</v>
      </c>
      <c r="D2070" t="s">
        <v>141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45">
      <c r="A2071" t="s">
        <v>573</v>
      </c>
      <c r="B2071" t="s">
        <v>574</v>
      </c>
      <c r="C2071" t="s">
        <v>1519</v>
      </c>
      <c r="D2071" t="s">
        <v>141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45">
      <c r="A2072" t="s">
        <v>573</v>
      </c>
      <c r="B2072" t="s">
        <v>574</v>
      </c>
      <c r="C2072" t="s">
        <v>1520</v>
      </c>
      <c r="D2072" t="s">
        <v>141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45">
      <c r="A2073" t="s">
        <v>573</v>
      </c>
      <c r="B2073" t="s">
        <v>574</v>
      </c>
      <c r="C2073" t="s">
        <v>1030</v>
      </c>
      <c r="D2073" t="s">
        <v>141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45">
      <c r="A2074" t="s">
        <v>573</v>
      </c>
      <c r="B2074" t="s">
        <v>574</v>
      </c>
      <c r="C2074" t="s">
        <v>1521</v>
      </c>
      <c r="D2074" t="s">
        <v>141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45">
      <c r="A2075" t="s">
        <v>573</v>
      </c>
      <c r="B2075" t="s">
        <v>574</v>
      </c>
      <c r="C2075" t="s">
        <v>355</v>
      </c>
      <c r="D2075" t="s">
        <v>141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45">
      <c r="A2076" t="s">
        <v>573</v>
      </c>
      <c r="B2076" t="s">
        <v>574</v>
      </c>
      <c r="C2076" t="s">
        <v>780</v>
      </c>
      <c r="D2076" t="s">
        <v>141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45">
      <c r="A2077" t="s">
        <v>573</v>
      </c>
      <c r="B2077" t="s">
        <v>574</v>
      </c>
      <c r="C2077" t="s">
        <v>1522</v>
      </c>
      <c r="D2077" t="s">
        <v>141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45">
      <c r="A2078" t="s">
        <v>573</v>
      </c>
      <c r="B2078" t="s">
        <v>574</v>
      </c>
      <c r="C2078" t="s">
        <v>1450</v>
      </c>
      <c r="D2078" t="s">
        <v>141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45">
      <c r="A2079" t="s">
        <v>573</v>
      </c>
      <c r="B2079" t="s">
        <v>574</v>
      </c>
      <c r="C2079" t="s">
        <v>437</v>
      </c>
      <c r="D2079" t="s">
        <v>141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45">
      <c r="A2080" t="s">
        <v>573</v>
      </c>
      <c r="B2080" t="s">
        <v>574</v>
      </c>
      <c r="C2080" t="s">
        <v>166</v>
      </c>
      <c r="D2080" t="s">
        <v>141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45">
      <c r="A2081" t="s">
        <v>573</v>
      </c>
      <c r="B2081" t="s">
        <v>574</v>
      </c>
      <c r="C2081" t="s">
        <v>486</v>
      </c>
      <c r="D2081" t="s">
        <v>141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45">
      <c r="A2082" t="s">
        <v>573</v>
      </c>
      <c r="B2082" t="s">
        <v>574</v>
      </c>
      <c r="C2082" t="s">
        <v>1324</v>
      </c>
      <c r="D2082" t="s">
        <v>141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45">
      <c r="A2083" t="s">
        <v>573</v>
      </c>
      <c r="B2083" t="s">
        <v>574</v>
      </c>
      <c r="C2083" t="s">
        <v>624</v>
      </c>
      <c r="D2083" t="s">
        <v>141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45">
      <c r="A2084" t="s">
        <v>573</v>
      </c>
      <c r="B2084" t="s">
        <v>574</v>
      </c>
      <c r="C2084" t="s">
        <v>487</v>
      </c>
      <c r="D2084" t="s">
        <v>141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45">
      <c r="A2085" t="s">
        <v>573</v>
      </c>
      <c r="B2085" t="s">
        <v>574</v>
      </c>
      <c r="C2085" t="s">
        <v>1523</v>
      </c>
      <c r="D2085" t="s">
        <v>141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45">
      <c r="A2086" t="s">
        <v>573</v>
      </c>
      <c r="B2086" t="s">
        <v>574</v>
      </c>
      <c r="C2086" t="s">
        <v>1524</v>
      </c>
      <c r="D2086" t="s">
        <v>141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45">
      <c r="A2087" t="s">
        <v>573</v>
      </c>
      <c r="B2087" t="s">
        <v>574</v>
      </c>
      <c r="C2087" t="s">
        <v>1525</v>
      </c>
      <c r="D2087" t="s">
        <v>141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45">
      <c r="A2088" t="s">
        <v>573</v>
      </c>
      <c r="B2088" t="s">
        <v>574</v>
      </c>
      <c r="C2088" t="s">
        <v>183</v>
      </c>
      <c r="D2088" t="s">
        <v>141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45">
      <c r="A2089" t="s">
        <v>573</v>
      </c>
      <c r="B2089" t="s">
        <v>574</v>
      </c>
      <c r="C2089" t="s">
        <v>1526</v>
      </c>
      <c r="D2089" t="s">
        <v>141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45">
      <c r="A2090" t="s">
        <v>573</v>
      </c>
      <c r="B2090" t="s">
        <v>574</v>
      </c>
      <c r="C2090" t="s">
        <v>382</v>
      </c>
      <c r="D2090" t="s">
        <v>141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45">
      <c r="A2091" t="s">
        <v>573</v>
      </c>
      <c r="B2091" t="s">
        <v>574</v>
      </c>
      <c r="C2091" t="s">
        <v>184</v>
      </c>
      <c r="D2091" t="s">
        <v>141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45">
      <c r="A2092" t="s">
        <v>573</v>
      </c>
      <c r="B2092" t="s">
        <v>574</v>
      </c>
      <c r="C2092" t="s">
        <v>225</v>
      </c>
      <c r="D2092" t="s">
        <v>141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45">
      <c r="A2093" t="s">
        <v>573</v>
      </c>
      <c r="B2093" t="s">
        <v>574</v>
      </c>
      <c r="C2093" t="s">
        <v>788</v>
      </c>
      <c r="D2093" t="s">
        <v>141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45">
      <c r="A2094" t="s">
        <v>573</v>
      </c>
      <c r="B2094" t="s">
        <v>574</v>
      </c>
      <c r="C2094" t="s">
        <v>1527</v>
      </c>
      <c r="D2094" t="s">
        <v>141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45">
      <c r="A2095" t="s">
        <v>573</v>
      </c>
      <c r="B2095" t="s">
        <v>574</v>
      </c>
      <c r="C2095" t="s">
        <v>227</v>
      </c>
      <c r="D2095" t="s">
        <v>141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45">
      <c r="A2096" t="s">
        <v>573</v>
      </c>
      <c r="B2096" t="s">
        <v>574</v>
      </c>
      <c r="C2096" t="s">
        <v>1528</v>
      </c>
      <c r="D2096" t="s">
        <v>141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45">
      <c r="A2097" t="s">
        <v>573</v>
      </c>
      <c r="B2097" t="s">
        <v>574</v>
      </c>
      <c r="C2097" t="s">
        <v>1095</v>
      </c>
      <c r="D2097" t="s">
        <v>141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45">
      <c r="A2098" t="s">
        <v>573</v>
      </c>
      <c r="B2098" t="s">
        <v>574</v>
      </c>
      <c r="C2098" t="s">
        <v>1529</v>
      </c>
      <c r="D2098" t="s">
        <v>141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45">
      <c r="A2099" t="s">
        <v>573</v>
      </c>
      <c r="B2099" t="s">
        <v>574</v>
      </c>
      <c r="C2099" t="s">
        <v>1530</v>
      </c>
      <c r="D2099" t="s">
        <v>141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45">
      <c r="A2100" t="s">
        <v>573</v>
      </c>
      <c r="B2100" t="s">
        <v>574</v>
      </c>
      <c r="C2100" t="s">
        <v>515</v>
      </c>
      <c r="D2100" t="s">
        <v>141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45">
      <c r="A2101" t="s">
        <v>573</v>
      </c>
      <c r="B2101" t="s">
        <v>574</v>
      </c>
      <c r="C2101" t="s">
        <v>516</v>
      </c>
      <c r="D2101" t="s">
        <v>141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45">
      <c r="A2102" t="s">
        <v>573</v>
      </c>
      <c r="B2102" t="s">
        <v>574</v>
      </c>
      <c r="C2102" t="s">
        <v>258</v>
      </c>
      <c r="D2102" t="s">
        <v>141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45">
      <c r="A2103" t="s">
        <v>573</v>
      </c>
      <c r="B2103" t="s">
        <v>574</v>
      </c>
      <c r="C2103" t="s">
        <v>405</v>
      </c>
      <c r="D2103" t="s">
        <v>141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45">
      <c r="A2104" t="s">
        <v>573</v>
      </c>
      <c r="B2104" t="s">
        <v>574</v>
      </c>
      <c r="C2104" t="s">
        <v>219</v>
      </c>
      <c r="D2104" t="s">
        <v>141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45">
      <c r="A2105" t="s">
        <v>573</v>
      </c>
      <c r="B2105" t="s">
        <v>574</v>
      </c>
      <c r="C2105" t="s">
        <v>406</v>
      </c>
      <c r="D2105" t="s">
        <v>141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45">
      <c r="A2106" t="s">
        <v>573</v>
      </c>
      <c r="B2106" t="s">
        <v>574</v>
      </c>
      <c r="C2106" t="s">
        <v>407</v>
      </c>
      <c r="D2106" t="s">
        <v>141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45">
      <c r="A2107" t="s">
        <v>573</v>
      </c>
      <c r="B2107" t="s">
        <v>574</v>
      </c>
      <c r="C2107" t="s">
        <v>493</v>
      </c>
      <c r="D2107" t="s">
        <v>141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45">
      <c r="A2108" t="s">
        <v>573</v>
      </c>
      <c r="B2108" t="s">
        <v>574</v>
      </c>
      <c r="C2108" t="s">
        <v>1531</v>
      </c>
      <c r="D2108" t="s">
        <v>141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45">
      <c r="A2109" t="s">
        <v>573</v>
      </c>
      <c r="B2109" t="s">
        <v>574</v>
      </c>
      <c r="C2109" t="s">
        <v>476</v>
      </c>
      <c r="D2109" t="s">
        <v>141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45">
      <c r="A2110" t="s">
        <v>613</v>
      </c>
      <c r="B2110" t="s">
        <v>614</v>
      </c>
      <c r="C2110" t="s">
        <v>1532</v>
      </c>
      <c r="D2110" t="s">
        <v>137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45">
      <c r="A2111" t="s">
        <v>613</v>
      </c>
      <c r="B2111" t="s">
        <v>614</v>
      </c>
      <c r="C2111" t="s">
        <v>479</v>
      </c>
      <c r="D2111" t="s">
        <v>137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45">
      <c r="A2112" t="s">
        <v>613</v>
      </c>
      <c r="B2112" t="s">
        <v>614</v>
      </c>
      <c r="C2112" t="s">
        <v>1533</v>
      </c>
      <c r="D2112" t="s">
        <v>137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45">
      <c r="A2113" t="s">
        <v>613</v>
      </c>
      <c r="B2113" t="s">
        <v>614</v>
      </c>
      <c r="C2113" t="s">
        <v>1534</v>
      </c>
      <c r="D2113" t="s">
        <v>137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45">
      <c r="A2114" t="s">
        <v>613</v>
      </c>
      <c r="B2114" t="s">
        <v>614</v>
      </c>
      <c r="C2114" t="s">
        <v>1535</v>
      </c>
      <c r="D2114" t="s">
        <v>137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45">
      <c r="A2115" t="s">
        <v>613</v>
      </c>
      <c r="B2115" t="s">
        <v>614</v>
      </c>
      <c r="C2115" t="s">
        <v>1536</v>
      </c>
      <c r="D2115" t="s">
        <v>137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45">
      <c r="A2116" t="s">
        <v>613</v>
      </c>
      <c r="B2116" t="s">
        <v>614</v>
      </c>
      <c r="C2116" t="s">
        <v>1537</v>
      </c>
      <c r="D2116" t="s">
        <v>392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45">
      <c r="A2117" t="s">
        <v>613</v>
      </c>
      <c r="B2117" t="s">
        <v>614</v>
      </c>
      <c r="C2117" t="s">
        <v>1538</v>
      </c>
      <c r="D2117" t="s">
        <v>392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45">
      <c r="A2118" t="s">
        <v>613</v>
      </c>
      <c r="B2118" t="s">
        <v>614</v>
      </c>
      <c r="C2118" t="s">
        <v>965</v>
      </c>
      <c r="D2118" t="s">
        <v>392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45">
      <c r="A2119" t="s">
        <v>613</v>
      </c>
      <c r="B2119" t="s">
        <v>614</v>
      </c>
      <c r="C2119" t="s">
        <v>1539</v>
      </c>
      <c r="D2119" t="s">
        <v>137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45">
      <c r="A2120" t="s">
        <v>613</v>
      </c>
      <c r="B2120" t="s">
        <v>614</v>
      </c>
      <c r="C2120" t="s">
        <v>1519</v>
      </c>
      <c r="D2120" t="s">
        <v>392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45">
      <c r="A2121" t="s">
        <v>613</v>
      </c>
      <c r="B2121" t="s">
        <v>614</v>
      </c>
      <c r="C2121" t="s">
        <v>998</v>
      </c>
      <c r="D2121" t="s">
        <v>137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45">
      <c r="A2122" t="s">
        <v>613</v>
      </c>
      <c r="B2122" t="s">
        <v>614</v>
      </c>
      <c r="C2122" t="s">
        <v>1540</v>
      </c>
      <c r="D2122" t="s">
        <v>392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45">
      <c r="A2123" t="s">
        <v>613</v>
      </c>
      <c r="B2123" t="s">
        <v>614</v>
      </c>
      <c r="C2123" t="s">
        <v>1541</v>
      </c>
      <c r="D2123" t="s">
        <v>392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45">
      <c r="A2124" t="s">
        <v>613</v>
      </c>
      <c r="B2124" t="s">
        <v>614</v>
      </c>
      <c r="C2124" t="s">
        <v>1542</v>
      </c>
      <c r="D2124" t="s">
        <v>392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45">
      <c r="A2125" t="s">
        <v>613</v>
      </c>
      <c r="B2125" t="s">
        <v>614</v>
      </c>
      <c r="C2125" t="s">
        <v>1543</v>
      </c>
      <c r="D2125" t="s">
        <v>392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45">
      <c r="A2126" t="s">
        <v>613</v>
      </c>
      <c r="B2126" t="s">
        <v>614</v>
      </c>
      <c r="C2126" t="s">
        <v>1544</v>
      </c>
      <c r="D2126" t="s">
        <v>137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45">
      <c r="A2127" t="s">
        <v>613</v>
      </c>
      <c r="B2127" t="s">
        <v>614</v>
      </c>
      <c r="C2127" t="s">
        <v>1545</v>
      </c>
      <c r="D2127" t="s">
        <v>141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45">
      <c r="A2128" t="s">
        <v>613</v>
      </c>
      <c r="B2128" t="s">
        <v>614</v>
      </c>
      <c r="C2128" t="s">
        <v>1546</v>
      </c>
      <c r="D2128" t="s">
        <v>137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45">
      <c r="A2129" t="s">
        <v>613</v>
      </c>
      <c r="B2129" t="s">
        <v>614</v>
      </c>
      <c r="C2129" t="s">
        <v>1547</v>
      </c>
      <c r="D2129" t="s">
        <v>137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45">
      <c r="A2130" t="s">
        <v>613</v>
      </c>
      <c r="B2130" t="s">
        <v>614</v>
      </c>
      <c r="C2130" t="s">
        <v>184</v>
      </c>
      <c r="D2130" t="s">
        <v>392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45">
      <c r="A2131" t="s">
        <v>613</v>
      </c>
      <c r="B2131" t="s">
        <v>614</v>
      </c>
      <c r="C2131" t="s">
        <v>227</v>
      </c>
      <c r="D2131" t="s">
        <v>392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45">
      <c r="A2132" t="s">
        <v>613</v>
      </c>
      <c r="B2132" t="s">
        <v>614</v>
      </c>
      <c r="C2132" t="s">
        <v>1548</v>
      </c>
      <c r="D2132" t="s">
        <v>137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45">
      <c r="A2133" t="s">
        <v>613</v>
      </c>
      <c r="B2133" t="s">
        <v>614</v>
      </c>
      <c r="C2133" t="s">
        <v>1549</v>
      </c>
      <c r="D2133" t="s">
        <v>137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45">
      <c r="A2134" t="s">
        <v>613</v>
      </c>
      <c r="B2134" t="s">
        <v>614</v>
      </c>
      <c r="C2134" t="s">
        <v>190</v>
      </c>
      <c r="D2134" t="s">
        <v>392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45">
      <c r="A2135" t="s">
        <v>613</v>
      </c>
      <c r="B2135" t="s">
        <v>614</v>
      </c>
      <c r="C2135" t="s">
        <v>191</v>
      </c>
      <c r="D2135" t="s">
        <v>137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45">
      <c r="A2136" t="s">
        <v>613</v>
      </c>
      <c r="B2136" t="s">
        <v>614</v>
      </c>
      <c r="C2136" t="s">
        <v>720</v>
      </c>
      <c r="D2136" t="s">
        <v>137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45">
      <c r="A2137" t="s">
        <v>613</v>
      </c>
      <c r="B2137" t="s">
        <v>614</v>
      </c>
      <c r="C2137" t="s">
        <v>1124</v>
      </c>
      <c r="D2137" t="s">
        <v>392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45">
      <c r="A2138" t="s">
        <v>613</v>
      </c>
      <c r="B2138" t="s">
        <v>614</v>
      </c>
      <c r="C2138" t="s">
        <v>234</v>
      </c>
      <c r="D2138" t="s">
        <v>137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45">
      <c r="A2139" t="s">
        <v>613</v>
      </c>
      <c r="B2139" t="s">
        <v>614</v>
      </c>
      <c r="C2139" t="s">
        <v>1550</v>
      </c>
      <c r="D2139" t="s">
        <v>137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45">
      <c r="A2140" t="s">
        <v>613</v>
      </c>
      <c r="B2140" t="s">
        <v>614</v>
      </c>
      <c r="C2140" t="s">
        <v>235</v>
      </c>
      <c r="D2140" t="s">
        <v>392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45">
      <c r="A2141" t="s">
        <v>613</v>
      </c>
      <c r="B2141" t="s">
        <v>614</v>
      </c>
      <c r="C2141" t="s">
        <v>588</v>
      </c>
      <c r="D2141" t="s">
        <v>137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45">
      <c r="A2142" t="s">
        <v>613</v>
      </c>
      <c r="B2142" t="s">
        <v>614</v>
      </c>
      <c r="C2142" t="s">
        <v>199</v>
      </c>
      <c r="D2142" t="s">
        <v>392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45">
      <c r="A2143" t="s">
        <v>613</v>
      </c>
      <c r="B2143" t="s">
        <v>614</v>
      </c>
      <c r="C2143" t="s">
        <v>1551</v>
      </c>
      <c r="D2143" t="s">
        <v>141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45">
      <c r="A2144" t="s">
        <v>613</v>
      </c>
      <c r="B2144" t="s">
        <v>614</v>
      </c>
      <c r="C2144" t="s">
        <v>1552</v>
      </c>
      <c r="D2144" t="s">
        <v>392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45">
      <c r="A2145" t="s">
        <v>613</v>
      </c>
      <c r="B2145" t="s">
        <v>614</v>
      </c>
      <c r="C2145" t="s">
        <v>868</v>
      </c>
      <c r="D2145" t="s">
        <v>137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45">
      <c r="A2146" t="s">
        <v>613</v>
      </c>
      <c r="B2146" t="s">
        <v>614</v>
      </c>
      <c r="C2146" t="s">
        <v>243</v>
      </c>
      <c r="D2146" t="s">
        <v>392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45">
      <c r="A2147" t="s">
        <v>613</v>
      </c>
      <c r="B2147" t="s">
        <v>614</v>
      </c>
      <c r="C2147" t="s">
        <v>1553</v>
      </c>
      <c r="D2147" t="s">
        <v>137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45">
      <c r="A2148" t="s">
        <v>613</v>
      </c>
      <c r="B2148" t="s">
        <v>614</v>
      </c>
      <c r="C2148" t="s">
        <v>1554</v>
      </c>
      <c r="D2148" t="s">
        <v>137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45">
      <c r="A2149" t="s">
        <v>613</v>
      </c>
      <c r="B2149" t="s">
        <v>614</v>
      </c>
      <c r="C2149" t="s">
        <v>1555</v>
      </c>
      <c r="D2149" t="s">
        <v>137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45">
      <c r="A2150" t="s">
        <v>613</v>
      </c>
      <c r="B2150" t="s">
        <v>614</v>
      </c>
      <c r="C2150" t="s">
        <v>1556</v>
      </c>
      <c r="D2150" t="s">
        <v>392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45">
      <c r="A2151" t="s">
        <v>613</v>
      </c>
      <c r="B2151" t="s">
        <v>614</v>
      </c>
      <c r="C2151" t="s">
        <v>463</v>
      </c>
      <c r="D2151" t="s">
        <v>392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45">
      <c r="A2152" t="s">
        <v>613</v>
      </c>
      <c r="B2152" t="s">
        <v>614</v>
      </c>
      <c r="C2152" t="s">
        <v>1557</v>
      </c>
      <c r="D2152" t="s">
        <v>392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45">
      <c r="A2153" t="s">
        <v>613</v>
      </c>
      <c r="B2153" t="s">
        <v>614</v>
      </c>
      <c r="C2153" t="s">
        <v>1558</v>
      </c>
      <c r="D2153" t="s">
        <v>137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45">
      <c r="A2154" t="s">
        <v>613</v>
      </c>
      <c r="B2154" t="s">
        <v>614</v>
      </c>
      <c r="C2154" t="s">
        <v>764</v>
      </c>
      <c r="D2154" t="s">
        <v>137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45">
      <c r="A2155" t="s">
        <v>613</v>
      </c>
      <c r="B2155" t="s">
        <v>614</v>
      </c>
      <c r="C2155" t="s">
        <v>1559</v>
      </c>
      <c r="D2155" t="s">
        <v>137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45">
      <c r="A2156" t="s">
        <v>613</v>
      </c>
      <c r="B2156" t="s">
        <v>614</v>
      </c>
      <c r="C2156" t="s">
        <v>1560</v>
      </c>
      <c r="D2156" t="s">
        <v>137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45">
      <c r="A2157" t="s">
        <v>613</v>
      </c>
      <c r="B2157" t="s">
        <v>614</v>
      </c>
      <c r="C2157" t="s">
        <v>1561</v>
      </c>
      <c r="D2157" t="s">
        <v>137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45">
      <c r="A2158" t="s">
        <v>613</v>
      </c>
      <c r="B2158" t="s">
        <v>614</v>
      </c>
      <c r="C2158" t="s">
        <v>1562</v>
      </c>
      <c r="D2158" t="s">
        <v>137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45">
      <c r="A2159" t="s">
        <v>613</v>
      </c>
      <c r="B2159" t="s">
        <v>614</v>
      </c>
      <c r="C2159" t="s">
        <v>1563</v>
      </c>
      <c r="D2159" t="s">
        <v>137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45">
      <c r="A2160" t="s">
        <v>613</v>
      </c>
      <c r="B2160" t="s">
        <v>614</v>
      </c>
      <c r="C2160" t="s">
        <v>1564</v>
      </c>
      <c r="D2160" t="s">
        <v>137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45">
      <c r="A2161" t="s">
        <v>613</v>
      </c>
      <c r="B2161" t="s">
        <v>614</v>
      </c>
      <c r="C2161" t="s">
        <v>1565</v>
      </c>
      <c r="D2161" t="s">
        <v>137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45">
      <c r="A2162" t="s">
        <v>613</v>
      </c>
      <c r="B2162" t="s">
        <v>614</v>
      </c>
      <c r="C2162" t="s">
        <v>1566</v>
      </c>
      <c r="D2162" t="s">
        <v>137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45">
      <c r="A2163" t="s">
        <v>613</v>
      </c>
      <c r="B2163" t="s">
        <v>614</v>
      </c>
      <c r="C2163" t="s">
        <v>1567</v>
      </c>
      <c r="D2163" t="s">
        <v>392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45">
      <c r="A2164" t="s">
        <v>613</v>
      </c>
      <c r="B2164" t="s">
        <v>614</v>
      </c>
      <c r="C2164" t="s">
        <v>1568</v>
      </c>
      <c r="D2164" t="s">
        <v>137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45">
      <c r="A2165" t="s">
        <v>613</v>
      </c>
      <c r="B2165" t="s">
        <v>614</v>
      </c>
      <c r="C2165" t="s">
        <v>258</v>
      </c>
      <c r="D2165" t="s">
        <v>392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45">
      <c r="A2166" t="s">
        <v>613</v>
      </c>
      <c r="B2166" t="s">
        <v>614</v>
      </c>
      <c r="C2166" t="s">
        <v>470</v>
      </c>
      <c r="D2166" t="s">
        <v>137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45">
      <c r="A2167" t="s">
        <v>666</v>
      </c>
      <c r="B2167" t="s">
        <v>667</v>
      </c>
      <c r="C2167" t="s">
        <v>1569</v>
      </c>
      <c r="D2167" t="s">
        <v>110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45">
      <c r="A2168" t="s">
        <v>666</v>
      </c>
      <c r="B2168" t="s">
        <v>667</v>
      </c>
      <c r="C2168" t="s">
        <v>1570</v>
      </c>
      <c r="D2168" t="s">
        <v>110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45">
      <c r="A2169" t="s">
        <v>666</v>
      </c>
      <c r="B2169" t="s">
        <v>667</v>
      </c>
      <c r="C2169" t="s">
        <v>1571</v>
      </c>
      <c r="D2169" t="s">
        <v>113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45">
      <c r="A2170" t="s">
        <v>666</v>
      </c>
      <c r="B2170" t="s">
        <v>667</v>
      </c>
      <c r="C2170" t="s">
        <v>750</v>
      </c>
      <c r="D2170" t="s">
        <v>110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45">
      <c r="A2171" t="s">
        <v>666</v>
      </c>
      <c r="B2171" t="s">
        <v>667</v>
      </c>
      <c r="C2171" t="s">
        <v>336</v>
      </c>
      <c r="D2171" t="s">
        <v>110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45">
      <c r="A2172" t="s">
        <v>666</v>
      </c>
      <c r="B2172" t="s">
        <v>667</v>
      </c>
      <c r="C2172" t="s">
        <v>1572</v>
      </c>
      <c r="D2172" t="s">
        <v>110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45">
      <c r="A2173" t="s">
        <v>666</v>
      </c>
      <c r="B2173" t="s">
        <v>667</v>
      </c>
      <c r="C2173" t="s">
        <v>345</v>
      </c>
      <c r="D2173" t="s">
        <v>110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45">
      <c r="A2174" t="s">
        <v>666</v>
      </c>
      <c r="B2174" t="s">
        <v>667</v>
      </c>
      <c r="C2174" t="s">
        <v>1573</v>
      </c>
      <c r="D2174" t="s">
        <v>110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45">
      <c r="A2175" t="s">
        <v>666</v>
      </c>
      <c r="B2175" t="s">
        <v>667</v>
      </c>
      <c r="C2175" t="s">
        <v>156</v>
      </c>
      <c r="D2175" t="s">
        <v>110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45">
      <c r="A2176" t="s">
        <v>666</v>
      </c>
      <c r="B2176" t="s">
        <v>667</v>
      </c>
      <c r="C2176" t="s">
        <v>485</v>
      </c>
      <c r="D2176" t="s">
        <v>110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45">
      <c r="A2177" t="s">
        <v>666</v>
      </c>
      <c r="B2177" t="s">
        <v>667</v>
      </c>
      <c r="C2177" t="s">
        <v>1574</v>
      </c>
      <c r="D2177" t="s">
        <v>110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45">
      <c r="A2178" t="s">
        <v>666</v>
      </c>
      <c r="B2178" t="s">
        <v>667</v>
      </c>
      <c r="C2178" t="s">
        <v>1575</v>
      </c>
      <c r="D2178" t="s">
        <v>110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45">
      <c r="A2179" t="s">
        <v>666</v>
      </c>
      <c r="B2179" t="s">
        <v>667</v>
      </c>
      <c r="C2179" t="s">
        <v>692</v>
      </c>
      <c r="D2179" t="s">
        <v>113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45">
      <c r="A2180" t="s">
        <v>666</v>
      </c>
      <c r="B2180" t="s">
        <v>667</v>
      </c>
      <c r="C2180" t="s">
        <v>1576</v>
      </c>
      <c r="D2180" t="s">
        <v>110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45">
      <c r="A2181" t="s">
        <v>666</v>
      </c>
      <c r="B2181" t="s">
        <v>667</v>
      </c>
      <c r="C2181" t="s">
        <v>486</v>
      </c>
      <c r="D2181" t="s">
        <v>110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45">
      <c r="A2182" t="s">
        <v>666</v>
      </c>
      <c r="B2182" t="s">
        <v>667</v>
      </c>
      <c r="C2182" t="s">
        <v>368</v>
      </c>
      <c r="D2182" t="s">
        <v>110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45">
      <c r="A2183" t="s">
        <v>666</v>
      </c>
      <c r="B2183" t="s">
        <v>667</v>
      </c>
      <c r="C2183" t="s">
        <v>1379</v>
      </c>
      <c r="D2183" t="s">
        <v>110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45">
      <c r="A2184" t="s">
        <v>666</v>
      </c>
      <c r="B2184" t="s">
        <v>667</v>
      </c>
      <c r="C2184" t="s">
        <v>509</v>
      </c>
      <c r="D2184" t="s">
        <v>110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45">
      <c r="A2185" t="s">
        <v>666</v>
      </c>
      <c r="B2185" t="s">
        <v>667</v>
      </c>
      <c r="C2185" t="s">
        <v>1577</v>
      </c>
      <c r="D2185" t="s">
        <v>110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45">
      <c r="A2186" t="s">
        <v>666</v>
      </c>
      <c r="B2186" t="s">
        <v>667</v>
      </c>
      <c r="C2186" t="s">
        <v>511</v>
      </c>
      <c r="D2186" t="s">
        <v>110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45">
      <c r="A2187" t="s">
        <v>666</v>
      </c>
      <c r="B2187" t="s">
        <v>667</v>
      </c>
      <c r="C2187" t="s">
        <v>859</v>
      </c>
      <c r="D2187" t="s">
        <v>110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45">
      <c r="A2188" t="s">
        <v>666</v>
      </c>
      <c r="B2188" t="s">
        <v>667</v>
      </c>
      <c r="C2188" t="s">
        <v>1578</v>
      </c>
      <c r="D2188" t="s">
        <v>110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45">
      <c r="A2189" t="s">
        <v>666</v>
      </c>
      <c r="B2189" t="s">
        <v>667</v>
      </c>
      <c r="C2189" t="s">
        <v>1579</v>
      </c>
      <c r="D2189" t="s">
        <v>113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45">
      <c r="A2190" t="s">
        <v>666</v>
      </c>
      <c r="B2190" t="s">
        <v>667</v>
      </c>
      <c r="C2190" t="s">
        <v>1580</v>
      </c>
      <c r="D2190" t="s">
        <v>110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45">
      <c r="A2191" t="s">
        <v>666</v>
      </c>
      <c r="B2191" t="s">
        <v>667</v>
      </c>
      <c r="C2191" t="s">
        <v>1581</v>
      </c>
      <c r="D2191" t="s">
        <v>110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45">
      <c r="A2192" t="s">
        <v>666</v>
      </c>
      <c r="B2192" t="s">
        <v>667</v>
      </c>
      <c r="C2192" t="s">
        <v>1582</v>
      </c>
      <c r="D2192" t="s">
        <v>110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45">
      <c r="A2193" t="s">
        <v>666</v>
      </c>
      <c r="B2193" t="s">
        <v>667</v>
      </c>
      <c r="C2193" t="s">
        <v>1583</v>
      </c>
      <c r="D2193" t="s">
        <v>113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45">
      <c r="A2194" t="s">
        <v>666</v>
      </c>
      <c r="B2194" t="s">
        <v>667</v>
      </c>
      <c r="C2194" t="s">
        <v>935</v>
      </c>
      <c r="D2194" t="s">
        <v>110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45">
      <c r="A2195" t="s">
        <v>666</v>
      </c>
      <c r="B2195" t="s">
        <v>667</v>
      </c>
      <c r="C2195" t="s">
        <v>1584</v>
      </c>
      <c r="D2195" t="s">
        <v>110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45">
      <c r="A2196" t="s">
        <v>666</v>
      </c>
      <c r="B2196" t="s">
        <v>667</v>
      </c>
      <c r="C2196" t="s">
        <v>1585</v>
      </c>
      <c r="D2196" t="s">
        <v>110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45">
      <c r="A2197" t="s">
        <v>666</v>
      </c>
      <c r="B2197" t="s">
        <v>667</v>
      </c>
      <c r="C2197" t="s">
        <v>1586</v>
      </c>
      <c r="D2197" t="s">
        <v>110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45">
      <c r="A2198" t="s">
        <v>666</v>
      </c>
      <c r="B2198" t="s">
        <v>667</v>
      </c>
      <c r="C2198" t="s">
        <v>1170</v>
      </c>
      <c r="D2198" t="s">
        <v>113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45">
      <c r="A2199" t="s">
        <v>666</v>
      </c>
      <c r="B2199" t="s">
        <v>667</v>
      </c>
      <c r="C2199" t="s">
        <v>1587</v>
      </c>
      <c r="D2199" t="s">
        <v>110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45">
      <c r="A2200" t="s">
        <v>666</v>
      </c>
      <c r="B2200" t="s">
        <v>667</v>
      </c>
      <c r="C2200" t="s">
        <v>190</v>
      </c>
      <c r="D2200" t="s">
        <v>110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45">
      <c r="A2201" t="s">
        <v>666</v>
      </c>
      <c r="B2201" t="s">
        <v>667</v>
      </c>
      <c r="C2201" t="s">
        <v>1588</v>
      </c>
      <c r="D2201" t="s">
        <v>110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45">
      <c r="A2202" t="s">
        <v>666</v>
      </c>
      <c r="B2202" t="s">
        <v>667</v>
      </c>
      <c r="C2202" t="s">
        <v>1589</v>
      </c>
      <c r="D2202" t="s">
        <v>110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45">
      <c r="A2203" t="s">
        <v>666</v>
      </c>
      <c r="B2203" t="s">
        <v>667</v>
      </c>
      <c r="C2203" t="s">
        <v>329</v>
      </c>
      <c r="D2203" t="s">
        <v>110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45">
      <c r="A2204" t="s">
        <v>666</v>
      </c>
      <c r="B2204" t="s">
        <v>667</v>
      </c>
      <c r="C2204" t="s">
        <v>1590</v>
      </c>
      <c r="D2204" t="s">
        <v>113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45">
      <c r="A2205" t="s">
        <v>666</v>
      </c>
      <c r="B2205" t="s">
        <v>667</v>
      </c>
      <c r="C2205" t="s">
        <v>292</v>
      </c>
      <c r="D2205" t="s">
        <v>110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45">
      <c r="A2206" t="s">
        <v>666</v>
      </c>
      <c r="B2206" t="s">
        <v>667</v>
      </c>
      <c r="C2206" t="s">
        <v>1591</v>
      </c>
      <c r="D2206" t="s">
        <v>110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45">
      <c r="A2207" t="s">
        <v>666</v>
      </c>
      <c r="B2207" t="s">
        <v>667</v>
      </c>
      <c r="C2207" t="s">
        <v>1592</v>
      </c>
      <c r="D2207" t="s">
        <v>110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45">
      <c r="A2208" t="s">
        <v>666</v>
      </c>
      <c r="B2208" t="s">
        <v>667</v>
      </c>
      <c r="C2208" t="s">
        <v>1593</v>
      </c>
      <c r="D2208" t="s">
        <v>110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45">
      <c r="A2209" t="s">
        <v>666</v>
      </c>
      <c r="B2209" t="s">
        <v>667</v>
      </c>
      <c r="C2209" t="s">
        <v>588</v>
      </c>
      <c r="D2209" t="s">
        <v>110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45">
      <c r="A2210" t="s">
        <v>666</v>
      </c>
      <c r="B2210" t="s">
        <v>667</v>
      </c>
      <c r="C2210" t="s">
        <v>1594</v>
      </c>
      <c r="D2210" t="s">
        <v>113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45">
      <c r="A2211" t="s">
        <v>666</v>
      </c>
      <c r="B2211" t="s">
        <v>667</v>
      </c>
      <c r="C2211" t="s">
        <v>1595</v>
      </c>
      <c r="D2211" t="s">
        <v>113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45">
      <c r="A2212" t="s">
        <v>666</v>
      </c>
      <c r="B2212" t="s">
        <v>667</v>
      </c>
      <c r="C2212" t="s">
        <v>1596</v>
      </c>
      <c r="D2212" t="s">
        <v>110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45">
      <c r="A2213" t="s">
        <v>666</v>
      </c>
      <c r="B2213" t="s">
        <v>667</v>
      </c>
      <c r="C2213" t="s">
        <v>1597</v>
      </c>
      <c r="D2213" t="s">
        <v>110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45">
      <c r="A2214" t="s">
        <v>666</v>
      </c>
      <c r="B2214" t="s">
        <v>667</v>
      </c>
      <c r="C2214" t="s">
        <v>1598</v>
      </c>
      <c r="D2214" t="s">
        <v>110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45">
      <c r="A2215" t="s">
        <v>666</v>
      </c>
      <c r="B2215" t="s">
        <v>667</v>
      </c>
      <c r="C2215" t="s">
        <v>451</v>
      </c>
      <c r="D2215" t="s">
        <v>110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45">
      <c r="A2216" t="s">
        <v>666</v>
      </c>
      <c r="B2216" t="s">
        <v>667</v>
      </c>
      <c r="C2216" t="s">
        <v>1599</v>
      </c>
      <c r="D2216" t="s">
        <v>110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45">
      <c r="A2217" t="s">
        <v>666</v>
      </c>
      <c r="B2217" t="s">
        <v>667</v>
      </c>
      <c r="C2217" t="s">
        <v>1600</v>
      </c>
      <c r="D2217" t="s">
        <v>110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45">
      <c r="A2218" t="s">
        <v>666</v>
      </c>
      <c r="B2218" t="s">
        <v>667</v>
      </c>
      <c r="C2218" t="s">
        <v>1601</v>
      </c>
      <c r="D2218" t="s">
        <v>110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45">
      <c r="A2219" t="s">
        <v>666</v>
      </c>
      <c r="B2219" t="s">
        <v>667</v>
      </c>
      <c r="C2219" t="s">
        <v>1602</v>
      </c>
      <c r="D2219" t="s">
        <v>110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45">
      <c r="A2220" t="s">
        <v>666</v>
      </c>
      <c r="B2220" t="s">
        <v>667</v>
      </c>
      <c r="C2220" t="s">
        <v>204</v>
      </c>
      <c r="D2220" t="s">
        <v>110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45">
      <c r="A2221" t="s">
        <v>666</v>
      </c>
      <c r="B2221" t="s">
        <v>667</v>
      </c>
      <c r="C2221" t="s">
        <v>1603</v>
      </c>
      <c r="D2221" t="s">
        <v>110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45">
      <c r="A2222" t="s">
        <v>666</v>
      </c>
      <c r="B2222" t="s">
        <v>667</v>
      </c>
      <c r="C2222" t="s">
        <v>1604</v>
      </c>
      <c r="D2222" t="s">
        <v>110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45">
      <c r="A2223" t="s">
        <v>666</v>
      </c>
      <c r="B2223" t="s">
        <v>667</v>
      </c>
      <c r="C2223" t="s">
        <v>1605</v>
      </c>
      <c r="D2223" t="s">
        <v>110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45">
      <c r="A2224" t="s">
        <v>666</v>
      </c>
      <c r="B2224" t="s">
        <v>667</v>
      </c>
      <c r="C2224" t="s">
        <v>1606</v>
      </c>
      <c r="D2224" t="s">
        <v>110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45">
      <c r="A2225" t="s">
        <v>666</v>
      </c>
      <c r="B2225" t="s">
        <v>667</v>
      </c>
      <c r="C2225" t="s">
        <v>1607</v>
      </c>
      <c r="D2225" t="s">
        <v>110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45">
      <c r="A2226" t="s">
        <v>666</v>
      </c>
      <c r="B2226" t="s">
        <v>667</v>
      </c>
      <c r="C2226" t="s">
        <v>1608</v>
      </c>
      <c r="D2226" t="s">
        <v>110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45">
      <c r="A2227" t="s">
        <v>666</v>
      </c>
      <c r="B2227" t="s">
        <v>667</v>
      </c>
      <c r="C2227" t="s">
        <v>1609</v>
      </c>
      <c r="D2227" t="s">
        <v>110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45">
      <c r="A2228" t="s">
        <v>666</v>
      </c>
      <c r="B2228" t="s">
        <v>667</v>
      </c>
      <c r="C2228" t="s">
        <v>1610</v>
      </c>
      <c r="D2228" t="s">
        <v>113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45">
      <c r="A2229" t="s">
        <v>666</v>
      </c>
      <c r="B2229" t="s">
        <v>667</v>
      </c>
      <c r="C2229" t="s">
        <v>1405</v>
      </c>
      <c r="D2229" t="s">
        <v>110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45">
      <c r="A2230" t="s">
        <v>666</v>
      </c>
      <c r="B2230" t="s">
        <v>667</v>
      </c>
      <c r="C2230" t="s">
        <v>1611</v>
      </c>
      <c r="D2230" t="s">
        <v>110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45">
      <c r="A2231" t="s">
        <v>666</v>
      </c>
      <c r="B2231" t="s">
        <v>667</v>
      </c>
      <c r="C2231" t="s">
        <v>870</v>
      </c>
      <c r="D2231" t="s">
        <v>110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45">
      <c r="A2232" t="s">
        <v>682</v>
      </c>
      <c r="B2232" t="s">
        <v>683</v>
      </c>
      <c r="C2232" t="s">
        <v>1612</v>
      </c>
      <c r="D2232" t="s">
        <v>110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45">
      <c r="A2233" t="s">
        <v>682</v>
      </c>
      <c r="B2233" t="s">
        <v>683</v>
      </c>
      <c r="C2233" t="s">
        <v>1613</v>
      </c>
      <c r="D2233" t="s">
        <v>110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45">
      <c r="A2234" t="s">
        <v>682</v>
      </c>
      <c r="B2234" t="s">
        <v>683</v>
      </c>
      <c r="C2234" t="s">
        <v>1614</v>
      </c>
      <c r="D2234" t="s">
        <v>113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45">
      <c r="A2235" t="s">
        <v>682</v>
      </c>
      <c r="B2235" t="s">
        <v>683</v>
      </c>
      <c r="C2235" t="s">
        <v>1615</v>
      </c>
      <c r="D2235" t="s">
        <v>110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45">
      <c r="A2236" t="s">
        <v>682</v>
      </c>
      <c r="B2236" t="s">
        <v>683</v>
      </c>
      <c r="C2236" t="s">
        <v>1616</v>
      </c>
      <c r="D2236" t="s">
        <v>113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45">
      <c r="A2237" t="s">
        <v>682</v>
      </c>
      <c r="B2237" t="s">
        <v>683</v>
      </c>
      <c r="C2237" t="s">
        <v>1617</v>
      </c>
      <c r="D2237" t="s">
        <v>113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45">
      <c r="A2238" t="s">
        <v>682</v>
      </c>
      <c r="B2238" t="s">
        <v>683</v>
      </c>
      <c r="C2238" t="s">
        <v>1618</v>
      </c>
      <c r="D2238" t="s">
        <v>113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45">
      <c r="A2239" t="s">
        <v>682</v>
      </c>
      <c r="B2239" t="s">
        <v>683</v>
      </c>
      <c r="C2239" t="s">
        <v>1619</v>
      </c>
      <c r="D2239" t="s">
        <v>110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45">
      <c r="A2240" t="s">
        <v>682</v>
      </c>
      <c r="B2240" t="s">
        <v>683</v>
      </c>
      <c r="C2240" t="s">
        <v>246</v>
      </c>
      <c r="D2240" t="s">
        <v>113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45">
      <c r="A2241" t="s">
        <v>682</v>
      </c>
      <c r="B2241" t="s">
        <v>683</v>
      </c>
      <c r="C2241" t="s">
        <v>247</v>
      </c>
      <c r="D2241" t="s">
        <v>110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45">
      <c r="A2242" t="s">
        <v>682</v>
      </c>
      <c r="B2242" t="s">
        <v>683</v>
      </c>
      <c r="C2242" t="s">
        <v>1620</v>
      </c>
      <c r="D2242" t="s">
        <v>110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45">
      <c r="A2243" t="s">
        <v>682</v>
      </c>
      <c r="B2243" t="s">
        <v>683</v>
      </c>
      <c r="C2243" t="s">
        <v>1621</v>
      </c>
      <c r="D2243" t="s">
        <v>113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45">
      <c r="A2244" t="s">
        <v>682</v>
      </c>
      <c r="B2244" t="s">
        <v>683</v>
      </c>
      <c r="C2244" t="s">
        <v>1622</v>
      </c>
      <c r="D2244" t="s">
        <v>110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45">
      <c r="A2245" t="s">
        <v>682</v>
      </c>
      <c r="B2245" t="s">
        <v>683</v>
      </c>
      <c r="C2245" t="s">
        <v>1623</v>
      </c>
      <c r="D2245" t="s">
        <v>110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45">
      <c r="A2246" t="s">
        <v>682</v>
      </c>
      <c r="B2246" t="s">
        <v>683</v>
      </c>
      <c r="C2246" t="s">
        <v>569</v>
      </c>
      <c r="D2246" t="s">
        <v>110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45">
      <c r="A2247" t="s">
        <v>682</v>
      </c>
      <c r="B2247" t="s">
        <v>683</v>
      </c>
      <c r="C2247" t="s">
        <v>819</v>
      </c>
      <c r="D2247" t="s">
        <v>110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45">
      <c r="A2248" t="s">
        <v>682</v>
      </c>
      <c r="B2248" t="s">
        <v>683</v>
      </c>
      <c r="C2248" t="s">
        <v>1624</v>
      </c>
      <c r="D2248" t="s">
        <v>113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45">
      <c r="A2249" t="s">
        <v>682</v>
      </c>
      <c r="B2249" t="s">
        <v>683</v>
      </c>
      <c r="C2249" t="s">
        <v>251</v>
      </c>
      <c r="D2249" t="s">
        <v>110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45">
      <c r="A2250" t="s">
        <v>682</v>
      </c>
      <c r="B2250" t="s">
        <v>683</v>
      </c>
      <c r="C2250" t="s">
        <v>1625</v>
      </c>
      <c r="D2250" t="s">
        <v>110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45">
      <c r="A2251" t="s">
        <v>682</v>
      </c>
      <c r="B2251" t="s">
        <v>683</v>
      </c>
      <c r="C2251" t="s">
        <v>1626</v>
      </c>
      <c r="D2251" t="s">
        <v>110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45">
      <c r="A2252" t="s">
        <v>682</v>
      </c>
      <c r="B2252" t="s">
        <v>683</v>
      </c>
      <c r="C2252" t="s">
        <v>766</v>
      </c>
      <c r="D2252" t="s">
        <v>113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45">
      <c r="A2253" t="s">
        <v>682</v>
      </c>
      <c r="B2253" t="s">
        <v>683</v>
      </c>
      <c r="C2253" t="s">
        <v>1627</v>
      </c>
      <c r="D2253" t="s">
        <v>110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45">
      <c r="A2254" t="s">
        <v>682</v>
      </c>
      <c r="B2254" t="s">
        <v>683</v>
      </c>
      <c r="C2254" t="s">
        <v>1628</v>
      </c>
      <c r="D2254" t="s">
        <v>110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45">
      <c r="A2255" t="s">
        <v>682</v>
      </c>
      <c r="B2255" t="s">
        <v>683</v>
      </c>
      <c r="C2255" t="s">
        <v>1503</v>
      </c>
      <c r="D2255" t="s">
        <v>110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45">
      <c r="A2256" t="s">
        <v>682</v>
      </c>
      <c r="B2256" t="s">
        <v>683</v>
      </c>
      <c r="C2256" t="s">
        <v>1629</v>
      </c>
      <c r="D2256" t="s">
        <v>110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45">
      <c r="A2257" t="s">
        <v>682</v>
      </c>
      <c r="B2257" t="s">
        <v>683</v>
      </c>
      <c r="C2257" t="s">
        <v>610</v>
      </c>
      <c r="D2257" t="s">
        <v>110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45">
      <c r="A2258" t="s">
        <v>682</v>
      </c>
      <c r="B2258" t="s">
        <v>683</v>
      </c>
      <c r="C2258" t="s">
        <v>1630</v>
      </c>
      <c r="D2258" t="s">
        <v>110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45">
      <c r="A2259" t="s">
        <v>682</v>
      </c>
      <c r="B2259" t="s">
        <v>683</v>
      </c>
      <c r="C2259" t="s">
        <v>1631</v>
      </c>
      <c r="D2259" t="s">
        <v>110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45">
      <c r="A2260" t="s">
        <v>682</v>
      </c>
      <c r="B2260" t="s">
        <v>683</v>
      </c>
      <c r="C2260" t="s">
        <v>1632</v>
      </c>
      <c r="D2260" t="s">
        <v>113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45">
      <c r="A2261" t="s">
        <v>682</v>
      </c>
      <c r="B2261" t="s">
        <v>683</v>
      </c>
      <c r="C2261" t="s">
        <v>1633</v>
      </c>
      <c r="D2261" t="s">
        <v>110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45">
      <c r="A2262" t="s">
        <v>682</v>
      </c>
      <c r="B2262" t="s">
        <v>683</v>
      </c>
      <c r="C2262" t="s">
        <v>219</v>
      </c>
      <c r="D2262" t="s">
        <v>110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45">
      <c r="A2263" t="s">
        <v>682</v>
      </c>
      <c r="B2263" t="s">
        <v>683</v>
      </c>
      <c r="C2263" t="s">
        <v>1634</v>
      </c>
      <c r="D2263" t="s">
        <v>110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45">
      <c r="A2264" t="s">
        <v>682</v>
      </c>
      <c r="B2264" t="s">
        <v>683</v>
      </c>
      <c r="C2264" t="s">
        <v>1635</v>
      </c>
      <c r="D2264" t="s">
        <v>113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45">
      <c r="A2265" t="s">
        <v>682</v>
      </c>
      <c r="B2265" t="s">
        <v>683</v>
      </c>
      <c r="C2265" t="s">
        <v>1636</v>
      </c>
      <c r="D2265" t="s">
        <v>110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45">
      <c r="A2266" t="s">
        <v>682</v>
      </c>
      <c r="B2266" t="s">
        <v>683</v>
      </c>
      <c r="C2266" t="s">
        <v>773</v>
      </c>
      <c r="D2266" t="s">
        <v>110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45">
      <c r="A2267" t="s">
        <v>682</v>
      </c>
      <c r="B2267" t="s">
        <v>683</v>
      </c>
      <c r="C2267" t="s">
        <v>1637</v>
      </c>
      <c r="D2267" t="s">
        <v>110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45">
      <c r="A2268" t="s">
        <v>719</v>
      </c>
      <c r="B2268" t="s">
        <v>240</v>
      </c>
      <c r="C2268" t="s">
        <v>423</v>
      </c>
      <c r="D2268" t="s">
        <v>137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45">
      <c r="A2269" t="s">
        <v>719</v>
      </c>
      <c r="B2269" t="s">
        <v>240</v>
      </c>
      <c r="C2269" t="s">
        <v>1638</v>
      </c>
      <c r="D2269" t="s">
        <v>141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45">
      <c r="A2270" t="s">
        <v>719</v>
      </c>
      <c r="B2270" t="s">
        <v>240</v>
      </c>
      <c r="C2270" t="s">
        <v>1639</v>
      </c>
      <c r="D2270" t="s">
        <v>137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45">
      <c r="A2271" t="s">
        <v>719</v>
      </c>
      <c r="B2271" t="s">
        <v>240</v>
      </c>
      <c r="C2271" t="s">
        <v>1640</v>
      </c>
      <c r="D2271" t="s">
        <v>141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45">
      <c r="A2272" t="s">
        <v>719</v>
      </c>
      <c r="B2272" t="s">
        <v>240</v>
      </c>
      <c r="C2272" t="s">
        <v>481</v>
      </c>
      <c r="D2272" t="s">
        <v>141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45">
      <c r="A2273" t="s">
        <v>719</v>
      </c>
      <c r="B2273" t="s">
        <v>240</v>
      </c>
      <c r="C2273" t="s">
        <v>1641</v>
      </c>
      <c r="D2273" t="s">
        <v>141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45">
      <c r="A2274" t="s">
        <v>719</v>
      </c>
      <c r="B2274" t="s">
        <v>240</v>
      </c>
      <c r="C2274" t="s">
        <v>156</v>
      </c>
      <c r="D2274" t="s">
        <v>141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45">
      <c r="A2275" t="s">
        <v>719</v>
      </c>
      <c r="B2275" t="s">
        <v>240</v>
      </c>
      <c r="C2275" t="s">
        <v>355</v>
      </c>
      <c r="D2275" t="s">
        <v>141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45">
      <c r="A2276" t="s">
        <v>719</v>
      </c>
      <c r="B2276" t="s">
        <v>240</v>
      </c>
      <c r="C2276" t="s">
        <v>506</v>
      </c>
      <c r="D2276" t="s">
        <v>141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45">
      <c r="A2277" t="s">
        <v>719</v>
      </c>
      <c r="B2277" t="s">
        <v>240</v>
      </c>
      <c r="C2277" t="s">
        <v>163</v>
      </c>
      <c r="D2277" t="s">
        <v>141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45">
      <c r="A2278" t="s">
        <v>719</v>
      </c>
      <c r="B2278" t="s">
        <v>240</v>
      </c>
      <c r="C2278" t="s">
        <v>1541</v>
      </c>
      <c r="D2278" t="s">
        <v>137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45">
      <c r="A2279" t="s">
        <v>719</v>
      </c>
      <c r="B2279" t="s">
        <v>240</v>
      </c>
      <c r="C2279" t="s">
        <v>164</v>
      </c>
      <c r="D2279" t="s">
        <v>141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45">
      <c r="A2280" t="s">
        <v>719</v>
      </c>
      <c r="B2280" t="s">
        <v>240</v>
      </c>
      <c r="C2280" t="s">
        <v>166</v>
      </c>
      <c r="D2280" t="s">
        <v>141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45">
      <c r="A2281" t="s">
        <v>719</v>
      </c>
      <c r="B2281" t="s">
        <v>240</v>
      </c>
      <c r="C2281" t="s">
        <v>1642</v>
      </c>
      <c r="D2281" t="s">
        <v>141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45">
      <c r="A2282" t="s">
        <v>719</v>
      </c>
      <c r="B2282" t="s">
        <v>240</v>
      </c>
      <c r="C2282" t="s">
        <v>1643</v>
      </c>
      <c r="D2282" t="s">
        <v>137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45">
      <c r="A2283" t="s">
        <v>719</v>
      </c>
      <c r="B2283" t="s">
        <v>240</v>
      </c>
      <c r="C2283" t="s">
        <v>172</v>
      </c>
      <c r="D2283" t="s">
        <v>137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45">
      <c r="A2284" t="s">
        <v>719</v>
      </c>
      <c r="B2284" t="s">
        <v>240</v>
      </c>
      <c r="C2284" t="s">
        <v>1385</v>
      </c>
      <c r="D2284" t="s">
        <v>141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45">
      <c r="A2285" t="s">
        <v>719</v>
      </c>
      <c r="B2285" t="s">
        <v>240</v>
      </c>
      <c r="C2285" t="s">
        <v>1644</v>
      </c>
      <c r="D2285" t="s">
        <v>137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45">
      <c r="A2286" t="s">
        <v>719</v>
      </c>
      <c r="B2286" t="s">
        <v>240</v>
      </c>
      <c r="C2286" t="s">
        <v>184</v>
      </c>
      <c r="D2286" t="s">
        <v>137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45">
      <c r="A2287" t="s">
        <v>719</v>
      </c>
      <c r="B2287" t="s">
        <v>240</v>
      </c>
      <c r="C2287" t="s">
        <v>1645</v>
      </c>
      <c r="D2287" t="s">
        <v>137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45">
      <c r="A2288" t="s">
        <v>719</v>
      </c>
      <c r="B2288" t="s">
        <v>240</v>
      </c>
      <c r="C2288" t="s">
        <v>186</v>
      </c>
      <c r="D2288" t="s">
        <v>137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45">
      <c r="A2289" t="s">
        <v>719</v>
      </c>
      <c r="B2289" t="s">
        <v>240</v>
      </c>
      <c r="C2289" t="s">
        <v>1646</v>
      </c>
      <c r="D2289" t="s">
        <v>141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45">
      <c r="A2290" t="s">
        <v>719</v>
      </c>
      <c r="B2290" t="s">
        <v>240</v>
      </c>
      <c r="C2290" t="s">
        <v>515</v>
      </c>
      <c r="D2290" t="s">
        <v>141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45">
      <c r="A2291" t="s">
        <v>719</v>
      </c>
      <c r="B2291" t="s">
        <v>240</v>
      </c>
      <c r="C2291" t="s">
        <v>517</v>
      </c>
      <c r="D2291" t="s">
        <v>141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45">
      <c r="A2292" t="s">
        <v>719</v>
      </c>
      <c r="B2292" t="s">
        <v>240</v>
      </c>
      <c r="C2292" t="s">
        <v>1647</v>
      </c>
      <c r="D2292" t="s">
        <v>137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45">
      <c r="A2293" t="s">
        <v>719</v>
      </c>
      <c r="B2293" t="s">
        <v>240</v>
      </c>
      <c r="C2293" t="s">
        <v>934</v>
      </c>
      <c r="D2293" t="s">
        <v>141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45">
      <c r="A2294" t="s">
        <v>719</v>
      </c>
      <c r="B2294" t="s">
        <v>240</v>
      </c>
      <c r="C2294" t="s">
        <v>1055</v>
      </c>
      <c r="D2294" t="s">
        <v>141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45">
      <c r="A2295" t="s">
        <v>719</v>
      </c>
      <c r="B2295" t="s">
        <v>240</v>
      </c>
      <c r="C2295" t="s">
        <v>1648</v>
      </c>
      <c r="D2295" t="s">
        <v>141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45">
      <c r="A2296" t="s">
        <v>719</v>
      </c>
      <c r="B2296" t="s">
        <v>240</v>
      </c>
      <c r="C2296" t="s">
        <v>1649</v>
      </c>
      <c r="D2296" t="s">
        <v>141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45">
      <c r="A2297" t="s">
        <v>745</v>
      </c>
      <c r="B2297" t="s">
        <v>746</v>
      </c>
      <c r="C2297" t="s">
        <v>1519</v>
      </c>
      <c r="D2297" t="s">
        <v>110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45">
      <c r="A2298" t="s">
        <v>745</v>
      </c>
      <c r="B2298" t="s">
        <v>746</v>
      </c>
      <c r="C2298" t="s">
        <v>1650</v>
      </c>
      <c r="D2298" t="s">
        <v>141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45">
      <c r="A2299" t="s">
        <v>745</v>
      </c>
      <c r="B2299" t="s">
        <v>746</v>
      </c>
      <c r="C2299" t="s">
        <v>353</v>
      </c>
      <c r="D2299" t="s">
        <v>141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45">
      <c r="A2300" t="s">
        <v>745</v>
      </c>
      <c r="B2300" t="s">
        <v>746</v>
      </c>
      <c r="C2300" t="s">
        <v>1651</v>
      </c>
      <c r="D2300" t="s">
        <v>141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45">
      <c r="A2301" t="s">
        <v>745</v>
      </c>
      <c r="B2301" t="s">
        <v>746</v>
      </c>
      <c r="C2301" t="s">
        <v>355</v>
      </c>
      <c r="D2301" t="s">
        <v>141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45">
      <c r="A2302" t="s">
        <v>745</v>
      </c>
      <c r="B2302" t="s">
        <v>746</v>
      </c>
      <c r="C2302" t="s">
        <v>780</v>
      </c>
      <c r="D2302" t="s">
        <v>141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45">
      <c r="A2303" t="s">
        <v>745</v>
      </c>
      <c r="B2303" t="s">
        <v>746</v>
      </c>
      <c r="C2303" t="s">
        <v>485</v>
      </c>
      <c r="D2303" t="s">
        <v>141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45">
      <c r="A2304" t="s">
        <v>745</v>
      </c>
      <c r="B2304" t="s">
        <v>746</v>
      </c>
      <c r="C2304" t="s">
        <v>504</v>
      </c>
      <c r="D2304" t="s">
        <v>141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45">
      <c r="A2305" t="s">
        <v>745</v>
      </c>
      <c r="B2305" t="s">
        <v>746</v>
      </c>
      <c r="C2305" t="s">
        <v>1652</v>
      </c>
      <c r="D2305" t="s">
        <v>110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45">
      <c r="A2306" t="s">
        <v>745</v>
      </c>
      <c r="B2306" t="s">
        <v>746</v>
      </c>
      <c r="C2306" t="s">
        <v>1450</v>
      </c>
      <c r="D2306" t="s">
        <v>141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45">
      <c r="A2307" t="s">
        <v>745</v>
      </c>
      <c r="B2307" t="s">
        <v>746</v>
      </c>
      <c r="C2307" t="s">
        <v>437</v>
      </c>
      <c r="D2307" t="s">
        <v>110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45">
      <c r="A2308" t="s">
        <v>745</v>
      </c>
      <c r="B2308" t="s">
        <v>746</v>
      </c>
      <c r="C2308" t="s">
        <v>166</v>
      </c>
      <c r="D2308" t="s">
        <v>141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45">
      <c r="A2309" t="s">
        <v>745</v>
      </c>
      <c r="B2309" t="s">
        <v>746</v>
      </c>
      <c r="C2309" t="s">
        <v>486</v>
      </c>
      <c r="D2309" t="s">
        <v>110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45">
      <c r="A2310" t="s">
        <v>745</v>
      </c>
      <c r="B2310" t="s">
        <v>746</v>
      </c>
      <c r="C2310" t="s">
        <v>1653</v>
      </c>
      <c r="D2310" t="s">
        <v>141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45">
      <c r="A2311" t="s">
        <v>745</v>
      </c>
      <c r="B2311" t="s">
        <v>746</v>
      </c>
      <c r="C2311" t="s">
        <v>1654</v>
      </c>
      <c r="D2311" t="s">
        <v>141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45">
      <c r="A2312" t="s">
        <v>745</v>
      </c>
      <c r="B2312" t="s">
        <v>746</v>
      </c>
      <c r="C2312" t="s">
        <v>368</v>
      </c>
      <c r="D2312" t="s">
        <v>141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45">
      <c r="A2313" t="s">
        <v>745</v>
      </c>
      <c r="B2313" t="s">
        <v>746</v>
      </c>
      <c r="C2313" t="s">
        <v>370</v>
      </c>
      <c r="D2313" t="s">
        <v>141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45">
      <c r="A2314" t="s">
        <v>745</v>
      </c>
      <c r="B2314" t="s">
        <v>746</v>
      </c>
      <c r="C2314" t="s">
        <v>176</v>
      </c>
      <c r="D2314" t="s">
        <v>141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45">
      <c r="A2315" t="s">
        <v>745</v>
      </c>
      <c r="B2315" t="s">
        <v>746</v>
      </c>
      <c r="C2315" t="s">
        <v>487</v>
      </c>
      <c r="D2315" t="s">
        <v>110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45">
      <c r="A2316" t="s">
        <v>745</v>
      </c>
      <c r="B2316" t="s">
        <v>746</v>
      </c>
      <c r="C2316" t="s">
        <v>178</v>
      </c>
      <c r="D2316" t="s">
        <v>110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45">
      <c r="A2317" t="s">
        <v>745</v>
      </c>
      <c r="B2317" t="s">
        <v>746</v>
      </c>
      <c r="C2317" t="s">
        <v>1655</v>
      </c>
      <c r="D2317" t="s">
        <v>141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45">
      <c r="A2318" t="s">
        <v>745</v>
      </c>
      <c r="B2318" t="s">
        <v>746</v>
      </c>
      <c r="C2318" t="s">
        <v>278</v>
      </c>
      <c r="D2318" t="s">
        <v>141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45">
      <c r="A2319" t="s">
        <v>745</v>
      </c>
      <c r="B2319" t="s">
        <v>746</v>
      </c>
      <c r="C2319" t="s">
        <v>1656</v>
      </c>
      <c r="D2319" t="s">
        <v>141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45">
      <c r="A2320" t="s">
        <v>745</v>
      </c>
      <c r="B2320" t="s">
        <v>746</v>
      </c>
      <c r="C2320" t="s">
        <v>184</v>
      </c>
      <c r="D2320" t="s">
        <v>141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45">
      <c r="A2321" t="s">
        <v>745</v>
      </c>
      <c r="B2321" t="s">
        <v>746</v>
      </c>
      <c r="C2321" t="s">
        <v>1657</v>
      </c>
      <c r="D2321" t="s">
        <v>141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45">
      <c r="A2322" t="s">
        <v>745</v>
      </c>
      <c r="B2322" t="s">
        <v>746</v>
      </c>
      <c r="C2322" t="s">
        <v>1658</v>
      </c>
      <c r="D2322" t="s">
        <v>110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45">
      <c r="A2323" t="s">
        <v>745</v>
      </c>
      <c r="B2323" t="s">
        <v>746</v>
      </c>
      <c r="C2323" t="s">
        <v>186</v>
      </c>
      <c r="D2323" t="s">
        <v>141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45">
      <c r="A2324" t="s">
        <v>745</v>
      </c>
      <c r="B2324" t="s">
        <v>746</v>
      </c>
      <c r="C2324" t="s">
        <v>512</v>
      </c>
      <c r="D2324" t="s">
        <v>110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45">
      <c r="A2325" t="s">
        <v>745</v>
      </c>
      <c r="B2325" t="s">
        <v>746</v>
      </c>
      <c r="C2325" t="s">
        <v>517</v>
      </c>
      <c r="D2325" t="s">
        <v>110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45">
      <c r="A2326" t="s">
        <v>745</v>
      </c>
      <c r="B2326" t="s">
        <v>746</v>
      </c>
      <c r="C2326" t="s">
        <v>188</v>
      </c>
      <c r="D2326" t="s">
        <v>141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45">
      <c r="A2327" t="s">
        <v>745</v>
      </c>
      <c r="B2327" t="s">
        <v>746</v>
      </c>
      <c r="C2327" t="s">
        <v>1659</v>
      </c>
      <c r="D2327" t="s">
        <v>141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45">
      <c r="A2328" t="s">
        <v>745</v>
      </c>
      <c r="B2328" t="s">
        <v>746</v>
      </c>
      <c r="C2328" t="s">
        <v>802</v>
      </c>
      <c r="D2328" t="s">
        <v>110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45">
      <c r="A2329" t="s">
        <v>745</v>
      </c>
      <c r="B2329" t="s">
        <v>746</v>
      </c>
      <c r="C2329" t="s">
        <v>230</v>
      </c>
      <c r="D2329" t="s">
        <v>141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45">
      <c r="A2330" t="s">
        <v>745</v>
      </c>
      <c r="B2330" t="s">
        <v>746</v>
      </c>
      <c r="C2330" t="s">
        <v>1660</v>
      </c>
      <c r="D2330" t="s">
        <v>141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45">
      <c r="A2331" t="s">
        <v>745</v>
      </c>
      <c r="B2331" t="s">
        <v>746</v>
      </c>
      <c r="C2331" t="s">
        <v>1170</v>
      </c>
      <c r="D2331" t="s">
        <v>141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45">
      <c r="A2332" t="s">
        <v>745</v>
      </c>
      <c r="B2332" t="s">
        <v>746</v>
      </c>
      <c r="C2332" t="s">
        <v>190</v>
      </c>
      <c r="D2332" t="s">
        <v>141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45">
      <c r="A2333" t="s">
        <v>745</v>
      </c>
      <c r="B2333" t="s">
        <v>746</v>
      </c>
      <c r="C2333" t="s">
        <v>520</v>
      </c>
      <c r="D2333" t="s">
        <v>141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45">
      <c r="A2334" t="s">
        <v>745</v>
      </c>
      <c r="B2334" t="s">
        <v>746</v>
      </c>
      <c r="C2334" t="s">
        <v>191</v>
      </c>
      <c r="D2334" t="s">
        <v>141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45">
      <c r="A2335" t="s">
        <v>745</v>
      </c>
      <c r="B2335" t="s">
        <v>746</v>
      </c>
      <c r="C2335" t="s">
        <v>233</v>
      </c>
      <c r="D2335" t="s">
        <v>141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45">
      <c r="A2336" t="s">
        <v>745</v>
      </c>
      <c r="B2336" t="s">
        <v>746</v>
      </c>
      <c r="C2336" t="s">
        <v>583</v>
      </c>
      <c r="D2336" t="s">
        <v>110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45">
      <c r="A2337" t="s">
        <v>745</v>
      </c>
      <c r="B2337" t="s">
        <v>746</v>
      </c>
      <c r="C2337" t="s">
        <v>1661</v>
      </c>
      <c r="D2337" t="s">
        <v>141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45">
      <c r="A2338" t="s">
        <v>745</v>
      </c>
      <c r="B2338" t="s">
        <v>746</v>
      </c>
      <c r="C2338" t="s">
        <v>234</v>
      </c>
      <c r="D2338" t="s">
        <v>141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45">
      <c r="A2339" t="s">
        <v>745</v>
      </c>
      <c r="B2339" t="s">
        <v>746</v>
      </c>
      <c r="C2339" t="s">
        <v>194</v>
      </c>
      <c r="D2339" t="s">
        <v>141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45">
      <c r="A2340" t="s">
        <v>745</v>
      </c>
      <c r="B2340" t="s">
        <v>746</v>
      </c>
      <c r="C2340" t="s">
        <v>446</v>
      </c>
      <c r="D2340" t="s">
        <v>110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45">
      <c r="A2341" t="s">
        <v>745</v>
      </c>
      <c r="B2341" t="s">
        <v>746</v>
      </c>
      <c r="C2341" t="s">
        <v>235</v>
      </c>
      <c r="D2341" t="s">
        <v>141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45">
      <c r="A2342" t="s">
        <v>745</v>
      </c>
      <c r="B2342" t="s">
        <v>746</v>
      </c>
      <c r="C2342" t="s">
        <v>548</v>
      </c>
      <c r="D2342" t="s">
        <v>110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45">
      <c r="A2343" t="s">
        <v>745</v>
      </c>
      <c r="B2343" t="s">
        <v>746</v>
      </c>
      <c r="C2343" t="s">
        <v>588</v>
      </c>
      <c r="D2343" t="s">
        <v>110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45">
      <c r="A2344" t="s">
        <v>745</v>
      </c>
      <c r="B2344" t="s">
        <v>746</v>
      </c>
      <c r="C2344" t="s">
        <v>198</v>
      </c>
      <c r="D2344" t="s">
        <v>110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45">
      <c r="A2345" t="s">
        <v>745</v>
      </c>
      <c r="B2345" t="s">
        <v>746</v>
      </c>
      <c r="C2345" t="s">
        <v>199</v>
      </c>
      <c r="D2345" t="s">
        <v>141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45">
      <c r="A2346" t="s">
        <v>745</v>
      </c>
      <c r="B2346" t="s">
        <v>746</v>
      </c>
      <c r="C2346" t="s">
        <v>1662</v>
      </c>
      <c r="D2346" t="s">
        <v>141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45">
      <c r="A2347" t="s">
        <v>745</v>
      </c>
      <c r="B2347" t="s">
        <v>746</v>
      </c>
      <c r="C2347" t="s">
        <v>201</v>
      </c>
      <c r="D2347" t="s">
        <v>110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45">
      <c r="A2348" t="s">
        <v>745</v>
      </c>
      <c r="B2348" t="s">
        <v>746</v>
      </c>
      <c r="C2348" t="s">
        <v>1663</v>
      </c>
      <c r="D2348" t="s">
        <v>141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45">
      <c r="A2349" t="s">
        <v>745</v>
      </c>
      <c r="B2349" t="s">
        <v>746</v>
      </c>
      <c r="C2349" t="s">
        <v>457</v>
      </c>
      <c r="D2349" t="s">
        <v>110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45">
      <c r="A2350" t="s">
        <v>745</v>
      </c>
      <c r="B2350" t="s">
        <v>746</v>
      </c>
      <c r="C2350" t="s">
        <v>239</v>
      </c>
      <c r="D2350" t="s">
        <v>141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45">
      <c r="A2351" t="s">
        <v>745</v>
      </c>
      <c r="B2351" t="s">
        <v>746</v>
      </c>
      <c r="C2351" t="s">
        <v>240</v>
      </c>
      <c r="D2351" t="s">
        <v>141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45">
      <c r="A2352" t="s">
        <v>745</v>
      </c>
      <c r="B2352" t="s">
        <v>746</v>
      </c>
      <c r="C2352" t="s">
        <v>1664</v>
      </c>
      <c r="D2352" t="s">
        <v>141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45">
      <c r="A2353" t="s">
        <v>745</v>
      </c>
      <c r="B2353" t="s">
        <v>746</v>
      </c>
      <c r="C2353" t="s">
        <v>204</v>
      </c>
      <c r="D2353" t="s">
        <v>141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45">
      <c r="A2354" t="s">
        <v>745</v>
      </c>
      <c r="B2354" t="s">
        <v>746</v>
      </c>
      <c r="C2354" t="s">
        <v>205</v>
      </c>
      <c r="D2354" t="s">
        <v>141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45">
      <c r="A2355" t="s">
        <v>745</v>
      </c>
      <c r="B2355" t="s">
        <v>746</v>
      </c>
      <c r="C2355" t="s">
        <v>206</v>
      </c>
      <c r="D2355" t="s">
        <v>141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45">
      <c r="A2356" t="s">
        <v>745</v>
      </c>
      <c r="B2356" t="s">
        <v>746</v>
      </c>
      <c r="C2356" t="s">
        <v>1665</v>
      </c>
      <c r="D2356" t="s">
        <v>141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45">
      <c r="A2357" t="s">
        <v>745</v>
      </c>
      <c r="B2357" t="s">
        <v>746</v>
      </c>
      <c r="C2357" t="s">
        <v>242</v>
      </c>
      <c r="D2357" t="s">
        <v>141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45">
      <c r="A2358" t="s">
        <v>745</v>
      </c>
      <c r="B2358" t="s">
        <v>746</v>
      </c>
      <c r="C2358" t="s">
        <v>1666</v>
      </c>
      <c r="D2358" t="s">
        <v>110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45">
      <c r="A2359" t="s">
        <v>745</v>
      </c>
      <c r="B2359" t="s">
        <v>746</v>
      </c>
      <c r="C2359" t="s">
        <v>970</v>
      </c>
      <c r="D2359" t="s">
        <v>141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45">
      <c r="A2360" t="s">
        <v>745</v>
      </c>
      <c r="B2360" t="s">
        <v>746</v>
      </c>
      <c r="C2360" t="s">
        <v>560</v>
      </c>
      <c r="D2360" t="s">
        <v>141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45">
      <c r="A2361" t="s">
        <v>745</v>
      </c>
      <c r="B2361" t="s">
        <v>746</v>
      </c>
      <c r="C2361" t="s">
        <v>1667</v>
      </c>
      <c r="D2361" t="s">
        <v>141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45">
      <c r="A2362" t="s">
        <v>774</v>
      </c>
      <c r="B2362" t="s">
        <v>775</v>
      </c>
      <c r="C2362" t="s">
        <v>199</v>
      </c>
      <c r="D2362" t="s">
        <v>110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45">
      <c r="A2363" t="s">
        <v>774</v>
      </c>
      <c r="B2363" t="s">
        <v>775</v>
      </c>
      <c r="C2363" t="s">
        <v>1668</v>
      </c>
      <c r="D2363" t="s">
        <v>110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45">
      <c r="A2364" t="s">
        <v>774</v>
      </c>
      <c r="B2364" t="s">
        <v>775</v>
      </c>
      <c r="C2364" t="s">
        <v>1669</v>
      </c>
      <c r="D2364" t="s">
        <v>110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45">
      <c r="A2365" t="s">
        <v>774</v>
      </c>
      <c r="B2365" t="s">
        <v>775</v>
      </c>
      <c r="C2365" t="s">
        <v>296</v>
      </c>
      <c r="D2365" t="s">
        <v>110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45">
      <c r="A2366" t="s">
        <v>774</v>
      </c>
      <c r="B2366" t="s">
        <v>775</v>
      </c>
      <c r="C2366" t="s">
        <v>1670</v>
      </c>
      <c r="D2366" t="s">
        <v>110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45">
      <c r="A2367" t="s">
        <v>774</v>
      </c>
      <c r="B2367" t="s">
        <v>775</v>
      </c>
      <c r="C2367" t="s">
        <v>1671</v>
      </c>
      <c r="D2367" t="s">
        <v>110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45">
      <c r="A2368" t="s">
        <v>774</v>
      </c>
      <c r="B2368" t="s">
        <v>775</v>
      </c>
      <c r="C2368" t="s">
        <v>302</v>
      </c>
      <c r="D2368" t="s">
        <v>110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45">
      <c r="A2369" t="s">
        <v>774</v>
      </c>
      <c r="B2369" t="s">
        <v>775</v>
      </c>
      <c r="C2369" t="s">
        <v>1672</v>
      </c>
      <c r="D2369" t="s">
        <v>110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45">
      <c r="A2370" t="s">
        <v>774</v>
      </c>
      <c r="B2370" t="s">
        <v>775</v>
      </c>
      <c r="C2370" t="s">
        <v>244</v>
      </c>
      <c r="D2370" t="s">
        <v>110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45">
      <c r="A2371" t="s">
        <v>774</v>
      </c>
      <c r="B2371" t="s">
        <v>775</v>
      </c>
      <c r="C2371" t="s">
        <v>1673</v>
      </c>
      <c r="D2371" t="s">
        <v>110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45">
      <c r="A2372" t="s">
        <v>774</v>
      </c>
      <c r="B2372" t="s">
        <v>775</v>
      </c>
      <c r="C2372" t="s">
        <v>1674</v>
      </c>
      <c r="D2372" t="s">
        <v>110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45">
      <c r="A2373" t="s">
        <v>774</v>
      </c>
      <c r="B2373" t="s">
        <v>775</v>
      </c>
      <c r="C2373" t="s">
        <v>603</v>
      </c>
      <c r="D2373" t="s">
        <v>110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45">
      <c r="A2374" t="s">
        <v>774</v>
      </c>
      <c r="B2374" t="s">
        <v>775</v>
      </c>
      <c r="C2374" t="s">
        <v>248</v>
      </c>
      <c r="D2374" t="s">
        <v>110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45">
      <c r="A2375" t="s">
        <v>774</v>
      </c>
      <c r="B2375" t="s">
        <v>775</v>
      </c>
      <c r="C2375" t="s">
        <v>1675</v>
      </c>
      <c r="D2375" t="s">
        <v>110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45">
      <c r="A2376" t="s">
        <v>774</v>
      </c>
      <c r="B2376" t="s">
        <v>775</v>
      </c>
      <c r="C2376" t="s">
        <v>463</v>
      </c>
      <c r="D2376" t="s">
        <v>110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45">
      <c r="A2377" t="s">
        <v>774</v>
      </c>
      <c r="B2377" t="s">
        <v>775</v>
      </c>
      <c r="C2377" t="s">
        <v>1676</v>
      </c>
      <c r="D2377" t="s">
        <v>110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45">
      <c r="A2378" t="s">
        <v>774</v>
      </c>
      <c r="B2378" t="s">
        <v>775</v>
      </c>
      <c r="C2378" t="s">
        <v>1677</v>
      </c>
      <c r="D2378" t="s">
        <v>110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45">
      <c r="A2379" t="s">
        <v>774</v>
      </c>
      <c r="B2379" t="s">
        <v>775</v>
      </c>
      <c r="C2379" t="s">
        <v>1678</v>
      </c>
      <c r="D2379" t="s">
        <v>110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45">
      <c r="A2380" t="s">
        <v>774</v>
      </c>
      <c r="B2380" t="s">
        <v>775</v>
      </c>
      <c r="C2380" t="s">
        <v>824</v>
      </c>
      <c r="D2380" t="s">
        <v>110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45">
      <c r="A2381" t="s">
        <v>774</v>
      </c>
      <c r="B2381" t="s">
        <v>775</v>
      </c>
      <c r="C2381" t="s">
        <v>1679</v>
      </c>
      <c r="D2381" t="s">
        <v>110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45">
      <c r="A2382" t="s">
        <v>774</v>
      </c>
      <c r="B2382" t="s">
        <v>775</v>
      </c>
      <c r="C2382" t="s">
        <v>1680</v>
      </c>
      <c r="D2382" t="s">
        <v>110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45">
      <c r="A2383" t="s">
        <v>774</v>
      </c>
      <c r="B2383" t="s">
        <v>775</v>
      </c>
      <c r="C2383" t="s">
        <v>1681</v>
      </c>
      <c r="D2383" t="s">
        <v>110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45">
      <c r="A2384" t="s">
        <v>774</v>
      </c>
      <c r="B2384" t="s">
        <v>775</v>
      </c>
      <c r="C2384" t="s">
        <v>1271</v>
      </c>
      <c r="D2384" t="s">
        <v>110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45">
      <c r="A2385" t="s">
        <v>774</v>
      </c>
      <c r="B2385" t="s">
        <v>775</v>
      </c>
      <c r="C2385" t="s">
        <v>1682</v>
      </c>
      <c r="D2385" t="s">
        <v>110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45">
      <c r="A2386" t="s">
        <v>774</v>
      </c>
      <c r="B2386" t="s">
        <v>775</v>
      </c>
      <c r="C2386" t="s">
        <v>1683</v>
      </c>
      <c r="D2386" t="s">
        <v>110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45">
      <c r="A2387" t="s">
        <v>774</v>
      </c>
      <c r="B2387" t="s">
        <v>775</v>
      </c>
      <c r="C2387" t="s">
        <v>830</v>
      </c>
      <c r="D2387" t="s">
        <v>110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45">
      <c r="A2388" t="s">
        <v>774</v>
      </c>
      <c r="B2388" t="s">
        <v>775</v>
      </c>
      <c r="C2388" t="s">
        <v>1684</v>
      </c>
      <c r="D2388" t="s">
        <v>110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45">
      <c r="A2389" t="s">
        <v>774</v>
      </c>
      <c r="B2389" t="s">
        <v>775</v>
      </c>
      <c r="C2389" t="s">
        <v>1685</v>
      </c>
      <c r="D2389" t="s">
        <v>110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45">
      <c r="A2390" t="s">
        <v>774</v>
      </c>
      <c r="B2390" t="s">
        <v>775</v>
      </c>
      <c r="C2390" t="s">
        <v>1686</v>
      </c>
      <c r="D2390" t="s">
        <v>110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45">
      <c r="A2391" t="s">
        <v>796</v>
      </c>
      <c r="B2391" t="s">
        <v>797</v>
      </c>
      <c r="C2391" t="s">
        <v>423</v>
      </c>
      <c r="D2391" t="s">
        <v>110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45">
      <c r="A2392" t="s">
        <v>796</v>
      </c>
      <c r="B2392" t="s">
        <v>797</v>
      </c>
      <c r="C2392" t="s">
        <v>1687</v>
      </c>
      <c r="D2392" t="s">
        <v>110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45">
      <c r="A2393" t="s">
        <v>796</v>
      </c>
      <c r="B2393" t="s">
        <v>797</v>
      </c>
      <c r="C2393" t="s">
        <v>1688</v>
      </c>
      <c r="D2393" t="s">
        <v>110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45">
      <c r="A2394" t="s">
        <v>796</v>
      </c>
      <c r="B2394" t="s">
        <v>797</v>
      </c>
      <c r="C2394" t="s">
        <v>1689</v>
      </c>
      <c r="D2394" t="s">
        <v>110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45">
      <c r="A2395" t="s">
        <v>796</v>
      </c>
      <c r="B2395" t="s">
        <v>797</v>
      </c>
      <c r="C2395" t="s">
        <v>428</v>
      </c>
      <c r="D2395" t="s">
        <v>110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45">
      <c r="A2396" t="s">
        <v>796</v>
      </c>
      <c r="B2396" t="s">
        <v>797</v>
      </c>
      <c r="C2396" t="s">
        <v>483</v>
      </c>
      <c r="D2396" t="s">
        <v>110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45">
      <c r="A2397" t="s">
        <v>796</v>
      </c>
      <c r="B2397" t="s">
        <v>797</v>
      </c>
      <c r="C2397" t="s">
        <v>1690</v>
      </c>
      <c r="D2397" t="s">
        <v>110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45">
      <c r="A2398" t="s">
        <v>796</v>
      </c>
      <c r="B2398" t="s">
        <v>797</v>
      </c>
      <c r="C2398" t="s">
        <v>1513</v>
      </c>
      <c r="D2398" t="s">
        <v>110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45">
      <c r="A2399" t="s">
        <v>796</v>
      </c>
      <c r="B2399" t="s">
        <v>797</v>
      </c>
      <c r="C2399" t="s">
        <v>484</v>
      </c>
      <c r="D2399" t="s">
        <v>110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45">
      <c r="A2400" t="s">
        <v>796</v>
      </c>
      <c r="B2400" t="s">
        <v>797</v>
      </c>
      <c r="C2400" t="s">
        <v>1029</v>
      </c>
      <c r="D2400" t="s">
        <v>110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45">
      <c r="A2401" t="s">
        <v>796</v>
      </c>
      <c r="B2401" t="s">
        <v>797</v>
      </c>
      <c r="C2401" t="s">
        <v>1691</v>
      </c>
      <c r="D2401" t="s">
        <v>110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45">
      <c r="A2402" t="s">
        <v>796</v>
      </c>
      <c r="B2402" t="s">
        <v>797</v>
      </c>
      <c r="C2402" t="s">
        <v>154</v>
      </c>
      <c r="D2402" t="s">
        <v>110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45">
      <c r="A2403" t="s">
        <v>796</v>
      </c>
      <c r="B2403" t="s">
        <v>797</v>
      </c>
      <c r="C2403" t="s">
        <v>485</v>
      </c>
      <c r="D2403" t="s">
        <v>110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45">
      <c r="A2404" t="s">
        <v>796</v>
      </c>
      <c r="B2404" t="s">
        <v>797</v>
      </c>
      <c r="C2404" t="s">
        <v>504</v>
      </c>
      <c r="D2404" t="s">
        <v>110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45">
      <c r="A2405" t="s">
        <v>796</v>
      </c>
      <c r="B2405" t="s">
        <v>797</v>
      </c>
      <c r="C2405" t="s">
        <v>1495</v>
      </c>
      <c r="D2405" t="s">
        <v>110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45">
      <c r="A2406" t="s">
        <v>796</v>
      </c>
      <c r="B2406" t="s">
        <v>797</v>
      </c>
      <c r="C2406" t="s">
        <v>1692</v>
      </c>
      <c r="D2406" t="s">
        <v>110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45">
      <c r="A2407" t="s">
        <v>796</v>
      </c>
      <c r="B2407" t="s">
        <v>797</v>
      </c>
      <c r="C2407" t="s">
        <v>1374</v>
      </c>
      <c r="D2407" t="s">
        <v>110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45">
      <c r="A2408" t="s">
        <v>796</v>
      </c>
      <c r="B2408" t="s">
        <v>797</v>
      </c>
      <c r="C2408" t="s">
        <v>166</v>
      </c>
      <c r="D2408" t="s">
        <v>110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45">
      <c r="A2409" t="s">
        <v>796</v>
      </c>
      <c r="B2409" t="s">
        <v>797</v>
      </c>
      <c r="C2409" t="s">
        <v>1693</v>
      </c>
      <c r="D2409" t="s">
        <v>110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45">
      <c r="A2410" t="s">
        <v>796</v>
      </c>
      <c r="B2410" t="s">
        <v>797</v>
      </c>
      <c r="C2410" t="s">
        <v>1694</v>
      </c>
      <c r="D2410" t="s">
        <v>110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45">
      <c r="A2411" t="s">
        <v>796</v>
      </c>
      <c r="B2411" t="s">
        <v>797</v>
      </c>
      <c r="C2411" t="s">
        <v>439</v>
      </c>
      <c r="D2411" t="s">
        <v>110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45">
      <c r="A2412" t="s">
        <v>796</v>
      </c>
      <c r="B2412" t="s">
        <v>797</v>
      </c>
      <c r="C2412" t="s">
        <v>696</v>
      </c>
      <c r="D2412" t="s">
        <v>110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45">
      <c r="A2413" t="s">
        <v>796</v>
      </c>
      <c r="B2413" t="s">
        <v>797</v>
      </c>
      <c r="C2413" t="s">
        <v>1695</v>
      </c>
      <c r="D2413" t="s">
        <v>110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45">
      <c r="A2414" t="s">
        <v>796</v>
      </c>
      <c r="B2414" t="s">
        <v>797</v>
      </c>
      <c r="C2414" t="s">
        <v>371</v>
      </c>
      <c r="D2414" t="s">
        <v>110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45">
      <c r="A2415" t="s">
        <v>796</v>
      </c>
      <c r="B2415" t="s">
        <v>797</v>
      </c>
      <c r="C2415" t="s">
        <v>1036</v>
      </c>
      <c r="D2415" t="s">
        <v>110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45">
      <c r="A2416" t="s">
        <v>796</v>
      </c>
      <c r="B2416" t="s">
        <v>797</v>
      </c>
      <c r="C2416" t="s">
        <v>1696</v>
      </c>
      <c r="D2416" t="s">
        <v>110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45">
      <c r="A2417" t="s">
        <v>796</v>
      </c>
      <c r="B2417" t="s">
        <v>797</v>
      </c>
      <c r="C2417" t="s">
        <v>373</v>
      </c>
      <c r="D2417" t="s">
        <v>110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45">
      <c r="A2418" t="s">
        <v>796</v>
      </c>
      <c r="B2418" t="s">
        <v>797</v>
      </c>
      <c r="C2418" t="s">
        <v>278</v>
      </c>
      <c r="D2418" t="s">
        <v>110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45">
      <c r="A2419" t="s">
        <v>796</v>
      </c>
      <c r="B2419" t="s">
        <v>797</v>
      </c>
      <c r="C2419" t="s">
        <v>1697</v>
      </c>
      <c r="D2419" t="s">
        <v>110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45">
      <c r="A2420" t="s">
        <v>796</v>
      </c>
      <c r="B2420" t="s">
        <v>797</v>
      </c>
      <c r="C2420" t="s">
        <v>698</v>
      </c>
      <c r="D2420" t="s">
        <v>110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45">
      <c r="A2421" t="s">
        <v>796</v>
      </c>
      <c r="B2421" t="s">
        <v>797</v>
      </c>
      <c r="C2421" t="s">
        <v>184</v>
      </c>
      <c r="D2421" t="s">
        <v>110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45">
      <c r="A2422" t="s">
        <v>796</v>
      </c>
      <c r="B2422" t="s">
        <v>797</v>
      </c>
      <c r="C2422" t="s">
        <v>1698</v>
      </c>
      <c r="D2422" t="s">
        <v>110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45">
      <c r="A2423" t="s">
        <v>796</v>
      </c>
      <c r="B2423" t="s">
        <v>797</v>
      </c>
      <c r="C2423" t="s">
        <v>1699</v>
      </c>
      <c r="D2423" t="s">
        <v>110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45">
      <c r="A2424" t="s">
        <v>796</v>
      </c>
      <c r="B2424" t="s">
        <v>797</v>
      </c>
      <c r="C2424" t="s">
        <v>1700</v>
      </c>
      <c r="D2424" t="s">
        <v>110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45">
      <c r="A2425" t="s">
        <v>796</v>
      </c>
      <c r="B2425" t="s">
        <v>797</v>
      </c>
      <c r="C2425" t="s">
        <v>1701</v>
      </c>
      <c r="D2425" t="s">
        <v>110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45">
      <c r="A2426" t="s">
        <v>796</v>
      </c>
      <c r="B2426" t="s">
        <v>797</v>
      </c>
      <c r="C2426" t="s">
        <v>283</v>
      </c>
      <c r="D2426" t="s">
        <v>110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45">
      <c r="A2427" t="s">
        <v>831</v>
      </c>
      <c r="B2427" t="s">
        <v>241</v>
      </c>
      <c r="C2427" t="s">
        <v>1702</v>
      </c>
      <c r="D2427" t="s">
        <v>110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45">
      <c r="A2428" t="s">
        <v>831</v>
      </c>
      <c r="B2428" t="s">
        <v>241</v>
      </c>
      <c r="C2428" t="s">
        <v>235</v>
      </c>
      <c r="D2428" t="s">
        <v>110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45">
      <c r="A2429" t="s">
        <v>831</v>
      </c>
      <c r="B2429" t="s">
        <v>241</v>
      </c>
      <c r="C2429" t="s">
        <v>549</v>
      </c>
      <c r="D2429" t="s">
        <v>110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45">
      <c r="A2430" t="s">
        <v>831</v>
      </c>
      <c r="B2430" t="s">
        <v>241</v>
      </c>
      <c r="C2430" t="s">
        <v>296</v>
      </c>
      <c r="D2430" t="s">
        <v>110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45">
      <c r="A2431" t="s">
        <v>831</v>
      </c>
      <c r="B2431" t="s">
        <v>241</v>
      </c>
      <c r="C2431" t="s">
        <v>1703</v>
      </c>
      <c r="D2431" t="s">
        <v>110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45">
      <c r="A2432" t="s">
        <v>831</v>
      </c>
      <c r="B2432" t="s">
        <v>241</v>
      </c>
      <c r="C2432" t="s">
        <v>1704</v>
      </c>
      <c r="D2432" t="s">
        <v>110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45">
      <c r="A2433" t="s">
        <v>831</v>
      </c>
      <c r="B2433" t="s">
        <v>241</v>
      </c>
      <c r="C2433" t="s">
        <v>1705</v>
      </c>
      <c r="D2433" t="s">
        <v>110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45">
      <c r="A2434" t="s">
        <v>831</v>
      </c>
      <c r="B2434" t="s">
        <v>241</v>
      </c>
      <c r="C2434" t="s">
        <v>1706</v>
      </c>
      <c r="D2434" t="s">
        <v>110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45">
      <c r="A2435" t="s">
        <v>831</v>
      </c>
      <c r="B2435" t="s">
        <v>241</v>
      </c>
      <c r="C2435" t="s">
        <v>1707</v>
      </c>
      <c r="D2435" t="s">
        <v>110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45">
      <c r="A2436" t="s">
        <v>1708</v>
      </c>
      <c r="B2436" t="s">
        <v>1709</v>
      </c>
      <c r="C2436" t="s">
        <v>1710</v>
      </c>
      <c r="D2436" t="s">
        <v>110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45">
      <c r="A2437" t="s">
        <v>1708</v>
      </c>
      <c r="B2437" t="s">
        <v>1709</v>
      </c>
      <c r="C2437" t="s">
        <v>355</v>
      </c>
      <c r="D2437" t="s">
        <v>110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45">
      <c r="A2438" t="s">
        <v>1708</v>
      </c>
      <c r="B2438" t="s">
        <v>1709</v>
      </c>
      <c r="C2438" t="s">
        <v>1711</v>
      </c>
      <c r="D2438" t="s">
        <v>110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45">
      <c r="A2439" t="s">
        <v>1708</v>
      </c>
      <c r="B2439" t="s">
        <v>1709</v>
      </c>
      <c r="C2439" t="s">
        <v>973</v>
      </c>
      <c r="D2439" t="s">
        <v>110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45">
      <c r="A2440" t="s">
        <v>1708</v>
      </c>
      <c r="B2440" t="s">
        <v>1709</v>
      </c>
      <c r="C2440" t="s">
        <v>1712</v>
      </c>
      <c r="D2440" t="s">
        <v>110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45">
      <c r="A2441" t="s">
        <v>1708</v>
      </c>
      <c r="B2441" t="s">
        <v>1709</v>
      </c>
      <c r="C2441" t="s">
        <v>1397</v>
      </c>
      <c r="D2441" t="s">
        <v>110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45">
      <c r="A2442" t="s">
        <v>1708</v>
      </c>
      <c r="B2442" t="s">
        <v>1709</v>
      </c>
      <c r="C2442" t="s">
        <v>1713</v>
      </c>
      <c r="D2442" t="s">
        <v>110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45">
      <c r="A2443" t="s">
        <v>1708</v>
      </c>
      <c r="B2443" t="s">
        <v>1709</v>
      </c>
      <c r="C2443" t="s">
        <v>898</v>
      </c>
      <c r="D2443" t="s">
        <v>110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45">
      <c r="A2444" t="s">
        <v>1708</v>
      </c>
      <c r="B2444" t="s">
        <v>1709</v>
      </c>
      <c r="C2444" t="s">
        <v>1714</v>
      </c>
      <c r="D2444" t="s">
        <v>110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45">
      <c r="A2445" t="s">
        <v>1708</v>
      </c>
      <c r="B2445" t="s">
        <v>1709</v>
      </c>
      <c r="C2445" t="s">
        <v>770</v>
      </c>
      <c r="D2445" t="s">
        <v>110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45">
      <c r="A2446" t="s">
        <v>1715</v>
      </c>
      <c r="B2446" t="s">
        <v>1716</v>
      </c>
      <c r="C2446" t="s">
        <v>1717</v>
      </c>
      <c r="D2446" t="s">
        <v>141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45">
      <c r="A2447" t="s">
        <v>1715</v>
      </c>
      <c r="B2447" t="s">
        <v>1716</v>
      </c>
      <c r="C2447" t="s">
        <v>1718</v>
      </c>
      <c r="D2447" t="s">
        <v>110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45">
      <c r="A2448" t="s">
        <v>1715</v>
      </c>
      <c r="B2448" t="s">
        <v>1716</v>
      </c>
      <c r="C2448" t="s">
        <v>1719</v>
      </c>
      <c r="D2448" t="s">
        <v>141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45">
      <c r="A2449" t="s">
        <v>1715</v>
      </c>
      <c r="B2449" t="s">
        <v>1716</v>
      </c>
      <c r="C2449" t="s">
        <v>353</v>
      </c>
      <c r="D2449" t="s">
        <v>141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45">
      <c r="A2450" t="s">
        <v>1715</v>
      </c>
      <c r="B2450" t="s">
        <v>1716</v>
      </c>
      <c r="C2450" t="s">
        <v>1720</v>
      </c>
      <c r="D2450" t="s">
        <v>141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45">
      <c r="A2451" t="s">
        <v>1715</v>
      </c>
      <c r="B2451" t="s">
        <v>1716</v>
      </c>
      <c r="C2451" t="s">
        <v>624</v>
      </c>
      <c r="D2451" t="s">
        <v>141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45">
      <c r="A2452" t="s">
        <v>1715</v>
      </c>
      <c r="B2452" t="s">
        <v>1716</v>
      </c>
      <c r="C2452" t="s">
        <v>659</v>
      </c>
      <c r="D2452" t="s">
        <v>141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45">
      <c r="A2453" t="s">
        <v>1715</v>
      </c>
      <c r="B2453" t="s">
        <v>1716</v>
      </c>
      <c r="C2453" t="s">
        <v>1187</v>
      </c>
      <c r="D2453" t="s">
        <v>141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45">
      <c r="A2454" t="s">
        <v>1715</v>
      </c>
      <c r="B2454" t="s">
        <v>1716</v>
      </c>
      <c r="C2454" t="s">
        <v>1721</v>
      </c>
      <c r="D2454" t="s">
        <v>141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45">
      <c r="A2455" t="s">
        <v>1715</v>
      </c>
      <c r="B2455" t="s">
        <v>1716</v>
      </c>
      <c r="C2455" t="s">
        <v>1722</v>
      </c>
      <c r="D2455" t="s">
        <v>110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45">
      <c r="A2456" t="s">
        <v>1715</v>
      </c>
      <c r="B2456" t="s">
        <v>1716</v>
      </c>
      <c r="C2456" t="s">
        <v>457</v>
      </c>
      <c r="D2456" t="s">
        <v>110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45">
      <c r="A2457" t="s">
        <v>1715</v>
      </c>
      <c r="B2457" t="s">
        <v>1716</v>
      </c>
      <c r="C2457" t="s">
        <v>322</v>
      </c>
      <c r="D2457" t="s">
        <v>141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45">
      <c r="A2458" t="s">
        <v>1715</v>
      </c>
      <c r="B2458" t="s">
        <v>1716</v>
      </c>
      <c r="C2458" t="s">
        <v>1723</v>
      </c>
      <c r="D2458" t="s">
        <v>141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45">
      <c r="A2459" t="s">
        <v>1715</v>
      </c>
      <c r="B2459" t="s">
        <v>1716</v>
      </c>
      <c r="C2459" t="s">
        <v>554</v>
      </c>
      <c r="D2459" t="s">
        <v>110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45">
      <c r="A2460" t="s">
        <v>1715</v>
      </c>
      <c r="B2460" t="s">
        <v>1716</v>
      </c>
      <c r="C2460" t="s">
        <v>1724</v>
      </c>
      <c r="D2460" t="s">
        <v>141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45">
      <c r="A2461" t="s">
        <v>1715</v>
      </c>
      <c r="B2461" t="s">
        <v>1716</v>
      </c>
      <c r="C2461" t="s">
        <v>1725</v>
      </c>
      <c r="D2461" t="s">
        <v>110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45">
      <c r="A2462" t="s">
        <v>1715</v>
      </c>
      <c r="B2462" t="s">
        <v>1716</v>
      </c>
      <c r="C2462" t="s">
        <v>1726</v>
      </c>
      <c r="D2462" t="s">
        <v>141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45">
      <c r="A2463" t="s">
        <v>1715</v>
      </c>
      <c r="B2463" t="s">
        <v>1716</v>
      </c>
      <c r="C2463" t="s">
        <v>630</v>
      </c>
      <c r="D2463" t="s">
        <v>110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45">
      <c r="A2464" t="s">
        <v>1715</v>
      </c>
      <c r="B2464" t="s">
        <v>1716</v>
      </c>
      <c r="C2464" t="s">
        <v>331</v>
      </c>
      <c r="D2464" t="s">
        <v>110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45">
      <c r="A2465" t="s">
        <v>1715</v>
      </c>
      <c r="B2465" t="s">
        <v>1716</v>
      </c>
      <c r="C2465" t="s">
        <v>258</v>
      </c>
      <c r="D2465" t="s">
        <v>141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45">
      <c r="A2466" t="s">
        <v>1715</v>
      </c>
      <c r="B2466" t="s">
        <v>1716</v>
      </c>
      <c r="C2466" t="s">
        <v>405</v>
      </c>
      <c r="D2466" t="s">
        <v>110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45">
      <c r="A2467" t="s">
        <v>837</v>
      </c>
      <c r="B2467" t="s">
        <v>838</v>
      </c>
      <c r="C2467" t="s">
        <v>1727</v>
      </c>
      <c r="D2467" t="s">
        <v>140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45">
      <c r="A2468" t="s">
        <v>837</v>
      </c>
      <c r="B2468" t="s">
        <v>838</v>
      </c>
      <c r="C2468" t="s">
        <v>1728</v>
      </c>
      <c r="D2468" t="s">
        <v>110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45">
      <c r="A2469" t="s">
        <v>837</v>
      </c>
      <c r="B2469" t="s">
        <v>838</v>
      </c>
      <c r="C2469" t="s">
        <v>1729</v>
      </c>
      <c r="D2469" t="s">
        <v>139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45">
      <c r="A2470" t="s">
        <v>837</v>
      </c>
      <c r="B2470" t="s">
        <v>838</v>
      </c>
      <c r="C2470" t="s">
        <v>1730</v>
      </c>
      <c r="D2470" t="s">
        <v>110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45">
      <c r="A2471" t="s">
        <v>837</v>
      </c>
      <c r="B2471" t="s">
        <v>838</v>
      </c>
      <c r="C2471" t="s">
        <v>1693</v>
      </c>
      <c r="D2471" t="s">
        <v>110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45">
      <c r="A2472" t="s">
        <v>837</v>
      </c>
      <c r="B2472" t="s">
        <v>838</v>
      </c>
      <c r="C2472" t="s">
        <v>975</v>
      </c>
      <c r="D2472" t="s">
        <v>140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45">
      <c r="A2473" t="s">
        <v>837</v>
      </c>
      <c r="B2473" t="s">
        <v>838</v>
      </c>
      <c r="C2473" t="s">
        <v>1731</v>
      </c>
      <c r="D2473" t="s">
        <v>140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45">
      <c r="A2474" t="s">
        <v>837</v>
      </c>
      <c r="B2474" t="s">
        <v>838</v>
      </c>
      <c r="C2474" t="s">
        <v>1732</v>
      </c>
      <c r="D2474" t="s">
        <v>139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45">
      <c r="A2475" t="s">
        <v>837</v>
      </c>
      <c r="B2475" t="s">
        <v>838</v>
      </c>
      <c r="C2475" t="s">
        <v>925</v>
      </c>
      <c r="D2475" t="s">
        <v>139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45">
      <c r="A2476" t="s">
        <v>837</v>
      </c>
      <c r="B2476" t="s">
        <v>838</v>
      </c>
      <c r="C2476" t="s">
        <v>227</v>
      </c>
      <c r="D2476" t="s">
        <v>140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45">
      <c r="A2477" t="s">
        <v>837</v>
      </c>
      <c r="B2477" t="s">
        <v>838</v>
      </c>
      <c r="C2477" t="s">
        <v>1098</v>
      </c>
      <c r="D2477" t="s">
        <v>140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45">
      <c r="A2478" t="s">
        <v>837</v>
      </c>
      <c r="B2478" t="s">
        <v>838</v>
      </c>
      <c r="C2478" t="s">
        <v>1046</v>
      </c>
      <c r="D2478" t="s">
        <v>110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45">
      <c r="A2479" t="s">
        <v>837</v>
      </c>
      <c r="B2479" t="s">
        <v>838</v>
      </c>
      <c r="C2479" t="s">
        <v>1105</v>
      </c>
      <c r="D2479" t="s">
        <v>139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45">
      <c r="A2480" t="s">
        <v>837</v>
      </c>
      <c r="B2480" t="s">
        <v>838</v>
      </c>
      <c r="C2480" t="s">
        <v>1733</v>
      </c>
      <c r="D2480" t="s">
        <v>139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45">
      <c r="A2481" t="s">
        <v>837</v>
      </c>
      <c r="B2481" t="s">
        <v>838</v>
      </c>
      <c r="C2481" t="s">
        <v>235</v>
      </c>
      <c r="D2481" t="s">
        <v>140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45">
      <c r="A2482" t="s">
        <v>837</v>
      </c>
      <c r="B2482" t="s">
        <v>838</v>
      </c>
      <c r="C2482" t="s">
        <v>1734</v>
      </c>
      <c r="D2482" t="s">
        <v>110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45">
      <c r="A2483" t="s">
        <v>837</v>
      </c>
      <c r="B2483" t="s">
        <v>838</v>
      </c>
      <c r="C2483" t="s">
        <v>1735</v>
      </c>
      <c r="D2483" t="s">
        <v>139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45">
      <c r="A2484" t="s">
        <v>837</v>
      </c>
      <c r="B2484" t="s">
        <v>838</v>
      </c>
      <c r="C2484" t="s">
        <v>1736</v>
      </c>
      <c r="D2484" t="s">
        <v>110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45">
      <c r="A2485" t="s">
        <v>837</v>
      </c>
      <c r="B2485" t="s">
        <v>838</v>
      </c>
      <c r="C2485" t="s">
        <v>1737</v>
      </c>
      <c r="D2485" t="s">
        <v>110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45">
      <c r="A2486" t="s">
        <v>837</v>
      </c>
      <c r="B2486" t="s">
        <v>838</v>
      </c>
      <c r="C2486" t="s">
        <v>300</v>
      </c>
      <c r="D2486" t="s">
        <v>139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45">
      <c r="A2487" t="s">
        <v>837</v>
      </c>
      <c r="B2487" t="s">
        <v>838</v>
      </c>
      <c r="C2487" t="s">
        <v>1738</v>
      </c>
      <c r="D2487" t="s">
        <v>140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45">
      <c r="A2488" t="s">
        <v>837</v>
      </c>
      <c r="B2488" t="s">
        <v>838</v>
      </c>
      <c r="C2488" t="s">
        <v>1739</v>
      </c>
      <c r="D2488" t="s">
        <v>110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45">
      <c r="A2489" t="s">
        <v>837</v>
      </c>
      <c r="B2489" t="s">
        <v>838</v>
      </c>
      <c r="C2489" t="s">
        <v>1676</v>
      </c>
      <c r="D2489" t="s">
        <v>140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45">
      <c r="A2490" t="s">
        <v>837</v>
      </c>
      <c r="B2490" t="s">
        <v>838</v>
      </c>
      <c r="C2490" t="s">
        <v>310</v>
      </c>
      <c r="D2490" t="s">
        <v>110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45">
      <c r="A2491" t="s">
        <v>837</v>
      </c>
      <c r="B2491" t="s">
        <v>838</v>
      </c>
      <c r="C2491" t="s">
        <v>311</v>
      </c>
      <c r="D2491" t="s">
        <v>110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45">
      <c r="A2492" t="s">
        <v>846</v>
      </c>
      <c r="B2492" t="s">
        <v>847</v>
      </c>
      <c r="C2492" t="s">
        <v>219</v>
      </c>
      <c r="D2492" t="s">
        <v>110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45">
      <c r="A2493" t="s">
        <v>846</v>
      </c>
      <c r="B2493" t="s">
        <v>847</v>
      </c>
      <c r="C2493" t="s">
        <v>406</v>
      </c>
      <c r="D2493" t="s">
        <v>110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45">
      <c r="A2494" t="s">
        <v>846</v>
      </c>
      <c r="B2494" t="s">
        <v>847</v>
      </c>
      <c r="C2494" t="s">
        <v>1740</v>
      </c>
      <c r="D2494" t="s">
        <v>141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45">
      <c r="A2495" t="s">
        <v>846</v>
      </c>
      <c r="B2495" t="s">
        <v>847</v>
      </c>
      <c r="C2495" t="s">
        <v>1256</v>
      </c>
      <c r="D2495" t="s">
        <v>110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45">
      <c r="A2496" t="s">
        <v>846</v>
      </c>
      <c r="B2496" t="s">
        <v>847</v>
      </c>
      <c r="C2496" t="s">
        <v>1741</v>
      </c>
      <c r="D2496" t="s">
        <v>110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45">
      <c r="A2497" t="s">
        <v>884</v>
      </c>
      <c r="B2497" t="s">
        <v>885</v>
      </c>
      <c r="C2497" t="s">
        <v>1742</v>
      </c>
      <c r="D2497" t="s">
        <v>141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45">
      <c r="A2498" t="s">
        <v>884</v>
      </c>
      <c r="B2498" t="s">
        <v>885</v>
      </c>
      <c r="C2498" t="s">
        <v>1446</v>
      </c>
      <c r="D2498" t="s">
        <v>141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45">
      <c r="A2499" t="s">
        <v>884</v>
      </c>
      <c r="B2499" t="s">
        <v>885</v>
      </c>
      <c r="C2499" t="s">
        <v>1743</v>
      </c>
      <c r="D2499" t="s">
        <v>110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45">
      <c r="A2500" t="s">
        <v>884</v>
      </c>
      <c r="B2500" t="s">
        <v>885</v>
      </c>
      <c r="C2500" t="s">
        <v>1744</v>
      </c>
      <c r="D2500" t="s">
        <v>141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45">
      <c r="A2501" t="s">
        <v>884</v>
      </c>
      <c r="B2501" t="s">
        <v>885</v>
      </c>
      <c r="C2501" t="s">
        <v>1745</v>
      </c>
      <c r="D2501" t="s">
        <v>110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45">
      <c r="A2502" t="s">
        <v>884</v>
      </c>
      <c r="B2502" t="s">
        <v>885</v>
      </c>
      <c r="C2502" t="s">
        <v>1746</v>
      </c>
      <c r="D2502" t="s">
        <v>110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45">
      <c r="A2503" t="s">
        <v>884</v>
      </c>
      <c r="B2503" t="s">
        <v>885</v>
      </c>
      <c r="C2503" t="s">
        <v>1747</v>
      </c>
      <c r="D2503" t="s">
        <v>141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45">
      <c r="A2504" t="s">
        <v>884</v>
      </c>
      <c r="B2504" t="s">
        <v>885</v>
      </c>
      <c r="C2504" t="s">
        <v>1748</v>
      </c>
      <c r="D2504" t="s">
        <v>141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45">
      <c r="A2505" t="s">
        <v>884</v>
      </c>
      <c r="B2505" t="s">
        <v>885</v>
      </c>
      <c r="C2505" t="s">
        <v>1749</v>
      </c>
      <c r="D2505" t="s">
        <v>141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45">
      <c r="A2506" t="s">
        <v>884</v>
      </c>
      <c r="B2506" t="s">
        <v>885</v>
      </c>
      <c r="C2506" t="s">
        <v>1750</v>
      </c>
      <c r="D2506" t="s">
        <v>137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45">
      <c r="A2507" t="s">
        <v>884</v>
      </c>
      <c r="B2507" t="s">
        <v>885</v>
      </c>
      <c r="C2507" t="s">
        <v>1751</v>
      </c>
      <c r="D2507" t="s">
        <v>141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45">
      <c r="A2508" t="s">
        <v>884</v>
      </c>
      <c r="B2508" t="s">
        <v>885</v>
      </c>
      <c r="C2508" t="s">
        <v>351</v>
      </c>
      <c r="D2508" t="s">
        <v>141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45">
      <c r="A2509" t="s">
        <v>884</v>
      </c>
      <c r="B2509" t="s">
        <v>885</v>
      </c>
      <c r="C2509" t="s">
        <v>1752</v>
      </c>
      <c r="D2509" t="s">
        <v>141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45">
      <c r="A2510" t="s">
        <v>884</v>
      </c>
      <c r="B2510" t="s">
        <v>885</v>
      </c>
      <c r="C2510" t="s">
        <v>1519</v>
      </c>
      <c r="D2510" t="s">
        <v>141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45">
      <c r="A2511" t="s">
        <v>884</v>
      </c>
      <c r="B2511" t="s">
        <v>885</v>
      </c>
      <c r="C2511" t="s">
        <v>353</v>
      </c>
      <c r="D2511" t="s">
        <v>141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45">
      <c r="A2512" t="s">
        <v>884</v>
      </c>
      <c r="B2512" t="s">
        <v>885</v>
      </c>
      <c r="C2512" t="s">
        <v>1753</v>
      </c>
      <c r="D2512" t="s">
        <v>137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45">
      <c r="A2513" t="s">
        <v>884</v>
      </c>
      <c r="B2513" t="s">
        <v>885</v>
      </c>
      <c r="C2513" t="s">
        <v>1754</v>
      </c>
      <c r="D2513" t="s">
        <v>141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45">
      <c r="A2514" t="s">
        <v>884</v>
      </c>
      <c r="B2514" t="s">
        <v>885</v>
      </c>
      <c r="C2514" t="s">
        <v>1755</v>
      </c>
      <c r="D2514" t="s">
        <v>141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45">
      <c r="A2515" t="s">
        <v>884</v>
      </c>
      <c r="B2515" t="s">
        <v>885</v>
      </c>
      <c r="C2515" t="s">
        <v>358</v>
      </c>
      <c r="D2515" t="s">
        <v>141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45">
      <c r="A2516" t="s">
        <v>884</v>
      </c>
      <c r="B2516" t="s">
        <v>885</v>
      </c>
      <c r="C2516" t="s">
        <v>160</v>
      </c>
      <c r="D2516" t="s">
        <v>141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45">
      <c r="A2517" t="s">
        <v>884</v>
      </c>
      <c r="B2517" t="s">
        <v>885</v>
      </c>
      <c r="C2517" t="s">
        <v>1756</v>
      </c>
      <c r="D2517" t="s">
        <v>141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45">
      <c r="A2518" t="s">
        <v>884</v>
      </c>
      <c r="B2518" t="s">
        <v>885</v>
      </c>
      <c r="C2518" t="s">
        <v>166</v>
      </c>
      <c r="D2518" t="s">
        <v>141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45">
      <c r="A2519" t="s">
        <v>884</v>
      </c>
      <c r="B2519" t="s">
        <v>885</v>
      </c>
      <c r="C2519" t="s">
        <v>968</v>
      </c>
      <c r="D2519" t="s">
        <v>141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45">
      <c r="A2520" t="s">
        <v>884</v>
      </c>
      <c r="B2520" t="s">
        <v>885</v>
      </c>
      <c r="C2520" t="s">
        <v>1757</v>
      </c>
      <c r="D2520" t="s">
        <v>137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45">
      <c r="A2521" t="s">
        <v>884</v>
      </c>
      <c r="B2521" t="s">
        <v>885</v>
      </c>
      <c r="C2521" t="s">
        <v>1758</v>
      </c>
      <c r="D2521" t="s">
        <v>141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45">
      <c r="A2522" t="s">
        <v>884</v>
      </c>
      <c r="B2522" t="s">
        <v>885</v>
      </c>
      <c r="C2522" t="s">
        <v>624</v>
      </c>
      <c r="D2522" t="s">
        <v>141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45">
      <c r="A2523" t="s">
        <v>884</v>
      </c>
      <c r="B2523" t="s">
        <v>885</v>
      </c>
      <c r="C2523" t="s">
        <v>1759</v>
      </c>
      <c r="D2523" t="s">
        <v>141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45">
      <c r="A2524" t="s">
        <v>884</v>
      </c>
      <c r="B2524" t="s">
        <v>885</v>
      </c>
      <c r="C2524" t="s">
        <v>1760</v>
      </c>
      <c r="D2524" t="s">
        <v>141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45">
      <c r="A2525" t="s">
        <v>884</v>
      </c>
      <c r="B2525" t="s">
        <v>885</v>
      </c>
      <c r="C2525" t="s">
        <v>1761</v>
      </c>
      <c r="D2525" t="s">
        <v>141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45">
      <c r="A2526" t="s">
        <v>884</v>
      </c>
      <c r="B2526" t="s">
        <v>885</v>
      </c>
      <c r="C2526" t="s">
        <v>1762</v>
      </c>
      <c r="D2526" t="s">
        <v>141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45">
      <c r="A2527" t="s">
        <v>884</v>
      </c>
      <c r="B2527" t="s">
        <v>885</v>
      </c>
      <c r="C2527" t="s">
        <v>1763</v>
      </c>
      <c r="D2527" t="s">
        <v>141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45">
      <c r="A2528" t="s">
        <v>884</v>
      </c>
      <c r="B2528" t="s">
        <v>885</v>
      </c>
      <c r="C2528" t="s">
        <v>1764</v>
      </c>
      <c r="D2528" t="s">
        <v>141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45">
      <c r="A2529" t="s">
        <v>884</v>
      </c>
      <c r="B2529" t="s">
        <v>885</v>
      </c>
      <c r="C2529" t="s">
        <v>1765</v>
      </c>
      <c r="D2529" t="s">
        <v>141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45">
      <c r="A2530" t="s">
        <v>884</v>
      </c>
      <c r="B2530" t="s">
        <v>885</v>
      </c>
      <c r="C2530" t="s">
        <v>383</v>
      </c>
      <c r="D2530" t="s">
        <v>141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45">
      <c r="A2531" t="s">
        <v>884</v>
      </c>
      <c r="B2531" t="s">
        <v>885</v>
      </c>
      <c r="C2531" t="s">
        <v>184</v>
      </c>
      <c r="D2531" t="s">
        <v>141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45">
      <c r="A2532" t="s">
        <v>884</v>
      </c>
      <c r="B2532" t="s">
        <v>885</v>
      </c>
      <c r="C2532" t="s">
        <v>1766</v>
      </c>
      <c r="D2532" t="s">
        <v>141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45">
      <c r="A2533" t="s">
        <v>884</v>
      </c>
      <c r="B2533" t="s">
        <v>885</v>
      </c>
      <c r="C2533" t="s">
        <v>1767</v>
      </c>
      <c r="D2533" t="s">
        <v>141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45">
      <c r="A2534" t="s">
        <v>884</v>
      </c>
      <c r="B2534" t="s">
        <v>885</v>
      </c>
      <c r="C2534" t="s">
        <v>534</v>
      </c>
      <c r="D2534" t="s">
        <v>141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45">
      <c r="A2535" t="s">
        <v>884</v>
      </c>
      <c r="B2535" t="s">
        <v>885</v>
      </c>
      <c r="C2535" t="s">
        <v>1768</v>
      </c>
      <c r="D2535" t="s">
        <v>141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45">
      <c r="A2536" t="s">
        <v>884</v>
      </c>
      <c r="B2536" t="s">
        <v>885</v>
      </c>
      <c r="C2536" t="s">
        <v>186</v>
      </c>
      <c r="D2536" t="s">
        <v>141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45">
      <c r="A2537" t="s">
        <v>884</v>
      </c>
      <c r="B2537" t="s">
        <v>885</v>
      </c>
      <c r="C2537" t="s">
        <v>1769</v>
      </c>
      <c r="D2537" t="s">
        <v>141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45">
      <c r="A2538" t="s">
        <v>884</v>
      </c>
      <c r="B2538" t="s">
        <v>885</v>
      </c>
      <c r="C2538" t="s">
        <v>1190</v>
      </c>
      <c r="D2538" t="s">
        <v>141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45">
      <c r="A2539" t="s">
        <v>884</v>
      </c>
      <c r="B2539" t="s">
        <v>885</v>
      </c>
      <c r="C2539" t="s">
        <v>1770</v>
      </c>
      <c r="D2539" t="s">
        <v>141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45">
      <c r="A2540" t="s">
        <v>884</v>
      </c>
      <c r="B2540" t="s">
        <v>885</v>
      </c>
      <c r="C2540" t="s">
        <v>1771</v>
      </c>
      <c r="D2540" t="s">
        <v>141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45">
      <c r="A2541" t="s">
        <v>884</v>
      </c>
      <c r="B2541" t="s">
        <v>885</v>
      </c>
      <c r="C2541" t="s">
        <v>577</v>
      </c>
      <c r="D2541" t="s">
        <v>141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45">
      <c r="A2542" t="s">
        <v>884</v>
      </c>
      <c r="B2542" t="s">
        <v>885</v>
      </c>
      <c r="C2542" t="s">
        <v>1772</v>
      </c>
      <c r="D2542" t="s">
        <v>141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45">
      <c r="A2543" t="s">
        <v>884</v>
      </c>
      <c r="B2543" t="s">
        <v>885</v>
      </c>
      <c r="C2543" t="s">
        <v>1773</v>
      </c>
      <c r="D2543" t="s">
        <v>141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45">
      <c r="A2544" t="s">
        <v>884</v>
      </c>
      <c r="B2544" t="s">
        <v>885</v>
      </c>
      <c r="C2544" t="s">
        <v>1049</v>
      </c>
      <c r="D2544" t="s">
        <v>141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45">
      <c r="A2545" t="s">
        <v>884</v>
      </c>
      <c r="B2545" t="s">
        <v>885</v>
      </c>
      <c r="C2545" t="s">
        <v>1774</v>
      </c>
      <c r="D2545" t="s">
        <v>141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45">
      <c r="A2546" t="s">
        <v>884</v>
      </c>
      <c r="B2546" t="s">
        <v>885</v>
      </c>
      <c r="C2546" t="s">
        <v>190</v>
      </c>
      <c r="D2546" t="s">
        <v>141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45">
      <c r="A2547" t="s">
        <v>884</v>
      </c>
      <c r="B2547" t="s">
        <v>885</v>
      </c>
      <c r="C2547" t="s">
        <v>1775</v>
      </c>
      <c r="D2547" t="s">
        <v>141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45">
      <c r="A2548" t="s">
        <v>884</v>
      </c>
      <c r="B2548" t="s">
        <v>885</v>
      </c>
      <c r="C2548" t="s">
        <v>521</v>
      </c>
      <c r="D2548" t="s">
        <v>141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45">
      <c r="A2549" t="s">
        <v>884</v>
      </c>
      <c r="B2549" t="s">
        <v>885</v>
      </c>
      <c r="C2549" t="s">
        <v>195</v>
      </c>
      <c r="D2549" t="s">
        <v>141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45">
      <c r="A2550" t="s">
        <v>884</v>
      </c>
      <c r="B2550" t="s">
        <v>885</v>
      </c>
      <c r="C2550" t="s">
        <v>1776</v>
      </c>
      <c r="D2550" t="s">
        <v>141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45">
      <c r="A2551" t="s">
        <v>884</v>
      </c>
      <c r="B2551" t="s">
        <v>885</v>
      </c>
      <c r="C2551" t="s">
        <v>235</v>
      </c>
      <c r="D2551" t="s">
        <v>141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45">
      <c r="A2552" t="s">
        <v>884</v>
      </c>
      <c r="B2552" t="s">
        <v>885</v>
      </c>
      <c r="C2552" t="s">
        <v>198</v>
      </c>
      <c r="D2552" t="s">
        <v>141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45">
      <c r="A2553" t="s">
        <v>884</v>
      </c>
      <c r="B2553" t="s">
        <v>885</v>
      </c>
      <c r="C2553" t="s">
        <v>199</v>
      </c>
      <c r="D2553" t="s">
        <v>141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45">
      <c r="A2554" t="s">
        <v>884</v>
      </c>
      <c r="B2554" t="s">
        <v>885</v>
      </c>
      <c r="C2554" t="s">
        <v>590</v>
      </c>
      <c r="D2554" t="s">
        <v>141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45">
      <c r="A2555" t="s">
        <v>884</v>
      </c>
      <c r="B2555" t="s">
        <v>885</v>
      </c>
      <c r="C2555" t="s">
        <v>1244</v>
      </c>
      <c r="D2555" t="s">
        <v>141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45">
      <c r="A2556" t="s">
        <v>884</v>
      </c>
      <c r="B2556" t="s">
        <v>885</v>
      </c>
      <c r="C2556" t="s">
        <v>1211</v>
      </c>
      <c r="D2556" t="s">
        <v>141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45">
      <c r="A2557" t="s">
        <v>913</v>
      </c>
      <c r="B2557" t="s">
        <v>914</v>
      </c>
      <c r="C2557" t="s">
        <v>1428</v>
      </c>
      <c r="D2557" t="s">
        <v>110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45">
      <c r="A2558" t="s">
        <v>913</v>
      </c>
      <c r="B2558" t="s">
        <v>914</v>
      </c>
      <c r="C2558" t="s">
        <v>1777</v>
      </c>
      <c r="D2558" t="s">
        <v>110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45">
      <c r="A2559" t="s">
        <v>913</v>
      </c>
      <c r="B2559" t="s">
        <v>914</v>
      </c>
      <c r="C2559" t="s">
        <v>455</v>
      </c>
      <c r="D2559" t="s">
        <v>113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45">
      <c r="A2560" t="s">
        <v>913</v>
      </c>
      <c r="B2560" t="s">
        <v>914</v>
      </c>
      <c r="C2560" t="s">
        <v>457</v>
      </c>
      <c r="D2560" t="s">
        <v>110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45">
      <c r="A2561" t="s">
        <v>913</v>
      </c>
      <c r="B2561" t="s">
        <v>914</v>
      </c>
      <c r="C2561" t="s">
        <v>555</v>
      </c>
      <c r="D2561" t="s">
        <v>110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45">
      <c r="A2562" t="s">
        <v>913</v>
      </c>
      <c r="B2562" t="s">
        <v>914</v>
      </c>
      <c r="C2562" t="s">
        <v>1778</v>
      </c>
      <c r="D2562" t="s">
        <v>113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45">
      <c r="A2563" t="s">
        <v>913</v>
      </c>
      <c r="B2563" t="s">
        <v>914</v>
      </c>
      <c r="C2563" t="s">
        <v>596</v>
      </c>
      <c r="D2563" t="s">
        <v>113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45">
      <c r="A2564" t="s">
        <v>913</v>
      </c>
      <c r="B2564" t="s">
        <v>914</v>
      </c>
      <c r="C2564" t="s">
        <v>1779</v>
      </c>
      <c r="D2564" t="s">
        <v>110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45">
      <c r="A2565" t="s">
        <v>913</v>
      </c>
      <c r="B2565" t="s">
        <v>914</v>
      </c>
      <c r="C2565" t="s">
        <v>1780</v>
      </c>
      <c r="D2565" t="s">
        <v>113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45">
      <c r="A2566" t="s">
        <v>913</v>
      </c>
      <c r="B2566" t="s">
        <v>914</v>
      </c>
      <c r="C2566" t="s">
        <v>816</v>
      </c>
      <c r="D2566" t="s">
        <v>113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45">
      <c r="A2567" t="s">
        <v>913</v>
      </c>
      <c r="B2567" t="s">
        <v>914</v>
      </c>
      <c r="C2567" t="s">
        <v>1620</v>
      </c>
      <c r="D2567" t="s">
        <v>113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45">
      <c r="A2568" t="s">
        <v>913</v>
      </c>
      <c r="B2568" t="s">
        <v>914</v>
      </c>
      <c r="C2568" t="s">
        <v>1781</v>
      </c>
      <c r="D2568" t="s">
        <v>110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45">
      <c r="A2569" t="s">
        <v>913</v>
      </c>
      <c r="B2569" t="s">
        <v>914</v>
      </c>
      <c r="C2569" t="s">
        <v>1623</v>
      </c>
      <c r="D2569" t="s">
        <v>113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45">
      <c r="A2570" t="s">
        <v>913</v>
      </c>
      <c r="B2570" t="s">
        <v>914</v>
      </c>
      <c r="C2570" t="s">
        <v>463</v>
      </c>
      <c r="D2570" t="s">
        <v>110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45">
      <c r="A2571" t="s">
        <v>913</v>
      </c>
      <c r="B2571" t="s">
        <v>914</v>
      </c>
      <c r="C2571" t="s">
        <v>1782</v>
      </c>
      <c r="D2571" t="s">
        <v>113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45">
      <c r="A2572" t="s">
        <v>913</v>
      </c>
      <c r="B2572" t="s">
        <v>914</v>
      </c>
      <c r="C2572" t="s">
        <v>1783</v>
      </c>
      <c r="D2572" t="s">
        <v>110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45">
      <c r="A2573" t="s">
        <v>913</v>
      </c>
      <c r="B2573" t="s">
        <v>914</v>
      </c>
      <c r="C2573" t="s">
        <v>824</v>
      </c>
      <c r="D2573" t="s">
        <v>113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45">
      <c r="A2574" t="s">
        <v>913</v>
      </c>
      <c r="B2574" t="s">
        <v>914</v>
      </c>
      <c r="C2574" t="s">
        <v>826</v>
      </c>
      <c r="D2574" t="s">
        <v>110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45">
      <c r="A2575" t="s">
        <v>913</v>
      </c>
      <c r="B2575" t="s">
        <v>914</v>
      </c>
      <c r="C2575" t="s">
        <v>1784</v>
      </c>
      <c r="D2575" t="s">
        <v>110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45">
      <c r="A2576" t="s">
        <v>913</v>
      </c>
      <c r="B2576" t="s">
        <v>914</v>
      </c>
      <c r="C2576" t="s">
        <v>467</v>
      </c>
      <c r="D2576" t="s">
        <v>110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45">
      <c r="A2577" t="s">
        <v>913</v>
      </c>
      <c r="B2577" t="s">
        <v>914</v>
      </c>
      <c r="C2577" t="s">
        <v>1628</v>
      </c>
      <c r="D2577" t="s">
        <v>113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45">
      <c r="A2578" t="s">
        <v>913</v>
      </c>
      <c r="B2578" t="s">
        <v>914</v>
      </c>
      <c r="C2578" t="s">
        <v>1785</v>
      </c>
      <c r="D2578" t="s">
        <v>113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45">
      <c r="A2579" t="s">
        <v>913</v>
      </c>
      <c r="B2579" t="s">
        <v>914</v>
      </c>
      <c r="C2579" t="s">
        <v>1786</v>
      </c>
      <c r="D2579" t="s">
        <v>113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45">
      <c r="A2580" t="s">
        <v>913</v>
      </c>
      <c r="B2580" t="s">
        <v>914</v>
      </c>
      <c r="C2580" t="s">
        <v>1787</v>
      </c>
      <c r="D2580" t="s">
        <v>113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45">
      <c r="A2581" t="s">
        <v>913</v>
      </c>
      <c r="B2581" t="s">
        <v>914</v>
      </c>
      <c r="C2581" t="s">
        <v>1788</v>
      </c>
      <c r="D2581" t="s">
        <v>113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45">
      <c r="A2582" t="s">
        <v>913</v>
      </c>
      <c r="B2582" t="s">
        <v>914</v>
      </c>
      <c r="C2582" t="s">
        <v>1151</v>
      </c>
      <c r="D2582" t="s">
        <v>113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45">
      <c r="A2583" t="s">
        <v>913</v>
      </c>
      <c r="B2583" t="s">
        <v>914</v>
      </c>
      <c r="C2583" t="s">
        <v>492</v>
      </c>
      <c r="D2583" t="s">
        <v>113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45">
      <c r="A2584" t="s">
        <v>913</v>
      </c>
      <c r="B2584" t="s">
        <v>914</v>
      </c>
      <c r="C2584" t="s">
        <v>956</v>
      </c>
      <c r="D2584" t="s">
        <v>113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45">
      <c r="A2585" t="s">
        <v>933</v>
      </c>
      <c r="B2585" t="s">
        <v>598</v>
      </c>
      <c r="C2585" t="s">
        <v>423</v>
      </c>
      <c r="D2585" t="s">
        <v>141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45">
      <c r="A2586" t="s">
        <v>933</v>
      </c>
      <c r="B2586" t="s">
        <v>598</v>
      </c>
      <c r="C2586" t="s">
        <v>479</v>
      </c>
      <c r="D2586" t="s">
        <v>110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45">
      <c r="A2587" t="s">
        <v>933</v>
      </c>
      <c r="B2587" t="s">
        <v>598</v>
      </c>
      <c r="C2587" t="s">
        <v>1259</v>
      </c>
      <c r="D2587" t="s">
        <v>110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45">
      <c r="A2588" t="s">
        <v>933</v>
      </c>
      <c r="B2588" t="s">
        <v>598</v>
      </c>
      <c r="C2588" t="s">
        <v>1789</v>
      </c>
      <c r="D2588" t="s">
        <v>110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45">
      <c r="A2589" t="s">
        <v>933</v>
      </c>
      <c r="B2589" t="s">
        <v>598</v>
      </c>
      <c r="C2589" t="s">
        <v>1790</v>
      </c>
      <c r="D2589" t="s">
        <v>110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45">
      <c r="A2590" t="s">
        <v>933</v>
      </c>
      <c r="B2590" t="s">
        <v>598</v>
      </c>
      <c r="C2590" t="s">
        <v>1791</v>
      </c>
      <c r="D2590" t="s">
        <v>110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45">
      <c r="A2591" t="s">
        <v>933</v>
      </c>
      <c r="B2591" t="s">
        <v>598</v>
      </c>
      <c r="C2591" t="s">
        <v>1792</v>
      </c>
      <c r="D2591" t="s">
        <v>110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45">
      <c r="A2592" t="s">
        <v>933</v>
      </c>
      <c r="B2592" t="s">
        <v>598</v>
      </c>
      <c r="C2592" t="s">
        <v>484</v>
      </c>
      <c r="D2592" t="s">
        <v>141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45">
      <c r="A2593" t="s">
        <v>933</v>
      </c>
      <c r="B2593" t="s">
        <v>598</v>
      </c>
      <c r="C2593" t="s">
        <v>154</v>
      </c>
      <c r="D2593" t="s">
        <v>110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45">
      <c r="A2594" t="s">
        <v>933</v>
      </c>
      <c r="B2594" t="s">
        <v>598</v>
      </c>
      <c r="C2594" t="s">
        <v>355</v>
      </c>
      <c r="D2594" t="s">
        <v>110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45">
      <c r="A2595" t="s">
        <v>933</v>
      </c>
      <c r="B2595" t="s">
        <v>598</v>
      </c>
      <c r="C2595" t="s">
        <v>1449</v>
      </c>
      <c r="D2595" t="s">
        <v>110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45">
      <c r="A2596" t="s">
        <v>933</v>
      </c>
      <c r="B2596" t="s">
        <v>598</v>
      </c>
      <c r="C2596" t="s">
        <v>437</v>
      </c>
      <c r="D2596" t="s">
        <v>110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45">
      <c r="A2597" t="s">
        <v>933</v>
      </c>
      <c r="B2597" t="s">
        <v>598</v>
      </c>
      <c r="C2597" t="s">
        <v>1793</v>
      </c>
      <c r="D2597" t="s">
        <v>141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45">
      <c r="A2598" t="s">
        <v>933</v>
      </c>
      <c r="B2598" t="s">
        <v>598</v>
      </c>
      <c r="C2598" t="s">
        <v>486</v>
      </c>
      <c r="D2598" t="s">
        <v>110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45">
      <c r="A2599" t="s">
        <v>933</v>
      </c>
      <c r="B2599" t="s">
        <v>598</v>
      </c>
      <c r="C2599" t="s">
        <v>1794</v>
      </c>
      <c r="D2599" t="s">
        <v>110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45">
      <c r="A2600" t="s">
        <v>933</v>
      </c>
      <c r="B2600" t="s">
        <v>598</v>
      </c>
      <c r="C2600" t="s">
        <v>1795</v>
      </c>
      <c r="D2600" t="s">
        <v>110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45">
      <c r="A2601" t="s">
        <v>933</v>
      </c>
      <c r="B2601" t="s">
        <v>598</v>
      </c>
      <c r="C2601" t="s">
        <v>368</v>
      </c>
      <c r="D2601" t="s">
        <v>110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45">
      <c r="A2602" t="s">
        <v>933</v>
      </c>
      <c r="B2602" t="s">
        <v>598</v>
      </c>
      <c r="C2602" t="s">
        <v>1796</v>
      </c>
      <c r="D2602" t="s">
        <v>110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45">
      <c r="A2603" t="s">
        <v>933</v>
      </c>
      <c r="B2603" t="s">
        <v>598</v>
      </c>
      <c r="C2603" t="s">
        <v>1797</v>
      </c>
      <c r="D2603" t="s">
        <v>110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45">
      <c r="A2604" t="s">
        <v>933</v>
      </c>
      <c r="B2604" t="s">
        <v>598</v>
      </c>
      <c r="C2604" t="s">
        <v>1798</v>
      </c>
      <c r="D2604" t="s">
        <v>110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45">
      <c r="A2605" t="s">
        <v>933</v>
      </c>
      <c r="B2605" t="s">
        <v>598</v>
      </c>
      <c r="C2605" t="s">
        <v>328</v>
      </c>
      <c r="D2605" t="s">
        <v>110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45">
      <c r="A2606" t="s">
        <v>933</v>
      </c>
      <c r="B2606" t="s">
        <v>598</v>
      </c>
      <c r="C2606" t="s">
        <v>858</v>
      </c>
      <c r="D2606" t="s">
        <v>110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45">
      <c r="A2607" t="s">
        <v>933</v>
      </c>
      <c r="B2607" t="s">
        <v>598</v>
      </c>
      <c r="C2607" t="s">
        <v>319</v>
      </c>
      <c r="D2607" t="s">
        <v>110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45">
      <c r="A2608" t="s">
        <v>933</v>
      </c>
      <c r="B2608" t="s">
        <v>598</v>
      </c>
      <c r="C2608" t="s">
        <v>183</v>
      </c>
      <c r="D2608" t="s">
        <v>110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45">
      <c r="A2609" t="s">
        <v>933</v>
      </c>
      <c r="B2609" t="s">
        <v>598</v>
      </c>
      <c r="C2609" t="s">
        <v>184</v>
      </c>
      <c r="D2609" t="s">
        <v>110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45">
      <c r="A2610" t="s">
        <v>933</v>
      </c>
      <c r="B2610" t="s">
        <v>598</v>
      </c>
      <c r="C2610" t="s">
        <v>225</v>
      </c>
      <c r="D2610" t="s">
        <v>110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45">
      <c r="A2611" t="s">
        <v>933</v>
      </c>
      <c r="B2611" t="s">
        <v>598</v>
      </c>
      <c r="C2611" t="s">
        <v>1799</v>
      </c>
      <c r="D2611" t="s">
        <v>141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45">
      <c r="A2612" t="s">
        <v>933</v>
      </c>
      <c r="B2612" t="s">
        <v>598</v>
      </c>
      <c r="C2612" t="s">
        <v>1800</v>
      </c>
      <c r="D2612" t="s">
        <v>110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45">
      <c r="A2613" t="s">
        <v>933</v>
      </c>
      <c r="B2613" t="s">
        <v>598</v>
      </c>
      <c r="C2613" t="s">
        <v>186</v>
      </c>
      <c r="D2613" t="s">
        <v>110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45">
      <c r="A2614" t="s">
        <v>933</v>
      </c>
      <c r="B2614" t="s">
        <v>598</v>
      </c>
      <c r="C2614" t="s">
        <v>1801</v>
      </c>
      <c r="D2614" t="s">
        <v>110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45">
      <c r="A2615" t="s">
        <v>933</v>
      </c>
      <c r="B2615" t="s">
        <v>598</v>
      </c>
      <c r="C2615" t="s">
        <v>514</v>
      </c>
      <c r="D2615" t="s">
        <v>141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45">
      <c r="A2616" t="s">
        <v>933</v>
      </c>
      <c r="B2616" t="s">
        <v>598</v>
      </c>
      <c r="C2616" t="s">
        <v>515</v>
      </c>
      <c r="D2616" t="s">
        <v>110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45">
      <c r="A2617" t="s">
        <v>933</v>
      </c>
      <c r="B2617" t="s">
        <v>598</v>
      </c>
      <c r="C2617" t="s">
        <v>516</v>
      </c>
      <c r="D2617" t="s">
        <v>110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45">
      <c r="A2618" t="s">
        <v>933</v>
      </c>
      <c r="B2618" t="s">
        <v>598</v>
      </c>
      <c r="C2618" t="s">
        <v>517</v>
      </c>
      <c r="D2618" t="s">
        <v>110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45">
      <c r="A2619" t="s">
        <v>933</v>
      </c>
      <c r="B2619" t="s">
        <v>598</v>
      </c>
      <c r="C2619" t="s">
        <v>188</v>
      </c>
      <c r="D2619" t="s">
        <v>110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45">
      <c r="A2620" t="s">
        <v>933</v>
      </c>
      <c r="B2620" t="s">
        <v>598</v>
      </c>
      <c r="C2620" t="s">
        <v>1195</v>
      </c>
      <c r="D2620" t="s">
        <v>110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45">
      <c r="A2621" t="s">
        <v>933</v>
      </c>
      <c r="B2621" t="s">
        <v>598</v>
      </c>
      <c r="C2621" t="s">
        <v>1802</v>
      </c>
      <c r="D2621" t="s">
        <v>110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45">
      <c r="A2622" t="s">
        <v>959</v>
      </c>
      <c r="B2622" t="s">
        <v>960</v>
      </c>
      <c r="C2622" t="s">
        <v>1803</v>
      </c>
      <c r="D2622" t="s">
        <v>141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45">
      <c r="A2623" t="s">
        <v>959</v>
      </c>
      <c r="B2623" t="s">
        <v>960</v>
      </c>
      <c r="C2623" t="s">
        <v>1498</v>
      </c>
      <c r="D2623" t="s">
        <v>141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45">
      <c r="A2624" t="s">
        <v>959</v>
      </c>
      <c r="B2624" t="s">
        <v>960</v>
      </c>
      <c r="C2624" t="s">
        <v>1804</v>
      </c>
      <c r="D2624" t="s">
        <v>141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45">
      <c r="A2625" t="s">
        <v>959</v>
      </c>
      <c r="B2625" t="s">
        <v>960</v>
      </c>
      <c r="C2625" t="s">
        <v>1805</v>
      </c>
      <c r="D2625" t="s">
        <v>141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45">
      <c r="A2626" t="s">
        <v>959</v>
      </c>
      <c r="B2626" t="s">
        <v>960</v>
      </c>
      <c r="C2626" t="s">
        <v>1806</v>
      </c>
      <c r="D2626" t="s">
        <v>141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45">
      <c r="A2627" t="s">
        <v>959</v>
      </c>
      <c r="B2627" t="s">
        <v>960</v>
      </c>
      <c r="C2627" t="s">
        <v>439</v>
      </c>
      <c r="D2627" t="s">
        <v>141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45">
      <c r="A2628" t="s">
        <v>959</v>
      </c>
      <c r="B2628" t="s">
        <v>960</v>
      </c>
      <c r="C2628" t="s">
        <v>328</v>
      </c>
      <c r="D2628" t="s">
        <v>141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45">
      <c r="A2629" t="s">
        <v>959</v>
      </c>
      <c r="B2629" t="s">
        <v>960</v>
      </c>
      <c r="C2629" t="s">
        <v>1037</v>
      </c>
      <c r="D2629" t="s">
        <v>141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45">
      <c r="A2630" t="s">
        <v>959</v>
      </c>
      <c r="B2630" t="s">
        <v>960</v>
      </c>
      <c r="C2630" t="s">
        <v>528</v>
      </c>
      <c r="D2630" t="s">
        <v>141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45">
      <c r="A2631" t="s">
        <v>959</v>
      </c>
      <c r="B2631" t="s">
        <v>960</v>
      </c>
      <c r="C2631" t="s">
        <v>283</v>
      </c>
      <c r="D2631" t="s">
        <v>141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45">
      <c r="A2632" t="s">
        <v>959</v>
      </c>
      <c r="B2632" t="s">
        <v>960</v>
      </c>
      <c r="C2632" t="s">
        <v>1807</v>
      </c>
      <c r="D2632" t="s">
        <v>141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45">
      <c r="A2633" t="s">
        <v>959</v>
      </c>
      <c r="B2633" t="s">
        <v>960</v>
      </c>
      <c r="C2633" t="s">
        <v>388</v>
      </c>
      <c r="D2633" t="s">
        <v>141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45">
      <c r="A2634" t="s">
        <v>959</v>
      </c>
      <c r="B2634" t="s">
        <v>960</v>
      </c>
      <c r="C2634" t="s">
        <v>227</v>
      </c>
      <c r="D2634" t="s">
        <v>141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45">
      <c r="A2635" t="s">
        <v>959</v>
      </c>
      <c r="B2635" t="s">
        <v>960</v>
      </c>
      <c r="C2635" t="s">
        <v>1808</v>
      </c>
      <c r="D2635" t="s">
        <v>141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45">
      <c r="A2636" t="s">
        <v>959</v>
      </c>
      <c r="B2636" t="s">
        <v>960</v>
      </c>
      <c r="C2636" t="s">
        <v>1809</v>
      </c>
      <c r="D2636" t="s">
        <v>141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45">
      <c r="A2637" t="s">
        <v>959</v>
      </c>
      <c r="B2637" t="s">
        <v>960</v>
      </c>
      <c r="C2637" t="s">
        <v>538</v>
      </c>
      <c r="D2637" t="s">
        <v>141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45">
      <c r="A2638" t="s">
        <v>959</v>
      </c>
      <c r="B2638" t="s">
        <v>960</v>
      </c>
      <c r="C2638" t="s">
        <v>540</v>
      </c>
      <c r="D2638" t="s">
        <v>141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45">
      <c r="A2639" t="s">
        <v>959</v>
      </c>
      <c r="B2639" t="s">
        <v>960</v>
      </c>
      <c r="C2639" t="s">
        <v>1047</v>
      </c>
      <c r="D2639" t="s">
        <v>141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45">
      <c r="A2640" t="s">
        <v>959</v>
      </c>
      <c r="B2640" t="s">
        <v>960</v>
      </c>
      <c r="C2640" t="s">
        <v>190</v>
      </c>
      <c r="D2640" t="s">
        <v>141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45">
      <c r="A2641" t="s">
        <v>959</v>
      </c>
      <c r="B2641" t="s">
        <v>960</v>
      </c>
      <c r="C2641" t="s">
        <v>191</v>
      </c>
      <c r="D2641" t="s">
        <v>141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45">
      <c r="A2642" t="s">
        <v>959</v>
      </c>
      <c r="B2642" t="s">
        <v>960</v>
      </c>
      <c r="C2642" t="s">
        <v>1775</v>
      </c>
      <c r="D2642" t="s">
        <v>141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45">
      <c r="A2643" t="s">
        <v>959</v>
      </c>
      <c r="B2643" t="s">
        <v>960</v>
      </c>
      <c r="C2643" t="s">
        <v>1810</v>
      </c>
      <c r="D2643" t="s">
        <v>141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45">
      <c r="A2644" t="s">
        <v>959</v>
      </c>
      <c r="B2644" t="s">
        <v>960</v>
      </c>
      <c r="C2644" t="s">
        <v>1811</v>
      </c>
      <c r="D2644" t="s">
        <v>141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45">
      <c r="A2645" t="s">
        <v>959</v>
      </c>
      <c r="B2645" t="s">
        <v>960</v>
      </c>
      <c r="C2645" t="s">
        <v>289</v>
      </c>
      <c r="D2645" t="s">
        <v>141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45">
      <c r="A2646" t="s">
        <v>959</v>
      </c>
      <c r="B2646" t="s">
        <v>960</v>
      </c>
      <c r="C2646" t="s">
        <v>1812</v>
      </c>
      <c r="D2646" t="s">
        <v>141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45">
      <c r="A2647" t="s">
        <v>959</v>
      </c>
      <c r="B2647" t="s">
        <v>960</v>
      </c>
      <c r="C2647" t="s">
        <v>1813</v>
      </c>
      <c r="D2647" t="s">
        <v>141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45">
      <c r="A2648" t="s">
        <v>959</v>
      </c>
      <c r="B2648" t="s">
        <v>960</v>
      </c>
      <c r="C2648" t="s">
        <v>235</v>
      </c>
      <c r="D2648" t="s">
        <v>141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45">
      <c r="A2649" t="s">
        <v>959</v>
      </c>
      <c r="B2649" t="s">
        <v>960</v>
      </c>
      <c r="C2649" t="s">
        <v>237</v>
      </c>
      <c r="D2649" t="s">
        <v>141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45">
      <c r="A2650" t="s">
        <v>959</v>
      </c>
      <c r="B2650" t="s">
        <v>960</v>
      </c>
      <c r="C2650" t="s">
        <v>1814</v>
      </c>
      <c r="D2650" t="s">
        <v>141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45">
      <c r="A2651" t="s">
        <v>959</v>
      </c>
      <c r="B2651" t="s">
        <v>960</v>
      </c>
      <c r="C2651" t="s">
        <v>1815</v>
      </c>
      <c r="D2651" t="s">
        <v>141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45">
      <c r="A2652" t="s">
        <v>959</v>
      </c>
      <c r="B2652" t="s">
        <v>960</v>
      </c>
      <c r="C2652" t="s">
        <v>202</v>
      </c>
      <c r="D2652" t="s">
        <v>141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45">
      <c r="A2653" t="s">
        <v>959</v>
      </c>
      <c r="B2653" t="s">
        <v>960</v>
      </c>
      <c r="C2653" t="s">
        <v>1816</v>
      </c>
      <c r="D2653" t="s">
        <v>141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45">
      <c r="A2654" t="s">
        <v>959</v>
      </c>
      <c r="B2654" t="s">
        <v>960</v>
      </c>
      <c r="C2654" t="s">
        <v>1817</v>
      </c>
      <c r="D2654" t="s">
        <v>141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45">
      <c r="A2655" t="s">
        <v>959</v>
      </c>
      <c r="B2655" t="s">
        <v>960</v>
      </c>
      <c r="C2655" t="s">
        <v>1818</v>
      </c>
      <c r="D2655" t="s">
        <v>141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45">
      <c r="A2656" t="s">
        <v>959</v>
      </c>
      <c r="B2656" t="s">
        <v>960</v>
      </c>
      <c r="C2656" t="s">
        <v>1428</v>
      </c>
      <c r="D2656" t="s">
        <v>141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45">
      <c r="A2657" t="s">
        <v>959</v>
      </c>
      <c r="B2657" t="s">
        <v>960</v>
      </c>
      <c r="C2657" t="s">
        <v>718</v>
      </c>
      <c r="D2657" t="s">
        <v>141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45">
      <c r="A2658" t="s">
        <v>959</v>
      </c>
      <c r="B2658" t="s">
        <v>960</v>
      </c>
      <c r="C2658" t="s">
        <v>1819</v>
      </c>
      <c r="D2658" t="s">
        <v>141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45">
      <c r="A2659" t="s">
        <v>959</v>
      </c>
      <c r="B2659" t="s">
        <v>960</v>
      </c>
      <c r="C2659" t="s">
        <v>944</v>
      </c>
      <c r="D2659" t="s">
        <v>141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45">
      <c r="A2660" t="s">
        <v>959</v>
      </c>
      <c r="B2660" t="s">
        <v>960</v>
      </c>
      <c r="C2660" t="s">
        <v>1820</v>
      </c>
      <c r="D2660" t="s">
        <v>141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45">
      <c r="A2661" t="s">
        <v>959</v>
      </c>
      <c r="B2661" t="s">
        <v>960</v>
      </c>
      <c r="C2661" t="s">
        <v>1821</v>
      </c>
      <c r="D2661" t="s">
        <v>141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45">
      <c r="A2662" t="s">
        <v>959</v>
      </c>
      <c r="B2662" t="s">
        <v>960</v>
      </c>
      <c r="C2662" t="s">
        <v>960</v>
      </c>
      <c r="D2662" t="s">
        <v>141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45">
      <c r="A2663" t="s">
        <v>959</v>
      </c>
      <c r="B2663" t="s">
        <v>960</v>
      </c>
      <c r="C2663" t="s">
        <v>1822</v>
      </c>
      <c r="D2663" t="s">
        <v>141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45">
      <c r="A2664" t="s">
        <v>959</v>
      </c>
      <c r="B2664" t="s">
        <v>960</v>
      </c>
      <c r="C2664" t="s">
        <v>560</v>
      </c>
      <c r="D2664" t="s">
        <v>141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45">
      <c r="A2665" t="s">
        <v>959</v>
      </c>
      <c r="B2665" t="s">
        <v>960</v>
      </c>
      <c r="C2665" t="s">
        <v>562</v>
      </c>
      <c r="D2665" t="s">
        <v>141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45">
      <c r="A2666" t="s">
        <v>959</v>
      </c>
      <c r="B2666" t="s">
        <v>960</v>
      </c>
      <c r="C2666" t="s">
        <v>563</v>
      </c>
      <c r="D2666" t="s">
        <v>141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45">
      <c r="A2667" t="s">
        <v>959</v>
      </c>
      <c r="B2667" t="s">
        <v>960</v>
      </c>
      <c r="C2667" t="s">
        <v>1823</v>
      </c>
      <c r="D2667" t="s">
        <v>141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45">
      <c r="A2668" t="s">
        <v>959</v>
      </c>
      <c r="B2668" t="s">
        <v>960</v>
      </c>
      <c r="C2668" t="s">
        <v>1824</v>
      </c>
      <c r="D2668" t="s">
        <v>141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45">
      <c r="A2669" t="s">
        <v>959</v>
      </c>
      <c r="B2669" t="s">
        <v>960</v>
      </c>
      <c r="C2669" t="s">
        <v>729</v>
      </c>
      <c r="D2669" t="s">
        <v>141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45">
      <c r="A2670" t="s">
        <v>959</v>
      </c>
      <c r="B2670" t="s">
        <v>960</v>
      </c>
      <c r="C2670" t="s">
        <v>564</v>
      </c>
      <c r="D2670" t="s">
        <v>141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45">
      <c r="A2671" t="s">
        <v>959</v>
      </c>
      <c r="B2671" t="s">
        <v>960</v>
      </c>
      <c r="C2671" t="s">
        <v>1825</v>
      </c>
      <c r="D2671" t="s">
        <v>141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45">
      <c r="A2672" t="s">
        <v>959</v>
      </c>
      <c r="B2672" t="s">
        <v>960</v>
      </c>
      <c r="C2672" t="s">
        <v>1826</v>
      </c>
      <c r="D2672" t="s">
        <v>141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45">
      <c r="A2673" t="s">
        <v>959</v>
      </c>
      <c r="B2673" t="s">
        <v>960</v>
      </c>
      <c r="C2673" t="s">
        <v>1827</v>
      </c>
      <c r="D2673" t="s">
        <v>141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45">
      <c r="A2674" t="s">
        <v>959</v>
      </c>
      <c r="B2674" t="s">
        <v>960</v>
      </c>
      <c r="C2674" t="s">
        <v>1411</v>
      </c>
      <c r="D2674" t="s">
        <v>141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45">
      <c r="A2675" t="s">
        <v>959</v>
      </c>
      <c r="B2675" t="s">
        <v>960</v>
      </c>
      <c r="C2675" t="s">
        <v>1828</v>
      </c>
      <c r="D2675" t="s">
        <v>141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45">
      <c r="A2676" t="s">
        <v>959</v>
      </c>
      <c r="B2676" t="s">
        <v>960</v>
      </c>
      <c r="C2676" t="s">
        <v>1131</v>
      </c>
      <c r="D2676" t="s">
        <v>141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45">
      <c r="A2677" t="s">
        <v>959</v>
      </c>
      <c r="B2677" t="s">
        <v>960</v>
      </c>
      <c r="C2677" t="s">
        <v>772</v>
      </c>
      <c r="D2677" t="s">
        <v>140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45">
      <c r="A2678" t="s">
        <v>959</v>
      </c>
      <c r="B2678" t="s">
        <v>960</v>
      </c>
      <c r="C2678" t="s">
        <v>1829</v>
      </c>
      <c r="D2678" t="s">
        <v>141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45">
      <c r="A2679" t="s">
        <v>959</v>
      </c>
      <c r="B2679" t="s">
        <v>960</v>
      </c>
      <c r="C2679" t="s">
        <v>1830</v>
      </c>
      <c r="D2679" t="s">
        <v>141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45">
      <c r="A2680" t="s">
        <v>959</v>
      </c>
      <c r="B2680" t="s">
        <v>960</v>
      </c>
      <c r="C2680" t="s">
        <v>1831</v>
      </c>
      <c r="D2680" t="s">
        <v>141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45">
      <c r="A2681" t="s">
        <v>959</v>
      </c>
      <c r="B2681" t="s">
        <v>960</v>
      </c>
      <c r="C2681" t="s">
        <v>219</v>
      </c>
      <c r="D2681" t="s">
        <v>141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45">
      <c r="A2682" t="s">
        <v>959</v>
      </c>
      <c r="B2682" t="s">
        <v>960</v>
      </c>
      <c r="C2682" t="s">
        <v>1832</v>
      </c>
      <c r="D2682" t="s">
        <v>141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45">
      <c r="A2683" t="s">
        <v>959</v>
      </c>
      <c r="B2683" t="s">
        <v>960</v>
      </c>
      <c r="C2683" t="s">
        <v>1833</v>
      </c>
      <c r="D2683" t="s">
        <v>141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45">
      <c r="A2684" t="s">
        <v>959</v>
      </c>
      <c r="B2684" t="s">
        <v>960</v>
      </c>
      <c r="C2684" t="s">
        <v>1834</v>
      </c>
      <c r="D2684" t="s">
        <v>141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45">
      <c r="A2685" t="s">
        <v>969</v>
      </c>
      <c r="B2685" t="s">
        <v>970</v>
      </c>
      <c r="C2685" t="s">
        <v>335</v>
      </c>
      <c r="D2685" t="s">
        <v>110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45">
      <c r="A2686" t="s">
        <v>969</v>
      </c>
      <c r="B2686" t="s">
        <v>970</v>
      </c>
      <c r="C2686" t="s">
        <v>481</v>
      </c>
      <c r="D2686" t="s">
        <v>112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45">
      <c r="A2687" t="s">
        <v>989</v>
      </c>
      <c r="B2687" t="s">
        <v>990</v>
      </c>
      <c r="C2687" t="s">
        <v>478</v>
      </c>
      <c r="D2687" t="s">
        <v>110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45">
      <c r="A2688" t="s">
        <v>989</v>
      </c>
      <c r="B2688" t="s">
        <v>990</v>
      </c>
      <c r="C2688" t="s">
        <v>191</v>
      </c>
      <c r="D2688" t="s">
        <v>110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45">
      <c r="A2689" t="s">
        <v>989</v>
      </c>
      <c r="B2689" t="s">
        <v>990</v>
      </c>
      <c r="C2689" t="s">
        <v>1835</v>
      </c>
      <c r="D2689" t="s">
        <v>110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45">
      <c r="A2690" t="s">
        <v>989</v>
      </c>
      <c r="B2690" t="s">
        <v>990</v>
      </c>
      <c r="C2690" t="s">
        <v>1836</v>
      </c>
      <c r="D2690" t="s">
        <v>110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45">
      <c r="A2691" t="s">
        <v>989</v>
      </c>
      <c r="B2691" t="s">
        <v>990</v>
      </c>
      <c r="C2691" t="s">
        <v>808</v>
      </c>
      <c r="D2691" t="s">
        <v>110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45">
      <c r="A2692" t="s">
        <v>989</v>
      </c>
      <c r="B2692" t="s">
        <v>990</v>
      </c>
      <c r="C2692" t="s">
        <v>194</v>
      </c>
      <c r="D2692" t="s">
        <v>110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45">
      <c r="A2693" t="s">
        <v>989</v>
      </c>
      <c r="B2693" t="s">
        <v>990</v>
      </c>
      <c r="C2693" t="s">
        <v>1837</v>
      </c>
      <c r="D2693" t="s">
        <v>110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45">
      <c r="A2694" t="s">
        <v>989</v>
      </c>
      <c r="B2694" t="s">
        <v>990</v>
      </c>
      <c r="C2694" t="s">
        <v>1838</v>
      </c>
      <c r="D2694" t="s">
        <v>110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45">
      <c r="A2695" t="s">
        <v>989</v>
      </c>
      <c r="B2695" t="s">
        <v>990</v>
      </c>
      <c r="C2695" t="s">
        <v>1839</v>
      </c>
      <c r="D2695" t="s">
        <v>110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45">
      <c r="A2696" t="s">
        <v>989</v>
      </c>
      <c r="B2696" t="s">
        <v>990</v>
      </c>
      <c r="C2696" t="s">
        <v>1840</v>
      </c>
      <c r="D2696" t="s">
        <v>110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45">
      <c r="A2697" t="s">
        <v>989</v>
      </c>
      <c r="B2697" t="s">
        <v>990</v>
      </c>
      <c r="C2697" t="s">
        <v>1841</v>
      </c>
      <c r="D2697" t="s">
        <v>110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45">
      <c r="A2698" t="s">
        <v>989</v>
      </c>
      <c r="B2698" t="s">
        <v>990</v>
      </c>
      <c r="C2698" t="s">
        <v>457</v>
      </c>
      <c r="D2698" t="s">
        <v>110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45">
      <c r="A2699" t="s">
        <v>989</v>
      </c>
      <c r="B2699" t="s">
        <v>990</v>
      </c>
      <c r="C2699" t="s">
        <v>1842</v>
      </c>
      <c r="D2699" t="s">
        <v>110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45">
      <c r="A2700" t="s">
        <v>989</v>
      </c>
      <c r="B2700" t="s">
        <v>990</v>
      </c>
      <c r="C2700" t="s">
        <v>204</v>
      </c>
      <c r="D2700" t="s">
        <v>110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45">
      <c r="A2701" t="s">
        <v>989</v>
      </c>
      <c r="B2701" t="s">
        <v>990</v>
      </c>
      <c r="C2701" t="s">
        <v>205</v>
      </c>
      <c r="D2701" t="s">
        <v>141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45">
      <c r="A2702" t="s">
        <v>989</v>
      </c>
      <c r="B2702" t="s">
        <v>990</v>
      </c>
      <c r="C2702" t="s">
        <v>1843</v>
      </c>
      <c r="D2702" t="s">
        <v>110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45">
      <c r="A2703" t="s">
        <v>989</v>
      </c>
      <c r="B2703" t="s">
        <v>990</v>
      </c>
      <c r="C2703" t="s">
        <v>889</v>
      </c>
      <c r="D2703" t="s">
        <v>110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45">
      <c r="A2704" t="s">
        <v>989</v>
      </c>
      <c r="B2704" t="s">
        <v>990</v>
      </c>
      <c r="C2704" t="s">
        <v>1215</v>
      </c>
      <c r="D2704" t="s">
        <v>110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45">
      <c r="A2705" t="s">
        <v>989</v>
      </c>
      <c r="B2705" t="s">
        <v>990</v>
      </c>
      <c r="C2705" t="s">
        <v>207</v>
      </c>
      <c r="D2705" t="s">
        <v>110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45">
      <c r="A2706" t="s">
        <v>989</v>
      </c>
      <c r="B2706" t="s">
        <v>990</v>
      </c>
      <c r="C2706" t="s">
        <v>1844</v>
      </c>
      <c r="D2706" t="s">
        <v>141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45">
      <c r="A2707" t="s">
        <v>989</v>
      </c>
      <c r="B2707" t="s">
        <v>990</v>
      </c>
      <c r="C2707" t="s">
        <v>209</v>
      </c>
      <c r="D2707" t="s">
        <v>110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45">
      <c r="A2708" t="s">
        <v>989</v>
      </c>
      <c r="B2708" t="s">
        <v>990</v>
      </c>
      <c r="C2708" t="s">
        <v>1845</v>
      </c>
      <c r="D2708" t="s">
        <v>110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45">
      <c r="A2709" t="s">
        <v>989</v>
      </c>
      <c r="B2709" t="s">
        <v>990</v>
      </c>
      <c r="C2709" t="s">
        <v>1846</v>
      </c>
      <c r="D2709" t="s">
        <v>110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45">
      <c r="A2710" t="s">
        <v>989</v>
      </c>
      <c r="B2710" t="s">
        <v>990</v>
      </c>
      <c r="C2710" t="s">
        <v>1847</v>
      </c>
      <c r="D2710" t="s">
        <v>110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45">
      <c r="A2711" t="s">
        <v>989</v>
      </c>
      <c r="B2711" t="s">
        <v>990</v>
      </c>
      <c r="C2711" t="s">
        <v>630</v>
      </c>
      <c r="D2711" t="s">
        <v>110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45">
      <c r="A2712" t="s">
        <v>989</v>
      </c>
      <c r="B2712" t="s">
        <v>990</v>
      </c>
      <c r="C2712" t="s">
        <v>770</v>
      </c>
      <c r="D2712" t="s">
        <v>110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45">
      <c r="A2713" t="s">
        <v>989</v>
      </c>
      <c r="B2713" t="s">
        <v>990</v>
      </c>
      <c r="C2713" t="s">
        <v>1848</v>
      </c>
      <c r="D2713" t="s">
        <v>110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45">
      <c r="A2714" t="s">
        <v>989</v>
      </c>
      <c r="B2714" t="s">
        <v>990</v>
      </c>
      <c r="C2714" t="s">
        <v>881</v>
      </c>
      <c r="D2714" t="s">
        <v>110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45">
      <c r="A2715" t="s">
        <v>989</v>
      </c>
      <c r="B2715" t="s">
        <v>990</v>
      </c>
      <c r="C2715" t="s">
        <v>258</v>
      </c>
      <c r="D2715" t="s">
        <v>110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45">
      <c r="A2716" t="s">
        <v>989</v>
      </c>
      <c r="B2716" t="s">
        <v>990</v>
      </c>
      <c r="C2716" t="s">
        <v>1849</v>
      </c>
      <c r="D2716" t="s">
        <v>110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45">
      <c r="A2717" t="s">
        <v>989</v>
      </c>
      <c r="B2717" t="s">
        <v>990</v>
      </c>
      <c r="C2717" t="s">
        <v>405</v>
      </c>
      <c r="D2717" t="s">
        <v>110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45">
      <c r="A2718" t="s">
        <v>989</v>
      </c>
      <c r="B2718" t="s">
        <v>990</v>
      </c>
      <c r="C2718" t="s">
        <v>219</v>
      </c>
      <c r="D2718" t="s">
        <v>110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45">
      <c r="A2719" t="s">
        <v>989</v>
      </c>
      <c r="B2719" t="s">
        <v>990</v>
      </c>
      <c r="C2719" t="s">
        <v>406</v>
      </c>
      <c r="D2719" t="s">
        <v>110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45">
      <c r="A2720" t="s">
        <v>989</v>
      </c>
      <c r="B2720" t="s">
        <v>990</v>
      </c>
      <c r="C2720" t="s">
        <v>1850</v>
      </c>
      <c r="D2720" t="s">
        <v>110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45">
      <c r="A2721" t="s">
        <v>989</v>
      </c>
      <c r="B2721" t="s">
        <v>990</v>
      </c>
      <c r="C2721" t="s">
        <v>1256</v>
      </c>
      <c r="D2721" t="s">
        <v>110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45">
      <c r="A2722" t="s">
        <v>989</v>
      </c>
      <c r="B2722" t="s">
        <v>990</v>
      </c>
      <c r="C2722" t="s">
        <v>632</v>
      </c>
      <c r="D2722" t="s">
        <v>141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45">
      <c r="A2723" t="s">
        <v>1851</v>
      </c>
      <c r="B2723" t="s">
        <v>1852</v>
      </c>
      <c r="C2723" t="s">
        <v>657</v>
      </c>
      <c r="D2723" t="s">
        <v>110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45">
      <c r="A2724" t="s">
        <v>1851</v>
      </c>
      <c r="B2724" t="s">
        <v>1852</v>
      </c>
      <c r="C2724" t="s">
        <v>329</v>
      </c>
      <c r="D2724" t="s">
        <v>110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45">
      <c r="A2725" t="s">
        <v>1851</v>
      </c>
      <c r="B2725" t="s">
        <v>1852</v>
      </c>
      <c r="C2725" t="s">
        <v>1853</v>
      </c>
      <c r="D2725" t="s">
        <v>110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45">
      <c r="A2726" t="s">
        <v>1851</v>
      </c>
      <c r="B2726" t="s">
        <v>1852</v>
      </c>
      <c r="C2726" t="s">
        <v>1854</v>
      </c>
      <c r="D2726" t="s">
        <v>110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45">
      <c r="A2727" t="s">
        <v>1851</v>
      </c>
      <c r="B2727" t="s">
        <v>1852</v>
      </c>
      <c r="C2727" t="s">
        <v>219</v>
      </c>
      <c r="D2727" t="s">
        <v>110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45">
      <c r="A2728" t="s">
        <v>1006</v>
      </c>
      <c r="B2728" t="s">
        <v>1007</v>
      </c>
      <c r="C2728" t="s">
        <v>1855</v>
      </c>
      <c r="D2728" t="s">
        <v>141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45">
      <c r="A2729" t="s">
        <v>1006</v>
      </c>
      <c r="B2729" t="s">
        <v>1007</v>
      </c>
      <c r="C2729" t="s">
        <v>1856</v>
      </c>
      <c r="D2729" t="s">
        <v>141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45">
      <c r="A2730" t="s">
        <v>1006</v>
      </c>
      <c r="B2730" t="s">
        <v>1007</v>
      </c>
      <c r="C2730" t="s">
        <v>1857</v>
      </c>
      <c r="D2730" t="s">
        <v>137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45">
      <c r="A2731" t="s">
        <v>1006</v>
      </c>
      <c r="B2731" t="s">
        <v>1007</v>
      </c>
      <c r="C2731" t="s">
        <v>1073</v>
      </c>
      <c r="D2731" t="s">
        <v>141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45">
      <c r="A2732" t="s">
        <v>1006</v>
      </c>
      <c r="B2732" t="s">
        <v>1007</v>
      </c>
      <c r="C2732" t="s">
        <v>1858</v>
      </c>
      <c r="D2732" t="s">
        <v>137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45">
      <c r="A2733" t="s">
        <v>1006</v>
      </c>
      <c r="B2733" t="s">
        <v>1007</v>
      </c>
      <c r="C2733" t="s">
        <v>1859</v>
      </c>
      <c r="D2733" t="s">
        <v>137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45">
      <c r="A2734" t="s">
        <v>1006</v>
      </c>
      <c r="B2734" t="s">
        <v>1007</v>
      </c>
      <c r="C2734" t="s">
        <v>1747</v>
      </c>
      <c r="D2734" t="s">
        <v>137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45">
      <c r="A2735" t="s">
        <v>1006</v>
      </c>
      <c r="B2735" t="s">
        <v>1007</v>
      </c>
      <c r="C2735" t="s">
        <v>1236</v>
      </c>
      <c r="D2735" t="s">
        <v>137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45">
      <c r="A2736" t="s">
        <v>1006</v>
      </c>
      <c r="B2736" t="s">
        <v>1007</v>
      </c>
      <c r="C2736" t="s">
        <v>156</v>
      </c>
      <c r="D2736" t="s">
        <v>141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45">
      <c r="A2737" t="s">
        <v>1006</v>
      </c>
      <c r="B2737" t="s">
        <v>1007</v>
      </c>
      <c r="C2737" t="s">
        <v>1860</v>
      </c>
      <c r="D2737" t="s">
        <v>137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45">
      <c r="A2738" t="s">
        <v>1006</v>
      </c>
      <c r="B2738" t="s">
        <v>1007</v>
      </c>
      <c r="C2738" t="s">
        <v>160</v>
      </c>
      <c r="D2738" t="s">
        <v>141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45">
      <c r="A2739" t="s">
        <v>1006</v>
      </c>
      <c r="B2739" t="s">
        <v>1007</v>
      </c>
      <c r="C2739" t="s">
        <v>1000</v>
      </c>
      <c r="D2739" t="s">
        <v>141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45">
      <c r="A2740" t="s">
        <v>1006</v>
      </c>
      <c r="B2740" t="s">
        <v>1007</v>
      </c>
      <c r="C2740" t="s">
        <v>1861</v>
      </c>
      <c r="D2740" t="s">
        <v>141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45">
      <c r="A2741" t="s">
        <v>1006</v>
      </c>
      <c r="B2741" t="s">
        <v>1007</v>
      </c>
      <c r="C2741" t="s">
        <v>1862</v>
      </c>
      <c r="D2741" t="s">
        <v>141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45">
      <c r="A2742" t="s">
        <v>1006</v>
      </c>
      <c r="B2742" t="s">
        <v>1007</v>
      </c>
      <c r="C2742" t="s">
        <v>1863</v>
      </c>
      <c r="D2742" t="s">
        <v>137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45">
      <c r="A2743" t="s">
        <v>1006</v>
      </c>
      <c r="B2743" t="s">
        <v>1007</v>
      </c>
      <c r="C2743" t="s">
        <v>1864</v>
      </c>
      <c r="D2743" t="s">
        <v>141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45">
      <c r="A2744" t="s">
        <v>1006</v>
      </c>
      <c r="B2744" t="s">
        <v>1007</v>
      </c>
      <c r="C2744" t="s">
        <v>1865</v>
      </c>
      <c r="D2744" t="s">
        <v>141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45">
      <c r="A2745" t="s">
        <v>1006</v>
      </c>
      <c r="B2745" t="s">
        <v>1007</v>
      </c>
      <c r="C2745" t="s">
        <v>643</v>
      </c>
      <c r="D2745" t="s">
        <v>137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45">
      <c r="A2746" t="s">
        <v>1006</v>
      </c>
      <c r="B2746" t="s">
        <v>1007</v>
      </c>
      <c r="C2746" t="s">
        <v>1866</v>
      </c>
      <c r="D2746" t="s">
        <v>141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45">
      <c r="A2747" t="s">
        <v>1006</v>
      </c>
      <c r="B2747" t="s">
        <v>1007</v>
      </c>
      <c r="C2747" t="s">
        <v>319</v>
      </c>
      <c r="D2747" t="s">
        <v>141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45">
      <c r="A2748" t="s">
        <v>1006</v>
      </c>
      <c r="B2748" t="s">
        <v>1007</v>
      </c>
      <c r="C2748" t="s">
        <v>1867</v>
      </c>
      <c r="D2748" t="s">
        <v>141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45">
      <c r="A2749" t="s">
        <v>1006</v>
      </c>
      <c r="B2749" t="s">
        <v>1007</v>
      </c>
      <c r="C2749" t="s">
        <v>1868</v>
      </c>
      <c r="D2749" t="s">
        <v>137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45">
      <c r="A2750" t="s">
        <v>1006</v>
      </c>
      <c r="B2750" t="s">
        <v>1007</v>
      </c>
      <c r="C2750" t="s">
        <v>1869</v>
      </c>
      <c r="D2750" t="s">
        <v>141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45">
      <c r="A2751" t="s">
        <v>1006</v>
      </c>
      <c r="B2751" t="s">
        <v>1007</v>
      </c>
      <c r="C2751" t="s">
        <v>537</v>
      </c>
      <c r="D2751" t="s">
        <v>141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45">
      <c r="A2752" t="s">
        <v>1021</v>
      </c>
      <c r="B2752" t="s">
        <v>1022</v>
      </c>
      <c r="C2752" t="s">
        <v>1870</v>
      </c>
      <c r="D2752" t="s">
        <v>110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45">
      <c r="A2753" t="s">
        <v>1021</v>
      </c>
      <c r="B2753" t="s">
        <v>1022</v>
      </c>
      <c r="C2753" t="s">
        <v>550</v>
      </c>
      <c r="D2753" t="s">
        <v>110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45">
      <c r="A2754" t="s">
        <v>1021</v>
      </c>
      <c r="B2754" t="s">
        <v>1022</v>
      </c>
      <c r="C2754" t="s">
        <v>551</v>
      </c>
      <c r="D2754" t="s">
        <v>110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45">
      <c r="A2755" t="s">
        <v>1021</v>
      </c>
      <c r="B2755" t="s">
        <v>1022</v>
      </c>
      <c r="C2755" t="s">
        <v>1871</v>
      </c>
      <c r="D2755" t="s">
        <v>110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45">
      <c r="A2756" t="s">
        <v>1021</v>
      </c>
      <c r="B2756" t="s">
        <v>1022</v>
      </c>
      <c r="C2756" t="s">
        <v>1872</v>
      </c>
      <c r="D2756" t="s">
        <v>110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45">
      <c r="A2757" t="s">
        <v>1021</v>
      </c>
      <c r="B2757" t="s">
        <v>1022</v>
      </c>
      <c r="C2757" t="s">
        <v>1873</v>
      </c>
      <c r="D2757" t="s">
        <v>110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45">
      <c r="A2758" t="s">
        <v>1021</v>
      </c>
      <c r="B2758" t="s">
        <v>1022</v>
      </c>
      <c r="C2758" t="s">
        <v>1874</v>
      </c>
      <c r="D2758" t="s">
        <v>110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45">
      <c r="A2759" t="s">
        <v>1021</v>
      </c>
      <c r="B2759" t="s">
        <v>1022</v>
      </c>
      <c r="C2759" t="s">
        <v>1617</v>
      </c>
      <c r="D2759" t="s">
        <v>110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45">
      <c r="A2760" t="s">
        <v>1021</v>
      </c>
      <c r="B2760" t="s">
        <v>1022</v>
      </c>
      <c r="C2760" t="s">
        <v>815</v>
      </c>
      <c r="D2760" t="s">
        <v>110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45">
      <c r="A2761" t="s">
        <v>1021</v>
      </c>
      <c r="B2761" t="s">
        <v>1022</v>
      </c>
      <c r="C2761" t="s">
        <v>1845</v>
      </c>
      <c r="D2761" t="s">
        <v>110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45">
      <c r="A2762" t="s">
        <v>1021</v>
      </c>
      <c r="B2762" t="s">
        <v>1022</v>
      </c>
      <c r="C2762" t="s">
        <v>1875</v>
      </c>
      <c r="D2762" t="s">
        <v>110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45">
      <c r="A2763" t="s">
        <v>1021</v>
      </c>
      <c r="B2763" t="s">
        <v>1022</v>
      </c>
      <c r="C2763" t="s">
        <v>1876</v>
      </c>
      <c r="D2763" t="s">
        <v>110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45">
      <c r="A2764" t="s">
        <v>1021</v>
      </c>
      <c r="B2764" t="s">
        <v>1022</v>
      </c>
      <c r="C2764" t="s">
        <v>763</v>
      </c>
      <c r="D2764" t="s">
        <v>110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45">
      <c r="A2765" t="s">
        <v>1021</v>
      </c>
      <c r="B2765" t="s">
        <v>1022</v>
      </c>
      <c r="C2765" t="s">
        <v>1877</v>
      </c>
      <c r="D2765" t="s">
        <v>110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45">
      <c r="A2766" t="s">
        <v>1021</v>
      </c>
      <c r="B2766" t="s">
        <v>1022</v>
      </c>
      <c r="C2766" t="s">
        <v>1878</v>
      </c>
      <c r="D2766" t="s">
        <v>110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45">
      <c r="A2767" t="s">
        <v>1021</v>
      </c>
      <c r="B2767" t="s">
        <v>1022</v>
      </c>
      <c r="C2767" t="s">
        <v>1879</v>
      </c>
      <c r="D2767" t="s">
        <v>110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45">
      <c r="A2768" t="s">
        <v>1021</v>
      </c>
      <c r="B2768" t="s">
        <v>1022</v>
      </c>
      <c r="C2768" t="s">
        <v>610</v>
      </c>
      <c r="D2768" t="s">
        <v>110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45">
      <c r="A2769" t="s">
        <v>1021</v>
      </c>
      <c r="B2769" t="s">
        <v>1022</v>
      </c>
      <c r="C2769" t="s">
        <v>1880</v>
      </c>
      <c r="D2769" t="s">
        <v>110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45">
      <c r="A2770" t="s">
        <v>1021</v>
      </c>
      <c r="B2770" t="s">
        <v>1022</v>
      </c>
      <c r="C2770" t="s">
        <v>400</v>
      </c>
      <c r="D2770" t="s">
        <v>110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45">
      <c r="A2771" t="s">
        <v>1021</v>
      </c>
      <c r="B2771" t="s">
        <v>1022</v>
      </c>
      <c r="C2771" t="s">
        <v>258</v>
      </c>
      <c r="D2771" t="s">
        <v>110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45">
      <c r="A2772" t="s">
        <v>1021</v>
      </c>
      <c r="B2772" t="s">
        <v>1022</v>
      </c>
      <c r="C2772" t="s">
        <v>1881</v>
      </c>
      <c r="D2772" t="s">
        <v>110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45">
      <c r="A2773" t="s">
        <v>1021</v>
      </c>
      <c r="B2773" t="s">
        <v>1022</v>
      </c>
      <c r="C2773" t="s">
        <v>1882</v>
      </c>
      <c r="D2773" t="s">
        <v>110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45">
      <c r="A2774" t="s">
        <v>1021</v>
      </c>
      <c r="B2774" t="s">
        <v>1022</v>
      </c>
      <c r="C2774" t="s">
        <v>1883</v>
      </c>
      <c r="D2774" t="s">
        <v>110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45">
      <c r="A2775" t="s">
        <v>1053</v>
      </c>
      <c r="B2775" t="s">
        <v>1054</v>
      </c>
      <c r="C2775" t="s">
        <v>1073</v>
      </c>
      <c r="D2775" t="s">
        <v>141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45">
      <c r="A2776" t="s">
        <v>1053</v>
      </c>
      <c r="B2776" t="s">
        <v>1054</v>
      </c>
      <c r="C2776" t="s">
        <v>993</v>
      </c>
      <c r="D2776" t="s">
        <v>141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45">
      <c r="A2777" t="s">
        <v>1053</v>
      </c>
      <c r="B2777" t="s">
        <v>1054</v>
      </c>
      <c r="C2777" t="s">
        <v>481</v>
      </c>
      <c r="D2777" t="s">
        <v>141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45">
      <c r="A2778" t="s">
        <v>1053</v>
      </c>
      <c r="B2778" t="s">
        <v>1054</v>
      </c>
      <c r="C2778" t="s">
        <v>1884</v>
      </c>
      <c r="D2778" t="s">
        <v>141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45">
      <c r="A2779" t="s">
        <v>1053</v>
      </c>
      <c r="B2779" t="s">
        <v>1054</v>
      </c>
      <c r="C2779" t="s">
        <v>150</v>
      </c>
      <c r="D2779" t="s">
        <v>141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45">
      <c r="A2780" t="s">
        <v>1053</v>
      </c>
      <c r="B2780" t="s">
        <v>1054</v>
      </c>
      <c r="C2780" t="s">
        <v>1320</v>
      </c>
      <c r="D2780" t="s">
        <v>141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45">
      <c r="A2781" t="s">
        <v>1053</v>
      </c>
      <c r="B2781" t="s">
        <v>1054</v>
      </c>
      <c r="C2781" t="s">
        <v>1030</v>
      </c>
      <c r="D2781" t="s">
        <v>141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45">
      <c r="A2782" t="s">
        <v>1053</v>
      </c>
      <c r="B2782" t="s">
        <v>1054</v>
      </c>
      <c r="C2782" t="s">
        <v>1885</v>
      </c>
      <c r="D2782" t="s">
        <v>141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45">
      <c r="A2783" t="s">
        <v>1053</v>
      </c>
      <c r="B2783" t="s">
        <v>1054</v>
      </c>
      <c r="C2783" t="s">
        <v>355</v>
      </c>
      <c r="D2783" t="s">
        <v>141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45">
      <c r="A2784" t="s">
        <v>1053</v>
      </c>
      <c r="B2784" t="s">
        <v>1054</v>
      </c>
      <c r="C2784" t="s">
        <v>780</v>
      </c>
      <c r="D2784" t="s">
        <v>141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45">
      <c r="A2785" t="s">
        <v>1053</v>
      </c>
      <c r="B2785" t="s">
        <v>1054</v>
      </c>
      <c r="C2785" t="s">
        <v>1886</v>
      </c>
      <c r="D2785" t="s">
        <v>141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45">
      <c r="A2786" t="s">
        <v>1053</v>
      </c>
      <c r="B2786" t="s">
        <v>1054</v>
      </c>
      <c r="C2786" t="s">
        <v>1000</v>
      </c>
      <c r="D2786" t="s">
        <v>141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45">
      <c r="A2787" t="s">
        <v>1053</v>
      </c>
      <c r="B2787" t="s">
        <v>1054</v>
      </c>
      <c r="C2787" t="s">
        <v>1541</v>
      </c>
      <c r="D2787" t="s">
        <v>141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45">
      <c r="A2788" t="s">
        <v>1053</v>
      </c>
      <c r="B2788" t="s">
        <v>1054</v>
      </c>
      <c r="C2788" t="s">
        <v>166</v>
      </c>
      <c r="D2788" t="s">
        <v>141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45">
      <c r="A2789" t="s">
        <v>1053</v>
      </c>
      <c r="B2789" t="s">
        <v>1054</v>
      </c>
      <c r="C2789" t="s">
        <v>1887</v>
      </c>
      <c r="D2789" t="s">
        <v>141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45">
      <c r="A2790" t="s">
        <v>1053</v>
      </c>
      <c r="B2790" t="s">
        <v>1054</v>
      </c>
      <c r="C2790" t="s">
        <v>168</v>
      </c>
      <c r="D2790" t="s">
        <v>141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45">
      <c r="A2791" t="s">
        <v>1053</v>
      </c>
      <c r="B2791" t="s">
        <v>1054</v>
      </c>
      <c r="C2791" t="s">
        <v>1888</v>
      </c>
      <c r="D2791" t="s">
        <v>141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45">
      <c r="A2792" t="s">
        <v>1053</v>
      </c>
      <c r="B2792" t="s">
        <v>1054</v>
      </c>
      <c r="C2792" t="s">
        <v>624</v>
      </c>
      <c r="D2792" t="s">
        <v>141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45">
      <c r="A2793" t="s">
        <v>1053</v>
      </c>
      <c r="B2793" t="s">
        <v>1054</v>
      </c>
      <c r="C2793" t="s">
        <v>1761</v>
      </c>
      <c r="D2793" t="s">
        <v>141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45">
      <c r="A2794" t="s">
        <v>1053</v>
      </c>
      <c r="B2794" t="s">
        <v>1054</v>
      </c>
      <c r="C2794" t="s">
        <v>372</v>
      </c>
      <c r="D2794" t="s">
        <v>141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45">
      <c r="A2795" t="s">
        <v>1053</v>
      </c>
      <c r="B2795" t="s">
        <v>1054</v>
      </c>
      <c r="C2795" t="s">
        <v>178</v>
      </c>
      <c r="D2795" t="s">
        <v>141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45">
      <c r="A2796" t="s">
        <v>1053</v>
      </c>
      <c r="B2796" t="s">
        <v>1054</v>
      </c>
      <c r="C2796" t="s">
        <v>1889</v>
      </c>
      <c r="D2796" t="s">
        <v>141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45">
      <c r="A2797" t="s">
        <v>1053</v>
      </c>
      <c r="B2797" t="s">
        <v>1054</v>
      </c>
      <c r="C2797" t="s">
        <v>1890</v>
      </c>
      <c r="D2797" t="s">
        <v>141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45">
      <c r="A2798" t="s">
        <v>1053</v>
      </c>
      <c r="B2798" t="s">
        <v>1054</v>
      </c>
      <c r="C2798" t="s">
        <v>183</v>
      </c>
      <c r="D2798" t="s">
        <v>141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45">
      <c r="A2799" t="s">
        <v>1053</v>
      </c>
      <c r="B2799" t="s">
        <v>1054</v>
      </c>
      <c r="C2799" t="s">
        <v>1891</v>
      </c>
      <c r="D2799" t="s">
        <v>141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45">
      <c r="A2800" t="s">
        <v>1053</v>
      </c>
      <c r="B2800" t="s">
        <v>1054</v>
      </c>
      <c r="C2800" t="s">
        <v>184</v>
      </c>
      <c r="D2800" t="s">
        <v>141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45">
      <c r="A2801" t="s">
        <v>1053</v>
      </c>
      <c r="B2801" t="s">
        <v>1054</v>
      </c>
      <c r="C2801" t="s">
        <v>1462</v>
      </c>
      <c r="D2801" t="s">
        <v>141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45">
      <c r="A2802" t="s">
        <v>1053</v>
      </c>
      <c r="B2802" t="s">
        <v>1054</v>
      </c>
      <c r="C2802" t="s">
        <v>1186</v>
      </c>
      <c r="D2802" t="s">
        <v>141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45">
      <c r="A2803" t="s">
        <v>1053</v>
      </c>
      <c r="B2803" t="s">
        <v>1054</v>
      </c>
      <c r="C2803" t="s">
        <v>1892</v>
      </c>
      <c r="D2803" t="s">
        <v>141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45">
      <c r="A2804" t="s">
        <v>1053</v>
      </c>
      <c r="B2804" t="s">
        <v>1054</v>
      </c>
      <c r="C2804" t="s">
        <v>186</v>
      </c>
      <c r="D2804" t="s">
        <v>141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45">
      <c r="A2805" t="s">
        <v>1053</v>
      </c>
      <c r="B2805" t="s">
        <v>1054</v>
      </c>
      <c r="C2805" t="s">
        <v>512</v>
      </c>
      <c r="D2805" t="s">
        <v>141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45">
      <c r="A2806" t="s">
        <v>1053</v>
      </c>
      <c r="B2806" t="s">
        <v>1054</v>
      </c>
      <c r="C2806" t="s">
        <v>1893</v>
      </c>
      <c r="D2806" t="s">
        <v>141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45">
      <c r="A2807" t="s">
        <v>1053</v>
      </c>
      <c r="B2807" t="s">
        <v>1054</v>
      </c>
      <c r="C2807" t="s">
        <v>514</v>
      </c>
      <c r="D2807" t="s">
        <v>141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45">
      <c r="A2808" t="s">
        <v>1053</v>
      </c>
      <c r="B2808" t="s">
        <v>1054</v>
      </c>
      <c r="C2808" t="s">
        <v>515</v>
      </c>
      <c r="D2808" t="s">
        <v>141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45">
      <c r="A2809" t="s">
        <v>1053</v>
      </c>
      <c r="B2809" t="s">
        <v>1054</v>
      </c>
      <c r="C2809" t="s">
        <v>1100</v>
      </c>
      <c r="D2809" t="s">
        <v>141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45">
      <c r="A2810" t="s">
        <v>1053</v>
      </c>
      <c r="B2810" t="s">
        <v>1054</v>
      </c>
      <c r="C2810" t="s">
        <v>516</v>
      </c>
      <c r="D2810" t="s">
        <v>141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45">
      <c r="A2811" t="s">
        <v>1053</v>
      </c>
      <c r="B2811" t="s">
        <v>1054</v>
      </c>
      <c r="C2811" t="s">
        <v>1894</v>
      </c>
      <c r="D2811" t="s">
        <v>141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45">
      <c r="A2812" t="s">
        <v>1053</v>
      </c>
      <c r="B2812" t="s">
        <v>1054</v>
      </c>
      <c r="C2812" t="s">
        <v>1771</v>
      </c>
      <c r="D2812" t="s">
        <v>141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45">
      <c r="A2813" t="s">
        <v>1053</v>
      </c>
      <c r="B2813" t="s">
        <v>1054</v>
      </c>
      <c r="C2813" t="s">
        <v>577</v>
      </c>
      <c r="D2813" t="s">
        <v>141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45">
      <c r="A2814" t="s">
        <v>1053</v>
      </c>
      <c r="B2814" t="s">
        <v>1054</v>
      </c>
      <c r="C2814" t="s">
        <v>188</v>
      </c>
      <c r="D2814" t="s">
        <v>141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45">
      <c r="A2815" t="s">
        <v>1053</v>
      </c>
      <c r="B2815" t="s">
        <v>1054</v>
      </c>
      <c r="C2815" t="s">
        <v>578</v>
      </c>
      <c r="D2815" t="s">
        <v>141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45">
      <c r="A2816" t="s">
        <v>1053</v>
      </c>
      <c r="B2816" t="s">
        <v>1054</v>
      </c>
      <c r="C2816" t="s">
        <v>189</v>
      </c>
      <c r="D2816" t="s">
        <v>141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45">
      <c r="A2817" t="s">
        <v>1072</v>
      </c>
      <c r="B2817" t="s">
        <v>772</v>
      </c>
      <c r="C2817" t="s">
        <v>1895</v>
      </c>
      <c r="D2817" t="s">
        <v>137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45">
      <c r="A2818" t="s">
        <v>1072</v>
      </c>
      <c r="B2818" t="s">
        <v>772</v>
      </c>
      <c r="C2818" t="s">
        <v>1512</v>
      </c>
      <c r="D2818" t="s">
        <v>137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45">
      <c r="A2819" t="s">
        <v>1072</v>
      </c>
      <c r="B2819" t="s">
        <v>772</v>
      </c>
      <c r="C2819" t="s">
        <v>1896</v>
      </c>
      <c r="D2819" t="s">
        <v>137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45">
      <c r="A2820" t="s">
        <v>1072</v>
      </c>
      <c r="B2820" t="s">
        <v>772</v>
      </c>
      <c r="C2820" t="s">
        <v>1897</v>
      </c>
      <c r="D2820" t="s">
        <v>137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45">
      <c r="A2821" t="s">
        <v>1072</v>
      </c>
      <c r="B2821" t="s">
        <v>772</v>
      </c>
      <c r="C2821" t="s">
        <v>1898</v>
      </c>
      <c r="D2821" t="s">
        <v>139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45">
      <c r="A2822" t="s">
        <v>1072</v>
      </c>
      <c r="B2822" t="s">
        <v>772</v>
      </c>
      <c r="C2822" t="s">
        <v>1899</v>
      </c>
      <c r="D2822" t="s">
        <v>137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45">
      <c r="A2823" t="s">
        <v>1072</v>
      </c>
      <c r="B2823" t="s">
        <v>772</v>
      </c>
      <c r="C2823" t="s">
        <v>1900</v>
      </c>
      <c r="D2823" t="s">
        <v>137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45">
      <c r="A2824" t="s">
        <v>1072</v>
      </c>
      <c r="B2824" t="s">
        <v>772</v>
      </c>
      <c r="C2824" t="s">
        <v>1901</v>
      </c>
      <c r="D2824" t="s">
        <v>137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45">
      <c r="A2825" t="s">
        <v>1072</v>
      </c>
      <c r="B2825" t="s">
        <v>772</v>
      </c>
      <c r="C2825" t="s">
        <v>1902</v>
      </c>
      <c r="D2825" t="s">
        <v>137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45">
      <c r="A2826" t="s">
        <v>1072</v>
      </c>
      <c r="B2826" t="s">
        <v>772</v>
      </c>
      <c r="C2826" t="s">
        <v>1903</v>
      </c>
      <c r="D2826" t="s">
        <v>139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45">
      <c r="A2827" t="s">
        <v>1072</v>
      </c>
      <c r="B2827" t="s">
        <v>772</v>
      </c>
      <c r="C2827" t="s">
        <v>1904</v>
      </c>
      <c r="D2827" t="s">
        <v>140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45">
      <c r="A2828" t="s">
        <v>1072</v>
      </c>
      <c r="B2828" t="s">
        <v>772</v>
      </c>
      <c r="C2828" t="s">
        <v>348</v>
      </c>
      <c r="D2828" t="s">
        <v>137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45">
      <c r="A2829" t="s">
        <v>1072</v>
      </c>
      <c r="B2829" t="s">
        <v>772</v>
      </c>
      <c r="C2829" t="s">
        <v>484</v>
      </c>
      <c r="D2829" t="s">
        <v>137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45">
      <c r="A2830" t="s">
        <v>1072</v>
      </c>
      <c r="B2830" t="s">
        <v>772</v>
      </c>
      <c r="C2830" t="s">
        <v>1905</v>
      </c>
      <c r="D2830" t="s">
        <v>137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45">
      <c r="A2831" t="s">
        <v>1072</v>
      </c>
      <c r="B2831" t="s">
        <v>772</v>
      </c>
      <c r="C2831" t="s">
        <v>1906</v>
      </c>
      <c r="D2831" t="s">
        <v>137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45">
      <c r="A2832" t="s">
        <v>1072</v>
      </c>
      <c r="B2832" t="s">
        <v>772</v>
      </c>
      <c r="C2832" t="s">
        <v>1519</v>
      </c>
      <c r="D2832" t="s">
        <v>137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45">
      <c r="A2833" t="s">
        <v>1072</v>
      </c>
      <c r="B2833" t="s">
        <v>772</v>
      </c>
      <c r="C2833" t="s">
        <v>156</v>
      </c>
      <c r="D2833" t="s">
        <v>137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45">
      <c r="A2834" t="s">
        <v>1072</v>
      </c>
      <c r="B2834" t="s">
        <v>772</v>
      </c>
      <c r="C2834" t="s">
        <v>1907</v>
      </c>
      <c r="D2834" t="s">
        <v>139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45">
      <c r="A2835" t="s">
        <v>1072</v>
      </c>
      <c r="B2835" t="s">
        <v>772</v>
      </c>
      <c r="C2835" t="s">
        <v>998</v>
      </c>
      <c r="D2835" t="s">
        <v>137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45">
      <c r="A2836" t="s">
        <v>1072</v>
      </c>
      <c r="B2836" t="s">
        <v>772</v>
      </c>
      <c r="C2836" t="s">
        <v>1908</v>
      </c>
      <c r="D2836" t="s">
        <v>137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45">
      <c r="A2837" t="s">
        <v>1072</v>
      </c>
      <c r="B2837" t="s">
        <v>772</v>
      </c>
      <c r="C2837" t="s">
        <v>1909</v>
      </c>
      <c r="D2837" t="s">
        <v>140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45">
      <c r="A2838" t="s">
        <v>1072</v>
      </c>
      <c r="B2838" t="s">
        <v>772</v>
      </c>
      <c r="C2838" t="s">
        <v>485</v>
      </c>
      <c r="D2838" t="s">
        <v>137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45">
      <c r="A2839" t="s">
        <v>1072</v>
      </c>
      <c r="B2839" t="s">
        <v>772</v>
      </c>
      <c r="C2839" t="s">
        <v>1910</v>
      </c>
      <c r="D2839" t="s">
        <v>140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45">
      <c r="A2840" t="s">
        <v>1072</v>
      </c>
      <c r="B2840" t="s">
        <v>772</v>
      </c>
      <c r="C2840" t="s">
        <v>158</v>
      </c>
      <c r="D2840" t="s">
        <v>137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45">
      <c r="A2841" t="s">
        <v>1072</v>
      </c>
      <c r="B2841" t="s">
        <v>772</v>
      </c>
      <c r="C2841" t="s">
        <v>160</v>
      </c>
      <c r="D2841" t="s">
        <v>137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45">
      <c r="A2842" t="s">
        <v>1072</v>
      </c>
      <c r="B2842" t="s">
        <v>772</v>
      </c>
      <c r="C2842" t="s">
        <v>1911</v>
      </c>
      <c r="D2842" t="s">
        <v>139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45">
      <c r="A2843" t="s">
        <v>1072</v>
      </c>
      <c r="B2843" t="s">
        <v>772</v>
      </c>
      <c r="C2843" t="s">
        <v>166</v>
      </c>
      <c r="D2843" t="s">
        <v>141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45">
      <c r="A2844" t="s">
        <v>1072</v>
      </c>
      <c r="B2844" t="s">
        <v>772</v>
      </c>
      <c r="C2844" t="s">
        <v>1912</v>
      </c>
      <c r="D2844" t="s">
        <v>140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45">
      <c r="A2845" t="s">
        <v>1072</v>
      </c>
      <c r="B2845" t="s">
        <v>772</v>
      </c>
      <c r="C2845" t="s">
        <v>1913</v>
      </c>
      <c r="D2845" t="s">
        <v>139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45">
      <c r="A2846" t="s">
        <v>1072</v>
      </c>
      <c r="B2846" t="s">
        <v>772</v>
      </c>
      <c r="C2846" t="s">
        <v>1914</v>
      </c>
      <c r="D2846" t="s">
        <v>139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45">
      <c r="A2847" t="s">
        <v>1072</v>
      </c>
      <c r="B2847" t="s">
        <v>772</v>
      </c>
      <c r="C2847" t="s">
        <v>1915</v>
      </c>
      <c r="D2847" t="s">
        <v>137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45">
      <c r="A2848" t="s">
        <v>1072</v>
      </c>
      <c r="B2848" t="s">
        <v>772</v>
      </c>
      <c r="C2848" t="s">
        <v>1916</v>
      </c>
      <c r="D2848" t="s">
        <v>139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45">
      <c r="A2849" t="s">
        <v>1072</v>
      </c>
      <c r="B2849" t="s">
        <v>772</v>
      </c>
      <c r="C2849" t="s">
        <v>276</v>
      </c>
      <c r="D2849" t="s">
        <v>137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45">
      <c r="A2850" t="s">
        <v>1072</v>
      </c>
      <c r="B2850" t="s">
        <v>772</v>
      </c>
      <c r="C2850" t="s">
        <v>1917</v>
      </c>
      <c r="D2850" t="s">
        <v>137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45">
      <c r="A2851" t="s">
        <v>1072</v>
      </c>
      <c r="B2851" t="s">
        <v>772</v>
      </c>
      <c r="C2851" t="s">
        <v>1498</v>
      </c>
      <c r="D2851" t="s">
        <v>137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45">
      <c r="A2852" t="s">
        <v>1072</v>
      </c>
      <c r="B2852" t="s">
        <v>772</v>
      </c>
      <c r="C2852" t="s">
        <v>1918</v>
      </c>
      <c r="D2852" t="s">
        <v>139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45">
      <c r="A2853" t="s">
        <v>1072</v>
      </c>
      <c r="B2853" t="s">
        <v>772</v>
      </c>
      <c r="C2853" t="s">
        <v>1919</v>
      </c>
      <c r="D2853" t="s">
        <v>141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45">
      <c r="A2854" t="s">
        <v>1072</v>
      </c>
      <c r="B2854" t="s">
        <v>772</v>
      </c>
      <c r="C2854" t="s">
        <v>1920</v>
      </c>
      <c r="D2854" t="s">
        <v>137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45">
      <c r="A2855" t="s">
        <v>1072</v>
      </c>
      <c r="B2855" t="s">
        <v>772</v>
      </c>
      <c r="C2855" t="s">
        <v>1921</v>
      </c>
      <c r="D2855" t="s">
        <v>139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45">
      <c r="A2856" t="s">
        <v>1072</v>
      </c>
      <c r="B2856" t="s">
        <v>772</v>
      </c>
      <c r="C2856" t="s">
        <v>1922</v>
      </c>
      <c r="D2856" t="s">
        <v>139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45">
      <c r="A2857" t="s">
        <v>1072</v>
      </c>
      <c r="B2857" t="s">
        <v>772</v>
      </c>
      <c r="C2857" t="s">
        <v>1888</v>
      </c>
      <c r="D2857" t="s">
        <v>139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45">
      <c r="A2858" t="s">
        <v>1072</v>
      </c>
      <c r="B2858" t="s">
        <v>772</v>
      </c>
      <c r="C2858" t="s">
        <v>1923</v>
      </c>
      <c r="D2858" t="s">
        <v>139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45">
      <c r="A2859" t="s">
        <v>1072</v>
      </c>
      <c r="B2859" t="s">
        <v>772</v>
      </c>
      <c r="C2859" t="s">
        <v>1924</v>
      </c>
      <c r="D2859" t="s">
        <v>139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45">
      <c r="A2860" t="s">
        <v>1072</v>
      </c>
      <c r="B2860" t="s">
        <v>772</v>
      </c>
      <c r="C2860" t="s">
        <v>1925</v>
      </c>
      <c r="D2860" t="s">
        <v>140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45">
      <c r="A2861" t="s">
        <v>1072</v>
      </c>
      <c r="B2861" t="s">
        <v>772</v>
      </c>
      <c r="C2861" t="s">
        <v>176</v>
      </c>
      <c r="D2861" t="s">
        <v>137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45">
      <c r="A2862" t="s">
        <v>1072</v>
      </c>
      <c r="B2862" t="s">
        <v>772</v>
      </c>
      <c r="C2862" t="s">
        <v>371</v>
      </c>
      <c r="D2862" t="s">
        <v>139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45">
      <c r="A2863" t="s">
        <v>1072</v>
      </c>
      <c r="B2863" t="s">
        <v>772</v>
      </c>
      <c r="C2863" t="s">
        <v>1926</v>
      </c>
      <c r="D2863" t="s">
        <v>140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45">
      <c r="A2864" t="s">
        <v>1072</v>
      </c>
      <c r="B2864" t="s">
        <v>772</v>
      </c>
      <c r="C2864" t="s">
        <v>1379</v>
      </c>
      <c r="D2864" t="s">
        <v>137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45">
      <c r="A2865" t="s">
        <v>1072</v>
      </c>
      <c r="B2865" t="s">
        <v>772</v>
      </c>
      <c r="C2865" t="s">
        <v>1927</v>
      </c>
      <c r="D2865" t="s">
        <v>137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45">
      <c r="A2866" t="s">
        <v>1072</v>
      </c>
      <c r="B2866" t="s">
        <v>772</v>
      </c>
      <c r="C2866" t="s">
        <v>1928</v>
      </c>
      <c r="D2866" t="s">
        <v>137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45">
      <c r="A2867" t="s">
        <v>1072</v>
      </c>
      <c r="B2867" t="s">
        <v>772</v>
      </c>
      <c r="C2867" t="s">
        <v>1929</v>
      </c>
      <c r="D2867" t="s">
        <v>139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45">
      <c r="A2868" t="s">
        <v>1072</v>
      </c>
      <c r="B2868" t="s">
        <v>772</v>
      </c>
      <c r="C2868" t="s">
        <v>1930</v>
      </c>
      <c r="D2868" t="s">
        <v>137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45">
      <c r="A2869" t="s">
        <v>1072</v>
      </c>
      <c r="B2869" t="s">
        <v>772</v>
      </c>
      <c r="C2869" t="s">
        <v>1931</v>
      </c>
      <c r="D2869" t="s">
        <v>140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45">
      <c r="A2870" t="s">
        <v>1072</v>
      </c>
      <c r="B2870" t="s">
        <v>772</v>
      </c>
      <c r="C2870" t="s">
        <v>1387</v>
      </c>
      <c r="D2870" t="s">
        <v>137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45">
      <c r="A2871" t="s">
        <v>1072</v>
      </c>
      <c r="B2871" t="s">
        <v>772</v>
      </c>
      <c r="C2871" t="s">
        <v>1932</v>
      </c>
      <c r="D2871" t="s">
        <v>141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45">
      <c r="A2872" t="s">
        <v>1072</v>
      </c>
      <c r="B2872" t="s">
        <v>772</v>
      </c>
      <c r="C2872" t="s">
        <v>1933</v>
      </c>
      <c r="D2872" t="s">
        <v>139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45">
      <c r="A2873" t="s">
        <v>1072</v>
      </c>
      <c r="B2873" t="s">
        <v>772</v>
      </c>
      <c r="C2873" t="s">
        <v>526</v>
      </c>
      <c r="D2873" t="s">
        <v>137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45">
      <c r="A2874" t="s">
        <v>1072</v>
      </c>
      <c r="B2874" t="s">
        <v>772</v>
      </c>
      <c r="C2874" t="s">
        <v>280</v>
      </c>
      <c r="D2874" t="s">
        <v>139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45">
      <c r="A2875" t="s">
        <v>1072</v>
      </c>
      <c r="B2875" t="s">
        <v>772</v>
      </c>
      <c r="C2875" t="s">
        <v>528</v>
      </c>
      <c r="D2875" t="s">
        <v>137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45">
      <c r="A2876" t="s">
        <v>1072</v>
      </c>
      <c r="B2876" t="s">
        <v>772</v>
      </c>
      <c r="C2876" t="s">
        <v>1934</v>
      </c>
      <c r="D2876" t="s">
        <v>137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45">
      <c r="A2877" t="s">
        <v>1072</v>
      </c>
      <c r="B2877" t="s">
        <v>772</v>
      </c>
      <c r="C2877" t="s">
        <v>1935</v>
      </c>
      <c r="D2877" t="s">
        <v>137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45">
      <c r="A2878" t="s">
        <v>1072</v>
      </c>
      <c r="B2878" t="s">
        <v>772</v>
      </c>
      <c r="C2878" t="s">
        <v>381</v>
      </c>
      <c r="D2878" t="s">
        <v>141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45">
      <c r="A2879" t="s">
        <v>1072</v>
      </c>
      <c r="B2879" t="s">
        <v>772</v>
      </c>
      <c r="C2879" t="s">
        <v>183</v>
      </c>
      <c r="D2879" t="s">
        <v>137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45">
      <c r="A2880" t="s">
        <v>1072</v>
      </c>
      <c r="B2880" t="s">
        <v>772</v>
      </c>
      <c r="C2880" t="s">
        <v>1936</v>
      </c>
      <c r="D2880" t="s">
        <v>139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45">
      <c r="A2881" t="s">
        <v>1072</v>
      </c>
      <c r="B2881" t="s">
        <v>772</v>
      </c>
      <c r="C2881" t="s">
        <v>382</v>
      </c>
      <c r="D2881" t="s">
        <v>140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45">
      <c r="A2882" t="s">
        <v>1072</v>
      </c>
      <c r="B2882" t="s">
        <v>772</v>
      </c>
      <c r="C2882" t="s">
        <v>1937</v>
      </c>
      <c r="D2882" t="s">
        <v>137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45">
      <c r="A2883" t="s">
        <v>1072</v>
      </c>
      <c r="B2883" t="s">
        <v>772</v>
      </c>
      <c r="C2883" t="s">
        <v>195</v>
      </c>
      <c r="D2883" t="s">
        <v>137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45">
      <c r="A2884" t="s">
        <v>1072</v>
      </c>
      <c r="B2884" t="s">
        <v>772</v>
      </c>
      <c r="C2884" t="s">
        <v>1399</v>
      </c>
      <c r="D2884" t="s">
        <v>137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45">
      <c r="A2885" t="s">
        <v>1072</v>
      </c>
      <c r="B2885" t="s">
        <v>772</v>
      </c>
      <c r="C2885" t="s">
        <v>795</v>
      </c>
      <c r="D2885" t="s">
        <v>137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45">
      <c r="A2886" t="s">
        <v>1072</v>
      </c>
      <c r="B2886" t="s">
        <v>772</v>
      </c>
      <c r="C2886" t="s">
        <v>196</v>
      </c>
      <c r="D2886" t="s">
        <v>137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45">
      <c r="A2887" t="s">
        <v>1072</v>
      </c>
      <c r="B2887" t="s">
        <v>772</v>
      </c>
      <c r="C2887" t="s">
        <v>1938</v>
      </c>
      <c r="D2887" t="s">
        <v>140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45">
      <c r="A2888" t="s">
        <v>1072</v>
      </c>
      <c r="B2888" t="s">
        <v>772</v>
      </c>
      <c r="C2888" t="s">
        <v>1939</v>
      </c>
      <c r="D2888" t="s">
        <v>137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45">
      <c r="A2889" t="s">
        <v>1072</v>
      </c>
      <c r="B2889" t="s">
        <v>772</v>
      </c>
      <c r="C2889" t="s">
        <v>1940</v>
      </c>
      <c r="D2889" t="s">
        <v>137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45">
      <c r="A2890" t="s">
        <v>1072</v>
      </c>
      <c r="B2890" t="s">
        <v>772</v>
      </c>
      <c r="C2890" t="s">
        <v>1941</v>
      </c>
      <c r="D2890" t="s">
        <v>139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45">
      <c r="A2891" t="s">
        <v>1072</v>
      </c>
      <c r="B2891" t="s">
        <v>772</v>
      </c>
      <c r="C2891" t="s">
        <v>1942</v>
      </c>
      <c r="D2891" t="s">
        <v>139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45">
      <c r="A2892" t="s">
        <v>1072</v>
      </c>
      <c r="B2892" t="s">
        <v>772</v>
      </c>
      <c r="C2892" t="s">
        <v>1943</v>
      </c>
      <c r="D2892" t="s">
        <v>139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45">
      <c r="A2893" t="s">
        <v>1072</v>
      </c>
      <c r="B2893" t="s">
        <v>772</v>
      </c>
      <c r="C2893" t="s">
        <v>199</v>
      </c>
      <c r="D2893" t="s">
        <v>137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45">
      <c r="A2894" t="s">
        <v>1072</v>
      </c>
      <c r="B2894" t="s">
        <v>772</v>
      </c>
      <c r="C2894" t="s">
        <v>201</v>
      </c>
      <c r="D2894" t="s">
        <v>137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45">
      <c r="A2895" t="s">
        <v>1072</v>
      </c>
      <c r="B2895" t="s">
        <v>772</v>
      </c>
      <c r="C2895" t="s">
        <v>590</v>
      </c>
      <c r="D2895" t="s">
        <v>139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45">
      <c r="A2896" t="s">
        <v>1072</v>
      </c>
      <c r="B2896" t="s">
        <v>772</v>
      </c>
      <c r="C2896" t="s">
        <v>451</v>
      </c>
      <c r="D2896" t="s">
        <v>139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45">
      <c r="A2897" t="s">
        <v>1072</v>
      </c>
      <c r="B2897" t="s">
        <v>772</v>
      </c>
      <c r="C2897" t="s">
        <v>1944</v>
      </c>
      <c r="D2897" t="s">
        <v>137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45">
      <c r="A2898" t="s">
        <v>1072</v>
      </c>
      <c r="B2898" t="s">
        <v>772</v>
      </c>
      <c r="C2898" t="s">
        <v>1945</v>
      </c>
      <c r="D2898" t="s">
        <v>137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45">
      <c r="A2899" t="s">
        <v>1072</v>
      </c>
      <c r="B2899" t="s">
        <v>772</v>
      </c>
      <c r="C2899" t="s">
        <v>1946</v>
      </c>
      <c r="D2899" t="s">
        <v>139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45">
      <c r="A2900" t="s">
        <v>1072</v>
      </c>
      <c r="B2900" t="s">
        <v>772</v>
      </c>
      <c r="C2900" t="s">
        <v>1947</v>
      </c>
      <c r="D2900" t="s">
        <v>137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45">
      <c r="A2901" t="s">
        <v>1072</v>
      </c>
      <c r="B2901" t="s">
        <v>772</v>
      </c>
      <c r="C2901" t="s">
        <v>1948</v>
      </c>
      <c r="D2901" t="s">
        <v>137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45">
      <c r="A2902" t="s">
        <v>1072</v>
      </c>
      <c r="B2902" t="s">
        <v>772</v>
      </c>
      <c r="C2902" t="s">
        <v>940</v>
      </c>
      <c r="D2902" t="s">
        <v>137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45">
      <c r="A2903" t="s">
        <v>1072</v>
      </c>
      <c r="B2903" t="s">
        <v>772</v>
      </c>
      <c r="C2903" t="s">
        <v>456</v>
      </c>
      <c r="D2903" t="s">
        <v>139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45">
      <c r="A2904" t="s">
        <v>1072</v>
      </c>
      <c r="B2904" t="s">
        <v>772</v>
      </c>
      <c r="C2904" t="s">
        <v>1601</v>
      </c>
      <c r="D2904" t="s">
        <v>139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45">
      <c r="A2905" t="s">
        <v>1072</v>
      </c>
      <c r="B2905" t="s">
        <v>772</v>
      </c>
      <c r="C2905" t="s">
        <v>1949</v>
      </c>
      <c r="D2905" t="s">
        <v>137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45">
      <c r="A2906" t="s">
        <v>1072</v>
      </c>
      <c r="B2906" t="s">
        <v>772</v>
      </c>
      <c r="C2906" t="s">
        <v>1479</v>
      </c>
      <c r="D2906" t="s">
        <v>137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45">
      <c r="A2907" t="s">
        <v>1072</v>
      </c>
      <c r="B2907" t="s">
        <v>772</v>
      </c>
      <c r="C2907" t="s">
        <v>553</v>
      </c>
      <c r="D2907" t="s">
        <v>139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45">
      <c r="A2908" t="s">
        <v>1072</v>
      </c>
      <c r="B2908" t="s">
        <v>772</v>
      </c>
      <c r="C2908" t="s">
        <v>1950</v>
      </c>
      <c r="D2908" t="s">
        <v>141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45">
      <c r="A2909" t="s">
        <v>1072</v>
      </c>
      <c r="B2909" t="s">
        <v>772</v>
      </c>
      <c r="C2909" t="s">
        <v>205</v>
      </c>
      <c r="D2909" t="s">
        <v>137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45">
      <c r="A2910" t="s">
        <v>1072</v>
      </c>
      <c r="B2910" t="s">
        <v>772</v>
      </c>
      <c r="C2910" t="s">
        <v>886</v>
      </c>
      <c r="D2910" t="s">
        <v>140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45">
      <c r="A2911" t="s">
        <v>1072</v>
      </c>
      <c r="B2911" t="s">
        <v>772</v>
      </c>
      <c r="C2911" t="s">
        <v>554</v>
      </c>
      <c r="D2911" t="s">
        <v>137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45">
      <c r="A2912" t="s">
        <v>1072</v>
      </c>
      <c r="B2912" t="s">
        <v>772</v>
      </c>
      <c r="C2912" t="s">
        <v>1951</v>
      </c>
      <c r="D2912" t="s">
        <v>139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45">
      <c r="A2913" t="s">
        <v>1072</v>
      </c>
      <c r="B2913" t="s">
        <v>772</v>
      </c>
      <c r="C2913" t="s">
        <v>1952</v>
      </c>
      <c r="D2913" t="s">
        <v>137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45">
      <c r="A2914" t="s">
        <v>1072</v>
      </c>
      <c r="B2914" t="s">
        <v>772</v>
      </c>
      <c r="C2914" t="s">
        <v>1953</v>
      </c>
      <c r="D2914" t="s">
        <v>137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45">
      <c r="A2915" t="s">
        <v>1072</v>
      </c>
      <c r="B2915" t="s">
        <v>772</v>
      </c>
      <c r="C2915" t="s">
        <v>242</v>
      </c>
      <c r="D2915" t="s">
        <v>137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45">
      <c r="A2916" t="s">
        <v>1072</v>
      </c>
      <c r="B2916" t="s">
        <v>772</v>
      </c>
      <c r="C2916" t="s">
        <v>1954</v>
      </c>
      <c r="D2916" t="s">
        <v>139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45">
      <c r="A2917" t="s">
        <v>1072</v>
      </c>
      <c r="B2917" t="s">
        <v>772</v>
      </c>
      <c r="C2917" t="s">
        <v>1955</v>
      </c>
      <c r="D2917" t="s">
        <v>137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45">
      <c r="A2918" t="s">
        <v>1072</v>
      </c>
      <c r="B2918" t="s">
        <v>772</v>
      </c>
      <c r="C2918" t="s">
        <v>1956</v>
      </c>
      <c r="D2918" t="s">
        <v>140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45">
      <c r="A2919" t="s">
        <v>1072</v>
      </c>
      <c r="B2919" t="s">
        <v>772</v>
      </c>
      <c r="C2919" t="s">
        <v>599</v>
      </c>
      <c r="D2919" t="s">
        <v>140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45">
      <c r="A2920" t="s">
        <v>1072</v>
      </c>
      <c r="B2920" t="s">
        <v>772</v>
      </c>
      <c r="C2920" t="s">
        <v>867</v>
      </c>
      <c r="D2920" t="s">
        <v>137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45">
      <c r="A2921" t="s">
        <v>1072</v>
      </c>
      <c r="B2921" t="s">
        <v>772</v>
      </c>
      <c r="C2921" t="s">
        <v>1957</v>
      </c>
      <c r="D2921" t="s">
        <v>141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45">
      <c r="A2922" t="s">
        <v>1072</v>
      </c>
      <c r="B2922" t="s">
        <v>772</v>
      </c>
      <c r="C2922" t="s">
        <v>727</v>
      </c>
      <c r="D2922" t="s">
        <v>137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45">
      <c r="A2923" t="s">
        <v>1072</v>
      </c>
      <c r="B2923" t="s">
        <v>772</v>
      </c>
      <c r="C2923" t="s">
        <v>1958</v>
      </c>
      <c r="D2923" t="s">
        <v>137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45">
      <c r="A2924" t="s">
        <v>1072</v>
      </c>
      <c r="B2924" t="s">
        <v>772</v>
      </c>
      <c r="C2924" t="s">
        <v>1959</v>
      </c>
      <c r="D2924" t="s">
        <v>140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45">
      <c r="A2925" t="s">
        <v>1072</v>
      </c>
      <c r="B2925" t="s">
        <v>772</v>
      </c>
      <c r="C2925" t="s">
        <v>1960</v>
      </c>
      <c r="D2925" t="s">
        <v>139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45">
      <c r="A2926" t="s">
        <v>1072</v>
      </c>
      <c r="B2926" t="s">
        <v>772</v>
      </c>
      <c r="C2926" t="s">
        <v>246</v>
      </c>
      <c r="D2926" t="s">
        <v>137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45">
      <c r="A2927" t="s">
        <v>1072</v>
      </c>
      <c r="B2927" t="s">
        <v>772</v>
      </c>
      <c r="C2927" t="s">
        <v>1845</v>
      </c>
      <c r="D2927" t="s">
        <v>140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45">
      <c r="A2928" t="s">
        <v>1072</v>
      </c>
      <c r="B2928" t="s">
        <v>772</v>
      </c>
      <c r="C2928" t="s">
        <v>1961</v>
      </c>
      <c r="D2928" t="s">
        <v>139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45">
      <c r="A2929" t="s">
        <v>1072</v>
      </c>
      <c r="B2929" t="s">
        <v>772</v>
      </c>
      <c r="C2929" t="s">
        <v>1962</v>
      </c>
      <c r="D2929" t="s">
        <v>137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45">
      <c r="A2930" t="s">
        <v>1072</v>
      </c>
      <c r="B2930" t="s">
        <v>772</v>
      </c>
      <c r="C2930" t="s">
        <v>1963</v>
      </c>
      <c r="D2930" t="s">
        <v>140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45">
      <c r="A2931" t="s">
        <v>1072</v>
      </c>
      <c r="B2931" t="s">
        <v>772</v>
      </c>
      <c r="C2931" t="s">
        <v>1964</v>
      </c>
      <c r="D2931" t="s">
        <v>139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45">
      <c r="A2932" t="s">
        <v>1072</v>
      </c>
      <c r="B2932" t="s">
        <v>772</v>
      </c>
      <c r="C2932" t="s">
        <v>1965</v>
      </c>
      <c r="D2932" t="s">
        <v>137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45">
      <c r="A2933" t="s">
        <v>1072</v>
      </c>
      <c r="B2933" t="s">
        <v>772</v>
      </c>
      <c r="C2933" t="s">
        <v>1556</v>
      </c>
      <c r="D2933" t="s">
        <v>137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45">
      <c r="A2934" t="s">
        <v>1072</v>
      </c>
      <c r="B2934" t="s">
        <v>772</v>
      </c>
      <c r="C2934" t="s">
        <v>1966</v>
      </c>
      <c r="D2934" t="s">
        <v>139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45">
      <c r="A2935" t="s">
        <v>1072</v>
      </c>
      <c r="B2935" t="s">
        <v>772</v>
      </c>
      <c r="C2935" t="s">
        <v>1967</v>
      </c>
      <c r="D2935" t="s">
        <v>137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45">
      <c r="A2936" t="s">
        <v>1072</v>
      </c>
      <c r="B2936" t="s">
        <v>772</v>
      </c>
      <c r="C2936" t="s">
        <v>1875</v>
      </c>
      <c r="D2936" t="s">
        <v>140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45">
      <c r="A2937" t="s">
        <v>1072</v>
      </c>
      <c r="B2937" t="s">
        <v>772</v>
      </c>
      <c r="C2937" t="s">
        <v>604</v>
      </c>
      <c r="D2937" t="s">
        <v>137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45">
      <c r="A2938" t="s">
        <v>1072</v>
      </c>
      <c r="B2938" t="s">
        <v>772</v>
      </c>
      <c r="C2938" t="s">
        <v>1968</v>
      </c>
      <c r="D2938" t="s">
        <v>137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45">
      <c r="A2939" t="s">
        <v>1072</v>
      </c>
      <c r="B2939" t="s">
        <v>772</v>
      </c>
      <c r="C2939" t="s">
        <v>1969</v>
      </c>
      <c r="D2939" t="s">
        <v>139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45">
      <c r="A2940" t="s">
        <v>1072</v>
      </c>
      <c r="B2940" t="s">
        <v>772</v>
      </c>
      <c r="C2940" t="s">
        <v>1970</v>
      </c>
      <c r="D2940" t="s">
        <v>137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45">
      <c r="A2941" t="s">
        <v>1072</v>
      </c>
      <c r="B2941" t="s">
        <v>772</v>
      </c>
      <c r="C2941" t="s">
        <v>1557</v>
      </c>
      <c r="D2941" t="s">
        <v>137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45">
      <c r="A2942" t="s">
        <v>1072</v>
      </c>
      <c r="B2942" t="s">
        <v>772</v>
      </c>
      <c r="C2942" t="s">
        <v>1971</v>
      </c>
      <c r="D2942" t="s">
        <v>137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45">
      <c r="A2943" t="s">
        <v>1072</v>
      </c>
      <c r="B2943" t="s">
        <v>772</v>
      </c>
      <c r="C2943" t="s">
        <v>1972</v>
      </c>
      <c r="D2943" t="s">
        <v>137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45">
      <c r="A2944" t="s">
        <v>1072</v>
      </c>
      <c r="B2944" t="s">
        <v>772</v>
      </c>
      <c r="C2944" t="s">
        <v>1973</v>
      </c>
      <c r="D2944" t="s">
        <v>137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45">
      <c r="A2945" t="s">
        <v>1072</v>
      </c>
      <c r="B2945" t="s">
        <v>772</v>
      </c>
      <c r="C2945" t="s">
        <v>1974</v>
      </c>
      <c r="D2945" t="s">
        <v>137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45">
      <c r="A2946" t="s">
        <v>1072</v>
      </c>
      <c r="B2946" t="s">
        <v>772</v>
      </c>
      <c r="C2946" t="s">
        <v>1975</v>
      </c>
      <c r="D2946" t="s">
        <v>139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45">
      <c r="A2947" t="s">
        <v>1163</v>
      </c>
      <c r="B2947" t="s">
        <v>1164</v>
      </c>
      <c r="C2947" t="s">
        <v>310</v>
      </c>
      <c r="D2947" t="s">
        <v>110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45">
      <c r="A2948" t="s">
        <v>1163</v>
      </c>
      <c r="B2948" t="s">
        <v>1164</v>
      </c>
      <c r="C2948" t="s">
        <v>1976</v>
      </c>
      <c r="D2948" t="s">
        <v>110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45">
      <c r="A2949" t="s">
        <v>1163</v>
      </c>
      <c r="B2949" t="s">
        <v>1164</v>
      </c>
      <c r="C2949" t="s">
        <v>254</v>
      </c>
      <c r="D2949" t="s">
        <v>110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45">
      <c r="A2950" t="s">
        <v>1163</v>
      </c>
      <c r="B2950" t="s">
        <v>1164</v>
      </c>
      <c r="C2950" t="s">
        <v>313</v>
      </c>
      <c r="D2950" t="s">
        <v>110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45">
      <c r="A2951" t="s">
        <v>1163</v>
      </c>
      <c r="B2951" t="s">
        <v>1164</v>
      </c>
      <c r="C2951" t="s">
        <v>1977</v>
      </c>
      <c r="D2951" t="s">
        <v>110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45">
      <c r="A2952" t="s">
        <v>1163</v>
      </c>
      <c r="B2952" t="s">
        <v>1164</v>
      </c>
      <c r="C2952" t="s">
        <v>1978</v>
      </c>
      <c r="D2952" t="s">
        <v>110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45">
      <c r="A2953" t="s">
        <v>1163</v>
      </c>
      <c r="B2953" t="s">
        <v>1164</v>
      </c>
      <c r="C2953" t="s">
        <v>1164</v>
      </c>
      <c r="D2953" t="s">
        <v>110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45">
      <c r="A2954" t="s">
        <v>1163</v>
      </c>
      <c r="B2954" t="s">
        <v>1164</v>
      </c>
      <c r="C2954" t="s">
        <v>1979</v>
      </c>
      <c r="D2954" t="s">
        <v>110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45">
      <c r="A2955" t="s">
        <v>1163</v>
      </c>
      <c r="B2955" t="s">
        <v>1164</v>
      </c>
      <c r="C2955" t="s">
        <v>219</v>
      </c>
      <c r="D2955" t="s">
        <v>139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45">
      <c r="A2956" t="s">
        <v>1163</v>
      </c>
      <c r="B2956" t="s">
        <v>1164</v>
      </c>
      <c r="C2956" t="s">
        <v>406</v>
      </c>
      <c r="D2956" t="s">
        <v>110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45">
      <c r="A2957" t="s">
        <v>1163</v>
      </c>
      <c r="B2957" t="s">
        <v>1164</v>
      </c>
      <c r="C2957" t="s">
        <v>1980</v>
      </c>
      <c r="D2957" t="s">
        <v>110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45">
      <c r="A2958" t="s">
        <v>1981</v>
      </c>
      <c r="B2958" t="s">
        <v>1982</v>
      </c>
      <c r="C2958" t="s">
        <v>1983</v>
      </c>
      <c r="D2958" t="s">
        <v>110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45">
      <c r="A2959" t="s">
        <v>1981</v>
      </c>
      <c r="B2959" t="s">
        <v>1982</v>
      </c>
      <c r="C2959" t="s">
        <v>1984</v>
      </c>
      <c r="D2959" t="s">
        <v>110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45">
      <c r="A2960" t="s">
        <v>1981</v>
      </c>
      <c r="B2960" t="s">
        <v>1982</v>
      </c>
      <c r="C2960" t="s">
        <v>1985</v>
      </c>
      <c r="D2960" t="s">
        <v>110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45">
      <c r="A2961" t="s">
        <v>1981</v>
      </c>
      <c r="B2961" t="s">
        <v>1982</v>
      </c>
      <c r="C2961" t="s">
        <v>1986</v>
      </c>
      <c r="D2961" t="s">
        <v>110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45">
      <c r="A2962" t="s">
        <v>1981</v>
      </c>
      <c r="B2962" t="s">
        <v>1982</v>
      </c>
      <c r="C2962" t="s">
        <v>659</v>
      </c>
      <c r="D2962" t="s">
        <v>110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45">
      <c r="A2963" t="s">
        <v>1981</v>
      </c>
      <c r="B2963" t="s">
        <v>1982</v>
      </c>
      <c r="C2963" t="s">
        <v>184</v>
      </c>
      <c r="D2963" t="s">
        <v>110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45">
      <c r="A2964" t="s">
        <v>1981</v>
      </c>
      <c r="B2964" t="s">
        <v>1982</v>
      </c>
      <c r="C2964" t="s">
        <v>1987</v>
      </c>
      <c r="D2964" t="s">
        <v>110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45">
      <c r="A2965" t="s">
        <v>1981</v>
      </c>
      <c r="B2965" t="s">
        <v>1982</v>
      </c>
      <c r="C2965" t="s">
        <v>1988</v>
      </c>
      <c r="D2965" t="s">
        <v>110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45">
      <c r="A2966" t="s">
        <v>1981</v>
      </c>
      <c r="B2966" t="s">
        <v>1982</v>
      </c>
      <c r="C2966" t="s">
        <v>867</v>
      </c>
      <c r="D2966" t="s">
        <v>110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45">
      <c r="A2967" t="s">
        <v>1981</v>
      </c>
      <c r="B2967" t="s">
        <v>1982</v>
      </c>
      <c r="C2967" t="s">
        <v>868</v>
      </c>
      <c r="D2967" t="s">
        <v>110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45">
      <c r="A2968" t="s">
        <v>1981</v>
      </c>
      <c r="B2968" t="s">
        <v>1982</v>
      </c>
      <c r="C2968" t="s">
        <v>1989</v>
      </c>
      <c r="D2968" t="s">
        <v>110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45">
      <c r="A2969" t="s">
        <v>1981</v>
      </c>
      <c r="B2969" t="s">
        <v>1982</v>
      </c>
      <c r="C2969" t="s">
        <v>219</v>
      </c>
      <c r="D2969" t="s">
        <v>110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45">
      <c r="A2970" t="s">
        <v>1981</v>
      </c>
      <c r="B2970" t="s">
        <v>1982</v>
      </c>
      <c r="C2970" t="s">
        <v>326</v>
      </c>
      <c r="D2970" t="s">
        <v>110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45">
      <c r="A2971" t="s">
        <v>1981</v>
      </c>
      <c r="B2971" t="s">
        <v>1982</v>
      </c>
      <c r="C2971" t="s">
        <v>1990</v>
      </c>
      <c r="D2971" t="s">
        <v>110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45">
      <c r="A2972" t="s">
        <v>1177</v>
      </c>
      <c r="B2972" t="s">
        <v>1178</v>
      </c>
      <c r="C2972" t="s">
        <v>1991</v>
      </c>
      <c r="D2972" t="s">
        <v>141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45">
      <c r="A2973" t="s">
        <v>1177</v>
      </c>
      <c r="B2973" t="s">
        <v>1178</v>
      </c>
      <c r="C2973" t="s">
        <v>1992</v>
      </c>
      <c r="D2973" t="s">
        <v>141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45">
      <c r="A2974" t="s">
        <v>1177</v>
      </c>
      <c r="B2974" t="s">
        <v>1178</v>
      </c>
      <c r="C2974" t="s">
        <v>1993</v>
      </c>
      <c r="D2974" t="s">
        <v>141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45">
      <c r="A2975" t="s">
        <v>1177</v>
      </c>
      <c r="B2975" t="s">
        <v>1178</v>
      </c>
      <c r="C2975" t="s">
        <v>1743</v>
      </c>
      <c r="D2975" t="s">
        <v>141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45">
      <c r="A2976" t="s">
        <v>1177</v>
      </c>
      <c r="B2976" t="s">
        <v>1178</v>
      </c>
      <c r="C2976" t="s">
        <v>1994</v>
      </c>
      <c r="D2976" t="s">
        <v>141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45">
      <c r="A2977" t="s">
        <v>1177</v>
      </c>
      <c r="B2977" t="s">
        <v>1178</v>
      </c>
      <c r="C2977" t="s">
        <v>1995</v>
      </c>
      <c r="D2977" t="s">
        <v>141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45">
      <c r="A2978" t="s">
        <v>1177</v>
      </c>
      <c r="B2978" t="s">
        <v>1178</v>
      </c>
      <c r="C2978" t="s">
        <v>1996</v>
      </c>
      <c r="D2978" t="s">
        <v>141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45">
      <c r="A2979" t="s">
        <v>1177</v>
      </c>
      <c r="B2979" t="s">
        <v>1178</v>
      </c>
      <c r="C2979" t="s">
        <v>1997</v>
      </c>
      <c r="D2979" t="s">
        <v>141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45">
      <c r="A2980" t="s">
        <v>1177</v>
      </c>
      <c r="B2980" t="s">
        <v>1178</v>
      </c>
      <c r="C2980" t="s">
        <v>1998</v>
      </c>
      <c r="D2980" t="s">
        <v>141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45">
      <c r="A2981" t="s">
        <v>1177</v>
      </c>
      <c r="B2981" t="s">
        <v>1178</v>
      </c>
      <c r="C2981" t="s">
        <v>1511</v>
      </c>
      <c r="D2981" t="s">
        <v>141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45">
      <c r="A2982" t="s">
        <v>1177</v>
      </c>
      <c r="B2982" t="s">
        <v>1178</v>
      </c>
      <c r="C2982" t="s">
        <v>993</v>
      </c>
      <c r="D2982" t="s">
        <v>141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45">
      <c r="A2983" t="s">
        <v>1177</v>
      </c>
      <c r="B2983" t="s">
        <v>1178</v>
      </c>
      <c r="C2983" t="s">
        <v>1999</v>
      </c>
      <c r="D2983" t="s">
        <v>141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45">
      <c r="A2984" t="s">
        <v>1177</v>
      </c>
      <c r="B2984" t="s">
        <v>1178</v>
      </c>
      <c r="C2984" t="s">
        <v>2000</v>
      </c>
      <c r="D2984" t="s">
        <v>141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45">
      <c r="A2985" t="s">
        <v>1177</v>
      </c>
      <c r="B2985" t="s">
        <v>1178</v>
      </c>
      <c r="C2985" t="s">
        <v>2001</v>
      </c>
      <c r="D2985" t="s">
        <v>141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45">
      <c r="A2986" t="s">
        <v>1177</v>
      </c>
      <c r="B2986" t="s">
        <v>1178</v>
      </c>
      <c r="C2986" t="s">
        <v>2002</v>
      </c>
      <c r="D2986" t="s">
        <v>141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45">
      <c r="A2987" t="s">
        <v>1177</v>
      </c>
      <c r="B2987" t="s">
        <v>1178</v>
      </c>
      <c r="C2987" t="s">
        <v>1750</v>
      </c>
      <c r="D2987" t="s">
        <v>141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45">
      <c r="A2988" t="s">
        <v>1177</v>
      </c>
      <c r="B2988" t="s">
        <v>1178</v>
      </c>
      <c r="C2988" t="s">
        <v>502</v>
      </c>
      <c r="D2988" t="s">
        <v>141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45">
      <c r="A2989" t="s">
        <v>1177</v>
      </c>
      <c r="B2989" t="s">
        <v>1178</v>
      </c>
      <c r="C2989" t="s">
        <v>2003</v>
      </c>
      <c r="D2989" t="s">
        <v>141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45">
      <c r="A2990" t="s">
        <v>1177</v>
      </c>
      <c r="B2990" t="s">
        <v>1178</v>
      </c>
      <c r="C2990" t="s">
        <v>2004</v>
      </c>
      <c r="D2990" t="s">
        <v>141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45">
      <c r="A2991" t="s">
        <v>1177</v>
      </c>
      <c r="B2991" t="s">
        <v>1178</v>
      </c>
      <c r="C2991" t="s">
        <v>1030</v>
      </c>
      <c r="D2991" t="s">
        <v>141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45">
      <c r="A2992" t="s">
        <v>1177</v>
      </c>
      <c r="B2992" t="s">
        <v>1178</v>
      </c>
      <c r="C2992" t="s">
        <v>640</v>
      </c>
      <c r="D2992" t="s">
        <v>141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45">
      <c r="A2993" t="s">
        <v>1177</v>
      </c>
      <c r="B2993" t="s">
        <v>1178</v>
      </c>
      <c r="C2993" t="s">
        <v>355</v>
      </c>
      <c r="D2993" t="s">
        <v>141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45">
      <c r="A2994" t="s">
        <v>1177</v>
      </c>
      <c r="B2994" t="s">
        <v>1178</v>
      </c>
      <c r="C2994" t="s">
        <v>2005</v>
      </c>
      <c r="D2994" t="s">
        <v>141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45">
      <c r="A2995" t="s">
        <v>1177</v>
      </c>
      <c r="B2995" t="s">
        <v>1178</v>
      </c>
      <c r="C2995" t="s">
        <v>1382</v>
      </c>
      <c r="D2995" t="s">
        <v>141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45">
      <c r="A2996" t="s">
        <v>1177</v>
      </c>
      <c r="B2996" t="s">
        <v>1178</v>
      </c>
      <c r="C2996" t="s">
        <v>2006</v>
      </c>
      <c r="D2996" t="s">
        <v>141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45">
      <c r="A2997" t="s">
        <v>1177</v>
      </c>
      <c r="B2997" t="s">
        <v>1178</v>
      </c>
      <c r="C2997" t="s">
        <v>2007</v>
      </c>
      <c r="D2997" t="s">
        <v>141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45">
      <c r="A2998" t="s">
        <v>1177</v>
      </c>
      <c r="B2998" t="s">
        <v>1178</v>
      </c>
      <c r="C2998" t="s">
        <v>1861</v>
      </c>
      <c r="D2998" t="s">
        <v>141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45">
      <c r="A2999" t="s">
        <v>1177</v>
      </c>
      <c r="B2999" t="s">
        <v>1178</v>
      </c>
      <c r="C2999" t="s">
        <v>164</v>
      </c>
      <c r="D2999" t="s">
        <v>141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45">
      <c r="A3000" t="s">
        <v>1177</v>
      </c>
      <c r="B3000" t="s">
        <v>1178</v>
      </c>
      <c r="C3000" t="s">
        <v>2008</v>
      </c>
      <c r="D3000" t="s">
        <v>141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45">
      <c r="A3001" t="s">
        <v>1177</v>
      </c>
      <c r="B3001" t="s">
        <v>1178</v>
      </c>
      <c r="C3001" t="s">
        <v>2009</v>
      </c>
      <c r="D3001" t="s">
        <v>141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45">
      <c r="A3002" t="s">
        <v>1177</v>
      </c>
      <c r="B3002" t="s">
        <v>1178</v>
      </c>
      <c r="C3002" t="s">
        <v>2010</v>
      </c>
      <c r="D3002" t="s">
        <v>141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45">
      <c r="A3003" t="s">
        <v>1177</v>
      </c>
      <c r="B3003" t="s">
        <v>1178</v>
      </c>
      <c r="C3003" t="s">
        <v>1805</v>
      </c>
      <c r="D3003" t="s">
        <v>141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45">
      <c r="A3004" t="s">
        <v>1177</v>
      </c>
      <c r="B3004" t="s">
        <v>1178</v>
      </c>
      <c r="C3004" t="s">
        <v>2011</v>
      </c>
      <c r="D3004" t="s">
        <v>141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45">
      <c r="A3005" t="s">
        <v>1177</v>
      </c>
      <c r="B3005" t="s">
        <v>1178</v>
      </c>
      <c r="C3005" t="s">
        <v>624</v>
      </c>
      <c r="D3005" t="s">
        <v>141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45">
      <c r="A3006" t="s">
        <v>1177</v>
      </c>
      <c r="B3006" t="s">
        <v>1178</v>
      </c>
      <c r="C3006" t="s">
        <v>2012</v>
      </c>
      <c r="D3006" t="s">
        <v>141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45">
      <c r="A3007" t="s">
        <v>1177</v>
      </c>
      <c r="B3007" t="s">
        <v>1178</v>
      </c>
      <c r="C3007" t="s">
        <v>2013</v>
      </c>
      <c r="D3007" t="s">
        <v>141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45">
      <c r="A3008" t="s">
        <v>1177</v>
      </c>
      <c r="B3008" t="s">
        <v>1178</v>
      </c>
      <c r="C3008" t="s">
        <v>2014</v>
      </c>
      <c r="D3008" t="s">
        <v>141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45">
      <c r="A3009" t="s">
        <v>1177</v>
      </c>
      <c r="B3009" t="s">
        <v>1178</v>
      </c>
      <c r="C3009" t="s">
        <v>2015</v>
      </c>
      <c r="D3009" t="s">
        <v>141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45">
      <c r="A3010" t="s">
        <v>1177</v>
      </c>
      <c r="B3010" t="s">
        <v>1178</v>
      </c>
      <c r="C3010" t="s">
        <v>659</v>
      </c>
      <c r="D3010" t="s">
        <v>141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45">
      <c r="A3011" t="s">
        <v>1177</v>
      </c>
      <c r="B3011" t="s">
        <v>1178</v>
      </c>
      <c r="C3011" t="s">
        <v>2016</v>
      </c>
      <c r="D3011" t="s">
        <v>141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45">
      <c r="A3012" t="s">
        <v>1177</v>
      </c>
      <c r="B3012" t="s">
        <v>1178</v>
      </c>
      <c r="C3012" t="s">
        <v>2017</v>
      </c>
      <c r="D3012" t="s">
        <v>141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45">
      <c r="A3013" t="s">
        <v>1177</v>
      </c>
      <c r="B3013" t="s">
        <v>1178</v>
      </c>
      <c r="C3013" t="s">
        <v>873</v>
      </c>
      <c r="D3013" t="s">
        <v>141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45">
      <c r="A3014" t="s">
        <v>1177</v>
      </c>
      <c r="B3014" t="s">
        <v>1178</v>
      </c>
      <c r="C3014" t="s">
        <v>2018</v>
      </c>
      <c r="D3014" t="s">
        <v>141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45">
      <c r="A3015" t="s">
        <v>1177</v>
      </c>
      <c r="B3015" t="s">
        <v>1178</v>
      </c>
      <c r="C3015" t="s">
        <v>2019</v>
      </c>
      <c r="D3015" t="s">
        <v>141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45">
      <c r="A3016" t="s">
        <v>1177</v>
      </c>
      <c r="B3016" t="s">
        <v>1178</v>
      </c>
      <c r="C3016" t="s">
        <v>2020</v>
      </c>
      <c r="D3016" t="s">
        <v>141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45">
      <c r="A3017" t="s">
        <v>1177</v>
      </c>
      <c r="B3017" t="s">
        <v>1178</v>
      </c>
      <c r="C3017" t="s">
        <v>2021</v>
      </c>
      <c r="D3017" t="s">
        <v>141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45">
      <c r="A3018" t="s">
        <v>1177</v>
      </c>
      <c r="B3018" t="s">
        <v>1178</v>
      </c>
      <c r="C3018" t="s">
        <v>898</v>
      </c>
      <c r="D3018" t="s">
        <v>141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45">
      <c r="A3019" t="s">
        <v>1177</v>
      </c>
      <c r="B3019" t="s">
        <v>1178</v>
      </c>
      <c r="C3019" t="s">
        <v>211</v>
      </c>
      <c r="D3019" t="s">
        <v>141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45">
      <c r="A3020" t="s">
        <v>1177</v>
      </c>
      <c r="B3020" t="s">
        <v>1178</v>
      </c>
      <c r="C3020" t="s">
        <v>2022</v>
      </c>
      <c r="D3020" t="s">
        <v>141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45">
      <c r="A3021" t="s">
        <v>1177</v>
      </c>
      <c r="B3021" t="s">
        <v>1178</v>
      </c>
      <c r="C3021" t="s">
        <v>251</v>
      </c>
      <c r="D3021" t="s">
        <v>141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45">
      <c r="A3022" t="s">
        <v>1177</v>
      </c>
      <c r="B3022" t="s">
        <v>1178</v>
      </c>
      <c r="C3022" t="s">
        <v>2023</v>
      </c>
      <c r="D3022" t="s">
        <v>141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45">
      <c r="A3023" t="s">
        <v>1177</v>
      </c>
      <c r="B3023" t="s">
        <v>1178</v>
      </c>
      <c r="C3023" t="s">
        <v>2024</v>
      </c>
      <c r="D3023" t="s">
        <v>141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45">
      <c r="A3024" t="s">
        <v>1177</v>
      </c>
      <c r="B3024" t="s">
        <v>1178</v>
      </c>
      <c r="C3024" t="s">
        <v>2025</v>
      </c>
      <c r="D3024" t="s">
        <v>141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45">
      <c r="A3025" t="s">
        <v>1177</v>
      </c>
      <c r="B3025" t="s">
        <v>1178</v>
      </c>
      <c r="C3025" t="s">
        <v>2026</v>
      </c>
      <c r="D3025" t="s">
        <v>141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45">
      <c r="A3026" t="s">
        <v>1177</v>
      </c>
      <c r="B3026" t="s">
        <v>1178</v>
      </c>
      <c r="C3026" t="s">
        <v>1502</v>
      </c>
      <c r="D3026" t="s">
        <v>141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45">
      <c r="A3027" t="s">
        <v>1177</v>
      </c>
      <c r="B3027" t="s">
        <v>1178</v>
      </c>
      <c r="C3027" t="s">
        <v>2027</v>
      </c>
      <c r="D3027" t="s">
        <v>141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45">
      <c r="A3028" t="s">
        <v>1177</v>
      </c>
      <c r="B3028" t="s">
        <v>1178</v>
      </c>
      <c r="C3028" t="s">
        <v>2028</v>
      </c>
      <c r="D3028" t="s">
        <v>141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45">
      <c r="A3029" t="s">
        <v>1177</v>
      </c>
      <c r="B3029" t="s">
        <v>1178</v>
      </c>
      <c r="C3029" t="s">
        <v>903</v>
      </c>
      <c r="D3029" t="s">
        <v>141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45">
      <c r="A3030" t="s">
        <v>1177</v>
      </c>
      <c r="B3030" t="s">
        <v>1178</v>
      </c>
      <c r="C3030" t="s">
        <v>331</v>
      </c>
      <c r="D3030" t="s">
        <v>141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45">
      <c r="A3031" t="s">
        <v>1177</v>
      </c>
      <c r="B3031" t="s">
        <v>1178</v>
      </c>
      <c r="C3031" t="s">
        <v>469</v>
      </c>
      <c r="D3031" t="s">
        <v>141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45">
      <c r="A3032" t="s">
        <v>1177</v>
      </c>
      <c r="B3032" t="s">
        <v>1178</v>
      </c>
      <c r="C3032" t="s">
        <v>2029</v>
      </c>
      <c r="D3032" t="s">
        <v>141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45">
      <c r="A3033" t="s">
        <v>1177</v>
      </c>
      <c r="B3033" t="s">
        <v>1178</v>
      </c>
      <c r="C3033" t="s">
        <v>405</v>
      </c>
      <c r="D3033" t="s">
        <v>141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45">
      <c r="A3034" t="s">
        <v>1177</v>
      </c>
      <c r="B3034" t="s">
        <v>1178</v>
      </c>
      <c r="C3034" t="s">
        <v>219</v>
      </c>
      <c r="D3034" t="s">
        <v>141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45">
      <c r="A3035" t="s">
        <v>1177</v>
      </c>
      <c r="B3035" t="s">
        <v>1178</v>
      </c>
      <c r="C3035" t="s">
        <v>2030</v>
      </c>
      <c r="D3035" t="s">
        <v>141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45">
      <c r="A3036" t="s">
        <v>1177</v>
      </c>
      <c r="B3036" t="s">
        <v>1178</v>
      </c>
      <c r="C3036" t="s">
        <v>1850</v>
      </c>
      <c r="D3036" t="s">
        <v>141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45">
      <c r="A3037" t="s">
        <v>1177</v>
      </c>
      <c r="B3037" t="s">
        <v>1178</v>
      </c>
      <c r="C3037" t="s">
        <v>2031</v>
      </c>
      <c r="D3037" t="s">
        <v>141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45">
      <c r="A3038" t="s">
        <v>1177</v>
      </c>
      <c r="B3038" t="s">
        <v>1178</v>
      </c>
      <c r="C3038" t="s">
        <v>2032</v>
      </c>
      <c r="D3038" t="s">
        <v>141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45">
      <c r="A3039" t="s">
        <v>1177</v>
      </c>
      <c r="B3039" t="s">
        <v>1178</v>
      </c>
      <c r="C3039" t="s">
        <v>1158</v>
      </c>
      <c r="D3039" t="s">
        <v>141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45">
      <c r="A3040" t="s">
        <v>1177</v>
      </c>
      <c r="B3040" t="s">
        <v>1178</v>
      </c>
      <c r="C3040" t="s">
        <v>2033</v>
      </c>
      <c r="D3040" t="s">
        <v>141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45">
      <c r="A3041" t="s">
        <v>1177</v>
      </c>
      <c r="B3041" t="s">
        <v>1178</v>
      </c>
      <c r="C3041" t="s">
        <v>632</v>
      </c>
      <c r="D3041" t="s">
        <v>141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45">
      <c r="A3042" t="s">
        <v>1229</v>
      </c>
      <c r="B3042" t="s">
        <v>219</v>
      </c>
      <c r="C3042" t="s">
        <v>423</v>
      </c>
      <c r="D3042" t="s">
        <v>110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45">
      <c r="A3043" t="s">
        <v>1229</v>
      </c>
      <c r="B3043" t="s">
        <v>219</v>
      </c>
      <c r="C3043" t="s">
        <v>2034</v>
      </c>
      <c r="D3043" t="s">
        <v>110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45">
      <c r="A3044" t="s">
        <v>1229</v>
      </c>
      <c r="B3044" t="s">
        <v>219</v>
      </c>
      <c r="C3044" t="s">
        <v>481</v>
      </c>
      <c r="D3044" t="s">
        <v>110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45">
      <c r="A3045" t="s">
        <v>1229</v>
      </c>
      <c r="B3045" t="s">
        <v>219</v>
      </c>
      <c r="C3045" t="s">
        <v>2035</v>
      </c>
      <c r="D3045" t="s">
        <v>110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45">
      <c r="A3046" t="s">
        <v>1229</v>
      </c>
      <c r="B3046" t="s">
        <v>219</v>
      </c>
      <c r="C3046" t="s">
        <v>2036</v>
      </c>
      <c r="D3046" t="s">
        <v>112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45">
      <c r="A3047" t="s">
        <v>1229</v>
      </c>
      <c r="B3047" t="s">
        <v>219</v>
      </c>
      <c r="C3047" t="s">
        <v>437</v>
      </c>
      <c r="D3047" t="s">
        <v>112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45">
      <c r="A3048" t="s">
        <v>1229</v>
      </c>
      <c r="B3048" t="s">
        <v>219</v>
      </c>
      <c r="C3048" t="s">
        <v>365</v>
      </c>
      <c r="D3048" t="s">
        <v>110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45">
      <c r="A3049" t="s">
        <v>1229</v>
      </c>
      <c r="B3049" t="s">
        <v>219</v>
      </c>
      <c r="C3049" t="s">
        <v>2037</v>
      </c>
      <c r="D3049" t="s">
        <v>112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45">
      <c r="A3050" t="s">
        <v>1229</v>
      </c>
      <c r="B3050" t="s">
        <v>219</v>
      </c>
      <c r="C3050" t="s">
        <v>278</v>
      </c>
      <c r="D3050" t="s">
        <v>110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45">
      <c r="A3051" t="s">
        <v>1229</v>
      </c>
      <c r="B3051" t="s">
        <v>219</v>
      </c>
      <c r="C3051" t="s">
        <v>2038</v>
      </c>
      <c r="D3051" t="s">
        <v>110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45">
      <c r="A3052" t="s">
        <v>1229</v>
      </c>
      <c r="B3052" t="s">
        <v>219</v>
      </c>
      <c r="C3052" t="s">
        <v>184</v>
      </c>
      <c r="D3052" t="s">
        <v>110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45">
      <c r="A3053" t="s">
        <v>1229</v>
      </c>
      <c r="B3053" t="s">
        <v>219</v>
      </c>
      <c r="C3053" t="s">
        <v>283</v>
      </c>
      <c r="D3053" t="s">
        <v>110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45">
      <c r="A3054" t="s">
        <v>1229</v>
      </c>
      <c r="B3054" t="s">
        <v>219</v>
      </c>
      <c r="C3054" t="s">
        <v>227</v>
      </c>
      <c r="D3054" t="s">
        <v>110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45">
      <c r="A3055" t="s">
        <v>1229</v>
      </c>
      <c r="B3055" t="s">
        <v>219</v>
      </c>
      <c r="C3055" t="s">
        <v>2039</v>
      </c>
      <c r="D3055" t="s">
        <v>112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45">
      <c r="A3056" t="s">
        <v>1229</v>
      </c>
      <c r="B3056" t="s">
        <v>219</v>
      </c>
      <c r="C3056" t="s">
        <v>2040</v>
      </c>
      <c r="D3056" t="s">
        <v>110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45">
      <c r="A3057" t="s">
        <v>1229</v>
      </c>
      <c r="B3057" t="s">
        <v>219</v>
      </c>
      <c r="C3057" t="s">
        <v>191</v>
      </c>
      <c r="D3057" t="s">
        <v>112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45">
      <c r="A3058" t="s">
        <v>1229</v>
      </c>
      <c r="B3058" t="s">
        <v>219</v>
      </c>
      <c r="C3058" t="s">
        <v>1121</v>
      </c>
      <c r="D3058" t="s">
        <v>112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45">
      <c r="A3059" t="s">
        <v>1229</v>
      </c>
      <c r="B3059" t="s">
        <v>219</v>
      </c>
      <c r="C3059" t="s">
        <v>2041</v>
      </c>
      <c r="D3059" t="s">
        <v>112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45">
      <c r="A3060" t="s">
        <v>1229</v>
      </c>
      <c r="B3060" t="s">
        <v>219</v>
      </c>
      <c r="C3060" t="s">
        <v>2042</v>
      </c>
      <c r="D3060" t="s">
        <v>110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45">
      <c r="A3061" t="s">
        <v>1229</v>
      </c>
      <c r="B3061" t="s">
        <v>219</v>
      </c>
      <c r="C3061" t="s">
        <v>2043</v>
      </c>
      <c r="D3061" t="s">
        <v>110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45">
      <c r="A3062" t="s">
        <v>1229</v>
      </c>
      <c r="B3062" t="s">
        <v>219</v>
      </c>
      <c r="C3062" t="s">
        <v>446</v>
      </c>
      <c r="D3062" t="s">
        <v>112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45">
      <c r="A3063" t="s">
        <v>1229</v>
      </c>
      <c r="B3063" t="s">
        <v>219</v>
      </c>
      <c r="C3063" t="s">
        <v>235</v>
      </c>
      <c r="D3063" t="s">
        <v>110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45">
      <c r="A3064" t="s">
        <v>1229</v>
      </c>
      <c r="B3064" t="s">
        <v>219</v>
      </c>
      <c r="C3064" t="s">
        <v>451</v>
      </c>
      <c r="D3064" t="s">
        <v>112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45">
      <c r="A3065" t="s">
        <v>1229</v>
      </c>
      <c r="B3065" t="s">
        <v>219</v>
      </c>
      <c r="C3065" t="s">
        <v>2044</v>
      </c>
      <c r="D3065" t="s">
        <v>110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45">
      <c r="A3066" t="s">
        <v>1229</v>
      </c>
      <c r="B3066" t="s">
        <v>219</v>
      </c>
      <c r="C3066" t="s">
        <v>2045</v>
      </c>
      <c r="D3066" t="s">
        <v>112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45">
      <c r="A3067" t="s">
        <v>1229</v>
      </c>
      <c r="B3067" t="s">
        <v>219</v>
      </c>
      <c r="C3067" t="s">
        <v>2046</v>
      </c>
      <c r="D3067" t="s">
        <v>110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45">
      <c r="A3068" t="s">
        <v>1229</v>
      </c>
      <c r="B3068" t="s">
        <v>219</v>
      </c>
      <c r="C3068" t="s">
        <v>816</v>
      </c>
      <c r="D3068" t="s">
        <v>112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45">
      <c r="A3069" t="s">
        <v>1229</v>
      </c>
      <c r="B3069" t="s">
        <v>219</v>
      </c>
      <c r="C3069" t="s">
        <v>310</v>
      </c>
      <c r="D3069" t="s">
        <v>110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45">
      <c r="A3070" t="s">
        <v>1229</v>
      </c>
      <c r="B3070" t="s">
        <v>219</v>
      </c>
      <c r="C3070" t="s">
        <v>2047</v>
      </c>
      <c r="D3070" t="s">
        <v>112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45">
      <c r="A3071" t="s">
        <v>1229</v>
      </c>
      <c r="B3071" t="s">
        <v>219</v>
      </c>
      <c r="C3071" t="s">
        <v>2048</v>
      </c>
      <c r="D3071" t="s">
        <v>110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45">
      <c r="A3072" t="s">
        <v>1229</v>
      </c>
      <c r="B3072" t="s">
        <v>219</v>
      </c>
      <c r="C3072" t="s">
        <v>2049</v>
      </c>
      <c r="D3072" t="s">
        <v>112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45">
      <c r="A3073" t="s">
        <v>1229</v>
      </c>
      <c r="B3073" t="s">
        <v>219</v>
      </c>
      <c r="C3073" t="s">
        <v>2050</v>
      </c>
      <c r="D3073" t="s">
        <v>110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45">
      <c r="A3074" t="s">
        <v>1229</v>
      </c>
      <c r="B3074" t="s">
        <v>219</v>
      </c>
      <c r="C3074" t="s">
        <v>1503</v>
      </c>
      <c r="D3074" t="s">
        <v>110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45">
      <c r="A3075" t="s">
        <v>1229</v>
      </c>
      <c r="B3075" t="s">
        <v>219</v>
      </c>
      <c r="C3075" t="s">
        <v>829</v>
      </c>
      <c r="D3075" t="s">
        <v>112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45">
      <c r="A3076" t="s">
        <v>1229</v>
      </c>
      <c r="B3076" t="s">
        <v>219</v>
      </c>
      <c r="C3076" t="s">
        <v>2051</v>
      </c>
      <c r="D3076" t="s">
        <v>112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45">
      <c r="A3077" t="s">
        <v>1257</v>
      </c>
      <c r="B3077" t="s">
        <v>1258</v>
      </c>
      <c r="C3077" t="s">
        <v>2052</v>
      </c>
      <c r="D3077" t="s">
        <v>113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45">
      <c r="A3078" t="s">
        <v>1257</v>
      </c>
      <c r="B3078" t="s">
        <v>1258</v>
      </c>
      <c r="C3078" t="s">
        <v>2053</v>
      </c>
      <c r="D3078" t="s">
        <v>110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45">
      <c r="A3079" t="s">
        <v>1257</v>
      </c>
      <c r="B3079" t="s">
        <v>1258</v>
      </c>
      <c r="C3079" t="s">
        <v>692</v>
      </c>
      <c r="D3079" t="s">
        <v>110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45">
      <c r="A3080" t="s">
        <v>1257</v>
      </c>
      <c r="B3080" t="s">
        <v>1258</v>
      </c>
      <c r="C3080" t="s">
        <v>437</v>
      </c>
      <c r="D3080" t="s">
        <v>110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45">
      <c r="A3081" t="s">
        <v>1257</v>
      </c>
      <c r="B3081" t="s">
        <v>1258</v>
      </c>
      <c r="C3081" t="s">
        <v>365</v>
      </c>
      <c r="D3081" t="s">
        <v>110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45">
      <c r="A3082" t="s">
        <v>1257</v>
      </c>
      <c r="B3082" t="s">
        <v>1258</v>
      </c>
      <c r="C3082" t="s">
        <v>368</v>
      </c>
      <c r="D3082" t="s">
        <v>110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45">
      <c r="A3083" t="s">
        <v>1257</v>
      </c>
      <c r="B3083" t="s">
        <v>1258</v>
      </c>
      <c r="C3083" t="s">
        <v>2054</v>
      </c>
      <c r="D3083" t="s">
        <v>110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45">
      <c r="A3084" t="s">
        <v>1257</v>
      </c>
      <c r="B3084" t="s">
        <v>1258</v>
      </c>
      <c r="C3084" t="s">
        <v>373</v>
      </c>
      <c r="D3084" t="s">
        <v>110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45">
      <c r="A3085" t="s">
        <v>1257</v>
      </c>
      <c r="B3085" t="s">
        <v>1258</v>
      </c>
      <c r="C3085" t="s">
        <v>2055</v>
      </c>
      <c r="D3085" t="s">
        <v>110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45">
      <c r="A3086" t="s">
        <v>1257</v>
      </c>
      <c r="B3086" t="s">
        <v>1258</v>
      </c>
      <c r="C3086" t="s">
        <v>278</v>
      </c>
      <c r="D3086" t="s">
        <v>113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45">
      <c r="A3087" t="s">
        <v>1257</v>
      </c>
      <c r="B3087" t="s">
        <v>1258</v>
      </c>
      <c r="C3087" t="s">
        <v>924</v>
      </c>
      <c r="D3087" t="s">
        <v>110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45">
      <c r="A3088" t="s">
        <v>1257</v>
      </c>
      <c r="B3088" t="s">
        <v>1258</v>
      </c>
      <c r="C3088" t="s">
        <v>2056</v>
      </c>
      <c r="D3088" t="s">
        <v>110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45">
      <c r="A3089" t="s">
        <v>1257</v>
      </c>
      <c r="B3089" t="s">
        <v>1258</v>
      </c>
      <c r="C3089" t="s">
        <v>1867</v>
      </c>
      <c r="D3089" t="s">
        <v>113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45">
      <c r="A3090" t="s">
        <v>1257</v>
      </c>
      <c r="B3090" t="s">
        <v>1258</v>
      </c>
      <c r="C3090" t="s">
        <v>2057</v>
      </c>
      <c r="D3090" t="s">
        <v>110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45">
      <c r="A3091" t="s">
        <v>1257</v>
      </c>
      <c r="B3091" t="s">
        <v>1258</v>
      </c>
      <c r="C3091" t="s">
        <v>1004</v>
      </c>
      <c r="D3091" t="s">
        <v>113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45">
      <c r="A3092" t="s">
        <v>1257</v>
      </c>
      <c r="B3092" t="s">
        <v>1258</v>
      </c>
      <c r="C3092" t="s">
        <v>227</v>
      </c>
      <c r="D3092" t="s">
        <v>110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45">
      <c r="A3093" t="s">
        <v>1257</v>
      </c>
      <c r="B3093" t="s">
        <v>1258</v>
      </c>
      <c r="C3093" t="s">
        <v>1529</v>
      </c>
      <c r="D3093" t="s">
        <v>110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45">
      <c r="A3094" t="s">
        <v>1257</v>
      </c>
      <c r="B3094" t="s">
        <v>1258</v>
      </c>
      <c r="C3094" t="s">
        <v>2058</v>
      </c>
      <c r="D3094" t="s">
        <v>110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45">
      <c r="A3095" t="s">
        <v>1257</v>
      </c>
      <c r="B3095" t="s">
        <v>1258</v>
      </c>
      <c r="C3095" t="s">
        <v>495</v>
      </c>
      <c r="D3095" t="s">
        <v>110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45">
      <c r="A3096" t="s">
        <v>1257</v>
      </c>
      <c r="B3096" t="s">
        <v>1258</v>
      </c>
      <c r="C3096" t="s">
        <v>1170</v>
      </c>
      <c r="D3096" t="s">
        <v>113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45">
      <c r="A3097" t="s">
        <v>1257</v>
      </c>
      <c r="B3097" t="s">
        <v>1258</v>
      </c>
      <c r="C3097" t="s">
        <v>190</v>
      </c>
      <c r="D3097" t="s">
        <v>110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45">
      <c r="A3098" t="s">
        <v>1257</v>
      </c>
      <c r="B3098" t="s">
        <v>1258</v>
      </c>
      <c r="C3098" t="s">
        <v>191</v>
      </c>
      <c r="D3098" t="s">
        <v>110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45">
      <c r="A3099" t="s">
        <v>1257</v>
      </c>
      <c r="B3099" t="s">
        <v>1258</v>
      </c>
      <c r="C3099" t="s">
        <v>1286</v>
      </c>
      <c r="D3099" t="s">
        <v>110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45">
      <c r="A3100" t="s">
        <v>1257</v>
      </c>
      <c r="B3100" t="s">
        <v>1258</v>
      </c>
      <c r="C3100" t="s">
        <v>2059</v>
      </c>
      <c r="D3100" t="s">
        <v>110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45">
      <c r="A3101" t="s">
        <v>1257</v>
      </c>
      <c r="B3101" t="s">
        <v>1258</v>
      </c>
      <c r="C3101" t="s">
        <v>2060</v>
      </c>
      <c r="D3101" t="s">
        <v>110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45">
      <c r="A3102" t="s">
        <v>1257</v>
      </c>
      <c r="B3102" t="s">
        <v>1258</v>
      </c>
      <c r="C3102" t="s">
        <v>2061</v>
      </c>
      <c r="D3102" t="s">
        <v>110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45">
      <c r="A3103" t="s">
        <v>1257</v>
      </c>
      <c r="B3103" t="s">
        <v>1258</v>
      </c>
      <c r="C3103" t="s">
        <v>234</v>
      </c>
      <c r="D3103" t="s">
        <v>110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45">
      <c r="A3104" t="s">
        <v>1257</v>
      </c>
      <c r="B3104" t="s">
        <v>1258</v>
      </c>
      <c r="C3104" t="s">
        <v>2062</v>
      </c>
      <c r="D3104" t="s">
        <v>113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45">
      <c r="A3105" t="s">
        <v>1257</v>
      </c>
      <c r="B3105" t="s">
        <v>1258</v>
      </c>
      <c r="C3105" t="s">
        <v>235</v>
      </c>
      <c r="D3105" t="s">
        <v>113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45">
      <c r="A3106" t="s">
        <v>1257</v>
      </c>
      <c r="B3106" t="s">
        <v>1258</v>
      </c>
      <c r="C3106" t="s">
        <v>2063</v>
      </c>
      <c r="D3106" t="s">
        <v>110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45">
      <c r="A3107" t="s">
        <v>1257</v>
      </c>
      <c r="B3107" t="s">
        <v>1258</v>
      </c>
      <c r="C3107" t="s">
        <v>2064</v>
      </c>
      <c r="D3107" t="s">
        <v>110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45">
      <c r="A3108" t="s">
        <v>1257</v>
      </c>
      <c r="B3108" t="s">
        <v>1258</v>
      </c>
      <c r="C3108" t="s">
        <v>2065</v>
      </c>
      <c r="D3108" t="s">
        <v>110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45">
      <c r="A3109" t="s">
        <v>1257</v>
      </c>
      <c r="B3109" t="s">
        <v>1258</v>
      </c>
      <c r="C3109" t="s">
        <v>1598</v>
      </c>
      <c r="D3109" t="s">
        <v>110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45">
      <c r="A3110" t="s">
        <v>1257</v>
      </c>
      <c r="B3110" t="s">
        <v>1258</v>
      </c>
      <c r="C3110" t="s">
        <v>1600</v>
      </c>
      <c r="D3110" t="s">
        <v>110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45">
      <c r="A3111" t="s">
        <v>1257</v>
      </c>
      <c r="B3111" t="s">
        <v>1258</v>
      </c>
      <c r="C3111" t="s">
        <v>2066</v>
      </c>
      <c r="D3111" t="s">
        <v>110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45">
      <c r="A3112" t="s">
        <v>1257</v>
      </c>
      <c r="B3112" t="s">
        <v>1258</v>
      </c>
      <c r="C3112" t="s">
        <v>204</v>
      </c>
      <c r="D3112" t="s">
        <v>110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45">
      <c r="A3113" t="s">
        <v>1257</v>
      </c>
      <c r="B3113" t="s">
        <v>1258</v>
      </c>
      <c r="C3113" t="s">
        <v>2067</v>
      </c>
      <c r="D3113" t="s">
        <v>110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45">
      <c r="A3114" t="s">
        <v>1257</v>
      </c>
      <c r="B3114" t="s">
        <v>1258</v>
      </c>
      <c r="C3114" t="s">
        <v>864</v>
      </c>
      <c r="D3114" t="s">
        <v>113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45">
      <c r="A3115" t="s">
        <v>1257</v>
      </c>
      <c r="B3115" t="s">
        <v>1258</v>
      </c>
      <c r="C3115" t="s">
        <v>2068</v>
      </c>
      <c r="D3115" t="s">
        <v>110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45">
      <c r="A3116" t="s">
        <v>1257</v>
      </c>
      <c r="B3116" t="s">
        <v>1258</v>
      </c>
      <c r="C3116" t="s">
        <v>2069</v>
      </c>
      <c r="D3116" t="s">
        <v>110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45">
      <c r="A3117" t="s">
        <v>1257</v>
      </c>
      <c r="B3117" t="s">
        <v>1258</v>
      </c>
      <c r="C3117" t="s">
        <v>2070</v>
      </c>
      <c r="D3117" t="s">
        <v>110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45">
      <c r="A3118" t="s">
        <v>1257</v>
      </c>
      <c r="B3118" t="s">
        <v>1258</v>
      </c>
      <c r="C3118" t="s">
        <v>816</v>
      </c>
      <c r="D3118" t="s">
        <v>110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45">
      <c r="A3119" t="s">
        <v>1257</v>
      </c>
      <c r="B3119" t="s">
        <v>1258</v>
      </c>
      <c r="C3119" t="s">
        <v>246</v>
      </c>
      <c r="D3119" t="s">
        <v>110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45">
      <c r="A3120" t="s">
        <v>1257</v>
      </c>
      <c r="B3120" t="s">
        <v>1258</v>
      </c>
      <c r="C3120" t="s">
        <v>947</v>
      </c>
      <c r="D3120" t="s">
        <v>110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45">
      <c r="A3121" t="s">
        <v>1257</v>
      </c>
      <c r="B3121" t="s">
        <v>1258</v>
      </c>
      <c r="C3121" t="s">
        <v>2071</v>
      </c>
      <c r="D3121" t="s">
        <v>113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45">
      <c r="A3122" t="s">
        <v>1257</v>
      </c>
      <c r="B3122" t="s">
        <v>1258</v>
      </c>
      <c r="C3122" t="s">
        <v>2072</v>
      </c>
      <c r="D3122" t="s">
        <v>110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45">
      <c r="A3123" t="s">
        <v>1257</v>
      </c>
      <c r="B3123" t="s">
        <v>1258</v>
      </c>
      <c r="C3123" t="s">
        <v>463</v>
      </c>
      <c r="D3123" t="s">
        <v>110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45">
      <c r="A3124" t="s">
        <v>1257</v>
      </c>
      <c r="B3124" t="s">
        <v>1258</v>
      </c>
      <c r="C3124" t="s">
        <v>819</v>
      </c>
      <c r="D3124" t="s">
        <v>110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45">
      <c r="A3125" t="s">
        <v>1257</v>
      </c>
      <c r="B3125" t="s">
        <v>1258</v>
      </c>
      <c r="C3125" t="s">
        <v>1970</v>
      </c>
      <c r="D3125" t="s">
        <v>110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45">
      <c r="A3126" t="s">
        <v>1257</v>
      </c>
      <c r="B3126" t="s">
        <v>1258</v>
      </c>
      <c r="C3126" t="s">
        <v>2073</v>
      </c>
      <c r="D3126" t="s">
        <v>110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45">
      <c r="A3127" t="s">
        <v>1257</v>
      </c>
      <c r="B3127" t="s">
        <v>1258</v>
      </c>
      <c r="C3127" t="s">
        <v>2074</v>
      </c>
      <c r="D3127" t="s">
        <v>113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45">
      <c r="A3128" t="s">
        <v>1257</v>
      </c>
      <c r="B3128" t="s">
        <v>1258</v>
      </c>
      <c r="C3128" t="s">
        <v>2075</v>
      </c>
      <c r="D3128" t="s">
        <v>110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45">
      <c r="A3129" t="s">
        <v>1257</v>
      </c>
      <c r="B3129" t="s">
        <v>1258</v>
      </c>
      <c r="C3129" t="s">
        <v>2076</v>
      </c>
      <c r="D3129" t="s">
        <v>110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45">
      <c r="A3130" t="s">
        <v>1257</v>
      </c>
      <c r="B3130" t="s">
        <v>1258</v>
      </c>
      <c r="C3130" t="s">
        <v>2077</v>
      </c>
      <c r="D3130" t="s">
        <v>110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45">
      <c r="A3131" t="s">
        <v>1257</v>
      </c>
      <c r="B3131" t="s">
        <v>1258</v>
      </c>
      <c r="C3131" t="s">
        <v>609</v>
      </c>
      <c r="D3131" t="s">
        <v>113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45">
      <c r="A3132" t="s">
        <v>1257</v>
      </c>
      <c r="B3132" t="s">
        <v>1258</v>
      </c>
      <c r="C3132" t="s">
        <v>2078</v>
      </c>
      <c r="D3132" t="s">
        <v>110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45">
      <c r="A3133" t="s">
        <v>1257</v>
      </c>
      <c r="B3133" t="s">
        <v>1258</v>
      </c>
      <c r="C3133" t="s">
        <v>615</v>
      </c>
      <c r="D3133" t="s">
        <v>110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45">
      <c r="A3134" t="s">
        <v>1257</v>
      </c>
      <c r="B3134" t="s">
        <v>1258</v>
      </c>
      <c r="C3134" t="s">
        <v>2079</v>
      </c>
      <c r="D3134" t="s">
        <v>113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45">
      <c r="A3135" t="s">
        <v>1257</v>
      </c>
      <c r="B3135" t="s">
        <v>1258</v>
      </c>
      <c r="C3135" t="s">
        <v>1881</v>
      </c>
      <c r="D3135" t="s">
        <v>110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45">
      <c r="A3136" t="s">
        <v>1257</v>
      </c>
      <c r="B3136" t="s">
        <v>1258</v>
      </c>
      <c r="C3136" t="s">
        <v>2080</v>
      </c>
      <c r="D3136" t="s">
        <v>113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45">
      <c r="A3137" t="s">
        <v>1257</v>
      </c>
      <c r="B3137" t="s">
        <v>1258</v>
      </c>
      <c r="C3137" t="s">
        <v>219</v>
      </c>
      <c r="D3137" t="s">
        <v>110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45">
      <c r="A3138" t="s">
        <v>1257</v>
      </c>
      <c r="B3138" t="s">
        <v>1258</v>
      </c>
      <c r="C3138" t="s">
        <v>2081</v>
      </c>
      <c r="D3138" t="s">
        <v>110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45">
      <c r="A3139" t="s">
        <v>1257</v>
      </c>
      <c r="B3139" t="s">
        <v>1258</v>
      </c>
      <c r="C3139" t="s">
        <v>2082</v>
      </c>
      <c r="D3139" t="s">
        <v>110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45">
      <c r="A3140" t="s">
        <v>1257</v>
      </c>
      <c r="B3140" t="s">
        <v>1258</v>
      </c>
      <c r="C3140" t="s">
        <v>2083</v>
      </c>
      <c r="D3140" t="s">
        <v>110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45">
      <c r="A3141" t="s">
        <v>1257</v>
      </c>
      <c r="B3141" t="s">
        <v>1258</v>
      </c>
      <c r="C3141" t="s">
        <v>475</v>
      </c>
      <c r="D3141" t="s">
        <v>110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5000000}"/>
  <mergeCells count="2">
    <mergeCell ref="L14:S14"/>
    <mergeCell ref="K14:K15"/>
  </mergeCells>
  <pageMargins left="0.7" right="0.7" top="0.75" bottom="0.75" header="0.3" footer="0.3"/>
  <pageSetup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3046875" defaultRowHeight="14.25" x14ac:dyDescent="0.45"/>
  <cols>
    <col min="1" max="1" width="29.796875" customWidth="1"/>
    <col min="2" max="2" width="7.796875" style="24" customWidth="1"/>
    <col min="3" max="11" width="7.53125" style="24" customWidth="1"/>
  </cols>
  <sheetData>
    <row r="1" spans="1:11" x14ac:dyDescent="0.45">
      <c r="A1" s="23" t="s">
        <v>2084</v>
      </c>
      <c r="C1" s="24" t="str">
        <f t="shared" ref="C1:K1" si="0">C5&amp;" Division"</f>
        <v>New England Division</v>
      </c>
      <c r="D1" s="24" t="str">
        <f t="shared" si="0"/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55" customHeight="1" x14ac:dyDescent="0.5">
      <c r="A2" s="99" t="s">
        <v>2085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23.55" customHeight="1" thickBot="1" x14ac:dyDescent="0.55000000000000004">
      <c r="A3" s="82"/>
      <c r="B3" s="101" t="s">
        <v>2086</v>
      </c>
      <c r="C3" s="102"/>
      <c r="D3" s="102"/>
      <c r="E3" s="102"/>
      <c r="F3" s="102"/>
      <c r="G3" s="102"/>
      <c r="H3" s="102"/>
      <c r="I3" s="102"/>
      <c r="J3" s="102"/>
      <c r="K3" s="102"/>
    </row>
    <row r="4" spans="1:11" ht="25.5" customHeight="1" x14ac:dyDescent="0.5">
      <c r="A4" s="82"/>
      <c r="B4" s="81"/>
      <c r="C4" s="103" t="s">
        <v>2087</v>
      </c>
      <c r="D4" s="95"/>
      <c r="E4" s="94" t="s">
        <v>2088</v>
      </c>
      <c r="F4" s="95"/>
      <c r="G4" s="94" t="s">
        <v>2089</v>
      </c>
      <c r="H4" s="95"/>
      <c r="I4" s="95"/>
      <c r="J4" s="98" t="s">
        <v>2090</v>
      </c>
      <c r="K4" s="95"/>
    </row>
    <row r="5" spans="1:11" ht="53.55" customHeight="1" thickBot="1" x14ac:dyDescent="0.5">
      <c r="A5" s="80"/>
      <c r="B5" s="79" t="s">
        <v>2091</v>
      </c>
      <c r="C5" s="79" t="s">
        <v>2092</v>
      </c>
      <c r="D5" s="79" t="s">
        <v>2093</v>
      </c>
      <c r="E5" s="79" t="s">
        <v>2094</v>
      </c>
      <c r="F5" s="79" t="s">
        <v>2095</v>
      </c>
      <c r="G5" s="79" t="s">
        <v>2096</v>
      </c>
      <c r="H5" s="79" t="s">
        <v>2097</v>
      </c>
      <c r="I5" s="79" t="s">
        <v>2098</v>
      </c>
      <c r="J5" s="79" t="s">
        <v>2099</v>
      </c>
      <c r="K5" s="79" t="s">
        <v>2045</v>
      </c>
    </row>
    <row r="6" spans="1:11" ht="24" customHeight="1" thickTop="1" x14ac:dyDescent="0.45">
      <c r="A6" s="78" t="s">
        <v>2100</v>
      </c>
      <c r="B6" s="77">
        <v>96758</v>
      </c>
      <c r="C6" s="77">
        <v>3748</v>
      </c>
      <c r="D6" s="77">
        <v>12272</v>
      </c>
      <c r="E6" s="77">
        <v>17642</v>
      </c>
      <c r="F6" s="77">
        <v>8501</v>
      </c>
      <c r="G6" s="77">
        <v>17961</v>
      </c>
      <c r="H6" s="77">
        <v>5359</v>
      </c>
      <c r="I6" s="77">
        <v>11558</v>
      </c>
      <c r="J6" s="77">
        <v>7761</v>
      </c>
      <c r="K6" s="77">
        <v>11956</v>
      </c>
    </row>
    <row r="7" spans="1:11" ht="24" customHeight="1" x14ac:dyDescent="0.45">
      <c r="A7" s="72" t="s">
        <v>2101</v>
      </c>
      <c r="B7" s="66"/>
      <c r="C7" s="66"/>
      <c r="D7" s="66"/>
      <c r="E7" s="66"/>
      <c r="F7" s="66"/>
      <c r="G7" s="66"/>
      <c r="H7" s="66"/>
      <c r="I7" s="66"/>
      <c r="J7" s="66"/>
      <c r="K7" s="66"/>
    </row>
    <row r="8" spans="1:11" x14ac:dyDescent="0.45">
      <c r="A8" s="62" t="s">
        <v>2102</v>
      </c>
      <c r="B8" s="61">
        <v>8031</v>
      </c>
      <c r="C8" s="61">
        <v>478</v>
      </c>
      <c r="D8" s="61">
        <v>652</v>
      </c>
      <c r="E8" s="61">
        <v>1545</v>
      </c>
      <c r="F8" s="61">
        <v>716</v>
      </c>
      <c r="G8" s="61">
        <v>1506</v>
      </c>
      <c r="H8" s="61">
        <v>458</v>
      </c>
      <c r="I8" s="61">
        <v>1032</v>
      </c>
      <c r="J8" s="61">
        <v>571</v>
      </c>
      <c r="K8" s="61">
        <v>1072</v>
      </c>
    </row>
    <row r="9" spans="1:11" x14ac:dyDescent="0.45">
      <c r="A9" s="62" t="s">
        <v>2103</v>
      </c>
      <c r="B9" s="61">
        <v>10206</v>
      </c>
      <c r="C9" s="61">
        <v>443</v>
      </c>
      <c r="D9" s="61">
        <v>708</v>
      </c>
      <c r="E9" s="61">
        <v>1889</v>
      </c>
      <c r="F9" s="61">
        <v>1173</v>
      </c>
      <c r="G9" s="61">
        <v>1413</v>
      </c>
      <c r="H9" s="61">
        <v>688</v>
      </c>
      <c r="I9" s="61">
        <v>1370</v>
      </c>
      <c r="J9" s="61">
        <v>994</v>
      </c>
      <c r="K9" s="61">
        <v>1527</v>
      </c>
    </row>
    <row r="10" spans="1:11" x14ac:dyDescent="0.45">
      <c r="A10" s="62" t="s">
        <v>2104</v>
      </c>
      <c r="B10" s="61">
        <v>15623</v>
      </c>
      <c r="C10" s="61">
        <v>782</v>
      </c>
      <c r="D10" s="61">
        <v>1535</v>
      </c>
      <c r="E10" s="61">
        <v>2749</v>
      </c>
      <c r="F10" s="61">
        <v>1589</v>
      </c>
      <c r="G10" s="61">
        <v>2825</v>
      </c>
      <c r="H10" s="61">
        <v>881</v>
      </c>
      <c r="I10" s="61">
        <v>1962</v>
      </c>
      <c r="J10" s="61">
        <v>1313</v>
      </c>
      <c r="K10" s="61">
        <v>1987</v>
      </c>
    </row>
    <row r="11" spans="1:11" x14ac:dyDescent="0.45">
      <c r="A11" s="62" t="s">
        <v>2105</v>
      </c>
      <c r="B11" s="61">
        <v>14430</v>
      </c>
      <c r="C11" s="61">
        <v>505</v>
      </c>
      <c r="D11" s="61">
        <v>1783</v>
      </c>
      <c r="E11" s="61">
        <v>2939</v>
      </c>
      <c r="F11" s="61">
        <v>1408</v>
      </c>
      <c r="G11" s="61">
        <v>2393</v>
      </c>
      <c r="H11" s="61">
        <v>604</v>
      </c>
      <c r="I11" s="61">
        <v>1714</v>
      </c>
      <c r="J11" s="61">
        <v>1147</v>
      </c>
      <c r="K11" s="61">
        <v>1937</v>
      </c>
    </row>
    <row r="12" spans="1:11" x14ac:dyDescent="0.45">
      <c r="A12" s="62" t="s">
        <v>2106</v>
      </c>
      <c r="B12" s="61">
        <v>15387</v>
      </c>
      <c r="C12" s="61">
        <v>518</v>
      </c>
      <c r="D12" s="61">
        <v>1666</v>
      </c>
      <c r="E12" s="61">
        <v>2657</v>
      </c>
      <c r="F12" s="61">
        <v>1325</v>
      </c>
      <c r="G12" s="61">
        <v>3250</v>
      </c>
      <c r="H12" s="61">
        <v>875</v>
      </c>
      <c r="I12" s="61">
        <v>2173</v>
      </c>
      <c r="J12" s="61">
        <v>1292</v>
      </c>
      <c r="K12" s="61">
        <v>1630</v>
      </c>
    </row>
    <row r="13" spans="1:11" x14ac:dyDescent="0.45">
      <c r="A13" s="62" t="s">
        <v>2107</v>
      </c>
      <c r="B13" s="61">
        <v>13042</v>
      </c>
      <c r="C13" s="61">
        <v>538</v>
      </c>
      <c r="D13" s="61">
        <v>2127</v>
      </c>
      <c r="E13" s="61">
        <v>1746</v>
      </c>
      <c r="F13" s="61">
        <v>1031</v>
      </c>
      <c r="G13" s="61">
        <v>2627</v>
      </c>
      <c r="H13" s="61">
        <v>1022</v>
      </c>
      <c r="I13" s="61">
        <v>1380</v>
      </c>
      <c r="J13" s="61">
        <v>1141</v>
      </c>
      <c r="K13" s="61">
        <v>1428</v>
      </c>
    </row>
    <row r="14" spans="1:11" x14ac:dyDescent="0.45">
      <c r="A14" s="62" t="s">
        <v>2108</v>
      </c>
      <c r="B14" s="61">
        <v>11723</v>
      </c>
      <c r="C14" s="61">
        <v>341</v>
      </c>
      <c r="D14" s="61">
        <v>2035</v>
      </c>
      <c r="E14" s="61">
        <v>2444</v>
      </c>
      <c r="F14" s="61">
        <v>585</v>
      </c>
      <c r="G14" s="61">
        <v>2389</v>
      </c>
      <c r="H14" s="61">
        <v>550</v>
      </c>
      <c r="I14" s="61">
        <v>1265</v>
      </c>
      <c r="J14" s="61">
        <v>632</v>
      </c>
      <c r="K14" s="61">
        <v>1483</v>
      </c>
    </row>
    <row r="15" spans="1:11" x14ac:dyDescent="0.45">
      <c r="A15" s="62" t="s">
        <v>2109</v>
      </c>
      <c r="B15" s="61">
        <v>8317</v>
      </c>
      <c r="C15" s="61" t="s">
        <v>2110</v>
      </c>
      <c r="D15" s="61">
        <v>1766</v>
      </c>
      <c r="E15" s="61">
        <v>1673</v>
      </c>
      <c r="F15" s="61">
        <v>674</v>
      </c>
      <c r="G15" s="61">
        <v>1557</v>
      </c>
      <c r="H15" s="61" t="s">
        <v>2110</v>
      </c>
      <c r="I15" s="61">
        <v>662</v>
      </c>
      <c r="J15" s="61" t="s">
        <v>2110</v>
      </c>
      <c r="K15" s="61">
        <v>892</v>
      </c>
    </row>
    <row r="16" spans="1:11" ht="24" customHeight="1" x14ac:dyDescent="0.45">
      <c r="A16" s="72" t="s">
        <v>2111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</row>
    <row r="17" spans="1:11" x14ac:dyDescent="0.45">
      <c r="A17" s="62" t="s">
        <v>2112</v>
      </c>
      <c r="B17" s="61">
        <v>13686</v>
      </c>
      <c r="C17" s="61">
        <v>621</v>
      </c>
      <c r="D17" s="61">
        <v>1924</v>
      </c>
      <c r="E17" s="61">
        <v>2455</v>
      </c>
      <c r="F17" s="61">
        <v>1430</v>
      </c>
      <c r="G17" s="61">
        <v>2348</v>
      </c>
      <c r="H17" s="61">
        <v>834</v>
      </c>
      <c r="I17" s="61">
        <v>1800</v>
      </c>
      <c r="J17" s="61">
        <v>895</v>
      </c>
      <c r="K17" s="61">
        <v>1379</v>
      </c>
    </row>
    <row r="18" spans="1:11" x14ac:dyDescent="0.45">
      <c r="A18" s="62" t="s">
        <v>2113</v>
      </c>
      <c r="B18" s="61">
        <v>1032</v>
      </c>
      <c r="C18" s="61" t="s">
        <v>2110</v>
      </c>
      <c r="D18" s="61" t="s">
        <v>2110</v>
      </c>
      <c r="E18" s="61">
        <v>320</v>
      </c>
      <c r="F18" s="61" t="s">
        <v>2110</v>
      </c>
      <c r="G18" s="61" t="s">
        <v>2110</v>
      </c>
      <c r="H18" s="61" t="s">
        <v>2110</v>
      </c>
      <c r="I18" s="61" t="s">
        <v>2110</v>
      </c>
      <c r="J18" s="61" t="s">
        <v>2110</v>
      </c>
      <c r="K18" s="61" t="s">
        <v>2110</v>
      </c>
    </row>
    <row r="19" spans="1:11" x14ac:dyDescent="0.45">
      <c r="A19" s="62" t="s">
        <v>2114</v>
      </c>
      <c r="B19" s="61">
        <v>1372</v>
      </c>
      <c r="C19" s="61" t="s">
        <v>2110</v>
      </c>
      <c r="D19" s="61" t="s">
        <v>2110</v>
      </c>
      <c r="E19" s="61">
        <v>211</v>
      </c>
      <c r="F19" s="61" t="s">
        <v>2110</v>
      </c>
      <c r="G19" s="61">
        <v>261</v>
      </c>
      <c r="H19" s="61" t="s">
        <v>2110</v>
      </c>
      <c r="I19" s="61">
        <v>190</v>
      </c>
      <c r="J19" s="61">
        <v>214</v>
      </c>
      <c r="K19" s="61">
        <v>198</v>
      </c>
    </row>
    <row r="20" spans="1:11" x14ac:dyDescent="0.45">
      <c r="A20" s="62" t="s">
        <v>2115</v>
      </c>
      <c r="B20" s="61">
        <v>4011</v>
      </c>
      <c r="C20" s="61">
        <v>194</v>
      </c>
      <c r="D20" s="61">
        <v>585</v>
      </c>
      <c r="E20" s="61">
        <v>831</v>
      </c>
      <c r="F20" s="61">
        <v>238</v>
      </c>
      <c r="G20" s="61">
        <v>580</v>
      </c>
      <c r="H20" s="61">
        <v>238</v>
      </c>
      <c r="I20" s="61">
        <v>355</v>
      </c>
      <c r="J20" s="61">
        <v>404</v>
      </c>
      <c r="K20" s="61">
        <v>586</v>
      </c>
    </row>
    <row r="21" spans="1:11" x14ac:dyDescent="0.45">
      <c r="A21" s="60" t="s">
        <v>2116</v>
      </c>
      <c r="B21" s="61">
        <v>2259</v>
      </c>
      <c r="C21" s="61" t="s">
        <v>2110</v>
      </c>
      <c r="D21" s="61">
        <v>276</v>
      </c>
      <c r="E21" s="61">
        <v>583</v>
      </c>
      <c r="F21" s="61" t="s">
        <v>2110</v>
      </c>
      <c r="G21" s="61">
        <v>366</v>
      </c>
      <c r="H21" s="61" t="s">
        <v>2110</v>
      </c>
      <c r="I21" s="61">
        <v>237</v>
      </c>
      <c r="J21" s="61" t="s">
        <v>2110</v>
      </c>
      <c r="K21" s="61">
        <v>302</v>
      </c>
    </row>
    <row r="22" spans="1:11" x14ac:dyDescent="0.45">
      <c r="A22" s="60" t="s">
        <v>2117</v>
      </c>
      <c r="B22" s="61">
        <v>1753</v>
      </c>
      <c r="C22" s="61" t="s">
        <v>2110</v>
      </c>
      <c r="D22" s="61">
        <v>308</v>
      </c>
      <c r="E22" s="61">
        <v>248</v>
      </c>
      <c r="F22" s="61" t="s">
        <v>2110</v>
      </c>
      <c r="G22" s="61">
        <v>214</v>
      </c>
      <c r="H22" s="61" t="s">
        <v>2110</v>
      </c>
      <c r="I22" s="61" t="s">
        <v>2110</v>
      </c>
      <c r="J22" s="61">
        <v>243</v>
      </c>
      <c r="K22" s="61">
        <v>284</v>
      </c>
    </row>
    <row r="23" spans="1:11" x14ac:dyDescent="0.45">
      <c r="A23" s="62" t="s">
        <v>2118</v>
      </c>
      <c r="B23" s="61">
        <v>6997</v>
      </c>
      <c r="C23" s="61">
        <v>322</v>
      </c>
      <c r="D23" s="61">
        <v>884</v>
      </c>
      <c r="E23" s="61">
        <v>1072</v>
      </c>
      <c r="F23" s="61">
        <v>589</v>
      </c>
      <c r="G23" s="61">
        <v>1300</v>
      </c>
      <c r="H23" s="61">
        <v>305</v>
      </c>
      <c r="I23" s="61">
        <v>771</v>
      </c>
      <c r="J23" s="61">
        <v>830</v>
      </c>
      <c r="K23" s="61">
        <v>924</v>
      </c>
    </row>
    <row r="24" spans="1:11" x14ac:dyDescent="0.45">
      <c r="A24" s="62" t="s">
        <v>2119</v>
      </c>
      <c r="B24" s="61">
        <v>10781</v>
      </c>
      <c r="C24" s="61" t="s">
        <v>2110</v>
      </c>
      <c r="D24" s="61">
        <v>1044</v>
      </c>
      <c r="E24" s="61">
        <v>1756</v>
      </c>
      <c r="F24" s="61">
        <v>856</v>
      </c>
      <c r="G24" s="61">
        <v>2159</v>
      </c>
      <c r="H24" s="61">
        <v>718</v>
      </c>
      <c r="I24" s="61">
        <v>1598</v>
      </c>
      <c r="J24" s="61">
        <v>1125</v>
      </c>
      <c r="K24" s="61">
        <v>1174</v>
      </c>
    </row>
    <row r="25" spans="1:11" x14ac:dyDescent="0.45">
      <c r="A25" s="60" t="s">
        <v>2120</v>
      </c>
      <c r="B25" s="61">
        <v>5193</v>
      </c>
      <c r="C25" s="61" t="s">
        <v>2110</v>
      </c>
      <c r="D25" s="61">
        <v>376</v>
      </c>
      <c r="E25" s="61">
        <v>900</v>
      </c>
      <c r="F25" s="61">
        <v>569</v>
      </c>
      <c r="G25" s="61">
        <v>998</v>
      </c>
      <c r="H25" s="61">
        <v>506</v>
      </c>
      <c r="I25" s="61">
        <v>671</v>
      </c>
      <c r="J25" s="61">
        <v>563</v>
      </c>
      <c r="K25" s="61">
        <v>380</v>
      </c>
    </row>
    <row r="26" spans="1:11" x14ac:dyDescent="0.45">
      <c r="A26" s="60" t="s">
        <v>2121</v>
      </c>
      <c r="B26" s="61">
        <v>5588</v>
      </c>
      <c r="C26" s="61" t="s">
        <v>2110</v>
      </c>
      <c r="D26" s="61">
        <v>669</v>
      </c>
      <c r="E26" s="61">
        <v>856</v>
      </c>
      <c r="F26" s="61" t="s">
        <v>2110</v>
      </c>
      <c r="G26" s="61">
        <v>1161</v>
      </c>
      <c r="H26" s="61" t="s">
        <v>2110</v>
      </c>
      <c r="I26" s="61">
        <v>927</v>
      </c>
      <c r="J26" s="61">
        <v>562</v>
      </c>
      <c r="K26" s="61">
        <v>795</v>
      </c>
    </row>
    <row r="27" spans="1:11" x14ac:dyDescent="0.45">
      <c r="A27" s="62" t="s">
        <v>2122</v>
      </c>
      <c r="B27" s="61">
        <v>16682</v>
      </c>
      <c r="C27" s="61">
        <v>454</v>
      </c>
      <c r="D27" s="61">
        <v>2741</v>
      </c>
      <c r="E27" s="61">
        <v>2943</v>
      </c>
      <c r="F27" s="61">
        <v>1393</v>
      </c>
      <c r="G27" s="61">
        <v>3253</v>
      </c>
      <c r="H27" s="61">
        <v>547</v>
      </c>
      <c r="I27" s="61">
        <v>1918</v>
      </c>
      <c r="J27" s="61">
        <v>1359</v>
      </c>
      <c r="K27" s="61">
        <v>2072</v>
      </c>
    </row>
    <row r="28" spans="1:11" x14ac:dyDescent="0.45">
      <c r="A28" s="62" t="s">
        <v>2123</v>
      </c>
      <c r="B28" s="61">
        <v>7157</v>
      </c>
      <c r="C28" s="61">
        <v>424</v>
      </c>
      <c r="D28" s="61">
        <v>677</v>
      </c>
      <c r="E28" s="61">
        <v>1384</v>
      </c>
      <c r="F28" s="61">
        <v>506</v>
      </c>
      <c r="G28" s="61">
        <v>1642</v>
      </c>
      <c r="H28" s="61" t="s">
        <v>2110</v>
      </c>
      <c r="I28" s="61">
        <v>893</v>
      </c>
      <c r="J28" s="61">
        <v>566</v>
      </c>
      <c r="K28" s="61">
        <v>915</v>
      </c>
    </row>
    <row r="29" spans="1:11" x14ac:dyDescent="0.45">
      <c r="A29" s="62" t="s">
        <v>2124</v>
      </c>
      <c r="B29" s="61">
        <v>1563</v>
      </c>
      <c r="C29" s="61" t="s">
        <v>2110</v>
      </c>
      <c r="D29" s="61" t="s">
        <v>2110</v>
      </c>
      <c r="E29" s="61" t="s">
        <v>2110</v>
      </c>
      <c r="F29" s="61" t="s">
        <v>2110</v>
      </c>
      <c r="G29" s="61" t="s">
        <v>2110</v>
      </c>
      <c r="H29" s="61" t="s">
        <v>2110</v>
      </c>
      <c r="I29" s="61" t="s">
        <v>2110</v>
      </c>
      <c r="J29" s="61" t="s">
        <v>2110</v>
      </c>
      <c r="K29" s="61" t="s">
        <v>2110</v>
      </c>
    </row>
    <row r="30" spans="1:11" x14ac:dyDescent="0.45">
      <c r="A30" s="62" t="s">
        <v>2125</v>
      </c>
      <c r="B30" s="61">
        <v>5686</v>
      </c>
      <c r="C30" s="61" t="s">
        <v>2110</v>
      </c>
      <c r="D30" s="61">
        <v>510</v>
      </c>
      <c r="E30" s="61">
        <v>963</v>
      </c>
      <c r="F30" s="61">
        <v>609</v>
      </c>
      <c r="G30" s="61">
        <v>1370</v>
      </c>
      <c r="H30" s="61">
        <v>602</v>
      </c>
      <c r="I30" s="61">
        <v>619</v>
      </c>
      <c r="J30" s="61" t="s">
        <v>2110</v>
      </c>
      <c r="K30" s="61">
        <v>530</v>
      </c>
    </row>
    <row r="31" spans="1:11" x14ac:dyDescent="0.45">
      <c r="A31" s="62" t="s">
        <v>2126</v>
      </c>
      <c r="B31" s="61">
        <v>6343</v>
      </c>
      <c r="C31" s="61">
        <v>323</v>
      </c>
      <c r="D31" s="61">
        <v>1042</v>
      </c>
      <c r="E31" s="61">
        <v>1301</v>
      </c>
      <c r="F31" s="61">
        <v>911</v>
      </c>
      <c r="G31" s="61">
        <v>755</v>
      </c>
      <c r="H31" s="61">
        <v>310</v>
      </c>
      <c r="I31" s="61">
        <v>619</v>
      </c>
      <c r="J31" s="61">
        <v>478</v>
      </c>
      <c r="K31" s="61">
        <v>605</v>
      </c>
    </row>
    <row r="32" spans="1:11" x14ac:dyDescent="0.45">
      <c r="A32" s="62" t="s">
        <v>2127</v>
      </c>
      <c r="B32" s="61">
        <v>17429</v>
      </c>
      <c r="C32" s="61">
        <v>469</v>
      </c>
      <c r="D32" s="61">
        <v>1929</v>
      </c>
      <c r="E32" s="61">
        <v>3399</v>
      </c>
      <c r="F32" s="61">
        <v>1312</v>
      </c>
      <c r="G32" s="61">
        <v>3034</v>
      </c>
      <c r="H32" s="61">
        <v>1250</v>
      </c>
      <c r="I32" s="61">
        <v>2030</v>
      </c>
      <c r="J32" s="61">
        <v>1049</v>
      </c>
      <c r="K32" s="61">
        <v>2958</v>
      </c>
    </row>
    <row r="33" spans="1:11" x14ac:dyDescent="0.45">
      <c r="A33" s="62" t="s">
        <v>2128</v>
      </c>
      <c r="B33" s="61">
        <v>2403</v>
      </c>
      <c r="C33" s="61" t="s">
        <v>2110</v>
      </c>
      <c r="D33" s="61">
        <v>450</v>
      </c>
      <c r="E33" s="61">
        <v>403</v>
      </c>
      <c r="F33" s="61" t="s">
        <v>2110</v>
      </c>
      <c r="G33" s="61">
        <v>534</v>
      </c>
      <c r="H33" s="61" t="s">
        <v>2110</v>
      </c>
      <c r="I33" s="61" t="s">
        <v>2110</v>
      </c>
      <c r="J33" s="61" t="s">
        <v>2110</v>
      </c>
      <c r="K33" s="61" t="s">
        <v>2110</v>
      </c>
    </row>
    <row r="34" spans="1:11" x14ac:dyDescent="0.45">
      <c r="A34" s="62" t="s">
        <v>2129</v>
      </c>
      <c r="B34" s="61">
        <v>1616</v>
      </c>
      <c r="C34" s="61" t="s">
        <v>2110</v>
      </c>
      <c r="D34" s="61" t="s">
        <v>2110</v>
      </c>
      <c r="E34" s="61">
        <v>313</v>
      </c>
      <c r="F34" s="61" t="s">
        <v>2110</v>
      </c>
      <c r="G34" s="61">
        <v>371</v>
      </c>
      <c r="H34" s="61" t="s">
        <v>2110</v>
      </c>
      <c r="I34" s="61" t="s">
        <v>2110</v>
      </c>
      <c r="J34" s="61" t="s">
        <v>2110</v>
      </c>
      <c r="K34" s="61" t="s">
        <v>2110</v>
      </c>
    </row>
    <row r="35" spans="1:11" ht="24" customHeight="1" x14ac:dyDescent="0.45">
      <c r="A35" s="72" t="s">
        <v>2130</v>
      </c>
      <c r="B35" s="66"/>
      <c r="C35" s="66"/>
      <c r="D35" s="66"/>
      <c r="E35" s="66"/>
      <c r="F35" s="66"/>
      <c r="G35" s="66"/>
      <c r="H35" s="66"/>
      <c r="I35" s="66"/>
      <c r="J35" s="66"/>
      <c r="K35" s="66"/>
    </row>
    <row r="36" spans="1:11" x14ac:dyDescent="0.45">
      <c r="A36" s="62" t="s">
        <v>2131</v>
      </c>
      <c r="B36" s="61">
        <v>3600</v>
      </c>
      <c r="C36" s="61">
        <v>360</v>
      </c>
      <c r="D36" s="61">
        <v>925</v>
      </c>
      <c r="E36" s="61">
        <v>924</v>
      </c>
      <c r="F36" s="61" t="s">
        <v>2110</v>
      </c>
      <c r="G36" s="61">
        <v>487</v>
      </c>
      <c r="H36" s="61" t="s">
        <v>2110</v>
      </c>
      <c r="I36" s="61" t="s">
        <v>2110</v>
      </c>
      <c r="J36" s="61" t="s">
        <v>2110</v>
      </c>
      <c r="K36" s="61" t="s">
        <v>2110</v>
      </c>
    </row>
    <row r="37" spans="1:11" x14ac:dyDescent="0.45">
      <c r="A37" s="62" t="s">
        <v>2132</v>
      </c>
      <c r="B37" s="61">
        <v>5646</v>
      </c>
      <c r="C37" s="61">
        <v>259</v>
      </c>
      <c r="D37" s="61">
        <v>1330</v>
      </c>
      <c r="E37" s="61">
        <v>1464</v>
      </c>
      <c r="F37" s="61">
        <v>451</v>
      </c>
      <c r="G37" s="61">
        <v>648</v>
      </c>
      <c r="H37" s="61" t="s">
        <v>2110</v>
      </c>
      <c r="I37" s="61">
        <v>451</v>
      </c>
      <c r="J37" s="61">
        <v>224</v>
      </c>
      <c r="K37" s="61">
        <v>667</v>
      </c>
    </row>
    <row r="38" spans="1:11" x14ac:dyDescent="0.45">
      <c r="A38" s="62" t="s">
        <v>2133</v>
      </c>
      <c r="B38" s="61">
        <v>6958</v>
      </c>
      <c r="C38" s="61" t="s">
        <v>2110</v>
      </c>
      <c r="D38" s="61">
        <v>1324</v>
      </c>
      <c r="E38" s="61">
        <v>979</v>
      </c>
      <c r="F38" s="61">
        <v>763</v>
      </c>
      <c r="G38" s="61">
        <v>1333</v>
      </c>
      <c r="H38" s="61">
        <v>444</v>
      </c>
      <c r="I38" s="61">
        <v>632</v>
      </c>
      <c r="J38" s="61">
        <v>455</v>
      </c>
      <c r="K38" s="61">
        <v>812</v>
      </c>
    </row>
    <row r="39" spans="1:11" x14ac:dyDescent="0.45">
      <c r="A39" s="62" t="s">
        <v>2134</v>
      </c>
      <c r="B39" s="61">
        <v>10337</v>
      </c>
      <c r="C39" s="61">
        <v>406</v>
      </c>
      <c r="D39" s="61">
        <v>1639</v>
      </c>
      <c r="E39" s="61">
        <v>2108</v>
      </c>
      <c r="F39" s="61">
        <v>687</v>
      </c>
      <c r="G39" s="61">
        <v>1902</v>
      </c>
      <c r="H39" s="61">
        <v>755</v>
      </c>
      <c r="I39" s="61">
        <v>1088</v>
      </c>
      <c r="J39" s="61">
        <v>450</v>
      </c>
      <c r="K39" s="61">
        <v>1302</v>
      </c>
    </row>
    <row r="40" spans="1:11" x14ac:dyDescent="0.45">
      <c r="A40" s="62" t="s">
        <v>2135</v>
      </c>
      <c r="B40" s="61">
        <v>13257</v>
      </c>
      <c r="C40" s="61">
        <v>426</v>
      </c>
      <c r="D40" s="61">
        <v>1843</v>
      </c>
      <c r="E40" s="61">
        <v>2631</v>
      </c>
      <c r="F40" s="61">
        <v>1403</v>
      </c>
      <c r="G40" s="61">
        <v>2145</v>
      </c>
      <c r="H40" s="61">
        <v>751</v>
      </c>
      <c r="I40" s="61">
        <v>1394</v>
      </c>
      <c r="J40" s="61">
        <v>1073</v>
      </c>
      <c r="K40" s="61">
        <v>1590</v>
      </c>
    </row>
    <row r="41" spans="1:11" x14ac:dyDescent="0.45">
      <c r="A41" s="62" t="s">
        <v>2136</v>
      </c>
      <c r="B41" s="61">
        <v>13463</v>
      </c>
      <c r="C41" s="61">
        <v>645</v>
      </c>
      <c r="D41" s="61">
        <v>1364</v>
      </c>
      <c r="E41" s="61">
        <v>1639</v>
      </c>
      <c r="F41" s="61">
        <v>1291</v>
      </c>
      <c r="G41" s="61">
        <v>2751</v>
      </c>
      <c r="H41" s="61">
        <v>592</v>
      </c>
      <c r="I41" s="61">
        <v>1901</v>
      </c>
      <c r="J41" s="61">
        <v>1290</v>
      </c>
      <c r="K41" s="61">
        <v>1989</v>
      </c>
    </row>
    <row r="42" spans="1:11" x14ac:dyDescent="0.45">
      <c r="A42" s="62" t="s">
        <v>2137</v>
      </c>
      <c r="B42" s="61">
        <v>15550</v>
      </c>
      <c r="C42" s="61">
        <v>533</v>
      </c>
      <c r="D42" s="61">
        <v>1408</v>
      </c>
      <c r="E42" s="61">
        <v>2614</v>
      </c>
      <c r="F42" s="61">
        <v>1495</v>
      </c>
      <c r="G42" s="61">
        <v>3429</v>
      </c>
      <c r="H42" s="61">
        <v>749</v>
      </c>
      <c r="I42" s="61">
        <v>1953</v>
      </c>
      <c r="J42" s="61">
        <v>1335</v>
      </c>
      <c r="K42" s="61">
        <v>2033</v>
      </c>
    </row>
    <row r="43" spans="1:11" x14ac:dyDescent="0.45">
      <c r="A43" s="62" t="s">
        <v>2138</v>
      </c>
      <c r="B43" s="61">
        <v>17678</v>
      </c>
      <c r="C43" s="61">
        <v>713</v>
      </c>
      <c r="D43" s="61">
        <v>1493</v>
      </c>
      <c r="E43" s="61">
        <v>3395</v>
      </c>
      <c r="F43" s="61">
        <v>1503</v>
      </c>
      <c r="G43" s="61">
        <v>3444</v>
      </c>
      <c r="H43" s="61">
        <v>1261</v>
      </c>
      <c r="I43" s="61">
        <v>2326</v>
      </c>
      <c r="J43" s="61">
        <v>1643</v>
      </c>
      <c r="K43" s="61">
        <v>1901</v>
      </c>
    </row>
    <row r="44" spans="1:11" x14ac:dyDescent="0.45">
      <c r="A44" s="62" t="s">
        <v>2139</v>
      </c>
      <c r="B44" s="61">
        <v>10270</v>
      </c>
      <c r="C44" s="61" t="s">
        <v>2110</v>
      </c>
      <c r="D44" s="61">
        <v>947</v>
      </c>
      <c r="E44" s="61">
        <v>1889</v>
      </c>
      <c r="F44" s="61">
        <v>720</v>
      </c>
      <c r="G44" s="61">
        <v>1821</v>
      </c>
      <c r="H44" s="61">
        <v>528</v>
      </c>
      <c r="I44" s="61">
        <v>1635</v>
      </c>
      <c r="J44" s="61">
        <v>1032</v>
      </c>
      <c r="K44" s="61">
        <v>1507</v>
      </c>
    </row>
    <row r="45" spans="1:11" ht="24" customHeight="1" x14ac:dyDescent="0.45">
      <c r="A45" s="72" t="s">
        <v>2140</v>
      </c>
      <c r="B45" s="66"/>
      <c r="C45" s="66"/>
      <c r="D45" s="66"/>
      <c r="E45" s="66"/>
      <c r="F45" s="66"/>
      <c r="G45" s="66"/>
      <c r="H45" s="66"/>
      <c r="I45" s="66"/>
      <c r="J45" s="66"/>
      <c r="K45" s="66"/>
    </row>
    <row r="46" spans="1:11" x14ac:dyDescent="0.45">
      <c r="A46" s="62" t="s">
        <v>2141</v>
      </c>
      <c r="B46" s="61">
        <v>43918</v>
      </c>
      <c r="C46" s="61">
        <v>1098</v>
      </c>
      <c r="D46" s="61">
        <v>3463</v>
      </c>
      <c r="E46" s="61">
        <v>7879</v>
      </c>
      <c r="F46" s="61">
        <v>3992</v>
      </c>
      <c r="G46" s="61">
        <v>7860</v>
      </c>
      <c r="H46" s="61">
        <v>2999</v>
      </c>
      <c r="I46" s="61">
        <v>6804</v>
      </c>
      <c r="J46" s="61">
        <v>3943</v>
      </c>
      <c r="K46" s="61">
        <v>5879</v>
      </c>
    </row>
    <row r="47" spans="1:11" x14ac:dyDescent="0.45">
      <c r="A47" s="62" t="s">
        <v>2142</v>
      </c>
      <c r="B47" s="61">
        <v>23317</v>
      </c>
      <c r="C47" s="61">
        <v>894</v>
      </c>
      <c r="D47" s="61">
        <v>3107</v>
      </c>
      <c r="E47" s="61">
        <v>4581</v>
      </c>
      <c r="F47" s="61">
        <v>2337</v>
      </c>
      <c r="G47" s="61">
        <v>4193</v>
      </c>
      <c r="H47" s="61">
        <v>1222</v>
      </c>
      <c r="I47" s="61">
        <v>2406</v>
      </c>
      <c r="J47" s="61">
        <v>1723</v>
      </c>
      <c r="K47" s="61">
        <v>2853</v>
      </c>
    </row>
    <row r="48" spans="1:11" x14ac:dyDescent="0.45">
      <c r="A48" s="62" t="s">
        <v>2143</v>
      </c>
      <c r="B48" s="61">
        <v>10465</v>
      </c>
      <c r="C48" s="61">
        <v>809</v>
      </c>
      <c r="D48" s="61">
        <v>1584</v>
      </c>
      <c r="E48" s="61">
        <v>2303</v>
      </c>
      <c r="F48" s="61">
        <v>1202</v>
      </c>
      <c r="G48" s="61">
        <v>1836</v>
      </c>
      <c r="H48" s="61">
        <v>498</v>
      </c>
      <c r="I48" s="61">
        <v>817</v>
      </c>
      <c r="J48" s="61">
        <v>592</v>
      </c>
      <c r="K48" s="61">
        <v>822</v>
      </c>
    </row>
    <row r="49" spans="1:11" x14ac:dyDescent="0.45">
      <c r="A49" s="62" t="s">
        <v>2144</v>
      </c>
      <c r="B49" s="61">
        <v>13058</v>
      </c>
      <c r="C49" s="61">
        <v>785</v>
      </c>
      <c r="D49" s="61">
        <v>2528</v>
      </c>
      <c r="E49" s="61">
        <v>1906</v>
      </c>
      <c r="F49" s="61">
        <v>743</v>
      </c>
      <c r="G49" s="61">
        <v>2825</v>
      </c>
      <c r="H49" s="61">
        <v>461</v>
      </c>
      <c r="I49" s="61">
        <v>1168</v>
      </c>
      <c r="J49" s="61">
        <v>813</v>
      </c>
      <c r="K49" s="61">
        <v>1830</v>
      </c>
    </row>
    <row r="50" spans="1:11" x14ac:dyDescent="0.45">
      <c r="A50" s="62" t="s">
        <v>2145</v>
      </c>
      <c r="B50" s="61">
        <v>6000</v>
      </c>
      <c r="C50" s="61">
        <v>162</v>
      </c>
      <c r="D50" s="61">
        <v>1589</v>
      </c>
      <c r="E50" s="61">
        <v>973</v>
      </c>
      <c r="F50" s="61">
        <v>226</v>
      </c>
      <c r="G50" s="61">
        <v>1247</v>
      </c>
      <c r="H50" s="61">
        <v>178</v>
      </c>
      <c r="I50" s="61">
        <v>362</v>
      </c>
      <c r="J50" s="61" t="s">
        <v>2110</v>
      </c>
      <c r="K50" s="61">
        <v>573</v>
      </c>
    </row>
    <row r="51" spans="1:11" ht="33.700000000000003" customHeight="1" x14ac:dyDescent="0.45">
      <c r="A51" s="72" t="s">
        <v>2146</v>
      </c>
      <c r="B51" s="66"/>
      <c r="C51" s="66"/>
      <c r="D51" s="66"/>
      <c r="E51" s="66"/>
      <c r="F51" s="66"/>
      <c r="G51" s="66"/>
      <c r="H51" s="66"/>
      <c r="I51" s="66"/>
      <c r="J51" s="66"/>
      <c r="K51" s="66"/>
    </row>
    <row r="52" spans="1:11" x14ac:dyDescent="0.45">
      <c r="A52" s="62" t="s">
        <v>2147</v>
      </c>
      <c r="B52" s="61">
        <v>36488</v>
      </c>
      <c r="C52" s="61">
        <v>1655</v>
      </c>
      <c r="D52" s="61">
        <v>6532</v>
      </c>
      <c r="E52" s="61">
        <v>6652</v>
      </c>
      <c r="F52" s="61">
        <v>2714</v>
      </c>
      <c r="G52" s="61">
        <v>7280</v>
      </c>
      <c r="H52" s="61">
        <v>1360</v>
      </c>
      <c r="I52" s="61">
        <v>3415</v>
      </c>
      <c r="J52" s="61">
        <v>2873</v>
      </c>
      <c r="K52" s="61">
        <v>4007</v>
      </c>
    </row>
    <row r="53" spans="1:11" x14ac:dyDescent="0.45">
      <c r="A53" s="62" t="s">
        <v>2148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</row>
    <row r="54" spans="1:11" x14ac:dyDescent="0.45">
      <c r="A54" s="60" t="s">
        <v>2141</v>
      </c>
      <c r="B54" s="61">
        <v>14189</v>
      </c>
      <c r="C54" s="61">
        <v>790</v>
      </c>
      <c r="D54" s="61">
        <v>2318</v>
      </c>
      <c r="E54" s="61">
        <v>2920</v>
      </c>
      <c r="F54" s="61">
        <v>1131</v>
      </c>
      <c r="G54" s="61">
        <v>2794</v>
      </c>
      <c r="H54" s="61">
        <v>602</v>
      </c>
      <c r="I54" s="61">
        <v>1253</v>
      </c>
      <c r="J54" s="61">
        <v>1065</v>
      </c>
      <c r="K54" s="61">
        <v>1315</v>
      </c>
    </row>
    <row r="55" spans="1:11" x14ac:dyDescent="0.45">
      <c r="A55" s="60" t="s">
        <v>2149</v>
      </c>
      <c r="B55" s="61">
        <v>13328</v>
      </c>
      <c r="C55" s="61">
        <v>606</v>
      </c>
      <c r="D55" s="61">
        <v>2387</v>
      </c>
      <c r="E55" s="61">
        <v>2191</v>
      </c>
      <c r="F55" s="61">
        <v>1135</v>
      </c>
      <c r="G55" s="61">
        <v>2490</v>
      </c>
      <c r="H55" s="61">
        <v>488</v>
      </c>
      <c r="I55" s="61">
        <v>1504</v>
      </c>
      <c r="J55" s="61">
        <v>1006</v>
      </c>
      <c r="K55" s="61">
        <v>1521</v>
      </c>
    </row>
    <row r="56" spans="1:11" x14ac:dyDescent="0.45">
      <c r="A56" s="60" t="s">
        <v>2150</v>
      </c>
      <c r="B56" s="61">
        <v>8970</v>
      </c>
      <c r="C56" s="61">
        <v>258</v>
      </c>
      <c r="D56" s="61">
        <v>1827</v>
      </c>
      <c r="E56" s="61">
        <v>1540</v>
      </c>
      <c r="F56" s="61">
        <v>448</v>
      </c>
      <c r="G56" s="61">
        <v>1996</v>
      </c>
      <c r="H56" s="61">
        <v>270</v>
      </c>
      <c r="I56" s="61">
        <v>658</v>
      </c>
      <c r="J56" s="61" t="s">
        <v>2110</v>
      </c>
      <c r="K56" s="61">
        <v>1172</v>
      </c>
    </row>
    <row r="57" spans="1:11" x14ac:dyDescent="0.45">
      <c r="A57" s="62" t="s">
        <v>2151</v>
      </c>
      <c r="B57" s="61">
        <v>3753</v>
      </c>
      <c r="C57" s="61" t="s">
        <v>2110</v>
      </c>
      <c r="D57" s="61">
        <v>826</v>
      </c>
      <c r="E57" s="61">
        <v>502</v>
      </c>
      <c r="F57" s="61" t="s">
        <v>2110</v>
      </c>
      <c r="G57" s="61">
        <v>875</v>
      </c>
      <c r="H57" s="61" t="s">
        <v>2110</v>
      </c>
      <c r="I57" s="61">
        <v>351</v>
      </c>
      <c r="J57" s="61" t="s">
        <v>2110</v>
      </c>
      <c r="K57" s="61">
        <v>286</v>
      </c>
    </row>
    <row r="58" spans="1:11" ht="24" customHeight="1" x14ac:dyDescent="0.45">
      <c r="A58" s="72" t="s">
        <v>2152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</row>
    <row r="59" spans="1:11" x14ac:dyDescent="0.45">
      <c r="A59" s="62" t="s">
        <v>2153</v>
      </c>
      <c r="B59" s="61">
        <v>21128</v>
      </c>
      <c r="C59" s="61">
        <v>928</v>
      </c>
      <c r="D59" s="61">
        <v>2229</v>
      </c>
      <c r="E59" s="61">
        <v>4258</v>
      </c>
      <c r="F59" s="61">
        <v>2035</v>
      </c>
      <c r="G59" s="61">
        <v>3609</v>
      </c>
      <c r="H59" s="61">
        <v>1492</v>
      </c>
      <c r="I59" s="61">
        <v>2528</v>
      </c>
      <c r="J59" s="61">
        <v>1435</v>
      </c>
      <c r="K59" s="61">
        <v>2615</v>
      </c>
    </row>
    <row r="60" spans="1:11" x14ac:dyDescent="0.45">
      <c r="A60" s="62" t="s">
        <v>2154</v>
      </c>
      <c r="B60" s="61">
        <v>10364</v>
      </c>
      <c r="C60" s="61">
        <v>498</v>
      </c>
      <c r="D60" s="61">
        <v>824</v>
      </c>
      <c r="E60" s="61">
        <v>1914</v>
      </c>
      <c r="F60" s="61">
        <v>865</v>
      </c>
      <c r="G60" s="61">
        <v>2000</v>
      </c>
      <c r="H60" s="61">
        <v>758</v>
      </c>
      <c r="I60" s="61">
        <v>1364</v>
      </c>
      <c r="J60" s="61">
        <v>758</v>
      </c>
      <c r="K60" s="61">
        <v>1382</v>
      </c>
    </row>
    <row r="61" spans="1:11" x14ac:dyDescent="0.45">
      <c r="A61" s="62" t="s">
        <v>2155</v>
      </c>
      <c r="B61" s="61">
        <v>11575</v>
      </c>
      <c r="C61" s="61">
        <v>343</v>
      </c>
      <c r="D61" s="61">
        <v>1128</v>
      </c>
      <c r="E61" s="61">
        <v>2168</v>
      </c>
      <c r="F61" s="61">
        <v>1500</v>
      </c>
      <c r="G61" s="61">
        <v>1907</v>
      </c>
      <c r="H61" s="61">
        <v>470</v>
      </c>
      <c r="I61" s="61">
        <v>1575</v>
      </c>
      <c r="J61" s="61">
        <v>1050</v>
      </c>
      <c r="K61" s="61">
        <v>1436</v>
      </c>
    </row>
    <row r="62" spans="1:11" x14ac:dyDescent="0.45">
      <c r="A62" s="62" t="s">
        <v>2156</v>
      </c>
      <c r="B62" s="61">
        <v>16126</v>
      </c>
      <c r="C62" s="61">
        <v>650</v>
      </c>
      <c r="D62" s="61">
        <v>1625</v>
      </c>
      <c r="E62" s="61">
        <v>2778</v>
      </c>
      <c r="F62" s="61">
        <v>1761</v>
      </c>
      <c r="G62" s="61">
        <v>2757</v>
      </c>
      <c r="H62" s="61">
        <v>1098</v>
      </c>
      <c r="I62" s="61">
        <v>1987</v>
      </c>
      <c r="J62" s="61">
        <v>1319</v>
      </c>
      <c r="K62" s="61">
        <v>2151</v>
      </c>
    </row>
    <row r="63" spans="1:11" x14ac:dyDescent="0.45">
      <c r="A63" s="62" t="s">
        <v>2157</v>
      </c>
      <c r="B63" s="61">
        <v>12956</v>
      </c>
      <c r="C63" s="61">
        <v>518</v>
      </c>
      <c r="D63" s="61">
        <v>1823</v>
      </c>
      <c r="E63" s="61">
        <v>2280</v>
      </c>
      <c r="F63" s="61">
        <v>856</v>
      </c>
      <c r="G63" s="61">
        <v>2677</v>
      </c>
      <c r="H63" s="61">
        <v>614</v>
      </c>
      <c r="I63" s="61">
        <v>1545</v>
      </c>
      <c r="J63" s="61">
        <v>1174</v>
      </c>
      <c r="K63" s="61">
        <v>1468</v>
      </c>
    </row>
    <row r="64" spans="1:11" x14ac:dyDescent="0.45">
      <c r="A64" s="62" t="s">
        <v>2158</v>
      </c>
      <c r="B64" s="61">
        <v>12452</v>
      </c>
      <c r="C64" s="61">
        <v>509</v>
      </c>
      <c r="D64" s="61">
        <v>2143</v>
      </c>
      <c r="E64" s="61">
        <v>2307</v>
      </c>
      <c r="F64" s="61">
        <v>844</v>
      </c>
      <c r="G64" s="61">
        <v>2524</v>
      </c>
      <c r="H64" s="61">
        <v>514</v>
      </c>
      <c r="I64" s="61">
        <v>1377</v>
      </c>
      <c r="J64" s="61">
        <v>864</v>
      </c>
      <c r="K64" s="61">
        <v>1370</v>
      </c>
    </row>
    <row r="65" spans="1:11" x14ac:dyDescent="0.45">
      <c r="A65" s="62" t="s">
        <v>2159</v>
      </c>
      <c r="B65" s="61">
        <v>12156</v>
      </c>
      <c r="C65" s="61">
        <v>303</v>
      </c>
      <c r="D65" s="61">
        <v>2500</v>
      </c>
      <c r="E65" s="61">
        <v>1937</v>
      </c>
      <c r="F65" s="61">
        <v>638</v>
      </c>
      <c r="G65" s="61">
        <v>2487</v>
      </c>
      <c r="H65" s="61">
        <v>414</v>
      </c>
      <c r="I65" s="61">
        <v>1182</v>
      </c>
      <c r="J65" s="61">
        <v>1161</v>
      </c>
      <c r="K65" s="61">
        <v>1534</v>
      </c>
    </row>
    <row r="66" spans="1:11" ht="24" customHeight="1" x14ac:dyDescent="0.45">
      <c r="A66" s="72" t="s">
        <v>2160</v>
      </c>
      <c r="B66" s="66"/>
      <c r="C66" s="66"/>
      <c r="D66" s="66"/>
      <c r="E66" s="66"/>
      <c r="F66" s="66"/>
      <c r="G66" s="66"/>
      <c r="H66" s="66"/>
      <c r="I66" s="66"/>
      <c r="J66" s="66"/>
      <c r="K66" s="66"/>
    </row>
    <row r="67" spans="1:11" x14ac:dyDescent="0.45">
      <c r="A67" s="62" t="s">
        <v>2161</v>
      </c>
      <c r="B67" s="61">
        <v>11926</v>
      </c>
      <c r="C67" s="61">
        <v>230</v>
      </c>
      <c r="D67" s="61">
        <v>1288</v>
      </c>
      <c r="E67" s="61">
        <v>2319</v>
      </c>
      <c r="F67" s="61">
        <v>1469</v>
      </c>
      <c r="G67" s="61">
        <v>2183</v>
      </c>
      <c r="H67" s="61">
        <v>992</v>
      </c>
      <c r="I67" s="61">
        <v>1231</v>
      </c>
      <c r="J67" s="61">
        <v>581</v>
      </c>
      <c r="K67" s="61">
        <v>1633</v>
      </c>
    </row>
    <row r="68" spans="1:11" x14ac:dyDescent="0.45">
      <c r="A68" s="62" t="s">
        <v>2162</v>
      </c>
      <c r="B68" s="61">
        <v>18580</v>
      </c>
      <c r="C68" s="61">
        <v>720</v>
      </c>
      <c r="D68" s="61">
        <v>1568</v>
      </c>
      <c r="E68" s="61">
        <v>3312</v>
      </c>
      <c r="F68" s="61">
        <v>1472</v>
      </c>
      <c r="G68" s="61">
        <v>3295</v>
      </c>
      <c r="H68" s="61">
        <v>1353</v>
      </c>
      <c r="I68" s="61">
        <v>2731</v>
      </c>
      <c r="J68" s="61">
        <v>1462</v>
      </c>
      <c r="K68" s="61">
        <v>2667</v>
      </c>
    </row>
    <row r="69" spans="1:11" x14ac:dyDescent="0.45">
      <c r="A69" s="62" t="s">
        <v>2163</v>
      </c>
      <c r="B69" s="61">
        <v>22519</v>
      </c>
      <c r="C69" s="61">
        <v>874</v>
      </c>
      <c r="D69" s="61">
        <v>3110</v>
      </c>
      <c r="E69" s="61">
        <v>3760</v>
      </c>
      <c r="F69" s="61">
        <v>1902</v>
      </c>
      <c r="G69" s="61">
        <v>4497</v>
      </c>
      <c r="H69" s="61">
        <v>1128</v>
      </c>
      <c r="I69" s="61">
        <v>2559</v>
      </c>
      <c r="J69" s="61">
        <v>2257</v>
      </c>
      <c r="K69" s="61">
        <v>2432</v>
      </c>
    </row>
    <row r="70" spans="1:11" x14ac:dyDescent="0.45">
      <c r="A70" s="62" t="s">
        <v>2164</v>
      </c>
      <c r="B70" s="61">
        <v>14452</v>
      </c>
      <c r="C70" s="61">
        <v>549</v>
      </c>
      <c r="D70" s="61">
        <v>2180</v>
      </c>
      <c r="E70" s="61">
        <v>2634</v>
      </c>
      <c r="F70" s="61">
        <v>1346</v>
      </c>
      <c r="G70" s="61">
        <v>2486</v>
      </c>
      <c r="H70" s="61">
        <v>467</v>
      </c>
      <c r="I70" s="61">
        <v>1890</v>
      </c>
      <c r="J70" s="61">
        <v>954</v>
      </c>
      <c r="K70" s="61">
        <v>1947</v>
      </c>
    </row>
    <row r="71" spans="1:11" x14ac:dyDescent="0.45">
      <c r="A71" s="62" t="s">
        <v>2165</v>
      </c>
      <c r="B71" s="61">
        <v>10100</v>
      </c>
      <c r="C71" s="61">
        <v>448</v>
      </c>
      <c r="D71" s="61">
        <v>1455</v>
      </c>
      <c r="E71" s="61">
        <v>2127</v>
      </c>
      <c r="F71" s="61">
        <v>801</v>
      </c>
      <c r="G71" s="61">
        <v>1793</v>
      </c>
      <c r="H71" s="61" t="s">
        <v>2110</v>
      </c>
      <c r="I71" s="61">
        <v>837</v>
      </c>
      <c r="J71" s="61">
        <v>910</v>
      </c>
      <c r="K71" s="61">
        <v>1235</v>
      </c>
    </row>
    <row r="72" spans="1:11" x14ac:dyDescent="0.45">
      <c r="A72" s="62" t="s">
        <v>2166</v>
      </c>
      <c r="B72" s="61">
        <v>19180</v>
      </c>
      <c r="C72" s="61">
        <v>926</v>
      </c>
      <c r="D72" s="61">
        <v>2671</v>
      </c>
      <c r="E72" s="61">
        <v>3491</v>
      </c>
      <c r="F72" s="61">
        <v>1509</v>
      </c>
      <c r="G72" s="61">
        <v>3707</v>
      </c>
      <c r="H72" s="61">
        <v>926</v>
      </c>
      <c r="I72" s="61">
        <v>2311</v>
      </c>
      <c r="J72" s="61">
        <v>1597</v>
      </c>
      <c r="K72" s="61">
        <v>2042</v>
      </c>
    </row>
    <row r="73" spans="1:11" ht="24" customHeight="1" x14ac:dyDescent="0.45">
      <c r="A73" s="72" t="s">
        <v>2167</v>
      </c>
      <c r="B73" s="66"/>
      <c r="C73" s="66"/>
      <c r="D73" s="66"/>
      <c r="E73" s="66"/>
      <c r="F73" s="66"/>
      <c r="G73" s="66"/>
      <c r="H73" s="66"/>
      <c r="I73" s="66"/>
      <c r="J73" s="66"/>
      <c r="K73" s="66"/>
    </row>
    <row r="74" spans="1:11" x14ac:dyDescent="0.45">
      <c r="A74" s="62" t="s">
        <v>2168</v>
      </c>
      <c r="B74" s="61">
        <v>75055</v>
      </c>
      <c r="C74" s="61">
        <v>3058</v>
      </c>
      <c r="D74" s="61">
        <v>9712</v>
      </c>
      <c r="E74" s="61">
        <v>13939</v>
      </c>
      <c r="F74" s="61">
        <v>6711</v>
      </c>
      <c r="G74" s="61">
        <v>13473</v>
      </c>
      <c r="H74" s="61">
        <v>3957</v>
      </c>
      <c r="I74" s="61">
        <v>8805</v>
      </c>
      <c r="J74" s="61">
        <v>5968</v>
      </c>
      <c r="K74" s="61">
        <v>9432</v>
      </c>
    </row>
    <row r="75" spans="1:11" x14ac:dyDescent="0.45">
      <c r="A75" s="60" t="s">
        <v>2169</v>
      </c>
      <c r="B75" s="61">
        <v>45609</v>
      </c>
      <c r="C75" s="61">
        <v>2175</v>
      </c>
      <c r="D75" s="61">
        <v>5520</v>
      </c>
      <c r="E75" s="61">
        <v>8544</v>
      </c>
      <c r="F75" s="61">
        <v>4531</v>
      </c>
      <c r="G75" s="61">
        <v>8616</v>
      </c>
      <c r="H75" s="61">
        <v>2649</v>
      </c>
      <c r="I75" s="61">
        <v>5522</v>
      </c>
      <c r="J75" s="61">
        <v>3362</v>
      </c>
      <c r="K75" s="61">
        <v>4689</v>
      </c>
    </row>
    <row r="76" spans="1:11" x14ac:dyDescent="0.45">
      <c r="A76" s="60" t="s">
        <v>2170</v>
      </c>
      <c r="B76" s="61">
        <v>28456</v>
      </c>
      <c r="C76" s="61">
        <v>875</v>
      </c>
      <c r="D76" s="61">
        <v>4033</v>
      </c>
      <c r="E76" s="61">
        <v>5240</v>
      </c>
      <c r="F76" s="61">
        <v>2048</v>
      </c>
      <c r="G76" s="61">
        <v>4667</v>
      </c>
      <c r="H76" s="61">
        <v>1246</v>
      </c>
      <c r="I76" s="61">
        <v>3209</v>
      </c>
      <c r="J76" s="61">
        <v>2528</v>
      </c>
      <c r="K76" s="61">
        <v>4611</v>
      </c>
    </row>
    <row r="77" spans="1:11" x14ac:dyDescent="0.45">
      <c r="A77" s="60" t="s">
        <v>2171</v>
      </c>
      <c r="B77" s="61">
        <v>990</v>
      </c>
      <c r="C77" s="61" t="s">
        <v>2110</v>
      </c>
      <c r="D77" s="61" t="s">
        <v>2110</v>
      </c>
      <c r="E77" s="61" t="s">
        <v>2110</v>
      </c>
      <c r="F77" s="61" t="s">
        <v>2110</v>
      </c>
      <c r="G77" s="61" t="s">
        <v>2110</v>
      </c>
      <c r="H77" s="61" t="s">
        <v>2110</v>
      </c>
      <c r="I77" s="61" t="s">
        <v>2110</v>
      </c>
      <c r="J77" s="61" t="s">
        <v>2110</v>
      </c>
      <c r="K77" s="61" t="s">
        <v>2110</v>
      </c>
    </row>
    <row r="78" spans="1:11" x14ac:dyDescent="0.45">
      <c r="A78" s="62" t="s">
        <v>2172</v>
      </c>
      <c r="B78" s="61">
        <v>21703</v>
      </c>
      <c r="C78" s="61">
        <v>690</v>
      </c>
      <c r="D78" s="61">
        <v>2560</v>
      </c>
      <c r="E78" s="61">
        <v>3704</v>
      </c>
      <c r="F78" s="61">
        <v>1790</v>
      </c>
      <c r="G78" s="61">
        <v>4488</v>
      </c>
      <c r="H78" s="61">
        <v>1402</v>
      </c>
      <c r="I78" s="61">
        <v>2753</v>
      </c>
      <c r="J78" s="61">
        <v>1793</v>
      </c>
      <c r="K78" s="61">
        <v>2524</v>
      </c>
    </row>
    <row r="79" spans="1:11" x14ac:dyDescent="0.45">
      <c r="A79" s="60" t="s">
        <v>2173</v>
      </c>
      <c r="B79" s="61">
        <v>1946</v>
      </c>
      <c r="C79" s="61" t="s">
        <v>2110</v>
      </c>
      <c r="D79" s="61" t="s">
        <v>2110</v>
      </c>
      <c r="E79" s="61">
        <v>272</v>
      </c>
      <c r="F79" s="61" t="s">
        <v>2110</v>
      </c>
      <c r="G79" s="61">
        <v>554</v>
      </c>
      <c r="H79" s="61" t="s">
        <v>2110</v>
      </c>
      <c r="I79" s="61" t="s">
        <v>2110</v>
      </c>
      <c r="J79" s="61" t="s">
        <v>2110</v>
      </c>
      <c r="K79" s="61">
        <v>257</v>
      </c>
    </row>
    <row r="80" spans="1:11" x14ac:dyDescent="0.45">
      <c r="A80" s="60" t="s">
        <v>128</v>
      </c>
      <c r="B80" s="61">
        <v>6878</v>
      </c>
      <c r="C80" s="61" t="s">
        <v>2110</v>
      </c>
      <c r="D80" s="61">
        <v>775</v>
      </c>
      <c r="E80" s="61">
        <v>984</v>
      </c>
      <c r="F80" s="61">
        <v>345</v>
      </c>
      <c r="G80" s="61">
        <v>1595</v>
      </c>
      <c r="H80" s="61">
        <v>594</v>
      </c>
      <c r="I80" s="61">
        <v>1016</v>
      </c>
      <c r="J80" s="61">
        <v>652</v>
      </c>
      <c r="K80" s="61">
        <v>773</v>
      </c>
    </row>
    <row r="81" spans="1:11" x14ac:dyDescent="0.45">
      <c r="A81" s="60" t="s">
        <v>2174</v>
      </c>
      <c r="B81" s="61">
        <v>12878</v>
      </c>
      <c r="C81" s="61">
        <v>462</v>
      </c>
      <c r="D81" s="61">
        <v>1581</v>
      </c>
      <c r="E81" s="61">
        <v>2448</v>
      </c>
      <c r="F81" s="61">
        <v>1310</v>
      </c>
      <c r="G81" s="61">
        <v>2339</v>
      </c>
      <c r="H81" s="61">
        <v>629</v>
      </c>
      <c r="I81" s="61">
        <v>1555</v>
      </c>
      <c r="J81" s="61">
        <v>1060</v>
      </c>
      <c r="K81" s="61">
        <v>1494</v>
      </c>
    </row>
    <row r="82" spans="1:11" ht="34.049999999999997" customHeight="1" x14ac:dyDescent="0.45">
      <c r="A82" s="72" t="s">
        <v>2175</v>
      </c>
      <c r="B82" s="63"/>
      <c r="C82" s="63"/>
      <c r="D82" s="63"/>
      <c r="E82" s="63"/>
      <c r="F82" s="63"/>
      <c r="G82" s="63"/>
      <c r="H82" s="63"/>
      <c r="I82" s="63"/>
      <c r="J82" s="63"/>
      <c r="K82" s="63"/>
    </row>
    <row r="83" spans="1:11" x14ac:dyDescent="0.45">
      <c r="A83" s="62" t="s">
        <v>2176</v>
      </c>
      <c r="B83" s="66">
        <v>79515</v>
      </c>
      <c r="C83" s="66">
        <v>3259</v>
      </c>
      <c r="D83" s="66">
        <v>10174</v>
      </c>
      <c r="E83" s="66">
        <v>14782</v>
      </c>
      <c r="F83" s="66">
        <v>7277</v>
      </c>
      <c r="G83" s="66">
        <v>14764</v>
      </c>
      <c r="H83" s="66">
        <v>4361</v>
      </c>
      <c r="I83" s="66">
        <v>9530</v>
      </c>
      <c r="J83" s="66">
        <v>6430</v>
      </c>
      <c r="K83" s="66">
        <v>8937</v>
      </c>
    </row>
    <row r="84" spans="1:11" x14ac:dyDescent="0.45">
      <c r="A84" s="62" t="s">
        <v>2177</v>
      </c>
      <c r="B84" s="61">
        <v>12956</v>
      </c>
      <c r="C84" s="61">
        <v>357</v>
      </c>
      <c r="D84" s="61">
        <v>1760</v>
      </c>
      <c r="E84" s="61">
        <v>2088</v>
      </c>
      <c r="F84" s="61">
        <v>777</v>
      </c>
      <c r="G84" s="61">
        <v>2254</v>
      </c>
      <c r="H84" s="61">
        <v>816</v>
      </c>
      <c r="I84" s="61">
        <v>1604</v>
      </c>
      <c r="J84" s="61">
        <v>966</v>
      </c>
      <c r="K84" s="61">
        <v>2333</v>
      </c>
    </row>
    <row r="85" spans="1:11" x14ac:dyDescent="0.45">
      <c r="A85" s="62" t="s">
        <v>2178</v>
      </c>
      <c r="B85" s="61">
        <v>1994</v>
      </c>
      <c r="C85" s="61" t="s">
        <v>2110</v>
      </c>
      <c r="D85" s="61" t="s">
        <v>2110</v>
      </c>
      <c r="E85" s="61" t="s">
        <v>2110</v>
      </c>
      <c r="F85" s="61" t="s">
        <v>2110</v>
      </c>
      <c r="G85" s="61">
        <v>470</v>
      </c>
      <c r="H85" s="61" t="s">
        <v>2110</v>
      </c>
      <c r="I85" s="61" t="s">
        <v>2110</v>
      </c>
      <c r="J85" s="61" t="s">
        <v>2110</v>
      </c>
      <c r="K85" s="61">
        <v>358</v>
      </c>
    </row>
    <row r="86" spans="1:11" x14ac:dyDescent="0.45">
      <c r="A86" s="62" t="s">
        <v>2179</v>
      </c>
      <c r="B86" s="61">
        <v>2293</v>
      </c>
      <c r="C86" s="61" t="s">
        <v>2110</v>
      </c>
      <c r="D86" s="61" t="s">
        <v>2110</v>
      </c>
      <c r="E86" s="61">
        <v>473</v>
      </c>
      <c r="F86" s="61" t="s">
        <v>2110</v>
      </c>
      <c r="G86" s="61">
        <v>474</v>
      </c>
      <c r="H86" s="61" t="s">
        <v>2110</v>
      </c>
      <c r="I86" s="61" t="s">
        <v>2110</v>
      </c>
      <c r="J86" s="61" t="s">
        <v>2110</v>
      </c>
      <c r="K86" s="61">
        <v>329</v>
      </c>
    </row>
    <row r="87" spans="1:11" ht="34.049999999999997" customHeight="1" x14ac:dyDescent="0.45">
      <c r="A87" s="67" t="s">
        <v>2180</v>
      </c>
      <c r="B87" s="63"/>
      <c r="C87" s="63"/>
      <c r="D87" s="63"/>
      <c r="E87" s="63"/>
      <c r="F87" s="63"/>
      <c r="G87" s="63"/>
      <c r="H87" s="63"/>
      <c r="I87" s="63"/>
      <c r="J87" s="63"/>
      <c r="K87" s="63"/>
    </row>
    <row r="88" spans="1:11" x14ac:dyDescent="0.45">
      <c r="A88" s="62" t="s">
        <v>2176</v>
      </c>
      <c r="B88" s="66">
        <v>83103</v>
      </c>
      <c r="C88" s="66">
        <v>3282</v>
      </c>
      <c r="D88" s="66">
        <v>10650</v>
      </c>
      <c r="E88" s="66">
        <v>15446</v>
      </c>
      <c r="F88" s="66">
        <v>7449</v>
      </c>
      <c r="G88" s="66">
        <v>15482</v>
      </c>
      <c r="H88" s="66">
        <v>4603</v>
      </c>
      <c r="I88" s="66">
        <v>10145</v>
      </c>
      <c r="J88" s="66">
        <v>6692</v>
      </c>
      <c r="K88" s="66">
        <v>9356</v>
      </c>
    </row>
    <row r="89" spans="1:11" x14ac:dyDescent="0.45">
      <c r="A89" s="62" t="s">
        <v>2177</v>
      </c>
      <c r="B89" s="61">
        <v>7682</v>
      </c>
      <c r="C89" s="61" t="s">
        <v>2110</v>
      </c>
      <c r="D89" s="61">
        <v>1071</v>
      </c>
      <c r="E89" s="61">
        <v>1159</v>
      </c>
      <c r="F89" s="61">
        <v>570</v>
      </c>
      <c r="G89" s="61">
        <v>1336</v>
      </c>
      <c r="H89" s="61">
        <v>556</v>
      </c>
      <c r="I89" s="61">
        <v>811</v>
      </c>
      <c r="J89" s="61">
        <v>634</v>
      </c>
      <c r="K89" s="61">
        <v>1292</v>
      </c>
    </row>
    <row r="90" spans="1:11" x14ac:dyDescent="0.45">
      <c r="A90" s="62" t="s">
        <v>2178</v>
      </c>
      <c r="B90" s="61">
        <v>1069</v>
      </c>
      <c r="C90" s="61" t="s">
        <v>2110</v>
      </c>
      <c r="D90" s="61" t="s">
        <v>2110</v>
      </c>
      <c r="E90" s="61" t="s">
        <v>2110</v>
      </c>
      <c r="F90" s="61" t="s">
        <v>2110</v>
      </c>
      <c r="G90" s="61" t="s">
        <v>2110</v>
      </c>
      <c r="H90" s="61" t="s">
        <v>2110</v>
      </c>
      <c r="I90" s="61" t="s">
        <v>2110</v>
      </c>
      <c r="J90" s="61" t="s">
        <v>2110</v>
      </c>
      <c r="K90" s="61" t="s">
        <v>2110</v>
      </c>
    </row>
    <row r="91" spans="1:11" x14ac:dyDescent="0.45">
      <c r="A91" s="62" t="s">
        <v>2179</v>
      </c>
      <c r="B91" s="61">
        <v>4904</v>
      </c>
      <c r="C91" s="61" t="s">
        <v>2110</v>
      </c>
      <c r="D91" s="61">
        <v>420</v>
      </c>
      <c r="E91" s="61">
        <v>880</v>
      </c>
      <c r="F91" s="61">
        <v>385</v>
      </c>
      <c r="G91" s="61">
        <v>939</v>
      </c>
      <c r="H91" s="61" t="s">
        <v>2110</v>
      </c>
      <c r="I91" s="61">
        <v>473</v>
      </c>
      <c r="J91" s="61">
        <v>345</v>
      </c>
      <c r="K91" s="61">
        <v>1125</v>
      </c>
    </row>
    <row r="92" spans="1:11" ht="24" customHeight="1" x14ac:dyDescent="0.45">
      <c r="A92" s="67" t="s">
        <v>2181</v>
      </c>
      <c r="B92" s="63"/>
      <c r="C92" s="63"/>
      <c r="D92" s="63"/>
      <c r="E92" s="63"/>
      <c r="F92" s="63"/>
      <c r="G92" s="63"/>
      <c r="H92" s="63"/>
      <c r="I92" s="63"/>
      <c r="J92" s="63"/>
      <c r="K92" s="63"/>
    </row>
    <row r="93" spans="1:11" x14ac:dyDescent="0.45">
      <c r="A93" s="62" t="s">
        <v>2141</v>
      </c>
      <c r="B93" s="66">
        <v>65708</v>
      </c>
      <c r="C93" s="66">
        <v>2699</v>
      </c>
      <c r="D93" s="66">
        <v>7624</v>
      </c>
      <c r="E93" s="66">
        <v>12432</v>
      </c>
      <c r="F93" s="66">
        <v>6425</v>
      </c>
      <c r="G93" s="66">
        <v>11806</v>
      </c>
      <c r="H93" s="66">
        <v>3923</v>
      </c>
      <c r="I93" s="66">
        <v>7979</v>
      </c>
      <c r="J93" s="66">
        <v>4974</v>
      </c>
      <c r="K93" s="66">
        <v>7846</v>
      </c>
    </row>
    <row r="94" spans="1:11" x14ac:dyDescent="0.45">
      <c r="A94" s="62" t="s">
        <v>2182</v>
      </c>
      <c r="B94" s="61">
        <v>16449</v>
      </c>
      <c r="C94" s="61">
        <v>575</v>
      </c>
      <c r="D94" s="61">
        <v>2221</v>
      </c>
      <c r="E94" s="61">
        <v>2865</v>
      </c>
      <c r="F94" s="61">
        <v>1018</v>
      </c>
      <c r="G94" s="61">
        <v>3055</v>
      </c>
      <c r="H94" s="61">
        <v>750</v>
      </c>
      <c r="I94" s="61">
        <v>2147</v>
      </c>
      <c r="J94" s="61">
        <v>1596</v>
      </c>
      <c r="K94" s="61">
        <v>2224</v>
      </c>
    </row>
    <row r="95" spans="1:11" x14ac:dyDescent="0.45">
      <c r="A95" s="62" t="s">
        <v>2183</v>
      </c>
      <c r="B95" s="61">
        <v>5539</v>
      </c>
      <c r="C95" s="61" t="s">
        <v>2110</v>
      </c>
      <c r="D95" s="61">
        <v>890</v>
      </c>
      <c r="E95" s="61">
        <v>934</v>
      </c>
      <c r="F95" s="61">
        <v>377</v>
      </c>
      <c r="G95" s="61">
        <v>1120</v>
      </c>
      <c r="H95" s="61">
        <v>334</v>
      </c>
      <c r="I95" s="61">
        <v>454</v>
      </c>
      <c r="J95" s="61">
        <v>463</v>
      </c>
      <c r="K95" s="61">
        <v>686</v>
      </c>
    </row>
    <row r="96" spans="1:11" x14ac:dyDescent="0.45">
      <c r="A96" s="62" t="s">
        <v>2184</v>
      </c>
      <c r="B96" s="61">
        <v>3894</v>
      </c>
      <c r="C96" s="61" t="s">
        <v>2110</v>
      </c>
      <c r="D96" s="61">
        <v>611</v>
      </c>
      <c r="E96" s="61">
        <v>474</v>
      </c>
      <c r="F96" s="61" t="s">
        <v>2110</v>
      </c>
      <c r="G96" s="61">
        <v>971</v>
      </c>
      <c r="H96" s="61" t="s">
        <v>2110</v>
      </c>
      <c r="I96" s="61">
        <v>394</v>
      </c>
      <c r="J96" s="61">
        <v>336</v>
      </c>
      <c r="K96" s="61">
        <v>530</v>
      </c>
    </row>
    <row r="97" spans="1:11" x14ac:dyDescent="0.45">
      <c r="A97" s="62" t="s">
        <v>2185</v>
      </c>
      <c r="B97" s="61">
        <v>3999</v>
      </c>
      <c r="C97" s="61" t="s">
        <v>2110</v>
      </c>
      <c r="D97" s="61">
        <v>749</v>
      </c>
      <c r="E97" s="61">
        <v>682</v>
      </c>
      <c r="F97" s="61" t="s">
        <v>2110</v>
      </c>
      <c r="G97" s="61">
        <v>808</v>
      </c>
      <c r="H97" s="61" t="s">
        <v>2110</v>
      </c>
      <c r="I97" s="61">
        <v>507</v>
      </c>
      <c r="J97" s="61" t="s">
        <v>2110</v>
      </c>
      <c r="K97" s="61">
        <v>537</v>
      </c>
    </row>
    <row r="98" spans="1:11" x14ac:dyDescent="0.45">
      <c r="A98" s="62" t="s">
        <v>2186</v>
      </c>
      <c r="B98" s="61">
        <v>1168</v>
      </c>
      <c r="C98" s="61" t="s">
        <v>2110</v>
      </c>
      <c r="D98" s="61" t="s">
        <v>2110</v>
      </c>
      <c r="E98" s="61" t="s">
        <v>2110</v>
      </c>
      <c r="F98" s="61" t="s">
        <v>2110</v>
      </c>
      <c r="G98" s="61" t="s">
        <v>2110</v>
      </c>
      <c r="H98" s="61" t="s">
        <v>2110</v>
      </c>
      <c r="I98" s="61" t="s">
        <v>2110</v>
      </c>
      <c r="J98" s="61" t="s">
        <v>2110</v>
      </c>
      <c r="K98" s="61" t="s">
        <v>2110</v>
      </c>
    </row>
    <row r="99" spans="1:11" ht="24" customHeight="1" x14ac:dyDescent="0.45">
      <c r="A99" s="67" t="s">
        <v>2187</v>
      </c>
      <c r="B99" s="63"/>
      <c r="C99" s="63"/>
      <c r="D99" s="63"/>
      <c r="E99" s="63"/>
      <c r="F99" s="63"/>
      <c r="G99" s="63"/>
      <c r="H99" s="63"/>
      <c r="I99" s="63"/>
      <c r="J99" s="63"/>
      <c r="K99" s="63"/>
    </row>
    <row r="100" spans="1:11" x14ac:dyDescent="0.45">
      <c r="A100" s="62" t="s">
        <v>2188</v>
      </c>
      <c r="B100" s="61">
        <v>56948</v>
      </c>
      <c r="C100" s="61">
        <v>2235</v>
      </c>
      <c r="D100" s="61">
        <v>8003</v>
      </c>
      <c r="E100" s="61">
        <v>11496</v>
      </c>
      <c r="F100" s="61">
        <v>5218</v>
      </c>
      <c r="G100" s="61">
        <v>10214</v>
      </c>
      <c r="H100" s="61">
        <v>2859</v>
      </c>
      <c r="I100" s="61">
        <v>6438</v>
      </c>
      <c r="J100" s="61">
        <v>4643</v>
      </c>
      <c r="K100" s="61">
        <v>5841</v>
      </c>
    </row>
    <row r="101" spans="1:11" x14ac:dyDescent="0.45">
      <c r="A101" s="62" t="s">
        <v>2189</v>
      </c>
      <c r="B101" s="61">
        <v>5134</v>
      </c>
      <c r="C101" s="61" t="s">
        <v>2110</v>
      </c>
      <c r="D101" s="61">
        <v>435</v>
      </c>
      <c r="E101" s="61">
        <v>740</v>
      </c>
      <c r="F101" s="61" t="s">
        <v>2110</v>
      </c>
      <c r="G101" s="61">
        <v>745</v>
      </c>
      <c r="H101" s="61">
        <v>472</v>
      </c>
      <c r="I101" s="61">
        <v>895</v>
      </c>
      <c r="J101" s="61">
        <v>269</v>
      </c>
      <c r="K101" s="61">
        <v>1024</v>
      </c>
    </row>
    <row r="102" spans="1:11" x14ac:dyDescent="0.45">
      <c r="A102" s="62" t="s">
        <v>2190</v>
      </c>
      <c r="B102" s="61">
        <v>3761</v>
      </c>
      <c r="C102" s="61" t="s">
        <v>2110</v>
      </c>
      <c r="D102" s="61">
        <v>578</v>
      </c>
      <c r="E102" s="61">
        <v>445</v>
      </c>
      <c r="F102" s="61" t="s">
        <v>2110</v>
      </c>
      <c r="G102" s="61">
        <v>813</v>
      </c>
      <c r="H102" s="61" t="s">
        <v>2110</v>
      </c>
      <c r="I102" s="61" t="s">
        <v>2110</v>
      </c>
      <c r="J102" s="61">
        <v>151</v>
      </c>
      <c r="K102" s="61">
        <v>520</v>
      </c>
    </row>
    <row r="103" spans="1:11" x14ac:dyDescent="0.45">
      <c r="A103" s="62" t="s">
        <v>2191</v>
      </c>
      <c r="B103" s="61">
        <v>3823</v>
      </c>
      <c r="C103" s="61" t="s">
        <v>2110</v>
      </c>
      <c r="D103" s="61">
        <v>510</v>
      </c>
      <c r="E103" s="61">
        <v>355</v>
      </c>
      <c r="F103" s="61">
        <v>247</v>
      </c>
      <c r="G103" s="61">
        <v>900</v>
      </c>
      <c r="H103" s="61" t="s">
        <v>2110</v>
      </c>
      <c r="I103" s="61">
        <v>441</v>
      </c>
      <c r="J103" s="61">
        <v>338</v>
      </c>
      <c r="K103" s="61">
        <v>748</v>
      </c>
    </row>
    <row r="104" spans="1:11" x14ac:dyDescent="0.45">
      <c r="A104" s="62" t="s">
        <v>2192</v>
      </c>
      <c r="B104" s="61">
        <v>4523</v>
      </c>
      <c r="C104" s="61" t="s">
        <v>2110</v>
      </c>
      <c r="D104" s="61">
        <v>421</v>
      </c>
      <c r="E104" s="61">
        <v>729</v>
      </c>
      <c r="F104" s="61">
        <v>396</v>
      </c>
      <c r="G104" s="61">
        <v>789</v>
      </c>
      <c r="H104" s="61" t="s">
        <v>2110</v>
      </c>
      <c r="I104" s="61">
        <v>673</v>
      </c>
      <c r="J104" s="61">
        <v>544</v>
      </c>
      <c r="K104" s="61">
        <v>678</v>
      </c>
    </row>
    <row r="105" spans="1:11" x14ac:dyDescent="0.45">
      <c r="A105" s="62" t="s">
        <v>2193</v>
      </c>
      <c r="B105" s="61">
        <v>5684</v>
      </c>
      <c r="C105" s="61" t="s">
        <v>2110</v>
      </c>
      <c r="D105" s="61">
        <v>440</v>
      </c>
      <c r="E105" s="61">
        <v>989</v>
      </c>
      <c r="F105" s="61" t="s">
        <v>2110</v>
      </c>
      <c r="G105" s="61">
        <v>907</v>
      </c>
      <c r="H105" s="61" t="s">
        <v>2110</v>
      </c>
      <c r="I105" s="61">
        <v>648</v>
      </c>
      <c r="J105" s="61" t="s">
        <v>2110</v>
      </c>
      <c r="K105" s="61">
        <v>817</v>
      </c>
    </row>
    <row r="106" spans="1:11" x14ac:dyDescent="0.45">
      <c r="A106" s="62" t="s">
        <v>2194</v>
      </c>
      <c r="B106" s="61">
        <v>3257</v>
      </c>
      <c r="C106" s="61" t="s">
        <v>2110</v>
      </c>
      <c r="D106" s="61" t="s">
        <v>2110</v>
      </c>
      <c r="E106" s="61">
        <v>399</v>
      </c>
      <c r="F106" s="61" t="s">
        <v>2110</v>
      </c>
      <c r="G106" s="61">
        <v>1068</v>
      </c>
      <c r="H106" s="61" t="s">
        <v>2110</v>
      </c>
      <c r="I106" s="61">
        <v>524</v>
      </c>
      <c r="J106" s="61" t="s">
        <v>2110</v>
      </c>
      <c r="K106" s="61" t="s">
        <v>2110</v>
      </c>
    </row>
    <row r="107" spans="1:11" x14ac:dyDescent="0.45">
      <c r="A107" s="62" t="s">
        <v>2195</v>
      </c>
      <c r="B107" s="61">
        <v>2819</v>
      </c>
      <c r="C107" s="61" t="s">
        <v>2110</v>
      </c>
      <c r="D107" s="61">
        <v>402</v>
      </c>
      <c r="E107" s="61">
        <v>728</v>
      </c>
      <c r="F107" s="61">
        <v>183</v>
      </c>
      <c r="G107" s="61">
        <v>332</v>
      </c>
      <c r="H107" s="61" t="s">
        <v>2110</v>
      </c>
      <c r="I107" s="61">
        <v>212</v>
      </c>
      <c r="J107" s="61">
        <v>220</v>
      </c>
      <c r="K107" s="61">
        <v>467</v>
      </c>
    </row>
    <row r="108" spans="1:11" x14ac:dyDescent="0.45">
      <c r="A108" s="62" t="s">
        <v>2196</v>
      </c>
      <c r="B108" s="61">
        <v>1602</v>
      </c>
      <c r="C108" s="61" t="s">
        <v>2110</v>
      </c>
      <c r="D108" s="61" t="s">
        <v>2110</v>
      </c>
      <c r="E108" s="61" t="s">
        <v>2110</v>
      </c>
      <c r="F108" s="61" t="s">
        <v>2110</v>
      </c>
      <c r="G108" s="61">
        <v>287</v>
      </c>
      <c r="H108" s="61" t="s">
        <v>2110</v>
      </c>
      <c r="I108" s="61" t="s">
        <v>2110</v>
      </c>
      <c r="J108" s="61" t="s">
        <v>2110</v>
      </c>
      <c r="K108" s="61" t="s">
        <v>2110</v>
      </c>
    </row>
    <row r="109" spans="1:11" x14ac:dyDescent="0.45">
      <c r="A109" s="62" t="s">
        <v>2197</v>
      </c>
      <c r="B109" s="61">
        <v>774</v>
      </c>
      <c r="C109" s="61" t="s">
        <v>2110</v>
      </c>
      <c r="D109" s="61" t="s">
        <v>2110</v>
      </c>
      <c r="E109" s="61" t="s">
        <v>2110</v>
      </c>
      <c r="F109" s="61" t="s">
        <v>2110</v>
      </c>
      <c r="G109" s="61" t="s">
        <v>2110</v>
      </c>
      <c r="H109" s="61" t="s">
        <v>2110</v>
      </c>
      <c r="I109" s="61" t="s">
        <v>2110</v>
      </c>
      <c r="J109" s="61" t="s">
        <v>2110</v>
      </c>
      <c r="K109" s="61" t="s">
        <v>2110</v>
      </c>
    </row>
    <row r="110" spans="1:11" x14ac:dyDescent="0.45">
      <c r="A110" s="62" t="s">
        <v>2198</v>
      </c>
      <c r="B110" s="61">
        <v>1701</v>
      </c>
      <c r="C110" s="61" t="s">
        <v>2110</v>
      </c>
      <c r="D110" s="61" t="s">
        <v>2110</v>
      </c>
      <c r="E110" s="61" t="s">
        <v>2110</v>
      </c>
      <c r="F110" s="61" t="s">
        <v>2110</v>
      </c>
      <c r="G110" s="61">
        <v>290</v>
      </c>
      <c r="H110" s="61" t="s">
        <v>2110</v>
      </c>
      <c r="I110" s="61" t="s">
        <v>2110</v>
      </c>
      <c r="J110" s="61" t="s">
        <v>2110</v>
      </c>
      <c r="K110" s="61">
        <v>199</v>
      </c>
    </row>
    <row r="111" spans="1:11" x14ac:dyDescent="0.45">
      <c r="A111" s="62" t="s">
        <v>2179</v>
      </c>
      <c r="B111" s="61">
        <v>6732</v>
      </c>
      <c r="C111" s="61">
        <v>326</v>
      </c>
      <c r="D111" s="61">
        <v>804</v>
      </c>
      <c r="E111" s="61">
        <v>1204</v>
      </c>
      <c r="F111" s="61">
        <v>669</v>
      </c>
      <c r="G111" s="61">
        <v>1324</v>
      </c>
      <c r="H111" s="61" t="s">
        <v>2110</v>
      </c>
      <c r="I111" s="61">
        <v>642</v>
      </c>
      <c r="J111" s="61">
        <v>567</v>
      </c>
      <c r="K111" s="61">
        <v>931</v>
      </c>
    </row>
    <row r="112" spans="1:11" ht="24" customHeight="1" x14ac:dyDescent="0.45">
      <c r="A112" s="67" t="s">
        <v>2199</v>
      </c>
      <c r="B112" s="63"/>
      <c r="C112" s="63"/>
      <c r="D112" s="63"/>
      <c r="E112" s="63"/>
      <c r="F112" s="63"/>
      <c r="G112" s="63"/>
      <c r="H112" s="63"/>
      <c r="I112" s="63"/>
      <c r="J112" s="63"/>
      <c r="K112" s="63"/>
    </row>
    <row r="113" spans="1:11" x14ac:dyDescent="0.45">
      <c r="A113" s="62" t="s">
        <v>2200</v>
      </c>
      <c r="B113" s="66">
        <v>46291</v>
      </c>
      <c r="C113" s="66">
        <v>1368</v>
      </c>
      <c r="D113" s="66">
        <v>6695</v>
      </c>
      <c r="E113" s="66">
        <v>8087</v>
      </c>
      <c r="F113" s="66">
        <v>3717</v>
      </c>
      <c r="G113" s="66">
        <v>9289</v>
      </c>
      <c r="H113" s="66">
        <v>3058</v>
      </c>
      <c r="I113" s="66">
        <v>5934</v>
      </c>
      <c r="J113" s="66">
        <v>3709</v>
      </c>
      <c r="K113" s="66">
        <v>4434</v>
      </c>
    </row>
    <row r="114" spans="1:11" x14ac:dyDescent="0.45">
      <c r="A114" s="62" t="s">
        <v>2201</v>
      </c>
      <c r="B114" s="61">
        <v>19565</v>
      </c>
      <c r="C114" s="61">
        <v>721</v>
      </c>
      <c r="D114" s="61">
        <v>2986</v>
      </c>
      <c r="E114" s="61">
        <v>3404</v>
      </c>
      <c r="F114" s="61">
        <v>1256</v>
      </c>
      <c r="G114" s="61">
        <v>3350</v>
      </c>
      <c r="H114" s="61">
        <v>685</v>
      </c>
      <c r="I114" s="61">
        <v>2356</v>
      </c>
      <c r="J114" s="61">
        <v>1964</v>
      </c>
      <c r="K114" s="61">
        <v>2843</v>
      </c>
    </row>
    <row r="115" spans="1:11" x14ac:dyDescent="0.45">
      <c r="A115" s="62" t="s">
        <v>2202</v>
      </c>
      <c r="B115" s="61">
        <v>8331</v>
      </c>
      <c r="C115" s="61" t="s">
        <v>2110</v>
      </c>
      <c r="D115" s="61">
        <v>712</v>
      </c>
      <c r="E115" s="61">
        <v>1599</v>
      </c>
      <c r="F115" s="61">
        <v>511</v>
      </c>
      <c r="G115" s="61">
        <v>1779</v>
      </c>
      <c r="H115" s="61">
        <v>424</v>
      </c>
      <c r="I115" s="61">
        <v>812</v>
      </c>
      <c r="J115" s="61">
        <v>467</v>
      </c>
      <c r="K115" s="61">
        <v>1855</v>
      </c>
    </row>
    <row r="116" spans="1:11" x14ac:dyDescent="0.45">
      <c r="A116" s="62" t="s">
        <v>2203</v>
      </c>
      <c r="B116" s="61">
        <v>5982</v>
      </c>
      <c r="C116" s="61">
        <v>731</v>
      </c>
      <c r="D116" s="61">
        <v>556</v>
      </c>
      <c r="E116" s="61">
        <v>1306</v>
      </c>
      <c r="F116" s="61">
        <v>909</v>
      </c>
      <c r="G116" s="61">
        <v>686</v>
      </c>
      <c r="H116" s="61">
        <v>224</v>
      </c>
      <c r="I116" s="61" t="s">
        <v>2110</v>
      </c>
      <c r="J116" s="61">
        <v>312</v>
      </c>
      <c r="K116" s="61">
        <v>1044</v>
      </c>
    </row>
    <row r="117" spans="1:11" x14ac:dyDescent="0.45">
      <c r="A117" s="62" t="s">
        <v>2204</v>
      </c>
      <c r="B117" s="61">
        <v>12184</v>
      </c>
      <c r="C117" s="61">
        <v>448</v>
      </c>
      <c r="D117" s="61">
        <v>699</v>
      </c>
      <c r="E117" s="61">
        <v>2535</v>
      </c>
      <c r="F117" s="61">
        <v>1879</v>
      </c>
      <c r="G117" s="61">
        <v>2108</v>
      </c>
      <c r="H117" s="61">
        <v>822</v>
      </c>
      <c r="I117" s="61">
        <v>1918</v>
      </c>
      <c r="J117" s="61">
        <v>700</v>
      </c>
      <c r="K117" s="61">
        <v>1075</v>
      </c>
    </row>
    <row r="118" spans="1:11" x14ac:dyDescent="0.45">
      <c r="A118" s="62" t="s">
        <v>2205</v>
      </c>
      <c r="B118" s="61">
        <v>2186</v>
      </c>
      <c r="C118" s="61" t="s">
        <v>2110</v>
      </c>
      <c r="D118" s="61">
        <v>318</v>
      </c>
      <c r="E118" s="61">
        <v>298</v>
      </c>
      <c r="F118" s="61" t="s">
        <v>2110</v>
      </c>
      <c r="G118" s="61">
        <v>431</v>
      </c>
      <c r="H118" s="61" t="s">
        <v>2110</v>
      </c>
      <c r="I118" s="61">
        <v>194</v>
      </c>
      <c r="J118" s="61">
        <v>311</v>
      </c>
      <c r="K118" s="61">
        <v>351</v>
      </c>
    </row>
    <row r="119" spans="1:11" x14ac:dyDescent="0.45">
      <c r="A119" s="62" t="s">
        <v>2179</v>
      </c>
      <c r="B119" s="61">
        <v>2219</v>
      </c>
      <c r="C119" s="61" t="s">
        <v>2110</v>
      </c>
      <c r="D119" s="61" t="s">
        <v>2110</v>
      </c>
      <c r="E119" s="61">
        <v>413</v>
      </c>
      <c r="F119" s="61" t="s">
        <v>2110</v>
      </c>
      <c r="G119" s="61">
        <v>317</v>
      </c>
      <c r="H119" s="61" t="s">
        <v>2110</v>
      </c>
      <c r="I119" s="61" t="s">
        <v>2110</v>
      </c>
      <c r="J119" s="61">
        <v>298</v>
      </c>
      <c r="K119" s="61">
        <v>356</v>
      </c>
    </row>
    <row r="120" spans="1:11" ht="24" customHeight="1" x14ac:dyDescent="0.45">
      <c r="A120" s="67" t="s">
        <v>2206</v>
      </c>
      <c r="B120" s="63"/>
      <c r="C120" s="63"/>
      <c r="D120" s="63"/>
      <c r="E120" s="63"/>
      <c r="F120" s="63"/>
      <c r="G120" s="63"/>
      <c r="H120" s="63"/>
      <c r="I120" s="63"/>
      <c r="J120" s="63"/>
      <c r="K120" s="63"/>
    </row>
    <row r="121" spans="1:11" x14ac:dyDescent="0.45">
      <c r="A121" s="62" t="s">
        <v>2207</v>
      </c>
      <c r="B121" s="61">
        <v>21013</v>
      </c>
      <c r="C121" s="61">
        <v>577</v>
      </c>
      <c r="D121" s="61">
        <v>1367</v>
      </c>
      <c r="E121" s="61">
        <v>3310</v>
      </c>
      <c r="F121" s="61">
        <v>2428</v>
      </c>
      <c r="G121" s="61">
        <v>4521</v>
      </c>
      <c r="H121" s="61">
        <v>1571</v>
      </c>
      <c r="I121" s="61">
        <v>3610</v>
      </c>
      <c r="J121" s="61">
        <v>1213</v>
      </c>
      <c r="K121" s="61">
        <v>2417</v>
      </c>
    </row>
    <row r="122" spans="1:11" x14ac:dyDescent="0.45">
      <c r="A122" s="62" t="s">
        <v>2208</v>
      </c>
      <c r="B122" s="65">
        <v>31621</v>
      </c>
      <c r="C122" s="65">
        <v>1548</v>
      </c>
      <c r="D122" s="65">
        <v>5469</v>
      </c>
      <c r="E122" s="65">
        <v>5946</v>
      </c>
      <c r="F122" s="65">
        <v>2757</v>
      </c>
      <c r="G122" s="65">
        <v>5873</v>
      </c>
      <c r="H122" s="65">
        <v>1397</v>
      </c>
      <c r="I122" s="65">
        <v>2606</v>
      </c>
      <c r="J122" s="65">
        <v>2825</v>
      </c>
      <c r="K122" s="65">
        <v>3200</v>
      </c>
    </row>
    <row r="123" spans="1:11" x14ac:dyDescent="0.45">
      <c r="A123" s="62" t="s">
        <v>2209</v>
      </c>
      <c r="B123" s="61">
        <v>19286</v>
      </c>
      <c r="C123" s="61">
        <v>402</v>
      </c>
      <c r="D123" s="61">
        <v>2683</v>
      </c>
      <c r="E123" s="61">
        <v>3663</v>
      </c>
      <c r="F123" s="61">
        <v>1457</v>
      </c>
      <c r="G123" s="61">
        <v>3673</v>
      </c>
      <c r="H123" s="61">
        <v>903</v>
      </c>
      <c r="I123" s="61">
        <v>2350</v>
      </c>
      <c r="J123" s="61">
        <v>1571</v>
      </c>
      <c r="K123" s="61">
        <v>2582</v>
      </c>
    </row>
    <row r="124" spans="1:11" x14ac:dyDescent="0.45">
      <c r="A124" s="62" t="s">
        <v>2210</v>
      </c>
      <c r="B124" s="61">
        <v>3997</v>
      </c>
      <c r="C124" s="61" t="s">
        <v>2110</v>
      </c>
      <c r="D124" s="61">
        <v>471</v>
      </c>
      <c r="E124" s="61">
        <v>729</v>
      </c>
      <c r="F124" s="61" t="s">
        <v>2110</v>
      </c>
      <c r="G124" s="61">
        <v>716</v>
      </c>
      <c r="H124" s="61" t="s">
        <v>2110</v>
      </c>
      <c r="I124" s="61">
        <v>415</v>
      </c>
      <c r="J124" s="61" t="s">
        <v>2110</v>
      </c>
      <c r="K124" s="61">
        <v>858</v>
      </c>
    </row>
    <row r="125" spans="1:11" ht="27.3" customHeight="1" x14ac:dyDescent="0.45">
      <c r="A125" s="62" t="s">
        <v>2211</v>
      </c>
      <c r="B125" s="61">
        <v>1562</v>
      </c>
      <c r="C125" s="61" t="s">
        <v>2110</v>
      </c>
      <c r="D125" s="61" t="s">
        <v>2110</v>
      </c>
      <c r="E125" s="61" t="s">
        <v>2110</v>
      </c>
      <c r="F125" s="61" t="s">
        <v>2110</v>
      </c>
      <c r="G125" s="61" t="s">
        <v>2110</v>
      </c>
      <c r="H125" s="61" t="s">
        <v>2110</v>
      </c>
      <c r="I125" s="61" t="s">
        <v>2110</v>
      </c>
      <c r="J125" s="61">
        <v>423</v>
      </c>
      <c r="K125" s="61">
        <v>397</v>
      </c>
    </row>
    <row r="126" spans="1:11" ht="27.3" customHeight="1" x14ac:dyDescent="0.45">
      <c r="A126" s="62" t="s">
        <v>2212</v>
      </c>
      <c r="B126" s="61">
        <v>14272</v>
      </c>
      <c r="C126" s="61">
        <v>724</v>
      </c>
      <c r="D126" s="61">
        <v>1612</v>
      </c>
      <c r="E126" s="61">
        <v>3286</v>
      </c>
      <c r="F126" s="61">
        <v>1366</v>
      </c>
      <c r="G126" s="61">
        <v>2119</v>
      </c>
      <c r="H126" s="61">
        <v>959</v>
      </c>
      <c r="I126" s="61">
        <v>1532</v>
      </c>
      <c r="J126" s="61">
        <v>1098</v>
      </c>
      <c r="K126" s="61">
        <v>1575</v>
      </c>
    </row>
    <row r="127" spans="1:11" x14ac:dyDescent="0.45">
      <c r="A127" s="62" t="s">
        <v>2213</v>
      </c>
      <c r="B127" s="61">
        <v>1968</v>
      </c>
      <c r="C127" s="61" t="s">
        <v>2110</v>
      </c>
      <c r="D127" s="61">
        <v>229</v>
      </c>
      <c r="E127" s="61" t="s">
        <v>2110</v>
      </c>
      <c r="F127" s="61" t="s">
        <v>2110</v>
      </c>
      <c r="G127" s="61">
        <v>575</v>
      </c>
      <c r="H127" s="61" t="s">
        <v>2110</v>
      </c>
      <c r="I127" s="61">
        <v>232</v>
      </c>
      <c r="J127" s="61" t="s">
        <v>2110</v>
      </c>
      <c r="K127" s="61">
        <v>399</v>
      </c>
    </row>
    <row r="128" spans="1:11" x14ac:dyDescent="0.45">
      <c r="A128" s="62" t="s">
        <v>2179</v>
      </c>
      <c r="B128" s="61">
        <v>3039</v>
      </c>
      <c r="C128" s="61" t="s">
        <v>2110</v>
      </c>
      <c r="D128" s="61">
        <v>381</v>
      </c>
      <c r="E128" s="61">
        <v>342</v>
      </c>
      <c r="F128" s="61" t="s">
        <v>2110</v>
      </c>
      <c r="G128" s="61">
        <v>412</v>
      </c>
      <c r="H128" s="61" t="s">
        <v>2110</v>
      </c>
      <c r="I128" s="61">
        <v>721</v>
      </c>
      <c r="J128" s="61" t="s">
        <v>2110</v>
      </c>
      <c r="K128" s="61">
        <v>528</v>
      </c>
    </row>
    <row r="129" spans="1:11" ht="21" customHeight="1" x14ac:dyDescent="0.45">
      <c r="A129" s="64" t="s">
        <v>2214</v>
      </c>
      <c r="B129" s="63"/>
      <c r="C129" s="63"/>
      <c r="D129" s="63"/>
      <c r="E129" s="63"/>
      <c r="F129" s="63"/>
      <c r="G129" s="63"/>
      <c r="H129" s="63"/>
      <c r="I129" s="63"/>
      <c r="J129" s="63"/>
      <c r="K129" s="63"/>
    </row>
    <row r="130" spans="1:11" x14ac:dyDescent="0.45">
      <c r="A130" s="70" t="s">
        <v>2215</v>
      </c>
      <c r="B130" s="61">
        <v>54358</v>
      </c>
      <c r="C130" s="61">
        <v>1837</v>
      </c>
      <c r="D130" s="61">
        <v>8896</v>
      </c>
      <c r="E130" s="61">
        <v>9421</v>
      </c>
      <c r="F130" s="61">
        <v>4002</v>
      </c>
      <c r="G130" s="61">
        <v>9719</v>
      </c>
      <c r="H130" s="61">
        <v>2456</v>
      </c>
      <c r="I130" s="61">
        <v>6235</v>
      </c>
      <c r="J130" s="61">
        <v>5018</v>
      </c>
      <c r="K130" s="61">
        <v>6773</v>
      </c>
    </row>
    <row r="131" spans="1:11" x14ac:dyDescent="0.45">
      <c r="A131" s="70" t="s">
        <v>2216</v>
      </c>
      <c r="B131" s="61">
        <v>27714</v>
      </c>
      <c r="C131" s="61">
        <v>911</v>
      </c>
      <c r="D131" s="61">
        <v>1766</v>
      </c>
      <c r="E131" s="61">
        <v>5365</v>
      </c>
      <c r="F131" s="61">
        <v>3247</v>
      </c>
      <c r="G131" s="61">
        <v>5465</v>
      </c>
      <c r="H131" s="61">
        <v>1730</v>
      </c>
      <c r="I131" s="61">
        <v>3642</v>
      </c>
      <c r="J131" s="61">
        <v>2065</v>
      </c>
      <c r="K131" s="61">
        <v>3522</v>
      </c>
    </row>
    <row r="132" spans="1:11" x14ac:dyDescent="0.45">
      <c r="A132" s="70" t="s">
        <v>2217</v>
      </c>
      <c r="B132" s="66">
        <v>14686</v>
      </c>
      <c r="C132" s="66">
        <v>1000</v>
      </c>
      <c r="D132" s="66">
        <v>1610</v>
      </c>
      <c r="E132" s="66">
        <v>2856</v>
      </c>
      <c r="F132" s="66">
        <v>1252</v>
      </c>
      <c r="G132" s="66">
        <v>2777</v>
      </c>
      <c r="H132" s="66">
        <v>1173</v>
      </c>
      <c r="I132" s="66">
        <v>1680</v>
      </c>
      <c r="J132" s="66">
        <v>677</v>
      </c>
      <c r="K132" s="66">
        <v>1661</v>
      </c>
    </row>
    <row r="133" spans="1:11" ht="32.549999999999997" customHeight="1" x14ac:dyDescent="0.45">
      <c r="A133" s="64" t="s">
        <v>2218</v>
      </c>
      <c r="B133" s="63"/>
      <c r="C133" s="63"/>
      <c r="D133" s="63"/>
      <c r="E133" s="63"/>
      <c r="F133" s="63"/>
      <c r="G133" s="63"/>
      <c r="H133" s="63"/>
      <c r="I133" s="63"/>
      <c r="J133" s="63"/>
      <c r="K133" s="63"/>
    </row>
    <row r="134" spans="1:11" x14ac:dyDescent="0.45">
      <c r="A134" s="62" t="s">
        <v>2219</v>
      </c>
      <c r="B134" s="61">
        <v>32977</v>
      </c>
      <c r="C134" s="61">
        <v>658</v>
      </c>
      <c r="D134" s="61">
        <v>3207</v>
      </c>
      <c r="E134" s="61">
        <v>4855</v>
      </c>
      <c r="F134" s="61">
        <v>2831</v>
      </c>
      <c r="G134" s="61">
        <v>6403</v>
      </c>
      <c r="H134" s="61">
        <v>1791</v>
      </c>
      <c r="I134" s="61">
        <v>4303</v>
      </c>
      <c r="J134" s="61">
        <v>3706</v>
      </c>
      <c r="K134" s="61">
        <v>5223</v>
      </c>
    </row>
    <row r="135" spans="1:11" x14ac:dyDescent="0.45">
      <c r="A135" s="62" t="s">
        <v>2220</v>
      </c>
      <c r="B135" s="61">
        <v>2673</v>
      </c>
      <c r="C135" s="61" t="s">
        <v>2110</v>
      </c>
      <c r="D135" s="61">
        <v>362</v>
      </c>
      <c r="E135" s="61">
        <v>385</v>
      </c>
      <c r="F135" s="61" t="s">
        <v>2110</v>
      </c>
      <c r="G135" s="61">
        <v>606</v>
      </c>
      <c r="H135" s="61" t="s">
        <v>2110</v>
      </c>
      <c r="I135" s="61">
        <v>418</v>
      </c>
      <c r="J135" s="61" t="s">
        <v>2110</v>
      </c>
      <c r="K135" s="61">
        <v>332</v>
      </c>
    </row>
    <row r="136" spans="1:11" x14ac:dyDescent="0.45">
      <c r="A136" s="62" t="s">
        <v>2221</v>
      </c>
      <c r="B136" s="61">
        <v>6149</v>
      </c>
      <c r="C136" s="61" t="s">
        <v>2110</v>
      </c>
      <c r="D136" s="61">
        <v>827</v>
      </c>
      <c r="E136" s="61">
        <v>692</v>
      </c>
      <c r="F136" s="61">
        <v>264</v>
      </c>
      <c r="G136" s="61">
        <v>1578</v>
      </c>
      <c r="H136" s="61">
        <v>467</v>
      </c>
      <c r="I136" s="61">
        <v>1055</v>
      </c>
      <c r="J136" s="61">
        <v>348</v>
      </c>
      <c r="K136" s="61">
        <v>630</v>
      </c>
    </row>
    <row r="137" spans="1:11" x14ac:dyDescent="0.45">
      <c r="A137" s="62" t="s">
        <v>2222</v>
      </c>
      <c r="B137" s="61">
        <v>6277</v>
      </c>
      <c r="C137" s="61">
        <v>184</v>
      </c>
      <c r="D137" s="61">
        <v>1089</v>
      </c>
      <c r="E137" s="61">
        <v>1767</v>
      </c>
      <c r="F137" s="61">
        <v>528</v>
      </c>
      <c r="G137" s="61">
        <v>1115</v>
      </c>
      <c r="H137" s="61" t="s">
        <v>2110</v>
      </c>
      <c r="I137" s="61">
        <v>391</v>
      </c>
      <c r="J137" s="61">
        <v>815</v>
      </c>
      <c r="K137" s="61">
        <v>270</v>
      </c>
    </row>
    <row r="138" spans="1:11" x14ac:dyDescent="0.45">
      <c r="A138" s="62" t="s">
        <v>2223</v>
      </c>
      <c r="B138" s="65">
        <v>1603</v>
      </c>
      <c r="C138" s="65" t="s">
        <v>2110</v>
      </c>
      <c r="D138" s="65" t="s">
        <v>2110</v>
      </c>
      <c r="E138" s="65" t="s">
        <v>2110</v>
      </c>
      <c r="F138" s="65" t="s">
        <v>2110</v>
      </c>
      <c r="G138" s="65">
        <v>489</v>
      </c>
      <c r="H138" s="65" t="s">
        <v>2110</v>
      </c>
      <c r="I138" s="65" t="s">
        <v>2110</v>
      </c>
      <c r="J138" s="65" t="s">
        <v>2110</v>
      </c>
      <c r="K138" s="65" t="s">
        <v>2110</v>
      </c>
    </row>
    <row r="139" spans="1:11" ht="34.049999999999997" customHeight="1" x14ac:dyDescent="0.45">
      <c r="A139" s="72" t="s">
        <v>2224</v>
      </c>
      <c r="B139" s="63"/>
      <c r="C139" s="63"/>
      <c r="D139" s="63"/>
      <c r="E139" s="63"/>
      <c r="F139" s="63"/>
      <c r="G139" s="63"/>
      <c r="H139" s="63"/>
      <c r="I139" s="63"/>
      <c r="J139" s="63"/>
      <c r="K139" s="63"/>
    </row>
    <row r="140" spans="1:11" x14ac:dyDescent="0.45">
      <c r="A140" s="62" t="s">
        <v>2225</v>
      </c>
      <c r="B140" s="61">
        <v>45296</v>
      </c>
      <c r="C140" s="61">
        <v>1790</v>
      </c>
      <c r="D140" s="61">
        <v>6616</v>
      </c>
      <c r="E140" s="61">
        <v>8953</v>
      </c>
      <c r="F140" s="61">
        <v>3797</v>
      </c>
      <c r="G140" s="61">
        <v>8344</v>
      </c>
      <c r="H140" s="61">
        <v>2255</v>
      </c>
      <c r="I140" s="61">
        <v>5311</v>
      </c>
      <c r="J140" s="61">
        <v>3390</v>
      </c>
      <c r="K140" s="61">
        <v>4840</v>
      </c>
    </row>
    <row r="141" spans="1:11" x14ac:dyDescent="0.45">
      <c r="A141" s="60" t="s">
        <v>2226</v>
      </c>
      <c r="B141" s="61">
        <v>10845</v>
      </c>
      <c r="C141" s="61">
        <v>467</v>
      </c>
      <c r="D141" s="61">
        <v>1425</v>
      </c>
      <c r="E141" s="61">
        <v>2753</v>
      </c>
      <c r="F141" s="61">
        <v>1274</v>
      </c>
      <c r="G141" s="61">
        <v>1719</v>
      </c>
      <c r="H141" s="61">
        <v>560</v>
      </c>
      <c r="I141" s="61">
        <v>1119</v>
      </c>
      <c r="J141" s="61">
        <v>778</v>
      </c>
      <c r="K141" s="61">
        <v>751</v>
      </c>
    </row>
    <row r="142" spans="1:11" x14ac:dyDescent="0.45">
      <c r="A142" s="60" t="s">
        <v>2227</v>
      </c>
      <c r="B142" s="61">
        <v>1784</v>
      </c>
      <c r="C142" s="61" t="s">
        <v>2110</v>
      </c>
      <c r="D142" s="61">
        <v>420</v>
      </c>
      <c r="E142" s="61">
        <v>478</v>
      </c>
      <c r="F142" s="61" t="s">
        <v>2110</v>
      </c>
      <c r="G142" s="61">
        <v>332</v>
      </c>
      <c r="H142" s="61" t="s">
        <v>2110</v>
      </c>
      <c r="I142" s="61" t="s">
        <v>2110</v>
      </c>
      <c r="J142" s="61" t="s">
        <v>2110</v>
      </c>
      <c r="K142" s="61" t="s">
        <v>2110</v>
      </c>
    </row>
    <row r="143" spans="1:11" x14ac:dyDescent="0.45">
      <c r="A143" s="60" t="s">
        <v>2228</v>
      </c>
      <c r="B143" s="61">
        <v>20872</v>
      </c>
      <c r="C143" s="61">
        <v>880</v>
      </c>
      <c r="D143" s="61">
        <v>3514</v>
      </c>
      <c r="E143" s="61">
        <v>4336</v>
      </c>
      <c r="F143" s="61">
        <v>1614</v>
      </c>
      <c r="G143" s="61">
        <v>3914</v>
      </c>
      <c r="H143" s="61">
        <v>1020</v>
      </c>
      <c r="I143" s="61">
        <v>2312</v>
      </c>
      <c r="J143" s="61">
        <v>1378</v>
      </c>
      <c r="K143" s="61">
        <v>1903</v>
      </c>
    </row>
    <row r="144" spans="1:11" x14ac:dyDescent="0.45">
      <c r="A144" s="60" t="s">
        <v>2229</v>
      </c>
      <c r="B144" s="61">
        <v>21286</v>
      </c>
      <c r="C144" s="61">
        <v>744</v>
      </c>
      <c r="D144" s="61">
        <v>3459</v>
      </c>
      <c r="E144" s="61">
        <v>4679</v>
      </c>
      <c r="F144" s="61">
        <v>1679</v>
      </c>
      <c r="G144" s="61">
        <v>3798</v>
      </c>
      <c r="H144" s="61">
        <v>871</v>
      </c>
      <c r="I144" s="61">
        <v>2395</v>
      </c>
      <c r="J144" s="61">
        <v>1701</v>
      </c>
      <c r="K144" s="61">
        <v>1961</v>
      </c>
    </row>
    <row r="145" spans="1:11" x14ac:dyDescent="0.45">
      <c r="A145" s="60" t="s">
        <v>2230</v>
      </c>
      <c r="B145" s="61">
        <v>10980</v>
      </c>
      <c r="C145" s="61">
        <v>646</v>
      </c>
      <c r="D145" s="61">
        <v>2021</v>
      </c>
      <c r="E145" s="61">
        <v>2374</v>
      </c>
      <c r="F145" s="61">
        <v>890</v>
      </c>
      <c r="G145" s="61">
        <v>1810</v>
      </c>
      <c r="H145" s="61">
        <v>399</v>
      </c>
      <c r="I145" s="61">
        <v>916</v>
      </c>
      <c r="J145" s="61">
        <v>973</v>
      </c>
      <c r="K145" s="61">
        <v>953</v>
      </c>
    </row>
    <row r="146" spans="1:11" x14ac:dyDescent="0.45">
      <c r="A146" s="60" t="s">
        <v>2231</v>
      </c>
      <c r="B146" s="61">
        <v>27591</v>
      </c>
      <c r="C146" s="61">
        <v>1276</v>
      </c>
      <c r="D146" s="61">
        <v>4616</v>
      </c>
      <c r="E146" s="61">
        <v>5243</v>
      </c>
      <c r="F146" s="61">
        <v>2009</v>
      </c>
      <c r="G146" s="61">
        <v>5131</v>
      </c>
      <c r="H146" s="61">
        <v>1335</v>
      </c>
      <c r="I146" s="61">
        <v>3150</v>
      </c>
      <c r="J146" s="61">
        <v>2149</v>
      </c>
      <c r="K146" s="61">
        <v>2681</v>
      </c>
    </row>
    <row r="147" spans="1:11" x14ac:dyDescent="0.45">
      <c r="A147" s="60" t="s">
        <v>2232</v>
      </c>
      <c r="B147" s="61">
        <v>29087</v>
      </c>
      <c r="C147" s="61">
        <v>1325</v>
      </c>
      <c r="D147" s="61">
        <v>4625</v>
      </c>
      <c r="E147" s="61">
        <v>5995</v>
      </c>
      <c r="F147" s="61">
        <v>2393</v>
      </c>
      <c r="G147" s="61">
        <v>5173</v>
      </c>
      <c r="H147" s="61">
        <v>1161</v>
      </c>
      <c r="I147" s="61">
        <v>2967</v>
      </c>
      <c r="J147" s="61">
        <v>2311</v>
      </c>
      <c r="K147" s="61">
        <v>3138</v>
      </c>
    </row>
    <row r="148" spans="1:11" x14ac:dyDescent="0.45">
      <c r="A148" s="60" t="s">
        <v>2233</v>
      </c>
      <c r="B148" s="61">
        <v>15772</v>
      </c>
      <c r="C148" s="61">
        <v>897</v>
      </c>
      <c r="D148" s="61">
        <v>2968</v>
      </c>
      <c r="E148" s="61">
        <v>3335</v>
      </c>
      <c r="F148" s="61">
        <v>1160</v>
      </c>
      <c r="G148" s="61">
        <v>2647</v>
      </c>
      <c r="H148" s="61">
        <v>737</v>
      </c>
      <c r="I148" s="61">
        <v>1528</v>
      </c>
      <c r="J148" s="61">
        <v>1152</v>
      </c>
      <c r="K148" s="61">
        <v>1347</v>
      </c>
    </row>
    <row r="149" spans="1:11" x14ac:dyDescent="0.45">
      <c r="A149" s="60" t="s">
        <v>2234</v>
      </c>
      <c r="B149" s="61">
        <v>15500</v>
      </c>
      <c r="C149" s="61">
        <v>839</v>
      </c>
      <c r="D149" s="61">
        <v>2920</v>
      </c>
      <c r="E149" s="61">
        <v>2924</v>
      </c>
      <c r="F149" s="61">
        <v>1231</v>
      </c>
      <c r="G149" s="61">
        <v>2713</v>
      </c>
      <c r="H149" s="61">
        <v>645</v>
      </c>
      <c r="I149" s="61">
        <v>1522</v>
      </c>
      <c r="J149" s="61">
        <v>1198</v>
      </c>
      <c r="K149" s="61">
        <v>1508</v>
      </c>
    </row>
    <row r="150" spans="1:11" x14ac:dyDescent="0.45">
      <c r="A150" s="60" t="s">
        <v>2235</v>
      </c>
      <c r="B150" s="61">
        <v>7963</v>
      </c>
      <c r="C150" s="61">
        <v>391</v>
      </c>
      <c r="D150" s="61">
        <v>1865</v>
      </c>
      <c r="E150" s="61">
        <v>1569</v>
      </c>
      <c r="F150" s="61">
        <v>473</v>
      </c>
      <c r="G150" s="61">
        <v>1270</v>
      </c>
      <c r="H150" s="61">
        <v>375</v>
      </c>
      <c r="I150" s="61">
        <v>760</v>
      </c>
      <c r="J150" s="61">
        <v>790</v>
      </c>
      <c r="K150" s="61">
        <v>468</v>
      </c>
    </row>
    <row r="151" spans="1:11" x14ac:dyDescent="0.45">
      <c r="A151" s="60" t="s">
        <v>2236</v>
      </c>
      <c r="B151" s="61">
        <v>20007</v>
      </c>
      <c r="C151" s="61">
        <v>976</v>
      </c>
      <c r="D151" s="61">
        <v>3422</v>
      </c>
      <c r="E151" s="61">
        <v>4018</v>
      </c>
      <c r="F151" s="61">
        <v>1653</v>
      </c>
      <c r="G151" s="61">
        <v>3499</v>
      </c>
      <c r="H151" s="61">
        <v>803</v>
      </c>
      <c r="I151" s="61">
        <v>2258</v>
      </c>
      <c r="J151" s="61">
        <v>1432</v>
      </c>
      <c r="K151" s="61">
        <v>1947</v>
      </c>
    </row>
    <row r="152" spans="1:11" x14ac:dyDescent="0.45">
      <c r="A152" s="60" t="s">
        <v>2237</v>
      </c>
      <c r="B152" s="61">
        <v>4203</v>
      </c>
      <c r="C152" s="61">
        <v>223</v>
      </c>
      <c r="D152" s="61">
        <v>822</v>
      </c>
      <c r="E152" s="61">
        <v>915</v>
      </c>
      <c r="F152" s="61">
        <v>235</v>
      </c>
      <c r="G152" s="61">
        <v>556</v>
      </c>
      <c r="H152" s="61" t="s">
        <v>2110</v>
      </c>
      <c r="I152" s="61">
        <v>324</v>
      </c>
      <c r="J152" s="61" t="s">
        <v>2110</v>
      </c>
      <c r="K152" s="61">
        <v>466</v>
      </c>
    </row>
    <row r="153" spans="1:11" x14ac:dyDescent="0.45">
      <c r="A153" s="60" t="s">
        <v>2179</v>
      </c>
      <c r="B153" s="61">
        <v>1296</v>
      </c>
      <c r="C153" s="61" t="s">
        <v>2110</v>
      </c>
      <c r="D153" s="61" t="s">
        <v>2110</v>
      </c>
      <c r="E153" s="61" t="s">
        <v>2110</v>
      </c>
      <c r="F153" s="61" t="s">
        <v>2110</v>
      </c>
      <c r="G153" s="61">
        <v>312</v>
      </c>
      <c r="H153" s="61" t="s">
        <v>2110</v>
      </c>
      <c r="I153" s="61">
        <v>160</v>
      </c>
      <c r="J153" s="61" t="s">
        <v>2110</v>
      </c>
      <c r="K153" s="61" t="s">
        <v>2110</v>
      </c>
    </row>
    <row r="154" spans="1:11" x14ac:dyDescent="0.45">
      <c r="A154" s="62" t="s">
        <v>2238</v>
      </c>
      <c r="B154" s="61">
        <v>44013</v>
      </c>
      <c r="C154" s="61">
        <v>1834</v>
      </c>
      <c r="D154" s="61">
        <v>4868</v>
      </c>
      <c r="E154" s="61">
        <v>7310</v>
      </c>
      <c r="F154" s="61">
        <v>4212</v>
      </c>
      <c r="G154" s="61">
        <v>8567</v>
      </c>
      <c r="H154" s="61">
        <v>2680</v>
      </c>
      <c r="I154" s="61">
        <v>5091</v>
      </c>
      <c r="J154" s="61">
        <v>3512</v>
      </c>
      <c r="K154" s="61">
        <v>5940</v>
      </c>
    </row>
    <row r="155" spans="1:11" x14ac:dyDescent="0.45">
      <c r="A155" s="62" t="s">
        <v>2239</v>
      </c>
      <c r="B155" s="61">
        <v>7449</v>
      </c>
      <c r="C155" s="61" t="s">
        <v>2110</v>
      </c>
      <c r="D155" s="61">
        <v>789</v>
      </c>
      <c r="E155" s="61">
        <v>1379</v>
      </c>
      <c r="F155" s="61">
        <v>492</v>
      </c>
      <c r="G155" s="61">
        <v>1050</v>
      </c>
      <c r="H155" s="61" t="s">
        <v>2110</v>
      </c>
      <c r="I155" s="61">
        <v>1156</v>
      </c>
      <c r="J155" s="61">
        <v>859</v>
      </c>
      <c r="K155" s="61">
        <v>1177</v>
      </c>
    </row>
    <row r="156" spans="1:11" ht="32.200000000000003" customHeight="1" x14ac:dyDescent="0.45">
      <c r="A156" s="72" t="s">
        <v>2240</v>
      </c>
      <c r="B156" s="66"/>
      <c r="C156" s="66"/>
      <c r="D156" s="66"/>
      <c r="E156" s="66"/>
      <c r="F156" s="66"/>
      <c r="G156" s="66"/>
      <c r="H156" s="66"/>
      <c r="I156" s="66"/>
      <c r="J156" s="66"/>
      <c r="K156" s="66"/>
    </row>
    <row r="157" spans="1:11" x14ac:dyDescent="0.45">
      <c r="A157" s="62" t="s">
        <v>2241</v>
      </c>
      <c r="B157" s="61">
        <v>95179</v>
      </c>
      <c r="C157" s="61">
        <v>3736</v>
      </c>
      <c r="D157" s="61">
        <v>12144</v>
      </c>
      <c r="E157" s="61">
        <v>17456</v>
      </c>
      <c r="F157" s="61">
        <v>8243</v>
      </c>
      <c r="G157" s="61">
        <v>17770</v>
      </c>
      <c r="H157" s="61">
        <v>5227</v>
      </c>
      <c r="I157" s="61">
        <v>11327</v>
      </c>
      <c r="J157" s="61">
        <v>7492</v>
      </c>
      <c r="K157" s="61">
        <v>11785</v>
      </c>
    </row>
    <row r="158" spans="1:11" x14ac:dyDescent="0.45">
      <c r="A158" s="62" t="s">
        <v>2242</v>
      </c>
      <c r="B158" s="61">
        <v>67994</v>
      </c>
      <c r="C158" s="61">
        <v>1861</v>
      </c>
      <c r="D158" s="61">
        <v>9541</v>
      </c>
      <c r="E158" s="61">
        <v>14552</v>
      </c>
      <c r="F158" s="61">
        <v>6048</v>
      </c>
      <c r="G158" s="61">
        <v>10274</v>
      </c>
      <c r="H158" s="61">
        <v>4077</v>
      </c>
      <c r="I158" s="61">
        <v>7452</v>
      </c>
      <c r="J158" s="61">
        <v>6046</v>
      </c>
      <c r="K158" s="61">
        <v>8142</v>
      </c>
    </row>
    <row r="159" spans="1:11" x14ac:dyDescent="0.45">
      <c r="A159" s="62" t="s">
        <v>2243</v>
      </c>
      <c r="B159" s="61">
        <v>21198</v>
      </c>
      <c r="C159" s="61">
        <v>1639</v>
      </c>
      <c r="D159" s="61">
        <v>4269</v>
      </c>
      <c r="E159" s="61">
        <v>2962</v>
      </c>
      <c r="F159" s="61">
        <v>1661</v>
      </c>
      <c r="G159" s="61">
        <v>4355</v>
      </c>
      <c r="H159" s="61">
        <v>803</v>
      </c>
      <c r="I159" s="61">
        <v>1632</v>
      </c>
      <c r="J159" s="61">
        <v>1894</v>
      </c>
      <c r="K159" s="61">
        <v>1983</v>
      </c>
    </row>
    <row r="160" spans="1:11" x14ac:dyDescent="0.45">
      <c r="A160" s="62" t="s">
        <v>2244</v>
      </c>
      <c r="B160" s="61">
        <v>6750</v>
      </c>
      <c r="C160" s="61">
        <v>394</v>
      </c>
      <c r="D160" s="61">
        <v>1430</v>
      </c>
      <c r="E160" s="61">
        <v>1209</v>
      </c>
      <c r="F160" s="61">
        <v>303</v>
      </c>
      <c r="G160" s="61">
        <v>1234</v>
      </c>
      <c r="H160" s="61">
        <v>294</v>
      </c>
      <c r="I160" s="61" t="s">
        <v>2110</v>
      </c>
      <c r="J160" s="61">
        <v>401</v>
      </c>
      <c r="K160" s="61">
        <v>883</v>
      </c>
    </row>
    <row r="161" spans="1:11" x14ac:dyDescent="0.45">
      <c r="A161" s="62" t="s">
        <v>2245</v>
      </c>
      <c r="B161" s="61">
        <v>4288</v>
      </c>
      <c r="C161" s="61" t="s">
        <v>2110</v>
      </c>
      <c r="D161" s="61">
        <v>365</v>
      </c>
      <c r="E161" s="61">
        <v>656</v>
      </c>
      <c r="F161" s="61" t="s">
        <v>2110</v>
      </c>
      <c r="G161" s="61">
        <v>1027</v>
      </c>
      <c r="H161" s="61" t="s">
        <v>2110</v>
      </c>
      <c r="I161" s="61">
        <v>721</v>
      </c>
      <c r="J161" s="61">
        <v>267</v>
      </c>
      <c r="K161" s="61">
        <v>696</v>
      </c>
    </row>
    <row r="162" spans="1:11" x14ac:dyDescent="0.45">
      <c r="A162" s="62" t="s">
        <v>2246</v>
      </c>
      <c r="B162" s="61">
        <v>10157</v>
      </c>
      <c r="C162" s="61">
        <v>1154</v>
      </c>
      <c r="D162" s="61">
        <v>1316</v>
      </c>
      <c r="E162" s="61">
        <v>1293</v>
      </c>
      <c r="F162" s="61">
        <v>1088</v>
      </c>
      <c r="G162" s="61">
        <v>2260</v>
      </c>
      <c r="H162" s="61">
        <v>376</v>
      </c>
      <c r="I162" s="61">
        <v>722</v>
      </c>
      <c r="J162" s="61">
        <v>700</v>
      </c>
      <c r="K162" s="61">
        <v>1248</v>
      </c>
    </row>
    <row r="163" spans="1:11" x14ac:dyDescent="0.45">
      <c r="A163" s="62" t="s">
        <v>2247</v>
      </c>
      <c r="B163" s="61">
        <v>3814</v>
      </c>
      <c r="C163" s="61">
        <v>268</v>
      </c>
      <c r="D163" s="61">
        <v>941</v>
      </c>
      <c r="E163" s="61">
        <v>425</v>
      </c>
      <c r="F163" s="61" t="s">
        <v>2110</v>
      </c>
      <c r="G163" s="61">
        <v>378</v>
      </c>
      <c r="H163" s="61" t="s">
        <v>2110</v>
      </c>
      <c r="I163" s="61" t="s">
        <v>2110</v>
      </c>
      <c r="J163" s="61">
        <v>396</v>
      </c>
      <c r="K163" s="61">
        <v>1028</v>
      </c>
    </row>
    <row r="164" spans="1:11" x14ac:dyDescent="0.45">
      <c r="A164" s="62" t="s">
        <v>2248</v>
      </c>
      <c r="B164" s="61">
        <v>2113</v>
      </c>
      <c r="C164" s="61" t="s">
        <v>2110</v>
      </c>
      <c r="D164" s="61" t="s">
        <v>2110</v>
      </c>
      <c r="E164" s="61">
        <v>412</v>
      </c>
      <c r="F164" s="61" t="s">
        <v>2110</v>
      </c>
      <c r="G164" s="61">
        <v>404</v>
      </c>
      <c r="H164" s="61" t="s">
        <v>2110</v>
      </c>
      <c r="I164" s="61" t="s">
        <v>2110</v>
      </c>
      <c r="J164" s="61" t="s">
        <v>2110</v>
      </c>
      <c r="K164" s="61" t="s">
        <v>2110</v>
      </c>
    </row>
    <row r="165" spans="1:11" ht="32.200000000000003" customHeight="1" x14ac:dyDescent="0.45">
      <c r="A165" s="69" t="s">
        <v>2249</v>
      </c>
      <c r="B165" s="68"/>
      <c r="C165" s="68"/>
      <c r="D165" s="68"/>
      <c r="E165" s="68"/>
      <c r="F165" s="68"/>
      <c r="G165" s="68"/>
      <c r="H165" s="68"/>
      <c r="I165" s="68"/>
      <c r="J165" s="68"/>
      <c r="K165" s="68"/>
    </row>
    <row r="166" spans="1:11" x14ac:dyDescent="0.45">
      <c r="A166" s="62" t="s">
        <v>2241</v>
      </c>
      <c r="B166" s="61">
        <v>45645</v>
      </c>
      <c r="C166" s="61">
        <v>1263</v>
      </c>
      <c r="D166" s="61">
        <v>5110</v>
      </c>
      <c r="E166" s="61">
        <v>6136</v>
      </c>
      <c r="F166" s="61">
        <v>3496</v>
      </c>
      <c r="G166" s="61">
        <v>10654</v>
      </c>
      <c r="H166" s="61">
        <v>2807</v>
      </c>
      <c r="I166" s="61">
        <v>6502</v>
      </c>
      <c r="J166" s="61">
        <v>3858</v>
      </c>
      <c r="K166" s="61">
        <v>5820</v>
      </c>
    </row>
    <row r="167" spans="1:11" x14ac:dyDescent="0.45">
      <c r="A167" s="62" t="s">
        <v>2242</v>
      </c>
      <c r="B167" s="61">
        <v>58306</v>
      </c>
      <c r="C167" s="61">
        <v>1654</v>
      </c>
      <c r="D167" s="61">
        <v>8417</v>
      </c>
      <c r="E167" s="61">
        <v>13439</v>
      </c>
      <c r="F167" s="61">
        <v>5572</v>
      </c>
      <c r="G167" s="61">
        <v>7878</v>
      </c>
      <c r="H167" s="61">
        <v>3587</v>
      </c>
      <c r="I167" s="61">
        <v>5914</v>
      </c>
      <c r="J167" s="61">
        <v>5324</v>
      </c>
      <c r="K167" s="61">
        <v>6521</v>
      </c>
    </row>
    <row r="168" spans="1:11" x14ac:dyDescent="0.45">
      <c r="A168" s="62" t="s">
        <v>2243</v>
      </c>
      <c r="B168" s="61">
        <v>4126</v>
      </c>
      <c r="C168" s="61">
        <v>763</v>
      </c>
      <c r="D168" s="61">
        <v>1745</v>
      </c>
      <c r="E168" s="61">
        <v>395</v>
      </c>
      <c r="F168" s="61">
        <v>315</v>
      </c>
      <c r="G168" s="61">
        <v>544</v>
      </c>
      <c r="H168" s="61" t="s">
        <v>2110</v>
      </c>
      <c r="I168" s="61" t="s">
        <v>2110</v>
      </c>
      <c r="J168" s="61" t="s">
        <v>2110</v>
      </c>
      <c r="K168" s="61" t="s">
        <v>2110</v>
      </c>
    </row>
    <row r="169" spans="1:11" x14ac:dyDescent="0.45">
      <c r="A169" s="62" t="s">
        <v>2244</v>
      </c>
      <c r="B169" s="66">
        <v>6552</v>
      </c>
      <c r="C169" s="66">
        <v>394</v>
      </c>
      <c r="D169" s="66">
        <v>1385</v>
      </c>
      <c r="E169" s="66">
        <v>1133</v>
      </c>
      <c r="F169" s="66">
        <v>300</v>
      </c>
      <c r="G169" s="66">
        <v>1231</v>
      </c>
      <c r="H169" s="66">
        <v>294</v>
      </c>
      <c r="I169" s="66" t="s">
        <v>2110</v>
      </c>
      <c r="J169" s="66">
        <v>373</v>
      </c>
      <c r="K169" s="66">
        <v>874</v>
      </c>
    </row>
    <row r="170" spans="1:11" x14ac:dyDescent="0.45">
      <c r="A170" s="62" t="s">
        <v>2246</v>
      </c>
      <c r="B170" s="61">
        <v>3896</v>
      </c>
      <c r="C170" s="61">
        <v>633</v>
      </c>
      <c r="D170" s="61" t="s">
        <v>2110</v>
      </c>
      <c r="E170" s="61">
        <v>478</v>
      </c>
      <c r="F170" s="61">
        <v>632</v>
      </c>
      <c r="G170" s="61">
        <v>887</v>
      </c>
      <c r="H170" s="61" t="s">
        <v>2110</v>
      </c>
      <c r="I170" s="61">
        <v>274</v>
      </c>
      <c r="J170" s="61" t="s">
        <v>2110</v>
      </c>
      <c r="K170" s="61">
        <v>247</v>
      </c>
    </row>
    <row r="171" spans="1:11" ht="15.75" customHeight="1" x14ac:dyDescent="0.45">
      <c r="A171" s="62" t="s">
        <v>2250</v>
      </c>
      <c r="B171" s="61">
        <v>927</v>
      </c>
      <c r="C171" s="61" t="s">
        <v>2110</v>
      </c>
      <c r="D171" s="61" t="s">
        <v>2110</v>
      </c>
      <c r="E171" s="61" t="s">
        <v>2110</v>
      </c>
      <c r="F171" s="61" t="s">
        <v>2110</v>
      </c>
      <c r="G171" s="61" t="s">
        <v>2110</v>
      </c>
      <c r="H171" s="61" t="s">
        <v>2110</v>
      </c>
      <c r="I171" s="61" t="s">
        <v>2110</v>
      </c>
      <c r="J171" s="61" t="s">
        <v>2110</v>
      </c>
      <c r="K171" s="61" t="s">
        <v>2110</v>
      </c>
    </row>
    <row r="172" spans="1:11" ht="32.549999999999997" customHeight="1" x14ac:dyDescent="0.45">
      <c r="A172" s="69" t="s">
        <v>2251</v>
      </c>
      <c r="B172" s="68"/>
      <c r="C172" s="68"/>
      <c r="D172" s="68"/>
      <c r="E172" s="68"/>
      <c r="F172" s="68"/>
      <c r="G172" s="68"/>
      <c r="H172" s="68"/>
      <c r="I172" s="68"/>
      <c r="J172" s="68"/>
      <c r="K172" s="68"/>
    </row>
    <row r="173" spans="1:11" x14ac:dyDescent="0.45">
      <c r="A173" s="62" t="s">
        <v>2241</v>
      </c>
      <c r="B173" s="75">
        <v>27654</v>
      </c>
      <c r="C173" s="75">
        <v>633</v>
      </c>
      <c r="D173" s="75">
        <v>2015</v>
      </c>
      <c r="E173" s="75">
        <v>2750</v>
      </c>
      <c r="F173" s="75">
        <v>1923</v>
      </c>
      <c r="G173" s="75">
        <v>7954</v>
      </c>
      <c r="H173" s="75">
        <v>1586</v>
      </c>
      <c r="I173" s="75">
        <v>4744</v>
      </c>
      <c r="J173" s="75">
        <v>2198</v>
      </c>
      <c r="K173" s="75">
        <v>3852</v>
      </c>
    </row>
    <row r="174" spans="1:11" x14ac:dyDescent="0.45">
      <c r="A174" s="62" t="s">
        <v>2242</v>
      </c>
      <c r="B174" s="61">
        <v>50368</v>
      </c>
      <c r="C174" s="61">
        <v>1430</v>
      </c>
      <c r="D174" s="61">
        <v>7556</v>
      </c>
      <c r="E174" s="61">
        <v>12152</v>
      </c>
      <c r="F174" s="61">
        <v>5139</v>
      </c>
      <c r="G174" s="61">
        <v>6007</v>
      </c>
      <c r="H174" s="61">
        <v>3105</v>
      </c>
      <c r="I174" s="61">
        <v>4970</v>
      </c>
      <c r="J174" s="61">
        <v>4605</v>
      </c>
      <c r="K174" s="61">
        <v>5404</v>
      </c>
    </row>
    <row r="175" spans="1:11" x14ac:dyDescent="0.45">
      <c r="A175" s="62" t="s">
        <v>2243</v>
      </c>
      <c r="B175" s="61">
        <v>2216</v>
      </c>
      <c r="C175" s="61">
        <v>642</v>
      </c>
      <c r="D175" s="61">
        <v>983</v>
      </c>
      <c r="E175" s="61" t="s">
        <v>2110</v>
      </c>
      <c r="F175" s="61" t="s">
        <v>2252</v>
      </c>
      <c r="G175" s="61">
        <v>261</v>
      </c>
      <c r="H175" s="61" t="s">
        <v>2110</v>
      </c>
      <c r="I175" s="61" t="s">
        <v>2110</v>
      </c>
      <c r="J175" s="61" t="s">
        <v>2110</v>
      </c>
      <c r="K175" s="61" t="s">
        <v>2110</v>
      </c>
    </row>
    <row r="176" spans="1:11" x14ac:dyDescent="0.45">
      <c r="A176" s="62" t="s">
        <v>2244</v>
      </c>
      <c r="B176" s="61">
        <v>6095</v>
      </c>
      <c r="C176" s="61">
        <v>388</v>
      </c>
      <c r="D176" s="61">
        <v>1307</v>
      </c>
      <c r="E176" s="61">
        <v>1113</v>
      </c>
      <c r="F176" s="61">
        <v>255</v>
      </c>
      <c r="G176" s="61">
        <v>1131</v>
      </c>
      <c r="H176" s="61">
        <v>216</v>
      </c>
      <c r="I176" s="61" t="s">
        <v>2110</v>
      </c>
      <c r="J176" s="61">
        <v>362</v>
      </c>
      <c r="K176" s="61">
        <v>797</v>
      </c>
    </row>
    <row r="177" spans="1:11" x14ac:dyDescent="0.45">
      <c r="A177" s="62" t="s">
        <v>2246</v>
      </c>
      <c r="B177" s="65">
        <v>2290</v>
      </c>
      <c r="C177" s="65">
        <v>453</v>
      </c>
      <c r="D177" s="65" t="s">
        <v>2110</v>
      </c>
      <c r="E177" s="65">
        <v>380</v>
      </c>
      <c r="F177" s="65">
        <v>417</v>
      </c>
      <c r="G177" s="65" t="s">
        <v>2110</v>
      </c>
      <c r="H177" s="65" t="s">
        <v>2110</v>
      </c>
      <c r="I177" s="65" t="s">
        <v>2110</v>
      </c>
      <c r="J177" s="65" t="s">
        <v>2110</v>
      </c>
      <c r="K177" s="65" t="s">
        <v>2110</v>
      </c>
    </row>
    <row r="178" spans="1:11" ht="15.75" customHeight="1" x14ac:dyDescent="0.45">
      <c r="A178" s="62" t="s">
        <v>2250</v>
      </c>
      <c r="B178" s="61">
        <v>380</v>
      </c>
      <c r="C178" s="61" t="s">
        <v>2110</v>
      </c>
      <c r="D178" s="61" t="s">
        <v>2110</v>
      </c>
      <c r="E178" s="61" t="s">
        <v>2110</v>
      </c>
      <c r="F178" s="61" t="s">
        <v>2110</v>
      </c>
      <c r="G178" s="61" t="s">
        <v>2110</v>
      </c>
      <c r="H178" s="61" t="s">
        <v>2252</v>
      </c>
      <c r="I178" s="61" t="s">
        <v>2110</v>
      </c>
      <c r="J178" s="61" t="s">
        <v>2110</v>
      </c>
      <c r="K178" s="61" t="s">
        <v>2110</v>
      </c>
    </row>
    <row r="179" spans="1:11" ht="33.700000000000003" customHeight="1" x14ac:dyDescent="0.45">
      <c r="A179" s="67" t="s">
        <v>2253</v>
      </c>
      <c r="B179" s="63"/>
      <c r="C179" s="63"/>
      <c r="D179" s="63"/>
      <c r="E179" s="63"/>
      <c r="F179" s="63"/>
      <c r="G179" s="63"/>
      <c r="H179" s="63"/>
      <c r="I179" s="63"/>
      <c r="J179" s="63"/>
      <c r="K179" s="63"/>
    </row>
    <row r="180" spans="1:11" x14ac:dyDescent="0.45">
      <c r="A180" s="62" t="s">
        <v>2241</v>
      </c>
      <c r="B180" s="61">
        <v>84861</v>
      </c>
      <c r="C180" s="61">
        <v>3051</v>
      </c>
      <c r="D180" s="61">
        <v>11072</v>
      </c>
      <c r="E180" s="61">
        <v>15146</v>
      </c>
      <c r="F180" s="61">
        <v>7225</v>
      </c>
      <c r="G180" s="61">
        <v>16512</v>
      </c>
      <c r="H180" s="61">
        <v>4940</v>
      </c>
      <c r="I180" s="61">
        <v>10424</v>
      </c>
      <c r="J180" s="61">
        <v>6870</v>
      </c>
      <c r="K180" s="61">
        <v>9620</v>
      </c>
    </row>
    <row r="181" spans="1:11" x14ac:dyDescent="0.45">
      <c r="A181" s="62" t="s">
        <v>2242</v>
      </c>
      <c r="B181" s="65">
        <v>400</v>
      </c>
      <c r="C181" s="65" t="s">
        <v>2110</v>
      </c>
      <c r="D181" s="65" t="s">
        <v>2110</v>
      </c>
      <c r="E181" s="65" t="s">
        <v>2110</v>
      </c>
      <c r="F181" s="65" t="s">
        <v>2110</v>
      </c>
      <c r="G181" s="65" t="s">
        <v>2110</v>
      </c>
      <c r="H181" s="65" t="s">
        <v>2110</v>
      </c>
      <c r="I181" s="65" t="s">
        <v>2252</v>
      </c>
      <c r="J181" s="65" t="s">
        <v>2110</v>
      </c>
      <c r="K181" s="65" t="s">
        <v>2110</v>
      </c>
    </row>
    <row r="182" spans="1:11" x14ac:dyDescent="0.45">
      <c r="A182" s="62" t="s">
        <v>2245</v>
      </c>
      <c r="B182" s="61">
        <v>4288</v>
      </c>
      <c r="C182" s="61" t="s">
        <v>2110</v>
      </c>
      <c r="D182" s="61">
        <v>365</v>
      </c>
      <c r="E182" s="61">
        <v>656</v>
      </c>
      <c r="F182" s="61" t="s">
        <v>2110</v>
      </c>
      <c r="G182" s="61">
        <v>1027</v>
      </c>
      <c r="H182" s="61" t="s">
        <v>2110</v>
      </c>
      <c r="I182" s="61">
        <v>721</v>
      </c>
      <c r="J182" s="61">
        <v>267</v>
      </c>
      <c r="K182" s="61">
        <v>696</v>
      </c>
    </row>
    <row r="183" spans="1:11" ht="32.549999999999997" customHeight="1" x14ac:dyDescent="0.45">
      <c r="A183" s="67" t="s">
        <v>2254</v>
      </c>
      <c r="B183" s="63"/>
      <c r="C183" s="63"/>
      <c r="D183" s="63"/>
      <c r="E183" s="63"/>
      <c r="F183" s="63"/>
      <c r="G183" s="63"/>
      <c r="H183" s="63"/>
      <c r="I183" s="63"/>
      <c r="J183" s="63"/>
      <c r="K183" s="63"/>
    </row>
    <row r="184" spans="1:11" x14ac:dyDescent="0.45">
      <c r="A184" s="62" t="s">
        <v>2241</v>
      </c>
      <c r="B184" s="76">
        <v>47354</v>
      </c>
      <c r="C184" s="76">
        <v>1808</v>
      </c>
      <c r="D184" s="76">
        <v>5945</v>
      </c>
      <c r="E184" s="76">
        <v>7041</v>
      </c>
      <c r="F184" s="76">
        <v>3940</v>
      </c>
      <c r="G184" s="76">
        <v>10882</v>
      </c>
      <c r="H184" s="76">
        <v>2815</v>
      </c>
      <c r="I184" s="76">
        <v>6180</v>
      </c>
      <c r="J184" s="76">
        <v>3155</v>
      </c>
      <c r="K184" s="76">
        <v>5587</v>
      </c>
    </row>
    <row r="185" spans="1:11" x14ac:dyDescent="0.45">
      <c r="A185" s="62" t="s">
        <v>2242</v>
      </c>
      <c r="B185" s="75">
        <v>46783</v>
      </c>
      <c r="C185" s="75">
        <v>1124</v>
      </c>
      <c r="D185" s="75">
        <v>5841</v>
      </c>
      <c r="E185" s="75">
        <v>10175</v>
      </c>
      <c r="F185" s="75">
        <v>4055</v>
      </c>
      <c r="G185" s="75">
        <v>6816</v>
      </c>
      <c r="H185" s="75">
        <v>2520</v>
      </c>
      <c r="I185" s="75">
        <v>5425</v>
      </c>
      <c r="J185" s="75">
        <v>4583</v>
      </c>
      <c r="K185" s="75">
        <v>6244</v>
      </c>
    </row>
    <row r="186" spans="1:11" x14ac:dyDescent="0.45">
      <c r="A186" s="62" t="s">
        <v>2243</v>
      </c>
      <c r="B186" s="61">
        <v>1807</v>
      </c>
      <c r="C186" s="61">
        <v>498</v>
      </c>
      <c r="D186" s="61">
        <v>657</v>
      </c>
      <c r="E186" s="61" t="s">
        <v>2110</v>
      </c>
      <c r="F186" s="61" t="s">
        <v>2110</v>
      </c>
      <c r="G186" s="61" t="s">
        <v>2110</v>
      </c>
      <c r="H186" s="61" t="s">
        <v>2110</v>
      </c>
      <c r="I186" s="61" t="s">
        <v>2110</v>
      </c>
      <c r="J186" s="61" t="s">
        <v>2110</v>
      </c>
      <c r="K186" s="61" t="s">
        <v>2110</v>
      </c>
    </row>
    <row r="187" spans="1:11" x14ac:dyDescent="0.45">
      <c r="A187" s="62" t="s">
        <v>2244</v>
      </c>
      <c r="B187" s="61">
        <v>4206</v>
      </c>
      <c r="C187" s="61">
        <v>203</v>
      </c>
      <c r="D187" s="61">
        <v>1177</v>
      </c>
      <c r="E187" s="61">
        <v>817</v>
      </c>
      <c r="F187" s="61" t="s">
        <v>2110</v>
      </c>
      <c r="G187" s="61">
        <v>668</v>
      </c>
      <c r="H187" s="61" t="s">
        <v>2110</v>
      </c>
      <c r="I187" s="61" t="s">
        <v>2110</v>
      </c>
      <c r="J187" s="61">
        <v>169</v>
      </c>
      <c r="K187" s="61">
        <v>531</v>
      </c>
    </row>
    <row r="188" spans="1:11" x14ac:dyDescent="0.45">
      <c r="A188" s="62" t="s">
        <v>2246</v>
      </c>
      <c r="B188" s="61">
        <v>1947</v>
      </c>
      <c r="C188" s="61">
        <v>444</v>
      </c>
      <c r="D188" s="61" t="s">
        <v>2110</v>
      </c>
      <c r="E188" s="61" t="s">
        <v>2110</v>
      </c>
      <c r="F188" s="61" t="s">
        <v>2110</v>
      </c>
      <c r="G188" s="61">
        <v>608</v>
      </c>
      <c r="H188" s="61" t="s">
        <v>2110</v>
      </c>
      <c r="I188" s="61" t="s">
        <v>2110</v>
      </c>
      <c r="J188" s="61" t="s">
        <v>2110</v>
      </c>
      <c r="K188" s="61" t="s">
        <v>2110</v>
      </c>
    </row>
    <row r="189" spans="1:11" ht="33.700000000000003" customHeight="1" x14ac:dyDescent="0.45">
      <c r="A189" s="67" t="s">
        <v>2255</v>
      </c>
      <c r="B189" s="63"/>
      <c r="C189" s="63"/>
      <c r="D189" s="63"/>
      <c r="E189" s="63"/>
      <c r="F189" s="63"/>
      <c r="G189" s="63"/>
      <c r="H189" s="63"/>
      <c r="I189" s="63"/>
      <c r="J189" s="63"/>
      <c r="K189" s="63"/>
    </row>
    <row r="190" spans="1:11" x14ac:dyDescent="0.45">
      <c r="A190" s="62" t="s">
        <v>2241</v>
      </c>
      <c r="B190" s="61">
        <v>30592</v>
      </c>
      <c r="C190" s="61">
        <v>1437</v>
      </c>
      <c r="D190" s="61">
        <v>3753</v>
      </c>
      <c r="E190" s="61">
        <v>6408</v>
      </c>
      <c r="F190" s="61">
        <v>2798</v>
      </c>
      <c r="G190" s="61">
        <v>5472</v>
      </c>
      <c r="H190" s="61">
        <v>1462</v>
      </c>
      <c r="I190" s="61">
        <v>3664</v>
      </c>
      <c r="J190" s="61">
        <v>2787</v>
      </c>
      <c r="K190" s="61">
        <v>2812</v>
      </c>
    </row>
    <row r="191" spans="1:11" x14ac:dyDescent="0.45">
      <c r="A191" s="62" t="s">
        <v>2242</v>
      </c>
      <c r="B191" s="61">
        <v>27656</v>
      </c>
      <c r="C191" s="61">
        <v>818</v>
      </c>
      <c r="D191" s="61">
        <v>4389</v>
      </c>
      <c r="E191" s="61">
        <v>5337</v>
      </c>
      <c r="F191" s="61">
        <v>2331</v>
      </c>
      <c r="G191" s="61">
        <v>4731</v>
      </c>
      <c r="H191" s="61">
        <v>1339</v>
      </c>
      <c r="I191" s="61">
        <v>3094</v>
      </c>
      <c r="J191" s="61">
        <v>2544</v>
      </c>
      <c r="K191" s="61">
        <v>3072</v>
      </c>
    </row>
    <row r="192" spans="1:11" x14ac:dyDescent="0.45">
      <c r="A192" s="62" t="s">
        <v>2246</v>
      </c>
      <c r="B192" s="66">
        <v>3101</v>
      </c>
      <c r="C192" s="66">
        <v>503</v>
      </c>
      <c r="D192" s="66" t="s">
        <v>2110</v>
      </c>
      <c r="E192" s="66" t="s">
        <v>2110</v>
      </c>
      <c r="F192" s="66" t="s">
        <v>2110</v>
      </c>
      <c r="G192" s="66">
        <v>963</v>
      </c>
      <c r="H192" s="66" t="s">
        <v>2110</v>
      </c>
      <c r="I192" s="66" t="s">
        <v>2110</v>
      </c>
      <c r="J192" s="66" t="s">
        <v>2110</v>
      </c>
      <c r="K192" s="66">
        <v>453</v>
      </c>
    </row>
    <row r="193" spans="1:11" ht="34.049999999999997" customHeight="1" x14ac:dyDescent="0.45">
      <c r="A193" s="67" t="s">
        <v>2256</v>
      </c>
      <c r="B193" s="63"/>
      <c r="C193" s="63"/>
      <c r="D193" s="63"/>
      <c r="E193" s="63"/>
      <c r="F193" s="63"/>
      <c r="G193" s="63"/>
      <c r="H193" s="63"/>
      <c r="I193" s="63"/>
      <c r="J193" s="63"/>
      <c r="K193" s="63"/>
    </row>
    <row r="194" spans="1:11" x14ac:dyDescent="0.45">
      <c r="A194" s="62" t="s">
        <v>2257</v>
      </c>
      <c r="B194" s="61">
        <v>89003</v>
      </c>
      <c r="C194" s="61">
        <v>3603</v>
      </c>
      <c r="D194" s="61">
        <v>11946</v>
      </c>
      <c r="E194" s="61">
        <v>16531</v>
      </c>
      <c r="F194" s="61">
        <v>7775</v>
      </c>
      <c r="G194" s="61">
        <v>15991</v>
      </c>
      <c r="H194" s="61">
        <v>5031</v>
      </c>
      <c r="I194" s="61">
        <v>10476</v>
      </c>
      <c r="J194" s="61">
        <v>7287</v>
      </c>
      <c r="K194" s="61">
        <v>10363</v>
      </c>
    </row>
    <row r="195" spans="1:11" x14ac:dyDescent="0.45">
      <c r="A195" s="62" t="s">
        <v>2258</v>
      </c>
      <c r="B195" s="61">
        <v>87841</v>
      </c>
      <c r="C195" s="61">
        <v>3161</v>
      </c>
      <c r="D195" s="61">
        <v>11465</v>
      </c>
      <c r="E195" s="61">
        <v>15529</v>
      </c>
      <c r="F195" s="61">
        <v>7259</v>
      </c>
      <c r="G195" s="61">
        <v>17171</v>
      </c>
      <c r="H195" s="61">
        <v>5073</v>
      </c>
      <c r="I195" s="61">
        <v>10980</v>
      </c>
      <c r="J195" s="61">
        <v>6992</v>
      </c>
      <c r="K195" s="61">
        <v>10210</v>
      </c>
    </row>
    <row r="196" spans="1:11" x14ac:dyDescent="0.45">
      <c r="A196" s="62" t="s">
        <v>2259</v>
      </c>
      <c r="B196" s="61">
        <v>88076</v>
      </c>
      <c r="C196" s="61">
        <v>3474</v>
      </c>
      <c r="D196" s="61">
        <v>11603</v>
      </c>
      <c r="E196" s="61">
        <v>16363</v>
      </c>
      <c r="F196" s="61">
        <v>7483</v>
      </c>
      <c r="G196" s="61">
        <v>16592</v>
      </c>
      <c r="H196" s="61">
        <v>4695</v>
      </c>
      <c r="I196" s="61">
        <v>10464</v>
      </c>
      <c r="J196" s="61">
        <v>6823</v>
      </c>
      <c r="K196" s="61">
        <v>10580</v>
      </c>
    </row>
    <row r="197" spans="1:11" x14ac:dyDescent="0.45">
      <c r="A197" s="62" t="s">
        <v>2260</v>
      </c>
      <c r="B197" s="65">
        <v>43633</v>
      </c>
      <c r="C197" s="65">
        <v>2050</v>
      </c>
      <c r="D197" s="65">
        <v>6013</v>
      </c>
      <c r="E197" s="65">
        <v>8326</v>
      </c>
      <c r="F197" s="65">
        <v>3964</v>
      </c>
      <c r="G197" s="65">
        <v>7981</v>
      </c>
      <c r="H197" s="65">
        <v>2071</v>
      </c>
      <c r="I197" s="65">
        <v>5092</v>
      </c>
      <c r="J197" s="65">
        <v>3620</v>
      </c>
      <c r="K197" s="65">
        <v>4517</v>
      </c>
    </row>
    <row r="198" spans="1:11" x14ac:dyDescent="0.45">
      <c r="A198" s="62" t="s">
        <v>2261</v>
      </c>
      <c r="B198" s="61">
        <v>6871</v>
      </c>
      <c r="C198" s="61" t="s">
        <v>2110</v>
      </c>
      <c r="D198" s="61">
        <v>789</v>
      </c>
      <c r="E198" s="61">
        <v>1489</v>
      </c>
      <c r="F198" s="61">
        <v>813</v>
      </c>
      <c r="G198" s="61">
        <v>1006</v>
      </c>
      <c r="H198" s="61">
        <v>307</v>
      </c>
      <c r="I198" s="61">
        <v>754</v>
      </c>
      <c r="J198" s="61">
        <v>599</v>
      </c>
      <c r="K198" s="61">
        <v>923</v>
      </c>
    </row>
    <row r="199" spans="1:11" x14ac:dyDescent="0.45">
      <c r="A199" s="62" t="s">
        <v>2262</v>
      </c>
      <c r="B199" s="61">
        <v>29439</v>
      </c>
      <c r="C199" s="61">
        <v>1692</v>
      </c>
      <c r="D199" s="61">
        <v>5086</v>
      </c>
      <c r="E199" s="61">
        <v>5281</v>
      </c>
      <c r="F199" s="61">
        <v>1950</v>
      </c>
      <c r="G199" s="61">
        <v>5854</v>
      </c>
      <c r="H199" s="61">
        <v>1153</v>
      </c>
      <c r="I199" s="61">
        <v>2709</v>
      </c>
      <c r="J199" s="61">
        <v>2542</v>
      </c>
      <c r="K199" s="61">
        <v>3173</v>
      </c>
    </row>
    <row r="200" spans="1:11" ht="24" customHeight="1" x14ac:dyDescent="0.45">
      <c r="A200" s="67" t="s">
        <v>2263</v>
      </c>
      <c r="B200" s="63"/>
      <c r="C200" s="63"/>
      <c r="D200" s="63"/>
      <c r="E200" s="63"/>
      <c r="F200" s="63"/>
      <c r="G200" s="63"/>
      <c r="H200" s="63"/>
      <c r="I200" s="63"/>
      <c r="J200" s="63"/>
      <c r="K200" s="63"/>
    </row>
    <row r="201" spans="1:11" x14ac:dyDescent="0.45">
      <c r="A201" s="62" t="s">
        <v>2264</v>
      </c>
      <c r="B201" s="61">
        <v>7754</v>
      </c>
      <c r="C201" s="61" t="s">
        <v>2110</v>
      </c>
      <c r="D201" s="61">
        <v>325</v>
      </c>
      <c r="E201" s="61">
        <v>1111</v>
      </c>
      <c r="F201" s="61">
        <v>726</v>
      </c>
      <c r="G201" s="61">
        <v>1970</v>
      </c>
      <c r="H201" s="61">
        <v>328</v>
      </c>
      <c r="I201" s="61">
        <v>1082</v>
      </c>
      <c r="J201" s="61">
        <v>474</v>
      </c>
      <c r="K201" s="61">
        <v>1593</v>
      </c>
    </row>
    <row r="202" spans="1:11" x14ac:dyDescent="0.45">
      <c r="A202" s="62" t="s">
        <v>2265</v>
      </c>
      <c r="B202" s="66">
        <v>10617</v>
      </c>
      <c r="C202" s="66" t="s">
        <v>2110</v>
      </c>
      <c r="D202" s="66">
        <v>769</v>
      </c>
      <c r="E202" s="66">
        <v>1210</v>
      </c>
      <c r="F202" s="66">
        <v>451</v>
      </c>
      <c r="G202" s="66">
        <v>2299</v>
      </c>
      <c r="H202" s="66">
        <v>854</v>
      </c>
      <c r="I202" s="66">
        <v>1663</v>
      </c>
      <c r="J202" s="66">
        <v>611</v>
      </c>
      <c r="K202" s="66">
        <v>2436</v>
      </c>
    </row>
    <row r="203" spans="1:11" x14ac:dyDescent="0.45">
      <c r="A203" s="62" t="s">
        <v>2266</v>
      </c>
      <c r="B203" s="61">
        <v>20244</v>
      </c>
      <c r="C203" s="61">
        <v>910</v>
      </c>
      <c r="D203" s="61">
        <v>2301</v>
      </c>
      <c r="E203" s="61">
        <v>3018</v>
      </c>
      <c r="F203" s="61">
        <v>1021</v>
      </c>
      <c r="G203" s="61">
        <v>4328</v>
      </c>
      <c r="H203" s="61">
        <v>1378</v>
      </c>
      <c r="I203" s="61">
        <v>2576</v>
      </c>
      <c r="J203" s="61">
        <v>1976</v>
      </c>
      <c r="K203" s="61">
        <v>2736</v>
      </c>
    </row>
    <row r="204" spans="1:11" x14ac:dyDescent="0.45">
      <c r="A204" s="74" t="s">
        <v>2267</v>
      </c>
      <c r="B204" s="61">
        <v>58143</v>
      </c>
      <c r="C204" s="61">
        <v>2368</v>
      </c>
      <c r="D204" s="61">
        <v>8876</v>
      </c>
      <c r="E204" s="61">
        <v>12303</v>
      </c>
      <c r="F204" s="61">
        <v>6303</v>
      </c>
      <c r="G204" s="61">
        <v>9364</v>
      </c>
      <c r="H204" s="61">
        <v>2799</v>
      </c>
      <c r="I204" s="61">
        <v>6237</v>
      </c>
      <c r="J204" s="61">
        <v>4700</v>
      </c>
      <c r="K204" s="61">
        <v>5191</v>
      </c>
    </row>
    <row r="205" spans="1:11" ht="24" customHeight="1" x14ac:dyDescent="0.45">
      <c r="A205" s="69" t="s">
        <v>2268</v>
      </c>
      <c r="B205" s="68"/>
      <c r="C205" s="68"/>
      <c r="D205" s="68"/>
      <c r="E205" s="68"/>
      <c r="F205" s="68"/>
      <c r="G205" s="68"/>
      <c r="H205" s="68"/>
      <c r="I205" s="68"/>
      <c r="J205" s="68"/>
      <c r="K205" s="68"/>
    </row>
    <row r="206" spans="1:11" x14ac:dyDescent="0.45">
      <c r="A206" s="62" t="s">
        <v>2269</v>
      </c>
      <c r="B206" s="61">
        <v>8917</v>
      </c>
      <c r="C206" s="61">
        <v>587</v>
      </c>
      <c r="D206" s="61">
        <v>807</v>
      </c>
      <c r="E206" s="61">
        <v>2114</v>
      </c>
      <c r="F206" s="61">
        <v>1242</v>
      </c>
      <c r="G206" s="61">
        <v>790</v>
      </c>
      <c r="H206" s="61">
        <v>285</v>
      </c>
      <c r="I206" s="61">
        <v>578</v>
      </c>
      <c r="J206" s="61">
        <v>769</v>
      </c>
      <c r="K206" s="61">
        <v>1746</v>
      </c>
    </row>
    <row r="207" spans="1:11" x14ac:dyDescent="0.45">
      <c r="A207" s="62" t="s">
        <v>2265</v>
      </c>
      <c r="B207" s="61">
        <v>19747</v>
      </c>
      <c r="C207" s="61">
        <v>862</v>
      </c>
      <c r="D207" s="61">
        <v>2760</v>
      </c>
      <c r="E207" s="61">
        <v>3731</v>
      </c>
      <c r="F207" s="61">
        <v>1718</v>
      </c>
      <c r="G207" s="61">
        <v>3367</v>
      </c>
      <c r="H207" s="61">
        <v>1230</v>
      </c>
      <c r="I207" s="61">
        <v>1924</v>
      </c>
      <c r="J207" s="61">
        <v>1129</v>
      </c>
      <c r="K207" s="61">
        <v>3026</v>
      </c>
    </row>
    <row r="208" spans="1:11" x14ac:dyDescent="0.45">
      <c r="A208" s="62" t="s">
        <v>2266</v>
      </c>
      <c r="B208" s="66">
        <v>26388</v>
      </c>
      <c r="C208" s="66">
        <v>1226</v>
      </c>
      <c r="D208" s="66">
        <v>4001</v>
      </c>
      <c r="E208" s="66">
        <v>4744</v>
      </c>
      <c r="F208" s="66">
        <v>1911</v>
      </c>
      <c r="G208" s="66">
        <v>5526</v>
      </c>
      <c r="H208" s="66">
        <v>1415</v>
      </c>
      <c r="I208" s="66">
        <v>2839</v>
      </c>
      <c r="J208" s="66">
        <v>2033</v>
      </c>
      <c r="K208" s="66">
        <v>2692</v>
      </c>
    </row>
    <row r="209" spans="1:11" x14ac:dyDescent="0.45">
      <c r="A209" s="74" t="s">
        <v>2267</v>
      </c>
      <c r="B209" s="61">
        <v>41706</v>
      </c>
      <c r="C209" s="61">
        <v>1073</v>
      </c>
      <c r="D209" s="61">
        <v>4703</v>
      </c>
      <c r="E209" s="61">
        <v>7054</v>
      </c>
      <c r="F209" s="61">
        <v>3630</v>
      </c>
      <c r="G209" s="61">
        <v>8278</v>
      </c>
      <c r="H209" s="61">
        <v>2429</v>
      </c>
      <c r="I209" s="61">
        <v>6217</v>
      </c>
      <c r="J209" s="61">
        <v>3830</v>
      </c>
      <c r="K209" s="61">
        <v>4492</v>
      </c>
    </row>
    <row r="210" spans="1:11" ht="24" customHeight="1" x14ac:dyDescent="0.45">
      <c r="A210" s="69" t="s">
        <v>2270</v>
      </c>
      <c r="B210" s="68"/>
      <c r="C210" s="68"/>
      <c r="D210" s="68"/>
      <c r="E210" s="68"/>
      <c r="F210" s="68"/>
      <c r="G210" s="68"/>
      <c r="H210" s="68"/>
      <c r="I210" s="68"/>
      <c r="J210" s="68"/>
      <c r="K210" s="68"/>
    </row>
    <row r="211" spans="1:11" x14ac:dyDescent="0.45">
      <c r="A211" s="62" t="s">
        <v>2271</v>
      </c>
      <c r="B211" s="61" t="s">
        <v>2110</v>
      </c>
      <c r="C211" s="61" t="s">
        <v>2252</v>
      </c>
      <c r="D211" s="61" t="s">
        <v>2252</v>
      </c>
      <c r="E211" s="61" t="s">
        <v>2110</v>
      </c>
      <c r="F211" s="61" t="s">
        <v>2110</v>
      </c>
      <c r="G211" s="61" t="s">
        <v>2110</v>
      </c>
      <c r="H211" s="61" t="s">
        <v>2110</v>
      </c>
      <c r="I211" s="61" t="s">
        <v>2110</v>
      </c>
      <c r="J211" s="61" t="s">
        <v>2110</v>
      </c>
      <c r="K211" s="61" t="s">
        <v>2110</v>
      </c>
    </row>
    <row r="212" spans="1:11" x14ac:dyDescent="0.45">
      <c r="A212" s="62" t="s">
        <v>2265</v>
      </c>
      <c r="B212" s="61">
        <v>14213</v>
      </c>
      <c r="C212" s="61">
        <v>637</v>
      </c>
      <c r="D212" s="61">
        <v>1382</v>
      </c>
      <c r="E212" s="61">
        <v>3137</v>
      </c>
      <c r="F212" s="61">
        <v>1656</v>
      </c>
      <c r="G212" s="61">
        <v>2214</v>
      </c>
      <c r="H212" s="61">
        <v>835</v>
      </c>
      <c r="I212" s="61">
        <v>1968</v>
      </c>
      <c r="J212" s="61">
        <v>822</v>
      </c>
      <c r="K212" s="61">
        <v>1563</v>
      </c>
    </row>
    <row r="213" spans="1:11" x14ac:dyDescent="0.45">
      <c r="A213" s="62" t="s">
        <v>2266</v>
      </c>
      <c r="B213" s="61">
        <v>39002</v>
      </c>
      <c r="C213" s="61">
        <v>1736</v>
      </c>
      <c r="D213" s="61">
        <v>4685</v>
      </c>
      <c r="E213" s="61">
        <v>7250</v>
      </c>
      <c r="F213" s="61">
        <v>3421</v>
      </c>
      <c r="G213" s="61">
        <v>7431</v>
      </c>
      <c r="H213" s="61">
        <v>1879</v>
      </c>
      <c r="I213" s="61">
        <v>4574</v>
      </c>
      <c r="J213" s="61">
        <v>3149</v>
      </c>
      <c r="K213" s="61">
        <v>4876</v>
      </c>
    </row>
    <row r="214" spans="1:11" x14ac:dyDescent="0.45">
      <c r="A214" s="74" t="s">
        <v>2267</v>
      </c>
      <c r="B214" s="65">
        <v>40015</v>
      </c>
      <c r="C214" s="65">
        <v>1355</v>
      </c>
      <c r="D214" s="65">
        <v>5859</v>
      </c>
      <c r="E214" s="65">
        <v>6500</v>
      </c>
      <c r="F214" s="65">
        <v>2890</v>
      </c>
      <c r="G214" s="65">
        <v>7841</v>
      </c>
      <c r="H214" s="65">
        <v>2276</v>
      </c>
      <c r="I214" s="65">
        <v>4668</v>
      </c>
      <c r="J214" s="65">
        <v>3471</v>
      </c>
      <c r="K214" s="65">
        <v>5155</v>
      </c>
    </row>
    <row r="215" spans="1:11" ht="27.3" customHeight="1" x14ac:dyDescent="0.45">
      <c r="A215" s="74" t="s">
        <v>2272</v>
      </c>
      <c r="B215" s="61">
        <v>2998</v>
      </c>
      <c r="C215" s="61" t="s">
        <v>2110</v>
      </c>
      <c r="D215" s="61">
        <v>346</v>
      </c>
      <c r="E215" s="61">
        <v>523</v>
      </c>
      <c r="F215" s="61" t="s">
        <v>2110</v>
      </c>
      <c r="G215" s="61">
        <v>422</v>
      </c>
      <c r="H215" s="61" t="s">
        <v>2110</v>
      </c>
      <c r="I215" s="61">
        <v>333</v>
      </c>
      <c r="J215" s="61" t="s">
        <v>2110</v>
      </c>
      <c r="K215" s="61" t="s">
        <v>2110</v>
      </c>
    </row>
    <row r="216" spans="1:11" ht="24" customHeight="1" x14ac:dyDescent="0.45">
      <c r="A216" s="69" t="s">
        <v>2273</v>
      </c>
      <c r="B216" s="68"/>
      <c r="C216" s="68"/>
      <c r="D216" s="68"/>
      <c r="E216" s="68"/>
      <c r="F216" s="68"/>
      <c r="G216" s="68"/>
      <c r="H216" s="68"/>
      <c r="I216" s="68"/>
      <c r="J216" s="68"/>
      <c r="K216" s="68"/>
    </row>
    <row r="217" spans="1:11" x14ac:dyDescent="0.45">
      <c r="A217" s="62" t="s">
        <v>2271</v>
      </c>
      <c r="B217" s="61">
        <v>15602</v>
      </c>
      <c r="C217" s="61">
        <v>760</v>
      </c>
      <c r="D217" s="61">
        <v>1474</v>
      </c>
      <c r="E217" s="61">
        <v>2958</v>
      </c>
      <c r="F217" s="61">
        <v>1383</v>
      </c>
      <c r="G217" s="61">
        <v>2586</v>
      </c>
      <c r="H217" s="61">
        <v>1084</v>
      </c>
      <c r="I217" s="61">
        <v>1797</v>
      </c>
      <c r="J217" s="61">
        <v>948</v>
      </c>
      <c r="K217" s="61">
        <v>2612</v>
      </c>
    </row>
    <row r="218" spans="1:11" x14ac:dyDescent="0.45">
      <c r="A218" s="62" t="s">
        <v>2265</v>
      </c>
      <c r="B218" s="61">
        <v>70060</v>
      </c>
      <c r="C218" s="61">
        <v>2574</v>
      </c>
      <c r="D218" s="61">
        <v>9120</v>
      </c>
      <c r="E218" s="61">
        <v>12953</v>
      </c>
      <c r="F218" s="61">
        <v>6398</v>
      </c>
      <c r="G218" s="61">
        <v>13111</v>
      </c>
      <c r="H218" s="61">
        <v>3632</v>
      </c>
      <c r="I218" s="61">
        <v>8413</v>
      </c>
      <c r="J218" s="61">
        <v>5921</v>
      </c>
      <c r="K218" s="61">
        <v>7937</v>
      </c>
    </row>
    <row r="219" spans="1:11" x14ac:dyDescent="0.45">
      <c r="A219" s="62" t="s">
        <v>2274</v>
      </c>
      <c r="B219" s="61">
        <v>7211</v>
      </c>
      <c r="C219" s="61">
        <v>395</v>
      </c>
      <c r="D219" s="61">
        <v>1065</v>
      </c>
      <c r="E219" s="61">
        <v>1092</v>
      </c>
      <c r="F219" s="61">
        <v>421</v>
      </c>
      <c r="G219" s="61">
        <v>1501</v>
      </c>
      <c r="H219" s="61">
        <v>389</v>
      </c>
      <c r="I219" s="61">
        <v>888</v>
      </c>
      <c r="J219" s="61">
        <v>484</v>
      </c>
      <c r="K219" s="61">
        <v>975</v>
      </c>
    </row>
    <row r="220" spans="1:11" ht="27.3" customHeight="1" x14ac:dyDescent="0.45">
      <c r="A220" s="74" t="s">
        <v>2275</v>
      </c>
      <c r="B220" s="61">
        <v>2306</v>
      </c>
      <c r="C220" s="61" t="s">
        <v>2110</v>
      </c>
      <c r="D220" s="61">
        <v>485</v>
      </c>
      <c r="E220" s="61">
        <v>453</v>
      </c>
      <c r="F220" s="61" t="s">
        <v>2110</v>
      </c>
      <c r="G220" s="61">
        <v>572</v>
      </c>
      <c r="H220" s="61" t="s">
        <v>2110</v>
      </c>
      <c r="I220" s="61" t="s">
        <v>2110</v>
      </c>
      <c r="J220" s="61" t="s">
        <v>2110</v>
      </c>
      <c r="K220" s="61">
        <v>260</v>
      </c>
    </row>
    <row r="221" spans="1:11" x14ac:dyDescent="0.45">
      <c r="A221" s="74" t="s">
        <v>2276</v>
      </c>
      <c r="B221" s="61">
        <v>1579</v>
      </c>
      <c r="C221" s="61" t="s">
        <v>2110</v>
      </c>
      <c r="D221" s="61" t="s">
        <v>2110</v>
      </c>
      <c r="E221" s="61" t="s">
        <v>2110</v>
      </c>
      <c r="F221" s="61" t="s">
        <v>2110</v>
      </c>
      <c r="G221" s="61" t="s">
        <v>2110</v>
      </c>
      <c r="H221" s="61" t="s">
        <v>2110</v>
      </c>
      <c r="I221" s="61" t="s">
        <v>2110</v>
      </c>
      <c r="J221" s="61" t="s">
        <v>2110</v>
      </c>
      <c r="K221" s="61" t="s">
        <v>2110</v>
      </c>
    </row>
    <row r="222" spans="1:11" ht="31.5" customHeight="1" x14ac:dyDescent="0.45">
      <c r="A222" s="72" t="s">
        <v>2277</v>
      </c>
      <c r="B222" s="66"/>
      <c r="C222" s="66"/>
      <c r="D222" s="66"/>
      <c r="E222" s="66"/>
      <c r="F222" s="66"/>
      <c r="G222" s="66"/>
      <c r="H222" s="66"/>
      <c r="I222" s="66"/>
      <c r="J222" s="66"/>
      <c r="K222" s="66"/>
    </row>
    <row r="223" spans="1:11" x14ac:dyDescent="0.45">
      <c r="A223" s="62" t="s">
        <v>2278</v>
      </c>
      <c r="B223" s="61">
        <v>48113</v>
      </c>
      <c r="C223" s="61">
        <v>1323</v>
      </c>
      <c r="D223" s="61">
        <v>5330</v>
      </c>
      <c r="E223" s="61">
        <v>8423</v>
      </c>
      <c r="F223" s="61">
        <v>4026</v>
      </c>
      <c r="G223" s="61">
        <v>8609</v>
      </c>
      <c r="H223" s="61">
        <v>3262</v>
      </c>
      <c r="I223" s="61">
        <v>6599</v>
      </c>
      <c r="J223" s="61">
        <v>4839</v>
      </c>
      <c r="K223" s="61">
        <v>5702</v>
      </c>
    </row>
    <row r="224" spans="1:11" x14ac:dyDescent="0.45">
      <c r="A224" s="62" t="s">
        <v>2279</v>
      </c>
      <c r="B224" s="61">
        <v>17449</v>
      </c>
      <c r="C224" s="61">
        <v>465</v>
      </c>
      <c r="D224" s="61">
        <v>2090</v>
      </c>
      <c r="E224" s="61">
        <v>4754</v>
      </c>
      <c r="F224" s="61">
        <v>2521</v>
      </c>
      <c r="G224" s="61">
        <v>1651</v>
      </c>
      <c r="H224" s="61">
        <v>955</v>
      </c>
      <c r="I224" s="61">
        <v>1914</v>
      </c>
      <c r="J224" s="61">
        <v>1362</v>
      </c>
      <c r="K224" s="61">
        <v>1736</v>
      </c>
    </row>
    <row r="225" spans="1:11" x14ac:dyDescent="0.45">
      <c r="A225" s="62" t="s">
        <v>2280</v>
      </c>
      <c r="B225" s="61">
        <v>21143</v>
      </c>
      <c r="C225" s="61">
        <v>788</v>
      </c>
      <c r="D225" s="61">
        <v>3011</v>
      </c>
      <c r="E225" s="61">
        <v>4523</v>
      </c>
      <c r="F225" s="61">
        <v>1783</v>
      </c>
      <c r="G225" s="61">
        <v>3560</v>
      </c>
      <c r="H225" s="61">
        <v>1231</v>
      </c>
      <c r="I225" s="61">
        <v>2011</v>
      </c>
      <c r="J225" s="61">
        <v>1790</v>
      </c>
      <c r="K225" s="61">
        <v>2445</v>
      </c>
    </row>
    <row r="226" spans="1:11" x14ac:dyDescent="0.45">
      <c r="A226" s="62" t="s">
        <v>2281</v>
      </c>
      <c r="B226" s="61">
        <v>28902</v>
      </c>
      <c r="C226" s="61">
        <v>1725</v>
      </c>
      <c r="D226" s="61">
        <v>5648</v>
      </c>
      <c r="E226" s="61">
        <v>5887</v>
      </c>
      <c r="F226" s="61">
        <v>2743</v>
      </c>
      <c r="G226" s="61">
        <v>4164</v>
      </c>
      <c r="H226" s="61">
        <v>1100</v>
      </c>
      <c r="I226" s="61">
        <v>2199</v>
      </c>
      <c r="J226" s="61">
        <v>2579</v>
      </c>
      <c r="K226" s="61">
        <v>2857</v>
      </c>
    </row>
    <row r="227" spans="1:11" x14ac:dyDescent="0.45">
      <c r="A227" s="62" t="s">
        <v>2282</v>
      </c>
      <c r="B227" s="61">
        <v>15146</v>
      </c>
      <c r="C227" s="61">
        <v>512</v>
      </c>
      <c r="D227" s="61">
        <v>1990</v>
      </c>
      <c r="E227" s="61">
        <v>1953</v>
      </c>
      <c r="F227" s="61">
        <v>1058</v>
      </c>
      <c r="G227" s="61">
        <v>4265</v>
      </c>
      <c r="H227" s="61">
        <v>853</v>
      </c>
      <c r="I227" s="61">
        <v>1200</v>
      </c>
      <c r="J227" s="61">
        <v>1341</v>
      </c>
      <c r="K227" s="61">
        <v>1974</v>
      </c>
    </row>
    <row r="228" spans="1:11" x14ac:dyDescent="0.45">
      <c r="A228" s="62" t="s">
        <v>2244</v>
      </c>
      <c r="B228" s="61">
        <v>6552</v>
      </c>
      <c r="C228" s="61">
        <v>394</v>
      </c>
      <c r="D228" s="61">
        <v>1385</v>
      </c>
      <c r="E228" s="61">
        <v>1133</v>
      </c>
      <c r="F228" s="61">
        <v>300</v>
      </c>
      <c r="G228" s="61">
        <v>1231</v>
      </c>
      <c r="H228" s="61">
        <v>294</v>
      </c>
      <c r="I228" s="61" t="s">
        <v>2110</v>
      </c>
      <c r="J228" s="61">
        <v>373</v>
      </c>
      <c r="K228" s="61">
        <v>874</v>
      </c>
    </row>
    <row r="229" spans="1:11" x14ac:dyDescent="0.45">
      <c r="A229" s="62" t="s">
        <v>2283</v>
      </c>
      <c r="B229" s="61">
        <v>7466</v>
      </c>
      <c r="C229" s="61" t="s">
        <v>2110</v>
      </c>
      <c r="D229" s="61">
        <v>841</v>
      </c>
      <c r="E229" s="61">
        <v>1209</v>
      </c>
      <c r="F229" s="61">
        <v>484</v>
      </c>
      <c r="G229" s="61">
        <v>2448</v>
      </c>
      <c r="H229" s="61" t="s">
        <v>2110</v>
      </c>
      <c r="I229" s="61">
        <v>1049</v>
      </c>
      <c r="J229" s="61">
        <v>367</v>
      </c>
      <c r="K229" s="61">
        <v>628</v>
      </c>
    </row>
    <row r="230" spans="1:11" x14ac:dyDescent="0.45">
      <c r="A230" s="62" t="s">
        <v>2179</v>
      </c>
      <c r="B230" s="61">
        <v>821</v>
      </c>
      <c r="C230" s="61" t="s">
        <v>2110</v>
      </c>
      <c r="D230" s="61" t="s">
        <v>2110</v>
      </c>
      <c r="E230" s="61" t="s">
        <v>2110</v>
      </c>
      <c r="F230" s="61" t="s">
        <v>2110</v>
      </c>
      <c r="G230" s="61" t="s">
        <v>2110</v>
      </c>
      <c r="H230" s="61" t="s">
        <v>2110</v>
      </c>
      <c r="I230" s="61" t="s">
        <v>2110</v>
      </c>
      <c r="J230" s="61" t="s">
        <v>2110</v>
      </c>
      <c r="K230" s="61" t="s">
        <v>2110</v>
      </c>
    </row>
    <row r="231" spans="1:11" ht="33" customHeight="1" x14ac:dyDescent="0.45">
      <c r="A231" s="72" t="s">
        <v>2284</v>
      </c>
      <c r="B231" s="66"/>
      <c r="C231" s="66"/>
      <c r="D231" s="66"/>
      <c r="E231" s="66"/>
      <c r="F231" s="66"/>
      <c r="G231" s="66"/>
      <c r="H231" s="66"/>
      <c r="I231" s="66"/>
      <c r="J231" s="66"/>
      <c r="K231" s="66"/>
    </row>
    <row r="232" spans="1:11" x14ac:dyDescent="0.45">
      <c r="A232" s="62" t="s">
        <v>2285</v>
      </c>
      <c r="B232" s="61">
        <v>56416</v>
      </c>
      <c r="C232" s="61">
        <v>2050</v>
      </c>
      <c r="D232" s="61">
        <v>7385</v>
      </c>
      <c r="E232" s="61">
        <v>9551</v>
      </c>
      <c r="F232" s="61">
        <v>4502</v>
      </c>
      <c r="G232" s="61">
        <v>10407</v>
      </c>
      <c r="H232" s="61">
        <v>3657</v>
      </c>
      <c r="I232" s="61">
        <v>7201</v>
      </c>
      <c r="J232" s="61">
        <v>4810</v>
      </c>
      <c r="K232" s="61">
        <v>6853</v>
      </c>
    </row>
    <row r="233" spans="1:11" ht="27.3" customHeight="1" x14ac:dyDescent="0.45">
      <c r="A233" s="62" t="s">
        <v>2286</v>
      </c>
      <c r="B233" s="61">
        <v>18437</v>
      </c>
      <c r="C233" s="61">
        <v>799</v>
      </c>
      <c r="D233" s="61">
        <v>1985</v>
      </c>
      <c r="E233" s="61">
        <v>4473</v>
      </c>
      <c r="F233" s="61">
        <v>2410</v>
      </c>
      <c r="G233" s="61">
        <v>3118</v>
      </c>
      <c r="H233" s="61">
        <v>918</v>
      </c>
      <c r="I233" s="61">
        <v>2175</v>
      </c>
      <c r="J233" s="61">
        <v>1022</v>
      </c>
      <c r="K233" s="61">
        <v>1536</v>
      </c>
    </row>
    <row r="234" spans="1:11" x14ac:dyDescent="0.45">
      <c r="A234" s="62" t="s">
        <v>2287</v>
      </c>
      <c r="B234" s="66">
        <v>13767</v>
      </c>
      <c r="C234" s="66">
        <v>936</v>
      </c>
      <c r="D234" s="66">
        <v>2720</v>
      </c>
      <c r="E234" s="66">
        <v>2382</v>
      </c>
      <c r="F234" s="66">
        <v>1133</v>
      </c>
      <c r="G234" s="66">
        <v>2362</v>
      </c>
      <c r="H234" s="66">
        <v>815</v>
      </c>
      <c r="I234" s="66">
        <v>1278</v>
      </c>
      <c r="J234" s="66">
        <v>649</v>
      </c>
      <c r="K234" s="66">
        <v>1492</v>
      </c>
    </row>
    <row r="235" spans="1:11" x14ac:dyDescent="0.45">
      <c r="A235" s="62" t="s">
        <v>2288</v>
      </c>
      <c r="B235" s="61">
        <v>17910</v>
      </c>
      <c r="C235" s="61">
        <v>534</v>
      </c>
      <c r="D235" s="61">
        <v>3182</v>
      </c>
      <c r="E235" s="61">
        <v>3484</v>
      </c>
      <c r="F235" s="61">
        <v>1091</v>
      </c>
      <c r="G235" s="61">
        <v>4087</v>
      </c>
      <c r="H235" s="61">
        <v>722</v>
      </c>
      <c r="I235" s="61">
        <v>1703</v>
      </c>
      <c r="J235" s="61">
        <v>1114</v>
      </c>
      <c r="K235" s="61">
        <v>1993</v>
      </c>
    </row>
    <row r="236" spans="1:11" x14ac:dyDescent="0.45">
      <c r="A236" s="62" t="s">
        <v>2282</v>
      </c>
      <c r="B236" s="61">
        <v>11138</v>
      </c>
      <c r="C236" s="61">
        <v>550</v>
      </c>
      <c r="D236" s="61">
        <v>1844</v>
      </c>
      <c r="E236" s="61">
        <v>1149</v>
      </c>
      <c r="F236" s="61">
        <v>874</v>
      </c>
      <c r="G236" s="61">
        <v>3094</v>
      </c>
      <c r="H236" s="61">
        <v>616</v>
      </c>
      <c r="I236" s="61">
        <v>508</v>
      </c>
      <c r="J236" s="61">
        <v>1075</v>
      </c>
      <c r="K236" s="61">
        <v>1428</v>
      </c>
    </row>
    <row r="237" spans="1:11" x14ac:dyDescent="0.45">
      <c r="A237" s="62" t="s">
        <v>2245</v>
      </c>
      <c r="B237" s="61">
        <v>4288</v>
      </c>
      <c r="C237" s="61" t="s">
        <v>2110</v>
      </c>
      <c r="D237" s="61">
        <v>365</v>
      </c>
      <c r="E237" s="61">
        <v>656</v>
      </c>
      <c r="F237" s="61" t="s">
        <v>2110</v>
      </c>
      <c r="G237" s="61">
        <v>1027</v>
      </c>
      <c r="H237" s="61" t="s">
        <v>2110</v>
      </c>
      <c r="I237" s="61">
        <v>721</v>
      </c>
      <c r="J237" s="61">
        <v>267</v>
      </c>
      <c r="K237" s="61">
        <v>696</v>
      </c>
    </row>
    <row r="238" spans="1:11" x14ac:dyDescent="0.45">
      <c r="A238" s="62" t="s">
        <v>2289</v>
      </c>
      <c r="B238" s="65">
        <v>2070</v>
      </c>
      <c r="C238" s="65" t="s">
        <v>2110</v>
      </c>
      <c r="D238" s="65" t="s">
        <v>2110</v>
      </c>
      <c r="E238" s="65" t="s">
        <v>2110</v>
      </c>
      <c r="F238" s="65" t="s">
        <v>2110</v>
      </c>
      <c r="G238" s="65" t="s">
        <v>2110</v>
      </c>
      <c r="H238" s="65" t="s">
        <v>2110</v>
      </c>
      <c r="I238" s="65" t="s">
        <v>2110</v>
      </c>
      <c r="J238" s="65">
        <v>578</v>
      </c>
      <c r="K238" s="65">
        <v>734</v>
      </c>
    </row>
    <row r="239" spans="1:11" x14ac:dyDescent="0.45">
      <c r="A239" s="62" t="s">
        <v>2179</v>
      </c>
      <c r="B239" s="61" t="s">
        <v>2110</v>
      </c>
      <c r="C239" s="61" t="s">
        <v>2252</v>
      </c>
      <c r="D239" s="61" t="s">
        <v>2110</v>
      </c>
      <c r="E239" s="61" t="s">
        <v>2252</v>
      </c>
      <c r="F239" s="61" t="s">
        <v>2252</v>
      </c>
      <c r="G239" s="61" t="s">
        <v>2110</v>
      </c>
      <c r="H239" s="61" t="s">
        <v>2110</v>
      </c>
      <c r="I239" s="61" t="s">
        <v>2110</v>
      </c>
      <c r="J239" s="61" t="s">
        <v>2110</v>
      </c>
      <c r="K239" s="61" t="s">
        <v>2110</v>
      </c>
    </row>
    <row r="240" spans="1:11" ht="34.5" customHeight="1" x14ac:dyDescent="0.45">
      <c r="A240" s="72" t="s">
        <v>2290</v>
      </c>
      <c r="B240" s="66"/>
      <c r="C240" s="66"/>
      <c r="D240" s="66"/>
      <c r="E240" s="66"/>
      <c r="F240" s="66"/>
      <c r="G240" s="66"/>
      <c r="H240" s="66"/>
      <c r="I240" s="66"/>
      <c r="J240" s="66"/>
      <c r="K240" s="66"/>
    </row>
    <row r="241" spans="1:11" x14ac:dyDescent="0.45">
      <c r="A241" s="62" t="s">
        <v>2291</v>
      </c>
      <c r="B241" s="61">
        <v>34219</v>
      </c>
      <c r="C241" s="61">
        <v>1376</v>
      </c>
      <c r="D241" s="61">
        <v>5544</v>
      </c>
      <c r="E241" s="61">
        <v>7112</v>
      </c>
      <c r="F241" s="61">
        <v>3001</v>
      </c>
      <c r="G241" s="61">
        <v>5315</v>
      </c>
      <c r="H241" s="61">
        <v>1065</v>
      </c>
      <c r="I241" s="61">
        <v>3049</v>
      </c>
      <c r="J241" s="61">
        <v>3278</v>
      </c>
      <c r="K241" s="61">
        <v>4479</v>
      </c>
    </row>
    <row r="242" spans="1:11" x14ac:dyDescent="0.45">
      <c r="A242" s="62" t="s">
        <v>2292</v>
      </c>
      <c r="B242" s="61">
        <v>29172</v>
      </c>
      <c r="C242" s="61">
        <v>960</v>
      </c>
      <c r="D242" s="61">
        <v>4212</v>
      </c>
      <c r="E242" s="61">
        <v>5708</v>
      </c>
      <c r="F242" s="61">
        <v>2233</v>
      </c>
      <c r="G242" s="61">
        <v>5961</v>
      </c>
      <c r="H242" s="61">
        <v>980</v>
      </c>
      <c r="I242" s="61">
        <v>3188</v>
      </c>
      <c r="J242" s="61">
        <v>2616</v>
      </c>
      <c r="K242" s="61">
        <v>3313</v>
      </c>
    </row>
    <row r="243" spans="1:11" ht="13.05" customHeight="1" x14ac:dyDescent="0.45">
      <c r="A243" s="62" t="s">
        <v>2293</v>
      </c>
      <c r="B243" s="61">
        <v>9027</v>
      </c>
      <c r="C243" s="61">
        <v>449</v>
      </c>
      <c r="D243" s="61">
        <v>1294</v>
      </c>
      <c r="E243" s="61">
        <v>1367</v>
      </c>
      <c r="F243" s="61">
        <v>836</v>
      </c>
      <c r="G243" s="61">
        <v>2099</v>
      </c>
      <c r="H243" s="61">
        <v>361</v>
      </c>
      <c r="I243" s="61">
        <v>965</v>
      </c>
      <c r="J243" s="61" t="s">
        <v>2110</v>
      </c>
      <c r="K243" s="61">
        <v>945</v>
      </c>
    </row>
    <row r="244" spans="1:11" ht="14.55" customHeight="1" x14ac:dyDescent="0.45">
      <c r="A244" s="62" t="s">
        <v>2294</v>
      </c>
      <c r="B244" s="61">
        <v>10652</v>
      </c>
      <c r="C244" s="61">
        <v>607</v>
      </c>
      <c r="D244" s="61">
        <v>2150</v>
      </c>
      <c r="E244" s="61">
        <v>1881</v>
      </c>
      <c r="F244" s="61">
        <v>665</v>
      </c>
      <c r="G244" s="61">
        <v>1855</v>
      </c>
      <c r="H244" s="61">
        <v>529</v>
      </c>
      <c r="I244" s="61">
        <v>1016</v>
      </c>
      <c r="J244" s="61">
        <v>814</v>
      </c>
      <c r="K244" s="61">
        <v>1136</v>
      </c>
    </row>
    <row r="245" spans="1:11" x14ac:dyDescent="0.45">
      <c r="A245" s="62" t="s">
        <v>2295</v>
      </c>
      <c r="B245" s="61">
        <v>78343</v>
      </c>
      <c r="C245" s="61">
        <v>3108</v>
      </c>
      <c r="D245" s="61">
        <v>10364</v>
      </c>
      <c r="E245" s="61">
        <v>13671</v>
      </c>
      <c r="F245" s="61">
        <v>6341</v>
      </c>
      <c r="G245" s="61">
        <v>15377</v>
      </c>
      <c r="H245" s="61">
        <v>4004</v>
      </c>
      <c r="I245" s="61">
        <v>9438</v>
      </c>
      <c r="J245" s="61">
        <v>6717</v>
      </c>
      <c r="K245" s="61">
        <v>9325</v>
      </c>
    </row>
    <row r="246" spans="1:11" ht="27.3" customHeight="1" x14ac:dyDescent="0.45">
      <c r="A246" s="62" t="s">
        <v>2296</v>
      </c>
      <c r="B246" s="65">
        <v>40697</v>
      </c>
      <c r="C246" s="65">
        <v>1702</v>
      </c>
      <c r="D246" s="65">
        <v>6034</v>
      </c>
      <c r="E246" s="65">
        <v>7196</v>
      </c>
      <c r="F246" s="65">
        <v>3010</v>
      </c>
      <c r="G246" s="65">
        <v>7921</v>
      </c>
      <c r="H246" s="65">
        <v>1653</v>
      </c>
      <c r="I246" s="65">
        <v>4720</v>
      </c>
      <c r="J246" s="65">
        <v>3636</v>
      </c>
      <c r="K246" s="65">
        <v>4826</v>
      </c>
    </row>
    <row r="247" spans="1:11" x14ac:dyDescent="0.45">
      <c r="A247" s="62" t="s">
        <v>2297</v>
      </c>
      <c r="B247" s="61">
        <v>6017</v>
      </c>
      <c r="C247" s="61" t="s">
        <v>2110</v>
      </c>
      <c r="D247" s="61">
        <v>479</v>
      </c>
      <c r="E247" s="61">
        <v>835</v>
      </c>
      <c r="F247" s="61">
        <v>392</v>
      </c>
      <c r="G247" s="61">
        <v>1283</v>
      </c>
      <c r="H247" s="61">
        <v>511</v>
      </c>
      <c r="I247" s="61">
        <v>1166</v>
      </c>
      <c r="J247" s="61">
        <v>504</v>
      </c>
      <c r="K247" s="61">
        <v>674</v>
      </c>
    </row>
    <row r="248" spans="1:11" x14ac:dyDescent="0.45">
      <c r="A248" s="73" t="s">
        <v>2298</v>
      </c>
      <c r="B248" s="61">
        <v>20937</v>
      </c>
      <c r="C248" s="61">
        <v>763</v>
      </c>
      <c r="D248" s="61">
        <v>2970</v>
      </c>
      <c r="E248" s="61">
        <v>4038</v>
      </c>
      <c r="F248" s="61">
        <v>1852</v>
      </c>
      <c r="G248" s="61">
        <v>3074</v>
      </c>
      <c r="H248" s="61">
        <v>1077</v>
      </c>
      <c r="I248" s="61">
        <v>2274</v>
      </c>
      <c r="J248" s="61">
        <v>1739</v>
      </c>
      <c r="K248" s="61">
        <v>3150</v>
      </c>
    </row>
    <row r="249" spans="1:11" ht="31.05" customHeight="1" x14ac:dyDescent="0.45">
      <c r="A249" s="72" t="s">
        <v>2299</v>
      </c>
      <c r="B249" s="68"/>
      <c r="C249" s="68"/>
      <c r="D249" s="68"/>
      <c r="E249" s="68"/>
      <c r="F249" s="68"/>
      <c r="G249" s="68"/>
      <c r="H249" s="68"/>
      <c r="I249" s="68"/>
      <c r="J249" s="68"/>
      <c r="K249" s="68"/>
    </row>
    <row r="250" spans="1:11" x14ac:dyDescent="0.45">
      <c r="A250" s="62" t="s">
        <v>2300</v>
      </c>
      <c r="B250" s="61">
        <v>32688</v>
      </c>
      <c r="C250" s="61">
        <v>1449</v>
      </c>
      <c r="D250" s="61">
        <v>4569</v>
      </c>
      <c r="E250" s="61">
        <v>6312</v>
      </c>
      <c r="F250" s="61">
        <v>3324</v>
      </c>
      <c r="G250" s="61">
        <v>5756</v>
      </c>
      <c r="H250" s="61">
        <v>1713</v>
      </c>
      <c r="I250" s="61">
        <v>3815</v>
      </c>
      <c r="J250" s="61">
        <v>2138</v>
      </c>
      <c r="K250" s="61">
        <v>3612</v>
      </c>
    </row>
    <row r="251" spans="1:11" x14ac:dyDescent="0.45">
      <c r="A251" s="62" t="s">
        <v>2301</v>
      </c>
      <c r="B251" s="61">
        <v>23084</v>
      </c>
      <c r="C251" s="61">
        <v>1167</v>
      </c>
      <c r="D251" s="61">
        <v>4146</v>
      </c>
      <c r="E251" s="61">
        <v>4553</v>
      </c>
      <c r="F251" s="61">
        <v>1650</v>
      </c>
      <c r="G251" s="61">
        <v>4160</v>
      </c>
      <c r="H251" s="61">
        <v>1170</v>
      </c>
      <c r="I251" s="61">
        <v>2341</v>
      </c>
      <c r="J251" s="61">
        <v>1607</v>
      </c>
      <c r="K251" s="61">
        <v>2289</v>
      </c>
    </row>
    <row r="252" spans="1:11" ht="24" customHeight="1" x14ac:dyDescent="0.45">
      <c r="A252" s="69" t="s">
        <v>2302</v>
      </c>
      <c r="B252" s="68"/>
      <c r="C252" s="68"/>
      <c r="D252" s="68"/>
      <c r="E252" s="68"/>
      <c r="F252" s="68"/>
      <c r="G252" s="68"/>
      <c r="H252" s="68"/>
      <c r="I252" s="68"/>
      <c r="J252" s="68"/>
      <c r="K252" s="68"/>
    </row>
    <row r="253" spans="1:11" x14ac:dyDescent="0.45">
      <c r="A253" s="62" t="s">
        <v>2303</v>
      </c>
      <c r="B253" s="61">
        <v>59621</v>
      </c>
      <c r="C253" s="61">
        <v>2456</v>
      </c>
      <c r="D253" s="61">
        <v>7516</v>
      </c>
      <c r="E253" s="61">
        <v>11856</v>
      </c>
      <c r="F253" s="61">
        <v>5337</v>
      </c>
      <c r="G253" s="61">
        <v>11252</v>
      </c>
      <c r="H253" s="61">
        <v>3208</v>
      </c>
      <c r="I253" s="61">
        <v>6573</v>
      </c>
      <c r="J253" s="61">
        <v>5044</v>
      </c>
      <c r="K253" s="61">
        <v>6379</v>
      </c>
    </row>
    <row r="254" spans="1:11" x14ac:dyDescent="0.45">
      <c r="A254" s="62" t="s">
        <v>2304</v>
      </c>
      <c r="B254" s="61">
        <v>14326</v>
      </c>
      <c r="C254" s="61">
        <v>566</v>
      </c>
      <c r="D254" s="61">
        <v>2305</v>
      </c>
      <c r="E254" s="61">
        <v>2148</v>
      </c>
      <c r="F254" s="61">
        <v>1062</v>
      </c>
      <c r="G254" s="61">
        <v>2406</v>
      </c>
      <c r="H254" s="61">
        <v>591</v>
      </c>
      <c r="I254" s="61">
        <v>2159</v>
      </c>
      <c r="J254" s="61">
        <v>880</v>
      </c>
      <c r="K254" s="61">
        <v>2208</v>
      </c>
    </row>
    <row r="255" spans="1:11" ht="27.3" customHeight="1" x14ac:dyDescent="0.45">
      <c r="A255" s="62" t="s">
        <v>2305</v>
      </c>
      <c r="B255" s="65">
        <v>14129</v>
      </c>
      <c r="C255" s="65">
        <v>452</v>
      </c>
      <c r="D255" s="65">
        <v>1782</v>
      </c>
      <c r="E255" s="65">
        <v>2359</v>
      </c>
      <c r="F255" s="65">
        <v>1083</v>
      </c>
      <c r="G255" s="65">
        <v>2933</v>
      </c>
      <c r="H255" s="65">
        <v>896</v>
      </c>
      <c r="I255" s="65">
        <v>1732</v>
      </c>
      <c r="J255" s="65">
        <v>899</v>
      </c>
      <c r="K255" s="65">
        <v>1993</v>
      </c>
    </row>
    <row r="256" spans="1:11" ht="33.700000000000003" customHeight="1" x14ac:dyDescent="0.45">
      <c r="A256" s="71" t="s">
        <v>2306</v>
      </c>
      <c r="B256" s="68"/>
      <c r="C256" s="68"/>
      <c r="D256" s="68"/>
      <c r="E256" s="68"/>
      <c r="F256" s="68"/>
      <c r="G256" s="68"/>
      <c r="H256" s="68"/>
      <c r="I256" s="68"/>
      <c r="J256" s="68"/>
      <c r="K256" s="68"/>
    </row>
    <row r="257" spans="1:11" x14ac:dyDescent="0.45">
      <c r="A257" s="62" t="s">
        <v>2307</v>
      </c>
      <c r="B257" s="61">
        <v>24861</v>
      </c>
      <c r="C257" s="61">
        <v>1409</v>
      </c>
      <c r="D257" s="61">
        <v>4291</v>
      </c>
      <c r="E257" s="61">
        <v>4621</v>
      </c>
      <c r="F257" s="61">
        <v>1752</v>
      </c>
      <c r="G257" s="61">
        <v>5300</v>
      </c>
      <c r="H257" s="61">
        <v>1007</v>
      </c>
      <c r="I257" s="61">
        <v>2445</v>
      </c>
      <c r="J257" s="61">
        <v>2038</v>
      </c>
      <c r="K257" s="61">
        <v>1998</v>
      </c>
    </row>
    <row r="258" spans="1:11" x14ac:dyDescent="0.45">
      <c r="A258" s="62" t="s">
        <v>2308</v>
      </c>
      <c r="B258" s="61">
        <v>3745</v>
      </c>
      <c r="C258" s="61">
        <v>264</v>
      </c>
      <c r="D258" s="61">
        <v>941</v>
      </c>
      <c r="E258" s="61">
        <v>414</v>
      </c>
      <c r="F258" s="61" t="s">
        <v>2110</v>
      </c>
      <c r="G258" s="61">
        <v>367</v>
      </c>
      <c r="H258" s="61" t="s">
        <v>2110</v>
      </c>
      <c r="I258" s="61" t="s">
        <v>2110</v>
      </c>
      <c r="J258" s="61">
        <v>396</v>
      </c>
      <c r="K258" s="61">
        <v>988</v>
      </c>
    </row>
    <row r="259" spans="1:11" x14ac:dyDescent="0.45">
      <c r="A259" s="62" t="s">
        <v>2309</v>
      </c>
      <c r="B259" s="61">
        <v>2040</v>
      </c>
      <c r="C259" s="61" t="s">
        <v>2110</v>
      </c>
      <c r="D259" s="61">
        <v>327</v>
      </c>
      <c r="E259" s="61">
        <v>533</v>
      </c>
      <c r="F259" s="61" t="s">
        <v>2110</v>
      </c>
      <c r="G259" s="61" t="s">
        <v>2110</v>
      </c>
      <c r="H259" s="61" t="s">
        <v>2110</v>
      </c>
      <c r="I259" s="61" t="s">
        <v>2110</v>
      </c>
      <c r="J259" s="61" t="s">
        <v>2110</v>
      </c>
      <c r="K259" s="61">
        <v>370</v>
      </c>
    </row>
    <row r="260" spans="1:11" ht="31.5" customHeight="1" x14ac:dyDescent="0.45">
      <c r="A260" s="69" t="s">
        <v>2310</v>
      </c>
      <c r="B260" s="68"/>
      <c r="C260" s="68"/>
      <c r="D260" s="68"/>
      <c r="E260" s="68"/>
      <c r="F260" s="68"/>
      <c r="G260" s="68"/>
      <c r="H260" s="68"/>
      <c r="I260" s="68"/>
      <c r="J260" s="68"/>
      <c r="K260" s="68"/>
    </row>
    <row r="261" spans="1:11" x14ac:dyDescent="0.45">
      <c r="A261" s="62" t="s">
        <v>2311</v>
      </c>
      <c r="B261" s="61">
        <v>21148</v>
      </c>
      <c r="C261" s="61">
        <v>802</v>
      </c>
      <c r="D261" s="61">
        <v>3339</v>
      </c>
      <c r="E261" s="61">
        <v>4162</v>
      </c>
      <c r="F261" s="61">
        <v>1751</v>
      </c>
      <c r="G261" s="61">
        <v>4035</v>
      </c>
      <c r="H261" s="61">
        <v>1159</v>
      </c>
      <c r="I261" s="61">
        <v>2080</v>
      </c>
      <c r="J261" s="61">
        <v>1443</v>
      </c>
      <c r="K261" s="61">
        <v>2376</v>
      </c>
    </row>
    <row r="262" spans="1:11" x14ac:dyDescent="0.45">
      <c r="A262" s="62" t="s">
        <v>2312</v>
      </c>
      <c r="B262" s="61">
        <v>73157</v>
      </c>
      <c r="C262" s="61">
        <v>2763</v>
      </c>
      <c r="D262" s="61">
        <v>9563</v>
      </c>
      <c r="E262" s="61">
        <v>13254</v>
      </c>
      <c r="F262" s="61">
        <v>6112</v>
      </c>
      <c r="G262" s="61">
        <v>14219</v>
      </c>
      <c r="H262" s="61">
        <v>3962</v>
      </c>
      <c r="I262" s="61">
        <v>8426</v>
      </c>
      <c r="J262" s="61">
        <v>5744</v>
      </c>
      <c r="K262" s="61">
        <v>9116</v>
      </c>
    </row>
    <row r="263" spans="1:11" x14ac:dyDescent="0.45">
      <c r="A263" s="62" t="s">
        <v>2313</v>
      </c>
      <c r="B263" s="61">
        <v>33655</v>
      </c>
      <c r="C263" s="61">
        <v>1370</v>
      </c>
      <c r="D263" s="61">
        <v>4941</v>
      </c>
      <c r="E263" s="61">
        <v>6452</v>
      </c>
      <c r="F263" s="61">
        <v>2526</v>
      </c>
      <c r="G263" s="61">
        <v>6481</v>
      </c>
      <c r="H263" s="61">
        <v>1361</v>
      </c>
      <c r="I263" s="61">
        <v>3653</v>
      </c>
      <c r="J263" s="61">
        <v>2537</v>
      </c>
      <c r="K263" s="61">
        <v>4335</v>
      </c>
    </row>
    <row r="264" spans="1:11" x14ac:dyDescent="0.45">
      <c r="A264" s="62" t="s">
        <v>2314</v>
      </c>
      <c r="B264" s="65">
        <v>11352</v>
      </c>
      <c r="C264" s="65">
        <v>355</v>
      </c>
      <c r="D264" s="65">
        <v>1740</v>
      </c>
      <c r="E264" s="65">
        <v>2184</v>
      </c>
      <c r="F264" s="65">
        <v>890</v>
      </c>
      <c r="G264" s="65">
        <v>2597</v>
      </c>
      <c r="H264" s="65">
        <v>798</v>
      </c>
      <c r="I264" s="65">
        <v>830</v>
      </c>
      <c r="J264" s="65">
        <v>983</v>
      </c>
      <c r="K264" s="65">
        <v>974</v>
      </c>
    </row>
    <row r="265" spans="1:11" x14ac:dyDescent="0.45">
      <c r="A265" s="62" t="s">
        <v>2315</v>
      </c>
      <c r="B265" s="61">
        <v>14963</v>
      </c>
      <c r="C265" s="61">
        <v>491</v>
      </c>
      <c r="D265" s="61">
        <v>2078</v>
      </c>
      <c r="E265" s="61">
        <v>2265</v>
      </c>
      <c r="F265" s="61">
        <v>1021</v>
      </c>
      <c r="G265" s="61">
        <v>3011</v>
      </c>
      <c r="H265" s="61">
        <v>839</v>
      </c>
      <c r="I265" s="61">
        <v>2087</v>
      </c>
      <c r="J265" s="61">
        <v>1344</v>
      </c>
      <c r="K265" s="61">
        <v>1829</v>
      </c>
    </row>
    <row r="266" spans="1:11" x14ac:dyDescent="0.45">
      <c r="A266" s="62" t="s">
        <v>2316</v>
      </c>
      <c r="B266" s="61">
        <v>62061</v>
      </c>
      <c r="C266" s="61">
        <v>2679</v>
      </c>
      <c r="D266" s="61">
        <v>9039</v>
      </c>
      <c r="E266" s="61">
        <v>11590</v>
      </c>
      <c r="F266" s="61">
        <v>5091</v>
      </c>
      <c r="G266" s="61">
        <v>11326</v>
      </c>
      <c r="H266" s="61">
        <v>2870</v>
      </c>
      <c r="I266" s="61">
        <v>6533</v>
      </c>
      <c r="J266" s="61">
        <v>5164</v>
      </c>
      <c r="K266" s="61">
        <v>7770</v>
      </c>
    </row>
    <row r="267" spans="1:11" x14ac:dyDescent="0.45">
      <c r="A267" s="62" t="s">
        <v>2179</v>
      </c>
      <c r="B267" s="61" t="s">
        <v>2110</v>
      </c>
      <c r="C267" s="61" t="s">
        <v>2252</v>
      </c>
      <c r="D267" s="61" t="s">
        <v>2252</v>
      </c>
      <c r="E267" s="61" t="s">
        <v>2110</v>
      </c>
      <c r="F267" s="61" t="s">
        <v>2252</v>
      </c>
      <c r="G267" s="61" t="s">
        <v>2110</v>
      </c>
      <c r="H267" s="61" t="s">
        <v>2252</v>
      </c>
      <c r="I267" s="61" t="s">
        <v>2110</v>
      </c>
      <c r="J267" s="61" t="s">
        <v>2252</v>
      </c>
      <c r="K267" s="61" t="s">
        <v>2110</v>
      </c>
    </row>
    <row r="268" spans="1:11" ht="32.549999999999997" customHeight="1" x14ac:dyDescent="0.45">
      <c r="A268" s="69" t="s">
        <v>2317</v>
      </c>
      <c r="B268" s="68"/>
      <c r="C268" s="68"/>
      <c r="D268" s="68"/>
      <c r="E268" s="68"/>
      <c r="F268" s="68"/>
      <c r="G268" s="68"/>
      <c r="H268" s="68"/>
      <c r="I268" s="68"/>
      <c r="J268" s="68"/>
      <c r="K268" s="68"/>
    </row>
    <row r="269" spans="1:11" x14ac:dyDescent="0.45">
      <c r="A269" s="62" t="s">
        <v>2318</v>
      </c>
      <c r="B269" s="61">
        <v>77951</v>
      </c>
      <c r="C269" s="61">
        <v>2934</v>
      </c>
      <c r="D269" s="61">
        <v>10104</v>
      </c>
      <c r="E269" s="61">
        <v>14370</v>
      </c>
      <c r="F269" s="61">
        <v>6852</v>
      </c>
      <c r="G269" s="61">
        <v>15022</v>
      </c>
      <c r="H269" s="61">
        <v>4019</v>
      </c>
      <c r="I269" s="61">
        <v>9627</v>
      </c>
      <c r="J269" s="61">
        <v>6166</v>
      </c>
      <c r="K269" s="61">
        <v>8858</v>
      </c>
    </row>
    <row r="270" spans="1:11" x14ac:dyDescent="0.45">
      <c r="A270" s="60" t="s">
        <v>2319</v>
      </c>
      <c r="B270" s="61">
        <v>29386</v>
      </c>
      <c r="C270" s="61">
        <v>1268</v>
      </c>
      <c r="D270" s="61">
        <v>4217</v>
      </c>
      <c r="E270" s="61">
        <v>5505</v>
      </c>
      <c r="F270" s="61">
        <v>2546</v>
      </c>
      <c r="G270" s="61">
        <v>5989</v>
      </c>
      <c r="H270" s="61">
        <v>1317</v>
      </c>
      <c r="I270" s="61">
        <v>3063</v>
      </c>
      <c r="J270" s="61">
        <v>2503</v>
      </c>
      <c r="K270" s="61">
        <v>2979</v>
      </c>
    </row>
    <row r="271" spans="1:11" x14ac:dyDescent="0.45">
      <c r="A271" s="60" t="s">
        <v>2320</v>
      </c>
      <c r="B271" s="61">
        <v>28586</v>
      </c>
      <c r="C271" s="61">
        <v>1012</v>
      </c>
      <c r="D271" s="61">
        <v>4403</v>
      </c>
      <c r="E271" s="61">
        <v>5366</v>
      </c>
      <c r="F271" s="61">
        <v>2262</v>
      </c>
      <c r="G271" s="61">
        <v>5591</v>
      </c>
      <c r="H271" s="61">
        <v>1376</v>
      </c>
      <c r="I271" s="61">
        <v>3250</v>
      </c>
      <c r="J271" s="61">
        <v>2260</v>
      </c>
      <c r="K271" s="61">
        <v>3066</v>
      </c>
    </row>
    <row r="272" spans="1:11" x14ac:dyDescent="0.45">
      <c r="A272" s="60" t="s">
        <v>2321</v>
      </c>
      <c r="B272" s="61">
        <v>3577</v>
      </c>
      <c r="C272" s="61" t="s">
        <v>2110</v>
      </c>
      <c r="D272" s="61">
        <v>461</v>
      </c>
      <c r="E272" s="61">
        <v>416</v>
      </c>
      <c r="F272" s="61" t="s">
        <v>2110</v>
      </c>
      <c r="G272" s="61">
        <v>829</v>
      </c>
      <c r="H272" s="61" t="s">
        <v>2110</v>
      </c>
      <c r="I272" s="61">
        <v>350</v>
      </c>
      <c r="J272" s="61" t="s">
        <v>2110</v>
      </c>
      <c r="K272" s="61">
        <v>456</v>
      </c>
    </row>
    <row r="273" spans="1:11" x14ac:dyDescent="0.45">
      <c r="A273" s="60" t="s">
        <v>2322</v>
      </c>
      <c r="B273" s="61">
        <v>34710</v>
      </c>
      <c r="C273" s="61">
        <v>978</v>
      </c>
      <c r="D273" s="61">
        <v>4170</v>
      </c>
      <c r="E273" s="61">
        <v>5934</v>
      </c>
      <c r="F273" s="61">
        <v>2866</v>
      </c>
      <c r="G273" s="61">
        <v>7530</v>
      </c>
      <c r="H273" s="61">
        <v>1890</v>
      </c>
      <c r="I273" s="61">
        <v>4516</v>
      </c>
      <c r="J273" s="61">
        <v>3252</v>
      </c>
      <c r="K273" s="61">
        <v>3572</v>
      </c>
    </row>
    <row r="274" spans="1:11" x14ac:dyDescent="0.45">
      <c r="A274" s="60" t="s">
        <v>2323</v>
      </c>
      <c r="B274" s="66">
        <v>64963</v>
      </c>
      <c r="C274" s="66">
        <v>2450</v>
      </c>
      <c r="D274" s="66">
        <v>8280</v>
      </c>
      <c r="E274" s="66">
        <v>12049</v>
      </c>
      <c r="F274" s="66">
        <v>5931</v>
      </c>
      <c r="G274" s="66">
        <v>12529</v>
      </c>
      <c r="H274" s="66">
        <v>2887</v>
      </c>
      <c r="I274" s="66">
        <v>8249</v>
      </c>
      <c r="J274" s="66">
        <v>5120</v>
      </c>
      <c r="K274" s="66">
        <v>7467</v>
      </c>
    </row>
    <row r="275" spans="1:11" x14ac:dyDescent="0.45">
      <c r="A275" s="60" t="s">
        <v>2324</v>
      </c>
      <c r="B275" s="61">
        <v>42071</v>
      </c>
      <c r="C275" s="61">
        <v>1490</v>
      </c>
      <c r="D275" s="61">
        <v>5662</v>
      </c>
      <c r="E275" s="61">
        <v>8121</v>
      </c>
      <c r="F275" s="61">
        <v>3279</v>
      </c>
      <c r="G275" s="61">
        <v>8630</v>
      </c>
      <c r="H275" s="61">
        <v>2245</v>
      </c>
      <c r="I275" s="61">
        <v>5154</v>
      </c>
      <c r="J275" s="61">
        <v>3406</v>
      </c>
      <c r="K275" s="61">
        <v>4084</v>
      </c>
    </row>
    <row r="276" spans="1:11" x14ac:dyDescent="0.45">
      <c r="A276" s="62" t="s">
        <v>2325</v>
      </c>
      <c r="B276" s="61">
        <v>18806</v>
      </c>
      <c r="C276" s="61">
        <v>814</v>
      </c>
      <c r="D276" s="61">
        <v>2168</v>
      </c>
      <c r="E276" s="61">
        <v>3272</v>
      </c>
      <c r="F276" s="61">
        <v>1649</v>
      </c>
      <c r="G276" s="61">
        <v>2939</v>
      </c>
      <c r="H276" s="61">
        <v>1340</v>
      </c>
      <c r="I276" s="61">
        <v>1931</v>
      </c>
      <c r="J276" s="61">
        <v>1595</v>
      </c>
      <c r="K276" s="61">
        <v>3098</v>
      </c>
    </row>
    <row r="277" spans="1:11" ht="31.5" customHeight="1" x14ac:dyDescent="0.45">
      <c r="A277" s="69" t="s">
        <v>2326</v>
      </c>
      <c r="B277" s="68"/>
      <c r="C277" s="68"/>
      <c r="D277" s="68"/>
      <c r="E277" s="68"/>
      <c r="F277" s="68"/>
      <c r="G277" s="68"/>
      <c r="H277" s="68"/>
      <c r="I277" s="68"/>
      <c r="J277" s="68"/>
      <c r="K277" s="68"/>
    </row>
    <row r="278" spans="1:11" x14ac:dyDescent="0.45">
      <c r="A278" s="62" t="s">
        <v>2327</v>
      </c>
      <c r="B278" s="61">
        <v>82281</v>
      </c>
      <c r="C278" s="61">
        <v>3102</v>
      </c>
      <c r="D278" s="61">
        <v>10872</v>
      </c>
      <c r="E278" s="61">
        <v>14890</v>
      </c>
      <c r="F278" s="61">
        <v>6719</v>
      </c>
      <c r="G278" s="61">
        <v>15609</v>
      </c>
      <c r="H278" s="61">
        <v>4454</v>
      </c>
      <c r="I278" s="61">
        <v>10070</v>
      </c>
      <c r="J278" s="61">
        <v>6555</v>
      </c>
      <c r="K278" s="61">
        <v>10011</v>
      </c>
    </row>
    <row r="279" spans="1:11" x14ac:dyDescent="0.45">
      <c r="A279" s="60" t="s">
        <v>2328</v>
      </c>
      <c r="B279" s="61">
        <v>50806</v>
      </c>
      <c r="C279" s="61">
        <v>1864</v>
      </c>
      <c r="D279" s="61">
        <v>7044</v>
      </c>
      <c r="E279" s="61">
        <v>8907</v>
      </c>
      <c r="F279" s="61">
        <v>3995</v>
      </c>
      <c r="G279" s="61">
        <v>10226</v>
      </c>
      <c r="H279" s="61">
        <v>2477</v>
      </c>
      <c r="I279" s="61">
        <v>5586</v>
      </c>
      <c r="J279" s="61">
        <v>4271</v>
      </c>
      <c r="K279" s="61">
        <v>6436</v>
      </c>
    </row>
    <row r="280" spans="1:11" x14ac:dyDescent="0.45">
      <c r="A280" s="70" t="s">
        <v>2329</v>
      </c>
      <c r="B280" s="61">
        <v>69618</v>
      </c>
      <c r="C280" s="61">
        <v>2722</v>
      </c>
      <c r="D280" s="61">
        <v>9341</v>
      </c>
      <c r="E280" s="61">
        <v>13255</v>
      </c>
      <c r="F280" s="61">
        <v>5626</v>
      </c>
      <c r="G280" s="61">
        <v>13221</v>
      </c>
      <c r="H280" s="61">
        <v>3590</v>
      </c>
      <c r="I280" s="61">
        <v>8300</v>
      </c>
      <c r="J280" s="61">
        <v>5422</v>
      </c>
      <c r="K280" s="61">
        <v>8140</v>
      </c>
    </row>
    <row r="281" spans="1:11" x14ac:dyDescent="0.45">
      <c r="A281" s="70" t="s">
        <v>2330</v>
      </c>
      <c r="B281" s="61">
        <v>51691</v>
      </c>
      <c r="C281" s="61">
        <v>1993</v>
      </c>
      <c r="D281" s="61">
        <v>7553</v>
      </c>
      <c r="E281" s="61">
        <v>9717</v>
      </c>
      <c r="F281" s="61">
        <v>4041</v>
      </c>
      <c r="G281" s="61">
        <v>9141</v>
      </c>
      <c r="H281" s="61">
        <v>2400</v>
      </c>
      <c r="I281" s="61">
        <v>6161</v>
      </c>
      <c r="J281" s="61">
        <v>4161</v>
      </c>
      <c r="K281" s="61">
        <v>6524</v>
      </c>
    </row>
    <row r="282" spans="1:11" x14ac:dyDescent="0.45">
      <c r="A282" s="70" t="s">
        <v>2331</v>
      </c>
      <c r="B282" s="61">
        <v>48792</v>
      </c>
      <c r="C282" s="61">
        <v>1968</v>
      </c>
      <c r="D282" s="61">
        <v>6450</v>
      </c>
      <c r="E282" s="61">
        <v>8926</v>
      </c>
      <c r="F282" s="61">
        <v>3887</v>
      </c>
      <c r="G282" s="61">
        <v>9400</v>
      </c>
      <c r="H282" s="61">
        <v>2331</v>
      </c>
      <c r="I282" s="61">
        <v>5927</v>
      </c>
      <c r="J282" s="61">
        <v>4375</v>
      </c>
      <c r="K282" s="61">
        <v>5527</v>
      </c>
    </row>
    <row r="283" spans="1:11" ht="15.75" customHeight="1" x14ac:dyDescent="0.45">
      <c r="A283" s="70" t="s">
        <v>2332</v>
      </c>
      <c r="B283" s="65">
        <v>54108</v>
      </c>
      <c r="C283" s="65">
        <v>1978</v>
      </c>
      <c r="D283" s="65">
        <v>7847</v>
      </c>
      <c r="E283" s="65">
        <v>9991</v>
      </c>
      <c r="F283" s="65">
        <v>4104</v>
      </c>
      <c r="G283" s="65">
        <v>10719</v>
      </c>
      <c r="H283" s="65">
        <v>2463</v>
      </c>
      <c r="I283" s="65">
        <v>6292</v>
      </c>
      <c r="J283" s="65">
        <v>4506</v>
      </c>
      <c r="K283" s="65">
        <v>6208</v>
      </c>
    </row>
    <row r="284" spans="1:11" ht="15.75" customHeight="1" x14ac:dyDescent="0.45">
      <c r="A284" s="70" t="s">
        <v>2333</v>
      </c>
      <c r="B284" s="61">
        <v>74817</v>
      </c>
      <c r="C284" s="61">
        <v>2975</v>
      </c>
      <c r="D284" s="61">
        <v>10239</v>
      </c>
      <c r="E284" s="61">
        <v>13424</v>
      </c>
      <c r="F284" s="61">
        <v>5974</v>
      </c>
      <c r="G284" s="61">
        <v>14126</v>
      </c>
      <c r="H284" s="61">
        <v>3797</v>
      </c>
      <c r="I284" s="61">
        <v>9483</v>
      </c>
      <c r="J284" s="61">
        <v>5888</v>
      </c>
      <c r="K284" s="61">
        <v>8911</v>
      </c>
    </row>
    <row r="285" spans="1:11" x14ac:dyDescent="0.45">
      <c r="A285" s="70" t="s">
        <v>2334</v>
      </c>
      <c r="B285" s="61">
        <v>17000</v>
      </c>
      <c r="C285" s="61">
        <v>727</v>
      </c>
      <c r="D285" s="61">
        <v>2808</v>
      </c>
      <c r="E285" s="61">
        <v>3364</v>
      </c>
      <c r="F285" s="61">
        <v>1331</v>
      </c>
      <c r="G285" s="61">
        <v>3351</v>
      </c>
      <c r="H285" s="61">
        <v>964</v>
      </c>
      <c r="I285" s="61">
        <v>1567</v>
      </c>
      <c r="J285" s="61">
        <v>1518</v>
      </c>
      <c r="K285" s="61">
        <v>1371</v>
      </c>
    </row>
    <row r="286" spans="1:11" x14ac:dyDescent="0.45">
      <c r="A286" s="70" t="s">
        <v>2335</v>
      </c>
      <c r="B286" s="61">
        <v>63871</v>
      </c>
      <c r="C286" s="61">
        <v>2413</v>
      </c>
      <c r="D286" s="61">
        <v>8888</v>
      </c>
      <c r="E286" s="61">
        <v>11183</v>
      </c>
      <c r="F286" s="61">
        <v>5169</v>
      </c>
      <c r="G286" s="61">
        <v>12197</v>
      </c>
      <c r="H286" s="61">
        <v>3190</v>
      </c>
      <c r="I286" s="61">
        <v>8259</v>
      </c>
      <c r="J286" s="61">
        <v>5310</v>
      </c>
      <c r="K286" s="61">
        <v>7263</v>
      </c>
    </row>
    <row r="287" spans="1:11" x14ac:dyDescent="0.45">
      <c r="A287" s="70" t="s">
        <v>2336</v>
      </c>
      <c r="B287" s="61">
        <v>33796</v>
      </c>
      <c r="C287" s="61">
        <v>1528</v>
      </c>
      <c r="D287" s="61">
        <v>4684</v>
      </c>
      <c r="E287" s="61">
        <v>6441</v>
      </c>
      <c r="F287" s="61">
        <v>2711</v>
      </c>
      <c r="G287" s="61">
        <v>6059</v>
      </c>
      <c r="H287" s="61">
        <v>1618</v>
      </c>
      <c r="I287" s="61">
        <v>3915</v>
      </c>
      <c r="J287" s="61">
        <v>3429</v>
      </c>
      <c r="K287" s="61">
        <v>3411</v>
      </c>
    </row>
    <row r="288" spans="1:11" ht="46.5" customHeight="1" x14ac:dyDescent="0.45">
      <c r="A288" s="69" t="s">
        <v>2337</v>
      </c>
      <c r="B288" s="68"/>
      <c r="C288" s="68"/>
      <c r="D288" s="68"/>
      <c r="E288" s="68"/>
      <c r="F288" s="68"/>
      <c r="G288" s="68"/>
      <c r="H288" s="68"/>
      <c r="I288" s="68"/>
      <c r="J288" s="68"/>
      <c r="K288" s="68"/>
    </row>
    <row r="289" spans="1:11" ht="27.3" customHeight="1" x14ac:dyDescent="0.45">
      <c r="A289" s="62" t="s">
        <v>2338</v>
      </c>
      <c r="B289" s="61">
        <v>10356</v>
      </c>
      <c r="C289" s="61">
        <v>329</v>
      </c>
      <c r="D289" s="61">
        <v>1285</v>
      </c>
      <c r="E289" s="61">
        <v>1998</v>
      </c>
      <c r="F289" s="61">
        <v>936</v>
      </c>
      <c r="G289" s="61">
        <v>2019</v>
      </c>
      <c r="H289" s="61">
        <v>340</v>
      </c>
      <c r="I289" s="61">
        <v>1011</v>
      </c>
      <c r="J289" s="61">
        <v>1102</v>
      </c>
      <c r="K289" s="61">
        <v>1337</v>
      </c>
    </row>
    <row r="290" spans="1:11" x14ac:dyDescent="0.45">
      <c r="A290" s="62" t="s">
        <v>2339</v>
      </c>
      <c r="B290" s="61">
        <v>9769</v>
      </c>
      <c r="C290" s="61">
        <v>329</v>
      </c>
      <c r="D290" s="61">
        <v>1328</v>
      </c>
      <c r="E290" s="61">
        <v>2052</v>
      </c>
      <c r="F290" s="61">
        <v>539</v>
      </c>
      <c r="G290" s="61">
        <v>1810</v>
      </c>
      <c r="H290" s="61">
        <v>375</v>
      </c>
      <c r="I290" s="61">
        <v>980</v>
      </c>
      <c r="J290" s="61">
        <v>983</v>
      </c>
      <c r="K290" s="61">
        <v>1373</v>
      </c>
    </row>
    <row r="291" spans="1:11" x14ac:dyDescent="0.45">
      <c r="A291" s="62" t="s">
        <v>2340</v>
      </c>
      <c r="B291" s="61">
        <v>14535</v>
      </c>
      <c r="C291" s="61">
        <v>725</v>
      </c>
      <c r="D291" s="61">
        <v>2436</v>
      </c>
      <c r="E291" s="61">
        <v>3046</v>
      </c>
      <c r="F291" s="61">
        <v>1208</v>
      </c>
      <c r="G291" s="61">
        <v>2752</v>
      </c>
      <c r="H291" s="61">
        <v>635</v>
      </c>
      <c r="I291" s="61">
        <v>1450</v>
      </c>
      <c r="J291" s="61">
        <v>1202</v>
      </c>
      <c r="K291" s="61">
        <v>1081</v>
      </c>
    </row>
    <row r="292" spans="1:11" ht="27.3" customHeight="1" x14ac:dyDescent="0.45">
      <c r="A292" s="62" t="s">
        <v>2341</v>
      </c>
      <c r="B292" s="65">
        <v>17661</v>
      </c>
      <c r="C292" s="65">
        <v>767</v>
      </c>
      <c r="D292" s="65">
        <v>2521</v>
      </c>
      <c r="E292" s="65">
        <v>3324</v>
      </c>
      <c r="F292" s="65">
        <v>1598</v>
      </c>
      <c r="G292" s="65">
        <v>3515</v>
      </c>
      <c r="H292" s="65">
        <v>696</v>
      </c>
      <c r="I292" s="65">
        <v>1999</v>
      </c>
      <c r="J292" s="65">
        <v>1629</v>
      </c>
      <c r="K292" s="65">
        <v>1611</v>
      </c>
    </row>
    <row r="293" spans="1:11" x14ac:dyDescent="0.45">
      <c r="A293" s="62" t="s">
        <v>2342</v>
      </c>
      <c r="B293" s="61">
        <v>20617</v>
      </c>
      <c r="C293" s="61">
        <v>1005</v>
      </c>
      <c r="D293" s="61">
        <v>2780</v>
      </c>
      <c r="E293" s="61">
        <v>4288</v>
      </c>
      <c r="F293" s="61">
        <v>1933</v>
      </c>
      <c r="G293" s="61">
        <v>3462</v>
      </c>
      <c r="H293" s="61">
        <v>828</v>
      </c>
      <c r="I293" s="61">
        <v>2398</v>
      </c>
      <c r="J293" s="61">
        <v>1939</v>
      </c>
      <c r="K293" s="61">
        <v>1985</v>
      </c>
    </row>
    <row r="294" spans="1:11" ht="34.049999999999997" customHeight="1" x14ac:dyDescent="0.45">
      <c r="A294" s="69" t="s">
        <v>2343</v>
      </c>
      <c r="B294" s="68"/>
      <c r="C294" s="68"/>
      <c r="D294" s="68"/>
      <c r="E294" s="68"/>
      <c r="F294" s="68"/>
      <c r="G294" s="68"/>
      <c r="H294" s="68"/>
      <c r="I294" s="68"/>
      <c r="J294" s="68"/>
      <c r="K294" s="68"/>
    </row>
    <row r="295" spans="1:11" x14ac:dyDescent="0.45">
      <c r="A295" s="62" t="s">
        <v>2344</v>
      </c>
      <c r="B295" s="61">
        <v>48700</v>
      </c>
      <c r="C295" s="61">
        <v>1755</v>
      </c>
      <c r="D295" s="61">
        <v>7018</v>
      </c>
      <c r="E295" s="61">
        <v>8991</v>
      </c>
      <c r="F295" s="61">
        <v>3583</v>
      </c>
      <c r="G295" s="61">
        <v>9135</v>
      </c>
      <c r="H295" s="61">
        <v>2391</v>
      </c>
      <c r="I295" s="61">
        <v>5929</v>
      </c>
      <c r="J295" s="61">
        <v>4104</v>
      </c>
      <c r="K295" s="61">
        <v>5794</v>
      </c>
    </row>
    <row r="296" spans="1:11" x14ac:dyDescent="0.45">
      <c r="A296" s="62" t="s">
        <v>2345</v>
      </c>
      <c r="B296" s="61">
        <v>11383</v>
      </c>
      <c r="C296" s="61">
        <v>455</v>
      </c>
      <c r="D296" s="61">
        <v>2114</v>
      </c>
      <c r="E296" s="61">
        <v>2303</v>
      </c>
      <c r="F296" s="61">
        <v>733</v>
      </c>
      <c r="G296" s="61">
        <v>1910</v>
      </c>
      <c r="H296" s="61">
        <v>422</v>
      </c>
      <c r="I296" s="61">
        <v>1077</v>
      </c>
      <c r="J296" s="61">
        <v>982</v>
      </c>
      <c r="K296" s="61">
        <v>1387</v>
      </c>
    </row>
    <row r="297" spans="1:11" x14ac:dyDescent="0.45">
      <c r="A297" s="62" t="s">
        <v>2346</v>
      </c>
      <c r="B297" s="61">
        <v>16527</v>
      </c>
      <c r="C297" s="61">
        <v>461</v>
      </c>
      <c r="D297" s="61">
        <v>2479</v>
      </c>
      <c r="E297" s="61">
        <v>3078</v>
      </c>
      <c r="F297" s="61">
        <v>1421</v>
      </c>
      <c r="G297" s="61">
        <v>2993</v>
      </c>
      <c r="H297" s="61">
        <v>736</v>
      </c>
      <c r="I297" s="61">
        <v>2006</v>
      </c>
      <c r="J297" s="61">
        <v>1782</v>
      </c>
      <c r="K297" s="61">
        <v>1572</v>
      </c>
    </row>
    <row r="298" spans="1:11" x14ac:dyDescent="0.45">
      <c r="A298" s="62" t="s">
        <v>2347</v>
      </c>
      <c r="B298" s="61">
        <v>12656</v>
      </c>
      <c r="C298" s="61">
        <v>389</v>
      </c>
      <c r="D298" s="61">
        <v>1878</v>
      </c>
      <c r="E298" s="61">
        <v>2147</v>
      </c>
      <c r="F298" s="61">
        <v>1199</v>
      </c>
      <c r="G298" s="61">
        <v>2182</v>
      </c>
      <c r="H298" s="61">
        <v>618</v>
      </c>
      <c r="I298" s="61">
        <v>1825</v>
      </c>
      <c r="J298" s="61">
        <v>1125</v>
      </c>
      <c r="K298" s="61">
        <v>1293</v>
      </c>
    </row>
    <row r="299" spans="1:11" ht="46.5" customHeight="1" x14ac:dyDescent="0.45">
      <c r="A299" s="67" t="s">
        <v>2348</v>
      </c>
      <c r="B299" s="63"/>
      <c r="C299" s="63"/>
      <c r="D299" s="63"/>
      <c r="E299" s="63"/>
      <c r="F299" s="63"/>
      <c r="G299" s="63"/>
      <c r="H299" s="63"/>
      <c r="I299" s="63"/>
      <c r="J299" s="63"/>
      <c r="K299" s="63"/>
    </row>
    <row r="300" spans="1:11" x14ac:dyDescent="0.45">
      <c r="A300" s="62" t="s">
        <v>2349</v>
      </c>
      <c r="B300" s="61">
        <v>73030</v>
      </c>
      <c r="C300" s="61">
        <v>2908</v>
      </c>
      <c r="D300" s="61">
        <v>9981</v>
      </c>
      <c r="E300" s="61">
        <v>13971</v>
      </c>
      <c r="F300" s="61">
        <v>6978</v>
      </c>
      <c r="G300" s="61">
        <v>13368</v>
      </c>
      <c r="H300" s="61">
        <v>3973</v>
      </c>
      <c r="I300" s="61">
        <v>7789</v>
      </c>
      <c r="J300" s="61">
        <v>6309</v>
      </c>
      <c r="K300" s="61">
        <v>7752</v>
      </c>
    </row>
    <row r="301" spans="1:11" x14ac:dyDescent="0.45">
      <c r="A301" s="62" t="s">
        <v>2350</v>
      </c>
      <c r="B301" s="61">
        <v>44523</v>
      </c>
      <c r="C301" s="61">
        <v>1140</v>
      </c>
      <c r="D301" s="61">
        <v>5233</v>
      </c>
      <c r="E301" s="61">
        <v>7382</v>
      </c>
      <c r="F301" s="61">
        <v>3509</v>
      </c>
      <c r="G301" s="61">
        <v>8744</v>
      </c>
      <c r="H301" s="61">
        <v>2482</v>
      </c>
      <c r="I301" s="61">
        <v>5862</v>
      </c>
      <c r="J301" s="61">
        <v>3838</v>
      </c>
      <c r="K301" s="61">
        <v>6332</v>
      </c>
    </row>
    <row r="302" spans="1:11" x14ac:dyDescent="0.45">
      <c r="A302" s="62" t="s">
        <v>2351</v>
      </c>
      <c r="B302" s="61">
        <v>17941</v>
      </c>
      <c r="C302" s="61">
        <v>591</v>
      </c>
      <c r="D302" s="61">
        <v>2027</v>
      </c>
      <c r="E302" s="61">
        <v>3855</v>
      </c>
      <c r="F302" s="61">
        <v>901</v>
      </c>
      <c r="G302" s="61">
        <v>2745</v>
      </c>
      <c r="H302" s="61">
        <v>644</v>
      </c>
      <c r="I302" s="61">
        <v>2091</v>
      </c>
      <c r="J302" s="61">
        <v>2065</v>
      </c>
      <c r="K302" s="61">
        <v>3021</v>
      </c>
    </row>
    <row r="303" spans="1:11" x14ac:dyDescent="0.45">
      <c r="A303" s="62" t="s">
        <v>2352</v>
      </c>
      <c r="B303" s="61">
        <v>28834</v>
      </c>
      <c r="C303" s="61">
        <v>771</v>
      </c>
      <c r="D303" s="61">
        <v>2666</v>
      </c>
      <c r="E303" s="61">
        <v>4791</v>
      </c>
      <c r="F303" s="61">
        <v>2341</v>
      </c>
      <c r="G303" s="61">
        <v>5487</v>
      </c>
      <c r="H303" s="61">
        <v>1878</v>
      </c>
      <c r="I303" s="61">
        <v>3866</v>
      </c>
      <c r="J303" s="61">
        <v>2767</v>
      </c>
      <c r="K303" s="61">
        <v>4267</v>
      </c>
    </row>
    <row r="304" spans="1:11" x14ac:dyDescent="0.45">
      <c r="A304" s="62" t="s">
        <v>2353</v>
      </c>
      <c r="B304" s="61">
        <v>19792</v>
      </c>
      <c r="C304" s="61">
        <v>777</v>
      </c>
      <c r="D304" s="61">
        <v>2403</v>
      </c>
      <c r="E304" s="61">
        <v>3772</v>
      </c>
      <c r="F304" s="61">
        <v>1445</v>
      </c>
      <c r="G304" s="61">
        <v>3563</v>
      </c>
      <c r="H304" s="61">
        <v>643</v>
      </c>
      <c r="I304" s="61">
        <v>2179</v>
      </c>
      <c r="J304" s="61">
        <v>1869</v>
      </c>
      <c r="K304" s="61">
        <v>3141</v>
      </c>
    </row>
    <row r="305" spans="1:11" x14ac:dyDescent="0.45">
      <c r="A305" s="62" t="s">
        <v>2354</v>
      </c>
      <c r="B305" s="66">
        <v>33666</v>
      </c>
      <c r="C305" s="66">
        <v>1339</v>
      </c>
      <c r="D305" s="66">
        <v>5049</v>
      </c>
      <c r="E305" s="66">
        <v>5971</v>
      </c>
      <c r="F305" s="66">
        <v>2124</v>
      </c>
      <c r="G305" s="66">
        <v>6381</v>
      </c>
      <c r="H305" s="66">
        <v>1124</v>
      </c>
      <c r="I305" s="66">
        <v>3999</v>
      </c>
      <c r="J305" s="66">
        <v>3269</v>
      </c>
      <c r="K305" s="66">
        <v>4410</v>
      </c>
    </row>
    <row r="306" spans="1:11" x14ac:dyDescent="0.45">
      <c r="A306" s="62" t="s">
        <v>2355</v>
      </c>
      <c r="B306" s="61">
        <v>44365</v>
      </c>
      <c r="C306" s="61">
        <v>1953</v>
      </c>
      <c r="D306" s="61">
        <v>7036</v>
      </c>
      <c r="E306" s="61">
        <v>8771</v>
      </c>
      <c r="F306" s="61">
        <v>3056</v>
      </c>
      <c r="G306" s="61">
        <v>8295</v>
      </c>
      <c r="H306" s="61">
        <v>1674</v>
      </c>
      <c r="I306" s="61">
        <v>4052</v>
      </c>
      <c r="J306" s="61">
        <v>3652</v>
      </c>
      <c r="K306" s="61">
        <v>5876</v>
      </c>
    </row>
    <row r="307" spans="1:11" x14ac:dyDescent="0.45">
      <c r="A307" s="62" t="s">
        <v>2356</v>
      </c>
      <c r="B307" s="61">
        <v>14467</v>
      </c>
      <c r="C307" s="61">
        <v>560</v>
      </c>
      <c r="D307" s="61">
        <v>1622</v>
      </c>
      <c r="E307" s="61">
        <v>3367</v>
      </c>
      <c r="F307" s="61">
        <v>1054</v>
      </c>
      <c r="G307" s="61">
        <v>2826</v>
      </c>
      <c r="H307" s="61">
        <v>356</v>
      </c>
      <c r="I307" s="61">
        <v>1314</v>
      </c>
      <c r="J307" s="61">
        <v>1765</v>
      </c>
      <c r="K307" s="61">
        <v>1604</v>
      </c>
    </row>
    <row r="308" spans="1:11" x14ac:dyDescent="0.45">
      <c r="A308" s="62" t="s">
        <v>2357</v>
      </c>
      <c r="B308" s="61">
        <v>7244</v>
      </c>
      <c r="C308" s="61">
        <v>265</v>
      </c>
      <c r="D308" s="61">
        <v>1085</v>
      </c>
      <c r="E308" s="61">
        <v>1120</v>
      </c>
      <c r="F308" s="61">
        <v>270</v>
      </c>
      <c r="G308" s="61">
        <v>1523</v>
      </c>
      <c r="H308" s="61">
        <v>239</v>
      </c>
      <c r="I308" s="61">
        <v>726</v>
      </c>
      <c r="J308" s="61">
        <v>778</v>
      </c>
      <c r="K308" s="61">
        <v>1239</v>
      </c>
    </row>
    <row r="309" spans="1:11" x14ac:dyDescent="0.45">
      <c r="A309" s="62" t="s">
        <v>2358</v>
      </c>
      <c r="B309" s="61">
        <v>1961</v>
      </c>
      <c r="C309" s="61" t="s">
        <v>2110</v>
      </c>
      <c r="D309" s="61" t="s">
        <v>2110</v>
      </c>
      <c r="E309" s="61">
        <v>456</v>
      </c>
      <c r="F309" s="61" t="s">
        <v>2110</v>
      </c>
      <c r="G309" s="61">
        <v>421</v>
      </c>
      <c r="H309" s="61" t="s">
        <v>2110</v>
      </c>
      <c r="I309" s="61" t="s">
        <v>2110</v>
      </c>
      <c r="J309" s="61" t="s">
        <v>2110</v>
      </c>
      <c r="K309" s="61">
        <v>312</v>
      </c>
    </row>
    <row r="310" spans="1:11" x14ac:dyDescent="0.45">
      <c r="A310" s="62" t="s">
        <v>2359</v>
      </c>
      <c r="B310" s="61">
        <v>2042</v>
      </c>
      <c r="C310" s="61" t="s">
        <v>2110</v>
      </c>
      <c r="D310" s="61">
        <v>288</v>
      </c>
      <c r="E310" s="61">
        <v>570</v>
      </c>
      <c r="F310" s="61" t="s">
        <v>2110</v>
      </c>
      <c r="G310" s="61">
        <v>381</v>
      </c>
      <c r="H310" s="61" t="s">
        <v>2110</v>
      </c>
      <c r="I310" s="61" t="s">
        <v>2110</v>
      </c>
      <c r="J310" s="61" t="s">
        <v>2110</v>
      </c>
      <c r="K310" s="61">
        <v>330</v>
      </c>
    </row>
    <row r="311" spans="1:11" ht="27.3" customHeight="1" x14ac:dyDescent="0.45">
      <c r="A311" s="62" t="s">
        <v>2360</v>
      </c>
      <c r="B311" s="65">
        <v>16707</v>
      </c>
      <c r="C311" s="65">
        <v>669</v>
      </c>
      <c r="D311" s="65">
        <v>2142</v>
      </c>
      <c r="E311" s="65">
        <v>2566</v>
      </c>
      <c r="F311" s="65">
        <v>1107</v>
      </c>
      <c r="G311" s="65">
        <v>3428</v>
      </c>
      <c r="H311" s="65">
        <v>605</v>
      </c>
      <c r="I311" s="65">
        <v>1952</v>
      </c>
      <c r="J311" s="65">
        <v>1711</v>
      </c>
      <c r="K311" s="65">
        <v>2527</v>
      </c>
    </row>
    <row r="312" spans="1:11" ht="24" customHeight="1" x14ac:dyDescent="0.45">
      <c r="A312" s="64" t="s">
        <v>2361</v>
      </c>
      <c r="B312" s="63"/>
      <c r="C312" s="63"/>
      <c r="D312" s="63"/>
      <c r="E312" s="63"/>
      <c r="F312" s="63"/>
      <c r="G312" s="63"/>
      <c r="H312" s="63"/>
      <c r="I312" s="63"/>
      <c r="J312" s="63"/>
      <c r="K312" s="63"/>
    </row>
    <row r="313" spans="1:11" ht="27.3" customHeight="1" x14ac:dyDescent="0.45">
      <c r="A313" s="62" t="s">
        <v>2362</v>
      </c>
      <c r="B313" s="61">
        <v>10165</v>
      </c>
      <c r="C313" s="61">
        <v>355</v>
      </c>
      <c r="D313" s="61">
        <v>1303</v>
      </c>
      <c r="E313" s="61">
        <v>1740</v>
      </c>
      <c r="F313" s="61">
        <v>343</v>
      </c>
      <c r="G313" s="61">
        <v>2399</v>
      </c>
      <c r="H313" s="61">
        <v>381</v>
      </c>
      <c r="I313" s="61">
        <v>568</v>
      </c>
      <c r="J313" s="61">
        <v>1131</v>
      </c>
      <c r="K313" s="61">
        <v>1944</v>
      </c>
    </row>
    <row r="314" spans="1:11" ht="15.5" customHeight="1" thickBot="1" x14ac:dyDescent="0.5">
      <c r="A314" s="60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45">
      <c r="A315" s="96" t="s">
        <v>2363</v>
      </c>
      <c r="B315" s="97"/>
      <c r="C315" s="97"/>
      <c r="D315" s="97"/>
      <c r="E315" s="97"/>
      <c r="F315" s="97"/>
      <c r="G315" s="97"/>
      <c r="H315" s="97"/>
      <c r="I315" s="97"/>
      <c r="J315" s="97"/>
      <c r="K315" s="97"/>
    </row>
  </sheetData>
  <mergeCells count="7">
    <mergeCell ref="E4:F4"/>
    <mergeCell ref="A315:K315"/>
    <mergeCell ref="J4:K4"/>
    <mergeCell ref="A2:K2"/>
    <mergeCell ref="G4:I4"/>
    <mergeCell ref="B3:K3"/>
    <mergeCell ref="C4:D4"/>
  </mergeCells>
  <pageMargins left="0.7" right="0.7" top="0.6" bottom="0.6" header="0.3" footer="0.3"/>
  <pageSetup scale="86" fitToHeight="0" orientation="portrait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3046875" defaultRowHeight="14.25" x14ac:dyDescent="0.45"/>
  <cols>
    <col min="1" max="1" width="29.796875" customWidth="1"/>
    <col min="2" max="2" width="8" style="24" customWidth="1"/>
    <col min="3" max="7" width="6.53125" style="24" customWidth="1"/>
    <col min="8" max="8" width="7.796875" style="24" customWidth="1"/>
    <col min="9" max="12" width="7.53125" style="24" customWidth="1"/>
    <col min="13" max="13" width="7.53125" customWidth="1"/>
  </cols>
  <sheetData>
    <row r="1" spans="1:13" x14ac:dyDescent="0.45">
      <c r="A1" s="23" t="s">
        <v>2084</v>
      </c>
    </row>
    <row r="2" spans="1:13" ht="25.5" customHeight="1" x14ac:dyDescent="0.5">
      <c r="A2" s="99" t="s">
        <v>2364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92"/>
    </row>
    <row r="3" spans="1:13" ht="28.5" customHeight="1" thickBot="1" x14ac:dyDescent="0.55000000000000004">
      <c r="A3" s="82"/>
      <c r="B3" s="104" t="s">
        <v>2365</v>
      </c>
      <c r="C3" s="102"/>
      <c r="D3" s="102"/>
      <c r="E3" s="102"/>
      <c r="F3" s="102"/>
      <c r="G3" s="105"/>
      <c r="H3" s="104" t="s">
        <v>2086</v>
      </c>
      <c r="I3" s="102"/>
      <c r="J3" s="102"/>
      <c r="K3" s="102"/>
      <c r="L3" s="102"/>
      <c r="M3" s="105"/>
    </row>
    <row r="4" spans="1:13" ht="49.5" customHeight="1" thickBot="1" x14ac:dyDescent="0.5">
      <c r="A4" s="80"/>
      <c r="B4" s="79" t="s">
        <v>2091</v>
      </c>
      <c r="C4" s="79" t="s">
        <v>2366</v>
      </c>
      <c r="D4" s="79" t="s">
        <v>2367</v>
      </c>
      <c r="E4" s="79" t="s">
        <v>2368</v>
      </c>
      <c r="F4" s="79" t="s">
        <v>2369</v>
      </c>
      <c r="G4" s="79" t="s">
        <v>2370</v>
      </c>
      <c r="H4" s="79" t="s">
        <v>2091</v>
      </c>
      <c r="I4" s="79" t="s">
        <v>2366</v>
      </c>
      <c r="J4" s="79" t="s">
        <v>2367</v>
      </c>
      <c r="K4" s="79" t="s">
        <v>2368</v>
      </c>
      <c r="L4" s="79" t="s">
        <v>2369</v>
      </c>
      <c r="M4" s="79" t="s">
        <v>2370</v>
      </c>
    </row>
    <row r="5" spans="1:13" ht="24" customHeight="1" thickTop="1" x14ac:dyDescent="0.45">
      <c r="A5" s="78" t="s">
        <v>2100</v>
      </c>
      <c r="B5" s="77">
        <v>5918</v>
      </c>
      <c r="C5" s="77">
        <v>4106</v>
      </c>
      <c r="D5" s="77">
        <v>1286</v>
      </c>
      <c r="E5" s="77">
        <v>370</v>
      </c>
      <c r="F5" s="77">
        <v>142</v>
      </c>
      <c r="G5" s="77">
        <v>16</v>
      </c>
      <c r="H5" s="77">
        <v>96758</v>
      </c>
      <c r="I5" s="77">
        <v>43918</v>
      </c>
      <c r="J5" s="77">
        <v>23317</v>
      </c>
      <c r="K5" s="77">
        <v>10465</v>
      </c>
      <c r="L5" s="77">
        <v>13058</v>
      </c>
      <c r="M5" s="77">
        <v>6000</v>
      </c>
    </row>
    <row r="6" spans="1:13" ht="24" customHeight="1" x14ac:dyDescent="0.45">
      <c r="A6" s="72" t="s">
        <v>2101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</row>
    <row r="7" spans="1:13" ht="15" customHeight="1" x14ac:dyDescent="0.45">
      <c r="A7" s="62" t="s">
        <v>2102</v>
      </c>
      <c r="B7" s="61">
        <v>2837</v>
      </c>
      <c r="C7" s="61">
        <v>2231</v>
      </c>
      <c r="D7" s="61">
        <v>476</v>
      </c>
      <c r="E7" s="61">
        <v>117</v>
      </c>
      <c r="F7" s="61" t="s">
        <v>2110</v>
      </c>
      <c r="G7" s="61" t="s">
        <v>2252</v>
      </c>
      <c r="H7" s="61">
        <v>8031</v>
      </c>
      <c r="I7" s="61">
        <v>6113</v>
      </c>
      <c r="J7" s="61">
        <v>1518</v>
      </c>
      <c r="K7" s="61">
        <v>370</v>
      </c>
      <c r="L7" s="61" t="s">
        <v>2110</v>
      </c>
      <c r="M7" s="61" t="s">
        <v>2252</v>
      </c>
    </row>
    <row r="8" spans="1:13" ht="15" customHeight="1" x14ac:dyDescent="0.45">
      <c r="A8" s="62" t="s">
        <v>2103</v>
      </c>
      <c r="B8" s="61">
        <v>1358</v>
      </c>
      <c r="C8" s="61">
        <v>997</v>
      </c>
      <c r="D8" s="61">
        <v>297</v>
      </c>
      <c r="E8" s="61">
        <v>55</v>
      </c>
      <c r="F8" s="61" t="s">
        <v>2110</v>
      </c>
      <c r="G8" s="61" t="s">
        <v>2252</v>
      </c>
      <c r="H8" s="61">
        <v>10206</v>
      </c>
      <c r="I8" s="61">
        <v>7415</v>
      </c>
      <c r="J8" s="61">
        <v>2297</v>
      </c>
      <c r="K8" s="61">
        <v>432</v>
      </c>
      <c r="L8" s="61" t="s">
        <v>2110</v>
      </c>
      <c r="M8" s="61" t="s">
        <v>2252</v>
      </c>
    </row>
    <row r="9" spans="1:13" ht="15" customHeight="1" x14ac:dyDescent="0.45">
      <c r="A9" s="62" t="s">
        <v>2104</v>
      </c>
      <c r="B9" s="61">
        <v>966</v>
      </c>
      <c r="C9" s="61">
        <v>564</v>
      </c>
      <c r="D9" s="61">
        <v>301</v>
      </c>
      <c r="E9" s="61">
        <v>82</v>
      </c>
      <c r="F9" s="61">
        <v>20</v>
      </c>
      <c r="G9" s="61" t="s">
        <v>2252</v>
      </c>
      <c r="H9" s="61">
        <v>15623</v>
      </c>
      <c r="I9" s="61">
        <v>9128</v>
      </c>
      <c r="J9" s="61">
        <v>4801</v>
      </c>
      <c r="K9" s="61">
        <v>1326</v>
      </c>
      <c r="L9" s="61">
        <v>368</v>
      </c>
      <c r="M9" s="61" t="s">
        <v>2252</v>
      </c>
    </row>
    <row r="10" spans="1:13" ht="15" customHeight="1" x14ac:dyDescent="0.45">
      <c r="A10" s="62" t="s">
        <v>2105</v>
      </c>
      <c r="B10" s="61">
        <v>397</v>
      </c>
      <c r="C10" s="61">
        <v>186</v>
      </c>
      <c r="D10" s="61">
        <v>121</v>
      </c>
      <c r="E10" s="61">
        <v>65</v>
      </c>
      <c r="F10" s="61">
        <v>25</v>
      </c>
      <c r="G10" s="61" t="s">
        <v>2252</v>
      </c>
      <c r="H10" s="61">
        <v>14430</v>
      </c>
      <c r="I10" s="61">
        <v>6726</v>
      </c>
      <c r="J10" s="61">
        <v>4314</v>
      </c>
      <c r="K10" s="61">
        <v>2430</v>
      </c>
      <c r="L10" s="61">
        <v>960</v>
      </c>
      <c r="M10" s="61" t="s">
        <v>2252</v>
      </c>
    </row>
    <row r="11" spans="1:13" ht="15" customHeight="1" x14ac:dyDescent="0.45">
      <c r="A11" s="62" t="s">
        <v>2106</v>
      </c>
      <c r="B11" s="61">
        <v>218</v>
      </c>
      <c r="C11" s="61">
        <v>87</v>
      </c>
      <c r="D11" s="61">
        <v>57</v>
      </c>
      <c r="E11" s="61">
        <v>35</v>
      </c>
      <c r="F11" s="61">
        <v>37</v>
      </c>
      <c r="G11" s="61" t="s">
        <v>2110</v>
      </c>
      <c r="H11" s="61">
        <v>15387</v>
      </c>
      <c r="I11" s="61">
        <v>6081</v>
      </c>
      <c r="J11" s="61">
        <v>3971</v>
      </c>
      <c r="K11" s="61">
        <v>2478</v>
      </c>
      <c r="L11" s="61">
        <v>2703</v>
      </c>
      <c r="M11" s="61" t="s">
        <v>2110</v>
      </c>
    </row>
    <row r="12" spans="1:13" ht="15" customHeight="1" x14ac:dyDescent="0.45">
      <c r="A12" s="62" t="s">
        <v>2107</v>
      </c>
      <c r="B12" s="61">
        <v>93</v>
      </c>
      <c r="C12" s="61">
        <v>29</v>
      </c>
      <c r="D12" s="61">
        <v>26</v>
      </c>
      <c r="E12" s="61">
        <v>10</v>
      </c>
      <c r="F12" s="61">
        <v>25</v>
      </c>
      <c r="G12" s="61">
        <v>4</v>
      </c>
      <c r="H12" s="61">
        <v>13042</v>
      </c>
      <c r="I12" s="61">
        <v>4046</v>
      </c>
      <c r="J12" s="61">
        <v>3525</v>
      </c>
      <c r="K12" s="61">
        <v>1338</v>
      </c>
      <c r="L12" s="61">
        <v>3451</v>
      </c>
      <c r="M12" s="61">
        <v>682</v>
      </c>
    </row>
    <row r="13" spans="1:13" ht="15" customHeight="1" x14ac:dyDescent="0.45">
      <c r="A13" s="62" t="s">
        <v>2108</v>
      </c>
      <c r="B13" s="61">
        <v>40</v>
      </c>
      <c r="C13" s="61">
        <v>11</v>
      </c>
      <c r="D13" s="61">
        <v>7</v>
      </c>
      <c r="E13" s="61">
        <v>5</v>
      </c>
      <c r="F13" s="61">
        <v>11</v>
      </c>
      <c r="G13" s="61">
        <v>6</v>
      </c>
      <c r="H13" s="61">
        <v>11723</v>
      </c>
      <c r="I13" s="61">
        <v>3135</v>
      </c>
      <c r="J13" s="61">
        <v>1884</v>
      </c>
      <c r="K13" s="61">
        <v>1400</v>
      </c>
      <c r="L13" s="61">
        <v>3384</v>
      </c>
      <c r="M13" s="61">
        <v>1920</v>
      </c>
    </row>
    <row r="14" spans="1:13" ht="15" customHeight="1" x14ac:dyDescent="0.45">
      <c r="A14" s="62" t="s">
        <v>2109</v>
      </c>
      <c r="B14" s="61">
        <v>9</v>
      </c>
      <c r="C14" s="61">
        <v>2</v>
      </c>
      <c r="D14" s="61">
        <v>1</v>
      </c>
      <c r="E14" s="61">
        <v>1</v>
      </c>
      <c r="F14" s="61">
        <v>2</v>
      </c>
      <c r="G14" s="61">
        <v>3</v>
      </c>
      <c r="H14" s="61">
        <v>8317</v>
      </c>
      <c r="I14" s="61">
        <v>1274</v>
      </c>
      <c r="J14" s="61">
        <v>1006</v>
      </c>
      <c r="K14" s="61">
        <v>691</v>
      </c>
      <c r="L14" s="61">
        <v>2102</v>
      </c>
      <c r="M14" s="61">
        <v>3244</v>
      </c>
    </row>
    <row r="15" spans="1:13" ht="24" customHeight="1" x14ac:dyDescent="0.45">
      <c r="A15" s="72" t="s">
        <v>2111</v>
      </c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</row>
    <row r="16" spans="1:13" x14ac:dyDescent="0.45">
      <c r="A16" s="62" t="s">
        <v>2112</v>
      </c>
      <c r="B16" s="61">
        <v>438</v>
      </c>
      <c r="C16" s="61">
        <v>278</v>
      </c>
      <c r="D16" s="61">
        <v>111</v>
      </c>
      <c r="E16" s="61">
        <v>26</v>
      </c>
      <c r="F16" s="61">
        <v>23</v>
      </c>
      <c r="G16" s="61" t="s">
        <v>2110</v>
      </c>
      <c r="H16" s="61">
        <v>13686</v>
      </c>
      <c r="I16" s="61">
        <v>4978</v>
      </c>
      <c r="J16" s="61">
        <v>4346</v>
      </c>
      <c r="K16" s="61">
        <v>1990</v>
      </c>
      <c r="L16" s="61">
        <v>2294</v>
      </c>
      <c r="M16" s="61" t="s">
        <v>2110</v>
      </c>
    </row>
    <row r="17" spans="1:13" x14ac:dyDescent="0.45">
      <c r="A17" s="62" t="s">
        <v>2113</v>
      </c>
      <c r="B17" s="61">
        <v>163</v>
      </c>
      <c r="C17" s="61">
        <v>149</v>
      </c>
      <c r="D17" s="61" t="s">
        <v>2110</v>
      </c>
      <c r="E17" s="61" t="s">
        <v>2110</v>
      </c>
      <c r="F17" s="61" t="s">
        <v>2110</v>
      </c>
      <c r="G17" s="61" t="s">
        <v>2252</v>
      </c>
      <c r="H17" s="61">
        <v>1032</v>
      </c>
      <c r="I17" s="61">
        <v>858</v>
      </c>
      <c r="J17" s="61" t="s">
        <v>2110</v>
      </c>
      <c r="K17" s="61" t="s">
        <v>2110</v>
      </c>
      <c r="L17" s="61" t="s">
        <v>2110</v>
      </c>
      <c r="M17" s="61" t="s">
        <v>2252</v>
      </c>
    </row>
    <row r="18" spans="1:13" x14ac:dyDescent="0.45">
      <c r="A18" s="62" t="s">
        <v>2114</v>
      </c>
      <c r="B18" s="61">
        <v>284</v>
      </c>
      <c r="C18" s="61">
        <v>214</v>
      </c>
      <c r="D18" s="61">
        <v>47</v>
      </c>
      <c r="E18" s="61" t="s">
        <v>2110</v>
      </c>
      <c r="F18" s="61" t="s">
        <v>2110</v>
      </c>
      <c r="G18" s="61" t="s">
        <v>2252</v>
      </c>
      <c r="H18" s="61">
        <v>1372</v>
      </c>
      <c r="I18" s="61">
        <v>950</v>
      </c>
      <c r="J18" s="61">
        <v>292</v>
      </c>
      <c r="K18" s="61" t="s">
        <v>2110</v>
      </c>
      <c r="L18" s="61" t="s">
        <v>2110</v>
      </c>
      <c r="M18" s="61" t="s">
        <v>2252</v>
      </c>
    </row>
    <row r="19" spans="1:13" x14ac:dyDescent="0.45">
      <c r="A19" s="62" t="s">
        <v>2115</v>
      </c>
      <c r="B19" s="61">
        <v>137</v>
      </c>
      <c r="C19" s="61">
        <v>80</v>
      </c>
      <c r="D19" s="61">
        <v>36</v>
      </c>
      <c r="E19" s="61">
        <v>13</v>
      </c>
      <c r="F19" s="61">
        <v>8</v>
      </c>
      <c r="G19" s="61">
        <v>1</v>
      </c>
      <c r="H19" s="61">
        <v>4011</v>
      </c>
      <c r="I19" s="61">
        <v>676</v>
      </c>
      <c r="J19" s="61">
        <v>598</v>
      </c>
      <c r="K19" s="61">
        <v>423</v>
      </c>
      <c r="L19" s="61">
        <v>1711</v>
      </c>
      <c r="M19" s="61">
        <v>602</v>
      </c>
    </row>
    <row r="20" spans="1:13" x14ac:dyDescent="0.45">
      <c r="A20" s="60" t="s">
        <v>2116</v>
      </c>
      <c r="B20" s="61">
        <v>9</v>
      </c>
      <c r="C20" s="61" t="s">
        <v>2110</v>
      </c>
      <c r="D20" s="61" t="s">
        <v>2110</v>
      </c>
      <c r="E20" s="61" t="s">
        <v>2110</v>
      </c>
      <c r="F20" s="61">
        <v>3</v>
      </c>
      <c r="G20" s="61">
        <v>1</v>
      </c>
      <c r="H20" s="61">
        <v>2259</v>
      </c>
      <c r="I20" s="61" t="s">
        <v>2110</v>
      </c>
      <c r="J20" s="61" t="s">
        <v>2110</v>
      </c>
      <c r="K20" s="61">
        <v>168</v>
      </c>
      <c r="L20" s="61">
        <v>1307</v>
      </c>
      <c r="M20" s="61">
        <v>537</v>
      </c>
    </row>
    <row r="21" spans="1:13" x14ac:dyDescent="0.45">
      <c r="A21" s="60" t="s">
        <v>2117</v>
      </c>
      <c r="B21" s="61">
        <v>129</v>
      </c>
      <c r="C21" s="61">
        <v>78</v>
      </c>
      <c r="D21" s="61">
        <v>35</v>
      </c>
      <c r="E21" s="61">
        <v>11</v>
      </c>
      <c r="F21" s="61">
        <v>4</v>
      </c>
      <c r="G21" s="61" t="s">
        <v>2110</v>
      </c>
      <c r="H21" s="61">
        <v>1753</v>
      </c>
      <c r="I21" s="61">
        <v>563</v>
      </c>
      <c r="J21" s="61">
        <v>465</v>
      </c>
      <c r="K21" s="61">
        <v>255</v>
      </c>
      <c r="L21" s="61">
        <v>404</v>
      </c>
      <c r="M21" s="61" t="s">
        <v>2110</v>
      </c>
    </row>
    <row r="22" spans="1:13" x14ac:dyDescent="0.45">
      <c r="A22" s="62" t="s">
        <v>2118</v>
      </c>
      <c r="B22" s="61">
        <v>214</v>
      </c>
      <c r="C22" s="61">
        <v>68</v>
      </c>
      <c r="D22" s="61">
        <v>85</v>
      </c>
      <c r="E22" s="61">
        <v>29</v>
      </c>
      <c r="F22" s="61">
        <v>28</v>
      </c>
      <c r="G22" s="61">
        <v>4</v>
      </c>
      <c r="H22" s="61">
        <v>6997</v>
      </c>
      <c r="I22" s="61">
        <v>902</v>
      </c>
      <c r="J22" s="61">
        <v>1399</v>
      </c>
      <c r="K22" s="61">
        <v>1145</v>
      </c>
      <c r="L22" s="61">
        <v>2127</v>
      </c>
      <c r="M22" s="61">
        <v>1424</v>
      </c>
    </row>
    <row r="23" spans="1:13" x14ac:dyDescent="0.45">
      <c r="A23" s="62" t="s">
        <v>2119</v>
      </c>
      <c r="B23" s="61">
        <v>518</v>
      </c>
      <c r="C23" s="61">
        <v>408</v>
      </c>
      <c r="D23" s="61">
        <v>79</v>
      </c>
      <c r="E23" s="61">
        <v>32</v>
      </c>
      <c r="F23" s="61" t="s">
        <v>2110</v>
      </c>
      <c r="G23" s="61" t="s">
        <v>2252</v>
      </c>
      <c r="H23" s="61">
        <v>10781</v>
      </c>
      <c r="I23" s="61">
        <v>8287</v>
      </c>
      <c r="J23" s="61">
        <v>1734</v>
      </c>
      <c r="K23" s="61">
        <v>705</v>
      </c>
      <c r="L23" s="61" t="s">
        <v>2110</v>
      </c>
      <c r="M23" s="61" t="s">
        <v>2252</v>
      </c>
    </row>
    <row r="24" spans="1:13" ht="15" customHeight="1" x14ac:dyDescent="0.45">
      <c r="A24" s="60" t="s">
        <v>2120</v>
      </c>
      <c r="B24" s="61">
        <v>352</v>
      </c>
      <c r="C24" s="61">
        <v>268</v>
      </c>
      <c r="D24" s="61">
        <v>53</v>
      </c>
      <c r="E24" s="61">
        <v>30</v>
      </c>
      <c r="F24" s="61" t="s">
        <v>2110</v>
      </c>
      <c r="G24" s="61" t="s">
        <v>2252</v>
      </c>
      <c r="H24" s="61">
        <v>5193</v>
      </c>
      <c r="I24" s="61">
        <v>4027</v>
      </c>
      <c r="J24" s="61">
        <v>769</v>
      </c>
      <c r="K24" s="61">
        <v>361</v>
      </c>
      <c r="L24" s="61" t="s">
        <v>2110</v>
      </c>
      <c r="M24" s="61" t="s">
        <v>2252</v>
      </c>
    </row>
    <row r="25" spans="1:13" ht="15" customHeight="1" x14ac:dyDescent="0.45">
      <c r="A25" s="60" t="s">
        <v>2121</v>
      </c>
      <c r="B25" s="61">
        <v>167</v>
      </c>
      <c r="C25" s="61">
        <v>139</v>
      </c>
      <c r="D25" s="61">
        <v>26</v>
      </c>
      <c r="E25" s="61" t="s">
        <v>2110</v>
      </c>
      <c r="F25" s="61" t="s">
        <v>2110</v>
      </c>
      <c r="G25" s="61" t="s">
        <v>2252</v>
      </c>
      <c r="H25" s="61">
        <v>5588</v>
      </c>
      <c r="I25" s="61">
        <v>4261</v>
      </c>
      <c r="J25" s="61">
        <v>965</v>
      </c>
      <c r="K25" s="61" t="s">
        <v>2110</v>
      </c>
      <c r="L25" s="61" t="s">
        <v>2110</v>
      </c>
      <c r="M25" s="61" t="s">
        <v>2252</v>
      </c>
    </row>
    <row r="26" spans="1:13" ht="15" customHeight="1" x14ac:dyDescent="0.45">
      <c r="A26" s="62" t="s">
        <v>2122</v>
      </c>
      <c r="B26" s="61">
        <v>970</v>
      </c>
      <c r="C26" s="61">
        <v>544</v>
      </c>
      <c r="D26" s="61">
        <v>273</v>
      </c>
      <c r="E26" s="61">
        <v>105</v>
      </c>
      <c r="F26" s="61">
        <v>38</v>
      </c>
      <c r="G26" s="61">
        <v>9</v>
      </c>
      <c r="H26" s="61">
        <v>16682</v>
      </c>
      <c r="I26" s="61">
        <v>3347</v>
      </c>
      <c r="J26" s="61">
        <v>3687</v>
      </c>
      <c r="K26" s="61">
        <v>2225</v>
      </c>
      <c r="L26" s="61">
        <v>3879</v>
      </c>
      <c r="M26" s="61">
        <v>3544</v>
      </c>
    </row>
    <row r="27" spans="1:13" ht="15" customHeight="1" x14ac:dyDescent="0.45">
      <c r="A27" s="62" t="s">
        <v>2123</v>
      </c>
      <c r="B27" s="61">
        <v>488</v>
      </c>
      <c r="C27" s="61">
        <v>307</v>
      </c>
      <c r="D27" s="61">
        <v>116</v>
      </c>
      <c r="E27" s="61">
        <v>47</v>
      </c>
      <c r="F27" s="61">
        <v>18</v>
      </c>
      <c r="G27" s="61" t="s">
        <v>2110</v>
      </c>
      <c r="H27" s="61">
        <v>7157</v>
      </c>
      <c r="I27" s="61">
        <v>2842</v>
      </c>
      <c r="J27" s="61">
        <v>1906</v>
      </c>
      <c r="K27" s="61">
        <v>1125</v>
      </c>
      <c r="L27" s="61">
        <v>1261</v>
      </c>
      <c r="M27" s="61" t="s">
        <v>2110</v>
      </c>
    </row>
    <row r="28" spans="1:13" ht="15" customHeight="1" x14ac:dyDescent="0.45">
      <c r="A28" s="62" t="s">
        <v>2124</v>
      </c>
      <c r="B28" s="61">
        <v>74</v>
      </c>
      <c r="C28" s="61">
        <v>51</v>
      </c>
      <c r="D28" s="61" t="s">
        <v>2110</v>
      </c>
      <c r="E28" s="61" t="s">
        <v>2110</v>
      </c>
      <c r="F28" s="61">
        <v>2</v>
      </c>
      <c r="G28" s="61">
        <v>1</v>
      </c>
      <c r="H28" s="61">
        <v>1563</v>
      </c>
      <c r="I28" s="61">
        <v>574</v>
      </c>
      <c r="J28" s="61" t="s">
        <v>2110</v>
      </c>
      <c r="K28" s="61" t="s">
        <v>2110</v>
      </c>
      <c r="L28" s="61">
        <v>280</v>
      </c>
      <c r="M28" s="61">
        <v>197</v>
      </c>
    </row>
    <row r="29" spans="1:13" ht="15" customHeight="1" x14ac:dyDescent="0.45">
      <c r="A29" s="62" t="s">
        <v>2125</v>
      </c>
      <c r="B29" s="61">
        <v>439</v>
      </c>
      <c r="C29" s="61">
        <v>213</v>
      </c>
      <c r="D29" s="61">
        <v>182</v>
      </c>
      <c r="E29" s="61">
        <v>37</v>
      </c>
      <c r="F29" s="61" t="s">
        <v>2110</v>
      </c>
      <c r="G29" s="61" t="s">
        <v>2252</v>
      </c>
      <c r="H29" s="61">
        <v>5686</v>
      </c>
      <c r="I29" s="61">
        <v>2198</v>
      </c>
      <c r="J29" s="61">
        <v>2329</v>
      </c>
      <c r="K29" s="61">
        <v>963</v>
      </c>
      <c r="L29" s="61" t="s">
        <v>2110</v>
      </c>
      <c r="M29" s="61" t="s">
        <v>2252</v>
      </c>
    </row>
    <row r="30" spans="1:13" ht="15" customHeight="1" x14ac:dyDescent="0.45">
      <c r="A30" s="62" t="s">
        <v>2126</v>
      </c>
      <c r="B30" s="61">
        <v>867</v>
      </c>
      <c r="C30" s="61">
        <v>708</v>
      </c>
      <c r="D30" s="61">
        <v>144</v>
      </c>
      <c r="E30" s="61" t="s">
        <v>2110</v>
      </c>
      <c r="F30" s="61" t="s">
        <v>2110</v>
      </c>
      <c r="G30" s="61" t="s">
        <v>2252</v>
      </c>
      <c r="H30" s="61">
        <v>6343</v>
      </c>
      <c r="I30" s="61">
        <v>4800</v>
      </c>
      <c r="J30" s="61">
        <v>1297</v>
      </c>
      <c r="K30" s="61" t="s">
        <v>2110</v>
      </c>
      <c r="L30" s="61" t="s">
        <v>2110</v>
      </c>
      <c r="M30" s="61" t="s">
        <v>2252</v>
      </c>
    </row>
    <row r="31" spans="1:13" ht="15" customHeight="1" x14ac:dyDescent="0.45">
      <c r="A31" s="62" t="s">
        <v>2127</v>
      </c>
      <c r="B31" s="61">
        <v>1004</v>
      </c>
      <c r="C31" s="61">
        <v>846</v>
      </c>
      <c r="D31" s="61">
        <v>137</v>
      </c>
      <c r="E31" s="61">
        <v>19</v>
      </c>
      <c r="F31" s="61" t="s">
        <v>2110</v>
      </c>
      <c r="G31" s="61" t="s">
        <v>2252</v>
      </c>
      <c r="H31" s="61">
        <v>17429</v>
      </c>
      <c r="I31" s="61">
        <v>12040</v>
      </c>
      <c r="J31" s="61">
        <v>4098</v>
      </c>
      <c r="K31" s="61">
        <v>845</v>
      </c>
      <c r="L31" s="61" t="s">
        <v>2110</v>
      </c>
      <c r="M31" s="61" t="s">
        <v>2252</v>
      </c>
    </row>
    <row r="32" spans="1:13" ht="15" customHeight="1" x14ac:dyDescent="0.45">
      <c r="A32" s="62" t="s">
        <v>2128</v>
      </c>
      <c r="B32" s="61">
        <v>113</v>
      </c>
      <c r="C32" s="61">
        <v>85</v>
      </c>
      <c r="D32" s="61">
        <v>16</v>
      </c>
      <c r="E32" s="61" t="s">
        <v>2110</v>
      </c>
      <c r="F32" s="61" t="s">
        <v>2110</v>
      </c>
      <c r="G32" s="61" t="s">
        <v>2110</v>
      </c>
      <c r="H32" s="61">
        <v>2403</v>
      </c>
      <c r="I32" s="61">
        <v>715</v>
      </c>
      <c r="J32" s="61">
        <v>752</v>
      </c>
      <c r="K32" s="61" t="s">
        <v>2110</v>
      </c>
      <c r="L32" s="61">
        <v>541</v>
      </c>
      <c r="M32" s="61" t="s">
        <v>2110</v>
      </c>
    </row>
    <row r="33" spans="1:13" ht="15" customHeight="1" x14ac:dyDescent="0.45">
      <c r="A33" s="62" t="s">
        <v>2129</v>
      </c>
      <c r="B33" s="61">
        <v>209</v>
      </c>
      <c r="C33" s="61">
        <v>154</v>
      </c>
      <c r="D33" s="61">
        <v>38</v>
      </c>
      <c r="E33" s="61" t="s">
        <v>2110</v>
      </c>
      <c r="F33" s="61">
        <v>3</v>
      </c>
      <c r="G33" s="61" t="s">
        <v>2110</v>
      </c>
      <c r="H33" s="61">
        <v>1616</v>
      </c>
      <c r="I33" s="61">
        <v>751</v>
      </c>
      <c r="J33" s="61">
        <v>429</v>
      </c>
      <c r="K33" s="61" t="s">
        <v>2110</v>
      </c>
      <c r="L33" s="61">
        <v>208</v>
      </c>
      <c r="M33" s="61" t="s">
        <v>2110</v>
      </c>
    </row>
    <row r="34" spans="1:13" ht="24" customHeight="1" x14ac:dyDescent="0.45">
      <c r="A34" s="72" t="s">
        <v>2130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</row>
    <row r="35" spans="1:13" ht="15" customHeight="1" x14ac:dyDescent="0.45">
      <c r="A35" s="62" t="s">
        <v>2131</v>
      </c>
      <c r="B35" s="61">
        <v>329</v>
      </c>
      <c r="C35" s="61">
        <v>77</v>
      </c>
      <c r="D35" s="61">
        <v>142</v>
      </c>
      <c r="E35" s="61">
        <v>88</v>
      </c>
      <c r="F35" s="61">
        <v>21</v>
      </c>
      <c r="G35" s="61" t="s">
        <v>2110</v>
      </c>
      <c r="H35" s="61">
        <v>3600</v>
      </c>
      <c r="I35" s="61">
        <v>374</v>
      </c>
      <c r="J35" s="61">
        <v>997</v>
      </c>
      <c r="K35" s="61">
        <v>1188</v>
      </c>
      <c r="L35" s="61">
        <v>828</v>
      </c>
      <c r="M35" s="61" t="s">
        <v>2110</v>
      </c>
    </row>
    <row r="36" spans="1:13" ht="15" customHeight="1" x14ac:dyDescent="0.45">
      <c r="A36" s="62" t="s">
        <v>2132</v>
      </c>
      <c r="B36" s="61">
        <v>379</v>
      </c>
      <c r="C36" s="61">
        <v>182</v>
      </c>
      <c r="D36" s="61">
        <v>102</v>
      </c>
      <c r="E36" s="61">
        <v>76</v>
      </c>
      <c r="F36" s="61">
        <v>18</v>
      </c>
      <c r="G36" s="61">
        <v>2</v>
      </c>
      <c r="H36" s="61">
        <v>5646</v>
      </c>
      <c r="I36" s="61">
        <v>1197</v>
      </c>
      <c r="J36" s="61">
        <v>1189</v>
      </c>
      <c r="K36" s="61">
        <v>1087</v>
      </c>
      <c r="L36" s="61">
        <v>1335</v>
      </c>
      <c r="M36" s="61">
        <v>839</v>
      </c>
    </row>
    <row r="37" spans="1:13" ht="15" customHeight="1" x14ac:dyDescent="0.45">
      <c r="A37" s="62" t="s">
        <v>2133</v>
      </c>
      <c r="B37" s="61">
        <v>517</v>
      </c>
      <c r="C37" s="61">
        <v>348</v>
      </c>
      <c r="D37" s="61">
        <v>117</v>
      </c>
      <c r="E37" s="61">
        <v>40</v>
      </c>
      <c r="F37" s="61">
        <v>12</v>
      </c>
      <c r="G37" s="61" t="s">
        <v>2110</v>
      </c>
      <c r="H37" s="61">
        <v>6958</v>
      </c>
      <c r="I37" s="61">
        <v>3379</v>
      </c>
      <c r="J37" s="61">
        <v>1502</v>
      </c>
      <c r="K37" s="61">
        <v>1158</v>
      </c>
      <c r="L37" s="61">
        <v>766</v>
      </c>
      <c r="M37" s="61">
        <v>154</v>
      </c>
    </row>
    <row r="38" spans="1:13" ht="15" customHeight="1" x14ac:dyDescent="0.45">
      <c r="A38" s="62" t="s">
        <v>2134</v>
      </c>
      <c r="B38" s="61">
        <v>685</v>
      </c>
      <c r="C38" s="61">
        <v>484</v>
      </c>
      <c r="D38" s="61">
        <v>154</v>
      </c>
      <c r="E38" s="61">
        <v>32</v>
      </c>
      <c r="F38" s="61">
        <v>15</v>
      </c>
      <c r="G38" s="61">
        <v>1</v>
      </c>
      <c r="H38" s="61">
        <v>10337</v>
      </c>
      <c r="I38" s="61">
        <v>4294</v>
      </c>
      <c r="J38" s="61">
        <v>2946</v>
      </c>
      <c r="K38" s="61">
        <v>1108</v>
      </c>
      <c r="L38" s="61">
        <v>1428</v>
      </c>
      <c r="M38" s="61">
        <v>561</v>
      </c>
    </row>
    <row r="39" spans="1:13" ht="15" customHeight="1" x14ac:dyDescent="0.45">
      <c r="A39" s="62" t="s">
        <v>2135</v>
      </c>
      <c r="B39" s="61">
        <v>831</v>
      </c>
      <c r="C39" s="61">
        <v>610</v>
      </c>
      <c r="D39" s="61">
        <v>184</v>
      </c>
      <c r="E39" s="61">
        <v>24</v>
      </c>
      <c r="F39" s="61">
        <v>12</v>
      </c>
      <c r="G39" s="61">
        <v>2</v>
      </c>
      <c r="H39" s="61">
        <v>13257</v>
      </c>
      <c r="I39" s="61">
        <v>5870</v>
      </c>
      <c r="J39" s="61">
        <v>3814</v>
      </c>
      <c r="K39" s="61">
        <v>1217</v>
      </c>
      <c r="L39" s="61">
        <v>1534</v>
      </c>
      <c r="M39" s="61">
        <v>821</v>
      </c>
    </row>
    <row r="40" spans="1:13" ht="15" customHeight="1" x14ac:dyDescent="0.45">
      <c r="A40" s="62" t="s">
        <v>2136</v>
      </c>
      <c r="B40" s="61">
        <v>794</v>
      </c>
      <c r="C40" s="61">
        <v>590</v>
      </c>
      <c r="D40" s="61">
        <v>153</v>
      </c>
      <c r="E40" s="61">
        <v>33</v>
      </c>
      <c r="F40" s="61">
        <v>14</v>
      </c>
      <c r="G40" s="61">
        <v>4</v>
      </c>
      <c r="H40" s="61">
        <v>13463</v>
      </c>
      <c r="I40" s="61">
        <v>6378</v>
      </c>
      <c r="J40" s="61">
        <v>2912</v>
      </c>
      <c r="K40" s="61">
        <v>1110</v>
      </c>
      <c r="L40" s="61">
        <v>1382</v>
      </c>
      <c r="M40" s="61">
        <v>1681</v>
      </c>
    </row>
    <row r="41" spans="1:13" ht="15" customHeight="1" x14ac:dyDescent="0.45">
      <c r="A41" s="62" t="s">
        <v>2137</v>
      </c>
      <c r="B41" s="61">
        <v>921</v>
      </c>
      <c r="C41" s="61">
        <v>696</v>
      </c>
      <c r="D41" s="61">
        <v>176</v>
      </c>
      <c r="E41" s="61">
        <v>30</v>
      </c>
      <c r="F41" s="61">
        <v>17</v>
      </c>
      <c r="G41" s="61">
        <v>1</v>
      </c>
      <c r="H41" s="61">
        <v>15550</v>
      </c>
      <c r="I41" s="61">
        <v>8082</v>
      </c>
      <c r="J41" s="61">
        <v>3804</v>
      </c>
      <c r="K41" s="61">
        <v>1308</v>
      </c>
      <c r="L41" s="61">
        <v>1824</v>
      </c>
      <c r="M41" s="61">
        <v>532</v>
      </c>
    </row>
    <row r="42" spans="1:13" ht="15" customHeight="1" x14ac:dyDescent="0.45">
      <c r="A42" s="62" t="s">
        <v>2138</v>
      </c>
      <c r="B42" s="61">
        <v>924</v>
      </c>
      <c r="C42" s="61">
        <v>719</v>
      </c>
      <c r="D42" s="61">
        <v>155</v>
      </c>
      <c r="E42" s="61">
        <v>26</v>
      </c>
      <c r="F42" s="61">
        <v>22</v>
      </c>
      <c r="G42" s="61">
        <v>2</v>
      </c>
      <c r="H42" s="61">
        <v>17678</v>
      </c>
      <c r="I42" s="61">
        <v>9370</v>
      </c>
      <c r="J42" s="61">
        <v>3984</v>
      </c>
      <c r="K42" s="61">
        <v>1385</v>
      </c>
      <c r="L42" s="61">
        <v>2203</v>
      </c>
      <c r="M42" s="61">
        <v>735</v>
      </c>
    </row>
    <row r="43" spans="1:13" ht="15" customHeight="1" x14ac:dyDescent="0.45">
      <c r="A43" s="62" t="s">
        <v>2139</v>
      </c>
      <c r="B43" s="61">
        <v>537</v>
      </c>
      <c r="C43" s="61">
        <v>400</v>
      </c>
      <c r="D43" s="61">
        <v>103</v>
      </c>
      <c r="E43" s="61">
        <v>20</v>
      </c>
      <c r="F43" s="61">
        <v>12</v>
      </c>
      <c r="G43" s="61">
        <v>1</v>
      </c>
      <c r="H43" s="61">
        <v>10270</v>
      </c>
      <c r="I43" s="61">
        <v>4974</v>
      </c>
      <c r="J43" s="61">
        <v>2169</v>
      </c>
      <c r="K43" s="61">
        <v>906</v>
      </c>
      <c r="L43" s="61">
        <v>1757</v>
      </c>
      <c r="M43" s="61">
        <v>464</v>
      </c>
    </row>
    <row r="44" spans="1:13" ht="24" customHeight="1" x14ac:dyDescent="0.45">
      <c r="A44" s="72" t="s">
        <v>2371</v>
      </c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</row>
    <row r="45" spans="1:13" ht="15" customHeight="1" x14ac:dyDescent="0.45">
      <c r="A45" s="62" t="s">
        <v>2087</v>
      </c>
      <c r="B45" s="61">
        <v>793</v>
      </c>
      <c r="C45" s="61">
        <v>365</v>
      </c>
      <c r="D45" s="61">
        <v>258</v>
      </c>
      <c r="E45" s="61">
        <v>117</v>
      </c>
      <c r="F45" s="61">
        <v>47</v>
      </c>
      <c r="G45" s="61">
        <v>7</v>
      </c>
      <c r="H45" s="61">
        <v>16020</v>
      </c>
      <c r="I45" s="61">
        <v>4561</v>
      </c>
      <c r="J45" s="61">
        <v>4001</v>
      </c>
      <c r="K45" s="61">
        <v>2394</v>
      </c>
      <c r="L45" s="61">
        <v>3313</v>
      </c>
      <c r="M45" s="61">
        <v>1751</v>
      </c>
    </row>
    <row r="46" spans="1:13" ht="15" customHeight="1" x14ac:dyDescent="0.45">
      <c r="A46" s="62" t="s">
        <v>2088</v>
      </c>
      <c r="B46" s="61">
        <v>1719</v>
      </c>
      <c r="C46" s="61">
        <v>1145</v>
      </c>
      <c r="D46" s="61">
        <v>419</v>
      </c>
      <c r="E46" s="61">
        <v>121</v>
      </c>
      <c r="F46" s="61">
        <v>33</v>
      </c>
      <c r="G46" s="61">
        <v>2</v>
      </c>
      <c r="H46" s="61">
        <v>26143</v>
      </c>
      <c r="I46" s="61">
        <v>11872</v>
      </c>
      <c r="J46" s="61">
        <v>6918</v>
      </c>
      <c r="K46" s="61">
        <v>3505</v>
      </c>
      <c r="L46" s="61">
        <v>2649</v>
      </c>
      <c r="M46" s="61">
        <v>1199</v>
      </c>
    </row>
    <row r="47" spans="1:13" ht="15" customHeight="1" x14ac:dyDescent="0.45">
      <c r="A47" s="62" t="s">
        <v>2089</v>
      </c>
      <c r="B47" s="61">
        <v>2143</v>
      </c>
      <c r="C47" s="61">
        <v>1636</v>
      </c>
      <c r="D47" s="61">
        <v>375</v>
      </c>
      <c r="E47" s="61">
        <v>90</v>
      </c>
      <c r="F47" s="61">
        <v>37</v>
      </c>
      <c r="G47" s="61">
        <v>5</v>
      </c>
      <c r="H47" s="61">
        <v>34878</v>
      </c>
      <c r="I47" s="61">
        <v>17663</v>
      </c>
      <c r="J47" s="61">
        <v>7821</v>
      </c>
      <c r="K47" s="61">
        <v>3152</v>
      </c>
      <c r="L47" s="61">
        <v>4454</v>
      </c>
      <c r="M47" s="61">
        <v>1787</v>
      </c>
    </row>
    <row r="48" spans="1:13" ht="15" customHeight="1" x14ac:dyDescent="0.45">
      <c r="A48" s="62" t="s">
        <v>2090</v>
      </c>
      <c r="B48" s="61">
        <v>1264</v>
      </c>
      <c r="C48" s="61">
        <v>959</v>
      </c>
      <c r="D48" s="61">
        <v>234</v>
      </c>
      <c r="E48" s="61">
        <v>42</v>
      </c>
      <c r="F48" s="61">
        <v>25</v>
      </c>
      <c r="G48" s="61">
        <v>3</v>
      </c>
      <c r="H48" s="61">
        <v>19717</v>
      </c>
      <c r="I48" s="61">
        <v>9822</v>
      </c>
      <c r="J48" s="61">
        <v>4577</v>
      </c>
      <c r="K48" s="61">
        <v>1414</v>
      </c>
      <c r="L48" s="61">
        <v>2642</v>
      </c>
      <c r="M48" s="61">
        <v>1262</v>
      </c>
    </row>
    <row r="49" spans="1:13" ht="34.049999999999997" customHeight="1" x14ac:dyDescent="0.45">
      <c r="A49" s="72" t="s">
        <v>2146</v>
      </c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</row>
    <row r="50" spans="1:13" ht="15" customHeight="1" x14ac:dyDescent="0.45">
      <c r="A50" s="62" t="s">
        <v>2147</v>
      </c>
      <c r="B50" s="61">
        <v>503</v>
      </c>
      <c r="C50" s="61" t="s">
        <v>2252</v>
      </c>
      <c r="D50" s="61">
        <v>228</v>
      </c>
      <c r="E50" s="61">
        <v>150</v>
      </c>
      <c r="F50" s="61">
        <v>109</v>
      </c>
      <c r="G50" s="61">
        <v>16</v>
      </c>
      <c r="H50" s="61">
        <v>36488</v>
      </c>
      <c r="I50" s="61" t="s">
        <v>2252</v>
      </c>
      <c r="J50" s="61">
        <v>10123</v>
      </c>
      <c r="K50" s="61">
        <v>7940</v>
      </c>
      <c r="L50" s="61">
        <v>12425</v>
      </c>
      <c r="M50" s="61">
        <v>6000</v>
      </c>
    </row>
    <row r="51" spans="1:13" ht="15" customHeight="1" x14ac:dyDescent="0.45">
      <c r="A51" s="62" t="s">
        <v>2148</v>
      </c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</row>
    <row r="52" spans="1:13" ht="15" customHeight="1" x14ac:dyDescent="0.45">
      <c r="A52" s="60" t="s">
        <v>2141</v>
      </c>
      <c r="B52" s="61">
        <v>366</v>
      </c>
      <c r="C52" s="61" t="s">
        <v>2252</v>
      </c>
      <c r="D52" s="61">
        <v>207</v>
      </c>
      <c r="E52" s="61">
        <v>112</v>
      </c>
      <c r="F52" s="61">
        <v>47</v>
      </c>
      <c r="G52" s="61" t="s">
        <v>2110</v>
      </c>
      <c r="H52" s="61">
        <v>14189</v>
      </c>
      <c r="I52" s="61" t="s">
        <v>2252</v>
      </c>
      <c r="J52" s="61">
        <v>7788</v>
      </c>
      <c r="K52" s="61">
        <v>4168</v>
      </c>
      <c r="L52" s="61">
        <v>2154</v>
      </c>
      <c r="M52" s="61" t="s">
        <v>2110</v>
      </c>
    </row>
    <row r="53" spans="1:13" ht="15" customHeight="1" x14ac:dyDescent="0.45">
      <c r="A53" s="60" t="s">
        <v>2149</v>
      </c>
      <c r="B53" s="61">
        <v>121</v>
      </c>
      <c r="C53" s="61" t="s">
        <v>2252</v>
      </c>
      <c r="D53" s="61">
        <v>21</v>
      </c>
      <c r="E53" s="61">
        <v>37</v>
      </c>
      <c r="F53" s="61">
        <v>56</v>
      </c>
      <c r="G53" s="61">
        <v>7</v>
      </c>
      <c r="H53" s="61">
        <v>13328</v>
      </c>
      <c r="I53" s="61" t="s">
        <v>2252</v>
      </c>
      <c r="J53" s="61">
        <v>2051</v>
      </c>
      <c r="K53" s="61">
        <v>2974</v>
      </c>
      <c r="L53" s="61">
        <v>7086</v>
      </c>
      <c r="M53" s="61">
        <v>1217</v>
      </c>
    </row>
    <row r="54" spans="1:13" ht="15" customHeight="1" x14ac:dyDescent="0.45">
      <c r="A54" s="60" t="s">
        <v>2150</v>
      </c>
      <c r="B54" s="61">
        <v>16</v>
      </c>
      <c r="C54" s="61" t="s">
        <v>2252</v>
      </c>
      <c r="D54" s="61">
        <v>1</v>
      </c>
      <c r="E54" s="61">
        <v>2</v>
      </c>
      <c r="F54" s="61">
        <v>6</v>
      </c>
      <c r="G54" s="61">
        <v>8</v>
      </c>
      <c r="H54" s="61">
        <v>8970</v>
      </c>
      <c r="I54" s="61" t="s">
        <v>2252</v>
      </c>
      <c r="J54" s="61">
        <v>284</v>
      </c>
      <c r="K54" s="61">
        <v>798</v>
      </c>
      <c r="L54" s="61">
        <v>3185</v>
      </c>
      <c r="M54" s="61">
        <v>4703</v>
      </c>
    </row>
    <row r="55" spans="1:13" ht="15" customHeight="1" x14ac:dyDescent="0.45">
      <c r="A55" s="62" t="s">
        <v>2151</v>
      </c>
      <c r="B55" s="61">
        <v>14</v>
      </c>
      <c r="C55" s="61" t="s">
        <v>2252</v>
      </c>
      <c r="D55" s="61" t="s">
        <v>2110</v>
      </c>
      <c r="E55" s="61">
        <v>3</v>
      </c>
      <c r="F55" s="61">
        <v>2</v>
      </c>
      <c r="G55" s="61">
        <v>2</v>
      </c>
      <c r="H55" s="61">
        <v>3753</v>
      </c>
      <c r="I55" s="61" t="s">
        <v>2252</v>
      </c>
      <c r="J55" s="61">
        <v>464</v>
      </c>
      <c r="K55" s="61">
        <v>640</v>
      </c>
      <c r="L55" s="61">
        <v>841</v>
      </c>
      <c r="M55" s="61">
        <v>1808</v>
      </c>
    </row>
    <row r="56" spans="1:13" ht="24" customHeight="1" x14ac:dyDescent="0.45">
      <c r="A56" s="72" t="s">
        <v>2152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</row>
    <row r="57" spans="1:13" ht="15" customHeight="1" x14ac:dyDescent="0.45">
      <c r="A57" s="62" t="s">
        <v>2153</v>
      </c>
      <c r="B57" s="61">
        <v>3270</v>
      </c>
      <c r="C57" s="61">
        <v>2491</v>
      </c>
      <c r="D57" s="61">
        <v>608</v>
      </c>
      <c r="E57" s="61">
        <v>155</v>
      </c>
      <c r="F57" s="61">
        <v>15</v>
      </c>
      <c r="G57" s="61" t="s">
        <v>2110</v>
      </c>
      <c r="H57" s="61">
        <v>21128</v>
      </c>
      <c r="I57" s="61">
        <v>13778</v>
      </c>
      <c r="J57" s="61">
        <v>4932</v>
      </c>
      <c r="K57" s="61">
        <v>1845</v>
      </c>
      <c r="L57" s="61">
        <v>552</v>
      </c>
      <c r="M57" s="61" t="s">
        <v>2110</v>
      </c>
    </row>
    <row r="58" spans="1:13" ht="15" customHeight="1" x14ac:dyDescent="0.45">
      <c r="A58" s="62" t="s">
        <v>2154</v>
      </c>
      <c r="B58" s="61">
        <v>1116</v>
      </c>
      <c r="C58" s="61">
        <v>769</v>
      </c>
      <c r="D58" s="61">
        <v>246</v>
      </c>
      <c r="E58" s="61">
        <v>76</v>
      </c>
      <c r="F58" s="61">
        <v>24</v>
      </c>
      <c r="G58" s="61" t="s">
        <v>2110</v>
      </c>
      <c r="H58" s="61">
        <v>10364</v>
      </c>
      <c r="I58" s="61">
        <v>6011</v>
      </c>
      <c r="J58" s="61">
        <v>2622</v>
      </c>
      <c r="K58" s="61">
        <v>1003</v>
      </c>
      <c r="L58" s="61">
        <v>672</v>
      </c>
      <c r="M58" s="61" t="s">
        <v>2110</v>
      </c>
    </row>
    <row r="59" spans="1:13" ht="15" customHeight="1" x14ac:dyDescent="0.45">
      <c r="A59" s="62" t="s">
        <v>2155</v>
      </c>
      <c r="B59" s="61">
        <v>713</v>
      </c>
      <c r="C59" s="61">
        <v>443</v>
      </c>
      <c r="D59" s="61">
        <v>200</v>
      </c>
      <c r="E59" s="61">
        <v>50</v>
      </c>
      <c r="F59" s="61">
        <v>20</v>
      </c>
      <c r="G59" s="61" t="s">
        <v>2110</v>
      </c>
      <c r="H59" s="61">
        <v>11575</v>
      </c>
      <c r="I59" s="61">
        <v>5721</v>
      </c>
      <c r="J59" s="61">
        <v>3632</v>
      </c>
      <c r="K59" s="61">
        <v>1316</v>
      </c>
      <c r="L59" s="61">
        <v>793</v>
      </c>
      <c r="M59" s="61" t="s">
        <v>2110</v>
      </c>
    </row>
    <row r="60" spans="1:13" ht="15" customHeight="1" x14ac:dyDescent="0.45">
      <c r="A60" s="62" t="s">
        <v>2156</v>
      </c>
      <c r="B60" s="61">
        <v>492</v>
      </c>
      <c r="C60" s="61">
        <v>272</v>
      </c>
      <c r="D60" s="61">
        <v>149</v>
      </c>
      <c r="E60" s="61">
        <v>46</v>
      </c>
      <c r="F60" s="61">
        <v>24</v>
      </c>
      <c r="G60" s="61">
        <v>1</v>
      </c>
      <c r="H60" s="61">
        <v>16126</v>
      </c>
      <c r="I60" s="61">
        <v>7850</v>
      </c>
      <c r="J60" s="61">
        <v>4469</v>
      </c>
      <c r="K60" s="61">
        <v>1951</v>
      </c>
      <c r="L60" s="61">
        <v>1597</v>
      </c>
      <c r="M60" s="61">
        <v>258</v>
      </c>
    </row>
    <row r="61" spans="1:13" ht="15" customHeight="1" x14ac:dyDescent="0.45">
      <c r="A61" s="62" t="s">
        <v>2157</v>
      </c>
      <c r="B61" s="61">
        <v>201</v>
      </c>
      <c r="C61" s="61">
        <v>99</v>
      </c>
      <c r="D61" s="61">
        <v>55</v>
      </c>
      <c r="E61" s="61">
        <v>26</v>
      </c>
      <c r="F61" s="61">
        <v>20</v>
      </c>
      <c r="G61" s="61">
        <v>1</v>
      </c>
      <c r="H61" s="61">
        <v>12956</v>
      </c>
      <c r="I61" s="61">
        <v>5367</v>
      </c>
      <c r="J61" s="61">
        <v>3752</v>
      </c>
      <c r="K61" s="61">
        <v>1665</v>
      </c>
      <c r="L61" s="61">
        <v>1907</v>
      </c>
      <c r="M61" s="61">
        <v>265</v>
      </c>
    </row>
    <row r="62" spans="1:13" ht="15" customHeight="1" x14ac:dyDescent="0.45">
      <c r="A62" s="62" t="s">
        <v>2158</v>
      </c>
      <c r="B62" s="61">
        <v>91</v>
      </c>
      <c r="C62" s="61">
        <v>29</v>
      </c>
      <c r="D62" s="61">
        <v>24</v>
      </c>
      <c r="E62" s="61">
        <v>13</v>
      </c>
      <c r="F62" s="61">
        <v>21</v>
      </c>
      <c r="G62" s="61">
        <v>3</v>
      </c>
      <c r="H62" s="61">
        <v>12452</v>
      </c>
      <c r="I62" s="61">
        <v>4453</v>
      </c>
      <c r="J62" s="61">
        <v>2783</v>
      </c>
      <c r="K62" s="61">
        <v>1752</v>
      </c>
      <c r="L62" s="61">
        <v>2786</v>
      </c>
      <c r="M62" s="61">
        <v>678</v>
      </c>
    </row>
    <row r="63" spans="1:13" ht="15" customHeight="1" x14ac:dyDescent="0.45">
      <c r="A63" s="62" t="s">
        <v>2159</v>
      </c>
      <c r="B63" s="61">
        <v>37</v>
      </c>
      <c r="C63" s="61">
        <v>2</v>
      </c>
      <c r="D63" s="61">
        <v>4</v>
      </c>
      <c r="E63" s="61">
        <v>5</v>
      </c>
      <c r="F63" s="61">
        <v>17</v>
      </c>
      <c r="G63" s="61">
        <v>9</v>
      </c>
      <c r="H63" s="61">
        <v>12156</v>
      </c>
      <c r="I63" s="61">
        <v>737</v>
      </c>
      <c r="J63" s="61">
        <v>1125</v>
      </c>
      <c r="K63" s="61">
        <v>933</v>
      </c>
      <c r="L63" s="61">
        <v>4752</v>
      </c>
      <c r="M63" s="61">
        <v>4608</v>
      </c>
    </row>
    <row r="64" spans="1:13" ht="24" customHeight="1" x14ac:dyDescent="0.45">
      <c r="A64" s="72" t="s">
        <v>2160</v>
      </c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</row>
    <row r="65" spans="1:13" ht="15" customHeight="1" x14ac:dyDescent="0.45">
      <c r="A65" s="62" t="s">
        <v>2161</v>
      </c>
      <c r="B65" s="61">
        <v>1388</v>
      </c>
      <c r="C65" s="61">
        <v>975</v>
      </c>
      <c r="D65" s="61">
        <v>314</v>
      </c>
      <c r="E65" s="61">
        <v>80</v>
      </c>
      <c r="F65" s="61">
        <v>18</v>
      </c>
      <c r="G65" s="61" t="s">
        <v>2110</v>
      </c>
      <c r="H65" s="61">
        <v>11926</v>
      </c>
      <c r="I65" s="61">
        <v>6389</v>
      </c>
      <c r="J65" s="61">
        <v>3512</v>
      </c>
      <c r="K65" s="61">
        <v>1110</v>
      </c>
      <c r="L65" s="61">
        <v>780</v>
      </c>
      <c r="M65" s="61" t="s">
        <v>2110</v>
      </c>
    </row>
    <row r="66" spans="1:13" ht="15" customHeight="1" x14ac:dyDescent="0.45">
      <c r="A66" s="62" t="s">
        <v>2162</v>
      </c>
      <c r="B66" s="61">
        <v>1474</v>
      </c>
      <c r="C66" s="61">
        <v>1062</v>
      </c>
      <c r="D66" s="61">
        <v>296</v>
      </c>
      <c r="E66" s="61">
        <v>95</v>
      </c>
      <c r="F66" s="61">
        <v>21</v>
      </c>
      <c r="G66" s="61">
        <v>1</v>
      </c>
      <c r="H66" s="61">
        <v>18580</v>
      </c>
      <c r="I66" s="61">
        <v>10199</v>
      </c>
      <c r="J66" s="61">
        <v>4915</v>
      </c>
      <c r="K66" s="61">
        <v>1993</v>
      </c>
      <c r="L66" s="61">
        <v>1218</v>
      </c>
      <c r="M66" s="61">
        <v>255</v>
      </c>
    </row>
    <row r="67" spans="1:13" ht="15" customHeight="1" x14ac:dyDescent="0.45">
      <c r="A67" s="62" t="s">
        <v>2163</v>
      </c>
      <c r="B67" s="61">
        <v>1243</v>
      </c>
      <c r="C67" s="61">
        <v>811</v>
      </c>
      <c r="D67" s="61">
        <v>313</v>
      </c>
      <c r="E67" s="61">
        <v>84</v>
      </c>
      <c r="F67" s="61">
        <v>30</v>
      </c>
      <c r="G67" s="61">
        <v>4</v>
      </c>
      <c r="H67" s="61">
        <v>22519</v>
      </c>
      <c r="I67" s="61">
        <v>10093</v>
      </c>
      <c r="J67" s="61">
        <v>5725</v>
      </c>
      <c r="K67" s="61">
        <v>2403</v>
      </c>
      <c r="L67" s="61">
        <v>2836</v>
      </c>
      <c r="M67" s="61">
        <v>1461</v>
      </c>
    </row>
    <row r="68" spans="1:13" ht="15" customHeight="1" x14ac:dyDescent="0.45">
      <c r="A68" s="62" t="s">
        <v>2164</v>
      </c>
      <c r="B68" s="61">
        <v>643</v>
      </c>
      <c r="C68" s="61">
        <v>449</v>
      </c>
      <c r="D68" s="61">
        <v>141</v>
      </c>
      <c r="E68" s="61">
        <v>33</v>
      </c>
      <c r="F68" s="61">
        <v>18</v>
      </c>
      <c r="G68" s="61">
        <v>2</v>
      </c>
      <c r="H68" s="61">
        <v>14452</v>
      </c>
      <c r="I68" s="61">
        <v>6425</v>
      </c>
      <c r="J68" s="61">
        <v>3496</v>
      </c>
      <c r="K68" s="61">
        <v>1633</v>
      </c>
      <c r="L68" s="61">
        <v>2014</v>
      </c>
      <c r="M68" s="61">
        <v>885</v>
      </c>
    </row>
    <row r="69" spans="1:13" ht="15" customHeight="1" x14ac:dyDescent="0.45">
      <c r="A69" s="62" t="s">
        <v>2165</v>
      </c>
      <c r="B69" s="61">
        <v>464</v>
      </c>
      <c r="C69" s="61">
        <v>361</v>
      </c>
      <c r="D69" s="61">
        <v>63</v>
      </c>
      <c r="E69" s="61">
        <v>28</v>
      </c>
      <c r="F69" s="61">
        <v>11</v>
      </c>
      <c r="G69" s="61" t="s">
        <v>2110</v>
      </c>
      <c r="H69" s="61">
        <v>10100</v>
      </c>
      <c r="I69" s="61">
        <v>5202</v>
      </c>
      <c r="J69" s="61">
        <v>2357</v>
      </c>
      <c r="K69" s="61">
        <v>1138</v>
      </c>
      <c r="L69" s="61">
        <v>1269</v>
      </c>
      <c r="M69" s="61" t="s">
        <v>2110</v>
      </c>
    </row>
    <row r="70" spans="1:13" ht="15" customHeight="1" x14ac:dyDescent="0.45">
      <c r="A70" s="62" t="s">
        <v>2166</v>
      </c>
      <c r="B70" s="61">
        <v>705</v>
      </c>
      <c r="C70" s="61">
        <v>447</v>
      </c>
      <c r="D70" s="61">
        <v>158</v>
      </c>
      <c r="E70" s="61">
        <v>49</v>
      </c>
      <c r="F70" s="61">
        <v>43</v>
      </c>
      <c r="G70" s="61">
        <v>7</v>
      </c>
      <c r="H70" s="61">
        <v>19180</v>
      </c>
      <c r="I70" s="61">
        <v>5609</v>
      </c>
      <c r="J70" s="61">
        <v>3312</v>
      </c>
      <c r="K70" s="61">
        <v>2187</v>
      </c>
      <c r="L70" s="61">
        <v>4942</v>
      </c>
      <c r="M70" s="61">
        <v>3130</v>
      </c>
    </row>
    <row r="71" spans="1:13" ht="24" customHeight="1" x14ac:dyDescent="0.45">
      <c r="A71" s="72" t="s">
        <v>2167</v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</row>
    <row r="72" spans="1:13" ht="15" customHeight="1" x14ac:dyDescent="0.45">
      <c r="A72" s="62" t="s">
        <v>2168</v>
      </c>
      <c r="B72" s="61">
        <v>4982</v>
      </c>
      <c r="C72" s="61">
        <v>3428</v>
      </c>
      <c r="D72" s="61">
        <v>1132</v>
      </c>
      <c r="E72" s="61">
        <v>292</v>
      </c>
      <c r="F72" s="61">
        <v>116</v>
      </c>
      <c r="G72" s="61">
        <v>13</v>
      </c>
      <c r="H72" s="61">
        <v>75055</v>
      </c>
      <c r="I72" s="61">
        <v>35923</v>
      </c>
      <c r="J72" s="61">
        <v>17853</v>
      </c>
      <c r="K72" s="61">
        <v>7205</v>
      </c>
      <c r="L72" s="61">
        <v>9109</v>
      </c>
      <c r="M72" s="61">
        <v>4965</v>
      </c>
    </row>
    <row r="73" spans="1:13" ht="15" customHeight="1" x14ac:dyDescent="0.45">
      <c r="A73" s="60" t="s">
        <v>2169</v>
      </c>
      <c r="B73" s="61">
        <v>3249</v>
      </c>
      <c r="C73" s="61">
        <v>2184</v>
      </c>
      <c r="D73" s="61">
        <v>745</v>
      </c>
      <c r="E73" s="61">
        <v>224</v>
      </c>
      <c r="F73" s="61">
        <v>88</v>
      </c>
      <c r="G73" s="61">
        <v>7</v>
      </c>
      <c r="H73" s="61">
        <v>45609</v>
      </c>
      <c r="I73" s="61">
        <v>19712</v>
      </c>
      <c r="J73" s="61">
        <v>11315</v>
      </c>
      <c r="K73" s="61">
        <v>5432</v>
      </c>
      <c r="L73" s="61">
        <v>6116</v>
      </c>
      <c r="M73" s="61">
        <v>3035</v>
      </c>
    </row>
    <row r="74" spans="1:13" ht="15" customHeight="1" x14ac:dyDescent="0.45">
      <c r="A74" s="60" t="s">
        <v>2170</v>
      </c>
      <c r="B74" s="61">
        <v>1581</v>
      </c>
      <c r="C74" s="61">
        <v>1124</v>
      </c>
      <c r="D74" s="61">
        <v>364</v>
      </c>
      <c r="E74" s="61">
        <v>60</v>
      </c>
      <c r="F74" s="61">
        <v>26</v>
      </c>
      <c r="G74" s="61">
        <v>6</v>
      </c>
      <c r="H74" s="61">
        <v>28456</v>
      </c>
      <c r="I74" s="61">
        <v>15721</v>
      </c>
      <c r="J74" s="61">
        <v>6275</v>
      </c>
      <c r="K74" s="61">
        <v>1670</v>
      </c>
      <c r="L74" s="61">
        <v>2875</v>
      </c>
      <c r="M74" s="61">
        <v>1915</v>
      </c>
    </row>
    <row r="75" spans="1:13" ht="15" customHeight="1" x14ac:dyDescent="0.45">
      <c r="A75" s="60" t="s">
        <v>2171</v>
      </c>
      <c r="B75" s="61">
        <v>152</v>
      </c>
      <c r="C75" s="61">
        <v>120</v>
      </c>
      <c r="D75" s="61" t="s">
        <v>2110</v>
      </c>
      <c r="E75" s="61" t="s">
        <v>2110</v>
      </c>
      <c r="F75" s="61" t="s">
        <v>2110</v>
      </c>
      <c r="G75" s="61" t="s">
        <v>2110</v>
      </c>
      <c r="H75" s="61">
        <v>990</v>
      </c>
      <c r="I75" s="61">
        <v>491</v>
      </c>
      <c r="J75" s="61" t="s">
        <v>2110</v>
      </c>
      <c r="K75" s="61" t="s">
        <v>2110</v>
      </c>
      <c r="L75" s="61" t="s">
        <v>2110</v>
      </c>
      <c r="M75" s="61" t="s">
        <v>2110</v>
      </c>
    </row>
    <row r="76" spans="1:13" ht="15" customHeight="1" x14ac:dyDescent="0.45">
      <c r="A76" s="62" t="s">
        <v>2172</v>
      </c>
      <c r="B76" s="61">
        <v>937</v>
      </c>
      <c r="C76" s="61">
        <v>678</v>
      </c>
      <c r="D76" s="61">
        <v>154</v>
      </c>
      <c r="E76" s="61">
        <v>77</v>
      </c>
      <c r="F76" s="61">
        <v>25</v>
      </c>
      <c r="G76" s="61">
        <v>2</v>
      </c>
      <c r="H76" s="61">
        <v>21703</v>
      </c>
      <c r="I76" s="61">
        <v>7995</v>
      </c>
      <c r="J76" s="61">
        <v>5464</v>
      </c>
      <c r="K76" s="61">
        <v>3260</v>
      </c>
      <c r="L76" s="61">
        <v>3949</v>
      </c>
      <c r="M76" s="61">
        <v>1035</v>
      </c>
    </row>
    <row r="77" spans="1:13" ht="15" customHeight="1" x14ac:dyDescent="0.45">
      <c r="A77" s="60" t="s">
        <v>2173</v>
      </c>
      <c r="B77" s="61">
        <v>70</v>
      </c>
      <c r="C77" s="61">
        <v>55</v>
      </c>
      <c r="D77" s="61">
        <v>9</v>
      </c>
      <c r="E77" s="61" t="s">
        <v>2110</v>
      </c>
      <c r="F77" s="61">
        <v>1</v>
      </c>
      <c r="G77" s="61" t="s">
        <v>2110</v>
      </c>
      <c r="H77" s="61">
        <v>1946</v>
      </c>
      <c r="I77" s="61">
        <v>605</v>
      </c>
      <c r="J77" s="61">
        <v>426</v>
      </c>
      <c r="K77" s="61" t="s">
        <v>2110</v>
      </c>
      <c r="L77" s="61">
        <v>366</v>
      </c>
      <c r="M77" s="61">
        <v>442</v>
      </c>
    </row>
    <row r="78" spans="1:13" ht="15" customHeight="1" x14ac:dyDescent="0.45">
      <c r="A78" s="60" t="s">
        <v>128</v>
      </c>
      <c r="B78" s="61">
        <v>256</v>
      </c>
      <c r="C78" s="61">
        <v>184</v>
      </c>
      <c r="D78" s="61">
        <v>26</v>
      </c>
      <c r="E78" s="61">
        <v>32</v>
      </c>
      <c r="F78" s="61">
        <v>13</v>
      </c>
      <c r="G78" s="61">
        <v>1</v>
      </c>
      <c r="H78" s="61">
        <v>6878</v>
      </c>
      <c r="I78" s="61">
        <v>2272</v>
      </c>
      <c r="J78" s="61">
        <v>1263</v>
      </c>
      <c r="K78" s="61">
        <v>1223</v>
      </c>
      <c r="L78" s="61">
        <v>1882</v>
      </c>
      <c r="M78" s="61">
        <v>238</v>
      </c>
    </row>
    <row r="79" spans="1:13" ht="15" customHeight="1" x14ac:dyDescent="0.45">
      <c r="A79" s="60" t="s">
        <v>2174</v>
      </c>
      <c r="B79" s="61">
        <v>610</v>
      </c>
      <c r="C79" s="61">
        <v>439</v>
      </c>
      <c r="D79" s="61">
        <v>119</v>
      </c>
      <c r="E79" s="61">
        <v>41</v>
      </c>
      <c r="F79" s="61">
        <v>11</v>
      </c>
      <c r="G79" s="61">
        <v>1</v>
      </c>
      <c r="H79" s="61">
        <v>12878</v>
      </c>
      <c r="I79" s="61">
        <v>5119</v>
      </c>
      <c r="J79" s="61">
        <v>3774</v>
      </c>
      <c r="K79" s="61">
        <v>1930</v>
      </c>
      <c r="L79" s="61">
        <v>1700</v>
      </c>
      <c r="M79" s="61">
        <v>355</v>
      </c>
    </row>
    <row r="80" spans="1:13" ht="34.049999999999997" customHeight="1" x14ac:dyDescent="0.45">
      <c r="A80" s="72" t="s">
        <v>2175</v>
      </c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</row>
    <row r="81" spans="1:13" ht="15" customHeight="1" x14ac:dyDescent="0.45">
      <c r="A81" s="62" t="s">
        <v>2176</v>
      </c>
      <c r="B81" s="61">
        <v>4872</v>
      </c>
      <c r="C81" s="61">
        <v>3310</v>
      </c>
      <c r="D81" s="61">
        <v>1089</v>
      </c>
      <c r="E81" s="61">
        <v>328</v>
      </c>
      <c r="F81" s="61">
        <v>130</v>
      </c>
      <c r="G81" s="61">
        <v>14</v>
      </c>
      <c r="H81" s="61">
        <v>79515</v>
      </c>
      <c r="I81" s="61">
        <v>32903</v>
      </c>
      <c r="J81" s="61">
        <v>19745</v>
      </c>
      <c r="K81" s="61">
        <v>9475</v>
      </c>
      <c r="L81" s="61">
        <v>11863</v>
      </c>
      <c r="M81" s="61">
        <v>5529</v>
      </c>
    </row>
    <row r="82" spans="1:13" ht="15" customHeight="1" x14ac:dyDescent="0.45">
      <c r="A82" s="62" t="s">
        <v>2177</v>
      </c>
      <c r="B82" s="61">
        <v>831</v>
      </c>
      <c r="C82" s="61">
        <v>662</v>
      </c>
      <c r="D82" s="61">
        <v>142</v>
      </c>
      <c r="E82" s="61">
        <v>24</v>
      </c>
      <c r="F82" s="61">
        <v>3</v>
      </c>
      <c r="G82" s="61" t="s">
        <v>2110</v>
      </c>
      <c r="H82" s="61">
        <v>12956</v>
      </c>
      <c r="I82" s="61">
        <v>9242</v>
      </c>
      <c r="J82" s="61">
        <v>2670</v>
      </c>
      <c r="K82" s="61">
        <v>436</v>
      </c>
      <c r="L82" s="61">
        <v>539</v>
      </c>
      <c r="M82" s="61" t="s">
        <v>2110</v>
      </c>
    </row>
    <row r="83" spans="1:13" ht="15" customHeight="1" x14ac:dyDescent="0.45">
      <c r="A83" s="62" t="s">
        <v>2178</v>
      </c>
      <c r="B83" s="61">
        <v>97</v>
      </c>
      <c r="C83" s="61">
        <v>67</v>
      </c>
      <c r="D83" s="61">
        <v>22</v>
      </c>
      <c r="E83" s="61" t="s">
        <v>2110</v>
      </c>
      <c r="F83" s="61">
        <v>3</v>
      </c>
      <c r="G83" s="61">
        <v>1</v>
      </c>
      <c r="H83" s="61">
        <v>1994</v>
      </c>
      <c r="I83" s="61">
        <v>762</v>
      </c>
      <c r="J83" s="61">
        <v>397</v>
      </c>
      <c r="K83" s="61" t="s">
        <v>2110</v>
      </c>
      <c r="L83" s="61">
        <v>313</v>
      </c>
      <c r="M83" s="61">
        <v>295</v>
      </c>
    </row>
    <row r="84" spans="1:13" ht="15" customHeight="1" x14ac:dyDescent="0.45">
      <c r="A84" s="62" t="s">
        <v>2179</v>
      </c>
      <c r="B84" s="61">
        <v>118</v>
      </c>
      <c r="C84" s="61">
        <v>67</v>
      </c>
      <c r="D84" s="61" t="s">
        <v>2110</v>
      </c>
      <c r="E84" s="61" t="s">
        <v>2110</v>
      </c>
      <c r="F84" s="61">
        <v>5</v>
      </c>
      <c r="G84" s="61">
        <v>0</v>
      </c>
      <c r="H84" s="61">
        <v>2293</v>
      </c>
      <c r="I84" s="61">
        <v>1011</v>
      </c>
      <c r="J84" s="61">
        <v>504</v>
      </c>
      <c r="K84" s="61" t="s">
        <v>2110</v>
      </c>
      <c r="L84" s="61">
        <v>343</v>
      </c>
      <c r="M84" s="61">
        <v>108</v>
      </c>
    </row>
    <row r="85" spans="1:13" ht="34.049999999999997" customHeight="1" x14ac:dyDescent="0.45">
      <c r="A85" s="72" t="s">
        <v>2180</v>
      </c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</row>
    <row r="86" spans="1:13" ht="15" customHeight="1" x14ac:dyDescent="0.45">
      <c r="A86" s="62" t="s">
        <v>2176</v>
      </c>
      <c r="B86" s="61">
        <v>5127</v>
      </c>
      <c r="C86" s="61">
        <v>3508</v>
      </c>
      <c r="D86" s="61">
        <v>1146</v>
      </c>
      <c r="E86" s="61">
        <v>325</v>
      </c>
      <c r="F86" s="61">
        <v>133</v>
      </c>
      <c r="G86" s="61">
        <v>15</v>
      </c>
      <c r="H86" s="61">
        <v>83103</v>
      </c>
      <c r="I86" s="61">
        <v>35425</v>
      </c>
      <c r="J86" s="61">
        <v>20610</v>
      </c>
      <c r="K86" s="61">
        <v>9434</v>
      </c>
      <c r="L86" s="61">
        <v>12017</v>
      </c>
      <c r="M86" s="61">
        <v>5617</v>
      </c>
    </row>
    <row r="87" spans="1:13" ht="15" customHeight="1" x14ac:dyDescent="0.45">
      <c r="A87" s="62" t="s">
        <v>2177</v>
      </c>
      <c r="B87" s="61">
        <v>483</v>
      </c>
      <c r="C87" s="61">
        <v>389</v>
      </c>
      <c r="D87" s="61">
        <v>77</v>
      </c>
      <c r="E87" s="61">
        <v>15</v>
      </c>
      <c r="F87" s="61">
        <v>2</v>
      </c>
      <c r="G87" s="61" t="s">
        <v>2110</v>
      </c>
      <c r="H87" s="61">
        <v>7682</v>
      </c>
      <c r="I87" s="61">
        <v>5765</v>
      </c>
      <c r="J87" s="61">
        <v>1307</v>
      </c>
      <c r="K87" s="61">
        <v>260</v>
      </c>
      <c r="L87" s="61">
        <v>298</v>
      </c>
      <c r="M87" s="61" t="s">
        <v>2110</v>
      </c>
    </row>
    <row r="88" spans="1:13" ht="15" customHeight="1" x14ac:dyDescent="0.45">
      <c r="A88" s="62" t="s">
        <v>2178</v>
      </c>
      <c r="B88" s="61">
        <v>49</v>
      </c>
      <c r="C88" s="61">
        <v>40</v>
      </c>
      <c r="D88" s="61" t="s">
        <v>2110</v>
      </c>
      <c r="E88" s="61" t="s">
        <v>2110</v>
      </c>
      <c r="F88" s="61">
        <v>1</v>
      </c>
      <c r="G88" s="61" t="s">
        <v>2110</v>
      </c>
      <c r="H88" s="61">
        <v>1069</v>
      </c>
      <c r="I88" s="61">
        <v>422</v>
      </c>
      <c r="J88" s="61" t="s">
        <v>2110</v>
      </c>
      <c r="K88" s="61" t="s">
        <v>2110</v>
      </c>
      <c r="L88" s="61">
        <v>143</v>
      </c>
      <c r="M88" s="61" t="s">
        <v>2110</v>
      </c>
    </row>
    <row r="89" spans="1:13" ht="15" customHeight="1" x14ac:dyDescent="0.45">
      <c r="A89" s="62" t="s">
        <v>2179</v>
      </c>
      <c r="B89" s="61">
        <v>260</v>
      </c>
      <c r="C89" s="61">
        <v>169</v>
      </c>
      <c r="D89" s="61">
        <v>56</v>
      </c>
      <c r="E89" s="61">
        <v>28</v>
      </c>
      <c r="F89" s="61">
        <v>6</v>
      </c>
      <c r="G89" s="61">
        <v>1</v>
      </c>
      <c r="H89" s="61">
        <v>4904</v>
      </c>
      <c r="I89" s="61">
        <v>2306</v>
      </c>
      <c r="J89" s="61">
        <v>1104</v>
      </c>
      <c r="K89" s="61">
        <v>674</v>
      </c>
      <c r="L89" s="61">
        <v>600</v>
      </c>
      <c r="M89" s="61">
        <v>220</v>
      </c>
    </row>
    <row r="90" spans="1:13" ht="24" customHeight="1" x14ac:dyDescent="0.45">
      <c r="A90" s="72" t="s">
        <v>2181</v>
      </c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</row>
    <row r="91" spans="1:13" ht="15" customHeight="1" x14ac:dyDescent="0.45">
      <c r="A91" s="62" t="s">
        <v>2141</v>
      </c>
      <c r="B91" s="61">
        <v>4719</v>
      </c>
      <c r="C91" s="61">
        <v>3350</v>
      </c>
      <c r="D91" s="61">
        <v>1008</v>
      </c>
      <c r="E91" s="61">
        <v>258</v>
      </c>
      <c r="F91" s="61">
        <v>96</v>
      </c>
      <c r="G91" s="61">
        <v>7</v>
      </c>
      <c r="H91" s="61">
        <v>65708</v>
      </c>
      <c r="I91" s="61">
        <v>31505</v>
      </c>
      <c r="J91" s="61">
        <v>17022</v>
      </c>
      <c r="K91" s="61">
        <v>7180</v>
      </c>
      <c r="L91" s="61">
        <v>7940</v>
      </c>
      <c r="M91" s="61">
        <v>2062</v>
      </c>
    </row>
    <row r="92" spans="1:13" ht="15" customHeight="1" x14ac:dyDescent="0.45">
      <c r="A92" s="62" t="s">
        <v>2182</v>
      </c>
      <c r="B92" s="61">
        <v>811</v>
      </c>
      <c r="C92" s="61">
        <v>513</v>
      </c>
      <c r="D92" s="61">
        <v>197</v>
      </c>
      <c r="E92" s="61">
        <v>72</v>
      </c>
      <c r="F92" s="61">
        <v>27</v>
      </c>
      <c r="G92" s="61">
        <v>2</v>
      </c>
      <c r="H92" s="61">
        <v>16449</v>
      </c>
      <c r="I92" s="61">
        <v>7172</v>
      </c>
      <c r="J92" s="61">
        <v>3918</v>
      </c>
      <c r="K92" s="61">
        <v>1830</v>
      </c>
      <c r="L92" s="61">
        <v>2517</v>
      </c>
      <c r="M92" s="61">
        <v>1013</v>
      </c>
    </row>
    <row r="93" spans="1:13" ht="15" customHeight="1" x14ac:dyDescent="0.45">
      <c r="A93" s="62" t="s">
        <v>2183</v>
      </c>
      <c r="B93" s="61">
        <v>135</v>
      </c>
      <c r="C93" s="61">
        <v>72</v>
      </c>
      <c r="D93" s="61">
        <v>35</v>
      </c>
      <c r="E93" s="61">
        <v>19</v>
      </c>
      <c r="F93" s="61">
        <v>7</v>
      </c>
      <c r="G93" s="61">
        <v>2</v>
      </c>
      <c r="H93" s="61">
        <v>5539</v>
      </c>
      <c r="I93" s="61">
        <v>2397</v>
      </c>
      <c r="J93" s="61">
        <v>911</v>
      </c>
      <c r="K93" s="61">
        <v>567</v>
      </c>
      <c r="L93" s="61">
        <v>988</v>
      </c>
      <c r="M93" s="61">
        <v>677</v>
      </c>
    </row>
    <row r="94" spans="1:13" ht="15" customHeight="1" x14ac:dyDescent="0.45">
      <c r="A94" s="62" t="s">
        <v>2184</v>
      </c>
      <c r="B94" s="61">
        <v>63</v>
      </c>
      <c r="C94" s="61">
        <v>32</v>
      </c>
      <c r="D94" s="61">
        <v>20</v>
      </c>
      <c r="E94" s="61">
        <v>2</v>
      </c>
      <c r="F94" s="61">
        <v>7</v>
      </c>
      <c r="G94" s="61">
        <v>2</v>
      </c>
      <c r="H94" s="61">
        <v>3894</v>
      </c>
      <c r="I94" s="61">
        <v>1440</v>
      </c>
      <c r="J94" s="61">
        <v>794</v>
      </c>
      <c r="K94" s="61">
        <v>193</v>
      </c>
      <c r="L94" s="61">
        <v>763</v>
      </c>
      <c r="M94" s="61">
        <v>705</v>
      </c>
    </row>
    <row r="95" spans="1:13" ht="15" customHeight="1" x14ac:dyDescent="0.45">
      <c r="A95" s="62" t="s">
        <v>2185</v>
      </c>
      <c r="B95" s="61">
        <v>19</v>
      </c>
      <c r="C95" s="61">
        <v>6</v>
      </c>
      <c r="D95" s="61" t="s">
        <v>2110</v>
      </c>
      <c r="E95" s="61">
        <v>5</v>
      </c>
      <c r="F95" s="61">
        <v>3</v>
      </c>
      <c r="G95" s="61">
        <v>3</v>
      </c>
      <c r="H95" s="61">
        <v>3999</v>
      </c>
      <c r="I95" s="61">
        <v>855</v>
      </c>
      <c r="J95" s="61">
        <v>393</v>
      </c>
      <c r="K95" s="61">
        <v>515</v>
      </c>
      <c r="L95" s="61">
        <v>715</v>
      </c>
      <c r="M95" s="61">
        <v>1521</v>
      </c>
    </row>
    <row r="96" spans="1:13" ht="15" customHeight="1" x14ac:dyDescent="0.45">
      <c r="A96" s="62" t="s">
        <v>2186</v>
      </c>
      <c r="B96" s="61">
        <v>170</v>
      </c>
      <c r="C96" s="61">
        <v>133</v>
      </c>
      <c r="D96" s="61" t="s">
        <v>2110</v>
      </c>
      <c r="E96" s="61" t="s">
        <v>2110</v>
      </c>
      <c r="F96" s="61" t="s">
        <v>2110</v>
      </c>
      <c r="G96" s="61" t="s">
        <v>2110</v>
      </c>
      <c r="H96" s="61">
        <v>1168</v>
      </c>
      <c r="I96" s="61">
        <v>549</v>
      </c>
      <c r="J96" s="61" t="s">
        <v>2110</v>
      </c>
      <c r="K96" s="61" t="s">
        <v>2110</v>
      </c>
      <c r="L96" s="61" t="s">
        <v>2110</v>
      </c>
      <c r="M96" s="61" t="s">
        <v>2110</v>
      </c>
    </row>
    <row r="97" spans="1:13" ht="24" customHeight="1" x14ac:dyDescent="0.45">
      <c r="A97" s="72" t="s">
        <v>2187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</row>
    <row r="98" spans="1:13" ht="15" customHeight="1" x14ac:dyDescent="0.45">
      <c r="A98" s="62" t="s">
        <v>2188</v>
      </c>
      <c r="B98" s="61">
        <v>3622</v>
      </c>
      <c r="C98" s="61">
        <v>2461</v>
      </c>
      <c r="D98" s="61">
        <v>834</v>
      </c>
      <c r="E98" s="61">
        <v>240</v>
      </c>
      <c r="F98" s="61">
        <v>76</v>
      </c>
      <c r="G98" s="61">
        <v>11</v>
      </c>
      <c r="H98" s="61">
        <v>56948</v>
      </c>
      <c r="I98" s="61">
        <v>26066</v>
      </c>
      <c r="J98" s="61">
        <v>14725</v>
      </c>
      <c r="K98" s="61">
        <v>6377</v>
      </c>
      <c r="L98" s="61">
        <v>6115</v>
      </c>
      <c r="M98" s="61">
        <v>3665</v>
      </c>
    </row>
    <row r="99" spans="1:13" ht="15" customHeight="1" x14ac:dyDescent="0.45">
      <c r="A99" s="62" t="s">
        <v>2189</v>
      </c>
      <c r="B99" s="61">
        <v>247</v>
      </c>
      <c r="C99" s="61">
        <v>190</v>
      </c>
      <c r="D99" s="61">
        <v>44</v>
      </c>
      <c r="E99" s="61">
        <v>6</v>
      </c>
      <c r="F99" s="61" t="s">
        <v>2110</v>
      </c>
      <c r="G99" s="61" t="s">
        <v>2252</v>
      </c>
      <c r="H99" s="61">
        <v>5134</v>
      </c>
      <c r="I99" s="61">
        <v>2662</v>
      </c>
      <c r="J99" s="61">
        <v>1496</v>
      </c>
      <c r="K99" s="61">
        <v>411</v>
      </c>
      <c r="L99" s="61">
        <v>566</v>
      </c>
      <c r="M99" s="61" t="s">
        <v>2252</v>
      </c>
    </row>
    <row r="100" spans="1:13" ht="15" customHeight="1" x14ac:dyDescent="0.45">
      <c r="A100" s="62" t="s">
        <v>2190</v>
      </c>
      <c r="B100" s="61">
        <v>103</v>
      </c>
      <c r="C100" s="61">
        <v>39</v>
      </c>
      <c r="D100" s="61">
        <v>30</v>
      </c>
      <c r="E100" s="61">
        <v>13</v>
      </c>
      <c r="F100" s="61">
        <v>20</v>
      </c>
      <c r="G100" s="61">
        <v>1</v>
      </c>
      <c r="H100" s="61">
        <v>3761</v>
      </c>
      <c r="I100" s="61">
        <v>469</v>
      </c>
      <c r="J100" s="61">
        <v>591</v>
      </c>
      <c r="K100" s="61">
        <v>698</v>
      </c>
      <c r="L100" s="61">
        <v>1793</v>
      </c>
      <c r="M100" s="61">
        <v>211</v>
      </c>
    </row>
    <row r="101" spans="1:13" ht="15" customHeight="1" x14ac:dyDescent="0.45">
      <c r="A101" s="62" t="s">
        <v>2191</v>
      </c>
      <c r="B101" s="61">
        <v>141</v>
      </c>
      <c r="C101" s="61">
        <v>77</v>
      </c>
      <c r="D101" s="61">
        <v>38</v>
      </c>
      <c r="E101" s="61">
        <v>13</v>
      </c>
      <c r="F101" s="61">
        <v>11</v>
      </c>
      <c r="G101" s="61">
        <v>1</v>
      </c>
      <c r="H101" s="61">
        <v>3823</v>
      </c>
      <c r="I101" s="61">
        <v>692</v>
      </c>
      <c r="J101" s="61">
        <v>742</v>
      </c>
      <c r="K101" s="61">
        <v>349</v>
      </c>
      <c r="L101" s="61">
        <v>1176</v>
      </c>
      <c r="M101" s="61">
        <v>864</v>
      </c>
    </row>
    <row r="102" spans="1:13" ht="15" customHeight="1" x14ac:dyDescent="0.45">
      <c r="A102" s="62" t="s">
        <v>2192</v>
      </c>
      <c r="B102" s="61">
        <v>250</v>
      </c>
      <c r="C102" s="61">
        <v>206</v>
      </c>
      <c r="D102" s="61">
        <v>41</v>
      </c>
      <c r="E102" s="61" t="s">
        <v>2110</v>
      </c>
      <c r="F102" s="61" t="s">
        <v>2110</v>
      </c>
      <c r="G102" s="61" t="s">
        <v>2110</v>
      </c>
      <c r="H102" s="61">
        <v>4523</v>
      </c>
      <c r="I102" s="61">
        <v>3216</v>
      </c>
      <c r="J102" s="61">
        <v>1002</v>
      </c>
      <c r="K102" s="61" t="s">
        <v>2110</v>
      </c>
      <c r="L102" s="61" t="s">
        <v>2110</v>
      </c>
      <c r="M102" s="61" t="s">
        <v>2110</v>
      </c>
    </row>
    <row r="103" spans="1:13" ht="15" customHeight="1" x14ac:dyDescent="0.45">
      <c r="A103" s="62" t="s">
        <v>2193</v>
      </c>
      <c r="B103" s="61">
        <v>418</v>
      </c>
      <c r="C103" s="61">
        <v>365</v>
      </c>
      <c r="D103" s="61">
        <v>41</v>
      </c>
      <c r="E103" s="61" t="s">
        <v>2110</v>
      </c>
      <c r="F103" s="61" t="s">
        <v>2110</v>
      </c>
      <c r="G103" s="61" t="s">
        <v>2252</v>
      </c>
      <c r="H103" s="61">
        <v>5684</v>
      </c>
      <c r="I103" s="61">
        <v>4261</v>
      </c>
      <c r="J103" s="61">
        <v>1087</v>
      </c>
      <c r="K103" s="61" t="s">
        <v>2110</v>
      </c>
      <c r="L103" s="61" t="s">
        <v>2110</v>
      </c>
      <c r="M103" s="61" t="s">
        <v>2252</v>
      </c>
    </row>
    <row r="104" spans="1:13" ht="15" customHeight="1" x14ac:dyDescent="0.45">
      <c r="A104" s="62" t="s">
        <v>2194</v>
      </c>
      <c r="B104" s="61">
        <v>253</v>
      </c>
      <c r="C104" s="61">
        <v>131</v>
      </c>
      <c r="D104" s="61">
        <v>91</v>
      </c>
      <c r="E104" s="61">
        <v>24</v>
      </c>
      <c r="F104" s="61" t="s">
        <v>2110</v>
      </c>
      <c r="G104" s="61" t="s">
        <v>2110</v>
      </c>
      <c r="H104" s="61">
        <v>3257</v>
      </c>
      <c r="I104" s="61">
        <v>1250</v>
      </c>
      <c r="J104" s="61">
        <v>1221</v>
      </c>
      <c r="K104" s="61">
        <v>566</v>
      </c>
      <c r="L104" s="61" t="s">
        <v>2110</v>
      </c>
      <c r="M104" s="61" t="s">
        <v>2110</v>
      </c>
    </row>
    <row r="105" spans="1:13" ht="15" customHeight="1" x14ac:dyDescent="0.45">
      <c r="A105" s="62" t="s">
        <v>2195</v>
      </c>
      <c r="B105" s="61">
        <v>60</v>
      </c>
      <c r="C105" s="61">
        <v>36</v>
      </c>
      <c r="D105" s="61">
        <v>12</v>
      </c>
      <c r="E105" s="61">
        <v>5</v>
      </c>
      <c r="F105" s="61">
        <v>7</v>
      </c>
      <c r="G105" s="61">
        <v>1</v>
      </c>
      <c r="H105" s="61">
        <v>2819</v>
      </c>
      <c r="I105" s="61">
        <v>390</v>
      </c>
      <c r="J105" s="61">
        <v>280</v>
      </c>
      <c r="K105" s="61">
        <v>177</v>
      </c>
      <c r="L105" s="61">
        <v>1409</v>
      </c>
      <c r="M105" s="61">
        <v>563</v>
      </c>
    </row>
    <row r="106" spans="1:13" ht="15" customHeight="1" x14ac:dyDescent="0.45">
      <c r="A106" s="62" t="s">
        <v>2196</v>
      </c>
      <c r="B106" s="61">
        <v>102</v>
      </c>
      <c r="C106" s="61">
        <v>52</v>
      </c>
      <c r="D106" s="61">
        <v>34</v>
      </c>
      <c r="E106" s="61" t="s">
        <v>2110</v>
      </c>
      <c r="F106" s="61">
        <v>5</v>
      </c>
      <c r="G106" s="61" t="s">
        <v>2110</v>
      </c>
      <c r="H106" s="61">
        <v>1602</v>
      </c>
      <c r="I106" s="61">
        <v>303</v>
      </c>
      <c r="J106" s="61">
        <v>381</v>
      </c>
      <c r="K106" s="61" t="s">
        <v>2110</v>
      </c>
      <c r="L106" s="61">
        <v>324</v>
      </c>
      <c r="M106" s="61" t="s">
        <v>2110</v>
      </c>
    </row>
    <row r="107" spans="1:13" ht="15" customHeight="1" x14ac:dyDescent="0.45">
      <c r="A107" s="62" t="s">
        <v>2197</v>
      </c>
      <c r="B107" s="61">
        <v>36</v>
      </c>
      <c r="C107" s="61">
        <v>33</v>
      </c>
      <c r="D107" s="61" t="s">
        <v>2110</v>
      </c>
      <c r="E107" s="61" t="s">
        <v>2110</v>
      </c>
      <c r="F107" s="61" t="s">
        <v>2110</v>
      </c>
      <c r="G107" s="61" t="s">
        <v>2110</v>
      </c>
      <c r="H107" s="61">
        <v>774</v>
      </c>
      <c r="I107" s="61">
        <v>227</v>
      </c>
      <c r="J107" s="61" t="s">
        <v>2110</v>
      </c>
      <c r="K107" s="61" t="s">
        <v>2110</v>
      </c>
      <c r="L107" s="61" t="s">
        <v>2110</v>
      </c>
      <c r="M107" s="61" t="s">
        <v>2110</v>
      </c>
    </row>
    <row r="108" spans="1:13" ht="15" customHeight="1" x14ac:dyDescent="0.45">
      <c r="A108" s="62" t="s">
        <v>2198</v>
      </c>
      <c r="B108" s="61">
        <v>124</v>
      </c>
      <c r="C108" s="61">
        <v>101</v>
      </c>
      <c r="D108" s="61">
        <v>14</v>
      </c>
      <c r="E108" s="61" t="s">
        <v>2110</v>
      </c>
      <c r="F108" s="61">
        <v>2</v>
      </c>
      <c r="G108" s="61" t="s">
        <v>2110</v>
      </c>
      <c r="H108" s="61">
        <v>1701</v>
      </c>
      <c r="I108" s="61">
        <v>738</v>
      </c>
      <c r="J108" s="61">
        <v>293</v>
      </c>
      <c r="K108" s="61" t="s">
        <v>2110</v>
      </c>
      <c r="L108" s="61">
        <v>333</v>
      </c>
      <c r="M108" s="61" t="s">
        <v>2110</v>
      </c>
    </row>
    <row r="109" spans="1:13" ht="15" customHeight="1" x14ac:dyDescent="0.45">
      <c r="A109" s="62" t="s">
        <v>2179</v>
      </c>
      <c r="B109" s="61">
        <v>563</v>
      </c>
      <c r="C109" s="61">
        <v>416</v>
      </c>
      <c r="D109" s="61">
        <v>104</v>
      </c>
      <c r="E109" s="61">
        <v>36</v>
      </c>
      <c r="F109" s="61">
        <v>5</v>
      </c>
      <c r="G109" s="61" t="s">
        <v>2110</v>
      </c>
      <c r="H109" s="61">
        <v>6732</v>
      </c>
      <c r="I109" s="61">
        <v>3645</v>
      </c>
      <c r="J109" s="61">
        <v>1371</v>
      </c>
      <c r="K109" s="61">
        <v>653</v>
      </c>
      <c r="L109" s="61">
        <v>797</v>
      </c>
      <c r="M109" s="61" t="s">
        <v>2110</v>
      </c>
    </row>
    <row r="110" spans="1:13" ht="24" customHeight="1" x14ac:dyDescent="0.45">
      <c r="A110" s="72" t="s">
        <v>2199</v>
      </c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</row>
    <row r="111" spans="1:13" ht="15" customHeight="1" x14ac:dyDescent="0.45">
      <c r="A111" s="62" t="s">
        <v>2200</v>
      </c>
      <c r="B111" s="61">
        <v>2490</v>
      </c>
      <c r="C111" s="61">
        <v>1519</v>
      </c>
      <c r="D111" s="61">
        <v>638</v>
      </c>
      <c r="E111" s="61">
        <v>239</v>
      </c>
      <c r="F111" s="61">
        <v>88</v>
      </c>
      <c r="G111" s="61">
        <v>7</v>
      </c>
      <c r="H111" s="61">
        <v>46291</v>
      </c>
      <c r="I111" s="61">
        <v>16880</v>
      </c>
      <c r="J111" s="61">
        <v>12149</v>
      </c>
      <c r="K111" s="61">
        <v>6859</v>
      </c>
      <c r="L111" s="61">
        <v>8040</v>
      </c>
      <c r="M111" s="61">
        <v>2362</v>
      </c>
    </row>
    <row r="112" spans="1:13" ht="15" customHeight="1" x14ac:dyDescent="0.45">
      <c r="A112" s="62" t="s">
        <v>2201</v>
      </c>
      <c r="B112" s="61">
        <v>935</v>
      </c>
      <c r="C112" s="61">
        <v>688</v>
      </c>
      <c r="D112" s="61">
        <v>193</v>
      </c>
      <c r="E112" s="61">
        <v>34</v>
      </c>
      <c r="F112" s="61">
        <v>17</v>
      </c>
      <c r="G112" s="61">
        <v>4</v>
      </c>
      <c r="H112" s="61">
        <v>19565</v>
      </c>
      <c r="I112" s="61">
        <v>10280</v>
      </c>
      <c r="J112" s="61">
        <v>4512</v>
      </c>
      <c r="K112" s="61">
        <v>1522</v>
      </c>
      <c r="L112" s="61">
        <v>2128</v>
      </c>
      <c r="M112" s="61">
        <v>1124</v>
      </c>
    </row>
    <row r="113" spans="1:13" ht="15" customHeight="1" x14ac:dyDescent="0.45">
      <c r="A113" s="62" t="s">
        <v>2202</v>
      </c>
      <c r="B113" s="61">
        <v>137</v>
      </c>
      <c r="C113" s="61">
        <v>85</v>
      </c>
      <c r="D113" s="61">
        <v>33</v>
      </c>
      <c r="E113" s="61">
        <v>11</v>
      </c>
      <c r="F113" s="61">
        <v>5</v>
      </c>
      <c r="G113" s="61">
        <v>2</v>
      </c>
      <c r="H113" s="61">
        <v>8331</v>
      </c>
      <c r="I113" s="61">
        <v>3666</v>
      </c>
      <c r="J113" s="61">
        <v>2048</v>
      </c>
      <c r="K113" s="61">
        <v>733</v>
      </c>
      <c r="L113" s="61">
        <v>1039</v>
      </c>
      <c r="M113" s="61">
        <v>846</v>
      </c>
    </row>
    <row r="114" spans="1:13" ht="15" customHeight="1" x14ac:dyDescent="0.45">
      <c r="A114" s="62" t="s">
        <v>2203</v>
      </c>
      <c r="B114" s="61">
        <v>948</v>
      </c>
      <c r="C114" s="61">
        <v>607</v>
      </c>
      <c r="D114" s="61">
        <v>253</v>
      </c>
      <c r="E114" s="61">
        <v>70</v>
      </c>
      <c r="F114" s="61">
        <v>17</v>
      </c>
      <c r="G114" s="61" t="s">
        <v>2110</v>
      </c>
      <c r="H114" s="61">
        <v>5982</v>
      </c>
      <c r="I114" s="61">
        <v>3172</v>
      </c>
      <c r="J114" s="61">
        <v>1880</v>
      </c>
      <c r="K114" s="61">
        <v>670</v>
      </c>
      <c r="L114" s="61">
        <v>230</v>
      </c>
      <c r="M114" s="61" t="s">
        <v>2110</v>
      </c>
    </row>
    <row r="115" spans="1:13" ht="15" customHeight="1" x14ac:dyDescent="0.45">
      <c r="A115" s="62" t="s">
        <v>2204</v>
      </c>
      <c r="B115" s="61">
        <v>1250</v>
      </c>
      <c r="C115" s="61">
        <v>1098</v>
      </c>
      <c r="D115" s="61">
        <v>140</v>
      </c>
      <c r="E115" s="61" t="s">
        <v>2110</v>
      </c>
      <c r="F115" s="61">
        <v>1</v>
      </c>
      <c r="G115" s="61" t="s">
        <v>2110</v>
      </c>
      <c r="H115" s="61">
        <v>12184</v>
      </c>
      <c r="I115" s="61">
        <v>9104</v>
      </c>
      <c r="J115" s="61">
        <v>2199</v>
      </c>
      <c r="K115" s="61" t="s">
        <v>2110</v>
      </c>
      <c r="L115" s="61">
        <v>273</v>
      </c>
      <c r="M115" s="61" t="s">
        <v>2110</v>
      </c>
    </row>
    <row r="116" spans="1:13" ht="15" customHeight="1" x14ac:dyDescent="0.45">
      <c r="A116" s="62" t="s">
        <v>2205</v>
      </c>
      <c r="B116" s="61">
        <v>19</v>
      </c>
      <c r="C116" s="61" t="s">
        <v>2110</v>
      </c>
      <c r="D116" s="61" t="s">
        <v>2110</v>
      </c>
      <c r="E116" s="61" t="s">
        <v>2110</v>
      </c>
      <c r="F116" s="61">
        <v>5</v>
      </c>
      <c r="G116" s="61">
        <v>2</v>
      </c>
      <c r="H116" s="61">
        <v>2186</v>
      </c>
      <c r="I116" s="61" t="s">
        <v>2110</v>
      </c>
      <c r="J116" s="61" t="s">
        <v>2110</v>
      </c>
      <c r="K116" s="61" t="s">
        <v>2110</v>
      </c>
      <c r="L116" s="61">
        <v>862</v>
      </c>
      <c r="M116" s="61">
        <v>950</v>
      </c>
    </row>
    <row r="117" spans="1:13" ht="15" customHeight="1" x14ac:dyDescent="0.45">
      <c r="A117" s="62" t="s">
        <v>2179</v>
      </c>
      <c r="B117" s="61">
        <v>139</v>
      </c>
      <c r="C117" s="61">
        <v>103</v>
      </c>
      <c r="D117" s="61">
        <v>24</v>
      </c>
      <c r="E117" s="61" t="s">
        <v>2110</v>
      </c>
      <c r="F117" s="61" t="s">
        <v>2110</v>
      </c>
      <c r="G117" s="61">
        <v>1</v>
      </c>
      <c r="H117" s="61">
        <v>2219</v>
      </c>
      <c r="I117" s="61">
        <v>720</v>
      </c>
      <c r="J117" s="61">
        <v>361</v>
      </c>
      <c r="K117" s="61" t="s">
        <v>2110</v>
      </c>
      <c r="L117" s="61">
        <v>486</v>
      </c>
      <c r="M117" s="61">
        <v>546</v>
      </c>
    </row>
    <row r="118" spans="1:13" ht="24" customHeight="1" x14ac:dyDescent="0.45">
      <c r="A118" s="72" t="s">
        <v>2206</v>
      </c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</row>
    <row r="119" spans="1:13" ht="15" customHeight="1" x14ac:dyDescent="0.45">
      <c r="A119" s="62" t="s">
        <v>2207</v>
      </c>
      <c r="B119" s="61">
        <v>2198</v>
      </c>
      <c r="C119" s="61">
        <v>1818</v>
      </c>
      <c r="D119" s="61">
        <v>333</v>
      </c>
      <c r="E119" s="61">
        <v>38</v>
      </c>
      <c r="F119" s="61">
        <v>8</v>
      </c>
      <c r="G119" s="61" t="s">
        <v>2110</v>
      </c>
      <c r="H119" s="61">
        <v>21013</v>
      </c>
      <c r="I119" s="61">
        <v>15090</v>
      </c>
      <c r="J119" s="61">
        <v>4339</v>
      </c>
      <c r="K119" s="61">
        <v>1024</v>
      </c>
      <c r="L119" s="61">
        <v>412</v>
      </c>
      <c r="M119" s="61" t="s">
        <v>2110</v>
      </c>
    </row>
    <row r="120" spans="1:13" ht="15" customHeight="1" x14ac:dyDescent="0.45">
      <c r="A120" s="62" t="s">
        <v>2208</v>
      </c>
      <c r="B120" s="61">
        <v>940</v>
      </c>
      <c r="C120" s="61">
        <v>565</v>
      </c>
      <c r="D120" s="61">
        <v>222</v>
      </c>
      <c r="E120" s="61">
        <v>95</v>
      </c>
      <c r="F120" s="61">
        <v>51</v>
      </c>
      <c r="G120" s="61">
        <v>7</v>
      </c>
      <c r="H120" s="61">
        <v>31621</v>
      </c>
      <c r="I120" s="61">
        <v>11182</v>
      </c>
      <c r="J120" s="61">
        <v>7726</v>
      </c>
      <c r="K120" s="61">
        <v>4342</v>
      </c>
      <c r="L120" s="61">
        <v>5790</v>
      </c>
      <c r="M120" s="61">
        <v>2581</v>
      </c>
    </row>
    <row r="121" spans="1:13" ht="15" customHeight="1" x14ac:dyDescent="0.45">
      <c r="A121" s="62" t="s">
        <v>2209</v>
      </c>
      <c r="B121" s="61">
        <v>708</v>
      </c>
      <c r="C121" s="61">
        <v>477</v>
      </c>
      <c r="D121" s="61">
        <v>142</v>
      </c>
      <c r="E121" s="61">
        <v>52</v>
      </c>
      <c r="F121" s="61">
        <v>31</v>
      </c>
      <c r="G121" s="61">
        <v>6</v>
      </c>
      <c r="H121" s="61">
        <v>19286</v>
      </c>
      <c r="I121" s="61">
        <v>6899</v>
      </c>
      <c r="J121" s="61">
        <v>4399</v>
      </c>
      <c r="K121" s="61">
        <v>1991</v>
      </c>
      <c r="L121" s="61">
        <v>3699</v>
      </c>
      <c r="M121" s="61">
        <v>2299</v>
      </c>
    </row>
    <row r="122" spans="1:13" ht="15" customHeight="1" x14ac:dyDescent="0.45">
      <c r="A122" s="62" t="s">
        <v>2210</v>
      </c>
      <c r="B122" s="61">
        <v>376</v>
      </c>
      <c r="C122" s="61">
        <v>234</v>
      </c>
      <c r="D122" s="61">
        <v>93</v>
      </c>
      <c r="E122" s="61">
        <v>35</v>
      </c>
      <c r="F122" s="61">
        <v>13</v>
      </c>
      <c r="G122" s="61" t="s">
        <v>2110</v>
      </c>
      <c r="H122" s="61">
        <v>3997</v>
      </c>
      <c r="I122" s="61">
        <v>1647</v>
      </c>
      <c r="J122" s="61">
        <v>1020</v>
      </c>
      <c r="K122" s="61">
        <v>613</v>
      </c>
      <c r="L122" s="61">
        <v>694</v>
      </c>
      <c r="M122" s="61" t="s">
        <v>2110</v>
      </c>
    </row>
    <row r="123" spans="1:13" ht="28.05" customHeight="1" x14ac:dyDescent="0.45">
      <c r="A123" s="62" t="s">
        <v>2211</v>
      </c>
      <c r="B123" s="61">
        <v>166</v>
      </c>
      <c r="C123" s="61">
        <v>96</v>
      </c>
      <c r="D123" s="61">
        <v>49</v>
      </c>
      <c r="E123" s="61" t="s">
        <v>2110</v>
      </c>
      <c r="F123" s="61" t="s">
        <v>2110</v>
      </c>
      <c r="G123" s="61" t="s">
        <v>2252</v>
      </c>
      <c r="H123" s="61">
        <v>1562</v>
      </c>
      <c r="I123" s="61">
        <v>758</v>
      </c>
      <c r="J123" s="61">
        <v>457</v>
      </c>
      <c r="K123" s="61" t="s">
        <v>2110</v>
      </c>
      <c r="L123" s="61" t="s">
        <v>2110</v>
      </c>
      <c r="M123" s="61" t="s">
        <v>2252</v>
      </c>
    </row>
    <row r="124" spans="1:13" ht="28.05" customHeight="1" x14ac:dyDescent="0.45">
      <c r="A124" s="62" t="s">
        <v>2212</v>
      </c>
      <c r="B124" s="61">
        <v>1311</v>
      </c>
      <c r="C124" s="61">
        <v>773</v>
      </c>
      <c r="D124" s="61">
        <v>394</v>
      </c>
      <c r="E124" s="61">
        <v>119</v>
      </c>
      <c r="F124" s="61">
        <v>24</v>
      </c>
      <c r="G124" s="61">
        <v>1</v>
      </c>
      <c r="H124" s="61">
        <v>14272</v>
      </c>
      <c r="I124" s="61">
        <v>6638</v>
      </c>
      <c r="J124" s="61">
        <v>4353</v>
      </c>
      <c r="K124" s="61">
        <v>1817</v>
      </c>
      <c r="L124" s="61">
        <v>1168</v>
      </c>
      <c r="M124" s="61">
        <v>296</v>
      </c>
    </row>
    <row r="125" spans="1:13" ht="15" customHeight="1" x14ac:dyDescent="0.45">
      <c r="A125" s="62" t="s">
        <v>2213</v>
      </c>
      <c r="B125" s="61">
        <v>83</v>
      </c>
      <c r="C125" s="61">
        <v>43</v>
      </c>
      <c r="D125" s="61">
        <v>26</v>
      </c>
      <c r="E125" s="61" t="s">
        <v>2110</v>
      </c>
      <c r="F125" s="61">
        <v>5</v>
      </c>
      <c r="G125" s="61">
        <v>1</v>
      </c>
      <c r="H125" s="61">
        <v>1968</v>
      </c>
      <c r="I125" s="61">
        <v>396</v>
      </c>
      <c r="J125" s="61">
        <v>400</v>
      </c>
      <c r="K125" s="61" t="s">
        <v>2110</v>
      </c>
      <c r="L125" s="61">
        <v>609</v>
      </c>
      <c r="M125" s="61">
        <v>365</v>
      </c>
    </row>
    <row r="126" spans="1:13" ht="15" customHeight="1" x14ac:dyDescent="0.45">
      <c r="A126" s="62" t="s">
        <v>2179</v>
      </c>
      <c r="B126" s="61">
        <v>136</v>
      </c>
      <c r="C126" s="61">
        <v>99</v>
      </c>
      <c r="D126" s="61">
        <v>25</v>
      </c>
      <c r="E126" s="61">
        <v>9</v>
      </c>
      <c r="F126" s="61">
        <v>3</v>
      </c>
      <c r="G126" s="61">
        <v>1</v>
      </c>
      <c r="H126" s="61">
        <v>3039</v>
      </c>
      <c r="I126" s="61">
        <v>1308</v>
      </c>
      <c r="J126" s="61">
        <v>622</v>
      </c>
      <c r="K126" s="61">
        <v>292</v>
      </c>
      <c r="L126" s="61">
        <v>528</v>
      </c>
      <c r="M126" s="61">
        <v>289</v>
      </c>
    </row>
    <row r="127" spans="1:13" s="2" customFormat="1" ht="28.05" customHeight="1" x14ac:dyDescent="0.45">
      <c r="A127" s="84" t="s">
        <v>2214</v>
      </c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</row>
    <row r="128" spans="1:13" ht="15" customHeight="1" x14ac:dyDescent="0.45">
      <c r="A128" s="70" t="s">
        <v>2215</v>
      </c>
      <c r="B128" s="61">
        <v>1914</v>
      </c>
      <c r="C128" s="61">
        <v>1265</v>
      </c>
      <c r="D128" s="61">
        <v>413</v>
      </c>
      <c r="E128" s="61">
        <v>140</v>
      </c>
      <c r="F128" s="61">
        <v>82</v>
      </c>
      <c r="G128" s="61">
        <v>15</v>
      </c>
      <c r="H128" s="61">
        <v>54358</v>
      </c>
      <c r="I128" s="61">
        <v>20213</v>
      </c>
      <c r="J128" s="61">
        <v>12131</v>
      </c>
      <c r="K128" s="61">
        <v>6408</v>
      </c>
      <c r="L128" s="61">
        <v>9851</v>
      </c>
      <c r="M128" s="61">
        <v>5756</v>
      </c>
    </row>
    <row r="129" spans="1:13" ht="15" customHeight="1" x14ac:dyDescent="0.45">
      <c r="A129" s="70" t="s">
        <v>2216</v>
      </c>
      <c r="B129" s="61">
        <v>2313</v>
      </c>
      <c r="C129" s="61">
        <v>1765</v>
      </c>
      <c r="D129" s="61">
        <v>433</v>
      </c>
      <c r="E129" s="61">
        <v>92</v>
      </c>
      <c r="F129" s="61">
        <v>23</v>
      </c>
      <c r="G129" s="61">
        <v>1</v>
      </c>
      <c r="H129" s="61">
        <v>27714</v>
      </c>
      <c r="I129" s="61">
        <v>16992</v>
      </c>
      <c r="J129" s="61">
        <v>6842</v>
      </c>
      <c r="K129" s="61">
        <v>1990</v>
      </c>
      <c r="L129" s="61">
        <v>1720</v>
      </c>
      <c r="M129" s="61">
        <v>169</v>
      </c>
    </row>
    <row r="130" spans="1:13" ht="15" customHeight="1" x14ac:dyDescent="0.45">
      <c r="A130" s="70" t="s">
        <v>2217</v>
      </c>
      <c r="B130" s="61">
        <v>1691</v>
      </c>
      <c r="C130" s="61">
        <v>1077</v>
      </c>
      <c r="D130" s="61">
        <v>440</v>
      </c>
      <c r="E130" s="61">
        <v>138</v>
      </c>
      <c r="F130" s="61">
        <v>37</v>
      </c>
      <c r="G130" s="61" t="s">
        <v>2110</v>
      </c>
      <c r="H130" s="61">
        <v>14686</v>
      </c>
      <c r="I130" s="61">
        <v>6713</v>
      </c>
      <c r="J130" s="61">
        <v>4344</v>
      </c>
      <c r="K130" s="61">
        <v>2067</v>
      </c>
      <c r="L130" s="61">
        <v>1487</v>
      </c>
      <c r="M130" s="61" t="s">
        <v>2110</v>
      </c>
    </row>
    <row r="131" spans="1:13" ht="41.2" customHeight="1" x14ac:dyDescent="0.45">
      <c r="A131" s="84" t="s">
        <v>2218</v>
      </c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</row>
    <row r="132" spans="1:13" ht="15" customHeight="1" x14ac:dyDescent="0.45">
      <c r="A132" s="62" t="s">
        <v>2219</v>
      </c>
      <c r="B132" s="61">
        <v>1285</v>
      </c>
      <c r="C132" s="61">
        <v>914</v>
      </c>
      <c r="D132" s="61">
        <v>253</v>
      </c>
      <c r="E132" s="61">
        <v>67</v>
      </c>
      <c r="F132" s="61">
        <v>45</v>
      </c>
      <c r="G132" s="61">
        <v>5</v>
      </c>
      <c r="H132" s="61">
        <v>32977</v>
      </c>
      <c r="I132" s="61">
        <v>14449</v>
      </c>
      <c r="J132" s="61">
        <v>7528</v>
      </c>
      <c r="K132" s="61">
        <v>3209</v>
      </c>
      <c r="L132" s="61">
        <v>5580</v>
      </c>
      <c r="M132" s="61">
        <v>2211</v>
      </c>
    </row>
    <row r="133" spans="1:13" ht="15" customHeight="1" x14ac:dyDescent="0.45">
      <c r="A133" s="62" t="s">
        <v>2220</v>
      </c>
      <c r="B133" s="61">
        <v>140</v>
      </c>
      <c r="C133" s="61">
        <v>91</v>
      </c>
      <c r="D133" s="61">
        <v>38</v>
      </c>
      <c r="E133" s="61">
        <v>7</v>
      </c>
      <c r="F133" s="61">
        <v>5</v>
      </c>
      <c r="G133" s="61" t="s">
        <v>2110</v>
      </c>
      <c r="H133" s="61">
        <v>2673</v>
      </c>
      <c r="I133" s="61">
        <v>1114</v>
      </c>
      <c r="J133" s="61">
        <v>615</v>
      </c>
      <c r="K133" s="61">
        <v>389</v>
      </c>
      <c r="L133" s="61">
        <v>382</v>
      </c>
      <c r="M133" s="61" t="s">
        <v>2110</v>
      </c>
    </row>
    <row r="134" spans="1:13" ht="15" customHeight="1" x14ac:dyDescent="0.45">
      <c r="A134" s="62" t="s">
        <v>2221</v>
      </c>
      <c r="B134" s="61">
        <v>528</v>
      </c>
      <c r="C134" s="61">
        <v>433</v>
      </c>
      <c r="D134" s="61">
        <v>76</v>
      </c>
      <c r="E134" s="61">
        <v>10</v>
      </c>
      <c r="F134" s="61">
        <v>8</v>
      </c>
      <c r="G134" s="61" t="s">
        <v>2110</v>
      </c>
      <c r="H134" s="61">
        <v>6149</v>
      </c>
      <c r="I134" s="61">
        <v>3922</v>
      </c>
      <c r="J134" s="61">
        <v>1331</v>
      </c>
      <c r="K134" s="61">
        <v>372</v>
      </c>
      <c r="L134" s="61">
        <v>436</v>
      </c>
      <c r="M134" s="61" t="s">
        <v>2110</v>
      </c>
    </row>
    <row r="135" spans="1:13" ht="15" customHeight="1" x14ac:dyDescent="0.45">
      <c r="A135" s="62" t="s">
        <v>2222</v>
      </c>
      <c r="B135" s="61">
        <v>114</v>
      </c>
      <c r="C135" s="61">
        <v>62</v>
      </c>
      <c r="D135" s="61">
        <v>28</v>
      </c>
      <c r="E135" s="61">
        <v>13</v>
      </c>
      <c r="F135" s="61">
        <v>9</v>
      </c>
      <c r="G135" s="61">
        <v>2</v>
      </c>
      <c r="H135" s="61">
        <v>6277</v>
      </c>
      <c r="I135" s="61">
        <v>1535</v>
      </c>
      <c r="J135" s="61">
        <v>1245</v>
      </c>
      <c r="K135" s="61">
        <v>823</v>
      </c>
      <c r="L135" s="61">
        <v>1319</v>
      </c>
      <c r="M135" s="61">
        <v>1355</v>
      </c>
    </row>
    <row r="136" spans="1:13" ht="15" customHeight="1" x14ac:dyDescent="0.45">
      <c r="A136" s="62" t="s">
        <v>2223</v>
      </c>
      <c r="B136" s="61">
        <v>35</v>
      </c>
      <c r="C136" s="61" t="s">
        <v>2110</v>
      </c>
      <c r="D136" s="61" t="s">
        <v>2110</v>
      </c>
      <c r="E136" s="61" t="s">
        <v>2110</v>
      </c>
      <c r="F136" s="61">
        <v>1</v>
      </c>
      <c r="G136" s="61">
        <v>2</v>
      </c>
      <c r="H136" s="61">
        <v>1603</v>
      </c>
      <c r="I136" s="61" t="s">
        <v>2110</v>
      </c>
      <c r="J136" s="61" t="s">
        <v>2110</v>
      </c>
      <c r="K136" s="61" t="s">
        <v>2110</v>
      </c>
      <c r="L136" s="61">
        <v>324</v>
      </c>
      <c r="M136" s="61">
        <v>683</v>
      </c>
    </row>
    <row r="137" spans="1:13" ht="36.700000000000003" customHeight="1" x14ac:dyDescent="0.45">
      <c r="A137" s="72" t="s">
        <v>2224</v>
      </c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</row>
    <row r="138" spans="1:13" ht="15" customHeight="1" x14ac:dyDescent="0.45">
      <c r="A138" s="62" t="s">
        <v>2225</v>
      </c>
      <c r="B138" s="61">
        <v>2032</v>
      </c>
      <c r="C138" s="61">
        <v>1210</v>
      </c>
      <c r="D138" s="61">
        <v>559</v>
      </c>
      <c r="E138" s="61">
        <v>181</v>
      </c>
      <c r="F138" s="61">
        <v>72</v>
      </c>
      <c r="G138" s="61">
        <v>10</v>
      </c>
      <c r="H138" s="61">
        <v>45296</v>
      </c>
      <c r="I138" s="61">
        <v>15934</v>
      </c>
      <c r="J138" s="61">
        <v>11526</v>
      </c>
      <c r="K138" s="61">
        <v>5509</v>
      </c>
      <c r="L138" s="61">
        <v>7908</v>
      </c>
      <c r="M138" s="61">
        <v>4418</v>
      </c>
    </row>
    <row r="139" spans="1:13" ht="15" customHeight="1" x14ac:dyDescent="0.45">
      <c r="A139" s="60" t="s">
        <v>2226</v>
      </c>
      <c r="B139" s="61">
        <v>327</v>
      </c>
      <c r="C139" s="61">
        <v>196</v>
      </c>
      <c r="D139" s="61">
        <v>89</v>
      </c>
      <c r="E139" s="61">
        <v>33</v>
      </c>
      <c r="F139" s="61">
        <v>8</v>
      </c>
      <c r="G139" s="61">
        <v>1</v>
      </c>
      <c r="H139" s="61">
        <v>10845</v>
      </c>
      <c r="I139" s="61">
        <v>3564</v>
      </c>
      <c r="J139" s="61">
        <v>3160</v>
      </c>
      <c r="K139" s="61">
        <v>1619</v>
      </c>
      <c r="L139" s="61">
        <v>1866</v>
      </c>
      <c r="M139" s="61">
        <v>635</v>
      </c>
    </row>
    <row r="140" spans="1:13" ht="15" customHeight="1" x14ac:dyDescent="0.45">
      <c r="A140" s="60" t="s">
        <v>2227</v>
      </c>
      <c r="B140" s="61">
        <v>35</v>
      </c>
      <c r="C140" s="61">
        <v>15</v>
      </c>
      <c r="D140" s="61">
        <v>13</v>
      </c>
      <c r="E140" s="61" t="s">
        <v>2110</v>
      </c>
      <c r="F140" s="61">
        <v>1</v>
      </c>
      <c r="G140" s="61">
        <v>1</v>
      </c>
      <c r="H140" s="61">
        <v>1784</v>
      </c>
      <c r="I140" s="61">
        <v>393</v>
      </c>
      <c r="J140" s="61">
        <v>351</v>
      </c>
      <c r="K140" s="61" t="s">
        <v>2110</v>
      </c>
      <c r="L140" s="61">
        <v>355</v>
      </c>
      <c r="M140" s="61">
        <v>398</v>
      </c>
    </row>
    <row r="141" spans="1:13" ht="15" customHeight="1" x14ac:dyDescent="0.45">
      <c r="A141" s="60" t="s">
        <v>2228</v>
      </c>
      <c r="B141" s="61">
        <v>847</v>
      </c>
      <c r="C141" s="61">
        <v>468</v>
      </c>
      <c r="D141" s="61">
        <v>260</v>
      </c>
      <c r="E141" s="61">
        <v>80</v>
      </c>
      <c r="F141" s="61">
        <v>33</v>
      </c>
      <c r="G141" s="61">
        <v>5</v>
      </c>
      <c r="H141" s="61">
        <v>20872</v>
      </c>
      <c r="I141" s="61">
        <v>6441</v>
      </c>
      <c r="J141" s="61">
        <v>5485</v>
      </c>
      <c r="K141" s="61">
        <v>2584</v>
      </c>
      <c r="L141" s="61">
        <v>3816</v>
      </c>
      <c r="M141" s="61">
        <v>2546</v>
      </c>
    </row>
    <row r="142" spans="1:13" ht="15" customHeight="1" x14ac:dyDescent="0.45">
      <c r="A142" s="60" t="s">
        <v>2229</v>
      </c>
      <c r="B142" s="61">
        <v>709</v>
      </c>
      <c r="C142" s="61">
        <v>388</v>
      </c>
      <c r="D142" s="61">
        <v>211</v>
      </c>
      <c r="E142" s="61">
        <v>73</v>
      </c>
      <c r="F142" s="61">
        <v>31</v>
      </c>
      <c r="G142" s="61">
        <v>7</v>
      </c>
      <c r="H142" s="61">
        <v>21286</v>
      </c>
      <c r="I142" s="61">
        <v>5575</v>
      </c>
      <c r="J142" s="61">
        <v>5003</v>
      </c>
      <c r="K142" s="61">
        <v>2846</v>
      </c>
      <c r="L142" s="61">
        <v>4465</v>
      </c>
      <c r="M142" s="61">
        <v>3398</v>
      </c>
    </row>
    <row r="143" spans="1:13" ht="15" customHeight="1" x14ac:dyDescent="0.45">
      <c r="A143" s="60" t="s">
        <v>2230</v>
      </c>
      <c r="B143" s="61">
        <v>484</v>
      </c>
      <c r="C143" s="61">
        <v>248</v>
      </c>
      <c r="D143" s="61">
        <v>142</v>
      </c>
      <c r="E143" s="61">
        <v>68</v>
      </c>
      <c r="F143" s="61">
        <v>23</v>
      </c>
      <c r="G143" s="61">
        <v>2</v>
      </c>
      <c r="H143" s="61">
        <v>10980</v>
      </c>
      <c r="I143" s="61">
        <v>2819</v>
      </c>
      <c r="J143" s="61">
        <v>2665</v>
      </c>
      <c r="K143" s="61">
        <v>1719</v>
      </c>
      <c r="L143" s="61">
        <v>2116</v>
      </c>
      <c r="M143" s="61">
        <v>1662</v>
      </c>
    </row>
    <row r="144" spans="1:13" ht="15" customHeight="1" x14ac:dyDescent="0.45">
      <c r="A144" s="60" t="s">
        <v>2231</v>
      </c>
      <c r="B144" s="61">
        <v>1006</v>
      </c>
      <c r="C144" s="61">
        <v>563</v>
      </c>
      <c r="D144" s="61">
        <v>292</v>
      </c>
      <c r="E144" s="61">
        <v>99</v>
      </c>
      <c r="F144" s="61">
        <v>45</v>
      </c>
      <c r="G144" s="61">
        <v>8</v>
      </c>
      <c r="H144" s="61">
        <v>27591</v>
      </c>
      <c r="I144" s="61">
        <v>8122</v>
      </c>
      <c r="J144" s="61">
        <v>6806</v>
      </c>
      <c r="K144" s="61">
        <v>3460</v>
      </c>
      <c r="L144" s="61">
        <v>5491</v>
      </c>
      <c r="M144" s="61">
        <v>3713</v>
      </c>
    </row>
    <row r="145" spans="1:13" ht="15" customHeight="1" x14ac:dyDescent="0.45">
      <c r="A145" s="60" t="s">
        <v>2232</v>
      </c>
      <c r="B145" s="61">
        <v>1012</v>
      </c>
      <c r="C145" s="61">
        <v>547</v>
      </c>
      <c r="D145" s="61">
        <v>310</v>
      </c>
      <c r="E145" s="61">
        <v>100</v>
      </c>
      <c r="F145" s="61">
        <v>47</v>
      </c>
      <c r="G145" s="61">
        <v>9</v>
      </c>
      <c r="H145" s="61">
        <v>29087</v>
      </c>
      <c r="I145" s="61">
        <v>8490</v>
      </c>
      <c r="J145" s="61">
        <v>6813</v>
      </c>
      <c r="K145" s="61">
        <v>3843</v>
      </c>
      <c r="L145" s="61">
        <v>5976</v>
      </c>
      <c r="M145" s="61">
        <v>3966</v>
      </c>
    </row>
    <row r="146" spans="1:13" ht="15" customHeight="1" x14ac:dyDescent="0.45">
      <c r="A146" s="60" t="s">
        <v>2233</v>
      </c>
      <c r="B146" s="61">
        <v>565</v>
      </c>
      <c r="C146" s="61">
        <v>295</v>
      </c>
      <c r="D146" s="61">
        <v>171</v>
      </c>
      <c r="E146" s="61">
        <v>69</v>
      </c>
      <c r="F146" s="61">
        <v>24</v>
      </c>
      <c r="G146" s="61">
        <v>5</v>
      </c>
      <c r="H146" s="61">
        <v>15772</v>
      </c>
      <c r="I146" s="61">
        <v>4157</v>
      </c>
      <c r="J146" s="61">
        <v>3354</v>
      </c>
      <c r="K146" s="61">
        <v>2093</v>
      </c>
      <c r="L146" s="61">
        <v>3492</v>
      </c>
      <c r="M146" s="61">
        <v>2677</v>
      </c>
    </row>
    <row r="147" spans="1:13" ht="15" customHeight="1" x14ac:dyDescent="0.45">
      <c r="A147" s="60" t="s">
        <v>2234</v>
      </c>
      <c r="B147" s="61">
        <v>584</v>
      </c>
      <c r="C147" s="61">
        <v>293</v>
      </c>
      <c r="D147" s="61">
        <v>193</v>
      </c>
      <c r="E147" s="61">
        <v>62</v>
      </c>
      <c r="F147" s="61">
        <v>30</v>
      </c>
      <c r="G147" s="61">
        <v>6</v>
      </c>
      <c r="H147" s="61">
        <v>15500</v>
      </c>
      <c r="I147" s="61">
        <v>3612</v>
      </c>
      <c r="J147" s="61">
        <v>3617</v>
      </c>
      <c r="K147" s="61">
        <v>1866</v>
      </c>
      <c r="L147" s="61">
        <v>3548</v>
      </c>
      <c r="M147" s="61">
        <v>2857</v>
      </c>
    </row>
    <row r="148" spans="1:13" ht="15" customHeight="1" x14ac:dyDescent="0.45">
      <c r="A148" s="60" t="s">
        <v>2235</v>
      </c>
      <c r="B148" s="61">
        <v>307</v>
      </c>
      <c r="C148" s="61">
        <v>175</v>
      </c>
      <c r="D148" s="61">
        <v>91</v>
      </c>
      <c r="E148" s="61">
        <v>27</v>
      </c>
      <c r="F148" s="61">
        <v>12</v>
      </c>
      <c r="G148" s="61">
        <v>3</v>
      </c>
      <c r="H148" s="61">
        <v>7963</v>
      </c>
      <c r="I148" s="61">
        <v>2173</v>
      </c>
      <c r="J148" s="61">
        <v>1882</v>
      </c>
      <c r="K148" s="61">
        <v>772</v>
      </c>
      <c r="L148" s="61">
        <v>1364</v>
      </c>
      <c r="M148" s="61">
        <v>1772</v>
      </c>
    </row>
    <row r="149" spans="1:13" ht="15" customHeight="1" x14ac:dyDescent="0.45">
      <c r="A149" s="60" t="s">
        <v>2236</v>
      </c>
      <c r="B149" s="61">
        <v>570</v>
      </c>
      <c r="C149" s="61">
        <v>269</v>
      </c>
      <c r="D149" s="61">
        <v>189</v>
      </c>
      <c r="E149" s="61">
        <v>70</v>
      </c>
      <c r="F149" s="61">
        <v>35</v>
      </c>
      <c r="G149" s="61">
        <v>7</v>
      </c>
      <c r="H149" s="61">
        <v>20007</v>
      </c>
      <c r="I149" s="61">
        <v>4765</v>
      </c>
      <c r="J149" s="61">
        <v>5102</v>
      </c>
      <c r="K149" s="61">
        <v>2639</v>
      </c>
      <c r="L149" s="61">
        <v>4208</v>
      </c>
      <c r="M149" s="61">
        <v>3293</v>
      </c>
    </row>
    <row r="150" spans="1:13" ht="15" customHeight="1" x14ac:dyDescent="0.45">
      <c r="A150" s="60" t="s">
        <v>2237</v>
      </c>
      <c r="B150" s="61">
        <v>147</v>
      </c>
      <c r="C150" s="61">
        <v>81</v>
      </c>
      <c r="D150" s="61">
        <v>38</v>
      </c>
      <c r="E150" s="61">
        <v>21</v>
      </c>
      <c r="F150" s="61">
        <v>6</v>
      </c>
      <c r="G150" s="61">
        <v>2</v>
      </c>
      <c r="H150" s="61">
        <v>4203</v>
      </c>
      <c r="I150" s="61">
        <v>894</v>
      </c>
      <c r="J150" s="61">
        <v>1058</v>
      </c>
      <c r="K150" s="61">
        <v>442</v>
      </c>
      <c r="L150" s="61">
        <v>711</v>
      </c>
      <c r="M150" s="61">
        <v>1098</v>
      </c>
    </row>
    <row r="151" spans="1:13" ht="15" customHeight="1" x14ac:dyDescent="0.45">
      <c r="A151" s="60" t="s">
        <v>2179</v>
      </c>
      <c r="B151" s="61">
        <v>43</v>
      </c>
      <c r="C151" s="61">
        <v>22</v>
      </c>
      <c r="D151" s="61" t="s">
        <v>2110</v>
      </c>
      <c r="E151" s="61" t="s">
        <v>2110</v>
      </c>
      <c r="F151" s="61" t="s">
        <v>2110</v>
      </c>
      <c r="G151" s="61" t="s">
        <v>2110</v>
      </c>
      <c r="H151" s="61">
        <v>1296</v>
      </c>
      <c r="I151" s="61">
        <v>955</v>
      </c>
      <c r="J151" s="61" t="s">
        <v>2110</v>
      </c>
      <c r="K151" s="61" t="s">
        <v>2110</v>
      </c>
      <c r="L151" s="61" t="s">
        <v>2110</v>
      </c>
      <c r="M151" s="61" t="s">
        <v>2110</v>
      </c>
    </row>
    <row r="152" spans="1:13" ht="15" customHeight="1" x14ac:dyDescent="0.45">
      <c r="A152" s="62" t="s">
        <v>2238</v>
      </c>
      <c r="B152" s="61">
        <v>3530</v>
      </c>
      <c r="C152" s="61">
        <v>2621</v>
      </c>
      <c r="D152" s="61">
        <v>671</v>
      </c>
      <c r="E152" s="61">
        <v>172</v>
      </c>
      <c r="F152" s="61">
        <v>61</v>
      </c>
      <c r="G152" s="61">
        <v>5</v>
      </c>
      <c r="H152" s="61">
        <v>44013</v>
      </c>
      <c r="I152" s="61">
        <v>24096</v>
      </c>
      <c r="J152" s="61">
        <v>10361</v>
      </c>
      <c r="K152" s="61">
        <v>4292</v>
      </c>
      <c r="L152" s="61">
        <v>3882</v>
      </c>
      <c r="M152" s="61">
        <v>1382</v>
      </c>
    </row>
    <row r="153" spans="1:13" ht="15" customHeight="1" x14ac:dyDescent="0.45">
      <c r="A153" s="62" t="s">
        <v>2239</v>
      </c>
      <c r="B153" s="61">
        <v>357</v>
      </c>
      <c r="C153" s="61">
        <v>275</v>
      </c>
      <c r="D153" s="61">
        <v>56</v>
      </c>
      <c r="E153" s="61">
        <v>16</v>
      </c>
      <c r="F153" s="61">
        <v>9</v>
      </c>
      <c r="G153" s="61" t="s">
        <v>2110</v>
      </c>
      <c r="H153" s="61">
        <v>7449</v>
      </c>
      <c r="I153" s="61">
        <v>3888</v>
      </c>
      <c r="J153" s="61">
        <v>1429</v>
      </c>
      <c r="K153" s="61">
        <v>664</v>
      </c>
      <c r="L153" s="61">
        <v>1268</v>
      </c>
      <c r="M153" s="61" t="s">
        <v>2110</v>
      </c>
    </row>
    <row r="154" spans="1:13" ht="34.049999999999997" customHeight="1" x14ac:dyDescent="0.45">
      <c r="A154" s="72" t="s">
        <v>2240</v>
      </c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</row>
    <row r="155" spans="1:13" ht="15" customHeight="1" x14ac:dyDescent="0.45">
      <c r="A155" s="62" t="s">
        <v>2241</v>
      </c>
      <c r="B155" s="61">
        <v>5613</v>
      </c>
      <c r="C155" s="61">
        <v>3822</v>
      </c>
      <c r="D155" s="61">
        <v>1270</v>
      </c>
      <c r="E155" s="61">
        <v>364</v>
      </c>
      <c r="F155" s="61">
        <v>142</v>
      </c>
      <c r="G155" s="61">
        <v>16</v>
      </c>
      <c r="H155" s="61">
        <v>95179</v>
      </c>
      <c r="I155" s="61">
        <v>42530</v>
      </c>
      <c r="J155" s="61">
        <v>23169</v>
      </c>
      <c r="K155" s="61">
        <v>10428</v>
      </c>
      <c r="L155" s="61">
        <v>13054</v>
      </c>
      <c r="M155" s="61">
        <v>5998</v>
      </c>
    </row>
    <row r="156" spans="1:13" ht="15" customHeight="1" x14ac:dyDescent="0.45">
      <c r="A156" s="62" t="s">
        <v>2242</v>
      </c>
      <c r="B156" s="61">
        <v>2974</v>
      </c>
      <c r="C156" s="61">
        <v>1850</v>
      </c>
      <c r="D156" s="61">
        <v>761</v>
      </c>
      <c r="E156" s="61">
        <v>248</v>
      </c>
      <c r="F156" s="61">
        <v>104</v>
      </c>
      <c r="G156" s="61">
        <v>11</v>
      </c>
      <c r="H156" s="61">
        <v>67994</v>
      </c>
      <c r="I156" s="61">
        <v>27623</v>
      </c>
      <c r="J156" s="61">
        <v>17218</v>
      </c>
      <c r="K156" s="61">
        <v>8118</v>
      </c>
      <c r="L156" s="61">
        <v>10465</v>
      </c>
      <c r="M156" s="61">
        <v>4570</v>
      </c>
    </row>
    <row r="157" spans="1:13" ht="15" customHeight="1" x14ac:dyDescent="0.45">
      <c r="A157" s="62" t="s">
        <v>2243</v>
      </c>
      <c r="B157" s="61">
        <v>586</v>
      </c>
      <c r="C157" s="61">
        <v>322</v>
      </c>
      <c r="D157" s="61">
        <v>160</v>
      </c>
      <c r="E157" s="61">
        <v>54</v>
      </c>
      <c r="F157" s="61">
        <v>41</v>
      </c>
      <c r="G157" s="61">
        <v>9</v>
      </c>
      <c r="H157" s="61">
        <v>21198</v>
      </c>
      <c r="I157" s="61">
        <v>4936</v>
      </c>
      <c r="J157" s="61">
        <v>3745</v>
      </c>
      <c r="K157" s="61">
        <v>2382</v>
      </c>
      <c r="L157" s="61">
        <v>6080</v>
      </c>
      <c r="M157" s="61">
        <v>4055</v>
      </c>
    </row>
    <row r="158" spans="1:13" ht="15" customHeight="1" x14ac:dyDescent="0.45">
      <c r="A158" s="62" t="s">
        <v>2244</v>
      </c>
      <c r="B158" s="61">
        <v>86</v>
      </c>
      <c r="C158" s="61">
        <v>22</v>
      </c>
      <c r="D158" s="61">
        <v>23</v>
      </c>
      <c r="E158" s="61">
        <v>12</v>
      </c>
      <c r="F158" s="61">
        <v>25</v>
      </c>
      <c r="G158" s="61">
        <v>4</v>
      </c>
      <c r="H158" s="61">
        <v>6750</v>
      </c>
      <c r="I158" s="61">
        <v>320</v>
      </c>
      <c r="J158" s="61">
        <v>579</v>
      </c>
      <c r="K158" s="61">
        <v>770</v>
      </c>
      <c r="L158" s="61">
        <v>3058</v>
      </c>
      <c r="M158" s="61">
        <v>2023</v>
      </c>
    </row>
    <row r="159" spans="1:13" ht="15" customHeight="1" x14ac:dyDescent="0.45">
      <c r="A159" s="62" t="s">
        <v>2245</v>
      </c>
      <c r="B159" s="61">
        <v>55</v>
      </c>
      <c r="C159" s="61">
        <v>22</v>
      </c>
      <c r="D159" s="61">
        <v>7</v>
      </c>
      <c r="E159" s="61">
        <v>9</v>
      </c>
      <c r="F159" s="61">
        <v>16</v>
      </c>
      <c r="G159" s="61">
        <v>1</v>
      </c>
      <c r="H159" s="61">
        <v>4288</v>
      </c>
      <c r="I159" s="61">
        <v>298</v>
      </c>
      <c r="J159" s="61">
        <v>311</v>
      </c>
      <c r="K159" s="61">
        <v>622</v>
      </c>
      <c r="L159" s="61">
        <v>2401</v>
      </c>
      <c r="M159" s="61">
        <v>657</v>
      </c>
    </row>
    <row r="160" spans="1:13" ht="15" customHeight="1" x14ac:dyDescent="0.45">
      <c r="A160" s="62" t="s">
        <v>2246</v>
      </c>
      <c r="B160" s="61">
        <v>676</v>
      </c>
      <c r="C160" s="61">
        <v>430</v>
      </c>
      <c r="D160" s="61">
        <v>200</v>
      </c>
      <c r="E160" s="61">
        <v>35</v>
      </c>
      <c r="F160" s="61">
        <v>11</v>
      </c>
      <c r="G160" s="61">
        <v>1</v>
      </c>
      <c r="H160" s="61">
        <v>10157</v>
      </c>
      <c r="I160" s="61">
        <v>4557</v>
      </c>
      <c r="J160" s="61">
        <v>3265</v>
      </c>
      <c r="K160" s="61">
        <v>850</v>
      </c>
      <c r="L160" s="61">
        <v>1000</v>
      </c>
      <c r="M160" s="61" t="s">
        <v>2110</v>
      </c>
    </row>
    <row r="161" spans="1:13" ht="15" customHeight="1" x14ac:dyDescent="0.45">
      <c r="A161" s="62" t="s">
        <v>2372</v>
      </c>
      <c r="B161" s="61">
        <v>99</v>
      </c>
      <c r="C161" s="61">
        <v>66</v>
      </c>
      <c r="D161" s="61">
        <v>20</v>
      </c>
      <c r="E161" s="61">
        <v>7</v>
      </c>
      <c r="F161" s="61" t="s">
        <v>2110</v>
      </c>
      <c r="G161" s="61" t="s">
        <v>2110</v>
      </c>
      <c r="H161" s="61">
        <v>3814</v>
      </c>
      <c r="I161" s="61">
        <v>1356</v>
      </c>
      <c r="J161" s="61">
        <v>882</v>
      </c>
      <c r="K161" s="61">
        <v>405</v>
      </c>
      <c r="L161" s="61">
        <v>827</v>
      </c>
      <c r="M161" s="61" t="s">
        <v>2110</v>
      </c>
    </row>
    <row r="162" spans="1:13" ht="15" customHeight="1" x14ac:dyDescent="0.45">
      <c r="A162" s="62" t="s">
        <v>2248</v>
      </c>
      <c r="B162" s="61">
        <v>180</v>
      </c>
      <c r="C162" s="61">
        <v>134</v>
      </c>
      <c r="D162" s="61">
        <v>37</v>
      </c>
      <c r="E162" s="61" t="s">
        <v>2110</v>
      </c>
      <c r="F162" s="61" t="s">
        <v>2110</v>
      </c>
      <c r="G162" s="61" t="s">
        <v>2110</v>
      </c>
      <c r="H162" s="61">
        <v>2113</v>
      </c>
      <c r="I162" s="61">
        <v>1168</v>
      </c>
      <c r="J162" s="61">
        <v>437</v>
      </c>
      <c r="K162" s="61" t="s">
        <v>2110</v>
      </c>
      <c r="L162" s="61" t="s">
        <v>2110</v>
      </c>
      <c r="M162" s="61" t="s">
        <v>2110</v>
      </c>
    </row>
    <row r="163" spans="1:13" ht="34.049999999999997" customHeight="1" x14ac:dyDescent="0.45">
      <c r="A163" s="72" t="s">
        <v>2373</v>
      </c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</row>
    <row r="164" spans="1:13" ht="15" customHeight="1" x14ac:dyDescent="0.45">
      <c r="A164" s="62" t="s">
        <v>2241</v>
      </c>
      <c r="B164" s="61">
        <v>2566</v>
      </c>
      <c r="C164" s="61">
        <v>1795</v>
      </c>
      <c r="D164" s="61">
        <v>560</v>
      </c>
      <c r="E164" s="61">
        <v>147</v>
      </c>
      <c r="F164" s="61">
        <v>57</v>
      </c>
      <c r="G164" s="61">
        <v>8</v>
      </c>
      <c r="H164" s="61">
        <v>45645</v>
      </c>
      <c r="I164" s="61">
        <v>20398</v>
      </c>
      <c r="J164" s="61">
        <v>11063</v>
      </c>
      <c r="K164" s="61">
        <v>5088</v>
      </c>
      <c r="L164" s="61">
        <v>5875</v>
      </c>
      <c r="M164" s="61">
        <v>3221</v>
      </c>
    </row>
    <row r="165" spans="1:13" ht="15" customHeight="1" x14ac:dyDescent="0.45">
      <c r="A165" s="62" t="s">
        <v>2242</v>
      </c>
      <c r="B165" s="61">
        <v>2583</v>
      </c>
      <c r="C165" s="61">
        <v>1603</v>
      </c>
      <c r="D165" s="61">
        <v>673</v>
      </c>
      <c r="E165" s="61">
        <v>219</v>
      </c>
      <c r="F165" s="61">
        <v>79</v>
      </c>
      <c r="G165" s="61">
        <v>8</v>
      </c>
      <c r="H165" s="61">
        <v>58306</v>
      </c>
      <c r="I165" s="61">
        <v>25444</v>
      </c>
      <c r="J165" s="61">
        <v>15103</v>
      </c>
      <c r="K165" s="61">
        <v>7016</v>
      </c>
      <c r="L165" s="61">
        <v>7620</v>
      </c>
      <c r="M165" s="61">
        <v>3123</v>
      </c>
    </row>
    <row r="166" spans="1:13" ht="15" customHeight="1" x14ac:dyDescent="0.45">
      <c r="A166" s="62" t="s">
        <v>2243</v>
      </c>
      <c r="B166" s="61">
        <v>266</v>
      </c>
      <c r="C166" s="61">
        <v>127</v>
      </c>
      <c r="D166" s="61">
        <v>96</v>
      </c>
      <c r="E166" s="61">
        <v>31</v>
      </c>
      <c r="F166" s="61">
        <v>11</v>
      </c>
      <c r="G166" s="61" t="s">
        <v>2110</v>
      </c>
      <c r="H166" s="61">
        <v>4126</v>
      </c>
      <c r="I166" s="61">
        <v>1090</v>
      </c>
      <c r="J166" s="61">
        <v>1049</v>
      </c>
      <c r="K166" s="61">
        <v>599</v>
      </c>
      <c r="L166" s="61">
        <v>937</v>
      </c>
      <c r="M166" s="61">
        <v>452</v>
      </c>
    </row>
    <row r="167" spans="1:13" ht="15" customHeight="1" x14ac:dyDescent="0.45">
      <c r="A167" s="62" t="s">
        <v>2244</v>
      </c>
      <c r="B167" s="61">
        <v>83</v>
      </c>
      <c r="C167" s="61">
        <v>19</v>
      </c>
      <c r="D167" s="61">
        <v>23</v>
      </c>
      <c r="E167" s="61">
        <v>12</v>
      </c>
      <c r="F167" s="61">
        <v>25</v>
      </c>
      <c r="G167" s="61">
        <v>4</v>
      </c>
      <c r="H167" s="61">
        <v>6552</v>
      </c>
      <c r="I167" s="61">
        <v>285</v>
      </c>
      <c r="J167" s="61">
        <v>579</v>
      </c>
      <c r="K167" s="61">
        <v>765</v>
      </c>
      <c r="L167" s="61">
        <v>2922</v>
      </c>
      <c r="M167" s="61">
        <v>2001</v>
      </c>
    </row>
    <row r="168" spans="1:13" ht="15" customHeight="1" x14ac:dyDescent="0.45">
      <c r="A168" s="62" t="s">
        <v>2246</v>
      </c>
      <c r="B168" s="61">
        <v>431</v>
      </c>
      <c r="C168" s="61">
        <v>264</v>
      </c>
      <c r="D168" s="61">
        <v>138</v>
      </c>
      <c r="E168" s="61">
        <v>26</v>
      </c>
      <c r="F168" s="61" t="s">
        <v>2110</v>
      </c>
      <c r="G168" s="61" t="s">
        <v>2110</v>
      </c>
      <c r="H168" s="61">
        <v>3896</v>
      </c>
      <c r="I168" s="61">
        <v>1914</v>
      </c>
      <c r="J168" s="61">
        <v>1281</v>
      </c>
      <c r="K168" s="61">
        <v>348</v>
      </c>
      <c r="L168" s="61" t="s">
        <v>2110</v>
      </c>
      <c r="M168" s="61" t="s">
        <v>2110</v>
      </c>
    </row>
    <row r="169" spans="1:13" ht="15" customHeight="1" x14ac:dyDescent="0.45">
      <c r="A169" s="62" t="s">
        <v>2250</v>
      </c>
      <c r="B169" s="61">
        <v>127</v>
      </c>
      <c r="C169" s="61">
        <v>103</v>
      </c>
      <c r="D169" s="61" t="s">
        <v>2110</v>
      </c>
      <c r="E169" s="61" t="s">
        <v>2110</v>
      </c>
      <c r="F169" s="61" t="s">
        <v>2110</v>
      </c>
      <c r="G169" s="61" t="s">
        <v>2110</v>
      </c>
      <c r="H169" s="61">
        <v>927</v>
      </c>
      <c r="I169" s="61">
        <v>686</v>
      </c>
      <c r="J169" s="61" t="s">
        <v>2110</v>
      </c>
      <c r="K169" s="61" t="s">
        <v>2110</v>
      </c>
      <c r="L169" s="61" t="s">
        <v>2110</v>
      </c>
      <c r="M169" s="61" t="s">
        <v>2110</v>
      </c>
    </row>
    <row r="170" spans="1:13" ht="34.049999999999997" customHeight="1" x14ac:dyDescent="0.45">
      <c r="A170" s="72" t="s">
        <v>2251</v>
      </c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</row>
    <row r="171" spans="1:13" ht="15" customHeight="1" x14ac:dyDescent="0.45">
      <c r="A171" s="62" t="s">
        <v>2241</v>
      </c>
      <c r="B171" s="61">
        <v>1859</v>
      </c>
      <c r="C171" s="61">
        <v>1362</v>
      </c>
      <c r="D171" s="61">
        <v>368</v>
      </c>
      <c r="E171" s="61">
        <v>89</v>
      </c>
      <c r="F171" s="61">
        <v>34</v>
      </c>
      <c r="G171" s="61">
        <v>5</v>
      </c>
      <c r="H171" s="61">
        <v>27654</v>
      </c>
      <c r="I171" s="61">
        <v>13089</v>
      </c>
      <c r="J171" s="61">
        <v>6527</v>
      </c>
      <c r="K171" s="61">
        <v>2802</v>
      </c>
      <c r="L171" s="61">
        <v>3422</v>
      </c>
      <c r="M171" s="61">
        <v>1814</v>
      </c>
    </row>
    <row r="172" spans="1:13" ht="15" customHeight="1" x14ac:dyDescent="0.45">
      <c r="A172" s="62" t="s">
        <v>2242</v>
      </c>
      <c r="B172" s="61">
        <v>2341</v>
      </c>
      <c r="C172" s="61">
        <v>1456</v>
      </c>
      <c r="D172" s="61">
        <v>605</v>
      </c>
      <c r="E172" s="61">
        <v>204</v>
      </c>
      <c r="F172" s="61">
        <v>69</v>
      </c>
      <c r="G172" s="61">
        <v>6</v>
      </c>
      <c r="H172" s="61">
        <v>50368</v>
      </c>
      <c r="I172" s="61">
        <v>22361</v>
      </c>
      <c r="J172" s="61">
        <v>13308</v>
      </c>
      <c r="K172" s="61">
        <v>6192</v>
      </c>
      <c r="L172" s="61">
        <v>6204</v>
      </c>
      <c r="M172" s="61">
        <v>2303</v>
      </c>
    </row>
    <row r="173" spans="1:13" ht="15" customHeight="1" x14ac:dyDescent="0.45">
      <c r="A173" s="62" t="s">
        <v>2243</v>
      </c>
      <c r="B173" s="61">
        <v>222</v>
      </c>
      <c r="C173" s="61">
        <v>103</v>
      </c>
      <c r="D173" s="61">
        <v>88</v>
      </c>
      <c r="E173" s="61">
        <v>24</v>
      </c>
      <c r="F173" s="61">
        <v>6</v>
      </c>
      <c r="G173" s="61" t="s">
        <v>2110</v>
      </c>
      <c r="H173" s="61">
        <v>2216</v>
      </c>
      <c r="I173" s="61">
        <v>688</v>
      </c>
      <c r="J173" s="61">
        <v>869</v>
      </c>
      <c r="K173" s="61">
        <v>275</v>
      </c>
      <c r="L173" s="61">
        <v>342</v>
      </c>
      <c r="M173" s="61" t="s">
        <v>2110</v>
      </c>
    </row>
    <row r="174" spans="1:13" ht="15" customHeight="1" x14ac:dyDescent="0.45">
      <c r="A174" s="62" t="s">
        <v>2244</v>
      </c>
      <c r="B174" s="61">
        <v>78</v>
      </c>
      <c r="C174" s="61" t="s">
        <v>2110</v>
      </c>
      <c r="D174" s="61">
        <v>22</v>
      </c>
      <c r="E174" s="61">
        <v>10</v>
      </c>
      <c r="F174" s="61">
        <v>24</v>
      </c>
      <c r="G174" s="61">
        <v>4</v>
      </c>
      <c r="H174" s="61">
        <v>6095</v>
      </c>
      <c r="I174" s="61" t="s">
        <v>2110</v>
      </c>
      <c r="J174" s="61">
        <v>543</v>
      </c>
      <c r="K174" s="61">
        <v>685</v>
      </c>
      <c r="L174" s="61">
        <v>2800</v>
      </c>
      <c r="M174" s="61">
        <v>1824</v>
      </c>
    </row>
    <row r="175" spans="1:13" ht="15" customHeight="1" x14ac:dyDescent="0.45">
      <c r="A175" s="62" t="s">
        <v>2246</v>
      </c>
      <c r="B175" s="61">
        <v>338</v>
      </c>
      <c r="C175" s="61">
        <v>216</v>
      </c>
      <c r="D175" s="61">
        <v>101</v>
      </c>
      <c r="E175" s="61" t="s">
        <v>2110</v>
      </c>
      <c r="F175" s="61" t="s">
        <v>2110</v>
      </c>
      <c r="G175" s="61" t="s">
        <v>2252</v>
      </c>
      <c r="H175" s="61">
        <v>2290</v>
      </c>
      <c r="I175" s="61">
        <v>1373</v>
      </c>
      <c r="J175" s="61">
        <v>712</v>
      </c>
      <c r="K175" s="61" t="s">
        <v>2110</v>
      </c>
      <c r="L175" s="61" t="s">
        <v>2110</v>
      </c>
      <c r="M175" s="61" t="s">
        <v>2252</v>
      </c>
    </row>
    <row r="176" spans="1:13" ht="15" customHeight="1" x14ac:dyDescent="0.45">
      <c r="A176" s="62" t="s">
        <v>2250</v>
      </c>
      <c r="B176" s="61">
        <v>63</v>
      </c>
      <c r="C176" s="61">
        <v>53</v>
      </c>
      <c r="D176" s="61" t="s">
        <v>2110</v>
      </c>
      <c r="E176" s="61" t="s">
        <v>2110</v>
      </c>
      <c r="F176" s="61" t="s">
        <v>2110</v>
      </c>
      <c r="G176" s="61" t="s">
        <v>2252</v>
      </c>
      <c r="H176" s="61">
        <v>380</v>
      </c>
      <c r="I176" s="61">
        <v>329</v>
      </c>
      <c r="J176" s="61" t="s">
        <v>2110</v>
      </c>
      <c r="K176" s="61" t="s">
        <v>2110</v>
      </c>
      <c r="L176" s="61" t="s">
        <v>2110</v>
      </c>
      <c r="M176" s="61" t="s">
        <v>2252</v>
      </c>
    </row>
    <row r="177" spans="1:13" ht="34.049999999999997" customHeight="1" x14ac:dyDescent="0.45">
      <c r="A177" s="72" t="s">
        <v>2253</v>
      </c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</row>
    <row r="178" spans="1:13" ht="15" customHeight="1" x14ac:dyDescent="0.45">
      <c r="A178" s="62" t="s">
        <v>2241</v>
      </c>
      <c r="B178" s="61">
        <v>4584</v>
      </c>
      <c r="C178" s="61">
        <v>2980</v>
      </c>
      <c r="D178" s="61">
        <v>1148</v>
      </c>
      <c r="E178" s="61">
        <v>321</v>
      </c>
      <c r="F178" s="61">
        <v>120</v>
      </c>
      <c r="G178" s="61">
        <v>15</v>
      </c>
      <c r="H178" s="61">
        <v>84861</v>
      </c>
      <c r="I178" s="61">
        <v>36684</v>
      </c>
      <c r="J178" s="61">
        <v>22103</v>
      </c>
      <c r="K178" s="61">
        <v>9366</v>
      </c>
      <c r="L178" s="61">
        <v>11101</v>
      </c>
      <c r="M178" s="61">
        <v>5607</v>
      </c>
    </row>
    <row r="179" spans="1:13" ht="15" customHeight="1" x14ac:dyDescent="0.45">
      <c r="A179" s="62" t="s">
        <v>2242</v>
      </c>
      <c r="B179" s="61">
        <v>4</v>
      </c>
      <c r="C179" s="61" t="s">
        <v>2110</v>
      </c>
      <c r="D179" s="61" t="s">
        <v>2110</v>
      </c>
      <c r="E179" s="61" t="s">
        <v>2110</v>
      </c>
      <c r="F179" s="61" t="s">
        <v>2110</v>
      </c>
      <c r="G179" s="61" t="s">
        <v>2110</v>
      </c>
      <c r="H179" s="61">
        <v>400</v>
      </c>
      <c r="I179" s="61" t="s">
        <v>2110</v>
      </c>
      <c r="J179" s="61" t="s">
        <v>2110</v>
      </c>
      <c r="K179" s="61" t="s">
        <v>2110</v>
      </c>
      <c r="L179" s="61" t="s">
        <v>2110</v>
      </c>
      <c r="M179" s="61" t="s">
        <v>2110</v>
      </c>
    </row>
    <row r="180" spans="1:13" ht="15" customHeight="1" x14ac:dyDescent="0.45">
      <c r="A180" s="62" t="s">
        <v>2245</v>
      </c>
      <c r="B180" s="61">
        <v>55</v>
      </c>
      <c r="C180" s="61">
        <v>22</v>
      </c>
      <c r="D180" s="61">
        <v>7</v>
      </c>
      <c r="E180" s="61">
        <v>9</v>
      </c>
      <c r="F180" s="61">
        <v>16</v>
      </c>
      <c r="G180" s="61">
        <v>1</v>
      </c>
      <c r="H180" s="61">
        <v>4288</v>
      </c>
      <c r="I180" s="61">
        <v>298</v>
      </c>
      <c r="J180" s="61">
        <v>311</v>
      </c>
      <c r="K180" s="61">
        <v>622</v>
      </c>
      <c r="L180" s="61">
        <v>2401</v>
      </c>
      <c r="M180" s="61">
        <v>657</v>
      </c>
    </row>
    <row r="181" spans="1:13" ht="34.049999999999997" customHeight="1" x14ac:dyDescent="0.45">
      <c r="A181" s="72" t="s">
        <v>2254</v>
      </c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</row>
    <row r="182" spans="1:13" ht="15" customHeight="1" x14ac:dyDescent="0.45">
      <c r="A182" s="62" t="s">
        <v>2241</v>
      </c>
      <c r="B182" s="61">
        <v>2785</v>
      </c>
      <c r="C182" s="61">
        <v>1903</v>
      </c>
      <c r="D182" s="61">
        <v>671</v>
      </c>
      <c r="E182" s="61">
        <v>161</v>
      </c>
      <c r="F182" s="61">
        <v>43</v>
      </c>
      <c r="G182" s="61">
        <v>7</v>
      </c>
      <c r="H182" s="61">
        <v>47354</v>
      </c>
      <c r="I182" s="61">
        <v>24087</v>
      </c>
      <c r="J182" s="61">
        <v>11064</v>
      </c>
      <c r="K182" s="61">
        <v>4901</v>
      </c>
      <c r="L182" s="61">
        <v>4657</v>
      </c>
      <c r="M182" s="61">
        <v>2646</v>
      </c>
    </row>
    <row r="183" spans="1:13" ht="15" customHeight="1" x14ac:dyDescent="0.45">
      <c r="A183" s="62" t="s">
        <v>2242</v>
      </c>
      <c r="B183" s="61">
        <v>1885</v>
      </c>
      <c r="C183" s="61">
        <v>1096</v>
      </c>
      <c r="D183" s="61">
        <v>530</v>
      </c>
      <c r="E183" s="61">
        <v>171</v>
      </c>
      <c r="F183" s="61">
        <v>80</v>
      </c>
      <c r="G183" s="61">
        <v>7</v>
      </c>
      <c r="H183" s="61">
        <v>46783</v>
      </c>
      <c r="I183" s="61">
        <v>18015</v>
      </c>
      <c r="J183" s="61">
        <v>12493</v>
      </c>
      <c r="K183" s="61">
        <v>5769</v>
      </c>
      <c r="L183" s="61">
        <v>7804</v>
      </c>
      <c r="M183" s="61">
        <v>2702</v>
      </c>
    </row>
    <row r="184" spans="1:13" ht="15" customHeight="1" x14ac:dyDescent="0.45">
      <c r="A184" s="62" t="s">
        <v>2243</v>
      </c>
      <c r="B184" s="61">
        <v>72</v>
      </c>
      <c r="C184" s="61">
        <v>26</v>
      </c>
      <c r="D184" s="61" t="s">
        <v>2110</v>
      </c>
      <c r="E184" s="61">
        <v>17</v>
      </c>
      <c r="F184" s="61">
        <v>5</v>
      </c>
      <c r="G184" s="61" t="s">
        <v>2110</v>
      </c>
      <c r="H184" s="61">
        <v>1807</v>
      </c>
      <c r="I184" s="61">
        <v>305</v>
      </c>
      <c r="J184" s="61">
        <v>385</v>
      </c>
      <c r="K184" s="61">
        <v>353</v>
      </c>
      <c r="L184" s="61">
        <v>436</v>
      </c>
      <c r="M184" s="61" t="s">
        <v>2110</v>
      </c>
    </row>
    <row r="185" spans="1:13" ht="15" customHeight="1" x14ac:dyDescent="0.45">
      <c r="A185" s="62" t="s">
        <v>2244</v>
      </c>
      <c r="B185" s="61">
        <v>38</v>
      </c>
      <c r="C185" s="61" t="s">
        <v>2110</v>
      </c>
      <c r="D185" s="61" t="s">
        <v>2110</v>
      </c>
      <c r="E185" s="61">
        <v>7</v>
      </c>
      <c r="F185" s="61">
        <v>14</v>
      </c>
      <c r="G185" s="61">
        <v>3</v>
      </c>
      <c r="H185" s="61">
        <v>4206</v>
      </c>
      <c r="I185" s="61" t="s">
        <v>2110</v>
      </c>
      <c r="J185" s="61" t="s">
        <v>2110</v>
      </c>
      <c r="K185" s="61">
        <v>435</v>
      </c>
      <c r="L185" s="61">
        <v>1908</v>
      </c>
      <c r="M185" s="61">
        <v>1562</v>
      </c>
    </row>
    <row r="186" spans="1:13" ht="15" customHeight="1" x14ac:dyDescent="0.45">
      <c r="A186" s="62" t="s">
        <v>2246</v>
      </c>
      <c r="B186" s="61">
        <v>145</v>
      </c>
      <c r="C186" s="61">
        <v>86</v>
      </c>
      <c r="D186" s="61">
        <v>43</v>
      </c>
      <c r="E186" s="61" t="s">
        <v>2110</v>
      </c>
      <c r="F186" s="61" t="s">
        <v>2110</v>
      </c>
      <c r="G186" s="61" t="s">
        <v>2252</v>
      </c>
      <c r="H186" s="61">
        <v>1947</v>
      </c>
      <c r="I186" s="61">
        <v>971</v>
      </c>
      <c r="J186" s="61">
        <v>629</v>
      </c>
      <c r="K186" s="61" t="s">
        <v>2110</v>
      </c>
      <c r="L186" s="61" t="s">
        <v>2110</v>
      </c>
      <c r="M186" s="61" t="s">
        <v>2252</v>
      </c>
    </row>
    <row r="187" spans="1:13" ht="34.049999999999997" customHeight="1" x14ac:dyDescent="0.45">
      <c r="A187" s="72" t="s">
        <v>2255</v>
      </c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</row>
    <row r="188" spans="1:13" ht="15" customHeight="1" x14ac:dyDescent="0.45">
      <c r="A188" s="62" t="s">
        <v>2241</v>
      </c>
      <c r="B188" s="61">
        <v>1216</v>
      </c>
      <c r="C188" s="61">
        <v>701</v>
      </c>
      <c r="D188" s="61">
        <v>359</v>
      </c>
      <c r="E188" s="61">
        <v>104</v>
      </c>
      <c r="F188" s="61">
        <v>45</v>
      </c>
      <c r="G188" s="61">
        <v>6</v>
      </c>
      <c r="H188" s="61">
        <v>30592</v>
      </c>
      <c r="I188" s="61">
        <v>11414</v>
      </c>
      <c r="J188" s="61">
        <v>7705</v>
      </c>
      <c r="K188" s="61">
        <v>3356</v>
      </c>
      <c r="L188" s="61">
        <v>5079</v>
      </c>
      <c r="M188" s="61">
        <v>3038</v>
      </c>
    </row>
    <row r="189" spans="1:13" ht="15" customHeight="1" x14ac:dyDescent="0.45">
      <c r="A189" s="62" t="s">
        <v>2242</v>
      </c>
      <c r="B189" s="61">
        <v>726</v>
      </c>
      <c r="C189" s="61">
        <v>448</v>
      </c>
      <c r="D189" s="61">
        <v>164</v>
      </c>
      <c r="E189" s="61">
        <v>69</v>
      </c>
      <c r="F189" s="61">
        <v>38</v>
      </c>
      <c r="G189" s="61">
        <v>6</v>
      </c>
      <c r="H189" s="61">
        <v>27656</v>
      </c>
      <c r="I189" s="61">
        <v>9317</v>
      </c>
      <c r="J189" s="61">
        <v>6136</v>
      </c>
      <c r="K189" s="61">
        <v>3662</v>
      </c>
      <c r="L189" s="61">
        <v>5431</v>
      </c>
      <c r="M189" s="61">
        <v>3111</v>
      </c>
    </row>
    <row r="190" spans="1:13" ht="15" customHeight="1" x14ac:dyDescent="0.45">
      <c r="A190" s="62" t="s">
        <v>2246</v>
      </c>
      <c r="B190" s="61">
        <v>159</v>
      </c>
      <c r="C190" s="61">
        <v>94</v>
      </c>
      <c r="D190" s="61">
        <v>43</v>
      </c>
      <c r="E190" s="61">
        <v>12</v>
      </c>
      <c r="F190" s="61">
        <v>9</v>
      </c>
      <c r="G190" s="61" t="s">
        <v>2110</v>
      </c>
      <c r="H190" s="61">
        <v>3101</v>
      </c>
      <c r="I190" s="61">
        <v>1093</v>
      </c>
      <c r="J190" s="61">
        <v>990</v>
      </c>
      <c r="K190" s="61">
        <v>317</v>
      </c>
      <c r="L190" s="61">
        <v>587</v>
      </c>
      <c r="M190" s="61" t="s">
        <v>2110</v>
      </c>
    </row>
    <row r="191" spans="1:13" ht="34.049999999999997" customHeight="1" x14ac:dyDescent="0.45">
      <c r="A191" s="72" t="s">
        <v>2256</v>
      </c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</row>
    <row r="192" spans="1:13" ht="15" customHeight="1" x14ac:dyDescent="0.45">
      <c r="A192" s="62" t="s">
        <v>2257</v>
      </c>
      <c r="B192" s="61">
        <v>4901</v>
      </c>
      <c r="C192" s="61">
        <v>3210</v>
      </c>
      <c r="D192" s="61">
        <v>1194</v>
      </c>
      <c r="E192" s="61">
        <v>347</v>
      </c>
      <c r="F192" s="61">
        <v>134</v>
      </c>
      <c r="G192" s="61">
        <v>16</v>
      </c>
      <c r="H192" s="61">
        <v>89003</v>
      </c>
      <c r="I192" s="61">
        <v>38084</v>
      </c>
      <c r="J192" s="61">
        <v>21998</v>
      </c>
      <c r="K192" s="61">
        <v>10151</v>
      </c>
      <c r="L192" s="61">
        <v>12786</v>
      </c>
      <c r="M192" s="61">
        <v>5984</v>
      </c>
    </row>
    <row r="193" spans="1:13" ht="15" customHeight="1" x14ac:dyDescent="0.45">
      <c r="A193" s="62" t="s">
        <v>2258</v>
      </c>
      <c r="B193" s="61">
        <v>4631</v>
      </c>
      <c r="C193" s="61">
        <v>3001</v>
      </c>
      <c r="D193" s="61">
        <v>1155</v>
      </c>
      <c r="E193" s="61">
        <v>327</v>
      </c>
      <c r="F193" s="61">
        <v>131</v>
      </c>
      <c r="G193" s="61">
        <v>16</v>
      </c>
      <c r="H193" s="61">
        <v>87841</v>
      </c>
      <c r="I193" s="61">
        <v>36930</v>
      </c>
      <c r="J193" s="61">
        <v>22373</v>
      </c>
      <c r="K193" s="61">
        <v>9786</v>
      </c>
      <c r="L193" s="61">
        <v>12754</v>
      </c>
      <c r="M193" s="61">
        <v>5998</v>
      </c>
    </row>
    <row r="194" spans="1:13" ht="15" customHeight="1" x14ac:dyDescent="0.45">
      <c r="A194" s="62" t="s">
        <v>2259</v>
      </c>
      <c r="B194" s="61">
        <v>4595</v>
      </c>
      <c r="C194" s="61">
        <v>2912</v>
      </c>
      <c r="D194" s="61">
        <v>1192</v>
      </c>
      <c r="E194" s="61">
        <v>340</v>
      </c>
      <c r="F194" s="61">
        <v>135</v>
      </c>
      <c r="G194" s="61">
        <v>16</v>
      </c>
      <c r="H194" s="61">
        <v>88076</v>
      </c>
      <c r="I194" s="61">
        <v>37122</v>
      </c>
      <c r="J194" s="61">
        <v>22142</v>
      </c>
      <c r="K194" s="61">
        <v>9990</v>
      </c>
      <c r="L194" s="61">
        <v>12845</v>
      </c>
      <c r="M194" s="61">
        <v>5976</v>
      </c>
    </row>
    <row r="195" spans="1:13" ht="15" customHeight="1" x14ac:dyDescent="0.45">
      <c r="A195" s="62" t="s">
        <v>2260</v>
      </c>
      <c r="B195" s="61">
        <v>1736</v>
      </c>
      <c r="C195" s="61">
        <v>1013</v>
      </c>
      <c r="D195" s="61">
        <v>485</v>
      </c>
      <c r="E195" s="61">
        <v>156</v>
      </c>
      <c r="F195" s="61">
        <v>73</v>
      </c>
      <c r="G195" s="61">
        <v>9</v>
      </c>
      <c r="H195" s="61">
        <v>43633</v>
      </c>
      <c r="I195" s="61">
        <v>15112</v>
      </c>
      <c r="J195" s="61">
        <v>10724</v>
      </c>
      <c r="K195" s="61">
        <v>5517</v>
      </c>
      <c r="L195" s="61">
        <v>7780</v>
      </c>
      <c r="M195" s="61">
        <v>4501</v>
      </c>
    </row>
    <row r="196" spans="1:13" ht="15" customHeight="1" x14ac:dyDescent="0.45">
      <c r="A196" s="62" t="s">
        <v>2261</v>
      </c>
      <c r="B196" s="61">
        <v>322</v>
      </c>
      <c r="C196" s="61">
        <v>239</v>
      </c>
      <c r="D196" s="61">
        <v>67</v>
      </c>
      <c r="E196" s="61">
        <v>13</v>
      </c>
      <c r="F196" s="61">
        <v>2</v>
      </c>
      <c r="G196" s="61" t="s">
        <v>2110</v>
      </c>
      <c r="H196" s="61">
        <v>6871</v>
      </c>
      <c r="I196" s="61">
        <v>3679</v>
      </c>
      <c r="J196" s="61">
        <v>2061</v>
      </c>
      <c r="K196" s="61">
        <v>526</v>
      </c>
      <c r="L196" s="61">
        <v>348</v>
      </c>
      <c r="M196" s="61" t="s">
        <v>2110</v>
      </c>
    </row>
    <row r="197" spans="1:13" ht="28.05" customHeight="1" x14ac:dyDescent="0.45">
      <c r="A197" s="62" t="s">
        <v>2374</v>
      </c>
      <c r="B197" s="61">
        <v>706</v>
      </c>
      <c r="C197" s="61">
        <v>436</v>
      </c>
      <c r="D197" s="61">
        <v>164</v>
      </c>
      <c r="E197" s="61">
        <v>48</v>
      </c>
      <c r="F197" s="61">
        <v>48</v>
      </c>
      <c r="G197" s="61">
        <v>9</v>
      </c>
      <c r="H197" s="61">
        <v>29439</v>
      </c>
      <c r="I197" s="61">
        <v>8458</v>
      </c>
      <c r="J197" s="61">
        <v>6128</v>
      </c>
      <c r="K197" s="61">
        <v>3210</v>
      </c>
      <c r="L197" s="61">
        <v>7351</v>
      </c>
      <c r="M197" s="61">
        <v>4292</v>
      </c>
    </row>
    <row r="198" spans="1:13" ht="24" customHeight="1" x14ac:dyDescent="0.45">
      <c r="A198" s="72" t="s">
        <v>2263</v>
      </c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</row>
    <row r="199" spans="1:13" ht="15" customHeight="1" x14ac:dyDescent="0.45">
      <c r="A199" s="62" t="s">
        <v>2264</v>
      </c>
      <c r="B199" s="61">
        <v>1017</v>
      </c>
      <c r="C199" s="61">
        <v>896</v>
      </c>
      <c r="D199" s="61">
        <v>92</v>
      </c>
      <c r="E199" s="61">
        <v>22</v>
      </c>
      <c r="F199" s="61">
        <v>7</v>
      </c>
      <c r="G199" s="61" t="s">
        <v>2110</v>
      </c>
      <c r="H199" s="61">
        <v>7754</v>
      </c>
      <c r="I199" s="61">
        <v>5834</v>
      </c>
      <c r="J199" s="61">
        <v>1319</v>
      </c>
      <c r="K199" s="61">
        <v>314</v>
      </c>
      <c r="L199" s="61">
        <v>271</v>
      </c>
      <c r="M199" s="61" t="s">
        <v>2110</v>
      </c>
    </row>
    <row r="200" spans="1:13" ht="15" customHeight="1" x14ac:dyDescent="0.45">
      <c r="A200" s="62" t="s">
        <v>2265</v>
      </c>
      <c r="B200" s="61">
        <v>693</v>
      </c>
      <c r="C200" s="61">
        <v>477</v>
      </c>
      <c r="D200" s="61">
        <v>173</v>
      </c>
      <c r="E200" s="61">
        <v>33</v>
      </c>
      <c r="F200" s="61">
        <v>9</v>
      </c>
      <c r="G200" s="61">
        <v>0</v>
      </c>
      <c r="H200" s="61">
        <v>10617</v>
      </c>
      <c r="I200" s="61">
        <v>6080</v>
      </c>
      <c r="J200" s="61">
        <v>2905</v>
      </c>
      <c r="K200" s="61">
        <v>702</v>
      </c>
      <c r="L200" s="61">
        <v>800</v>
      </c>
      <c r="M200" s="61">
        <v>130</v>
      </c>
    </row>
    <row r="201" spans="1:13" ht="15" customHeight="1" x14ac:dyDescent="0.45">
      <c r="A201" s="62" t="s">
        <v>2266</v>
      </c>
      <c r="B201" s="61">
        <v>905</v>
      </c>
      <c r="C201" s="61">
        <v>553</v>
      </c>
      <c r="D201" s="61">
        <v>188</v>
      </c>
      <c r="E201" s="61">
        <v>116</v>
      </c>
      <c r="F201" s="61">
        <v>43</v>
      </c>
      <c r="G201" s="61">
        <v>6</v>
      </c>
      <c r="H201" s="61">
        <v>20244</v>
      </c>
      <c r="I201" s="61">
        <v>7635</v>
      </c>
      <c r="J201" s="61">
        <v>3971</v>
      </c>
      <c r="K201" s="61">
        <v>2625</v>
      </c>
      <c r="L201" s="61">
        <v>3545</v>
      </c>
      <c r="M201" s="61">
        <v>2468</v>
      </c>
    </row>
    <row r="202" spans="1:13" ht="15" customHeight="1" x14ac:dyDescent="0.45">
      <c r="A202" s="74" t="s">
        <v>2267</v>
      </c>
      <c r="B202" s="61">
        <v>3303</v>
      </c>
      <c r="C202" s="61">
        <v>2179</v>
      </c>
      <c r="D202" s="61">
        <v>832</v>
      </c>
      <c r="E202" s="61">
        <v>199</v>
      </c>
      <c r="F202" s="61">
        <v>83</v>
      </c>
      <c r="G202" s="61">
        <v>10</v>
      </c>
      <c r="H202" s="61">
        <v>58143</v>
      </c>
      <c r="I202" s="61">
        <v>24369</v>
      </c>
      <c r="J202" s="61">
        <v>15122</v>
      </c>
      <c r="K202" s="61">
        <v>6824</v>
      </c>
      <c r="L202" s="61">
        <v>8442</v>
      </c>
      <c r="M202" s="61">
        <v>3386</v>
      </c>
    </row>
    <row r="203" spans="1:13" ht="24" customHeight="1" x14ac:dyDescent="0.45">
      <c r="A203" s="72" t="s">
        <v>2268</v>
      </c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</row>
    <row r="204" spans="1:13" ht="15" customHeight="1" x14ac:dyDescent="0.45">
      <c r="A204" s="62" t="s">
        <v>2269</v>
      </c>
      <c r="B204" s="61">
        <v>1288</v>
      </c>
      <c r="C204" s="61">
        <v>1104</v>
      </c>
      <c r="D204" s="61">
        <v>131</v>
      </c>
      <c r="E204" s="61">
        <v>42</v>
      </c>
      <c r="F204" s="61" t="s">
        <v>2110</v>
      </c>
      <c r="G204" s="61" t="s">
        <v>2110</v>
      </c>
      <c r="H204" s="61">
        <v>8917</v>
      </c>
      <c r="I204" s="61">
        <v>6988</v>
      </c>
      <c r="J204" s="61">
        <v>944</v>
      </c>
      <c r="K204" s="61">
        <v>679</v>
      </c>
      <c r="L204" s="61" t="s">
        <v>2110</v>
      </c>
      <c r="M204" s="61" t="s">
        <v>2110</v>
      </c>
    </row>
    <row r="205" spans="1:13" ht="15" customHeight="1" x14ac:dyDescent="0.45">
      <c r="A205" s="62" t="s">
        <v>2265</v>
      </c>
      <c r="B205" s="61">
        <v>1111</v>
      </c>
      <c r="C205" s="61">
        <v>712</v>
      </c>
      <c r="D205" s="61">
        <v>328</v>
      </c>
      <c r="E205" s="61">
        <v>46</v>
      </c>
      <c r="F205" s="61">
        <v>24</v>
      </c>
      <c r="G205" s="61" t="s">
        <v>2110</v>
      </c>
      <c r="H205" s="61">
        <v>19747</v>
      </c>
      <c r="I205" s="61">
        <v>11077</v>
      </c>
      <c r="J205" s="61">
        <v>5952</v>
      </c>
      <c r="K205" s="61">
        <v>1162</v>
      </c>
      <c r="L205" s="61">
        <v>1466</v>
      </c>
      <c r="M205" s="61" t="s">
        <v>2110</v>
      </c>
    </row>
    <row r="206" spans="1:13" ht="15" customHeight="1" x14ac:dyDescent="0.45">
      <c r="A206" s="62" t="s">
        <v>2266</v>
      </c>
      <c r="B206" s="61">
        <v>998</v>
      </c>
      <c r="C206" s="61">
        <v>552</v>
      </c>
      <c r="D206" s="61">
        <v>250</v>
      </c>
      <c r="E206" s="61">
        <v>136</v>
      </c>
      <c r="F206" s="61">
        <v>52</v>
      </c>
      <c r="G206" s="61">
        <v>7</v>
      </c>
      <c r="H206" s="61">
        <v>26388</v>
      </c>
      <c r="I206" s="61">
        <v>8915</v>
      </c>
      <c r="J206" s="61">
        <v>5955</v>
      </c>
      <c r="K206" s="61">
        <v>3612</v>
      </c>
      <c r="L206" s="61">
        <v>4822</v>
      </c>
      <c r="M206" s="61">
        <v>3083</v>
      </c>
    </row>
    <row r="207" spans="1:13" ht="15" customHeight="1" x14ac:dyDescent="0.45">
      <c r="A207" s="74" t="s">
        <v>2267</v>
      </c>
      <c r="B207" s="61">
        <v>2522</v>
      </c>
      <c r="C207" s="61">
        <v>1737</v>
      </c>
      <c r="D207" s="61">
        <v>576</v>
      </c>
      <c r="E207" s="61">
        <v>145</v>
      </c>
      <c r="F207" s="61">
        <v>55</v>
      </c>
      <c r="G207" s="61">
        <v>8</v>
      </c>
      <c r="H207" s="61">
        <v>41706</v>
      </c>
      <c r="I207" s="61">
        <v>16938</v>
      </c>
      <c r="J207" s="61">
        <v>10466</v>
      </c>
      <c r="K207" s="61">
        <v>5012</v>
      </c>
      <c r="L207" s="61">
        <v>6466</v>
      </c>
      <c r="M207" s="61">
        <v>2824</v>
      </c>
    </row>
    <row r="208" spans="1:13" ht="24" customHeight="1" x14ac:dyDescent="0.45">
      <c r="A208" s="72" t="s">
        <v>2270</v>
      </c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</row>
    <row r="209" spans="1:13" ht="15" customHeight="1" x14ac:dyDescent="0.45">
      <c r="A209" s="62" t="s">
        <v>2271</v>
      </c>
      <c r="B209" s="61" t="s">
        <v>2110</v>
      </c>
      <c r="C209" s="61" t="s">
        <v>2110</v>
      </c>
      <c r="D209" s="61" t="s">
        <v>2110</v>
      </c>
      <c r="E209" s="61" t="s">
        <v>2252</v>
      </c>
      <c r="F209" s="61" t="s">
        <v>2252</v>
      </c>
      <c r="G209" s="61" t="s">
        <v>2252</v>
      </c>
      <c r="H209" s="61" t="s">
        <v>2110</v>
      </c>
      <c r="I209" s="61" t="s">
        <v>2110</v>
      </c>
      <c r="J209" s="61" t="s">
        <v>2110</v>
      </c>
      <c r="K209" s="61" t="s">
        <v>2252</v>
      </c>
      <c r="L209" s="61" t="s">
        <v>2252</v>
      </c>
      <c r="M209" s="61" t="s">
        <v>2252</v>
      </c>
    </row>
    <row r="210" spans="1:13" ht="15" customHeight="1" x14ac:dyDescent="0.45">
      <c r="A210" s="62" t="s">
        <v>2265</v>
      </c>
      <c r="B210" s="61">
        <v>1280</v>
      </c>
      <c r="C210" s="61">
        <v>763</v>
      </c>
      <c r="D210" s="61">
        <v>377</v>
      </c>
      <c r="E210" s="61">
        <v>105</v>
      </c>
      <c r="F210" s="61">
        <v>34</v>
      </c>
      <c r="G210" s="61">
        <v>1</v>
      </c>
      <c r="H210" s="61">
        <v>14213</v>
      </c>
      <c r="I210" s="61">
        <v>7135</v>
      </c>
      <c r="J210" s="61">
        <v>4257</v>
      </c>
      <c r="K210" s="61">
        <v>1513</v>
      </c>
      <c r="L210" s="61">
        <v>1091</v>
      </c>
      <c r="M210" s="61">
        <v>218</v>
      </c>
    </row>
    <row r="211" spans="1:13" ht="15" customHeight="1" x14ac:dyDescent="0.45">
      <c r="A211" s="62" t="s">
        <v>2266</v>
      </c>
      <c r="B211" s="61">
        <v>1784</v>
      </c>
      <c r="C211" s="61">
        <v>1126</v>
      </c>
      <c r="D211" s="61">
        <v>435</v>
      </c>
      <c r="E211" s="61">
        <v>151</v>
      </c>
      <c r="F211" s="61">
        <v>65</v>
      </c>
      <c r="G211" s="61">
        <v>8</v>
      </c>
      <c r="H211" s="61">
        <v>39002</v>
      </c>
      <c r="I211" s="61">
        <v>15114</v>
      </c>
      <c r="J211" s="61">
        <v>9528</v>
      </c>
      <c r="K211" s="61">
        <v>4865</v>
      </c>
      <c r="L211" s="61">
        <v>6327</v>
      </c>
      <c r="M211" s="61">
        <v>3168</v>
      </c>
    </row>
    <row r="212" spans="1:13" ht="15" customHeight="1" x14ac:dyDescent="0.45">
      <c r="A212" s="74" t="s">
        <v>2267</v>
      </c>
      <c r="B212" s="61">
        <v>2272</v>
      </c>
      <c r="C212" s="61">
        <v>1709</v>
      </c>
      <c r="D212" s="61">
        <v>415</v>
      </c>
      <c r="E212" s="61">
        <v>100</v>
      </c>
      <c r="F212" s="61">
        <v>40</v>
      </c>
      <c r="G212" s="61">
        <v>7</v>
      </c>
      <c r="H212" s="61">
        <v>40015</v>
      </c>
      <c r="I212" s="61">
        <v>19078</v>
      </c>
      <c r="J212" s="61">
        <v>8963</v>
      </c>
      <c r="K212" s="61">
        <v>3907</v>
      </c>
      <c r="L212" s="61">
        <v>5477</v>
      </c>
      <c r="M212" s="61">
        <v>2590</v>
      </c>
    </row>
    <row r="213" spans="1:13" ht="28.05" customHeight="1" x14ac:dyDescent="0.45">
      <c r="A213" s="74" t="s">
        <v>2272</v>
      </c>
      <c r="B213" s="61">
        <v>513</v>
      </c>
      <c r="C213" s="61">
        <v>442</v>
      </c>
      <c r="D213" s="61">
        <v>55</v>
      </c>
      <c r="E213" s="61" t="s">
        <v>2110</v>
      </c>
      <c r="F213" s="61" t="s">
        <v>2110</v>
      </c>
      <c r="G213" s="61" t="s">
        <v>2110</v>
      </c>
      <c r="H213" s="61">
        <v>2998</v>
      </c>
      <c r="I213" s="61">
        <v>2197</v>
      </c>
      <c r="J213" s="61">
        <v>434</v>
      </c>
      <c r="K213" s="61" t="s">
        <v>2110</v>
      </c>
      <c r="L213" s="61" t="s">
        <v>2110</v>
      </c>
      <c r="M213" s="61" t="s">
        <v>2110</v>
      </c>
    </row>
    <row r="214" spans="1:13" ht="24" customHeight="1" x14ac:dyDescent="0.45">
      <c r="A214" s="72" t="s">
        <v>2273</v>
      </c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</row>
    <row r="215" spans="1:13" ht="15" customHeight="1" x14ac:dyDescent="0.45">
      <c r="A215" s="62" t="s">
        <v>2271</v>
      </c>
      <c r="B215" s="61">
        <v>2054</v>
      </c>
      <c r="C215" s="61">
        <v>1541</v>
      </c>
      <c r="D215" s="61">
        <v>412</v>
      </c>
      <c r="E215" s="61">
        <v>81</v>
      </c>
      <c r="F215" s="61">
        <v>20</v>
      </c>
      <c r="G215" s="61" t="s">
        <v>2110</v>
      </c>
      <c r="H215" s="61">
        <v>15602</v>
      </c>
      <c r="I215" s="61">
        <v>10569</v>
      </c>
      <c r="J215" s="61">
        <v>3667</v>
      </c>
      <c r="K215" s="61">
        <v>912</v>
      </c>
      <c r="L215" s="61">
        <v>450</v>
      </c>
      <c r="M215" s="61" t="s">
        <v>2110</v>
      </c>
    </row>
    <row r="216" spans="1:13" ht="15" customHeight="1" x14ac:dyDescent="0.45">
      <c r="A216" s="62" t="s">
        <v>2265</v>
      </c>
      <c r="B216" s="61">
        <v>3243</v>
      </c>
      <c r="C216" s="61">
        <v>2055</v>
      </c>
      <c r="D216" s="61">
        <v>809</v>
      </c>
      <c r="E216" s="61">
        <v>262</v>
      </c>
      <c r="F216" s="61">
        <v>104</v>
      </c>
      <c r="G216" s="61">
        <v>13</v>
      </c>
      <c r="H216" s="61">
        <v>70060</v>
      </c>
      <c r="I216" s="61">
        <v>28792</v>
      </c>
      <c r="J216" s="61">
        <v>17951</v>
      </c>
      <c r="K216" s="61">
        <v>8313</v>
      </c>
      <c r="L216" s="61">
        <v>10167</v>
      </c>
      <c r="M216" s="61">
        <v>4836</v>
      </c>
    </row>
    <row r="217" spans="1:13" ht="15" customHeight="1" x14ac:dyDescent="0.45">
      <c r="A217" s="62" t="s">
        <v>2274</v>
      </c>
      <c r="B217" s="61">
        <v>238</v>
      </c>
      <c r="C217" s="61">
        <v>166</v>
      </c>
      <c r="D217" s="61">
        <v>42</v>
      </c>
      <c r="E217" s="61">
        <v>16</v>
      </c>
      <c r="F217" s="61">
        <v>12</v>
      </c>
      <c r="G217" s="61">
        <v>2</v>
      </c>
      <c r="H217" s="61">
        <v>7211</v>
      </c>
      <c r="I217" s="61">
        <v>2459</v>
      </c>
      <c r="J217" s="61">
        <v>1334</v>
      </c>
      <c r="K217" s="61">
        <v>782</v>
      </c>
      <c r="L217" s="61">
        <v>1721</v>
      </c>
      <c r="M217" s="61">
        <v>915</v>
      </c>
    </row>
    <row r="218" spans="1:13" ht="28.05" customHeight="1" x14ac:dyDescent="0.45">
      <c r="A218" s="74" t="s">
        <v>2275</v>
      </c>
      <c r="B218" s="61">
        <v>78</v>
      </c>
      <c r="C218" s="61">
        <v>60</v>
      </c>
      <c r="D218" s="61" t="s">
        <v>2110</v>
      </c>
      <c r="E218" s="61" t="s">
        <v>2110</v>
      </c>
      <c r="F218" s="61">
        <v>6</v>
      </c>
      <c r="G218" s="61">
        <v>1</v>
      </c>
      <c r="H218" s="61">
        <v>2306</v>
      </c>
      <c r="I218" s="61">
        <v>709</v>
      </c>
      <c r="J218" s="61" t="s">
        <v>2110</v>
      </c>
      <c r="K218" s="61">
        <v>421</v>
      </c>
      <c r="L218" s="61">
        <v>716</v>
      </c>
      <c r="M218" s="61">
        <v>243</v>
      </c>
    </row>
    <row r="219" spans="1:13" ht="15" customHeight="1" x14ac:dyDescent="0.45">
      <c r="A219" s="74" t="s">
        <v>2276</v>
      </c>
      <c r="B219" s="61">
        <v>305</v>
      </c>
      <c r="C219" s="61">
        <v>284</v>
      </c>
      <c r="D219" s="61" t="s">
        <v>2110</v>
      </c>
      <c r="E219" s="61" t="s">
        <v>2110</v>
      </c>
      <c r="F219" s="61" t="s">
        <v>2110</v>
      </c>
      <c r="G219" s="61" t="s">
        <v>2110</v>
      </c>
      <c r="H219" s="61">
        <v>1579</v>
      </c>
      <c r="I219" s="61">
        <v>1389</v>
      </c>
      <c r="J219" s="61" t="s">
        <v>2110</v>
      </c>
      <c r="K219" s="61" t="s">
        <v>2110</v>
      </c>
      <c r="L219" s="61" t="s">
        <v>2110</v>
      </c>
      <c r="M219" s="61" t="s">
        <v>2110</v>
      </c>
    </row>
    <row r="220" spans="1:13" ht="34.049999999999997" customHeight="1" x14ac:dyDescent="0.45">
      <c r="A220" s="72" t="s">
        <v>2277</v>
      </c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</row>
    <row r="221" spans="1:13" ht="15" customHeight="1" x14ac:dyDescent="0.45">
      <c r="A221" s="62" t="s">
        <v>2278</v>
      </c>
      <c r="B221" s="61">
        <v>2187</v>
      </c>
      <c r="C221" s="61">
        <v>1558</v>
      </c>
      <c r="D221" s="61">
        <v>454</v>
      </c>
      <c r="E221" s="61">
        <v>124</v>
      </c>
      <c r="F221" s="61">
        <v>47</v>
      </c>
      <c r="G221" s="61">
        <v>4</v>
      </c>
      <c r="H221" s="61">
        <v>48113</v>
      </c>
      <c r="I221" s="61">
        <v>24350</v>
      </c>
      <c r="J221" s="61">
        <v>11670</v>
      </c>
      <c r="K221" s="61">
        <v>5249</v>
      </c>
      <c r="L221" s="61">
        <v>4813</v>
      </c>
      <c r="M221" s="61">
        <v>2031</v>
      </c>
    </row>
    <row r="222" spans="1:13" ht="15" customHeight="1" x14ac:dyDescent="0.45">
      <c r="A222" s="62" t="s">
        <v>2279</v>
      </c>
      <c r="B222" s="61">
        <v>1621</v>
      </c>
      <c r="C222" s="61">
        <v>984</v>
      </c>
      <c r="D222" s="61">
        <v>503</v>
      </c>
      <c r="E222" s="61">
        <v>124</v>
      </c>
      <c r="F222" s="61">
        <v>10</v>
      </c>
      <c r="G222" s="61" t="s">
        <v>2110</v>
      </c>
      <c r="H222" s="61">
        <v>17449</v>
      </c>
      <c r="I222" s="61">
        <v>9673</v>
      </c>
      <c r="J222" s="61">
        <v>5323</v>
      </c>
      <c r="K222" s="61">
        <v>1748</v>
      </c>
      <c r="L222" s="61">
        <v>635</v>
      </c>
      <c r="M222" s="61" t="s">
        <v>2110</v>
      </c>
    </row>
    <row r="223" spans="1:13" ht="15" customHeight="1" x14ac:dyDescent="0.45">
      <c r="A223" s="62" t="s">
        <v>2280</v>
      </c>
      <c r="B223" s="61">
        <v>1246</v>
      </c>
      <c r="C223" s="61">
        <v>835</v>
      </c>
      <c r="D223" s="61">
        <v>308</v>
      </c>
      <c r="E223" s="61">
        <v>69</v>
      </c>
      <c r="F223" s="61">
        <v>33</v>
      </c>
      <c r="G223" s="61">
        <v>2</v>
      </c>
      <c r="H223" s="61">
        <v>21143</v>
      </c>
      <c r="I223" s="61">
        <v>9344</v>
      </c>
      <c r="J223" s="61">
        <v>6038</v>
      </c>
      <c r="K223" s="61">
        <v>2301</v>
      </c>
      <c r="L223" s="61">
        <v>2259</v>
      </c>
      <c r="M223" s="61">
        <v>1200</v>
      </c>
    </row>
    <row r="224" spans="1:13" ht="15" customHeight="1" x14ac:dyDescent="0.45">
      <c r="A224" s="62" t="s">
        <v>2281</v>
      </c>
      <c r="B224" s="61">
        <v>703</v>
      </c>
      <c r="C224" s="61">
        <v>280</v>
      </c>
      <c r="D224" s="61">
        <v>231</v>
      </c>
      <c r="E224" s="61">
        <v>118</v>
      </c>
      <c r="F224" s="61">
        <v>65</v>
      </c>
      <c r="G224" s="61">
        <v>8</v>
      </c>
      <c r="H224" s="61">
        <v>28902</v>
      </c>
      <c r="I224" s="61">
        <v>6303</v>
      </c>
      <c r="J224" s="61">
        <v>7809</v>
      </c>
      <c r="K224" s="61">
        <v>4912</v>
      </c>
      <c r="L224" s="61">
        <v>6941</v>
      </c>
      <c r="M224" s="61">
        <v>2937</v>
      </c>
    </row>
    <row r="225" spans="1:13" ht="15" customHeight="1" x14ac:dyDescent="0.45">
      <c r="A225" s="62" t="s">
        <v>2282</v>
      </c>
      <c r="B225" s="61">
        <v>673</v>
      </c>
      <c r="C225" s="61">
        <v>440</v>
      </c>
      <c r="D225" s="61">
        <v>153</v>
      </c>
      <c r="E225" s="61">
        <v>56</v>
      </c>
      <c r="F225" s="61">
        <v>21</v>
      </c>
      <c r="G225" s="61">
        <v>4</v>
      </c>
      <c r="H225" s="61">
        <v>15146</v>
      </c>
      <c r="I225" s="61">
        <v>6332</v>
      </c>
      <c r="J225" s="61">
        <v>3419</v>
      </c>
      <c r="K225" s="61">
        <v>1914</v>
      </c>
      <c r="L225" s="61">
        <v>1988</v>
      </c>
      <c r="M225" s="61">
        <v>1494</v>
      </c>
    </row>
    <row r="226" spans="1:13" ht="15" customHeight="1" x14ac:dyDescent="0.45">
      <c r="A226" s="62" t="s">
        <v>2244</v>
      </c>
      <c r="B226" s="61">
        <v>83</v>
      </c>
      <c r="C226" s="61">
        <v>19</v>
      </c>
      <c r="D226" s="61">
        <v>23</v>
      </c>
      <c r="E226" s="61">
        <v>12</v>
      </c>
      <c r="F226" s="61">
        <v>25</v>
      </c>
      <c r="G226" s="61">
        <v>4</v>
      </c>
      <c r="H226" s="61">
        <v>6552</v>
      </c>
      <c r="I226" s="61">
        <v>285</v>
      </c>
      <c r="J226" s="61">
        <v>579</v>
      </c>
      <c r="K226" s="61">
        <v>765</v>
      </c>
      <c r="L226" s="61">
        <v>2922</v>
      </c>
      <c r="M226" s="61">
        <v>2001</v>
      </c>
    </row>
    <row r="227" spans="1:13" ht="15" customHeight="1" x14ac:dyDescent="0.45">
      <c r="A227" s="62" t="s">
        <v>2283</v>
      </c>
      <c r="B227" s="61">
        <v>134</v>
      </c>
      <c r="C227" s="61">
        <v>83</v>
      </c>
      <c r="D227" s="61">
        <v>28</v>
      </c>
      <c r="E227" s="61">
        <v>10</v>
      </c>
      <c r="F227" s="61">
        <v>11</v>
      </c>
      <c r="G227" s="61">
        <v>3</v>
      </c>
      <c r="H227" s="61">
        <v>7466</v>
      </c>
      <c r="I227" s="61">
        <v>2027</v>
      </c>
      <c r="J227" s="61">
        <v>1130</v>
      </c>
      <c r="K227" s="61">
        <v>975</v>
      </c>
      <c r="L227" s="61">
        <v>1981</v>
      </c>
      <c r="M227" s="61">
        <v>1353</v>
      </c>
    </row>
    <row r="228" spans="1:13" ht="15" customHeight="1" x14ac:dyDescent="0.45">
      <c r="A228" s="62" t="s">
        <v>2179</v>
      </c>
      <c r="B228" s="61">
        <v>17</v>
      </c>
      <c r="C228" s="61">
        <v>10</v>
      </c>
      <c r="D228" s="61" t="s">
        <v>2110</v>
      </c>
      <c r="E228" s="61" t="s">
        <v>2110</v>
      </c>
      <c r="F228" s="61" t="s">
        <v>2110</v>
      </c>
      <c r="G228" s="61" t="s">
        <v>2110</v>
      </c>
      <c r="H228" s="61">
        <v>821</v>
      </c>
      <c r="I228" s="61">
        <v>522</v>
      </c>
      <c r="J228" s="61" t="s">
        <v>2110</v>
      </c>
      <c r="K228" s="61" t="s">
        <v>2110</v>
      </c>
      <c r="L228" s="61" t="s">
        <v>2110</v>
      </c>
      <c r="M228" s="61" t="s">
        <v>2110</v>
      </c>
    </row>
    <row r="229" spans="1:13" ht="34.049999999999997" customHeight="1" x14ac:dyDescent="0.45">
      <c r="A229" s="72" t="s">
        <v>2284</v>
      </c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</row>
    <row r="230" spans="1:13" ht="15" customHeight="1" x14ac:dyDescent="0.45">
      <c r="A230" s="62" t="s">
        <v>2285</v>
      </c>
      <c r="B230" s="61">
        <v>2565</v>
      </c>
      <c r="C230" s="61">
        <v>1780</v>
      </c>
      <c r="D230" s="61">
        <v>557</v>
      </c>
      <c r="E230" s="61">
        <v>153</v>
      </c>
      <c r="F230" s="61">
        <v>69</v>
      </c>
      <c r="G230" s="61">
        <v>6</v>
      </c>
      <c r="H230" s="61">
        <v>56416</v>
      </c>
      <c r="I230" s="61">
        <v>27075</v>
      </c>
      <c r="J230" s="61">
        <v>14388</v>
      </c>
      <c r="K230" s="61">
        <v>6241</v>
      </c>
      <c r="L230" s="61">
        <v>6328</v>
      </c>
      <c r="M230" s="61">
        <v>2384</v>
      </c>
    </row>
    <row r="231" spans="1:13" ht="28.05" customHeight="1" x14ac:dyDescent="0.45">
      <c r="A231" s="62" t="s">
        <v>2286</v>
      </c>
      <c r="B231" s="61">
        <v>1309</v>
      </c>
      <c r="C231" s="61">
        <v>742</v>
      </c>
      <c r="D231" s="61">
        <v>424</v>
      </c>
      <c r="E231" s="61">
        <v>116</v>
      </c>
      <c r="F231" s="61">
        <v>26</v>
      </c>
      <c r="G231" s="61">
        <v>2</v>
      </c>
      <c r="H231" s="61">
        <v>18437</v>
      </c>
      <c r="I231" s="61">
        <v>7738</v>
      </c>
      <c r="J231" s="61">
        <v>5526</v>
      </c>
      <c r="K231" s="61">
        <v>2139</v>
      </c>
      <c r="L231" s="61">
        <v>2258</v>
      </c>
      <c r="M231" s="61">
        <v>776</v>
      </c>
    </row>
    <row r="232" spans="1:13" ht="15" customHeight="1" x14ac:dyDescent="0.45">
      <c r="A232" s="62" t="s">
        <v>2287</v>
      </c>
      <c r="B232" s="61">
        <v>735</v>
      </c>
      <c r="C232" s="61">
        <v>402</v>
      </c>
      <c r="D232" s="61">
        <v>209</v>
      </c>
      <c r="E232" s="61">
        <v>80</v>
      </c>
      <c r="F232" s="61">
        <v>41</v>
      </c>
      <c r="G232" s="61">
        <v>3</v>
      </c>
      <c r="H232" s="61">
        <v>13767</v>
      </c>
      <c r="I232" s="61">
        <v>4483</v>
      </c>
      <c r="J232" s="61">
        <v>3606</v>
      </c>
      <c r="K232" s="61">
        <v>2063</v>
      </c>
      <c r="L232" s="61">
        <v>2779</v>
      </c>
      <c r="M232" s="61">
        <v>836</v>
      </c>
    </row>
    <row r="233" spans="1:13" ht="15" customHeight="1" x14ac:dyDescent="0.45">
      <c r="A233" s="62" t="s">
        <v>2288</v>
      </c>
      <c r="B233" s="61">
        <v>202</v>
      </c>
      <c r="C233" s="61">
        <v>72</v>
      </c>
      <c r="D233" s="61">
        <v>55</v>
      </c>
      <c r="E233" s="61">
        <v>34</v>
      </c>
      <c r="F233" s="61">
        <v>31</v>
      </c>
      <c r="G233" s="61">
        <v>10</v>
      </c>
      <c r="H233" s="61">
        <v>17910</v>
      </c>
      <c r="I233" s="61">
        <v>2462</v>
      </c>
      <c r="J233" s="61">
        <v>3860</v>
      </c>
      <c r="K233" s="61">
        <v>2588</v>
      </c>
      <c r="L233" s="61">
        <v>4979</v>
      </c>
      <c r="M233" s="61">
        <v>4020</v>
      </c>
    </row>
    <row r="234" spans="1:13" ht="15" customHeight="1" x14ac:dyDescent="0.45">
      <c r="A234" s="62" t="s">
        <v>2282</v>
      </c>
      <c r="B234" s="61">
        <v>492</v>
      </c>
      <c r="C234" s="61">
        <v>311</v>
      </c>
      <c r="D234" s="61">
        <v>127</v>
      </c>
      <c r="E234" s="61">
        <v>32</v>
      </c>
      <c r="F234" s="61">
        <v>19</v>
      </c>
      <c r="G234" s="61">
        <v>4</v>
      </c>
      <c r="H234" s="61">
        <v>11138</v>
      </c>
      <c r="I234" s="61">
        <v>3688</v>
      </c>
      <c r="J234" s="61">
        <v>2610</v>
      </c>
      <c r="K234" s="61">
        <v>1243</v>
      </c>
      <c r="L234" s="61">
        <v>2101</v>
      </c>
      <c r="M234" s="61">
        <v>1497</v>
      </c>
    </row>
    <row r="235" spans="1:13" ht="15" customHeight="1" x14ac:dyDescent="0.45">
      <c r="A235" s="62" t="s">
        <v>2245</v>
      </c>
      <c r="B235" s="61">
        <v>55</v>
      </c>
      <c r="C235" s="61">
        <v>22</v>
      </c>
      <c r="D235" s="61">
        <v>7</v>
      </c>
      <c r="E235" s="61">
        <v>9</v>
      </c>
      <c r="F235" s="61">
        <v>16</v>
      </c>
      <c r="G235" s="61">
        <v>1</v>
      </c>
      <c r="H235" s="61">
        <v>4288</v>
      </c>
      <c r="I235" s="61">
        <v>298</v>
      </c>
      <c r="J235" s="61">
        <v>311</v>
      </c>
      <c r="K235" s="61">
        <v>622</v>
      </c>
      <c r="L235" s="61">
        <v>2401</v>
      </c>
      <c r="M235" s="61">
        <v>657</v>
      </c>
    </row>
    <row r="236" spans="1:13" ht="15" customHeight="1" x14ac:dyDescent="0.45">
      <c r="A236" s="62" t="s">
        <v>2289</v>
      </c>
      <c r="B236" s="61">
        <v>85</v>
      </c>
      <c r="C236" s="61">
        <v>63</v>
      </c>
      <c r="D236" s="61">
        <v>15</v>
      </c>
      <c r="E236" s="61" t="s">
        <v>2110</v>
      </c>
      <c r="F236" s="61">
        <v>3</v>
      </c>
      <c r="G236" s="61">
        <v>1</v>
      </c>
      <c r="H236" s="61">
        <v>2070</v>
      </c>
      <c r="I236" s="61">
        <v>868</v>
      </c>
      <c r="J236" s="61">
        <v>411</v>
      </c>
      <c r="K236" s="61" t="s">
        <v>2110</v>
      </c>
      <c r="L236" s="61">
        <v>375</v>
      </c>
      <c r="M236" s="61">
        <v>210</v>
      </c>
    </row>
    <row r="237" spans="1:13" ht="15" customHeight="1" x14ac:dyDescent="0.45">
      <c r="A237" s="62" t="s">
        <v>2179</v>
      </c>
      <c r="B237" s="61" t="s">
        <v>2110</v>
      </c>
      <c r="C237" s="61" t="s">
        <v>2110</v>
      </c>
      <c r="D237" s="61" t="s">
        <v>2110</v>
      </c>
      <c r="E237" s="61" t="s">
        <v>2110</v>
      </c>
      <c r="F237" s="61" t="s">
        <v>2110</v>
      </c>
      <c r="G237" s="61" t="s">
        <v>2110</v>
      </c>
      <c r="H237" s="61" t="s">
        <v>2110</v>
      </c>
      <c r="I237" s="61" t="s">
        <v>2110</v>
      </c>
      <c r="J237" s="61" t="s">
        <v>2110</v>
      </c>
      <c r="K237" s="61" t="s">
        <v>2110</v>
      </c>
      <c r="L237" s="61" t="s">
        <v>2110</v>
      </c>
      <c r="M237" s="61" t="s">
        <v>2110</v>
      </c>
    </row>
    <row r="238" spans="1:13" ht="34.049999999999997" customHeight="1" x14ac:dyDescent="0.45">
      <c r="A238" s="72" t="s">
        <v>2290</v>
      </c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</row>
    <row r="239" spans="1:13" ht="15" customHeight="1" x14ac:dyDescent="0.45">
      <c r="A239" s="62" t="s">
        <v>2291</v>
      </c>
      <c r="B239" s="61">
        <v>747</v>
      </c>
      <c r="C239" s="61">
        <v>415</v>
      </c>
      <c r="D239" s="61">
        <v>193</v>
      </c>
      <c r="E239" s="61">
        <v>73</v>
      </c>
      <c r="F239" s="61">
        <v>57</v>
      </c>
      <c r="G239" s="61">
        <v>9</v>
      </c>
      <c r="H239" s="61">
        <v>34219</v>
      </c>
      <c r="I239" s="61">
        <v>9677</v>
      </c>
      <c r="J239" s="61">
        <v>7835</v>
      </c>
      <c r="K239" s="61">
        <v>4252</v>
      </c>
      <c r="L239" s="61">
        <v>8019</v>
      </c>
      <c r="M239" s="61">
        <v>4435</v>
      </c>
    </row>
    <row r="240" spans="1:13" ht="15" customHeight="1" x14ac:dyDescent="0.45">
      <c r="A240" s="62" t="s">
        <v>2292</v>
      </c>
      <c r="B240" s="61">
        <v>698</v>
      </c>
      <c r="C240" s="61">
        <v>411</v>
      </c>
      <c r="D240" s="61">
        <v>164</v>
      </c>
      <c r="E240" s="61">
        <v>64</v>
      </c>
      <c r="F240" s="61">
        <v>50</v>
      </c>
      <c r="G240" s="61">
        <v>9</v>
      </c>
      <c r="H240" s="61">
        <v>29172</v>
      </c>
      <c r="I240" s="61">
        <v>6603</v>
      </c>
      <c r="J240" s="61">
        <v>6491</v>
      </c>
      <c r="K240" s="61">
        <v>4135</v>
      </c>
      <c r="L240" s="61">
        <v>7494</v>
      </c>
      <c r="M240" s="61">
        <v>4449</v>
      </c>
    </row>
    <row r="241" spans="1:13" ht="15" customHeight="1" x14ac:dyDescent="0.45">
      <c r="A241" s="62" t="s">
        <v>2293</v>
      </c>
      <c r="B241" s="61">
        <v>249</v>
      </c>
      <c r="C241" s="61">
        <v>152</v>
      </c>
      <c r="D241" s="61">
        <v>55</v>
      </c>
      <c r="E241" s="61">
        <v>18</v>
      </c>
      <c r="F241" s="61">
        <v>20</v>
      </c>
      <c r="G241" s="61">
        <v>3</v>
      </c>
      <c r="H241" s="61">
        <v>9027</v>
      </c>
      <c r="I241" s="61">
        <v>2166</v>
      </c>
      <c r="J241" s="61">
        <v>1593</v>
      </c>
      <c r="K241" s="61">
        <v>1170</v>
      </c>
      <c r="L241" s="61">
        <v>2569</v>
      </c>
      <c r="M241" s="61">
        <v>1529</v>
      </c>
    </row>
    <row r="242" spans="1:13" ht="15" customHeight="1" x14ac:dyDescent="0.45">
      <c r="A242" s="62" t="s">
        <v>2294</v>
      </c>
      <c r="B242" s="61">
        <v>349</v>
      </c>
      <c r="C242" s="61">
        <v>213</v>
      </c>
      <c r="D242" s="61">
        <v>94</v>
      </c>
      <c r="E242" s="61">
        <v>21</v>
      </c>
      <c r="F242" s="61">
        <v>17</v>
      </c>
      <c r="G242" s="61">
        <v>3</v>
      </c>
      <c r="H242" s="61">
        <v>10652</v>
      </c>
      <c r="I242" s="61">
        <v>3721</v>
      </c>
      <c r="J242" s="61">
        <v>2580</v>
      </c>
      <c r="K242" s="61">
        <v>1259</v>
      </c>
      <c r="L242" s="61">
        <v>1857</v>
      </c>
      <c r="M242" s="61">
        <v>1234</v>
      </c>
    </row>
    <row r="243" spans="1:13" ht="15" customHeight="1" x14ac:dyDescent="0.45">
      <c r="A243" s="62" t="s">
        <v>2295</v>
      </c>
      <c r="B243" s="61">
        <v>3554</v>
      </c>
      <c r="C243" s="61">
        <v>2273</v>
      </c>
      <c r="D243" s="61">
        <v>889</v>
      </c>
      <c r="E243" s="61">
        <v>251</v>
      </c>
      <c r="F243" s="61">
        <v>125</v>
      </c>
      <c r="G243" s="61">
        <v>16</v>
      </c>
      <c r="H243" s="61">
        <v>78343</v>
      </c>
      <c r="I243" s="61">
        <v>32042</v>
      </c>
      <c r="J243" s="61">
        <v>18806</v>
      </c>
      <c r="K243" s="61">
        <v>9082</v>
      </c>
      <c r="L243" s="61">
        <v>12440</v>
      </c>
      <c r="M243" s="61">
        <v>5973</v>
      </c>
    </row>
    <row r="244" spans="1:13" ht="28.5" customHeight="1" x14ac:dyDescent="0.45">
      <c r="A244" s="62" t="s">
        <v>2296</v>
      </c>
      <c r="B244" s="61">
        <v>933</v>
      </c>
      <c r="C244" s="61">
        <v>529</v>
      </c>
      <c r="D244" s="61">
        <v>239</v>
      </c>
      <c r="E244" s="61">
        <v>82</v>
      </c>
      <c r="F244" s="61">
        <v>72</v>
      </c>
      <c r="G244" s="61">
        <v>12</v>
      </c>
      <c r="H244" s="61">
        <v>40697</v>
      </c>
      <c r="I244" s="61">
        <v>12027</v>
      </c>
      <c r="J244" s="61">
        <v>9082</v>
      </c>
      <c r="K244" s="61">
        <v>5133</v>
      </c>
      <c r="L244" s="61">
        <v>9264</v>
      </c>
      <c r="M244" s="61">
        <v>5191</v>
      </c>
    </row>
    <row r="245" spans="1:13" ht="25.5" customHeight="1" x14ac:dyDescent="0.45">
      <c r="A245" s="62" t="s">
        <v>2297</v>
      </c>
      <c r="B245" s="61">
        <v>325</v>
      </c>
      <c r="C245" s="61">
        <v>206</v>
      </c>
      <c r="D245" s="61">
        <v>92</v>
      </c>
      <c r="E245" s="61">
        <v>21</v>
      </c>
      <c r="F245" s="61">
        <v>6</v>
      </c>
      <c r="G245" s="61" t="s">
        <v>2110</v>
      </c>
      <c r="H245" s="61">
        <v>6017</v>
      </c>
      <c r="I245" s="61">
        <v>2601</v>
      </c>
      <c r="J245" s="61">
        <v>1807</v>
      </c>
      <c r="K245" s="61">
        <v>604</v>
      </c>
      <c r="L245" s="61">
        <v>647</v>
      </c>
      <c r="M245" s="61" t="s">
        <v>2110</v>
      </c>
    </row>
    <row r="246" spans="1:13" ht="15" customHeight="1" x14ac:dyDescent="0.45">
      <c r="A246" s="62" t="s">
        <v>2298</v>
      </c>
      <c r="B246" s="61">
        <v>1545</v>
      </c>
      <c r="C246" s="61">
        <v>1002</v>
      </c>
      <c r="D246" s="61">
        <v>434</v>
      </c>
      <c r="E246" s="61">
        <v>88</v>
      </c>
      <c r="F246" s="61">
        <v>20</v>
      </c>
      <c r="G246" s="61" t="s">
        <v>2110</v>
      </c>
      <c r="H246" s="61">
        <v>20937</v>
      </c>
      <c r="I246" s="61">
        <v>11549</v>
      </c>
      <c r="J246" s="61">
        <v>6316</v>
      </c>
      <c r="K246" s="61">
        <v>1935</v>
      </c>
      <c r="L246" s="61">
        <v>1008</v>
      </c>
      <c r="M246" s="61" t="s">
        <v>2110</v>
      </c>
    </row>
    <row r="247" spans="1:13" ht="34.049999999999997" customHeight="1" x14ac:dyDescent="0.45">
      <c r="A247" s="72" t="s">
        <v>2299</v>
      </c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</row>
    <row r="248" spans="1:13" ht="15" customHeight="1" x14ac:dyDescent="0.45">
      <c r="A248" s="62" t="s">
        <v>2300</v>
      </c>
      <c r="B248" s="61">
        <v>1937</v>
      </c>
      <c r="C248" s="61">
        <v>1251</v>
      </c>
      <c r="D248" s="61">
        <v>469</v>
      </c>
      <c r="E248" s="61">
        <v>170</v>
      </c>
      <c r="F248" s="61">
        <v>41</v>
      </c>
      <c r="G248" s="61">
        <v>6</v>
      </c>
      <c r="H248" s="61">
        <v>32688</v>
      </c>
      <c r="I248" s="61">
        <v>14348</v>
      </c>
      <c r="J248" s="61">
        <v>8698</v>
      </c>
      <c r="K248" s="61">
        <v>4258</v>
      </c>
      <c r="L248" s="61">
        <v>3666</v>
      </c>
      <c r="M248" s="61">
        <v>1718</v>
      </c>
    </row>
    <row r="249" spans="1:13" ht="15" customHeight="1" x14ac:dyDescent="0.45">
      <c r="A249" s="62" t="s">
        <v>2301</v>
      </c>
      <c r="B249" s="61">
        <v>1269</v>
      </c>
      <c r="C249" s="61">
        <v>668</v>
      </c>
      <c r="D249" s="61">
        <v>424</v>
      </c>
      <c r="E249" s="61">
        <v>131</v>
      </c>
      <c r="F249" s="61">
        <v>40</v>
      </c>
      <c r="G249" s="61">
        <v>6</v>
      </c>
      <c r="H249" s="61">
        <v>23084</v>
      </c>
      <c r="I249" s="61">
        <v>6995</v>
      </c>
      <c r="J249" s="61">
        <v>6851</v>
      </c>
      <c r="K249" s="61">
        <v>2954</v>
      </c>
      <c r="L249" s="61">
        <v>3748</v>
      </c>
      <c r="M249" s="61">
        <v>2537</v>
      </c>
    </row>
    <row r="250" spans="1:13" ht="24" customHeight="1" x14ac:dyDescent="0.45">
      <c r="A250" s="72" t="s">
        <v>2302</v>
      </c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</row>
    <row r="251" spans="1:13" ht="15" customHeight="1" x14ac:dyDescent="0.45">
      <c r="A251" s="62" t="s">
        <v>2303</v>
      </c>
      <c r="B251" s="61">
        <v>3538</v>
      </c>
      <c r="C251" s="61">
        <v>2161</v>
      </c>
      <c r="D251" s="61">
        <v>990</v>
      </c>
      <c r="E251" s="61">
        <v>269</v>
      </c>
      <c r="F251" s="61">
        <v>107</v>
      </c>
      <c r="G251" s="61">
        <v>10</v>
      </c>
      <c r="H251" s="61">
        <v>59621</v>
      </c>
      <c r="I251" s="61">
        <v>24423</v>
      </c>
      <c r="J251" s="61">
        <v>16338</v>
      </c>
      <c r="K251" s="61">
        <v>6825</v>
      </c>
      <c r="L251" s="61">
        <v>8527</v>
      </c>
      <c r="M251" s="61">
        <v>3508</v>
      </c>
    </row>
    <row r="252" spans="1:13" ht="15" customHeight="1" x14ac:dyDescent="0.45">
      <c r="A252" s="62" t="s">
        <v>2304</v>
      </c>
      <c r="B252" s="61">
        <v>782</v>
      </c>
      <c r="C252" s="61">
        <v>597</v>
      </c>
      <c r="D252" s="61">
        <v>134</v>
      </c>
      <c r="E252" s="61">
        <v>38</v>
      </c>
      <c r="F252" s="61">
        <v>11</v>
      </c>
      <c r="G252" s="61">
        <v>2</v>
      </c>
      <c r="H252" s="61">
        <v>14326</v>
      </c>
      <c r="I252" s="61">
        <v>8317</v>
      </c>
      <c r="J252" s="61">
        <v>2782</v>
      </c>
      <c r="K252" s="61">
        <v>1281</v>
      </c>
      <c r="L252" s="61">
        <v>1167</v>
      </c>
      <c r="M252" s="61">
        <v>778</v>
      </c>
    </row>
    <row r="253" spans="1:13" ht="28.05" customHeight="1" x14ac:dyDescent="0.45">
      <c r="A253" s="62" t="s">
        <v>2305</v>
      </c>
      <c r="B253" s="61">
        <v>274</v>
      </c>
      <c r="C253" s="61">
        <v>154</v>
      </c>
      <c r="D253" s="61">
        <v>68</v>
      </c>
      <c r="E253" s="61">
        <v>33</v>
      </c>
      <c r="F253" s="61">
        <v>16</v>
      </c>
      <c r="G253" s="61">
        <v>4</v>
      </c>
      <c r="H253" s="61">
        <v>14129</v>
      </c>
      <c r="I253" s="61">
        <v>4382</v>
      </c>
      <c r="J253" s="61">
        <v>3022</v>
      </c>
      <c r="K253" s="61">
        <v>1883</v>
      </c>
      <c r="L253" s="61">
        <v>3151</v>
      </c>
      <c r="M253" s="61">
        <v>1691</v>
      </c>
    </row>
    <row r="254" spans="1:13" ht="34.049999999999997" customHeight="1" x14ac:dyDescent="0.45">
      <c r="A254" s="84" t="s">
        <v>2375</v>
      </c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</row>
    <row r="255" spans="1:13" ht="15" customHeight="1" x14ac:dyDescent="0.45">
      <c r="A255" s="62" t="s">
        <v>2376</v>
      </c>
      <c r="B255" s="61">
        <v>578</v>
      </c>
      <c r="C255" s="61">
        <v>354</v>
      </c>
      <c r="D255" s="61">
        <v>137</v>
      </c>
      <c r="E255" s="61">
        <v>39</v>
      </c>
      <c r="F255" s="61">
        <v>40</v>
      </c>
      <c r="G255" s="61">
        <v>9</v>
      </c>
      <c r="H255" s="61">
        <v>24861</v>
      </c>
      <c r="I255" s="61">
        <v>6727</v>
      </c>
      <c r="J255" s="61">
        <v>5015</v>
      </c>
      <c r="K255" s="61">
        <v>2773</v>
      </c>
      <c r="L255" s="61">
        <v>6359</v>
      </c>
      <c r="M255" s="61">
        <v>3986</v>
      </c>
    </row>
    <row r="256" spans="1:13" ht="15" customHeight="1" x14ac:dyDescent="0.45">
      <c r="A256" s="62" t="s">
        <v>2308</v>
      </c>
      <c r="B256" s="61">
        <v>94</v>
      </c>
      <c r="C256" s="61">
        <v>61</v>
      </c>
      <c r="D256" s="61">
        <v>19</v>
      </c>
      <c r="E256" s="61">
        <v>7</v>
      </c>
      <c r="F256" s="61" t="s">
        <v>2110</v>
      </c>
      <c r="G256" s="61" t="s">
        <v>2110</v>
      </c>
      <c r="H256" s="61">
        <v>3745</v>
      </c>
      <c r="I256" s="61">
        <v>1334</v>
      </c>
      <c r="J256" s="61">
        <v>860</v>
      </c>
      <c r="K256" s="61">
        <v>402</v>
      </c>
      <c r="L256" s="61">
        <v>814</v>
      </c>
      <c r="M256" s="61" t="s">
        <v>2110</v>
      </c>
    </row>
    <row r="257" spans="1:13" ht="15" customHeight="1" x14ac:dyDescent="0.45">
      <c r="A257" s="62" t="s">
        <v>2309</v>
      </c>
      <c r="B257" s="61">
        <v>43</v>
      </c>
      <c r="C257" s="61">
        <v>22</v>
      </c>
      <c r="D257" s="61">
        <v>10</v>
      </c>
      <c r="E257" s="61" t="s">
        <v>2110</v>
      </c>
      <c r="F257" s="61" t="s">
        <v>2110</v>
      </c>
      <c r="G257" s="61" t="s">
        <v>2110</v>
      </c>
      <c r="H257" s="61">
        <v>2040</v>
      </c>
      <c r="I257" s="61">
        <v>608</v>
      </c>
      <c r="J257" s="61">
        <v>485</v>
      </c>
      <c r="K257" s="61" t="s">
        <v>2110</v>
      </c>
      <c r="L257" s="61">
        <v>607</v>
      </c>
      <c r="M257" s="61">
        <v>190</v>
      </c>
    </row>
    <row r="258" spans="1:13" ht="34.049999999999997" customHeight="1" x14ac:dyDescent="0.45">
      <c r="A258" s="72" t="s">
        <v>2310</v>
      </c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</row>
    <row r="259" spans="1:13" ht="15" customHeight="1" x14ac:dyDescent="0.45">
      <c r="A259" s="62" t="s">
        <v>2311</v>
      </c>
      <c r="B259" s="61">
        <v>1100</v>
      </c>
      <c r="C259" s="61">
        <v>593</v>
      </c>
      <c r="D259" s="61">
        <v>347</v>
      </c>
      <c r="E259" s="61">
        <v>115</v>
      </c>
      <c r="F259" s="61">
        <v>40</v>
      </c>
      <c r="G259" s="61">
        <v>4</v>
      </c>
      <c r="H259" s="61">
        <v>21148</v>
      </c>
      <c r="I259" s="61">
        <v>7377</v>
      </c>
      <c r="J259" s="61">
        <v>5460</v>
      </c>
      <c r="K259" s="61">
        <v>3070</v>
      </c>
      <c r="L259" s="61">
        <v>3382</v>
      </c>
      <c r="M259" s="61">
        <v>1858</v>
      </c>
    </row>
    <row r="260" spans="1:13" ht="15" customHeight="1" x14ac:dyDescent="0.45">
      <c r="A260" s="62" t="s">
        <v>2312</v>
      </c>
      <c r="B260" s="61">
        <v>4019</v>
      </c>
      <c r="C260" s="61">
        <v>2668</v>
      </c>
      <c r="D260" s="61">
        <v>961</v>
      </c>
      <c r="E260" s="61">
        <v>268</v>
      </c>
      <c r="F260" s="61">
        <v>110</v>
      </c>
      <c r="G260" s="61">
        <v>11</v>
      </c>
      <c r="H260" s="61">
        <v>73157</v>
      </c>
      <c r="I260" s="61">
        <v>31800</v>
      </c>
      <c r="J260" s="61">
        <v>17941</v>
      </c>
      <c r="K260" s="61">
        <v>8145</v>
      </c>
      <c r="L260" s="61">
        <v>10524</v>
      </c>
      <c r="M260" s="61">
        <v>4747</v>
      </c>
    </row>
    <row r="261" spans="1:13" ht="15" customHeight="1" x14ac:dyDescent="0.45">
      <c r="A261" s="62" t="s">
        <v>2313</v>
      </c>
      <c r="B261" s="61">
        <v>1133</v>
      </c>
      <c r="C261" s="61">
        <v>598</v>
      </c>
      <c r="D261" s="61">
        <v>334</v>
      </c>
      <c r="E261" s="61">
        <v>125</v>
      </c>
      <c r="F261" s="61">
        <v>67</v>
      </c>
      <c r="G261" s="61">
        <v>9</v>
      </c>
      <c r="H261" s="61">
        <v>33655</v>
      </c>
      <c r="I261" s="61">
        <v>10358</v>
      </c>
      <c r="J261" s="61">
        <v>7503</v>
      </c>
      <c r="K261" s="61">
        <v>4671</v>
      </c>
      <c r="L261" s="61">
        <v>7238</v>
      </c>
      <c r="M261" s="61">
        <v>3884</v>
      </c>
    </row>
    <row r="262" spans="1:13" ht="15" customHeight="1" x14ac:dyDescent="0.45">
      <c r="A262" s="62" t="s">
        <v>2314</v>
      </c>
      <c r="B262" s="61">
        <v>238</v>
      </c>
      <c r="C262" s="61">
        <v>155</v>
      </c>
      <c r="D262" s="61">
        <v>52</v>
      </c>
      <c r="E262" s="61">
        <v>15</v>
      </c>
      <c r="F262" s="61">
        <v>14</v>
      </c>
      <c r="G262" s="61">
        <v>2</v>
      </c>
      <c r="H262" s="61">
        <v>11352</v>
      </c>
      <c r="I262" s="61">
        <v>3910</v>
      </c>
      <c r="J262" s="61">
        <v>2087</v>
      </c>
      <c r="K262" s="61">
        <v>1317</v>
      </c>
      <c r="L262" s="61">
        <v>2488</v>
      </c>
      <c r="M262" s="61">
        <v>1551</v>
      </c>
    </row>
    <row r="263" spans="1:13" ht="15" customHeight="1" x14ac:dyDescent="0.45">
      <c r="A263" s="62" t="s">
        <v>2315</v>
      </c>
      <c r="B263" s="61">
        <v>552</v>
      </c>
      <c r="C263" s="61">
        <v>318</v>
      </c>
      <c r="D263" s="61">
        <v>169</v>
      </c>
      <c r="E263" s="61">
        <v>47</v>
      </c>
      <c r="F263" s="61">
        <v>14</v>
      </c>
      <c r="G263" s="61">
        <v>3</v>
      </c>
      <c r="H263" s="61">
        <v>14963</v>
      </c>
      <c r="I263" s="61">
        <v>5915</v>
      </c>
      <c r="J263" s="61">
        <v>3460</v>
      </c>
      <c r="K263" s="61">
        <v>1608</v>
      </c>
      <c r="L263" s="61">
        <v>2383</v>
      </c>
      <c r="M263" s="61">
        <v>1597</v>
      </c>
    </row>
    <row r="264" spans="1:13" ht="15" customHeight="1" x14ac:dyDescent="0.45">
      <c r="A264" s="62" t="s">
        <v>2316</v>
      </c>
      <c r="B264" s="61">
        <v>2592</v>
      </c>
      <c r="C264" s="61">
        <v>1564</v>
      </c>
      <c r="D264" s="61">
        <v>695</v>
      </c>
      <c r="E264" s="61">
        <v>213</v>
      </c>
      <c r="F264" s="61">
        <v>107</v>
      </c>
      <c r="G264" s="61">
        <v>14</v>
      </c>
      <c r="H264" s="61">
        <v>62061</v>
      </c>
      <c r="I264" s="61">
        <v>23057</v>
      </c>
      <c r="J264" s="61">
        <v>14882</v>
      </c>
      <c r="K264" s="61">
        <v>7810</v>
      </c>
      <c r="L264" s="61">
        <v>10699</v>
      </c>
      <c r="M264" s="61">
        <v>5612</v>
      </c>
    </row>
    <row r="265" spans="1:13" ht="15" customHeight="1" x14ac:dyDescent="0.45">
      <c r="A265" s="62" t="s">
        <v>2179</v>
      </c>
      <c r="B265" s="61" t="s">
        <v>2110</v>
      </c>
      <c r="C265" s="61" t="s">
        <v>2110</v>
      </c>
      <c r="D265" s="61" t="s">
        <v>2110</v>
      </c>
      <c r="E265" s="61" t="s">
        <v>2110</v>
      </c>
      <c r="F265" s="61" t="s">
        <v>2252</v>
      </c>
      <c r="G265" s="61" t="s">
        <v>2110</v>
      </c>
      <c r="H265" s="61" t="s">
        <v>2110</v>
      </c>
      <c r="I265" s="61" t="s">
        <v>2110</v>
      </c>
      <c r="J265" s="61" t="s">
        <v>2110</v>
      </c>
      <c r="K265" s="61" t="s">
        <v>2110</v>
      </c>
      <c r="L265" s="61" t="s">
        <v>2252</v>
      </c>
      <c r="M265" s="61" t="s">
        <v>2110</v>
      </c>
    </row>
    <row r="266" spans="1:13" ht="34.049999999999997" customHeight="1" x14ac:dyDescent="0.45">
      <c r="A266" s="72" t="s">
        <v>2317</v>
      </c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</row>
    <row r="267" spans="1:13" ht="15" customHeight="1" x14ac:dyDescent="0.45">
      <c r="A267" s="62" t="s">
        <v>2318</v>
      </c>
      <c r="B267" s="61">
        <v>3850</v>
      </c>
      <c r="C267" s="61">
        <v>2474</v>
      </c>
      <c r="D267" s="61">
        <v>968</v>
      </c>
      <c r="E267" s="61">
        <v>273</v>
      </c>
      <c r="F267" s="61">
        <v>120</v>
      </c>
      <c r="G267" s="61">
        <v>14</v>
      </c>
      <c r="H267" s="61">
        <v>77951</v>
      </c>
      <c r="I267" s="61">
        <v>32051</v>
      </c>
      <c r="J267" s="61">
        <v>19701</v>
      </c>
      <c r="K267" s="61">
        <v>8701</v>
      </c>
      <c r="L267" s="61">
        <v>11874</v>
      </c>
      <c r="M267" s="61">
        <v>5624</v>
      </c>
    </row>
    <row r="268" spans="1:13" ht="15" customHeight="1" x14ac:dyDescent="0.45">
      <c r="A268" s="60" t="s">
        <v>2319</v>
      </c>
      <c r="B268" s="61">
        <v>706</v>
      </c>
      <c r="C268" s="61">
        <v>486</v>
      </c>
      <c r="D268" s="61">
        <v>120</v>
      </c>
      <c r="E268" s="61">
        <v>55</v>
      </c>
      <c r="F268" s="61">
        <v>38</v>
      </c>
      <c r="G268" s="61">
        <v>6</v>
      </c>
      <c r="H268" s="61">
        <v>29386</v>
      </c>
      <c r="I268" s="61">
        <v>10288</v>
      </c>
      <c r="J268" s="61">
        <v>5558</v>
      </c>
      <c r="K268" s="61">
        <v>3698</v>
      </c>
      <c r="L268" s="61">
        <v>6115</v>
      </c>
      <c r="M268" s="61">
        <v>3728</v>
      </c>
    </row>
    <row r="269" spans="1:13" ht="15" customHeight="1" x14ac:dyDescent="0.45">
      <c r="A269" s="60" t="s">
        <v>2320</v>
      </c>
      <c r="B269" s="61">
        <v>837</v>
      </c>
      <c r="C269" s="61">
        <v>562</v>
      </c>
      <c r="D269" s="61">
        <v>151</v>
      </c>
      <c r="E269" s="61">
        <v>77</v>
      </c>
      <c r="F269" s="61">
        <v>40</v>
      </c>
      <c r="G269" s="61">
        <v>7</v>
      </c>
      <c r="H269" s="61">
        <v>28586</v>
      </c>
      <c r="I269" s="61">
        <v>10722</v>
      </c>
      <c r="J269" s="61">
        <v>5603</v>
      </c>
      <c r="K269" s="61">
        <v>3355</v>
      </c>
      <c r="L269" s="61">
        <v>5548</v>
      </c>
      <c r="M269" s="61">
        <v>3358</v>
      </c>
    </row>
    <row r="270" spans="1:13" ht="15" customHeight="1" x14ac:dyDescent="0.45">
      <c r="A270" s="60" t="s">
        <v>2321</v>
      </c>
      <c r="B270" s="61">
        <v>69</v>
      </c>
      <c r="C270" s="61">
        <v>46</v>
      </c>
      <c r="D270" s="61">
        <v>8</v>
      </c>
      <c r="E270" s="61">
        <v>9</v>
      </c>
      <c r="F270" s="61">
        <v>5</v>
      </c>
      <c r="G270" s="61">
        <v>0</v>
      </c>
      <c r="H270" s="61">
        <v>3577</v>
      </c>
      <c r="I270" s="61">
        <v>1195</v>
      </c>
      <c r="J270" s="61">
        <v>686</v>
      </c>
      <c r="K270" s="61">
        <v>522</v>
      </c>
      <c r="L270" s="61">
        <v>573</v>
      </c>
      <c r="M270" s="61">
        <v>601</v>
      </c>
    </row>
    <row r="271" spans="1:13" ht="15" customHeight="1" x14ac:dyDescent="0.45">
      <c r="A271" s="60" t="s">
        <v>2322</v>
      </c>
      <c r="B271" s="61">
        <v>872</v>
      </c>
      <c r="C271" s="61">
        <v>536</v>
      </c>
      <c r="D271" s="61">
        <v>202</v>
      </c>
      <c r="E271" s="61">
        <v>77</v>
      </c>
      <c r="F271" s="61">
        <v>49</v>
      </c>
      <c r="G271" s="61">
        <v>8</v>
      </c>
      <c r="H271" s="61">
        <v>34710</v>
      </c>
      <c r="I271" s="61">
        <v>11152</v>
      </c>
      <c r="J271" s="61">
        <v>7829</v>
      </c>
      <c r="K271" s="61">
        <v>4559</v>
      </c>
      <c r="L271" s="61">
        <v>7093</v>
      </c>
      <c r="M271" s="61">
        <v>4076</v>
      </c>
    </row>
    <row r="272" spans="1:13" ht="15" customHeight="1" x14ac:dyDescent="0.45">
      <c r="A272" s="60" t="s">
        <v>2323</v>
      </c>
      <c r="B272" s="61">
        <v>3321</v>
      </c>
      <c r="C272" s="61">
        <v>2094</v>
      </c>
      <c r="D272" s="61">
        <v>881</v>
      </c>
      <c r="E272" s="61">
        <v>233</v>
      </c>
      <c r="F272" s="61">
        <v>102</v>
      </c>
      <c r="G272" s="61">
        <v>12</v>
      </c>
      <c r="H272" s="61">
        <v>64963</v>
      </c>
      <c r="I272" s="61">
        <v>26096</v>
      </c>
      <c r="J272" s="61">
        <v>16835</v>
      </c>
      <c r="K272" s="61">
        <v>7309</v>
      </c>
      <c r="L272" s="61">
        <v>9928</v>
      </c>
      <c r="M272" s="61">
        <v>4795</v>
      </c>
    </row>
    <row r="273" spans="1:13" ht="15" customHeight="1" x14ac:dyDescent="0.45">
      <c r="A273" s="60" t="s">
        <v>2324</v>
      </c>
      <c r="B273" s="61">
        <v>800</v>
      </c>
      <c r="C273" s="61">
        <v>469</v>
      </c>
      <c r="D273" s="61">
        <v>195</v>
      </c>
      <c r="E273" s="61">
        <v>69</v>
      </c>
      <c r="F273" s="61">
        <v>57</v>
      </c>
      <c r="G273" s="61">
        <v>9</v>
      </c>
      <c r="H273" s="61">
        <v>42071</v>
      </c>
      <c r="I273" s="61">
        <v>14863</v>
      </c>
      <c r="J273" s="61">
        <v>9518</v>
      </c>
      <c r="K273" s="61">
        <v>4889</v>
      </c>
      <c r="L273" s="61">
        <v>8387</v>
      </c>
      <c r="M273" s="61">
        <v>4414</v>
      </c>
    </row>
    <row r="274" spans="1:13" ht="15" customHeight="1" x14ac:dyDescent="0.45">
      <c r="A274" s="62" t="s">
        <v>2325</v>
      </c>
      <c r="B274" s="61">
        <v>2068</v>
      </c>
      <c r="C274" s="61">
        <v>1632</v>
      </c>
      <c r="D274" s="61">
        <v>317</v>
      </c>
      <c r="E274" s="61">
        <v>96</v>
      </c>
      <c r="F274" s="61">
        <v>21</v>
      </c>
      <c r="G274" s="61">
        <v>2</v>
      </c>
      <c r="H274" s="61">
        <v>18806</v>
      </c>
      <c r="I274" s="61">
        <v>11867</v>
      </c>
      <c r="J274" s="61">
        <v>3615</v>
      </c>
      <c r="K274" s="61">
        <v>1764</v>
      </c>
      <c r="L274" s="61">
        <v>1184</v>
      </c>
      <c r="M274" s="61">
        <v>376</v>
      </c>
    </row>
    <row r="275" spans="1:13" ht="34.049999999999997" customHeight="1" x14ac:dyDescent="0.45">
      <c r="A275" s="72" t="s">
        <v>2326</v>
      </c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</row>
    <row r="276" spans="1:13" ht="15" customHeight="1" x14ac:dyDescent="0.45">
      <c r="A276" s="62" t="s">
        <v>2327</v>
      </c>
      <c r="B276" s="61">
        <v>3804</v>
      </c>
      <c r="C276" s="61">
        <v>2426</v>
      </c>
      <c r="D276" s="61">
        <v>947</v>
      </c>
      <c r="E276" s="61">
        <v>294</v>
      </c>
      <c r="F276" s="61">
        <v>122</v>
      </c>
      <c r="G276" s="61">
        <v>15</v>
      </c>
      <c r="H276" s="61">
        <v>82281</v>
      </c>
      <c r="I276" s="61">
        <v>34528</v>
      </c>
      <c r="J276" s="61">
        <v>20350</v>
      </c>
      <c r="K276" s="61">
        <v>9307</v>
      </c>
      <c r="L276" s="61">
        <v>12357</v>
      </c>
      <c r="M276" s="61">
        <v>5739</v>
      </c>
    </row>
    <row r="277" spans="1:13" ht="15" customHeight="1" x14ac:dyDescent="0.45">
      <c r="A277" s="60" t="s">
        <v>2328</v>
      </c>
      <c r="B277" s="61">
        <v>1504</v>
      </c>
      <c r="C277" s="61">
        <v>801</v>
      </c>
      <c r="D277" s="61">
        <v>489</v>
      </c>
      <c r="E277" s="61">
        <v>123</v>
      </c>
      <c r="F277" s="61">
        <v>78</v>
      </c>
      <c r="G277" s="61">
        <v>13</v>
      </c>
      <c r="H277" s="61">
        <v>50806</v>
      </c>
      <c r="I277" s="61">
        <v>17536</v>
      </c>
      <c r="J277" s="61">
        <v>12693</v>
      </c>
      <c r="K277" s="61">
        <v>5506</v>
      </c>
      <c r="L277" s="61">
        <v>9674</v>
      </c>
      <c r="M277" s="61">
        <v>5397</v>
      </c>
    </row>
    <row r="278" spans="1:13" ht="15" customHeight="1" x14ac:dyDescent="0.45">
      <c r="A278" s="70" t="s">
        <v>2329</v>
      </c>
      <c r="B278" s="61">
        <v>2786</v>
      </c>
      <c r="C278" s="61">
        <v>1625</v>
      </c>
      <c r="D278" s="61">
        <v>800</v>
      </c>
      <c r="E278" s="61">
        <v>234</v>
      </c>
      <c r="F278" s="61">
        <v>113</v>
      </c>
      <c r="G278" s="61">
        <v>14</v>
      </c>
      <c r="H278" s="61">
        <v>69618</v>
      </c>
      <c r="I278" s="61">
        <v>26627</v>
      </c>
      <c r="J278" s="61">
        <v>17721</v>
      </c>
      <c r="K278" s="61">
        <v>8405</v>
      </c>
      <c r="L278" s="61">
        <v>11269</v>
      </c>
      <c r="M278" s="61">
        <v>5594</v>
      </c>
    </row>
    <row r="279" spans="1:13" ht="15" customHeight="1" x14ac:dyDescent="0.45">
      <c r="A279" s="70" t="s">
        <v>2330</v>
      </c>
      <c r="B279" s="61">
        <v>1400</v>
      </c>
      <c r="C279" s="61">
        <v>802</v>
      </c>
      <c r="D279" s="61">
        <v>389</v>
      </c>
      <c r="E279" s="61">
        <v>120</v>
      </c>
      <c r="F279" s="61">
        <v>75</v>
      </c>
      <c r="G279" s="61">
        <v>13</v>
      </c>
      <c r="H279" s="61">
        <v>51691</v>
      </c>
      <c r="I279" s="61">
        <v>17892</v>
      </c>
      <c r="J279" s="61">
        <v>12535</v>
      </c>
      <c r="K279" s="61">
        <v>6110</v>
      </c>
      <c r="L279" s="61">
        <v>9748</v>
      </c>
      <c r="M279" s="61">
        <v>5406</v>
      </c>
    </row>
    <row r="280" spans="1:13" ht="15" customHeight="1" x14ac:dyDescent="0.45">
      <c r="A280" s="70" t="s">
        <v>2331</v>
      </c>
      <c r="B280" s="61">
        <v>1556</v>
      </c>
      <c r="C280" s="61">
        <v>871</v>
      </c>
      <c r="D280" s="61">
        <v>456</v>
      </c>
      <c r="E280" s="61">
        <v>145</v>
      </c>
      <c r="F280" s="61">
        <v>73</v>
      </c>
      <c r="G280" s="61">
        <v>11</v>
      </c>
      <c r="H280" s="61">
        <v>48792</v>
      </c>
      <c r="I280" s="61">
        <v>17284</v>
      </c>
      <c r="J280" s="61">
        <v>12516</v>
      </c>
      <c r="K280" s="61">
        <v>5674</v>
      </c>
      <c r="L280" s="61">
        <v>8764</v>
      </c>
      <c r="M280" s="61">
        <v>4554</v>
      </c>
    </row>
    <row r="281" spans="1:13" ht="15" customHeight="1" x14ac:dyDescent="0.45">
      <c r="A281" s="70" t="s">
        <v>2332</v>
      </c>
      <c r="B281" s="61">
        <v>1456</v>
      </c>
      <c r="C281" s="61">
        <v>809</v>
      </c>
      <c r="D281" s="61">
        <v>411</v>
      </c>
      <c r="E281" s="61">
        <v>136</v>
      </c>
      <c r="F281" s="61">
        <v>89</v>
      </c>
      <c r="G281" s="61">
        <v>12</v>
      </c>
      <c r="H281" s="61">
        <v>54108</v>
      </c>
      <c r="I281" s="61">
        <v>18345</v>
      </c>
      <c r="J281" s="61">
        <v>13597</v>
      </c>
      <c r="K281" s="61">
        <v>6554</v>
      </c>
      <c r="L281" s="61">
        <v>10343</v>
      </c>
      <c r="M281" s="61">
        <v>5269</v>
      </c>
    </row>
    <row r="282" spans="1:13" ht="15" customHeight="1" x14ac:dyDescent="0.45">
      <c r="A282" s="70" t="s">
        <v>2333</v>
      </c>
      <c r="B282" s="61">
        <v>3560</v>
      </c>
      <c r="C282" s="61">
        <v>2259</v>
      </c>
      <c r="D282" s="61">
        <v>888</v>
      </c>
      <c r="E282" s="61">
        <v>282</v>
      </c>
      <c r="F282" s="61">
        <v>118</v>
      </c>
      <c r="G282" s="61">
        <v>13</v>
      </c>
      <c r="H282" s="61">
        <v>74817</v>
      </c>
      <c r="I282" s="61">
        <v>31461</v>
      </c>
      <c r="J282" s="61">
        <v>17967</v>
      </c>
      <c r="K282" s="61">
        <v>8627</v>
      </c>
      <c r="L282" s="61">
        <v>11293</v>
      </c>
      <c r="M282" s="61">
        <v>5468</v>
      </c>
    </row>
    <row r="283" spans="1:13" ht="15" customHeight="1" x14ac:dyDescent="0.45">
      <c r="A283" s="70" t="s">
        <v>2334</v>
      </c>
      <c r="B283" s="61">
        <v>262</v>
      </c>
      <c r="C283" s="61">
        <v>152</v>
      </c>
      <c r="D283" s="61">
        <v>53</v>
      </c>
      <c r="E283" s="61">
        <v>23</v>
      </c>
      <c r="F283" s="61">
        <v>30</v>
      </c>
      <c r="G283" s="61">
        <v>3</v>
      </c>
      <c r="H283" s="61">
        <v>17000</v>
      </c>
      <c r="I283" s="61">
        <v>4413</v>
      </c>
      <c r="J283" s="61">
        <v>4188</v>
      </c>
      <c r="K283" s="61">
        <v>2226</v>
      </c>
      <c r="L283" s="61">
        <v>3991</v>
      </c>
      <c r="M283" s="61">
        <v>2182</v>
      </c>
    </row>
    <row r="284" spans="1:13" ht="15" customHeight="1" x14ac:dyDescent="0.45">
      <c r="A284" s="70" t="s">
        <v>2335</v>
      </c>
      <c r="B284" s="61">
        <v>2451</v>
      </c>
      <c r="C284" s="61">
        <v>1485</v>
      </c>
      <c r="D284" s="61">
        <v>652</v>
      </c>
      <c r="E284" s="61">
        <v>197</v>
      </c>
      <c r="F284" s="61">
        <v>103</v>
      </c>
      <c r="G284" s="61">
        <v>13</v>
      </c>
      <c r="H284" s="61">
        <v>63871</v>
      </c>
      <c r="I284" s="61">
        <v>24426</v>
      </c>
      <c r="J284" s="61">
        <v>15615</v>
      </c>
      <c r="K284" s="61">
        <v>7608</v>
      </c>
      <c r="L284" s="61">
        <v>10705</v>
      </c>
      <c r="M284" s="61">
        <v>5517</v>
      </c>
    </row>
    <row r="285" spans="1:13" ht="15" customHeight="1" x14ac:dyDescent="0.45">
      <c r="A285" s="70" t="s">
        <v>2336</v>
      </c>
      <c r="B285" s="61">
        <v>1420</v>
      </c>
      <c r="C285" s="61">
        <v>978</v>
      </c>
      <c r="D285" s="61">
        <v>290</v>
      </c>
      <c r="E285" s="61">
        <v>104</v>
      </c>
      <c r="F285" s="61">
        <v>41</v>
      </c>
      <c r="G285" s="61">
        <v>7</v>
      </c>
      <c r="H285" s="61">
        <v>33796</v>
      </c>
      <c r="I285" s="61">
        <v>14100</v>
      </c>
      <c r="J285" s="61">
        <v>6972</v>
      </c>
      <c r="K285" s="61">
        <v>3582</v>
      </c>
      <c r="L285" s="61">
        <v>5525</v>
      </c>
      <c r="M285" s="61">
        <v>3616</v>
      </c>
    </row>
    <row r="286" spans="1:13" ht="46.05" customHeight="1" x14ac:dyDescent="0.45">
      <c r="A286" s="72" t="s">
        <v>2337</v>
      </c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</row>
    <row r="287" spans="1:13" ht="28.05" customHeight="1" x14ac:dyDescent="0.45">
      <c r="A287" s="62" t="s">
        <v>2338</v>
      </c>
      <c r="B287" s="61">
        <v>144</v>
      </c>
      <c r="C287" s="61">
        <v>98</v>
      </c>
      <c r="D287" s="61">
        <v>19</v>
      </c>
      <c r="E287" s="61">
        <v>13</v>
      </c>
      <c r="F287" s="61">
        <v>11</v>
      </c>
      <c r="G287" s="61">
        <v>4</v>
      </c>
      <c r="H287" s="61">
        <v>10356</v>
      </c>
      <c r="I287" s="61">
        <v>2133</v>
      </c>
      <c r="J287" s="61">
        <v>1740</v>
      </c>
      <c r="K287" s="61">
        <v>1420</v>
      </c>
      <c r="L287" s="61">
        <v>2539</v>
      </c>
      <c r="M287" s="61">
        <v>2524</v>
      </c>
    </row>
    <row r="288" spans="1:13" ht="15" customHeight="1" x14ac:dyDescent="0.45">
      <c r="A288" s="62" t="s">
        <v>2339</v>
      </c>
      <c r="B288" s="61">
        <v>160</v>
      </c>
      <c r="C288" s="61">
        <v>108</v>
      </c>
      <c r="D288" s="61">
        <v>18</v>
      </c>
      <c r="E288" s="61">
        <v>18</v>
      </c>
      <c r="F288" s="61">
        <v>13</v>
      </c>
      <c r="G288" s="61">
        <v>3</v>
      </c>
      <c r="H288" s="61">
        <v>9769</v>
      </c>
      <c r="I288" s="61">
        <v>3761</v>
      </c>
      <c r="J288" s="61">
        <v>1117</v>
      </c>
      <c r="K288" s="61">
        <v>1029</v>
      </c>
      <c r="L288" s="61">
        <v>1793</v>
      </c>
      <c r="M288" s="61">
        <v>2068</v>
      </c>
    </row>
    <row r="289" spans="1:13" ht="15" customHeight="1" x14ac:dyDescent="0.45">
      <c r="A289" s="62" t="s">
        <v>2377</v>
      </c>
      <c r="B289" s="61">
        <v>131</v>
      </c>
      <c r="C289" s="61">
        <v>51</v>
      </c>
      <c r="D289" s="61">
        <v>42</v>
      </c>
      <c r="E289" s="61">
        <v>18</v>
      </c>
      <c r="F289" s="61">
        <v>16</v>
      </c>
      <c r="G289" s="61">
        <v>4</v>
      </c>
      <c r="H289" s="61">
        <v>14535</v>
      </c>
      <c r="I289" s="61">
        <v>3011</v>
      </c>
      <c r="J289" s="61">
        <v>3243</v>
      </c>
      <c r="K289" s="61">
        <v>1990</v>
      </c>
      <c r="L289" s="61">
        <v>3655</v>
      </c>
      <c r="M289" s="61">
        <v>2636</v>
      </c>
    </row>
    <row r="290" spans="1:13" ht="28.05" customHeight="1" x14ac:dyDescent="0.45">
      <c r="A290" s="62" t="s">
        <v>2341</v>
      </c>
      <c r="B290" s="61">
        <v>283</v>
      </c>
      <c r="C290" s="61">
        <v>147</v>
      </c>
      <c r="D290" s="61">
        <v>73</v>
      </c>
      <c r="E290" s="61">
        <v>36</v>
      </c>
      <c r="F290" s="61">
        <v>24</v>
      </c>
      <c r="G290" s="61">
        <v>3</v>
      </c>
      <c r="H290" s="61">
        <v>17661</v>
      </c>
      <c r="I290" s="61">
        <v>5730</v>
      </c>
      <c r="J290" s="61">
        <v>3263</v>
      </c>
      <c r="K290" s="61">
        <v>2629</v>
      </c>
      <c r="L290" s="61">
        <v>3832</v>
      </c>
      <c r="M290" s="61">
        <v>2206</v>
      </c>
    </row>
    <row r="291" spans="1:13" ht="15" customHeight="1" x14ac:dyDescent="0.45">
      <c r="A291" s="62" t="s">
        <v>2342</v>
      </c>
      <c r="B291" s="61">
        <v>1019</v>
      </c>
      <c r="C291" s="61">
        <v>531</v>
      </c>
      <c r="D291" s="61">
        <v>346</v>
      </c>
      <c r="E291" s="61">
        <v>98</v>
      </c>
      <c r="F291" s="61">
        <v>39</v>
      </c>
      <c r="G291" s="61">
        <v>5</v>
      </c>
      <c r="H291" s="61">
        <v>20617</v>
      </c>
      <c r="I291" s="61">
        <v>5786</v>
      </c>
      <c r="J291" s="61">
        <v>5996</v>
      </c>
      <c r="K291" s="61">
        <v>2811</v>
      </c>
      <c r="L291" s="61">
        <v>3589</v>
      </c>
      <c r="M291" s="61">
        <v>2435</v>
      </c>
    </row>
    <row r="292" spans="1:13" ht="34.049999999999997" customHeight="1" x14ac:dyDescent="0.45">
      <c r="A292" s="72" t="s">
        <v>2343</v>
      </c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</row>
    <row r="293" spans="1:13" ht="15" customHeight="1" x14ac:dyDescent="0.45">
      <c r="A293" s="62" t="s">
        <v>2344</v>
      </c>
      <c r="B293" s="61">
        <v>1237</v>
      </c>
      <c r="C293" s="61">
        <v>708</v>
      </c>
      <c r="D293" s="61">
        <v>339</v>
      </c>
      <c r="E293" s="61">
        <v>105</v>
      </c>
      <c r="F293" s="61">
        <v>73</v>
      </c>
      <c r="G293" s="61">
        <v>12</v>
      </c>
      <c r="H293" s="61">
        <v>48700</v>
      </c>
      <c r="I293" s="61">
        <v>16624</v>
      </c>
      <c r="J293" s="61">
        <v>11713</v>
      </c>
      <c r="K293" s="61">
        <v>6001</v>
      </c>
      <c r="L293" s="61">
        <v>9436</v>
      </c>
      <c r="M293" s="61">
        <v>4927</v>
      </c>
    </row>
    <row r="294" spans="1:13" ht="15" customHeight="1" x14ac:dyDescent="0.45">
      <c r="A294" s="62" t="s">
        <v>2378</v>
      </c>
      <c r="B294" s="61">
        <v>116</v>
      </c>
      <c r="C294" s="61">
        <v>65</v>
      </c>
      <c r="D294" s="61">
        <v>16</v>
      </c>
      <c r="E294" s="61">
        <v>11</v>
      </c>
      <c r="F294" s="61">
        <v>20</v>
      </c>
      <c r="G294" s="61">
        <v>5</v>
      </c>
      <c r="H294" s="61">
        <v>11383</v>
      </c>
      <c r="I294" s="61">
        <v>2229</v>
      </c>
      <c r="J294" s="61">
        <v>1704</v>
      </c>
      <c r="K294" s="61">
        <v>1221</v>
      </c>
      <c r="L294" s="61">
        <v>3431</v>
      </c>
      <c r="M294" s="61">
        <v>2797</v>
      </c>
    </row>
    <row r="295" spans="1:13" ht="15" customHeight="1" x14ac:dyDescent="0.45">
      <c r="A295" s="62" t="s">
        <v>2346</v>
      </c>
      <c r="B295" s="61">
        <v>228</v>
      </c>
      <c r="C295" s="61">
        <v>127</v>
      </c>
      <c r="D295" s="61">
        <v>53</v>
      </c>
      <c r="E295" s="61">
        <v>24</v>
      </c>
      <c r="F295" s="61">
        <v>21</v>
      </c>
      <c r="G295" s="61">
        <v>3</v>
      </c>
      <c r="H295" s="61">
        <v>16527</v>
      </c>
      <c r="I295" s="61">
        <v>4830</v>
      </c>
      <c r="J295" s="61">
        <v>3711</v>
      </c>
      <c r="K295" s="61">
        <v>2164</v>
      </c>
      <c r="L295" s="61">
        <v>3771</v>
      </c>
      <c r="M295" s="61">
        <v>2052</v>
      </c>
    </row>
    <row r="296" spans="1:13" ht="15" customHeight="1" x14ac:dyDescent="0.45">
      <c r="A296" s="62" t="s">
        <v>2347</v>
      </c>
      <c r="B296" s="61">
        <v>236</v>
      </c>
      <c r="C296" s="61">
        <v>124</v>
      </c>
      <c r="D296" s="61">
        <v>64</v>
      </c>
      <c r="E296" s="61">
        <v>26</v>
      </c>
      <c r="F296" s="61">
        <v>19</v>
      </c>
      <c r="G296" s="61">
        <v>2</v>
      </c>
      <c r="H296" s="61">
        <v>12656</v>
      </c>
      <c r="I296" s="61">
        <v>3578</v>
      </c>
      <c r="J296" s="61">
        <v>3298</v>
      </c>
      <c r="K296" s="61">
        <v>1833</v>
      </c>
      <c r="L296" s="61">
        <v>2876</v>
      </c>
      <c r="M296" s="61">
        <v>1071</v>
      </c>
    </row>
    <row r="297" spans="1:13" ht="46.05" customHeight="1" x14ac:dyDescent="0.45">
      <c r="A297" s="72" t="s">
        <v>2348</v>
      </c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</row>
    <row r="298" spans="1:13" ht="15" customHeight="1" x14ac:dyDescent="0.45">
      <c r="A298" s="62" t="s">
        <v>2349</v>
      </c>
      <c r="B298" s="61">
        <v>3527</v>
      </c>
      <c r="C298" s="61">
        <v>2236</v>
      </c>
      <c r="D298" s="61">
        <v>893</v>
      </c>
      <c r="E298" s="61">
        <v>273</v>
      </c>
      <c r="F298" s="61">
        <v>112</v>
      </c>
      <c r="G298" s="61">
        <v>13</v>
      </c>
      <c r="H298" s="61">
        <v>73030</v>
      </c>
      <c r="I298" s="61">
        <v>29809</v>
      </c>
      <c r="J298" s="61">
        <v>18259</v>
      </c>
      <c r="K298" s="61">
        <v>8659</v>
      </c>
      <c r="L298" s="61">
        <v>11158</v>
      </c>
      <c r="M298" s="61">
        <v>5144</v>
      </c>
    </row>
    <row r="299" spans="1:13" ht="15" customHeight="1" x14ac:dyDescent="0.45">
      <c r="A299" s="62" t="s">
        <v>2350</v>
      </c>
      <c r="B299" s="61">
        <v>1679</v>
      </c>
      <c r="C299" s="61">
        <v>1115</v>
      </c>
      <c r="D299" s="61">
        <v>403</v>
      </c>
      <c r="E299" s="61">
        <v>107</v>
      </c>
      <c r="F299" s="61">
        <v>45</v>
      </c>
      <c r="G299" s="61">
        <v>10</v>
      </c>
      <c r="H299" s="61">
        <v>44523</v>
      </c>
      <c r="I299" s="61">
        <v>18600</v>
      </c>
      <c r="J299" s="61">
        <v>10310</v>
      </c>
      <c r="K299" s="61">
        <v>4901</v>
      </c>
      <c r="L299" s="61">
        <v>6600</v>
      </c>
      <c r="M299" s="61">
        <v>4111</v>
      </c>
    </row>
    <row r="300" spans="1:13" ht="15" customHeight="1" x14ac:dyDescent="0.45">
      <c r="A300" s="62" t="s">
        <v>2351</v>
      </c>
      <c r="B300" s="61">
        <v>497</v>
      </c>
      <c r="C300" s="61">
        <v>311</v>
      </c>
      <c r="D300" s="61">
        <v>109</v>
      </c>
      <c r="E300" s="61">
        <v>47</v>
      </c>
      <c r="F300" s="61">
        <v>27</v>
      </c>
      <c r="G300" s="61">
        <v>3</v>
      </c>
      <c r="H300" s="61">
        <v>17941</v>
      </c>
      <c r="I300" s="61">
        <v>6633</v>
      </c>
      <c r="J300" s="61">
        <v>3491</v>
      </c>
      <c r="K300" s="61">
        <v>1992</v>
      </c>
      <c r="L300" s="61">
        <v>3810</v>
      </c>
      <c r="M300" s="61">
        <v>2015</v>
      </c>
    </row>
    <row r="301" spans="1:13" ht="15" customHeight="1" x14ac:dyDescent="0.45">
      <c r="A301" s="62" t="s">
        <v>2352</v>
      </c>
      <c r="B301" s="61">
        <v>1513</v>
      </c>
      <c r="C301" s="61">
        <v>1054</v>
      </c>
      <c r="D301" s="61">
        <v>339</v>
      </c>
      <c r="E301" s="61">
        <v>88</v>
      </c>
      <c r="F301" s="61">
        <v>29</v>
      </c>
      <c r="G301" s="61">
        <v>3</v>
      </c>
      <c r="H301" s="61">
        <v>28834</v>
      </c>
      <c r="I301" s="61">
        <v>14026</v>
      </c>
      <c r="J301" s="61">
        <v>6966</v>
      </c>
      <c r="K301" s="61">
        <v>2903</v>
      </c>
      <c r="L301" s="61">
        <v>3232</v>
      </c>
      <c r="M301" s="61">
        <v>1706</v>
      </c>
    </row>
    <row r="302" spans="1:13" ht="15" customHeight="1" x14ac:dyDescent="0.45">
      <c r="A302" s="62" t="s">
        <v>2353</v>
      </c>
      <c r="B302" s="61">
        <v>509</v>
      </c>
      <c r="C302" s="61">
        <v>284</v>
      </c>
      <c r="D302" s="61">
        <v>165</v>
      </c>
      <c r="E302" s="61">
        <v>35</v>
      </c>
      <c r="F302" s="61">
        <v>22</v>
      </c>
      <c r="G302" s="61">
        <v>3</v>
      </c>
      <c r="H302" s="61">
        <v>19792</v>
      </c>
      <c r="I302" s="61">
        <v>6665</v>
      </c>
      <c r="J302" s="61">
        <v>4816</v>
      </c>
      <c r="K302" s="61">
        <v>2667</v>
      </c>
      <c r="L302" s="61">
        <v>3668</v>
      </c>
      <c r="M302" s="61">
        <v>1976</v>
      </c>
    </row>
    <row r="303" spans="1:13" ht="15" customHeight="1" x14ac:dyDescent="0.45">
      <c r="A303" s="62" t="s">
        <v>2354</v>
      </c>
      <c r="B303" s="61">
        <v>910</v>
      </c>
      <c r="C303" s="61">
        <v>540</v>
      </c>
      <c r="D303" s="61">
        <v>226</v>
      </c>
      <c r="E303" s="61">
        <v>82</v>
      </c>
      <c r="F303" s="61">
        <v>52</v>
      </c>
      <c r="G303" s="61">
        <v>9</v>
      </c>
      <c r="H303" s="61">
        <v>33666</v>
      </c>
      <c r="I303" s="61">
        <v>11660</v>
      </c>
      <c r="J303" s="61">
        <v>7176</v>
      </c>
      <c r="K303" s="61">
        <v>4106</v>
      </c>
      <c r="L303" s="61">
        <v>6423</v>
      </c>
      <c r="M303" s="61">
        <v>4301</v>
      </c>
    </row>
    <row r="304" spans="1:13" ht="15" customHeight="1" x14ac:dyDescent="0.45">
      <c r="A304" s="62" t="s">
        <v>2355</v>
      </c>
      <c r="B304" s="61">
        <v>1025</v>
      </c>
      <c r="C304" s="61">
        <v>610</v>
      </c>
      <c r="D304" s="61">
        <v>246</v>
      </c>
      <c r="E304" s="61">
        <v>83</v>
      </c>
      <c r="F304" s="61">
        <v>74</v>
      </c>
      <c r="G304" s="61">
        <v>12</v>
      </c>
      <c r="H304" s="61">
        <v>44365</v>
      </c>
      <c r="I304" s="61">
        <v>14676</v>
      </c>
      <c r="J304" s="61">
        <v>10201</v>
      </c>
      <c r="K304" s="61">
        <v>5246</v>
      </c>
      <c r="L304" s="61">
        <v>9078</v>
      </c>
      <c r="M304" s="61">
        <v>5163</v>
      </c>
    </row>
    <row r="305" spans="1:13" ht="15" customHeight="1" x14ac:dyDescent="0.45">
      <c r="A305" s="62" t="s">
        <v>2356</v>
      </c>
      <c r="B305" s="61">
        <v>332</v>
      </c>
      <c r="C305" s="61">
        <v>163</v>
      </c>
      <c r="D305" s="61">
        <v>100</v>
      </c>
      <c r="E305" s="61">
        <v>41</v>
      </c>
      <c r="F305" s="61">
        <v>24</v>
      </c>
      <c r="G305" s="61">
        <v>5</v>
      </c>
      <c r="H305" s="61">
        <v>14467</v>
      </c>
      <c r="I305" s="61">
        <v>3715</v>
      </c>
      <c r="J305" s="61">
        <v>2994</v>
      </c>
      <c r="K305" s="61">
        <v>2088</v>
      </c>
      <c r="L305" s="61">
        <v>3056</v>
      </c>
      <c r="M305" s="61">
        <v>2615</v>
      </c>
    </row>
    <row r="306" spans="1:13" ht="15" customHeight="1" x14ac:dyDescent="0.45">
      <c r="A306" s="62" t="s">
        <v>2357</v>
      </c>
      <c r="B306" s="61">
        <v>138</v>
      </c>
      <c r="C306" s="61">
        <v>86</v>
      </c>
      <c r="D306" s="61">
        <v>35</v>
      </c>
      <c r="E306" s="61">
        <v>4</v>
      </c>
      <c r="F306" s="61">
        <v>9</v>
      </c>
      <c r="G306" s="61">
        <v>3</v>
      </c>
      <c r="H306" s="61">
        <v>7244</v>
      </c>
      <c r="I306" s="61">
        <v>1900</v>
      </c>
      <c r="J306" s="61">
        <v>1290</v>
      </c>
      <c r="K306" s="61">
        <v>517</v>
      </c>
      <c r="L306" s="61">
        <v>1750</v>
      </c>
      <c r="M306" s="61">
        <v>1787</v>
      </c>
    </row>
    <row r="307" spans="1:13" ht="15" customHeight="1" x14ac:dyDescent="0.45">
      <c r="A307" s="62" t="s">
        <v>2358</v>
      </c>
      <c r="B307" s="61">
        <v>58</v>
      </c>
      <c r="C307" s="61">
        <v>30</v>
      </c>
      <c r="D307" s="61">
        <v>17</v>
      </c>
      <c r="E307" s="61">
        <v>7</v>
      </c>
      <c r="F307" s="61">
        <v>3</v>
      </c>
      <c r="G307" s="61">
        <v>1</v>
      </c>
      <c r="H307" s="61">
        <v>1961</v>
      </c>
      <c r="I307" s="61">
        <v>388</v>
      </c>
      <c r="J307" s="61">
        <v>429</v>
      </c>
      <c r="K307" s="61">
        <v>294</v>
      </c>
      <c r="L307" s="61">
        <v>591</v>
      </c>
      <c r="M307" s="61">
        <v>259</v>
      </c>
    </row>
    <row r="308" spans="1:13" ht="15" customHeight="1" x14ac:dyDescent="0.45">
      <c r="A308" s="62" t="s">
        <v>2359</v>
      </c>
      <c r="B308" s="61">
        <v>98</v>
      </c>
      <c r="C308" s="61">
        <v>60</v>
      </c>
      <c r="D308" s="61">
        <v>31</v>
      </c>
      <c r="E308" s="61" t="s">
        <v>2110</v>
      </c>
      <c r="F308" s="61">
        <v>3</v>
      </c>
      <c r="G308" s="61">
        <v>1</v>
      </c>
      <c r="H308" s="61">
        <v>2042</v>
      </c>
      <c r="I308" s="61">
        <v>640</v>
      </c>
      <c r="J308" s="61">
        <v>321</v>
      </c>
      <c r="K308" s="61" t="s">
        <v>2110</v>
      </c>
      <c r="L308" s="61">
        <v>486</v>
      </c>
      <c r="M308" s="61">
        <v>261</v>
      </c>
    </row>
    <row r="309" spans="1:13" ht="28.8" customHeight="1" x14ac:dyDescent="0.45">
      <c r="A309" s="62" t="s">
        <v>2360</v>
      </c>
      <c r="B309" s="61">
        <v>317</v>
      </c>
      <c r="C309" s="61">
        <v>209</v>
      </c>
      <c r="D309" s="61">
        <v>65</v>
      </c>
      <c r="E309" s="61">
        <v>20</v>
      </c>
      <c r="F309" s="61">
        <v>18</v>
      </c>
      <c r="G309" s="61">
        <v>5</v>
      </c>
      <c r="H309" s="61">
        <v>16707</v>
      </c>
      <c r="I309" s="61">
        <v>6141</v>
      </c>
      <c r="J309" s="61">
        <v>3191</v>
      </c>
      <c r="K309" s="61">
        <v>1759</v>
      </c>
      <c r="L309" s="61">
        <v>3124</v>
      </c>
      <c r="M309" s="61">
        <v>2492</v>
      </c>
    </row>
    <row r="310" spans="1:13" ht="24" customHeight="1" x14ac:dyDescent="0.45">
      <c r="A310" s="84" t="s">
        <v>2361</v>
      </c>
      <c r="B310" s="61"/>
      <c r="C310" s="61"/>
      <c r="D310" s="83"/>
      <c r="E310" s="61"/>
      <c r="F310" s="61"/>
      <c r="G310" s="61"/>
      <c r="H310" s="61"/>
      <c r="I310" s="61"/>
      <c r="J310" s="61"/>
      <c r="K310" s="61"/>
      <c r="L310" s="61"/>
      <c r="M310" s="61"/>
    </row>
    <row r="311" spans="1:13" ht="28.8" customHeight="1" x14ac:dyDescent="0.45">
      <c r="A311" s="62" t="s">
        <v>2362</v>
      </c>
      <c r="B311" s="61">
        <v>132</v>
      </c>
      <c r="C311" s="61">
        <v>70</v>
      </c>
      <c r="D311" s="61">
        <v>32</v>
      </c>
      <c r="E311" s="61">
        <v>11</v>
      </c>
      <c r="F311" s="61">
        <v>16</v>
      </c>
      <c r="G311" s="61">
        <v>3</v>
      </c>
      <c r="H311" s="61">
        <v>10165</v>
      </c>
      <c r="I311" s="61">
        <v>2924</v>
      </c>
      <c r="J311" s="61">
        <v>1752</v>
      </c>
      <c r="K311" s="61">
        <v>754</v>
      </c>
      <c r="L311" s="61">
        <v>2627</v>
      </c>
      <c r="M311" s="61">
        <v>2108</v>
      </c>
    </row>
    <row r="312" spans="1:13" ht="15" customHeight="1" thickBot="1" x14ac:dyDescent="0.5">
      <c r="A312" s="60"/>
      <c r="M312" s="24"/>
    </row>
    <row r="313" spans="1:13" ht="121.05" customHeight="1" x14ac:dyDescent="0.45">
      <c r="A313" s="106" t="s">
        <v>2363</v>
      </c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</row>
    <row r="314" spans="1:13" ht="15" customHeight="1" x14ac:dyDescent="0.45"/>
    <row r="315" spans="1:13" ht="15" customHeight="1" x14ac:dyDescent="0.45"/>
  </sheetData>
  <mergeCells count="4">
    <mergeCell ref="B3:G3"/>
    <mergeCell ref="A2:M2"/>
    <mergeCell ref="H3:M3"/>
    <mergeCell ref="A313:M313"/>
  </mergeCells>
  <pageMargins left="0.7" right="0.7" top="0.6" bottom="0.6" header="0.3" footer="0.3"/>
  <pageSetup scale="78" fitToHeight="0" orientation="portrait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9"/>
  <sheetViews>
    <sheetView workbookViewId="0">
      <selection activeCell="V25" sqref="V25"/>
    </sheetView>
  </sheetViews>
  <sheetFormatPr defaultRowHeight="14.25" x14ac:dyDescent="0.45"/>
  <sheetData>
    <row r="1" spans="1:10" x14ac:dyDescent="0.45">
      <c r="A1" s="59" t="s">
        <v>2379</v>
      </c>
      <c r="F1" s="42"/>
      <c r="G1" s="39"/>
    </row>
    <row r="2" spans="1:10" ht="15" customHeight="1" x14ac:dyDescent="0.5">
      <c r="A2" s="108" t="s">
        <v>2380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16.05" customHeight="1" x14ac:dyDescent="0.5">
      <c r="A3" s="26"/>
      <c r="B3" s="109" t="s">
        <v>2381</v>
      </c>
      <c r="C3" s="95"/>
      <c r="D3" s="95"/>
      <c r="E3" s="95"/>
      <c r="F3" s="95"/>
      <c r="G3" s="95"/>
      <c r="H3" s="98" t="s">
        <v>2382</v>
      </c>
      <c r="I3" s="95"/>
      <c r="J3" s="95"/>
    </row>
    <row r="4" spans="1:10" ht="16.05" customHeight="1" x14ac:dyDescent="0.5">
      <c r="A4" s="26"/>
      <c r="B4" s="110" t="s">
        <v>2383</v>
      </c>
      <c r="C4" s="112" t="s">
        <v>2384</v>
      </c>
      <c r="D4" s="112" t="s">
        <v>2385</v>
      </c>
      <c r="E4" s="109" t="s">
        <v>2386</v>
      </c>
      <c r="F4" s="95"/>
      <c r="G4" s="95"/>
      <c r="H4" s="112" t="s">
        <v>2387</v>
      </c>
      <c r="I4" s="112" t="s">
        <v>2388</v>
      </c>
      <c r="J4" s="112" t="s">
        <v>2389</v>
      </c>
    </row>
    <row r="5" spans="1:10" ht="41.55" customHeight="1" thickBot="1" x14ac:dyDescent="0.5">
      <c r="A5" s="27"/>
      <c r="B5" s="111"/>
      <c r="C5" s="113"/>
      <c r="D5" s="113"/>
      <c r="E5" s="43" t="s">
        <v>2390</v>
      </c>
      <c r="F5" s="43" t="s">
        <v>2391</v>
      </c>
      <c r="G5" s="43" t="s">
        <v>2392</v>
      </c>
      <c r="H5" s="113"/>
      <c r="I5" s="113"/>
      <c r="J5" s="113"/>
    </row>
    <row r="6" spans="1:10" ht="28.05" customHeight="1" thickTop="1" x14ac:dyDescent="0.45">
      <c r="A6" s="28" t="s">
        <v>2100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4.3" customHeight="1" x14ac:dyDescent="0.45">
      <c r="A7" s="29" t="s">
        <v>2101</v>
      </c>
      <c r="B7" s="37"/>
      <c r="C7" s="45"/>
      <c r="D7" s="45"/>
      <c r="E7" s="45"/>
      <c r="F7" s="45"/>
      <c r="G7" s="45"/>
      <c r="H7" s="45"/>
      <c r="I7" s="45"/>
      <c r="J7" s="45"/>
    </row>
    <row r="8" spans="1:10" ht="27.3" customHeight="1" x14ac:dyDescent="0.45">
      <c r="A8" s="30" t="s">
        <v>2102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7.3" customHeight="1" x14ac:dyDescent="0.45">
      <c r="A9" s="30" t="s">
        <v>2103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7.3" customHeight="1" x14ac:dyDescent="0.45">
      <c r="A10" s="30" t="s">
        <v>2104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7.3" customHeight="1" x14ac:dyDescent="0.45">
      <c r="A11" s="30" t="s">
        <v>2105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7.3" customHeight="1" x14ac:dyDescent="0.45">
      <c r="A12" s="30" t="s">
        <v>2106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27.3" customHeight="1" x14ac:dyDescent="0.45">
      <c r="A13" s="30" t="s">
        <v>2107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27.3" customHeight="1" x14ac:dyDescent="0.45">
      <c r="A14" s="30" t="s">
        <v>2108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7.3" customHeight="1" x14ac:dyDescent="0.45">
      <c r="A15" s="30" t="s">
        <v>2109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40.799999999999997" customHeight="1" x14ac:dyDescent="0.45">
      <c r="A16" s="29" t="s">
        <v>2111</v>
      </c>
      <c r="B16" s="37"/>
      <c r="C16" s="45"/>
      <c r="D16" s="45"/>
      <c r="E16" s="45"/>
      <c r="F16" s="45"/>
      <c r="G16" s="45"/>
      <c r="H16" s="45"/>
      <c r="I16" s="45"/>
      <c r="J16" s="45"/>
    </row>
    <row r="17" spans="1:10" x14ac:dyDescent="0.45">
      <c r="A17" s="30" t="s">
        <v>2112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x14ac:dyDescent="0.45">
      <c r="A18" s="30" t="s">
        <v>2113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7.3" customHeight="1" x14ac:dyDescent="0.45">
      <c r="A19" s="30" t="s">
        <v>2114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7.3" customHeight="1" x14ac:dyDescent="0.45">
      <c r="A20" s="30" t="s">
        <v>2115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7.3" customHeight="1" x14ac:dyDescent="0.45">
      <c r="A21" s="31" t="s">
        <v>2116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7.3" customHeight="1" x14ac:dyDescent="0.45">
      <c r="A22" s="31" t="s">
        <v>2117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45">
      <c r="A23" s="30" t="s">
        <v>2118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7.3" customHeight="1" x14ac:dyDescent="0.45">
      <c r="A24" s="30" t="s">
        <v>2119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4.3" customHeight="1" x14ac:dyDescent="0.45">
      <c r="A25" s="31" t="s">
        <v>2120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40.799999999999997" customHeight="1" x14ac:dyDescent="0.45">
      <c r="A26" s="31" t="s">
        <v>2121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45">
      <c r="A27" s="30" t="s">
        <v>2122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7.3" customHeight="1" x14ac:dyDescent="0.45">
      <c r="A28" s="30" t="s">
        <v>2123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40.799999999999997" customHeight="1" x14ac:dyDescent="0.45">
      <c r="A29" s="30" t="s">
        <v>2124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7.3" customHeight="1" x14ac:dyDescent="0.45">
      <c r="A30" s="30" t="s">
        <v>2125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45">
      <c r="A31" s="30" t="s">
        <v>2126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40.799999999999997" customHeight="1" x14ac:dyDescent="0.45">
      <c r="A32" s="30" t="s">
        <v>2127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45">
      <c r="A33" s="30" t="s">
        <v>2128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45">
      <c r="A34" s="30" t="s">
        <v>2129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40.799999999999997" customHeight="1" x14ac:dyDescent="0.45">
      <c r="A35" s="29" t="s">
        <v>2130</v>
      </c>
      <c r="B35" s="37"/>
      <c r="C35" s="45"/>
      <c r="D35" s="45"/>
      <c r="E35" s="45"/>
      <c r="F35" s="45"/>
      <c r="G35" s="45"/>
      <c r="H35" s="45"/>
      <c r="I35" s="45"/>
      <c r="J35" s="45"/>
    </row>
    <row r="36" spans="1:10" ht="27.3" customHeight="1" x14ac:dyDescent="0.45">
      <c r="A36" s="30" t="s">
        <v>2131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7.3" customHeight="1" x14ac:dyDescent="0.45">
      <c r="A37" s="30" t="s">
        <v>2132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7.3" customHeight="1" x14ac:dyDescent="0.45">
      <c r="A38" s="30" t="s">
        <v>2133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7.3" customHeight="1" x14ac:dyDescent="0.45">
      <c r="A39" s="30" t="s">
        <v>2134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7.3" customHeight="1" x14ac:dyDescent="0.45">
      <c r="A40" s="30" t="s">
        <v>2135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7.3" customHeight="1" x14ac:dyDescent="0.45">
      <c r="A41" s="30" t="s">
        <v>2136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7.3" customHeight="1" x14ac:dyDescent="0.45">
      <c r="A42" s="30" t="s">
        <v>2137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7.3" customHeight="1" x14ac:dyDescent="0.45">
      <c r="A43" s="30" t="s">
        <v>2393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7.3" customHeight="1" x14ac:dyDescent="0.45">
      <c r="A44" s="30" t="s">
        <v>2394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7.3" customHeight="1" x14ac:dyDescent="0.45">
      <c r="A45" s="30" t="s">
        <v>2395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4.3" customHeight="1" x14ac:dyDescent="0.45">
      <c r="A46" s="29" t="s">
        <v>2396</v>
      </c>
      <c r="B46" s="37"/>
      <c r="C46" s="45"/>
      <c r="D46" s="45"/>
      <c r="E46" s="45"/>
      <c r="F46" s="45"/>
      <c r="G46" s="45"/>
      <c r="H46" s="45"/>
      <c r="I46" s="45"/>
      <c r="J46" s="45"/>
    </row>
    <row r="47" spans="1:10" x14ac:dyDescent="0.45">
      <c r="A47" s="30" t="s">
        <v>2087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7.3" customHeight="1" x14ac:dyDescent="0.45">
      <c r="A48" s="31" t="s">
        <v>2397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7.3" customHeight="1" x14ac:dyDescent="0.45">
      <c r="A49" s="31" t="s">
        <v>2093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45">
      <c r="A50" s="30" t="s">
        <v>2088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40.799999999999997" customHeight="1" x14ac:dyDescent="0.45">
      <c r="A51" s="31" t="s">
        <v>2094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40.799999999999997" customHeight="1" x14ac:dyDescent="0.45">
      <c r="A52" s="31" t="s">
        <v>2095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45">
      <c r="A53" s="30" t="s">
        <v>2089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7.3" customHeight="1" x14ac:dyDescent="0.45">
      <c r="A54" s="31" t="s">
        <v>2398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40.799999999999997" customHeight="1" x14ac:dyDescent="0.45">
      <c r="A55" s="31" t="s">
        <v>2097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40.799999999999997" customHeight="1" x14ac:dyDescent="0.45">
      <c r="A56" s="31" t="s">
        <v>2098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45">
      <c r="A57" s="30" t="s">
        <v>2090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7.3" customHeight="1" x14ac:dyDescent="0.45">
      <c r="A58" s="31" t="s">
        <v>2099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45">
      <c r="A59" s="31" t="s">
        <v>2045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9.25" customHeight="1" x14ac:dyDescent="0.45">
      <c r="A60" s="29" t="s">
        <v>2399</v>
      </c>
      <c r="B60" s="37"/>
      <c r="C60" s="45"/>
      <c r="D60" s="45"/>
      <c r="E60" s="45"/>
      <c r="F60" s="45"/>
      <c r="G60" s="45"/>
      <c r="H60" s="45"/>
      <c r="I60" s="45"/>
      <c r="J60" s="45"/>
    </row>
    <row r="61" spans="1:10" ht="27.3" customHeight="1" x14ac:dyDescent="0.45">
      <c r="A61" s="30" t="s">
        <v>2400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7.3" customHeight="1" x14ac:dyDescent="0.45">
      <c r="A62" s="30" t="s">
        <v>2401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40.799999999999997" customHeight="1" x14ac:dyDescent="0.45">
      <c r="A63" s="30" t="s">
        <v>2402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x14ac:dyDescent="0.45">
      <c r="A64" s="30" t="s">
        <v>392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45">
      <c r="A65" s="30" t="s">
        <v>112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7.3" customHeight="1" x14ac:dyDescent="0.45">
      <c r="A66" s="29" t="s">
        <v>2140</v>
      </c>
      <c r="B66" s="37"/>
      <c r="C66" s="45"/>
      <c r="D66" s="45"/>
      <c r="E66" s="45"/>
      <c r="F66" s="45"/>
      <c r="G66" s="45"/>
      <c r="H66" s="45"/>
      <c r="I66" s="45"/>
      <c r="J66" s="45"/>
    </row>
    <row r="67" spans="1:10" x14ac:dyDescent="0.45">
      <c r="A67" s="30" t="s">
        <v>2141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45">
      <c r="A68" s="30" t="s">
        <v>2142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45">
      <c r="A69" s="30" t="s">
        <v>2143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7.3" customHeight="1" x14ac:dyDescent="0.45">
      <c r="A70" s="30" t="s">
        <v>2144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7.3" customHeight="1" x14ac:dyDescent="0.45">
      <c r="A71" s="30" t="s">
        <v>2145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4.8" customHeight="1" x14ac:dyDescent="0.45">
      <c r="A72" s="29" t="s">
        <v>2146</v>
      </c>
      <c r="B72" s="37"/>
      <c r="C72" s="45"/>
      <c r="D72" s="45"/>
      <c r="E72" s="45"/>
      <c r="F72" s="45"/>
      <c r="G72" s="45"/>
      <c r="H72" s="45"/>
      <c r="I72" s="45"/>
      <c r="J72" s="45"/>
    </row>
    <row r="73" spans="1:10" ht="27.3" customHeight="1" x14ac:dyDescent="0.45">
      <c r="A73" s="30" t="s">
        <v>2147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40.799999999999997" customHeight="1" x14ac:dyDescent="0.45">
      <c r="A74" s="30" t="s">
        <v>2148</v>
      </c>
      <c r="B74" s="38"/>
      <c r="C74" s="46"/>
      <c r="D74" s="46"/>
      <c r="E74" s="46"/>
      <c r="F74" s="46"/>
      <c r="G74" s="46"/>
      <c r="H74" s="46"/>
      <c r="I74" s="46"/>
      <c r="J74" s="46"/>
    </row>
    <row r="75" spans="1:10" x14ac:dyDescent="0.45">
      <c r="A75" s="31" t="s">
        <v>2141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7.3" customHeight="1" x14ac:dyDescent="0.45">
      <c r="A76" s="31" t="s">
        <v>2149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7.3" customHeight="1" x14ac:dyDescent="0.45">
      <c r="A77" s="31" t="s">
        <v>2150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7.3" customHeight="1" x14ac:dyDescent="0.45">
      <c r="A78" s="30" t="s">
        <v>2151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7.8" customHeight="1" x14ac:dyDescent="0.45">
      <c r="A79" s="29" t="s">
        <v>2152</v>
      </c>
      <c r="B79" s="37"/>
      <c r="C79" s="45"/>
      <c r="D79" s="45"/>
      <c r="E79" s="45"/>
      <c r="F79" s="45"/>
      <c r="G79" s="45"/>
      <c r="H79" s="45"/>
      <c r="I79" s="45"/>
      <c r="J79" s="45"/>
    </row>
    <row r="80" spans="1:10" ht="27.3" customHeight="1" x14ac:dyDescent="0.45">
      <c r="A80" s="30" t="s">
        <v>2153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45">
      <c r="A81" s="30" t="s">
        <v>2154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45">
      <c r="A82" s="30" t="s">
        <v>2155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45">
      <c r="A83" s="30" t="s">
        <v>2156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45">
      <c r="A84" s="30" t="s">
        <v>2157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x14ac:dyDescent="0.45">
      <c r="A85" s="30" t="s">
        <v>2158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7.3" customHeight="1" x14ac:dyDescent="0.45">
      <c r="A86" s="30" t="s">
        <v>2159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40.799999999999997" customHeight="1" x14ac:dyDescent="0.45">
      <c r="A87" s="29" t="s">
        <v>2160</v>
      </c>
      <c r="B87" s="37"/>
      <c r="C87" s="45"/>
      <c r="D87" s="45"/>
      <c r="E87" s="45"/>
      <c r="F87" s="45"/>
      <c r="G87" s="45"/>
      <c r="H87" s="45"/>
      <c r="I87" s="45"/>
      <c r="J87" s="45"/>
    </row>
    <row r="88" spans="1:10" ht="27.3" customHeight="1" x14ac:dyDescent="0.45">
      <c r="A88" s="30" t="s">
        <v>2161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45">
      <c r="A89" s="30" t="s">
        <v>2162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45">
      <c r="A90" s="30" t="s">
        <v>2163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45">
      <c r="A91" s="30" t="s">
        <v>2164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45">
      <c r="A92" s="30" t="s">
        <v>2165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40.799999999999997" customHeight="1" x14ac:dyDescent="0.45">
      <c r="A93" s="30" t="s">
        <v>2166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40.799999999999997" customHeight="1" x14ac:dyDescent="0.45">
      <c r="A94" s="29" t="s">
        <v>2167</v>
      </c>
      <c r="B94" s="37"/>
      <c r="C94" s="45"/>
      <c r="D94" s="45"/>
      <c r="E94" s="45"/>
      <c r="F94" s="45"/>
      <c r="G94" s="45"/>
      <c r="H94" s="45"/>
      <c r="I94" s="45"/>
      <c r="J94" s="45"/>
    </row>
    <row r="95" spans="1:10" ht="40.799999999999997" customHeight="1" x14ac:dyDescent="0.45">
      <c r="A95" s="30" t="s">
        <v>2168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40.799999999999997" customHeight="1" x14ac:dyDescent="0.45">
      <c r="A96" s="31" t="s">
        <v>2169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4.3" customHeight="1" x14ac:dyDescent="0.45">
      <c r="A97" s="31" t="s">
        <v>2170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4.3" customHeight="1" x14ac:dyDescent="0.45">
      <c r="A98" s="31" t="s">
        <v>2403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7.3" customHeight="1" x14ac:dyDescent="0.45">
      <c r="A99" s="31" t="s">
        <v>2171</v>
      </c>
      <c r="B99" s="38">
        <v>47</v>
      </c>
      <c r="C99" s="46">
        <v>5.4</v>
      </c>
      <c r="D99" s="46"/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27.3" customHeight="1" x14ac:dyDescent="0.45">
      <c r="A100" s="30" t="s">
        <v>2172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45">
      <c r="A101" s="31" t="s">
        <v>2173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45">
      <c r="A102" s="31" t="s">
        <v>128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45">
      <c r="A103" s="31" t="s">
        <v>2174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21.8" customHeight="1" x14ac:dyDescent="0.45">
      <c r="A104" s="29" t="s">
        <v>2404</v>
      </c>
      <c r="B104" s="37"/>
      <c r="C104" s="45"/>
      <c r="D104" s="45"/>
      <c r="E104" s="45"/>
      <c r="F104" s="45"/>
      <c r="G104" s="45"/>
      <c r="H104" s="45"/>
      <c r="I104" s="45"/>
      <c r="J104" s="45"/>
    </row>
    <row r="105" spans="1:10" ht="27.3" customHeight="1" x14ac:dyDescent="0.45">
      <c r="A105" s="30" t="s">
        <v>2176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40.799999999999997" customHeight="1" x14ac:dyDescent="0.45">
      <c r="A106" s="30" t="s">
        <v>2177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40.799999999999997" customHeight="1" x14ac:dyDescent="0.45">
      <c r="A107" s="30" t="s">
        <v>2178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45">
      <c r="A108" s="30" t="s">
        <v>2179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8.3" customHeight="1" x14ac:dyDescent="0.45">
      <c r="A109" s="29" t="s">
        <v>2180</v>
      </c>
      <c r="B109" s="37"/>
      <c r="C109" s="45"/>
      <c r="D109" s="45"/>
      <c r="E109" s="45"/>
      <c r="F109" s="45"/>
      <c r="G109" s="45"/>
      <c r="H109" s="45"/>
      <c r="I109" s="45"/>
      <c r="J109" s="45"/>
    </row>
    <row r="110" spans="1:10" ht="27.3" customHeight="1" x14ac:dyDescent="0.45">
      <c r="A110" s="30" t="s">
        <v>2176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40.799999999999997" customHeight="1" x14ac:dyDescent="0.45">
      <c r="A111" s="30" t="s">
        <v>2177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40.799999999999997" customHeight="1" x14ac:dyDescent="0.45">
      <c r="A112" s="30" t="s">
        <v>2178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45">
      <c r="A113" s="30" t="s">
        <v>2179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4.3" customHeight="1" x14ac:dyDescent="0.45">
      <c r="A114" s="29" t="s">
        <v>2181</v>
      </c>
      <c r="B114" s="37"/>
      <c r="C114" s="45"/>
      <c r="D114" s="45"/>
      <c r="E114" s="45"/>
      <c r="F114" s="45"/>
      <c r="G114" s="45"/>
      <c r="H114" s="45"/>
      <c r="I114" s="45"/>
      <c r="J114" s="45"/>
    </row>
    <row r="115" spans="1:10" x14ac:dyDescent="0.45">
      <c r="A115" s="30" t="s">
        <v>2141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45">
      <c r="A116" s="30" t="s">
        <v>2182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45">
      <c r="A117" s="30" t="s">
        <v>2183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45">
      <c r="A118" s="30" t="s">
        <v>2184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7.3" customHeight="1" x14ac:dyDescent="0.45">
      <c r="A119" s="30" t="s">
        <v>2185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40.799999999999997" customHeight="1" x14ac:dyDescent="0.45">
      <c r="A120" s="30" t="s">
        <v>2186</v>
      </c>
      <c r="B120" s="38">
        <v>52</v>
      </c>
      <c r="C120" s="46">
        <v>5.4</v>
      </c>
      <c r="D120" s="46"/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7.8" customHeight="1" x14ac:dyDescent="0.45">
      <c r="A121" s="29" t="s">
        <v>2199</v>
      </c>
      <c r="B121" s="37"/>
      <c r="C121" s="45"/>
      <c r="D121" s="45"/>
      <c r="E121" s="45"/>
      <c r="F121" s="45"/>
      <c r="G121" s="45"/>
      <c r="H121" s="45"/>
      <c r="I121" s="45"/>
      <c r="J121" s="45"/>
    </row>
    <row r="122" spans="1:10" ht="40.799999999999997" customHeight="1" x14ac:dyDescent="0.45">
      <c r="A122" s="30" t="s">
        <v>2200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40.799999999999997" customHeight="1" x14ac:dyDescent="0.45">
      <c r="A123" s="30" t="s">
        <v>2201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7.3" customHeight="1" x14ac:dyDescent="0.45">
      <c r="A124" s="30" t="s">
        <v>2202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7.3" customHeight="1" x14ac:dyDescent="0.45">
      <c r="A125" s="30" t="s">
        <v>2203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7.3" customHeight="1" x14ac:dyDescent="0.45">
      <c r="A126" s="30" t="s">
        <v>2204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7.3" customHeight="1" x14ac:dyDescent="0.45">
      <c r="A127" s="30" t="s">
        <v>2205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45">
      <c r="A128" s="30" t="s">
        <v>2179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40.799999999999997" customHeight="1" x14ac:dyDescent="0.45">
      <c r="A129" s="30" t="s">
        <v>2405</v>
      </c>
      <c r="B129" s="38">
        <v>2101</v>
      </c>
      <c r="C129" s="46">
        <v>76.099999999999994</v>
      </c>
      <c r="D129" s="46" t="s">
        <v>2110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40.799999999999997" customHeight="1" x14ac:dyDescent="0.45">
      <c r="A130" s="29" t="s">
        <v>2206</v>
      </c>
      <c r="B130" s="37"/>
      <c r="C130" s="45"/>
      <c r="D130" s="45"/>
      <c r="E130" s="45"/>
      <c r="F130" s="45"/>
      <c r="G130" s="45"/>
      <c r="H130" s="45"/>
      <c r="I130" s="45"/>
      <c r="J130" s="45"/>
    </row>
    <row r="131" spans="1:10" ht="27.3" customHeight="1" x14ac:dyDescent="0.45">
      <c r="A131" s="30" t="s">
        <v>2207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7.3" customHeight="1" x14ac:dyDescent="0.45">
      <c r="A132" s="30" t="s">
        <v>2208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45">
      <c r="A133" s="30" t="s">
        <v>2209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40.799999999999997" customHeight="1" x14ac:dyDescent="0.45">
      <c r="A134" s="30" t="s">
        <v>2210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4.3" customHeight="1" x14ac:dyDescent="0.45">
      <c r="A135" s="30" t="s">
        <v>2211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7.8" customHeight="1" x14ac:dyDescent="0.45">
      <c r="A136" s="30" t="s">
        <v>2212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45">
      <c r="A137" s="30" t="s">
        <v>2213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45">
      <c r="A138" s="30" t="s">
        <v>2179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40.799999999999997" customHeight="1" x14ac:dyDescent="0.45">
      <c r="A139" s="30" t="s">
        <v>2405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40.799999999999997" customHeight="1" x14ac:dyDescent="0.45">
      <c r="A140" s="29" t="s">
        <v>2406</v>
      </c>
      <c r="B140" s="37"/>
      <c r="C140" s="45"/>
      <c r="D140" s="45"/>
      <c r="E140" s="45"/>
      <c r="F140" s="45"/>
      <c r="G140" s="45"/>
      <c r="H140" s="45"/>
      <c r="I140" s="45"/>
      <c r="J140" s="45"/>
    </row>
    <row r="141" spans="1:10" x14ac:dyDescent="0.45">
      <c r="A141" s="30" t="s">
        <v>2214</v>
      </c>
      <c r="B141" s="38"/>
      <c r="C141" s="46"/>
      <c r="D141" s="46"/>
      <c r="E141" s="46"/>
      <c r="F141" s="46"/>
      <c r="G141" s="46"/>
      <c r="H141" s="46"/>
      <c r="I141" s="46"/>
      <c r="J141" s="46"/>
    </row>
    <row r="142" spans="1:10" x14ac:dyDescent="0.45">
      <c r="A142" s="31" t="s">
        <v>2215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7.3" customHeight="1" x14ac:dyDescent="0.45">
      <c r="A143" s="31" t="s">
        <v>2216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7.3" customHeight="1" x14ac:dyDescent="0.45">
      <c r="A144" s="31" t="s">
        <v>2217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45">
      <c r="A145" s="30" t="s">
        <v>2407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5.30000000000001" customHeight="1" x14ac:dyDescent="0.45">
      <c r="A146" s="29" t="s">
        <v>2408</v>
      </c>
      <c r="B146" s="37"/>
      <c r="C146" s="45"/>
      <c r="D146" s="45"/>
      <c r="E146" s="45"/>
      <c r="F146" s="45"/>
      <c r="G146" s="45"/>
      <c r="H146" s="45"/>
      <c r="I146" s="45"/>
      <c r="J146" s="45"/>
    </row>
    <row r="147" spans="1:10" ht="54.3" customHeight="1" x14ac:dyDescent="0.45">
      <c r="A147" s="30" t="s">
        <v>2225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27.3" customHeight="1" x14ac:dyDescent="0.45">
      <c r="A148" s="31" t="s">
        <v>2226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4.3" customHeight="1" x14ac:dyDescent="0.45">
      <c r="A149" s="31" t="s">
        <v>2227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40.799999999999997" customHeight="1" x14ac:dyDescent="0.45">
      <c r="A150" s="31" t="s">
        <v>2228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4.3" customHeight="1" x14ac:dyDescent="0.45">
      <c r="A151" s="31" t="s">
        <v>2409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4.3" customHeight="1" x14ac:dyDescent="0.45">
      <c r="A152" s="31" t="s">
        <v>2229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40.799999999999997" customHeight="1" x14ac:dyDescent="0.45">
      <c r="A153" s="31" t="s">
        <v>2230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4.3" customHeight="1" x14ac:dyDescent="0.45">
      <c r="A154" s="31" t="s">
        <v>2231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7.3" customHeight="1" x14ac:dyDescent="0.45">
      <c r="A155" s="31" t="s">
        <v>2232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40.799999999999997" customHeight="1" x14ac:dyDescent="0.45">
      <c r="A156" s="31" t="s">
        <v>2233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40.799999999999997" customHeight="1" x14ac:dyDescent="0.45">
      <c r="A157" s="31" t="s">
        <v>2234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40.799999999999997" customHeight="1" x14ac:dyDescent="0.45">
      <c r="A158" s="31" t="s">
        <v>2235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7.8" customHeight="1" x14ac:dyDescent="0.45">
      <c r="A159" s="31" t="s">
        <v>2236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40.799999999999997" customHeight="1" x14ac:dyDescent="0.45">
      <c r="A160" s="31" t="s">
        <v>2237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45">
      <c r="A161" s="31" t="s">
        <v>2179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40.799999999999997" customHeight="1" x14ac:dyDescent="0.45">
      <c r="A162" s="30" t="s">
        <v>2238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4.3" customHeight="1" x14ac:dyDescent="0.45">
      <c r="A163" s="30" t="s">
        <v>2410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81.3" customHeight="1" x14ac:dyDescent="0.45">
      <c r="A164" s="29" t="s">
        <v>2240</v>
      </c>
      <c r="B164" s="37"/>
      <c r="C164" s="45"/>
      <c r="D164" s="45"/>
      <c r="E164" s="45"/>
      <c r="F164" s="45"/>
      <c r="G164" s="45"/>
      <c r="H164" s="45"/>
      <c r="I164" s="45"/>
      <c r="J164" s="45"/>
    </row>
    <row r="165" spans="1:10" x14ac:dyDescent="0.45">
      <c r="A165" s="30" t="s">
        <v>2241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7.3" customHeight="1" x14ac:dyDescent="0.45">
      <c r="A166" s="30" t="s">
        <v>2242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45">
      <c r="A167" s="30" t="s">
        <v>2243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7.3" customHeight="1" x14ac:dyDescent="0.45">
      <c r="A168" s="30" t="s">
        <v>2244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40.799999999999997" customHeight="1" x14ac:dyDescent="0.45">
      <c r="A169" s="30" t="s">
        <v>2245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45">
      <c r="A170" s="30" t="s">
        <v>2246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45">
      <c r="A171" s="30" t="s">
        <v>2179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8.3" customHeight="1" x14ac:dyDescent="0.45">
      <c r="A172" s="29" t="s">
        <v>2249</v>
      </c>
      <c r="B172" s="37"/>
      <c r="C172" s="45"/>
      <c r="D172" s="45"/>
      <c r="E172" s="45"/>
      <c r="F172" s="45"/>
      <c r="G172" s="45"/>
      <c r="H172" s="45"/>
      <c r="I172" s="45"/>
      <c r="J172" s="45"/>
    </row>
    <row r="173" spans="1:10" x14ac:dyDescent="0.45">
      <c r="A173" s="30" t="s">
        <v>2241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7.3" customHeight="1" x14ac:dyDescent="0.45">
      <c r="A174" s="30" t="s">
        <v>2242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45">
      <c r="A175" s="30" t="s">
        <v>2243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7.3" customHeight="1" x14ac:dyDescent="0.45">
      <c r="A176" s="30" t="s">
        <v>2244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45">
      <c r="A177" s="30" t="s">
        <v>2246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45">
      <c r="A178" s="30" t="s">
        <v>2179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7.8" customHeight="1" x14ac:dyDescent="0.45">
      <c r="A179" s="29" t="s">
        <v>2251</v>
      </c>
      <c r="B179" s="37"/>
      <c r="C179" s="45"/>
      <c r="D179" s="45"/>
      <c r="E179" s="45"/>
      <c r="F179" s="45"/>
      <c r="G179" s="45"/>
      <c r="H179" s="45"/>
      <c r="I179" s="45"/>
      <c r="J179" s="45"/>
    </row>
    <row r="180" spans="1:10" x14ac:dyDescent="0.45">
      <c r="A180" s="30" t="s">
        <v>2241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7.3" customHeight="1" x14ac:dyDescent="0.45">
      <c r="A181" s="30" t="s">
        <v>2242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45">
      <c r="A182" s="30" t="s">
        <v>2243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7.3" customHeight="1" x14ac:dyDescent="0.45">
      <c r="A183" s="30" t="s">
        <v>2244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45">
      <c r="A184" s="30" t="s">
        <v>2246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45">
      <c r="A185" s="30" t="s">
        <v>2179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4.8" customHeight="1" x14ac:dyDescent="0.45">
      <c r="A186" s="29" t="s">
        <v>2253</v>
      </c>
      <c r="B186" s="37"/>
      <c r="C186" s="45"/>
      <c r="D186" s="45"/>
      <c r="E186" s="45"/>
      <c r="F186" s="45"/>
      <c r="G186" s="45"/>
      <c r="H186" s="45"/>
      <c r="I186" s="45"/>
      <c r="J186" s="45"/>
    </row>
    <row r="187" spans="1:10" x14ac:dyDescent="0.45">
      <c r="A187" s="30" t="s">
        <v>2241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7.3" customHeight="1" x14ac:dyDescent="0.45">
      <c r="A188" s="30" t="s">
        <v>2242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40.799999999999997" customHeight="1" x14ac:dyDescent="0.45">
      <c r="A189" s="30" t="s">
        <v>2245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8.3" customHeight="1" x14ac:dyDescent="0.45">
      <c r="A190" s="29" t="s">
        <v>2254</v>
      </c>
      <c r="B190" s="37"/>
      <c r="C190" s="45"/>
      <c r="D190" s="45"/>
      <c r="E190" s="45"/>
      <c r="F190" s="45"/>
      <c r="G190" s="45"/>
      <c r="H190" s="45"/>
      <c r="I190" s="45"/>
      <c r="J190" s="45"/>
    </row>
    <row r="191" spans="1:10" x14ac:dyDescent="0.45">
      <c r="A191" s="30" t="s">
        <v>2241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7.3" customHeight="1" x14ac:dyDescent="0.45">
      <c r="A192" s="30" t="s">
        <v>2242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45">
      <c r="A193" s="30" t="s">
        <v>2243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7.3" customHeight="1" x14ac:dyDescent="0.45">
      <c r="A194" s="30" t="s">
        <v>2244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45">
      <c r="A195" s="30" t="s">
        <v>2246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4.8" customHeight="1" x14ac:dyDescent="0.45">
      <c r="A196" s="29" t="s">
        <v>2255</v>
      </c>
      <c r="B196" s="37"/>
      <c r="C196" s="45"/>
      <c r="D196" s="45"/>
      <c r="E196" s="45"/>
      <c r="F196" s="45"/>
      <c r="G196" s="45"/>
      <c r="H196" s="45"/>
      <c r="I196" s="45"/>
      <c r="J196" s="45"/>
    </row>
    <row r="197" spans="1:10" x14ac:dyDescent="0.45">
      <c r="A197" s="30" t="s">
        <v>2241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7.3" customHeight="1" x14ac:dyDescent="0.45">
      <c r="A198" s="30" t="s">
        <v>2242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45">
      <c r="A199" s="30" t="s">
        <v>2246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81.3" customHeight="1" x14ac:dyDescent="0.45">
      <c r="A200" s="29" t="s">
        <v>2256</v>
      </c>
      <c r="B200" s="37"/>
      <c r="C200" s="45"/>
      <c r="D200" s="45"/>
      <c r="E200" s="45"/>
      <c r="F200" s="45"/>
      <c r="G200" s="45"/>
      <c r="H200" s="45"/>
      <c r="I200" s="45"/>
      <c r="J200" s="45"/>
    </row>
    <row r="201" spans="1:10" ht="40.799999999999997" customHeight="1" x14ac:dyDescent="0.45">
      <c r="A201" s="30" t="s">
        <v>2257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40.799999999999997" customHeight="1" x14ac:dyDescent="0.45">
      <c r="A202" s="30" t="s">
        <v>2258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4.3" customHeight="1" x14ac:dyDescent="0.45">
      <c r="A203" s="30" t="s">
        <v>2259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40.799999999999997" customHeight="1" x14ac:dyDescent="0.45">
      <c r="A204" s="30" t="s">
        <v>2260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4.3" customHeight="1" x14ac:dyDescent="0.45">
      <c r="A205" s="30" t="s">
        <v>2261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7.8" customHeight="1" x14ac:dyDescent="0.45">
      <c r="A206" s="30" t="s">
        <v>2374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40.799999999999997" customHeight="1" x14ac:dyDescent="0.45">
      <c r="A207" s="29" t="s">
        <v>2411</v>
      </c>
      <c r="B207" s="37"/>
      <c r="C207" s="45"/>
      <c r="D207" s="45"/>
      <c r="E207" s="45"/>
      <c r="F207" s="45"/>
      <c r="G207" s="45"/>
      <c r="H207" s="45"/>
      <c r="I207" s="45"/>
      <c r="J207" s="45"/>
    </row>
    <row r="208" spans="1:10" ht="27.3" customHeight="1" x14ac:dyDescent="0.45">
      <c r="A208" s="30" t="s">
        <v>2264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45">
      <c r="A209" s="30" t="s">
        <v>2265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45">
      <c r="A210" s="30" t="s">
        <v>2266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45">
      <c r="A211" s="32" t="s">
        <v>2267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40.799999999999997" customHeight="1" x14ac:dyDescent="0.45">
      <c r="A212" s="29" t="s">
        <v>2412</v>
      </c>
      <c r="B212" s="37"/>
      <c r="C212" s="45"/>
      <c r="D212" s="45"/>
      <c r="E212" s="45"/>
      <c r="F212" s="45"/>
      <c r="G212" s="45"/>
      <c r="H212" s="45"/>
      <c r="I212" s="45"/>
      <c r="J212" s="45"/>
    </row>
    <row r="213" spans="1:10" ht="27.3" customHeight="1" x14ac:dyDescent="0.45">
      <c r="A213" s="30" t="s">
        <v>2269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45">
      <c r="A214" s="30" t="s">
        <v>2265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45">
      <c r="A215" s="30" t="s">
        <v>2266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45">
      <c r="A216" s="32" t="s">
        <v>2267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40.799999999999997" customHeight="1" x14ac:dyDescent="0.45">
      <c r="A217" s="29" t="s">
        <v>2413</v>
      </c>
      <c r="B217" s="37"/>
      <c r="C217" s="45"/>
      <c r="D217" s="45"/>
      <c r="E217" s="45"/>
      <c r="F217" s="45"/>
      <c r="G217" s="45"/>
      <c r="H217" s="45"/>
      <c r="I217" s="45"/>
      <c r="J217" s="45"/>
    </row>
    <row r="218" spans="1:10" x14ac:dyDescent="0.45">
      <c r="A218" s="30" t="s">
        <v>2271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45">
      <c r="A219" s="30" t="s">
        <v>2265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45">
      <c r="A220" s="30" t="s">
        <v>2266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45">
      <c r="A221" s="32" t="s">
        <v>2267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7.8" customHeight="1" x14ac:dyDescent="0.45">
      <c r="A222" s="32" t="s">
        <v>2272</v>
      </c>
      <c r="B222" s="38">
        <v>48</v>
      </c>
      <c r="C222" s="46">
        <v>6.6</v>
      </c>
      <c r="D222" s="46" t="s">
        <v>2110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40.799999999999997" customHeight="1" x14ac:dyDescent="0.45">
      <c r="A223" s="29" t="s">
        <v>2414</v>
      </c>
      <c r="B223" s="37"/>
      <c r="C223" s="45"/>
      <c r="D223" s="45"/>
      <c r="E223" s="45"/>
      <c r="F223" s="45"/>
      <c r="G223" s="45"/>
      <c r="H223" s="45"/>
      <c r="I223" s="45"/>
      <c r="J223" s="45"/>
    </row>
    <row r="224" spans="1:10" x14ac:dyDescent="0.45">
      <c r="A224" s="30" t="s">
        <v>2271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45">
      <c r="A225" s="30" t="s">
        <v>2265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45">
      <c r="A226" s="30" t="s">
        <v>2274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7.8" customHeight="1" x14ac:dyDescent="0.45">
      <c r="A227" s="32" t="s">
        <v>2275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7.3" customHeight="1" x14ac:dyDescent="0.45">
      <c r="A228" s="32" t="s">
        <v>2276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/>
    </row>
    <row r="229" spans="1:10" ht="94.8" customHeight="1" x14ac:dyDescent="0.45">
      <c r="A229" s="29" t="s">
        <v>2277</v>
      </c>
      <c r="B229" s="37"/>
      <c r="C229" s="45"/>
      <c r="D229" s="45"/>
      <c r="E229" s="45"/>
      <c r="F229" s="45"/>
      <c r="G229" s="45"/>
      <c r="H229" s="45"/>
      <c r="I229" s="45"/>
      <c r="J229" s="45"/>
    </row>
    <row r="230" spans="1:10" ht="27.3" customHeight="1" x14ac:dyDescent="0.45">
      <c r="A230" s="30" t="s">
        <v>2282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45">
      <c r="A231" s="30" t="s">
        <v>2279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40.799999999999997" customHeight="1" x14ac:dyDescent="0.45">
      <c r="A232" s="30" t="s">
        <v>2280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7.3" customHeight="1" x14ac:dyDescent="0.45">
      <c r="A233" s="30" t="s">
        <v>2244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45">
      <c r="A234" s="30" t="s">
        <v>2281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40.799999999999997" customHeight="1" x14ac:dyDescent="0.45">
      <c r="A235" s="30" t="s">
        <v>2278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45">
      <c r="A236" s="30" t="s">
        <v>2179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4.8" customHeight="1" x14ac:dyDescent="0.45">
      <c r="A237" s="29" t="s">
        <v>2284</v>
      </c>
      <c r="B237" s="37"/>
      <c r="C237" s="45"/>
      <c r="D237" s="45"/>
      <c r="E237" s="45"/>
      <c r="F237" s="45"/>
      <c r="G237" s="45"/>
      <c r="H237" s="45"/>
      <c r="I237" s="45"/>
      <c r="J237" s="45"/>
    </row>
    <row r="238" spans="1:10" ht="67.8" customHeight="1" x14ac:dyDescent="0.45">
      <c r="A238" s="30" t="s">
        <v>2286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7.3" customHeight="1" x14ac:dyDescent="0.45">
      <c r="A239" s="30" t="s">
        <v>2282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4.3" customHeight="1" x14ac:dyDescent="0.45">
      <c r="A240" s="30" t="s">
        <v>2287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40.799999999999997" customHeight="1" x14ac:dyDescent="0.45">
      <c r="A241" s="30" t="s">
        <v>2245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7.3" customHeight="1" x14ac:dyDescent="0.45">
      <c r="A242" s="30" t="s">
        <v>2288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4.3" customHeight="1" x14ac:dyDescent="0.45">
      <c r="A243" s="30" t="s">
        <v>2415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7.3" customHeight="1" x14ac:dyDescent="0.45">
      <c r="A244" s="30" t="s">
        <v>2289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45">
      <c r="A245" s="30" t="s">
        <v>2179</v>
      </c>
      <c r="B245" s="38" t="s">
        <v>2110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2110</v>
      </c>
      <c r="I245" s="46">
        <v>3.07</v>
      </c>
      <c r="J245" s="46">
        <v>22.36</v>
      </c>
    </row>
    <row r="246" spans="1:10" ht="121.8" customHeight="1" x14ac:dyDescent="0.45">
      <c r="A246" s="29" t="s">
        <v>2416</v>
      </c>
      <c r="B246" s="37"/>
      <c r="C246" s="45"/>
      <c r="D246" s="45"/>
      <c r="E246" s="45"/>
      <c r="F246" s="45"/>
      <c r="G246" s="45"/>
      <c r="H246" s="45"/>
      <c r="I246" s="45"/>
      <c r="J246" s="45"/>
    </row>
    <row r="247" spans="1:10" x14ac:dyDescent="0.45">
      <c r="A247" s="30" t="s">
        <v>2300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45">
      <c r="A248" s="30" t="s">
        <v>2301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4.3" customHeight="1" x14ac:dyDescent="0.45">
      <c r="A249" s="29" t="s">
        <v>2302</v>
      </c>
      <c r="B249" s="37"/>
      <c r="C249" s="45"/>
      <c r="D249" s="45"/>
      <c r="E249" s="45"/>
      <c r="F249" s="45"/>
      <c r="G249" s="45"/>
      <c r="H249" s="45"/>
      <c r="I249" s="45"/>
      <c r="J249" s="45"/>
    </row>
    <row r="250" spans="1:10" ht="27.3" customHeight="1" x14ac:dyDescent="0.45">
      <c r="A250" s="30" t="s">
        <v>2303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7.3" customHeight="1" x14ac:dyDescent="0.45">
      <c r="A251" s="30" t="s">
        <v>2304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81.3" customHeight="1" x14ac:dyDescent="0.45">
      <c r="A252" s="30" t="s">
        <v>2305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4.8" customHeight="1" x14ac:dyDescent="0.45">
      <c r="A253" s="29" t="s">
        <v>2310</v>
      </c>
      <c r="B253" s="37"/>
      <c r="C253" s="45"/>
      <c r="D253" s="45"/>
      <c r="E253" s="45"/>
      <c r="F253" s="45"/>
      <c r="G253" s="45"/>
      <c r="H253" s="45"/>
      <c r="I253" s="45"/>
      <c r="J253" s="45"/>
    </row>
    <row r="254" spans="1:10" ht="27.3" customHeight="1" x14ac:dyDescent="0.45">
      <c r="A254" s="30" t="s">
        <v>2311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40.799999999999997" customHeight="1" x14ac:dyDescent="0.45">
      <c r="A255" s="30" t="s">
        <v>2312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40.799999999999997" customHeight="1" x14ac:dyDescent="0.45">
      <c r="A256" s="30" t="s">
        <v>2313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4.3" customHeight="1" x14ac:dyDescent="0.45">
      <c r="A257" s="30" t="s">
        <v>2314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45">
      <c r="A258" s="30" t="s">
        <v>2315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45">
      <c r="A259" s="30" t="s">
        <v>2316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45">
      <c r="A260" s="30" t="s">
        <v>2179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8.3" customHeight="1" x14ac:dyDescent="0.45">
      <c r="A261" s="29" t="s">
        <v>2317</v>
      </c>
      <c r="B261" s="37"/>
      <c r="C261" s="45"/>
      <c r="D261" s="45"/>
      <c r="E261" s="45"/>
      <c r="F261" s="45"/>
      <c r="G261" s="45"/>
      <c r="H261" s="45"/>
      <c r="I261" s="45"/>
      <c r="J261" s="45"/>
    </row>
    <row r="262" spans="1:10" ht="40.799999999999997" customHeight="1" x14ac:dyDescent="0.45">
      <c r="A262" s="30" t="s">
        <v>2318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7.3" customHeight="1" x14ac:dyDescent="0.45">
      <c r="A263" s="31" t="s">
        <v>2319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7.3" customHeight="1" x14ac:dyDescent="0.45">
      <c r="A264" s="31" t="s">
        <v>2320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4.3" customHeight="1" x14ac:dyDescent="0.45">
      <c r="A265" s="31" t="s">
        <v>2321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40.799999999999997" customHeight="1" x14ac:dyDescent="0.45">
      <c r="A266" s="31" t="s">
        <v>2322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7.8" customHeight="1" x14ac:dyDescent="0.45">
      <c r="A267" s="31" t="s">
        <v>2323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40.799999999999997" customHeight="1" x14ac:dyDescent="0.45">
      <c r="A268" s="31" t="s">
        <v>2324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40.799999999999997" customHeight="1" x14ac:dyDescent="0.45">
      <c r="A269" s="30" t="s">
        <v>2325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4.8" customHeight="1" x14ac:dyDescent="0.45">
      <c r="A270" s="29" t="s">
        <v>2326</v>
      </c>
      <c r="B270" s="37"/>
      <c r="C270" s="45"/>
      <c r="D270" s="45"/>
      <c r="E270" s="45"/>
      <c r="F270" s="45"/>
      <c r="G270" s="45"/>
      <c r="H270" s="45"/>
      <c r="I270" s="45"/>
      <c r="J270" s="45"/>
    </row>
    <row r="271" spans="1:10" ht="27.3" customHeight="1" x14ac:dyDescent="0.45">
      <c r="A271" s="30" t="s">
        <v>2327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54.3" customHeight="1" x14ac:dyDescent="0.45">
      <c r="A272" s="31" t="s">
        <v>2417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4.3" customHeight="1" x14ac:dyDescent="0.45">
      <c r="A273" s="31" t="s">
        <v>2328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27.3" customHeight="1" x14ac:dyDescent="0.45">
      <c r="A274" s="33" t="s">
        <v>2329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7.3" customHeight="1" x14ac:dyDescent="0.45">
      <c r="A275" s="33" t="s">
        <v>2330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7.3" customHeight="1" x14ac:dyDescent="0.45">
      <c r="A276" s="33" t="s">
        <v>2418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7.3" customHeight="1" x14ac:dyDescent="0.45">
      <c r="A277" s="33" t="s">
        <v>2419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7.3" customHeight="1" x14ac:dyDescent="0.45">
      <c r="A278" s="33" t="s">
        <v>2420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7.3" customHeight="1" x14ac:dyDescent="0.45">
      <c r="A279" s="33" t="s">
        <v>2421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7.8" customHeight="1" x14ac:dyDescent="0.45">
      <c r="A280" s="29" t="s">
        <v>2422</v>
      </c>
      <c r="B280" s="37"/>
      <c r="C280" s="45"/>
      <c r="D280" s="45"/>
      <c r="E280" s="45"/>
      <c r="F280" s="45"/>
      <c r="G280" s="45"/>
      <c r="H280" s="45"/>
      <c r="I280" s="45"/>
      <c r="J280" s="45"/>
    </row>
    <row r="281" spans="1:10" x14ac:dyDescent="0.45">
      <c r="A281" s="30" t="s">
        <v>2423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45">
      <c r="A282" s="30" t="s">
        <v>2424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45">
      <c r="A283" s="30" t="s">
        <v>2154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45">
      <c r="A284" s="30" t="s">
        <v>2155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45">
      <c r="A285" s="30" t="s">
        <v>2156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45">
      <c r="A286" s="30" t="s">
        <v>2157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x14ac:dyDescent="0.45">
      <c r="A287" s="30" t="s">
        <v>2158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7.3" customHeight="1" x14ac:dyDescent="0.45">
      <c r="A288" s="30" t="s">
        <v>2159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4.3" customHeight="1" x14ac:dyDescent="0.45">
      <c r="A289" s="29" t="s">
        <v>2425</v>
      </c>
      <c r="B289" s="37"/>
      <c r="C289" s="45"/>
      <c r="D289" s="45"/>
      <c r="E289" s="45"/>
      <c r="F289" s="45"/>
      <c r="G289" s="45"/>
      <c r="H289" s="45"/>
      <c r="I289" s="45"/>
      <c r="J289" s="45"/>
    </row>
    <row r="290" spans="1:10" x14ac:dyDescent="0.45">
      <c r="A290" s="30" t="s">
        <v>2423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45">
      <c r="A291" s="30" t="s">
        <v>2424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45">
      <c r="A292" s="30" t="s">
        <v>2154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45">
      <c r="A293" s="30" t="s">
        <v>2155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45">
      <c r="A294" s="30" t="s">
        <v>2156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45">
      <c r="A295" s="30" t="s">
        <v>2157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x14ac:dyDescent="0.45">
      <c r="A296" s="30" t="s">
        <v>2158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7.3" customHeight="1" x14ac:dyDescent="0.45">
      <c r="A297" s="30" t="s">
        <v>2159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4.3" customHeight="1" x14ac:dyDescent="0.45">
      <c r="A298" s="29" t="s">
        <v>2426</v>
      </c>
      <c r="B298" s="37"/>
      <c r="C298" s="45"/>
      <c r="D298" s="45"/>
      <c r="E298" s="45"/>
      <c r="F298" s="45"/>
      <c r="G298" s="45"/>
      <c r="H298" s="45"/>
      <c r="I298" s="45"/>
      <c r="J298" s="45"/>
    </row>
    <row r="299" spans="1:10" x14ac:dyDescent="0.45">
      <c r="A299" s="30" t="s">
        <v>2423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45">
      <c r="A300" s="30" t="s">
        <v>2424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45">
      <c r="A301" s="30" t="s">
        <v>2154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45">
      <c r="A302" s="30" t="s">
        <v>2155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45">
      <c r="A303" s="30" t="s">
        <v>2156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7.3" customHeight="1" x14ac:dyDescent="0.45">
      <c r="A304" s="30" t="s">
        <v>2427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4.3" customHeight="1" x14ac:dyDescent="0.45">
      <c r="A305" s="29" t="s">
        <v>2428</v>
      </c>
      <c r="B305" s="37"/>
      <c r="C305" s="45"/>
      <c r="D305" s="45"/>
      <c r="E305" s="45"/>
      <c r="F305" s="45"/>
      <c r="G305" s="45"/>
      <c r="H305" s="45"/>
      <c r="I305" s="45"/>
      <c r="J305" s="45"/>
    </row>
    <row r="306" spans="1:10" x14ac:dyDescent="0.45">
      <c r="A306" s="30" t="s">
        <v>2423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45">
      <c r="A307" s="30" t="s">
        <v>2141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45">
      <c r="A308" s="30" t="s">
        <v>2429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45">
      <c r="A309" s="30" t="s">
        <v>2154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7.3" customHeight="1" x14ac:dyDescent="0.45">
      <c r="A310" s="30" t="s">
        <v>2430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4.3" customHeight="1" x14ac:dyDescent="0.45">
      <c r="A311" s="29" t="s">
        <v>2431</v>
      </c>
      <c r="B311" s="37"/>
      <c r="C311" s="45"/>
      <c r="D311" s="45"/>
      <c r="E311" s="45"/>
      <c r="F311" s="45"/>
      <c r="G311" s="45"/>
      <c r="H311" s="45"/>
      <c r="I311" s="45"/>
      <c r="J311" s="45"/>
    </row>
    <row r="312" spans="1:10" x14ac:dyDescent="0.45">
      <c r="A312" s="30" t="s">
        <v>2423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45">
      <c r="A313" s="30" t="s">
        <v>2141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45">
      <c r="A314" s="30" t="s">
        <v>2429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45">
      <c r="A315" s="30" t="s">
        <v>2154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45">
      <c r="A316" s="30" t="s">
        <v>2155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45">
      <c r="A317" s="30" t="s">
        <v>2156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45">
      <c r="A318" s="30" t="s">
        <v>2157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7.3" customHeight="1" x14ac:dyDescent="0.45">
      <c r="A319" s="30" t="s">
        <v>2432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75.8" customHeight="1" x14ac:dyDescent="0.45">
      <c r="A320" s="29" t="s">
        <v>2337</v>
      </c>
      <c r="B320" s="37"/>
      <c r="C320" s="45"/>
      <c r="D320" s="45"/>
      <c r="E320" s="45"/>
      <c r="F320" s="45"/>
      <c r="G320" s="45"/>
      <c r="H320" s="45"/>
      <c r="I320" s="45"/>
      <c r="J320" s="45"/>
    </row>
    <row r="321" spans="1:10" ht="54.3" customHeight="1" x14ac:dyDescent="0.45">
      <c r="A321" s="30" t="s">
        <v>2433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40.799999999999997" customHeight="1" x14ac:dyDescent="0.45">
      <c r="A322" s="30" t="s">
        <v>2434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40.799999999999997" customHeight="1" x14ac:dyDescent="0.45">
      <c r="A323" s="30" t="s">
        <v>2340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67.8" customHeight="1" x14ac:dyDescent="0.45">
      <c r="A324" s="30" t="s">
        <v>2341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40.799999999999997" customHeight="1" x14ac:dyDescent="0.45">
      <c r="A325" s="30" t="s">
        <v>2342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4.8" customHeight="1" x14ac:dyDescent="0.45">
      <c r="A326" s="29" t="s">
        <v>2343</v>
      </c>
      <c r="B326" s="37"/>
      <c r="C326" s="45"/>
      <c r="D326" s="45"/>
      <c r="E326" s="45"/>
      <c r="F326" s="45"/>
      <c r="G326" s="45"/>
      <c r="H326" s="45"/>
      <c r="I326" s="45"/>
      <c r="J326" s="45"/>
    </row>
    <row r="327" spans="1:10" ht="54.3" customHeight="1" x14ac:dyDescent="0.45">
      <c r="A327" s="30" t="s">
        <v>2345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4.3" customHeight="1" x14ac:dyDescent="0.45">
      <c r="A328" s="30" t="s">
        <v>2346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4.3" customHeight="1" x14ac:dyDescent="0.45">
      <c r="A329" s="30" t="s">
        <v>2347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8.3" customHeight="1" x14ac:dyDescent="0.45">
      <c r="A330" s="29" t="s">
        <v>2435</v>
      </c>
      <c r="B330" s="37"/>
      <c r="C330" s="45"/>
      <c r="D330" s="45"/>
      <c r="E330" s="45"/>
      <c r="F330" s="45"/>
      <c r="G330" s="45"/>
      <c r="H330" s="45"/>
      <c r="I330" s="45"/>
      <c r="J330" s="45"/>
    </row>
    <row r="331" spans="1:10" ht="27.3" customHeight="1" x14ac:dyDescent="0.45">
      <c r="A331" s="30" t="s">
        <v>2291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4.3" customHeight="1" x14ac:dyDescent="0.45">
      <c r="A332" s="30" t="s">
        <v>2295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6.25" customHeight="1" x14ac:dyDescent="0.45">
      <c r="A333" s="30" t="s">
        <v>2436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21.8" customHeight="1" x14ac:dyDescent="0.45">
      <c r="A334" s="29" t="s">
        <v>2348</v>
      </c>
      <c r="B334" s="37"/>
      <c r="C334" s="45"/>
      <c r="D334" s="45"/>
      <c r="E334" s="45"/>
      <c r="F334" s="45"/>
      <c r="G334" s="45"/>
      <c r="H334" s="45"/>
      <c r="I334" s="45"/>
      <c r="J334" s="45"/>
    </row>
    <row r="335" spans="1:10" ht="40.799999999999997" customHeight="1" x14ac:dyDescent="0.45">
      <c r="A335" s="30" t="s">
        <v>2349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40.799999999999997" customHeight="1" x14ac:dyDescent="0.45">
      <c r="A336" s="30" t="s">
        <v>2350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40.799999999999997" customHeight="1" x14ac:dyDescent="0.45">
      <c r="A337" s="30" t="s">
        <v>2351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4.3" customHeight="1" x14ac:dyDescent="0.45">
      <c r="A338" s="30" t="s">
        <v>2352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27.3" customHeight="1" x14ac:dyDescent="0.45">
      <c r="A339" s="30" t="s">
        <v>2353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27.3" customHeight="1" x14ac:dyDescent="0.45">
      <c r="A340" s="30" t="s">
        <v>2354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7.3" customHeight="1" x14ac:dyDescent="0.45">
      <c r="A341" s="30" t="s">
        <v>2355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40.799999999999997" customHeight="1" x14ac:dyDescent="0.45">
      <c r="A342" s="30" t="s">
        <v>2356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27.3" customHeight="1" x14ac:dyDescent="0.45">
      <c r="A343" s="30" t="s">
        <v>2357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40.799999999999997" customHeight="1" x14ac:dyDescent="0.45">
      <c r="A344" s="30" t="s">
        <v>2359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9.75" customHeight="1" x14ac:dyDescent="0.45">
      <c r="A345" s="30" t="s">
        <v>2437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8.80000000000001" customHeight="1" x14ac:dyDescent="0.45">
      <c r="A346" s="29" t="s">
        <v>2438</v>
      </c>
      <c r="B346" s="37"/>
      <c r="C346" s="45"/>
      <c r="D346" s="45"/>
      <c r="E346" s="45"/>
      <c r="F346" s="45"/>
      <c r="G346" s="45"/>
      <c r="H346" s="45"/>
      <c r="I346" s="45"/>
      <c r="J346" s="45"/>
    </row>
    <row r="347" spans="1:10" x14ac:dyDescent="0.45">
      <c r="A347" s="30" t="s">
        <v>2300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45">
      <c r="A348" s="30" t="s">
        <v>2301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45">
      <c r="A349" s="30" t="s">
        <v>2439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H3:J3"/>
    <mergeCell ref="B3:G3"/>
    <mergeCell ref="B4:B5"/>
    <mergeCell ref="C4:C5"/>
    <mergeCell ref="D4:D5"/>
    <mergeCell ref="J4:J5"/>
    <mergeCell ref="H4:H5"/>
    <mergeCell ref="I4:I5"/>
    <mergeCell ref="E4:G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0"/>
  <sheetViews>
    <sheetView workbookViewId="0">
      <selection activeCell="R26" sqref="R26"/>
    </sheetView>
  </sheetViews>
  <sheetFormatPr defaultRowHeight="12.75" x14ac:dyDescent="0.35"/>
  <cols>
    <col min="1" max="1" width="11" style="14" customWidth="1"/>
    <col min="2" max="2" width="10.796875" style="15" customWidth="1"/>
    <col min="3" max="3" width="14.19921875" style="15" customWidth="1"/>
    <col min="4" max="4" width="29.73046875" style="14" customWidth="1"/>
    <col min="5" max="256" width="9.19921875" style="14" customWidth="1"/>
    <col min="257" max="257" width="11" style="14" customWidth="1"/>
    <col min="258" max="258" width="10.796875" style="14" customWidth="1"/>
    <col min="259" max="259" width="14.19921875" style="14" customWidth="1"/>
    <col min="260" max="260" width="29.73046875" style="14" customWidth="1"/>
    <col min="261" max="512" width="9.19921875" style="14" customWidth="1"/>
    <col min="513" max="513" width="11" style="14" customWidth="1"/>
    <col min="514" max="514" width="10.796875" style="14" customWidth="1"/>
    <col min="515" max="515" width="14.19921875" style="14" customWidth="1"/>
    <col min="516" max="516" width="29.73046875" style="14" customWidth="1"/>
    <col min="517" max="768" width="9.19921875" style="14" customWidth="1"/>
    <col min="769" max="769" width="11" style="14" customWidth="1"/>
    <col min="770" max="770" width="10.796875" style="14" customWidth="1"/>
    <col min="771" max="771" width="14.19921875" style="14" customWidth="1"/>
    <col min="772" max="772" width="29.73046875" style="14" customWidth="1"/>
    <col min="773" max="1024" width="9.19921875" style="14" customWidth="1"/>
    <col min="1025" max="1025" width="11" style="14" customWidth="1"/>
    <col min="1026" max="1026" width="10.796875" style="14" customWidth="1"/>
    <col min="1027" max="1027" width="14.19921875" style="14" customWidth="1"/>
    <col min="1028" max="1028" width="29.73046875" style="14" customWidth="1"/>
    <col min="1029" max="1280" width="9.19921875" style="14" customWidth="1"/>
    <col min="1281" max="1281" width="11" style="14" customWidth="1"/>
    <col min="1282" max="1282" width="10.796875" style="14" customWidth="1"/>
    <col min="1283" max="1283" width="14.19921875" style="14" customWidth="1"/>
    <col min="1284" max="1284" width="29.73046875" style="14" customWidth="1"/>
    <col min="1285" max="1536" width="9.19921875" style="14" customWidth="1"/>
    <col min="1537" max="1537" width="11" style="14" customWidth="1"/>
    <col min="1538" max="1538" width="10.796875" style="14" customWidth="1"/>
    <col min="1539" max="1539" width="14.19921875" style="14" customWidth="1"/>
    <col min="1540" max="1540" width="29.73046875" style="14" customWidth="1"/>
    <col min="1541" max="1792" width="9.19921875" style="14" customWidth="1"/>
    <col min="1793" max="1793" width="11" style="14" customWidth="1"/>
    <col min="1794" max="1794" width="10.796875" style="14" customWidth="1"/>
    <col min="1795" max="1795" width="14.19921875" style="14" customWidth="1"/>
    <col min="1796" max="1796" width="29.73046875" style="14" customWidth="1"/>
    <col min="1797" max="2048" width="9.19921875" style="14" customWidth="1"/>
    <col min="2049" max="2049" width="11" style="14" customWidth="1"/>
    <col min="2050" max="2050" width="10.796875" style="14" customWidth="1"/>
    <col min="2051" max="2051" width="14.19921875" style="14" customWidth="1"/>
    <col min="2052" max="2052" width="29.73046875" style="14" customWidth="1"/>
    <col min="2053" max="2304" width="9.19921875" style="14" customWidth="1"/>
    <col min="2305" max="2305" width="11" style="14" customWidth="1"/>
    <col min="2306" max="2306" width="10.796875" style="14" customWidth="1"/>
    <col min="2307" max="2307" width="14.19921875" style="14" customWidth="1"/>
    <col min="2308" max="2308" width="29.73046875" style="14" customWidth="1"/>
    <col min="2309" max="2560" width="9.19921875" style="14" customWidth="1"/>
    <col min="2561" max="2561" width="11" style="14" customWidth="1"/>
    <col min="2562" max="2562" width="10.796875" style="14" customWidth="1"/>
    <col min="2563" max="2563" width="14.19921875" style="14" customWidth="1"/>
    <col min="2564" max="2564" width="29.73046875" style="14" customWidth="1"/>
    <col min="2565" max="2816" width="9.19921875" style="14" customWidth="1"/>
    <col min="2817" max="2817" width="11" style="14" customWidth="1"/>
    <col min="2818" max="2818" width="10.796875" style="14" customWidth="1"/>
    <col min="2819" max="2819" width="14.19921875" style="14" customWidth="1"/>
    <col min="2820" max="2820" width="29.73046875" style="14" customWidth="1"/>
    <col min="2821" max="3072" width="9.19921875" style="14" customWidth="1"/>
    <col min="3073" max="3073" width="11" style="14" customWidth="1"/>
    <col min="3074" max="3074" width="10.796875" style="14" customWidth="1"/>
    <col min="3075" max="3075" width="14.19921875" style="14" customWidth="1"/>
    <col min="3076" max="3076" width="29.73046875" style="14" customWidth="1"/>
    <col min="3077" max="3328" width="9.19921875" style="14" customWidth="1"/>
    <col min="3329" max="3329" width="11" style="14" customWidth="1"/>
    <col min="3330" max="3330" width="10.796875" style="14" customWidth="1"/>
    <col min="3331" max="3331" width="14.19921875" style="14" customWidth="1"/>
    <col min="3332" max="3332" width="29.73046875" style="14" customWidth="1"/>
    <col min="3333" max="3584" width="9.19921875" style="14" customWidth="1"/>
    <col min="3585" max="3585" width="11" style="14" customWidth="1"/>
    <col min="3586" max="3586" width="10.796875" style="14" customWidth="1"/>
    <col min="3587" max="3587" width="14.19921875" style="14" customWidth="1"/>
    <col min="3588" max="3588" width="29.73046875" style="14" customWidth="1"/>
    <col min="3589" max="3840" width="9.19921875" style="14" customWidth="1"/>
    <col min="3841" max="3841" width="11" style="14" customWidth="1"/>
    <col min="3842" max="3842" width="10.796875" style="14" customWidth="1"/>
    <col min="3843" max="3843" width="14.19921875" style="14" customWidth="1"/>
    <col min="3844" max="3844" width="29.73046875" style="14" customWidth="1"/>
    <col min="3845" max="4096" width="9.19921875" style="14" customWidth="1"/>
    <col min="4097" max="4097" width="11" style="14" customWidth="1"/>
    <col min="4098" max="4098" width="10.796875" style="14" customWidth="1"/>
    <col min="4099" max="4099" width="14.19921875" style="14" customWidth="1"/>
    <col min="4100" max="4100" width="29.73046875" style="14" customWidth="1"/>
    <col min="4101" max="4352" width="9.19921875" style="14" customWidth="1"/>
    <col min="4353" max="4353" width="11" style="14" customWidth="1"/>
    <col min="4354" max="4354" width="10.796875" style="14" customWidth="1"/>
    <col min="4355" max="4355" width="14.19921875" style="14" customWidth="1"/>
    <col min="4356" max="4356" width="29.73046875" style="14" customWidth="1"/>
    <col min="4357" max="4608" width="9.19921875" style="14" customWidth="1"/>
    <col min="4609" max="4609" width="11" style="14" customWidth="1"/>
    <col min="4610" max="4610" width="10.796875" style="14" customWidth="1"/>
    <col min="4611" max="4611" width="14.19921875" style="14" customWidth="1"/>
    <col min="4612" max="4612" width="29.73046875" style="14" customWidth="1"/>
    <col min="4613" max="4864" width="9.19921875" style="14" customWidth="1"/>
    <col min="4865" max="4865" width="11" style="14" customWidth="1"/>
    <col min="4866" max="4866" width="10.796875" style="14" customWidth="1"/>
    <col min="4867" max="4867" width="14.19921875" style="14" customWidth="1"/>
    <col min="4868" max="4868" width="29.73046875" style="14" customWidth="1"/>
    <col min="4869" max="5120" width="9.19921875" style="14" customWidth="1"/>
    <col min="5121" max="5121" width="11" style="14" customWidth="1"/>
    <col min="5122" max="5122" width="10.796875" style="14" customWidth="1"/>
    <col min="5123" max="5123" width="14.19921875" style="14" customWidth="1"/>
    <col min="5124" max="5124" width="29.73046875" style="14" customWidth="1"/>
    <col min="5125" max="5376" width="9.19921875" style="14" customWidth="1"/>
    <col min="5377" max="5377" width="11" style="14" customWidth="1"/>
    <col min="5378" max="5378" width="10.796875" style="14" customWidth="1"/>
    <col min="5379" max="5379" width="14.19921875" style="14" customWidth="1"/>
    <col min="5380" max="5380" width="29.73046875" style="14" customWidth="1"/>
    <col min="5381" max="5632" width="9.19921875" style="14" customWidth="1"/>
    <col min="5633" max="5633" width="11" style="14" customWidth="1"/>
    <col min="5634" max="5634" width="10.796875" style="14" customWidth="1"/>
    <col min="5635" max="5635" width="14.19921875" style="14" customWidth="1"/>
    <col min="5636" max="5636" width="29.73046875" style="14" customWidth="1"/>
    <col min="5637" max="5888" width="9.19921875" style="14" customWidth="1"/>
    <col min="5889" max="5889" width="11" style="14" customWidth="1"/>
    <col min="5890" max="5890" width="10.796875" style="14" customWidth="1"/>
    <col min="5891" max="5891" width="14.19921875" style="14" customWidth="1"/>
    <col min="5892" max="5892" width="29.73046875" style="14" customWidth="1"/>
    <col min="5893" max="6144" width="9.19921875" style="14" customWidth="1"/>
    <col min="6145" max="6145" width="11" style="14" customWidth="1"/>
    <col min="6146" max="6146" width="10.796875" style="14" customWidth="1"/>
    <col min="6147" max="6147" width="14.19921875" style="14" customWidth="1"/>
    <col min="6148" max="6148" width="29.73046875" style="14" customWidth="1"/>
    <col min="6149" max="6400" width="9.19921875" style="14" customWidth="1"/>
    <col min="6401" max="6401" width="11" style="14" customWidth="1"/>
    <col min="6402" max="6402" width="10.796875" style="14" customWidth="1"/>
    <col min="6403" max="6403" width="14.19921875" style="14" customWidth="1"/>
    <col min="6404" max="6404" width="29.73046875" style="14" customWidth="1"/>
    <col min="6405" max="6656" width="9.19921875" style="14" customWidth="1"/>
    <col min="6657" max="6657" width="11" style="14" customWidth="1"/>
    <col min="6658" max="6658" width="10.796875" style="14" customWidth="1"/>
    <col min="6659" max="6659" width="14.19921875" style="14" customWidth="1"/>
    <col min="6660" max="6660" width="29.73046875" style="14" customWidth="1"/>
    <col min="6661" max="6912" width="9.19921875" style="14" customWidth="1"/>
    <col min="6913" max="6913" width="11" style="14" customWidth="1"/>
    <col min="6914" max="6914" width="10.796875" style="14" customWidth="1"/>
    <col min="6915" max="6915" width="14.19921875" style="14" customWidth="1"/>
    <col min="6916" max="6916" width="29.73046875" style="14" customWidth="1"/>
    <col min="6917" max="7168" width="9.19921875" style="14" customWidth="1"/>
    <col min="7169" max="7169" width="11" style="14" customWidth="1"/>
    <col min="7170" max="7170" width="10.796875" style="14" customWidth="1"/>
    <col min="7171" max="7171" width="14.19921875" style="14" customWidth="1"/>
    <col min="7172" max="7172" width="29.73046875" style="14" customWidth="1"/>
    <col min="7173" max="7424" width="9.19921875" style="14" customWidth="1"/>
    <col min="7425" max="7425" width="11" style="14" customWidth="1"/>
    <col min="7426" max="7426" width="10.796875" style="14" customWidth="1"/>
    <col min="7427" max="7427" width="14.19921875" style="14" customWidth="1"/>
    <col min="7428" max="7428" width="29.73046875" style="14" customWidth="1"/>
    <col min="7429" max="7680" width="9.19921875" style="14" customWidth="1"/>
    <col min="7681" max="7681" width="11" style="14" customWidth="1"/>
    <col min="7682" max="7682" width="10.796875" style="14" customWidth="1"/>
    <col min="7683" max="7683" width="14.19921875" style="14" customWidth="1"/>
    <col min="7684" max="7684" width="29.73046875" style="14" customWidth="1"/>
    <col min="7685" max="7936" width="9.19921875" style="14" customWidth="1"/>
    <col min="7937" max="7937" width="11" style="14" customWidth="1"/>
    <col min="7938" max="7938" width="10.796875" style="14" customWidth="1"/>
    <col min="7939" max="7939" width="14.19921875" style="14" customWidth="1"/>
    <col min="7940" max="7940" width="29.73046875" style="14" customWidth="1"/>
    <col min="7941" max="8192" width="9.19921875" style="14" customWidth="1"/>
    <col min="8193" max="8193" width="11" style="14" customWidth="1"/>
    <col min="8194" max="8194" width="10.796875" style="14" customWidth="1"/>
    <col min="8195" max="8195" width="14.19921875" style="14" customWidth="1"/>
    <col min="8196" max="8196" width="29.73046875" style="14" customWidth="1"/>
    <col min="8197" max="8448" width="9.19921875" style="14" customWidth="1"/>
    <col min="8449" max="8449" width="11" style="14" customWidth="1"/>
    <col min="8450" max="8450" width="10.796875" style="14" customWidth="1"/>
    <col min="8451" max="8451" width="14.19921875" style="14" customWidth="1"/>
    <col min="8452" max="8452" width="29.73046875" style="14" customWidth="1"/>
    <col min="8453" max="8704" width="9.19921875" style="14" customWidth="1"/>
    <col min="8705" max="8705" width="11" style="14" customWidth="1"/>
    <col min="8706" max="8706" width="10.796875" style="14" customWidth="1"/>
    <col min="8707" max="8707" width="14.19921875" style="14" customWidth="1"/>
    <col min="8708" max="8708" width="29.73046875" style="14" customWidth="1"/>
    <col min="8709" max="8960" width="9.19921875" style="14" customWidth="1"/>
    <col min="8961" max="8961" width="11" style="14" customWidth="1"/>
    <col min="8962" max="8962" width="10.796875" style="14" customWidth="1"/>
    <col min="8963" max="8963" width="14.19921875" style="14" customWidth="1"/>
    <col min="8964" max="8964" width="29.73046875" style="14" customWidth="1"/>
    <col min="8965" max="9216" width="9.19921875" style="14" customWidth="1"/>
    <col min="9217" max="9217" width="11" style="14" customWidth="1"/>
    <col min="9218" max="9218" width="10.796875" style="14" customWidth="1"/>
    <col min="9219" max="9219" width="14.19921875" style="14" customWidth="1"/>
    <col min="9220" max="9220" width="29.73046875" style="14" customWidth="1"/>
    <col min="9221" max="9472" width="9.19921875" style="14" customWidth="1"/>
    <col min="9473" max="9473" width="11" style="14" customWidth="1"/>
    <col min="9474" max="9474" width="10.796875" style="14" customWidth="1"/>
    <col min="9475" max="9475" width="14.19921875" style="14" customWidth="1"/>
    <col min="9476" max="9476" width="29.73046875" style="14" customWidth="1"/>
    <col min="9477" max="9728" width="9.19921875" style="14" customWidth="1"/>
    <col min="9729" max="9729" width="11" style="14" customWidth="1"/>
    <col min="9730" max="9730" width="10.796875" style="14" customWidth="1"/>
    <col min="9731" max="9731" width="14.19921875" style="14" customWidth="1"/>
    <col min="9732" max="9732" width="29.73046875" style="14" customWidth="1"/>
    <col min="9733" max="9984" width="9.19921875" style="14" customWidth="1"/>
    <col min="9985" max="9985" width="11" style="14" customWidth="1"/>
    <col min="9986" max="9986" width="10.796875" style="14" customWidth="1"/>
    <col min="9987" max="9987" width="14.19921875" style="14" customWidth="1"/>
    <col min="9988" max="9988" width="29.73046875" style="14" customWidth="1"/>
    <col min="9989" max="10240" width="9.19921875" style="14" customWidth="1"/>
    <col min="10241" max="10241" width="11" style="14" customWidth="1"/>
    <col min="10242" max="10242" width="10.796875" style="14" customWidth="1"/>
    <col min="10243" max="10243" width="14.19921875" style="14" customWidth="1"/>
    <col min="10244" max="10244" width="29.73046875" style="14" customWidth="1"/>
    <col min="10245" max="10496" width="9.19921875" style="14" customWidth="1"/>
    <col min="10497" max="10497" width="11" style="14" customWidth="1"/>
    <col min="10498" max="10498" width="10.796875" style="14" customWidth="1"/>
    <col min="10499" max="10499" width="14.19921875" style="14" customWidth="1"/>
    <col min="10500" max="10500" width="29.73046875" style="14" customWidth="1"/>
    <col min="10501" max="10752" width="9.19921875" style="14" customWidth="1"/>
    <col min="10753" max="10753" width="11" style="14" customWidth="1"/>
    <col min="10754" max="10754" width="10.796875" style="14" customWidth="1"/>
    <col min="10755" max="10755" width="14.19921875" style="14" customWidth="1"/>
    <col min="10756" max="10756" width="29.73046875" style="14" customWidth="1"/>
    <col min="10757" max="11008" width="9.19921875" style="14" customWidth="1"/>
    <col min="11009" max="11009" width="11" style="14" customWidth="1"/>
    <col min="11010" max="11010" width="10.796875" style="14" customWidth="1"/>
    <col min="11011" max="11011" width="14.19921875" style="14" customWidth="1"/>
    <col min="11012" max="11012" width="29.73046875" style="14" customWidth="1"/>
    <col min="11013" max="11264" width="9.19921875" style="14" customWidth="1"/>
    <col min="11265" max="11265" width="11" style="14" customWidth="1"/>
    <col min="11266" max="11266" width="10.796875" style="14" customWidth="1"/>
    <col min="11267" max="11267" width="14.19921875" style="14" customWidth="1"/>
    <col min="11268" max="11268" width="29.73046875" style="14" customWidth="1"/>
    <col min="11269" max="11520" width="9.19921875" style="14" customWidth="1"/>
    <col min="11521" max="11521" width="11" style="14" customWidth="1"/>
    <col min="11522" max="11522" width="10.796875" style="14" customWidth="1"/>
    <col min="11523" max="11523" width="14.19921875" style="14" customWidth="1"/>
    <col min="11524" max="11524" width="29.73046875" style="14" customWidth="1"/>
    <col min="11525" max="11776" width="9.19921875" style="14" customWidth="1"/>
    <col min="11777" max="11777" width="11" style="14" customWidth="1"/>
    <col min="11778" max="11778" width="10.796875" style="14" customWidth="1"/>
    <col min="11779" max="11779" width="14.19921875" style="14" customWidth="1"/>
    <col min="11780" max="11780" width="29.73046875" style="14" customWidth="1"/>
    <col min="11781" max="12032" width="9.19921875" style="14" customWidth="1"/>
    <col min="12033" max="12033" width="11" style="14" customWidth="1"/>
    <col min="12034" max="12034" width="10.796875" style="14" customWidth="1"/>
    <col min="12035" max="12035" width="14.19921875" style="14" customWidth="1"/>
    <col min="12036" max="12036" width="29.73046875" style="14" customWidth="1"/>
    <col min="12037" max="12288" width="9.19921875" style="14" customWidth="1"/>
    <col min="12289" max="12289" width="11" style="14" customWidth="1"/>
    <col min="12290" max="12290" width="10.796875" style="14" customWidth="1"/>
    <col min="12291" max="12291" width="14.19921875" style="14" customWidth="1"/>
    <col min="12292" max="12292" width="29.73046875" style="14" customWidth="1"/>
    <col min="12293" max="12544" width="9.19921875" style="14" customWidth="1"/>
    <col min="12545" max="12545" width="11" style="14" customWidth="1"/>
    <col min="12546" max="12546" width="10.796875" style="14" customWidth="1"/>
    <col min="12547" max="12547" width="14.19921875" style="14" customWidth="1"/>
    <col min="12548" max="12548" width="29.73046875" style="14" customWidth="1"/>
    <col min="12549" max="12800" width="9.19921875" style="14" customWidth="1"/>
    <col min="12801" max="12801" width="11" style="14" customWidth="1"/>
    <col min="12802" max="12802" width="10.796875" style="14" customWidth="1"/>
    <col min="12803" max="12803" width="14.19921875" style="14" customWidth="1"/>
    <col min="12804" max="12804" width="29.73046875" style="14" customWidth="1"/>
    <col min="12805" max="13056" width="9.19921875" style="14" customWidth="1"/>
    <col min="13057" max="13057" width="11" style="14" customWidth="1"/>
    <col min="13058" max="13058" width="10.796875" style="14" customWidth="1"/>
    <col min="13059" max="13059" width="14.19921875" style="14" customWidth="1"/>
    <col min="13060" max="13060" width="29.73046875" style="14" customWidth="1"/>
    <col min="13061" max="13312" width="9.19921875" style="14" customWidth="1"/>
    <col min="13313" max="13313" width="11" style="14" customWidth="1"/>
    <col min="13314" max="13314" width="10.796875" style="14" customWidth="1"/>
    <col min="13315" max="13315" width="14.19921875" style="14" customWidth="1"/>
    <col min="13316" max="13316" width="29.73046875" style="14" customWidth="1"/>
    <col min="13317" max="13568" width="9.19921875" style="14" customWidth="1"/>
    <col min="13569" max="13569" width="11" style="14" customWidth="1"/>
    <col min="13570" max="13570" width="10.796875" style="14" customWidth="1"/>
    <col min="13571" max="13571" width="14.19921875" style="14" customWidth="1"/>
    <col min="13572" max="13572" width="29.73046875" style="14" customWidth="1"/>
    <col min="13573" max="13824" width="9.19921875" style="14" customWidth="1"/>
    <col min="13825" max="13825" width="11" style="14" customWidth="1"/>
    <col min="13826" max="13826" width="10.796875" style="14" customWidth="1"/>
    <col min="13827" max="13827" width="14.19921875" style="14" customWidth="1"/>
    <col min="13828" max="13828" width="29.73046875" style="14" customWidth="1"/>
    <col min="13829" max="14080" width="9.19921875" style="14" customWidth="1"/>
    <col min="14081" max="14081" width="11" style="14" customWidth="1"/>
    <col min="14082" max="14082" width="10.796875" style="14" customWidth="1"/>
    <col min="14083" max="14083" width="14.19921875" style="14" customWidth="1"/>
    <col min="14084" max="14084" width="29.73046875" style="14" customWidth="1"/>
    <col min="14085" max="14336" width="9.19921875" style="14" customWidth="1"/>
    <col min="14337" max="14337" width="11" style="14" customWidth="1"/>
    <col min="14338" max="14338" width="10.796875" style="14" customWidth="1"/>
    <col min="14339" max="14339" width="14.19921875" style="14" customWidth="1"/>
    <col min="14340" max="14340" width="29.73046875" style="14" customWidth="1"/>
    <col min="14341" max="14592" width="9.19921875" style="14" customWidth="1"/>
    <col min="14593" max="14593" width="11" style="14" customWidth="1"/>
    <col min="14594" max="14594" width="10.796875" style="14" customWidth="1"/>
    <col min="14595" max="14595" width="14.19921875" style="14" customWidth="1"/>
    <col min="14596" max="14596" width="29.73046875" style="14" customWidth="1"/>
    <col min="14597" max="14848" width="9.19921875" style="14" customWidth="1"/>
    <col min="14849" max="14849" width="11" style="14" customWidth="1"/>
    <col min="14850" max="14850" width="10.796875" style="14" customWidth="1"/>
    <col min="14851" max="14851" width="14.19921875" style="14" customWidth="1"/>
    <col min="14852" max="14852" width="29.73046875" style="14" customWidth="1"/>
    <col min="14853" max="15104" width="9.19921875" style="14" customWidth="1"/>
    <col min="15105" max="15105" width="11" style="14" customWidth="1"/>
    <col min="15106" max="15106" width="10.796875" style="14" customWidth="1"/>
    <col min="15107" max="15107" width="14.19921875" style="14" customWidth="1"/>
    <col min="15108" max="15108" width="29.73046875" style="14" customWidth="1"/>
    <col min="15109" max="15360" width="9.19921875" style="14" customWidth="1"/>
    <col min="15361" max="15361" width="11" style="14" customWidth="1"/>
    <col min="15362" max="15362" width="10.796875" style="14" customWidth="1"/>
    <col min="15363" max="15363" width="14.19921875" style="14" customWidth="1"/>
    <col min="15364" max="15364" width="29.73046875" style="14" customWidth="1"/>
    <col min="15365" max="15616" width="9.19921875" style="14" customWidth="1"/>
    <col min="15617" max="15617" width="11" style="14" customWidth="1"/>
    <col min="15618" max="15618" width="10.796875" style="14" customWidth="1"/>
    <col min="15619" max="15619" width="14.19921875" style="14" customWidth="1"/>
    <col min="15620" max="15620" width="29.73046875" style="14" customWidth="1"/>
    <col min="15621" max="15872" width="9.19921875" style="14" customWidth="1"/>
    <col min="15873" max="15873" width="11" style="14" customWidth="1"/>
    <col min="15874" max="15874" width="10.796875" style="14" customWidth="1"/>
    <col min="15875" max="15875" width="14.19921875" style="14" customWidth="1"/>
    <col min="15876" max="15876" width="29.73046875" style="14" customWidth="1"/>
    <col min="15877" max="16128" width="9.19921875" style="14" customWidth="1"/>
    <col min="16129" max="16129" width="11" style="14" customWidth="1"/>
    <col min="16130" max="16130" width="10.796875" style="14" customWidth="1"/>
    <col min="16131" max="16131" width="14.19921875" style="14" customWidth="1"/>
    <col min="16132" max="16132" width="29.73046875" style="14" customWidth="1"/>
    <col min="16133" max="16384" width="9.19921875" style="14" customWidth="1"/>
  </cols>
  <sheetData>
    <row r="1" spans="1:12" ht="51" customHeight="1" x14ac:dyDescent="0.45">
      <c r="A1" s="114" t="s">
        <v>2440</v>
      </c>
      <c r="B1" s="115"/>
      <c r="C1" s="115"/>
      <c r="D1" s="115"/>
    </row>
    <row r="3" spans="1:12" x14ac:dyDescent="0.35">
      <c r="A3" s="14" t="s">
        <v>2441</v>
      </c>
    </row>
    <row r="4" spans="1:12" x14ac:dyDescent="0.35">
      <c r="A4" s="14" t="s">
        <v>2442</v>
      </c>
    </row>
    <row r="6" spans="1:12" s="18" customFormat="1" ht="13.15" x14ac:dyDescent="0.45">
      <c r="A6" s="16" t="s">
        <v>165</v>
      </c>
      <c r="B6" s="17" t="s">
        <v>130</v>
      </c>
      <c r="C6" s="16" t="s">
        <v>2443</v>
      </c>
      <c r="D6" s="16" t="s">
        <v>2444</v>
      </c>
      <c r="E6" s="16" t="s">
        <v>130</v>
      </c>
    </row>
    <row r="7" spans="1:12" x14ac:dyDescent="0.35">
      <c r="A7" s="19" t="s">
        <v>2445</v>
      </c>
      <c r="B7" s="15">
        <v>0</v>
      </c>
      <c r="C7" s="14">
        <v>0</v>
      </c>
      <c r="D7" s="19" t="s">
        <v>2446</v>
      </c>
      <c r="E7" s="14" t="str">
        <f>IF(B7=0,"",IF(COUNTIF($B$7:B7,B7)=1,D7,E6))</f>
        <v/>
      </c>
      <c r="L7" s="22"/>
    </row>
    <row r="8" spans="1:12" x14ac:dyDescent="0.35">
      <c r="A8" s="19" t="s">
        <v>2445</v>
      </c>
      <c r="B8" s="20" t="s">
        <v>2445</v>
      </c>
      <c r="C8" s="14">
        <v>0</v>
      </c>
      <c r="D8" s="21" t="s">
        <v>153</v>
      </c>
      <c r="E8" s="14" t="str">
        <f>IF(B8=0,"",IF(COUNTIF($B$7:B8,B8)=1,D8,E7))</f>
        <v>New England Division</v>
      </c>
      <c r="L8" s="22"/>
    </row>
    <row r="9" spans="1:12" x14ac:dyDescent="0.35">
      <c r="A9" s="19" t="s">
        <v>2445</v>
      </c>
      <c r="B9" s="20" t="s">
        <v>2445</v>
      </c>
      <c r="C9" s="19">
        <v>9</v>
      </c>
      <c r="D9" s="22" t="s">
        <v>318</v>
      </c>
      <c r="E9" s="14" t="str">
        <f>IF(B9=0,"",IF(COUNTIF($B$7:B9,B9)=1,D9,E8))</f>
        <v>New England Division</v>
      </c>
      <c r="L9" s="22"/>
    </row>
    <row r="10" spans="1:12" x14ac:dyDescent="0.35">
      <c r="A10" s="19" t="s">
        <v>2445</v>
      </c>
      <c r="B10" s="20" t="s">
        <v>2445</v>
      </c>
      <c r="C10" s="19">
        <v>23</v>
      </c>
      <c r="D10" s="22" t="s">
        <v>621</v>
      </c>
      <c r="E10" s="14" t="str">
        <f>IF(B10=0,"",IF(COUNTIF($B$7:B10,B10)=1,D10,E9))</f>
        <v>New England Division</v>
      </c>
      <c r="L10" s="22"/>
    </row>
    <row r="11" spans="1:12" x14ac:dyDescent="0.35">
      <c r="A11" s="19" t="s">
        <v>2445</v>
      </c>
      <c r="B11" s="20" t="s">
        <v>2445</v>
      </c>
      <c r="C11" s="19">
        <v>25</v>
      </c>
      <c r="D11" s="22" t="s">
        <v>654</v>
      </c>
      <c r="E11" s="14" t="str">
        <f>IF(B11=0,"",IF(COUNTIF($B$7:B11,B11)=1,D11,E10))</f>
        <v>New England Division</v>
      </c>
      <c r="L11" s="22"/>
    </row>
    <row r="12" spans="1:12" x14ac:dyDescent="0.35">
      <c r="A12" s="19" t="s">
        <v>2445</v>
      </c>
      <c r="B12" s="20" t="s">
        <v>2445</v>
      </c>
      <c r="C12" s="19">
        <v>33</v>
      </c>
      <c r="D12" s="22" t="s">
        <v>1709</v>
      </c>
      <c r="E12" s="14" t="str">
        <f>IF(B12=0,"",IF(COUNTIF($B$7:B12,B12)=1,D12,E11))</f>
        <v>New England Division</v>
      </c>
      <c r="L12" s="22"/>
    </row>
    <row r="13" spans="1:12" x14ac:dyDescent="0.35">
      <c r="A13" s="19" t="s">
        <v>2445</v>
      </c>
      <c r="B13" s="20" t="s">
        <v>2445</v>
      </c>
      <c r="C13" s="19">
        <v>44</v>
      </c>
      <c r="D13" s="22" t="s">
        <v>1852</v>
      </c>
      <c r="E13" s="14" t="str">
        <f>IF(B13=0,"",IF(COUNTIF($B$7:B13,B13)=1,D13,E12))</f>
        <v>New England Division</v>
      </c>
      <c r="L13" s="22"/>
    </row>
    <row r="14" spans="1:12" x14ac:dyDescent="0.35">
      <c r="A14" s="19" t="s">
        <v>2445</v>
      </c>
      <c r="B14" s="20" t="s">
        <v>2445</v>
      </c>
      <c r="C14" s="19">
        <v>50</v>
      </c>
      <c r="D14" s="22" t="s">
        <v>1982</v>
      </c>
      <c r="E14" s="14" t="str">
        <f>IF(B14=0,"",IF(COUNTIF($B$7:B14,B14)=1,D14,E13))</f>
        <v>New England Division</v>
      </c>
      <c r="L14" s="22"/>
    </row>
    <row r="15" spans="1:12" x14ac:dyDescent="0.35">
      <c r="A15" s="19" t="s">
        <v>2445</v>
      </c>
      <c r="B15" s="20" t="s">
        <v>2447</v>
      </c>
      <c r="C15" s="14">
        <v>0</v>
      </c>
      <c r="D15" s="21" t="s">
        <v>149</v>
      </c>
      <c r="E15" s="14" t="str">
        <f>IF(B15=0,"",IF(COUNTIF($B$7:B15,B15)=1,D15,E14))</f>
        <v>Middle Atlantic Division</v>
      </c>
      <c r="L15" s="22"/>
    </row>
    <row r="16" spans="1:12" x14ac:dyDescent="0.35">
      <c r="A16" s="19" t="s">
        <v>2445</v>
      </c>
      <c r="B16" s="20" t="s">
        <v>2447</v>
      </c>
      <c r="C16" s="19">
        <v>34</v>
      </c>
      <c r="D16" s="22" t="s">
        <v>1716</v>
      </c>
      <c r="E16" s="14" t="str">
        <f>IF(B16=0,"",IF(COUNTIF($B$7:B16,B16)=1,D16,E15))</f>
        <v>Middle Atlantic Division</v>
      </c>
      <c r="L16" s="22"/>
    </row>
    <row r="17" spans="1:12" x14ac:dyDescent="0.35">
      <c r="A17" s="19" t="s">
        <v>2445</v>
      </c>
      <c r="B17" s="20" t="s">
        <v>2447</v>
      </c>
      <c r="C17" s="19">
        <v>36</v>
      </c>
      <c r="D17" s="22" t="s">
        <v>847</v>
      </c>
      <c r="E17" s="14" t="str">
        <f>IF(B17=0,"",IF(COUNTIF($B$7:B17,B17)=1,D17,E16))</f>
        <v>Middle Atlantic Division</v>
      </c>
      <c r="L17" s="22"/>
    </row>
    <row r="18" spans="1:12" x14ac:dyDescent="0.35">
      <c r="A18" s="19" t="s">
        <v>2445</v>
      </c>
      <c r="B18" s="20" t="s">
        <v>2447</v>
      </c>
      <c r="C18" s="19">
        <v>42</v>
      </c>
      <c r="D18" s="22" t="s">
        <v>990</v>
      </c>
      <c r="E18" s="14" t="str">
        <f>IF(B18=0,"",IF(COUNTIF($B$7:B18,B18)=1,D18,E17))</f>
        <v>Middle Atlantic Division</v>
      </c>
      <c r="L18" s="22"/>
    </row>
    <row r="19" spans="1:12" x14ac:dyDescent="0.35">
      <c r="A19" s="19" t="s">
        <v>2447</v>
      </c>
      <c r="B19" s="15" t="s">
        <v>2448</v>
      </c>
      <c r="C19" s="14">
        <v>0</v>
      </c>
      <c r="D19" s="19" t="s">
        <v>2449</v>
      </c>
      <c r="E19" s="14" t="str">
        <f>IF(B19=0,"",IF(COUNTIF($B$7:B19,B19)=1,D19,E18))</f>
        <v>Middle Atlantic Division</v>
      </c>
      <c r="L19" s="22"/>
    </row>
    <row r="20" spans="1:12" x14ac:dyDescent="0.35">
      <c r="A20" s="19" t="s">
        <v>2447</v>
      </c>
      <c r="B20" s="20" t="s">
        <v>2450</v>
      </c>
      <c r="C20" s="14">
        <v>0</v>
      </c>
      <c r="D20" s="21" t="s">
        <v>145</v>
      </c>
      <c r="E20" s="14" t="str">
        <f>IF(B20=0,"",IF(COUNTIF($B$7:B20,B20)=1,D20,E19))</f>
        <v>East North Central Division</v>
      </c>
      <c r="L20" s="22"/>
    </row>
    <row r="21" spans="1:12" x14ac:dyDescent="0.35">
      <c r="A21" s="19" t="s">
        <v>2447</v>
      </c>
      <c r="B21" s="20" t="s">
        <v>2450</v>
      </c>
      <c r="C21" s="19">
        <v>17</v>
      </c>
      <c r="D21" s="22" t="s">
        <v>449</v>
      </c>
      <c r="E21" s="14" t="str">
        <f>IF(B21=0,"",IF(COUNTIF($B$7:B21,B21)=1,D21,E20))</f>
        <v>East North Central Division</v>
      </c>
      <c r="L21" s="22"/>
    </row>
    <row r="22" spans="1:12" x14ac:dyDescent="0.35">
      <c r="A22" s="19" t="s">
        <v>2447</v>
      </c>
      <c r="B22" s="20" t="s">
        <v>2450</v>
      </c>
      <c r="C22" s="19">
        <v>18</v>
      </c>
      <c r="D22" s="22" t="s">
        <v>478</v>
      </c>
      <c r="E22" s="14" t="str">
        <f>IF(B22=0,"",IF(COUNTIF($B$7:B22,B22)=1,D22,E21))</f>
        <v>East North Central Division</v>
      </c>
      <c r="L22" s="22"/>
    </row>
    <row r="23" spans="1:12" x14ac:dyDescent="0.35">
      <c r="A23" s="19" t="s">
        <v>2447</v>
      </c>
      <c r="B23" s="20" t="s">
        <v>2450</v>
      </c>
      <c r="C23" s="19">
        <v>26</v>
      </c>
      <c r="D23" s="22" t="s">
        <v>667</v>
      </c>
      <c r="E23" s="14" t="str">
        <f>IF(B23=0,"",IF(COUNTIF($B$7:B23,B23)=1,D23,E22))</f>
        <v>East North Central Division</v>
      </c>
      <c r="L23" s="22"/>
    </row>
    <row r="24" spans="1:12" x14ac:dyDescent="0.35">
      <c r="A24" s="19" t="s">
        <v>2447</v>
      </c>
      <c r="B24" s="20" t="s">
        <v>2450</v>
      </c>
      <c r="C24" s="19">
        <v>39</v>
      </c>
      <c r="D24" s="22" t="s">
        <v>598</v>
      </c>
      <c r="E24" s="14" t="str">
        <f>IF(B24=0,"",IF(COUNTIF($B$7:B24,B24)=1,D24,E23))</f>
        <v>East North Central Division</v>
      </c>
      <c r="L24" s="22"/>
    </row>
    <row r="25" spans="1:12" x14ac:dyDescent="0.35">
      <c r="A25" s="19" t="s">
        <v>2447</v>
      </c>
      <c r="B25" s="20" t="s">
        <v>2450</v>
      </c>
      <c r="C25" s="19">
        <v>55</v>
      </c>
      <c r="D25" s="22" t="s">
        <v>1258</v>
      </c>
      <c r="E25" s="14" t="str">
        <f>IF(B25=0,"",IF(COUNTIF($B$7:B25,B25)=1,D25,E24))</f>
        <v>East North Central Division</v>
      </c>
      <c r="L25" s="22"/>
    </row>
    <row r="26" spans="1:12" x14ac:dyDescent="0.35">
      <c r="A26" s="19" t="s">
        <v>2447</v>
      </c>
      <c r="B26" s="20" t="s">
        <v>2451</v>
      </c>
      <c r="C26" s="14">
        <v>0</v>
      </c>
      <c r="D26" s="21" t="s">
        <v>159</v>
      </c>
      <c r="E26" s="14" t="str">
        <f>IF(B26=0,"",IF(COUNTIF($B$7:B26,B26)=1,D26,E25))</f>
        <v>West North Central Division</v>
      </c>
      <c r="L26" s="22"/>
    </row>
    <row r="27" spans="1:12" x14ac:dyDescent="0.35">
      <c r="A27" s="19" t="s">
        <v>2447</v>
      </c>
      <c r="B27" s="20" t="s">
        <v>2451</v>
      </c>
      <c r="C27" s="19">
        <v>19</v>
      </c>
      <c r="D27" s="22" t="s">
        <v>495</v>
      </c>
      <c r="E27" s="14" t="str">
        <f>IF(B27=0,"",IF(COUNTIF($B$7:B27,B27)=1,D27,E26))</f>
        <v>West North Central Division</v>
      </c>
      <c r="L27" s="22"/>
    </row>
    <row r="28" spans="1:12" x14ac:dyDescent="0.35">
      <c r="A28" s="19" t="s">
        <v>2447</v>
      </c>
      <c r="B28" s="20" t="s">
        <v>2451</v>
      </c>
      <c r="C28" s="19">
        <v>20</v>
      </c>
      <c r="D28" s="22" t="s">
        <v>525</v>
      </c>
      <c r="E28" s="14" t="str">
        <f>IF(B28=0,"",IF(COUNTIF($B$7:B28,B28)=1,D28,E27))</f>
        <v>West North Central Division</v>
      </c>
      <c r="L28" s="22"/>
    </row>
    <row r="29" spans="1:12" x14ac:dyDescent="0.35">
      <c r="A29" s="19" t="s">
        <v>2447</v>
      </c>
      <c r="B29" s="20" t="s">
        <v>2451</v>
      </c>
      <c r="C29" s="19">
        <v>27</v>
      </c>
      <c r="D29" s="22" t="s">
        <v>683</v>
      </c>
      <c r="E29" s="14" t="str">
        <f>IF(B29=0,"",IF(COUNTIF($B$7:B29,B29)=1,D29,E28))</f>
        <v>West North Central Division</v>
      </c>
      <c r="L29" s="22"/>
    </row>
    <row r="30" spans="1:12" x14ac:dyDescent="0.35">
      <c r="A30" s="19" t="s">
        <v>2447</v>
      </c>
      <c r="B30" s="20" t="s">
        <v>2451</v>
      </c>
      <c r="C30" s="19">
        <v>29</v>
      </c>
      <c r="D30" s="22" t="s">
        <v>746</v>
      </c>
      <c r="E30" s="14" t="str">
        <f>IF(B30=0,"",IF(COUNTIF($B$7:B30,B30)=1,D30,E29))</f>
        <v>West North Central Division</v>
      </c>
      <c r="L30" s="22"/>
    </row>
    <row r="31" spans="1:12" x14ac:dyDescent="0.35">
      <c r="A31" s="19" t="s">
        <v>2447</v>
      </c>
      <c r="B31" s="20" t="s">
        <v>2451</v>
      </c>
      <c r="C31" s="19">
        <v>31</v>
      </c>
      <c r="D31" s="22" t="s">
        <v>797</v>
      </c>
      <c r="E31" s="14" t="str">
        <f>IF(B31=0,"",IF(COUNTIF($B$7:B31,B31)=1,D31,E30))</f>
        <v>West North Central Division</v>
      </c>
      <c r="L31" s="22"/>
    </row>
    <row r="32" spans="1:12" x14ac:dyDescent="0.35">
      <c r="A32" s="19" t="s">
        <v>2447</v>
      </c>
      <c r="B32" s="20" t="s">
        <v>2451</v>
      </c>
      <c r="C32" s="19">
        <v>38</v>
      </c>
      <c r="D32" s="22" t="s">
        <v>914</v>
      </c>
      <c r="E32" s="14" t="str">
        <f>IF(B32=0,"",IF(COUNTIF($B$7:B32,B32)=1,D32,E31))</f>
        <v>West North Central Division</v>
      </c>
      <c r="L32" s="22"/>
    </row>
    <row r="33" spans="1:12" x14ac:dyDescent="0.35">
      <c r="A33" s="19" t="s">
        <v>2447</v>
      </c>
      <c r="B33" s="20" t="s">
        <v>2451</v>
      </c>
      <c r="C33" s="19">
        <v>46</v>
      </c>
      <c r="D33" s="22" t="s">
        <v>1022</v>
      </c>
      <c r="E33" s="14" t="str">
        <f>IF(B33=0,"",IF(COUNTIF($B$7:B33,B33)=1,D33,E32))</f>
        <v>West North Central Division</v>
      </c>
      <c r="L33" s="22"/>
    </row>
    <row r="34" spans="1:12" x14ac:dyDescent="0.35">
      <c r="A34" s="19" t="s">
        <v>2450</v>
      </c>
      <c r="B34" s="15" t="s">
        <v>2448</v>
      </c>
      <c r="C34" s="14">
        <v>0</v>
      </c>
      <c r="D34" s="19" t="s">
        <v>2452</v>
      </c>
      <c r="E34" s="14" t="str">
        <f>IF(B34=0,"",IF(COUNTIF($B$7:B34,B34)=1,D34,E33))</f>
        <v>West North Central Division</v>
      </c>
      <c r="L34" s="22"/>
    </row>
    <row r="35" spans="1:12" x14ac:dyDescent="0.35">
      <c r="A35" s="19" t="s">
        <v>2450</v>
      </c>
      <c r="B35" s="20" t="s">
        <v>2453</v>
      </c>
      <c r="C35" s="14">
        <v>0</v>
      </c>
      <c r="D35" s="21" t="s">
        <v>157</v>
      </c>
      <c r="E35" s="14" t="str">
        <f>IF(B35=0,"",IF(COUNTIF($B$7:B35,B35)=1,D35,E34))</f>
        <v>South Atlantic Division</v>
      </c>
      <c r="L35" s="22"/>
    </row>
    <row r="36" spans="1:12" x14ac:dyDescent="0.35">
      <c r="A36" s="19" t="s">
        <v>2450</v>
      </c>
      <c r="B36" s="20" t="s">
        <v>2453</v>
      </c>
      <c r="C36" s="19">
        <v>10</v>
      </c>
      <c r="D36" s="22" t="s">
        <v>328</v>
      </c>
      <c r="E36" s="14" t="str">
        <f>IF(B36=0,"",IF(COUNTIF($B$7:B36,B36)=1,D36,E35))</f>
        <v>South Atlantic Division</v>
      </c>
      <c r="L36" s="22"/>
    </row>
    <row r="37" spans="1:12" x14ac:dyDescent="0.35">
      <c r="A37" s="19" t="s">
        <v>2450</v>
      </c>
      <c r="B37" s="20" t="s">
        <v>2453</v>
      </c>
      <c r="C37" s="19">
        <v>11</v>
      </c>
      <c r="D37" s="22" t="s">
        <v>2454</v>
      </c>
      <c r="E37" s="14" t="str">
        <f>IF(B37=0,"",IF(COUNTIF($B$7:B37,B37)=1,D37,E36))</f>
        <v>South Atlantic Division</v>
      </c>
      <c r="L37" s="22"/>
    </row>
    <row r="38" spans="1:12" x14ac:dyDescent="0.35">
      <c r="A38" s="19" t="s">
        <v>2450</v>
      </c>
      <c r="B38" s="20" t="s">
        <v>2453</v>
      </c>
      <c r="C38" s="19">
        <v>12</v>
      </c>
      <c r="D38" s="22" t="s">
        <v>333</v>
      </c>
      <c r="E38" s="14" t="str">
        <f>IF(B38=0,"",IF(COUNTIF($B$7:B38,B38)=1,D38,E37))</f>
        <v>South Atlantic Division</v>
      </c>
      <c r="L38" s="22"/>
    </row>
    <row r="39" spans="1:12" x14ac:dyDescent="0.35">
      <c r="A39" s="19" t="s">
        <v>2450</v>
      </c>
      <c r="B39" s="20" t="s">
        <v>2453</v>
      </c>
      <c r="C39" s="19">
        <v>13</v>
      </c>
      <c r="D39" s="22" t="s">
        <v>340</v>
      </c>
      <c r="E39" s="14" t="str">
        <f>IF(B39=0,"",IF(COUNTIF($B$7:B39,B39)=1,D39,E38))</f>
        <v>South Atlantic Division</v>
      </c>
      <c r="L39" s="22"/>
    </row>
    <row r="40" spans="1:12" x14ac:dyDescent="0.35">
      <c r="A40" s="19" t="s">
        <v>2450</v>
      </c>
      <c r="B40" s="20" t="s">
        <v>2453</v>
      </c>
      <c r="C40" s="19">
        <v>24</v>
      </c>
      <c r="D40" s="22" t="s">
        <v>634</v>
      </c>
      <c r="E40" s="14" t="str">
        <f>IF(B40=0,"",IF(COUNTIF($B$7:B40,B40)=1,D40,E39))</f>
        <v>South Atlantic Division</v>
      </c>
      <c r="L40" s="22"/>
    </row>
    <row r="41" spans="1:12" x14ac:dyDescent="0.35">
      <c r="A41" s="19" t="s">
        <v>2450</v>
      </c>
      <c r="B41" s="20" t="s">
        <v>2453</v>
      </c>
      <c r="C41" s="19">
        <v>37</v>
      </c>
      <c r="D41" s="22" t="s">
        <v>885</v>
      </c>
      <c r="E41" s="14" t="str">
        <f>IF(B41=0,"",IF(COUNTIF($B$7:B41,B41)=1,D41,E40))</f>
        <v>South Atlantic Division</v>
      </c>
      <c r="L41" s="22"/>
    </row>
    <row r="42" spans="1:12" x14ac:dyDescent="0.35">
      <c r="A42" s="19" t="s">
        <v>2450</v>
      </c>
      <c r="B42" s="20" t="s">
        <v>2453</v>
      </c>
      <c r="C42" s="19">
        <v>45</v>
      </c>
      <c r="D42" s="22" t="s">
        <v>1007</v>
      </c>
      <c r="E42" s="14" t="str">
        <f>IF(B42=0,"",IF(COUNTIF($B$7:B42,B42)=1,D42,E41))</f>
        <v>South Atlantic Division</v>
      </c>
      <c r="L42" s="22"/>
    </row>
    <row r="43" spans="1:12" x14ac:dyDescent="0.35">
      <c r="A43" s="19" t="s">
        <v>2450</v>
      </c>
      <c r="B43" s="20" t="s">
        <v>2453</v>
      </c>
      <c r="C43" s="19">
        <v>51</v>
      </c>
      <c r="D43" s="22" t="s">
        <v>1178</v>
      </c>
      <c r="E43" s="14" t="str">
        <f>IF(B43=0,"",IF(COUNTIF($B$7:B43,B43)=1,D43,E42))</f>
        <v>South Atlantic Division</v>
      </c>
      <c r="L43" s="22"/>
    </row>
    <row r="44" spans="1:12" x14ac:dyDescent="0.35">
      <c r="A44" s="19" t="s">
        <v>2450</v>
      </c>
      <c r="B44" s="20" t="s">
        <v>2453</v>
      </c>
      <c r="C44" s="19">
        <v>54</v>
      </c>
      <c r="D44" s="22" t="s">
        <v>1235</v>
      </c>
      <c r="E44" s="14" t="str">
        <f>IF(B44=0,"",IF(COUNTIF($B$7:B44,B44)=1,D44,E43))</f>
        <v>South Atlantic Division</v>
      </c>
      <c r="L44" s="22"/>
    </row>
    <row r="45" spans="1:12" x14ac:dyDescent="0.35">
      <c r="A45" s="19" t="s">
        <v>2450</v>
      </c>
      <c r="B45" s="20" t="s">
        <v>2455</v>
      </c>
      <c r="C45" s="14">
        <v>0</v>
      </c>
      <c r="D45" s="21" t="s">
        <v>147</v>
      </c>
      <c r="E45" s="14" t="str">
        <f>IF(B45=0,"",IF(COUNTIF($B$7:B45,B45)=1,D45,E44))</f>
        <v>East South Central Division</v>
      </c>
      <c r="L45" s="22"/>
    </row>
    <row r="46" spans="1:12" x14ac:dyDescent="0.35">
      <c r="A46" s="19" t="s">
        <v>2450</v>
      </c>
      <c r="B46" s="20" t="s">
        <v>2455</v>
      </c>
      <c r="C46" s="19">
        <v>1</v>
      </c>
      <c r="D46" s="22" t="s">
        <v>135</v>
      </c>
      <c r="E46" s="14" t="str">
        <f>IF(B46=0,"",IF(COUNTIF($B$7:B46,B46)=1,D46,E45))</f>
        <v>East South Central Division</v>
      </c>
      <c r="L46" s="22"/>
    </row>
    <row r="47" spans="1:12" x14ac:dyDescent="0.35">
      <c r="A47" s="19" t="s">
        <v>2450</v>
      </c>
      <c r="B47" s="20" t="s">
        <v>2455</v>
      </c>
      <c r="C47" s="19">
        <v>21</v>
      </c>
      <c r="D47" s="22" t="s">
        <v>574</v>
      </c>
      <c r="E47" s="14" t="str">
        <f>IF(B47=0,"",IF(COUNTIF($B$7:B47,B47)=1,D47,E46))</f>
        <v>East South Central Division</v>
      </c>
      <c r="L47" s="22"/>
    </row>
    <row r="48" spans="1:12" x14ac:dyDescent="0.35">
      <c r="A48" s="19" t="s">
        <v>2450</v>
      </c>
      <c r="B48" s="20" t="s">
        <v>2455</v>
      </c>
      <c r="C48" s="19">
        <v>28</v>
      </c>
      <c r="D48" s="22" t="s">
        <v>240</v>
      </c>
      <c r="E48" s="14" t="str">
        <f>IF(B48=0,"",IF(COUNTIF($B$7:B48,B48)=1,D48,E47))</f>
        <v>East South Central Division</v>
      </c>
      <c r="L48" s="22"/>
    </row>
    <row r="49" spans="1:12" x14ac:dyDescent="0.35">
      <c r="A49" s="19" t="s">
        <v>2450</v>
      </c>
      <c r="B49" s="20" t="s">
        <v>2455</v>
      </c>
      <c r="C49" s="19">
        <v>47</v>
      </c>
      <c r="D49" s="22" t="s">
        <v>1054</v>
      </c>
      <c r="E49" s="14" t="str">
        <f>IF(B49=0,"",IF(COUNTIF($B$7:B49,B49)=1,D49,E48))</f>
        <v>East South Central Division</v>
      </c>
      <c r="L49" s="22"/>
    </row>
    <row r="50" spans="1:12" x14ac:dyDescent="0.35">
      <c r="A50" s="19" t="s">
        <v>2450</v>
      </c>
      <c r="B50" s="20" t="s">
        <v>2456</v>
      </c>
      <c r="C50" s="14">
        <v>0</v>
      </c>
      <c r="D50" s="21" t="s">
        <v>161</v>
      </c>
      <c r="E50" s="14" t="str">
        <f>IF(B50=0,"",IF(COUNTIF($B$7:B50,B50)=1,D50,E49))</f>
        <v>West South Central Division</v>
      </c>
      <c r="L50" s="22"/>
    </row>
    <row r="51" spans="1:12" x14ac:dyDescent="0.35">
      <c r="A51" s="19" t="s">
        <v>2450</v>
      </c>
      <c r="B51" s="20" t="s">
        <v>2456</v>
      </c>
      <c r="C51" s="19">
        <v>5</v>
      </c>
      <c r="D51" s="22" t="s">
        <v>221</v>
      </c>
      <c r="E51" s="14" t="str">
        <f>IF(B51=0,"",IF(COUNTIF($B$7:B51,B51)=1,D51,E50))</f>
        <v>West South Central Division</v>
      </c>
      <c r="L51" s="22"/>
    </row>
    <row r="52" spans="1:12" x14ac:dyDescent="0.35">
      <c r="A52" s="19" t="s">
        <v>2450</v>
      </c>
      <c r="B52" s="20" t="s">
        <v>2456</v>
      </c>
      <c r="C52" s="19">
        <v>22</v>
      </c>
      <c r="D52" s="22" t="s">
        <v>614</v>
      </c>
      <c r="E52" s="14" t="str">
        <f>IF(B52=0,"",IF(COUNTIF($B$7:B52,B52)=1,D52,E51))</f>
        <v>West South Central Division</v>
      </c>
      <c r="L52" s="22"/>
    </row>
    <row r="53" spans="1:12" x14ac:dyDescent="0.35">
      <c r="A53" s="19" t="s">
        <v>2450</v>
      </c>
      <c r="B53" s="20" t="s">
        <v>2456</v>
      </c>
      <c r="C53" s="19">
        <v>40</v>
      </c>
      <c r="D53" s="22" t="s">
        <v>960</v>
      </c>
      <c r="E53" s="14" t="str">
        <f>IF(B53=0,"",IF(COUNTIF($B$7:B53,B53)=1,D53,E52))</f>
        <v>West South Central Division</v>
      </c>
      <c r="L53" s="22"/>
    </row>
    <row r="54" spans="1:12" x14ac:dyDescent="0.35">
      <c r="A54" s="19" t="s">
        <v>2450</v>
      </c>
      <c r="B54" s="20" t="s">
        <v>2456</v>
      </c>
      <c r="C54" s="19">
        <v>48</v>
      </c>
      <c r="D54" s="22" t="s">
        <v>772</v>
      </c>
      <c r="E54" s="14" t="str">
        <f>IF(B54=0,"",IF(COUNTIF($B$7:B54,B54)=1,D54,E53))</f>
        <v>West South Central Division</v>
      </c>
      <c r="L54" s="22"/>
    </row>
    <row r="55" spans="1:12" x14ac:dyDescent="0.35">
      <c r="A55" s="19" t="s">
        <v>2451</v>
      </c>
      <c r="B55" s="15" t="s">
        <v>2448</v>
      </c>
      <c r="C55" s="14">
        <v>0</v>
      </c>
      <c r="D55" s="19" t="s">
        <v>2457</v>
      </c>
      <c r="E55" s="14" t="str">
        <f>IF(B55=0,"",IF(COUNTIF($B$7:B55,B55)=1,D55,E54))</f>
        <v>West South Central Division</v>
      </c>
      <c r="L55" s="22"/>
    </row>
    <row r="56" spans="1:12" x14ac:dyDescent="0.35">
      <c r="A56" s="19" t="s">
        <v>2451</v>
      </c>
      <c r="B56" s="20" t="s">
        <v>2458</v>
      </c>
      <c r="C56" s="14">
        <v>0</v>
      </c>
      <c r="D56" s="21" t="s">
        <v>151</v>
      </c>
      <c r="E56" s="14" t="str">
        <f>IF(B56=0,"",IF(COUNTIF($B$7:B56,B56)=1,D56,E55))</f>
        <v>Mountain Division</v>
      </c>
      <c r="L56" s="22"/>
    </row>
    <row r="57" spans="1:12" x14ac:dyDescent="0.35">
      <c r="A57" s="19" t="s">
        <v>2451</v>
      </c>
      <c r="B57" s="20" t="s">
        <v>2458</v>
      </c>
      <c r="C57" s="19">
        <v>4</v>
      </c>
      <c r="D57" s="22" t="s">
        <v>1304</v>
      </c>
      <c r="E57" s="14" t="str">
        <f>IF(B57=0,"",IF(COUNTIF($B$7:B57,B57)=1,D57,E56))</f>
        <v>Mountain Division</v>
      </c>
      <c r="L57" s="22"/>
    </row>
    <row r="58" spans="1:12" x14ac:dyDescent="0.35">
      <c r="A58" s="19" t="s">
        <v>2451</v>
      </c>
      <c r="B58" s="20" t="s">
        <v>2458</v>
      </c>
      <c r="C58" s="19">
        <v>8</v>
      </c>
      <c r="D58" s="22" t="s">
        <v>276</v>
      </c>
      <c r="E58" s="14" t="str">
        <f>IF(B58=0,"",IF(COUNTIF($B$7:B58,B58)=1,D58,E57))</f>
        <v>Mountain Division</v>
      </c>
    </row>
    <row r="59" spans="1:12" x14ac:dyDescent="0.35">
      <c r="A59" s="19" t="s">
        <v>2451</v>
      </c>
      <c r="B59" s="20" t="s">
        <v>2458</v>
      </c>
      <c r="C59" s="19">
        <v>16</v>
      </c>
      <c r="D59" s="22" t="s">
        <v>421</v>
      </c>
      <c r="E59" s="14" t="str">
        <f>IF(B59=0,"",IF(COUNTIF($B$7:B59,B59)=1,D59,E58))</f>
        <v>Mountain Division</v>
      </c>
    </row>
    <row r="60" spans="1:12" x14ac:dyDescent="0.35">
      <c r="A60" s="19" t="s">
        <v>2451</v>
      </c>
      <c r="B60" s="20" t="s">
        <v>2458</v>
      </c>
      <c r="C60" s="19">
        <v>30</v>
      </c>
      <c r="D60" s="22" t="s">
        <v>775</v>
      </c>
      <c r="E60" s="14" t="str">
        <f>IF(B60=0,"",IF(COUNTIF($B$7:B60,B60)=1,D60,E59))</f>
        <v>Mountain Division</v>
      </c>
    </row>
    <row r="61" spans="1:12" x14ac:dyDescent="0.35">
      <c r="A61" s="19" t="s">
        <v>2451</v>
      </c>
      <c r="B61" s="20" t="s">
        <v>2458</v>
      </c>
      <c r="C61" s="19">
        <v>32</v>
      </c>
      <c r="D61" s="22" t="s">
        <v>241</v>
      </c>
      <c r="E61" s="14" t="str">
        <f>IF(B61=0,"",IF(COUNTIF($B$7:B61,B61)=1,D61,E60))</f>
        <v>Mountain Division</v>
      </c>
    </row>
    <row r="62" spans="1:12" x14ac:dyDescent="0.35">
      <c r="A62" s="19" t="s">
        <v>2451</v>
      </c>
      <c r="B62" s="20" t="s">
        <v>2458</v>
      </c>
      <c r="C62" s="19">
        <v>35</v>
      </c>
      <c r="D62" s="22" t="s">
        <v>838</v>
      </c>
      <c r="E62" s="14" t="str">
        <f>IF(B62=0,"",IF(COUNTIF($B$7:B62,B62)=1,D62,E61))</f>
        <v>Mountain Division</v>
      </c>
    </row>
    <row r="63" spans="1:12" x14ac:dyDescent="0.35">
      <c r="A63" s="19" t="s">
        <v>2451</v>
      </c>
      <c r="B63" s="20" t="s">
        <v>2458</v>
      </c>
      <c r="C63" s="19">
        <v>49</v>
      </c>
      <c r="D63" s="22" t="s">
        <v>1164</v>
      </c>
      <c r="E63" s="14" t="str">
        <f>IF(B63=0,"",IF(COUNTIF($B$7:B63,B63)=1,D63,E62))</f>
        <v>Mountain Division</v>
      </c>
    </row>
    <row r="64" spans="1:12" x14ac:dyDescent="0.35">
      <c r="A64" s="19" t="s">
        <v>2451</v>
      </c>
      <c r="B64" s="20" t="s">
        <v>2458</v>
      </c>
      <c r="C64" s="19">
        <v>56</v>
      </c>
      <c r="D64" s="22" t="s">
        <v>1256</v>
      </c>
      <c r="E64" s="14" t="str">
        <f>IF(B64=0,"",IF(COUNTIF($B$7:B64,B64)=1,D64,E63))</f>
        <v>Mountain Division</v>
      </c>
    </row>
    <row r="65" spans="1:5" x14ac:dyDescent="0.35">
      <c r="A65" s="19" t="s">
        <v>2451</v>
      </c>
      <c r="B65" s="20" t="s">
        <v>2459</v>
      </c>
      <c r="C65" s="14">
        <v>0</v>
      </c>
      <c r="D65" s="21" t="s">
        <v>155</v>
      </c>
      <c r="E65" s="14" t="str">
        <f>IF(B65=0,"",IF(COUNTIF($B$7:B65,B65)=1,D65,E64))</f>
        <v>Pacific Division</v>
      </c>
    </row>
    <row r="66" spans="1:5" x14ac:dyDescent="0.35">
      <c r="A66" s="19" t="s">
        <v>2451</v>
      </c>
      <c r="B66" s="20" t="s">
        <v>2459</v>
      </c>
      <c r="C66" s="19">
        <v>2</v>
      </c>
      <c r="D66" s="22" t="s">
        <v>1276</v>
      </c>
      <c r="E66" s="14" t="str">
        <f>IF(B66=0,"",IF(COUNTIF($B$7:B66,B66)=1,D66,E65))</f>
        <v>Pacific Division</v>
      </c>
    </row>
    <row r="67" spans="1:5" x14ac:dyDescent="0.35">
      <c r="A67" s="19" t="s">
        <v>2451</v>
      </c>
      <c r="B67" s="20" t="s">
        <v>2459</v>
      </c>
      <c r="C67" s="19">
        <v>6</v>
      </c>
      <c r="D67" s="22" t="s">
        <v>264</v>
      </c>
      <c r="E67" s="14" t="str">
        <f>IF(B67=0,"",IF(COUNTIF($B$7:B67,B67)=1,D67,E66))</f>
        <v>Pacific Division</v>
      </c>
    </row>
    <row r="68" spans="1:5" x14ac:dyDescent="0.35">
      <c r="A68" s="19" t="s">
        <v>2451</v>
      </c>
      <c r="B68" s="20" t="s">
        <v>2459</v>
      </c>
      <c r="C68" s="19">
        <v>15</v>
      </c>
      <c r="D68" s="22" t="s">
        <v>415</v>
      </c>
      <c r="E68" s="14" t="str">
        <f>IF(B68=0,"",IF(COUNTIF($B$7:B68,B68)=1,D68,E67))</f>
        <v>Pacific Division</v>
      </c>
    </row>
    <row r="69" spans="1:5" x14ac:dyDescent="0.35">
      <c r="A69" s="19" t="s">
        <v>2451</v>
      </c>
      <c r="B69" s="20" t="s">
        <v>2459</v>
      </c>
      <c r="C69" s="19">
        <v>41</v>
      </c>
      <c r="D69" s="22" t="s">
        <v>970</v>
      </c>
      <c r="E69" s="14" t="str">
        <f>IF(B69=0,"",IF(COUNTIF($B$7:B69,B69)=1,D69,E68))</f>
        <v>Pacific Division</v>
      </c>
    </row>
    <row r="70" spans="1:5" x14ac:dyDescent="0.35">
      <c r="A70" s="19" t="s">
        <v>2451</v>
      </c>
      <c r="B70" s="20" t="s">
        <v>2459</v>
      </c>
      <c r="C70" s="19">
        <v>53</v>
      </c>
      <c r="D70" s="22" t="s">
        <v>219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74"/>
  <sheetViews>
    <sheetView topLeftCell="O1" workbookViewId="0"/>
  </sheetViews>
  <sheetFormatPr defaultRowHeight="14.25" x14ac:dyDescent="0.45"/>
  <sheetData>
    <row r="1" spans="1:29" x14ac:dyDescent="0.45">
      <c r="B1" t="s">
        <v>2476</v>
      </c>
    </row>
    <row r="3" spans="1:29" x14ac:dyDescent="0.45">
      <c r="C3" t="s">
        <v>2477</v>
      </c>
      <c r="D3" t="s">
        <v>8</v>
      </c>
    </row>
    <row r="4" spans="1:29" x14ac:dyDescent="0.45">
      <c r="C4" t="s">
        <v>2478</v>
      </c>
      <c r="D4" t="s">
        <v>2479</v>
      </c>
      <c r="F4" t="s">
        <v>2480</v>
      </c>
    </row>
    <row r="5" spans="1:29" x14ac:dyDescent="0.45">
      <c r="C5" t="s">
        <v>2481</v>
      </c>
      <c r="D5" t="s">
        <v>2482</v>
      </c>
    </row>
    <row r="6" spans="1:29" x14ac:dyDescent="0.45">
      <c r="C6" t="s">
        <v>2483</v>
      </c>
      <c r="E6" t="s">
        <v>2484</v>
      </c>
    </row>
    <row r="7" spans="1:29" x14ac:dyDescent="0.45">
      <c r="B7" t="s">
        <v>2485</v>
      </c>
    </row>
    <row r="8" spans="1:29" x14ac:dyDescent="0.45">
      <c r="B8" t="s">
        <v>2486</v>
      </c>
    </row>
    <row r="9" spans="1:29" x14ac:dyDescent="0.45">
      <c r="AC9" t="s">
        <v>2487</v>
      </c>
    </row>
    <row r="10" spans="1:29" x14ac:dyDescent="0.45">
      <c r="B10" t="s">
        <v>2488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2489</v>
      </c>
    </row>
    <row r="12" spans="1:29" x14ac:dyDescent="0.45">
      <c r="B12" t="s">
        <v>2460</v>
      </c>
    </row>
    <row r="13" spans="1:29" x14ac:dyDescent="0.45">
      <c r="B13" t="s">
        <v>2490</v>
      </c>
    </row>
    <row r="14" spans="1:29" x14ac:dyDescent="0.45">
      <c r="A14" t="s">
        <v>2491</v>
      </c>
      <c r="B14" t="s">
        <v>2492</v>
      </c>
      <c r="C14">
        <v>89.551807999999994</v>
      </c>
      <c r="D14">
        <v>90.499319999999997</v>
      </c>
      <c r="E14">
        <v>91.445952000000005</v>
      </c>
      <c r="F14">
        <v>92.375528000000003</v>
      </c>
      <c r="G14">
        <v>93.308328000000003</v>
      </c>
      <c r="H14">
        <v>94.243120000000005</v>
      </c>
      <c r="I14">
        <v>95.158208000000002</v>
      </c>
      <c r="J14">
        <v>96.071575999999993</v>
      </c>
      <c r="K14">
        <v>96.973696000000004</v>
      </c>
      <c r="L14">
        <v>97.853279999999998</v>
      </c>
      <c r="M14">
        <v>98.716440000000006</v>
      </c>
      <c r="N14">
        <v>99.555663999999993</v>
      </c>
      <c r="O14">
        <v>100.3796</v>
      </c>
      <c r="P14">
        <v>101.179768</v>
      </c>
      <c r="Q14">
        <v>101.948536</v>
      </c>
      <c r="R14">
        <v>102.68970400000001</v>
      </c>
      <c r="S14">
        <v>103.400256</v>
      </c>
      <c r="T14">
        <v>104.09390399999999</v>
      </c>
      <c r="U14">
        <v>104.76102400000001</v>
      </c>
      <c r="V14">
        <v>105.404848</v>
      </c>
      <c r="W14">
        <v>106.04945600000001</v>
      </c>
      <c r="X14">
        <v>106.69841599999999</v>
      </c>
      <c r="Y14">
        <v>107.34532</v>
      </c>
      <c r="Z14">
        <v>107.99104</v>
      </c>
      <c r="AA14">
        <v>108.635976</v>
      </c>
      <c r="AB14">
        <v>109.283816</v>
      </c>
      <c r="AC14">
        <v>7.9970467786396604E-3</v>
      </c>
    </row>
    <row r="15" spans="1:29" x14ac:dyDescent="0.45">
      <c r="A15" t="s">
        <v>2493</v>
      </c>
      <c r="B15" t="s">
        <v>2494</v>
      </c>
      <c r="C15">
        <v>34.432312000000003</v>
      </c>
      <c r="D15">
        <v>34.836668000000003</v>
      </c>
      <c r="E15">
        <v>35.242792000000001</v>
      </c>
      <c r="F15">
        <v>35.639104000000003</v>
      </c>
      <c r="G15">
        <v>36.037196000000002</v>
      </c>
      <c r="H15">
        <v>36.453671999999997</v>
      </c>
      <c r="I15">
        <v>36.903640000000003</v>
      </c>
      <c r="J15">
        <v>37.355531999999997</v>
      </c>
      <c r="K15">
        <v>37.797055999999998</v>
      </c>
      <c r="L15">
        <v>38.222763999999998</v>
      </c>
      <c r="M15">
        <v>38.636755999999998</v>
      </c>
      <c r="N15">
        <v>39.039476000000001</v>
      </c>
      <c r="O15">
        <v>39.397843999999999</v>
      </c>
      <c r="P15">
        <v>39.730519999999999</v>
      </c>
      <c r="Q15">
        <v>40.040472000000001</v>
      </c>
      <c r="R15">
        <v>40.33182</v>
      </c>
      <c r="S15">
        <v>40.601424000000002</v>
      </c>
      <c r="T15">
        <v>40.853960000000001</v>
      </c>
      <c r="U15">
        <v>41.099856000000003</v>
      </c>
      <c r="V15">
        <v>41.347656000000001</v>
      </c>
      <c r="W15">
        <v>41.597008000000002</v>
      </c>
      <c r="X15">
        <v>41.846876000000002</v>
      </c>
      <c r="Y15">
        <v>42.095095999999998</v>
      </c>
      <c r="Z15">
        <v>42.342736000000002</v>
      </c>
      <c r="AA15">
        <v>42.590232</v>
      </c>
      <c r="AB15">
        <v>42.838628</v>
      </c>
      <c r="AC15">
        <v>8.7760776558121201E-3</v>
      </c>
    </row>
    <row r="16" spans="1:29" x14ac:dyDescent="0.45">
      <c r="A16" t="s">
        <v>2495</v>
      </c>
      <c r="B16" t="s">
        <v>2496</v>
      </c>
      <c r="C16">
        <v>6.7450950000000001</v>
      </c>
      <c r="D16">
        <v>6.7594225000000003</v>
      </c>
      <c r="E16">
        <v>6.806991</v>
      </c>
      <c r="F16">
        <v>6.8581649999999996</v>
      </c>
      <c r="G16">
        <v>6.9037110000000004</v>
      </c>
      <c r="H16">
        <v>6.9130140000000004</v>
      </c>
      <c r="I16">
        <v>6.915089</v>
      </c>
      <c r="J16">
        <v>6.9182519999999998</v>
      </c>
      <c r="K16">
        <v>6.921087</v>
      </c>
      <c r="L16">
        <v>6.9234134999999997</v>
      </c>
      <c r="M16">
        <v>6.9269959999999999</v>
      </c>
      <c r="N16">
        <v>6.9313560000000001</v>
      </c>
      <c r="O16">
        <v>6.9329989999999997</v>
      </c>
      <c r="P16">
        <v>6.9327449999999997</v>
      </c>
      <c r="Q16">
        <v>6.9276109999999997</v>
      </c>
      <c r="R16">
        <v>6.924169</v>
      </c>
      <c r="S16">
        <v>6.9226830000000001</v>
      </c>
      <c r="T16">
        <v>6.9217560000000002</v>
      </c>
      <c r="U16">
        <v>6.9220889999999997</v>
      </c>
      <c r="V16">
        <v>6.9248770000000004</v>
      </c>
      <c r="W16">
        <v>6.9295859999999996</v>
      </c>
      <c r="X16">
        <v>6.9344039999999998</v>
      </c>
      <c r="Y16">
        <v>6.9393295000000004</v>
      </c>
      <c r="Z16">
        <v>6.9430185</v>
      </c>
      <c r="AA16">
        <v>6.9465225000000004</v>
      </c>
      <c r="AB16">
        <v>6.950291</v>
      </c>
      <c r="AC16">
        <v>1.199436955279243E-3</v>
      </c>
    </row>
    <row r="17" spans="1:29" x14ac:dyDescent="0.45">
      <c r="A17" t="s">
        <v>2497</v>
      </c>
      <c r="B17" t="s">
        <v>2498</v>
      </c>
      <c r="C17">
        <v>130.72921500000001</v>
      </c>
      <c r="D17">
        <v>132.09541050000001</v>
      </c>
      <c r="E17">
        <v>133.495735</v>
      </c>
      <c r="F17">
        <v>134.87279699999999</v>
      </c>
      <c r="G17">
        <v>136.249235</v>
      </c>
      <c r="H17">
        <v>137.60980599999999</v>
      </c>
      <c r="I17">
        <v>138.97693699999999</v>
      </c>
      <c r="J17">
        <v>140.34536</v>
      </c>
      <c r="K17">
        <v>141.69183899999999</v>
      </c>
      <c r="L17">
        <v>142.99945750000001</v>
      </c>
      <c r="M17">
        <v>144.280192</v>
      </c>
      <c r="N17">
        <v>145.52649600000001</v>
      </c>
      <c r="O17">
        <v>146.710443</v>
      </c>
      <c r="P17">
        <v>147.84303299999999</v>
      </c>
      <c r="Q17">
        <v>148.916619</v>
      </c>
      <c r="R17">
        <v>149.94569300000001</v>
      </c>
      <c r="S17">
        <v>150.924363</v>
      </c>
      <c r="T17">
        <v>151.86962</v>
      </c>
      <c r="U17">
        <v>152.78296900000001</v>
      </c>
      <c r="V17">
        <v>153.677381</v>
      </c>
      <c r="W17">
        <v>154.57605000000001</v>
      </c>
      <c r="X17">
        <v>155.47969599999999</v>
      </c>
      <c r="Y17">
        <v>156.37974550000001</v>
      </c>
      <c r="Z17">
        <v>157.27679449999999</v>
      </c>
      <c r="AA17">
        <v>158.1727305</v>
      </c>
      <c r="AB17">
        <v>159.07273499999999</v>
      </c>
      <c r="AC17">
        <v>7.8802239127684359E-3</v>
      </c>
    </row>
    <row r="19" spans="1:29" x14ac:dyDescent="0.45">
      <c r="A19" t="s">
        <v>2499</v>
      </c>
      <c r="B19" t="s">
        <v>2500</v>
      </c>
      <c r="C19">
        <v>1648.580932617188</v>
      </c>
      <c r="D19">
        <v>1653.800903320312</v>
      </c>
      <c r="E19">
        <v>1658.75341796875</v>
      </c>
      <c r="F19">
        <v>1663.61962890625</v>
      </c>
      <c r="G19">
        <v>1668.383911132812</v>
      </c>
      <c r="H19">
        <v>1673.056884765625</v>
      </c>
      <c r="I19">
        <v>1677.398559570312</v>
      </c>
      <c r="J19">
        <v>1681.615356445312</v>
      </c>
      <c r="K19">
        <v>1685.791870117188</v>
      </c>
      <c r="L19">
        <v>1689.955688476562</v>
      </c>
      <c r="M19">
        <v>1694.082885742188</v>
      </c>
      <c r="N19">
        <v>1698.1728515625</v>
      </c>
      <c r="O19">
        <v>1702.468627929688</v>
      </c>
      <c r="P19">
        <v>1706.83984375</v>
      </c>
      <c r="Q19">
        <v>1711.274047851562</v>
      </c>
      <c r="R19">
        <v>1715.727783203125</v>
      </c>
      <c r="S19">
        <v>1720.223876953125</v>
      </c>
      <c r="T19">
        <v>1724.752197265625</v>
      </c>
      <c r="U19">
        <v>1729.234130859375</v>
      </c>
      <c r="V19">
        <v>1733.615600585938</v>
      </c>
      <c r="W19">
        <v>1737.918823242188</v>
      </c>
      <c r="X19">
        <v>1742.162353515625</v>
      </c>
      <c r="Y19">
        <v>1746.357177734375</v>
      </c>
      <c r="Z19">
        <v>1750.502319335938</v>
      </c>
      <c r="AA19">
        <v>1754.593017578125</v>
      </c>
      <c r="AB19">
        <v>1758.6240234375</v>
      </c>
      <c r="AC19">
        <v>2.5880160021416469E-3</v>
      </c>
    </row>
    <row r="21" spans="1:29" x14ac:dyDescent="0.45">
      <c r="B21" t="s">
        <v>2501</v>
      </c>
    </row>
    <row r="22" spans="1:29" x14ac:dyDescent="0.45">
      <c r="B22" t="s">
        <v>2502</v>
      </c>
    </row>
    <row r="23" spans="1:29" x14ac:dyDescent="0.45">
      <c r="A23" t="s">
        <v>2503</v>
      </c>
      <c r="B23" t="s">
        <v>2504</v>
      </c>
      <c r="C23">
        <v>89.060958164554123</v>
      </c>
      <c r="D23">
        <v>86.654178526512851</v>
      </c>
      <c r="E23">
        <v>85.803575732213446</v>
      </c>
      <c r="F23">
        <v>85.129928164832222</v>
      </c>
      <c r="G23">
        <v>84.07061112673405</v>
      </c>
      <c r="H23">
        <v>82.772625084581534</v>
      </c>
      <c r="I23">
        <v>81.43821978174698</v>
      </c>
      <c r="J23">
        <v>80.199732217723508</v>
      </c>
      <c r="K23">
        <v>79.037514969369553</v>
      </c>
      <c r="L23">
        <v>78.012083605282228</v>
      </c>
      <c r="M23">
        <v>77.086948276309485</v>
      </c>
      <c r="N23">
        <v>76.247253324920322</v>
      </c>
      <c r="O23">
        <v>75.471804362283876</v>
      </c>
      <c r="P23">
        <v>74.779412365004717</v>
      </c>
      <c r="Q23">
        <v>74.147297058899781</v>
      </c>
      <c r="R23">
        <v>73.529512541583998</v>
      </c>
      <c r="S23">
        <v>72.987660183134267</v>
      </c>
      <c r="T23">
        <v>72.550300988439972</v>
      </c>
      <c r="U23">
        <v>72.191370453077127</v>
      </c>
      <c r="V23">
        <v>71.873313848314496</v>
      </c>
      <c r="W23">
        <v>71.554366294131583</v>
      </c>
      <c r="X23">
        <v>71.242594184130652</v>
      </c>
      <c r="Y23">
        <v>70.912942418108727</v>
      </c>
      <c r="Z23">
        <v>70.590441350837679</v>
      </c>
      <c r="AA23">
        <v>70.298458886375485</v>
      </c>
      <c r="AB23">
        <v>70.025752911081852</v>
      </c>
      <c r="AC23">
        <v>-9.5722113258980279E-3</v>
      </c>
    </row>
    <row r="24" spans="1:29" x14ac:dyDescent="0.45">
      <c r="A24" t="s">
        <v>2505</v>
      </c>
      <c r="B24" t="s">
        <v>2506</v>
      </c>
      <c r="C24">
        <v>87.644801447021621</v>
      </c>
      <c r="D24">
        <v>85.169031273800385</v>
      </c>
      <c r="E24">
        <v>84.244949638278683</v>
      </c>
      <c r="F24">
        <v>83.496612471082656</v>
      </c>
      <c r="G24">
        <v>82.368483052400279</v>
      </c>
      <c r="H24">
        <v>80.999154028311025</v>
      </c>
      <c r="I24">
        <v>79.589085576119757</v>
      </c>
      <c r="J24">
        <v>78.275952193930777</v>
      </c>
      <c r="K24">
        <v>77.0362922454553</v>
      </c>
      <c r="L24">
        <v>75.928767841654249</v>
      </c>
      <c r="M24">
        <v>74.916512794770895</v>
      </c>
      <c r="N24">
        <v>73.985585401575278</v>
      </c>
      <c r="O24">
        <v>73.112307594899704</v>
      </c>
      <c r="P24">
        <v>72.317409627276788</v>
      </c>
      <c r="Q24">
        <v>71.577848231969327</v>
      </c>
      <c r="R24">
        <v>70.849099760404613</v>
      </c>
      <c r="S24">
        <v>70.192104001128058</v>
      </c>
      <c r="T24">
        <v>69.636396495889059</v>
      </c>
      <c r="U24">
        <v>69.156582144964062</v>
      </c>
      <c r="V24">
        <v>68.71355505466353</v>
      </c>
      <c r="W24">
        <v>68.267576962925361</v>
      </c>
      <c r="X24">
        <v>67.825554727094413</v>
      </c>
      <c r="Y24">
        <v>67.362432074043738</v>
      </c>
      <c r="Z24">
        <v>66.902168825675048</v>
      </c>
      <c r="AA24">
        <v>66.470930853659382</v>
      </c>
      <c r="AB24">
        <v>66.055663027356644</v>
      </c>
      <c r="AC24">
        <v>-1.1248043695201489E-2</v>
      </c>
    </row>
    <row r="25" spans="1:29" x14ac:dyDescent="0.45">
      <c r="B25" t="s">
        <v>2507</v>
      </c>
    </row>
    <row r="26" spans="1:29" x14ac:dyDescent="0.45">
      <c r="A26" t="s">
        <v>2508</v>
      </c>
      <c r="B26" t="s">
        <v>2504</v>
      </c>
      <c r="C26">
        <v>54.022800095817153</v>
      </c>
      <c r="D26">
        <v>52.396983429225664</v>
      </c>
      <c r="E26">
        <v>51.727746151254621</v>
      </c>
      <c r="F26">
        <v>51.171509812493049</v>
      </c>
      <c r="G26">
        <v>50.390447046238371</v>
      </c>
      <c r="H26">
        <v>49.473885698857742</v>
      </c>
      <c r="I26">
        <v>48.550309833703707</v>
      </c>
      <c r="J26">
        <v>47.692078875429601</v>
      </c>
      <c r="K26">
        <v>46.884503579837087</v>
      </c>
      <c r="L26">
        <v>46.16220658164562</v>
      </c>
      <c r="M26">
        <v>45.503646205915857</v>
      </c>
      <c r="N26">
        <v>44.899583251943241</v>
      </c>
      <c r="O26">
        <v>44.330804764409962</v>
      </c>
      <c r="P26">
        <v>43.811616326410068</v>
      </c>
      <c r="Q26">
        <v>43.328710063703006</v>
      </c>
      <c r="R26">
        <v>42.856164749113262</v>
      </c>
      <c r="S26">
        <v>42.429163529813707</v>
      </c>
      <c r="T26">
        <v>42.06418817929859</v>
      </c>
      <c r="U26">
        <v>41.747597485367862</v>
      </c>
      <c r="V26">
        <v>41.458621982879208</v>
      </c>
      <c r="W26">
        <v>41.172444499244683</v>
      </c>
      <c r="X26">
        <v>40.893200361243878</v>
      </c>
      <c r="Y26">
        <v>40.606207780533857</v>
      </c>
      <c r="Z26">
        <v>40.325819949565421</v>
      </c>
      <c r="AA26">
        <v>40.065393046764108</v>
      </c>
      <c r="AB26">
        <v>39.818489897690462</v>
      </c>
      <c r="AC26">
        <v>-1.212883770197948E-2</v>
      </c>
    </row>
    <row r="27" spans="1:29" x14ac:dyDescent="0.45">
      <c r="A27" t="s">
        <v>2509</v>
      </c>
      <c r="B27" t="s">
        <v>2506</v>
      </c>
      <c r="C27">
        <v>53.163784508827263</v>
      </c>
      <c r="D27">
        <v>51.498962845411278</v>
      </c>
      <c r="E27">
        <v>50.788109146109271</v>
      </c>
      <c r="F27">
        <v>50.189725475875562</v>
      </c>
      <c r="G27">
        <v>49.370221387757852</v>
      </c>
      <c r="H27">
        <v>48.413867314295189</v>
      </c>
      <c r="I27">
        <v>47.447927698535487</v>
      </c>
      <c r="J27">
        <v>46.548071706121092</v>
      </c>
      <c r="K27">
        <v>45.697392193557157</v>
      </c>
      <c r="L27">
        <v>44.929443037705589</v>
      </c>
      <c r="M27">
        <v>44.222460084619499</v>
      </c>
      <c r="N27">
        <v>43.567758920124447</v>
      </c>
      <c r="O27">
        <v>42.944878040900541</v>
      </c>
      <c r="P27">
        <v>42.369182962352433</v>
      </c>
      <c r="Q27">
        <v>41.827227101253897</v>
      </c>
      <c r="R27">
        <v>41.2939048105493</v>
      </c>
      <c r="S27">
        <v>40.804051694395092</v>
      </c>
      <c r="T27">
        <v>40.374725485950208</v>
      </c>
      <c r="U27">
        <v>39.992607658394647</v>
      </c>
      <c r="V27">
        <v>39.63598102799682</v>
      </c>
      <c r="W27">
        <v>39.281223064014164</v>
      </c>
      <c r="X27">
        <v>38.931822048745772</v>
      </c>
      <c r="Y27">
        <v>38.573112610007961</v>
      </c>
      <c r="Z27">
        <v>38.218840436072519</v>
      </c>
      <c r="AA27">
        <v>37.883959520943257</v>
      </c>
      <c r="AB27">
        <v>37.560992086438539</v>
      </c>
      <c r="AC27">
        <v>-1.3800344185755259E-2</v>
      </c>
    </row>
    <row r="29" spans="1:29" x14ac:dyDescent="0.45">
      <c r="B29" t="s">
        <v>2461</v>
      </c>
    </row>
    <row r="30" spans="1:29" x14ac:dyDescent="0.45">
      <c r="B30" t="s">
        <v>2510</v>
      </c>
    </row>
    <row r="31" spans="1:29" x14ac:dyDescent="0.45">
      <c r="A31" t="s">
        <v>2511</v>
      </c>
      <c r="B31" t="s">
        <v>2512</v>
      </c>
      <c r="C31">
        <v>0.59498688</v>
      </c>
      <c r="D31">
        <v>0.56559097599999997</v>
      </c>
      <c r="E31">
        <v>0.56616966400000002</v>
      </c>
      <c r="F31">
        <v>0.56694950399999999</v>
      </c>
      <c r="G31">
        <v>0.56581657600000002</v>
      </c>
      <c r="H31">
        <v>0.56227513600000001</v>
      </c>
      <c r="I31">
        <v>0.55764070399999999</v>
      </c>
      <c r="J31">
        <v>0.55301900800000003</v>
      </c>
      <c r="K31">
        <v>0.54866521599999996</v>
      </c>
      <c r="L31">
        <v>0.54410111999999999</v>
      </c>
      <c r="M31">
        <v>0.53962681599999995</v>
      </c>
      <c r="N31">
        <v>0.53538271999999998</v>
      </c>
      <c r="O31">
        <v>0.53084921600000001</v>
      </c>
      <c r="P31">
        <v>0.52652697599999998</v>
      </c>
      <c r="Q31">
        <v>0.52204547199999995</v>
      </c>
      <c r="R31">
        <v>0.51751654400000002</v>
      </c>
      <c r="S31">
        <v>0.51278175999999998</v>
      </c>
      <c r="T31">
        <v>0.50850748800000001</v>
      </c>
      <c r="U31">
        <v>0.50438809600000001</v>
      </c>
      <c r="V31">
        <v>0.50002620799999997</v>
      </c>
      <c r="W31">
        <v>0.49595881600000002</v>
      </c>
      <c r="X31">
        <v>0.49153852799999997</v>
      </c>
      <c r="Y31">
        <v>0.486659552</v>
      </c>
      <c r="Z31">
        <v>0.481831232</v>
      </c>
      <c r="AA31">
        <v>0.47719270400000002</v>
      </c>
      <c r="AB31">
        <v>0.47245900800000001</v>
      </c>
      <c r="AC31">
        <v>-9.1811283734718474E-3</v>
      </c>
    </row>
    <row r="32" spans="1:29" x14ac:dyDescent="0.45">
      <c r="A32" t="s">
        <v>2513</v>
      </c>
      <c r="B32" t="s">
        <v>2514</v>
      </c>
      <c r="C32">
        <v>0.92457420800000001</v>
      </c>
      <c r="D32">
        <v>0.98388595199999995</v>
      </c>
      <c r="E32">
        <v>0.99778188800000001</v>
      </c>
      <c r="F32">
        <v>1.011565056</v>
      </c>
      <c r="G32">
        <v>1.022745472</v>
      </c>
      <c r="H32">
        <v>1.0299940480000001</v>
      </c>
      <c r="I32">
        <v>1.0365953919999999</v>
      </c>
      <c r="J32">
        <v>1.0441312</v>
      </c>
      <c r="K32">
        <v>1.0523892480000001</v>
      </c>
      <c r="L32">
        <v>1.0619888639999999</v>
      </c>
      <c r="M32">
        <v>1.07257216</v>
      </c>
      <c r="N32">
        <v>1.084401792</v>
      </c>
      <c r="O32">
        <v>1.097000448</v>
      </c>
      <c r="P32">
        <v>1.1101196799999999</v>
      </c>
      <c r="Q32">
        <v>1.1235953919999999</v>
      </c>
      <c r="R32">
        <v>1.1379557119999999</v>
      </c>
      <c r="S32">
        <v>1.1531386880000001</v>
      </c>
      <c r="T32">
        <v>1.17016448</v>
      </c>
      <c r="U32">
        <v>1.188274432</v>
      </c>
      <c r="V32">
        <v>1.206452096</v>
      </c>
      <c r="W32">
        <v>1.2252771840000001</v>
      </c>
      <c r="X32">
        <v>1.243111168</v>
      </c>
      <c r="Y32">
        <v>1.260267392</v>
      </c>
      <c r="Z32">
        <v>1.2769024</v>
      </c>
      <c r="AA32">
        <v>1.2942576640000001</v>
      </c>
      <c r="AB32">
        <v>1.3113802240000001</v>
      </c>
      <c r="AC32">
        <v>1.4078264455456461E-2</v>
      </c>
    </row>
    <row r="33" spans="1:29" x14ac:dyDescent="0.45">
      <c r="A33" t="s">
        <v>2515</v>
      </c>
      <c r="B33" t="s">
        <v>2516</v>
      </c>
      <c r="C33">
        <v>0.45252947199999999</v>
      </c>
      <c r="D33">
        <v>0.44482867199999998</v>
      </c>
      <c r="E33">
        <v>0.43924083200000003</v>
      </c>
      <c r="F33">
        <v>0.43466864</v>
      </c>
      <c r="G33">
        <v>0.41793100799999999</v>
      </c>
      <c r="H33">
        <v>0.39681289600000003</v>
      </c>
      <c r="I33">
        <v>0.37454972800000003</v>
      </c>
      <c r="J33">
        <v>0.35388873599999998</v>
      </c>
      <c r="K33">
        <v>0.334859456</v>
      </c>
      <c r="L33">
        <v>0.31755040000000001</v>
      </c>
      <c r="M33">
        <v>0.30188588799999999</v>
      </c>
      <c r="N33">
        <v>0.28806668800000002</v>
      </c>
      <c r="O33">
        <v>0.27600831999999997</v>
      </c>
      <c r="P33">
        <v>0.26572577600000002</v>
      </c>
      <c r="Q33">
        <v>0.25716776000000002</v>
      </c>
      <c r="R33">
        <v>0.25033508799999998</v>
      </c>
      <c r="S33">
        <v>0.24518048000000001</v>
      </c>
      <c r="T33">
        <v>0.241830352</v>
      </c>
      <c r="U33">
        <v>0.24026312</v>
      </c>
      <c r="V33">
        <v>0.23862364799999999</v>
      </c>
      <c r="W33">
        <v>0.23698448</v>
      </c>
      <c r="X33">
        <v>0.23524223999999999</v>
      </c>
      <c r="Y33">
        <v>0.23340683200000001</v>
      </c>
      <c r="Z33">
        <v>0.23158044799999999</v>
      </c>
      <c r="AA33">
        <v>0.22998131199999999</v>
      </c>
      <c r="AB33">
        <v>0.22855848000000001</v>
      </c>
      <c r="AC33">
        <v>-2.6952550110391989E-2</v>
      </c>
    </row>
    <row r="34" spans="1:29" x14ac:dyDescent="0.45">
      <c r="A34" t="s">
        <v>2517</v>
      </c>
      <c r="B34" t="s">
        <v>2518</v>
      </c>
      <c r="C34">
        <v>0.34956310400000001</v>
      </c>
      <c r="D34">
        <v>0.34852729599999999</v>
      </c>
      <c r="E34">
        <v>0.34743289599999999</v>
      </c>
      <c r="F34">
        <v>0.34620860799999997</v>
      </c>
      <c r="G34">
        <v>0.34525900799999998</v>
      </c>
      <c r="H34">
        <v>0.34202352000000003</v>
      </c>
      <c r="I34">
        <v>0.33902982399999998</v>
      </c>
      <c r="J34">
        <v>0.33630428800000001</v>
      </c>
      <c r="K34">
        <v>0.33379897600000002</v>
      </c>
      <c r="L34">
        <v>0.33146774400000001</v>
      </c>
      <c r="M34">
        <v>0.32936582399999997</v>
      </c>
      <c r="N34">
        <v>0.327653056</v>
      </c>
      <c r="O34">
        <v>0.32634323199999998</v>
      </c>
      <c r="P34">
        <v>0.32546067200000001</v>
      </c>
      <c r="Q34">
        <v>0.32498998400000001</v>
      </c>
      <c r="R34">
        <v>0.32493840000000002</v>
      </c>
      <c r="S34">
        <v>0.32529401600000002</v>
      </c>
      <c r="T34">
        <v>0.32607193600000001</v>
      </c>
      <c r="U34">
        <v>0.32728083200000002</v>
      </c>
      <c r="V34">
        <v>0.32891251199999999</v>
      </c>
      <c r="W34">
        <v>0.33105030400000002</v>
      </c>
      <c r="X34">
        <v>0.33371427199999998</v>
      </c>
      <c r="Y34">
        <v>0.33686508799999998</v>
      </c>
      <c r="Z34">
        <v>0.34000607999999999</v>
      </c>
      <c r="AA34">
        <v>0.34312889600000002</v>
      </c>
      <c r="AB34">
        <v>0.34622892799999999</v>
      </c>
      <c r="AC34">
        <v>-3.832826310995463E-4</v>
      </c>
    </row>
    <row r="35" spans="1:29" x14ac:dyDescent="0.45">
      <c r="A35" t="s">
        <v>2519</v>
      </c>
      <c r="B35" t="s">
        <v>2520</v>
      </c>
      <c r="C35">
        <v>6.8362144E-2</v>
      </c>
      <c r="D35">
        <v>6.9241520000000001E-2</v>
      </c>
      <c r="E35">
        <v>7.0149848000000001E-2</v>
      </c>
      <c r="F35">
        <v>7.1052935999999997E-2</v>
      </c>
      <c r="G35">
        <v>7.1960287999999997E-2</v>
      </c>
      <c r="H35">
        <v>7.2859967999999997E-2</v>
      </c>
      <c r="I35">
        <v>7.3769767999999999E-2</v>
      </c>
      <c r="J35">
        <v>7.4686208000000004E-2</v>
      </c>
      <c r="K35">
        <v>7.5595159999999995E-2</v>
      </c>
      <c r="L35">
        <v>7.6502487999999993E-2</v>
      </c>
      <c r="M35">
        <v>7.7414912000000002E-2</v>
      </c>
      <c r="N35">
        <v>7.8332048000000001E-2</v>
      </c>
      <c r="O35">
        <v>7.9236280000000006E-2</v>
      </c>
      <c r="P35">
        <v>8.0074199999999998E-2</v>
      </c>
      <c r="Q35">
        <v>8.0822688000000004E-2</v>
      </c>
      <c r="R35">
        <v>8.1485935999999995E-2</v>
      </c>
      <c r="S35">
        <v>8.2051832000000005E-2</v>
      </c>
      <c r="T35">
        <v>8.2524719999999996E-2</v>
      </c>
      <c r="U35">
        <v>8.2964759999999999E-2</v>
      </c>
      <c r="V35">
        <v>8.3381144000000004E-2</v>
      </c>
      <c r="W35">
        <v>8.3789119999999995E-2</v>
      </c>
      <c r="X35">
        <v>8.4191208000000003E-2</v>
      </c>
      <c r="Y35">
        <v>8.4583848000000003E-2</v>
      </c>
      <c r="Z35">
        <v>8.4967135999999999E-2</v>
      </c>
      <c r="AA35">
        <v>8.5341799999999995E-2</v>
      </c>
      <c r="AB35">
        <v>8.5708984000000002E-2</v>
      </c>
      <c r="AC35">
        <v>9.0865716961421317E-3</v>
      </c>
    </row>
    <row r="36" spans="1:29" x14ac:dyDescent="0.45">
      <c r="A36" t="s">
        <v>2521</v>
      </c>
      <c r="B36" t="s">
        <v>2522</v>
      </c>
      <c r="C36">
        <v>0.19033324800000001</v>
      </c>
      <c r="D36">
        <v>0.19084062399999999</v>
      </c>
      <c r="E36">
        <v>0.19180299200000001</v>
      </c>
      <c r="F36">
        <v>0.193075936</v>
      </c>
      <c r="G36">
        <v>0.193740784</v>
      </c>
      <c r="H36">
        <v>0.193360848</v>
      </c>
      <c r="I36">
        <v>0.19236134399999999</v>
      </c>
      <c r="J36">
        <v>0.191028752</v>
      </c>
      <c r="K36">
        <v>0.19012039999999999</v>
      </c>
      <c r="L36">
        <v>0.18960015999999999</v>
      </c>
      <c r="M36">
        <v>0.18948328</v>
      </c>
      <c r="N36">
        <v>0.189817232</v>
      </c>
      <c r="O36">
        <v>0.19051815999999999</v>
      </c>
      <c r="P36">
        <v>0.19170820799999999</v>
      </c>
      <c r="Q36">
        <v>0.19336033599999999</v>
      </c>
      <c r="R36">
        <v>0.19552905600000001</v>
      </c>
      <c r="S36">
        <v>0.19830171199999999</v>
      </c>
      <c r="T36">
        <v>0.20107030400000001</v>
      </c>
      <c r="U36">
        <v>0.20391007999999999</v>
      </c>
      <c r="V36">
        <v>0.206757632</v>
      </c>
      <c r="W36">
        <v>0.209611248</v>
      </c>
      <c r="X36">
        <v>0.21232783999999999</v>
      </c>
      <c r="Y36">
        <v>0.214859312</v>
      </c>
      <c r="Z36">
        <v>0.217260656</v>
      </c>
      <c r="AA36">
        <v>0.21971025599999999</v>
      </c>
      <c r="AB36">
        <v>0.22207265600000001</v>
      </c>
      <c r="AC36">
        <v>6.1881936436216636E-3</v>
      </c>
    </row>
    <row r="37" spans="1:29" x14ac:dyDescent="0.45">
      <c r="A37" t="s">
        <v>2523</v>
      </c>
      <c r="B37" t="s">
        <v>2524</v>
      </c>
      <c r="C37">
        <v>7.9277760000000003E-2</v>
      </c>
      <c r="D37">
        <v>7.9241023999999993E-2</v>
      </c>
      <c r="E37">
        <v>7.9217047999999998E-2</v>
      </c>
      <c r="F37">
        <v>7.9159960000000001E-2</v>
      </c>
      <c r="G37">
        <v>7.9073071999999994E-2</v>
      </c>
      <c r="H37">
        <v>7.8570111999999998E-2</v>
      </c>
      <c r="I37">
        <v>7.8006560000000003E-2</v>
      </c>
      <c r="J37">
        <v>7.7403968000000004E-2</v>
      </c>
      <c r="K37">
        <v>7.6822632000000002E-2</v>
      </c>
      <c r="L37">
        <v>7.6256599999999994E-2</v>
      </c>
      <c r="M37">
        <v>7.5716071999999995E-2</v>
      </c>
      <c r="N37">
        <v>7.5195239999999997E-2</v>
      </c>
      <c r="O37">
        <v>7.4692744000000005E-2</v>
      </c>
      <c r="P37">
        <v>7.4213528000000001E-2</v>
      </c>
      <c r="Q37">
        <v>7.3757199999999995E-2</v>
      </c>
      <c r="R37">
        <v>7.3328264000000004E-2</v>
      </c>
      <c r="S37">
        <v>7.2936855999999994E-2</v>
      </c>
      <c r="T37">
        <v>7.2586367999999998E-2</v>
      </c>
      <c r="U37">
        <v>7.2277752000000001E-2</v>
      </c>
      <c r="V37">
        <v>7.2012376000000003E-2</v>
      </c>
      <c r="W37">
        <v>7.1801504000000002E-2</v>
      </c>
      <c r="X37">
        <v>7.1659855999999994E-2</v>
      </c>
      <c r="Y37">
        <v>7.1579335999999993E-2</v>
      </c>
      <c r="Z37">
        <v>7.1571248000000004E-2</v>
      </c>
      <c r="AA37">
        <v>7.1643271999999994E-2</v>
      </c>
      <c r="AB37">
        <v>7.1800048000000005E-2</v>
      </c>
      <c r="AC37">
        <v>-3.9550577058538039E-3</v>
      </c>
    </row>
    <row r="38" spans="1:29" x14ac:dyDescent="0.45">
      <c r="A38" t="s">
        <v>2525</v>
      </c>
      <c r="B38" t="s">
        <v>2526</v>
      </c>
      <c r="C38">
        <v>0.18284710400000001</v>
      </c>
      <c r="D38">
        <v>0.182215504</v>
      </c>
      <c r="E38">
        <v>0.183569232</v>
      </c>
      <c r="F38">
        <v>0.185640272</v>
      </c>
      <c r="G38">
        <v>0.18743944000000001</v>
      </c>
      <c r="H38">
        <v>0.18699436799999999</v>
      </c>
      <c r="I38">
        <v>0.186424016</v>
      </c>
      <c r="J38">
        <v>0.18626144</v>
      </c>
      <c r="K38">
        <v>0.186404352</v>
      </c>
      <c r="L38">
        <v>0.18674231999999999</v>
      </c>
      <c r="M38">
        <v>0.18721537599999999</v>
      </c>
      <c r="N38">
        <v>0.187754368</v>
      </c>
      <c r="O38">
        <v>0.188226384</v>
      </c>
      <c r="P38">
        <v>0.188723216</v>
      </c>
      <c r="Q38">
        <v>0.18940014399999999</v>
      </c>
      <c r="R38">
        <v>0.18703504000000001</v>
      </c>
      <c r="S38">
        <v>0.18508912</v>
      </c>
      <c r="T38">
        <v>0.18369095999999999</v>
      </c>
      <c r="U38">
        <v>0.182845696</v>
      </c>
      <c r="V38">
        <v>0.18247695999999999</v>
      </c>
      <c r="W38">
        <v>0.182383504</v>
      </c>
      <c r="X38">
        <v>0.182309728</v>
      </c>
      <c r="Y38">
        <v>0.182201904</v>
      </c>
      <c r="Z38">
        <v>0.182192464</v>
      </c>
      <c r="AA38">
        <v>0.182375024</v>
      </c>
      <c r="AB38">
        <v>0.18258764799999999</v>
      </c>
      <c r="AC38">
        <v>-5.6797811119779773E-5</v>
      </c>
    </row>
    <row r="39" spans="1:29" x14ac:dyDescent="0.45">
      <c r="A39" t="s">
        <v>2527</v>
      </c>
      <c r="B39" t="s">
        <v>2528</v>
      </c>
      <c r="C39">
        <v>4.0723188E-2</v>
      </c>
      <c r="D39">
        <v>3.9741315999999999E-2</v>
      </c>
      <c r="E39">
        <v>3.8750288000000001E-2</v>
      </c>
      <c r="F39">
        <v>3.7582836000000001E-2</v>
      </c>
      <c r="G39">
        <v>3.638516E-2</v>
      </c>
      <c r="H39">
        <v>3.4992292000000001E-2</v>
      </c>
      <c r="I39">
        <v>3.3539880000000001E-2</v>
      </c>
      <c r="J39">
        <v>3.2000177999999997E-2</v>
      </c>
      <c r="K39">
        <v>3.0664894000000002E-2</v>
      </c>
      <c r="L39">
        <v>2.9534002E-2</v>
      </c>
      <c r="M39">
        <v>2.8609286000000001E-2</v>
      </c>
      <c r="N39">
        <v>2.7903582E-2</v>
      </c>
      <c r="O39">
        <v>2.7428560000000001E-2</v>
      </c>
      <c r="P39">
        <v>2.7209850000000001E-2</v>
      </c>
      <c r="Q39">
        <v>2.7260937999999998E-2</v>
      </c>
      <c r="R39">
        <v>2.7310738000000001E-2</v>
      </c>
      <c r="S39">
        <v>2.7361704000000001E-2</v>
      </c>
      <c r="T39">
        <v>2.7419786000000002E-2</v>
      </c>
      <c r="U39">
        <v>2.7486282000000001E-2</v>
      </c>
      <c r="V39">
        <v>2.7564120000000001E-2</v>
      </c>
      <c r="W39">
        <v>2.7658222E-2</v>
      </c>
      <c r="X39">
        <v>2.7768014000000001E-2</v>
      </c>
      <c r="Y39">
        <v>2.7890496000000001E-2</v>
      </c>
      <c r="Z39">
        <v>2.8023998000000001E-2</v>
      </c>
      <c r="AA39">
        <v>2.8167032000000002E-2</v>
      </c>
      <c r="AB39">
        <v>2.8318728000000001E-2</v>
      </c>
      <c r="AC39">
        <v>-1.442590723214077E-2</v>
      </c>
    </row>
    <row r="40" spans="1:29" x14ac:dyDescent="0.45">
      <c r="A40" t="s">
        <v>2529</v>
      </c>
      <c r="B40" t="s">
        <v>2530</v>
      </c>
      <c r="C40">
        <v>3.7161696000000001E-2</v>
      </c>
      <c r="D40">
        <v>3.8075504000000003E-2</v>
      </c>
      <c r="E40">
        <v>3.8360159999999997E-2</v>
      </c>
      <c r="F40">
        <v>3.8522852000000003E-2</v>
      </c>
      <c r="G40">
        <v>3.8637291999999997E-2</v>
      </c>
      <c r="H40">
        <v>3.870258E-2</v>
      </c>
      <c r="I40">
        <v>3.8719692E-2</v>
      </c>
      <c r="J40">
        <v>3.8688536000000003E-2</v>
      </c>
      <c r="K40">
        <v>3.8734320000000003E-2</v>
      </c>
      <c r="L40">
        <v>3.8861E-2</v>
      </c>
      <c r="M40">
        <v>3.9070651999999997E-2</v>
      </c>
      <c r="N40">
        <v>3.9370936000000002E-2</v>
      </c>
      <c r="O40">
        <v>3.9763699999999999E-2</v>
      </c>
      <c r="P40">
        <v>4.0262112000000003E-2</v>
      </c>
      <c r="Q40">
        <v>4.0871616E-2</v>
      </c>
      <c r="R40">
        <v>4.1476607999999998E-2</v>
      </c>
      <c r="S40">
        <v>4.2075632000000002E-2</v>
      </c>
      <c r="T40">
        <v>4.2674256000000001E-2</v>
      </c>
      <c r="U40">
        <v>4.3273180000000001E-2</v>
      </c>
      <c r="V40">
        <v>4.3875648000000003E-2</v>
      </c>
      <c r="W40">
        <v>4.4488423999999999E-2</v>
      </c>
      <c r="X40">
        <v>4.5111343999999998E-2</v>
      </c>
      <c r="Y40">
        <v>4.5741499999999997E-2</v>
      </c>
      <c r="Z40">
        <v>4.6378655999999997E-2</v>
      </c>
      <c r="AA40">
        <v>4.7023391999999997E-2</v>
      </c>
      <c r="AB40">
        <v>4.7675936000000002E-2</v>
      </c>
      <c r="AC40">
        <v>1.001575448740288E-2</v>
      </c>
    </row>
    <row r="41" spans="1:29" x14ac:dyDescent="0.45">
      <c r="A41" t="s">
        <v>2531</v>
      </c>
      <c r="B41" t="s">
        <v>2532</v>
      </c>
      <c r="C41">
        <v>0.12483857600000001</v>
      </c>
      <c r="D41">
        <v>0.122177168</v>
      </c>
      <c r="E41">
        <v>0.119963032</v>
      </c>
      <c r="F41">
        <v>0.11808790399999999</v>
      </c>
      <c r="G41">
        <v>0.11609736800000001</v>
      </c>
      <c r="H41">
        <v>0.11380596</v>
      </c>
      <c r="I41">
        <v>0.111515896</v>
      </c>
      <c r="J41">
        <v>0.109399336</v>
      </c>
      <c r="K41">
        <v>0.107488504</v>
      </c>
      <c r="L41">
        <v>0.105734648</v>
      </c>
      <c r="M41">
        <v>0.10414446400000001</v>
      </c>
      <c r="N41">
        <v>0.102719456</v>
      </c>
      <c r="O41">
        <v>0.10141056</v>
      </c>
      <c r="P41">
        <v>0.10027256</v>
      </c>
      <c r="Q41">
        <v>9.9267408000000001E-2</v>
      </c>
      <c r="R41">
        <v>9.8397992000000004E-2</v>
      </c>
      <c r="S41">
        <v>9.7693543999999993E-2</v>
      </c>
      <c r="T41">
        <v>9.7154119999999997E-2</v>
      </c>
      <c r="U41">
        <v>9.6815248000000007E-2</v>
      </c>
      <c r="V41">
        <v>9.6643400000000004E-2</v>
      </c>
      <c r="W41">
        <v>9.6637704000000005E-2</v>
      </c>
      <c r="X41">
        <v>9.6759144000000005E-2</v>
      </c>
      <c r="Y41">
        <v>9.6902584E-2</v>
      </c>
      <c r="Z41">
        <v>9.7108184E-2</v>
      </c>
      <c r="AA41">
        <v>9.7404288000000006E-2</v>
      </c>
      <c r="AB41">
        <v>9.7757631999999997E-2</v>
      </c>
      <c r="AC41">
        <v>-9.7335290819186016E-3</v>
      </c>
    </row>
    <row r="42" spans="1:29" x14ac:dyDescent="0.45">
      <c r="A42" t="s">
        <v>2533</v>
      </c>
      <c r="B42" t="s">
        <v>2534</v>
      </c>
      <c r="C42">
        <v>9.7011752000000007E-2</v>
      </c>
      <c r="D42">
        <v>9.5323727999999996E-2</v>
      </c>
      <c r="E42">
        <v>9.3864928E-2</v>
      </c>
      <c r="F42">
        <v>9.2523648E-2</v>
      </c>
      <c r="G42">
        <v>9.0934360000000006E-2</v>
      </c>
      <c r="H42">
        <v>8.8982368000000006E-2</v>
      </c>
      <c r="I42">
        <v>8.6906232E-2</v>
      </c>
      <c r="J42">
        <v>8.4864703999999999E-2</v>
      </c>
      <c r="K42">
        <v>8.2885327999999994E-2</v>
      </c>
      <c r="L42">
        <v>8.0946472000000005E-2</v>
      </c>
      <c r="M42">
        <v>7.9061928000000004E-2</v>
      </c>
      <c r="N42">
        <v>7.7250440000000004E-2</v>
      </c>
      <c r="O42">
        <v>7.5483776000000002E-2</v>
      </c>
      <c r="P42">
        <v>7.3799192E-2</v>
      </c>
      <c r="Q42">
        <v>7.2188823999999999E-2</v>
      </c>
      <c r="R42">
        <v>7.0666976000000006E-2</v>
      </c>
      <c r="S42">
        <v>6.9257791999999999E-2</v>
      </c>
      <c r="T42">
        <v>6.7990159999999994E-2</v>
      </c>
      <c r="U42">
        <v>6.6878571999999997E-2</v>
      </c>
      <c r="V42">
        <v>6.5919443999999994E-2</v>
      </c>
      <c r="W42">
        <v>6.5113632000000005E-2</v>
      </c>
      <c r="X42">
        <v>6.4456327999999993E-2</v>
      </c>
      <c r="Y42">
        <v>6.3892571999999995E-2</v>
      </c>
      <c r="Z42">
        <v>6.3458587999999996E-2</v>
      </c>
      <c r="AA42">
        <v>6.3206232000000001E-2</v>
      </c>
      <c r="AB42">
        <v>6.3082444000000001E-2</v>
      </c>
      <c r="AC42">
        <v>-1.7068243354986471E-2</v>
      </c>
    </row>
    <row r="43" spans="1:29" x14ac:dyDescent="0.45">
      <c r="A43" t="s">
        <v>2535</v>
      </c>
      <c r="B43" t="s">
        <v>2536</v>
      </c>
      <c r="C43">
        <v>0.15743579199999999</v>
      </c>
      <c r="D43">
        <v>0.15289734399999999</v>
      </c>
      <c r="E43">
        <v>0.15377766400000001</v>
      </c>
      <c r="F43">
        <v>0.154119168</v>
      </c>
      <c r="G43">
        <v>0.15401436800000001</v>
      </c>
      <c r="H43">
        <v>0.15365110400000001</v>
      </c>
      <c r="I43">
        <v>0.15306988799999999</v>
      </c>
      <c r="J43">
        <v>0.15265783999999999</v>
      </c>
      <c r="K43">
        <v>0.152172368</v>
      </c>
      <c r="L43">
        <v>0.15165830399999999</v>
      </c>
      <c r="M43">
        <v>0.15102332800000001</v>
      </c>
      <c r="N43">
        <v>0.15022961600000001</v>
      </c>
      <c r="O43">
        <v>0.14910772799999999</v>
      </c>
      <c r="P43">
        <v>0.147685712</v>
      </c>
      <c r="Q43">
        <v>0.145907232</v>
      </c>
      <c r="R43">
        <v>0.14382793599999999</v>
      </c>
      <c r="S43">
        <v>0.14144376</v>
      </c>
      <c r="T43">
        <v>0.13901844799999999</v>
      </c>
      <c r="U43">
        <v>0.13644356799999999</v>
      </c>
      <c r="V43">
        <v>0.133819296</v>
      </c>
      <c r="W43">
        <v>0.13125719199999999</v>
      </c>
      <c r="X43">
        <v>0.12870858399999999</v>
      </c>
      <c r="Y43">
        <v>0.12613221599999999</v>
      </c>
      <c r="Z43">
        <v>0.12373096</v>
      </c>
      <c r="AA43">
        <v>0.12151582399999999</v>
      </c>
      <c r="AB43">
        <v>0.119520032</v>
      </c>
      <c r="AC43">
        <v>-1.096083609828913E-2</v>
      </c>
    </row>
    <row r="44" spans="1:29" x14ac:dyDescent="0.45">
      <c r="A44" t="s">
        <v>2537</v>
      </c>
      <c r="B44" t="s">
        <v>2538</v>
      </c>
      <c r="C44">
        <v>2.031976448</v>
      </c>
      <c r="D44">
        <v>2.049780352</v>
      </c>
      <c r="E44">
        <v>1.951656448</v>
      </c>
      <c r="F44">
        <v>1.9885809919999999</v>
      </c>
      <c r="G44">
        <v>2.0226928640000001</v>
      </c>
      <c r="H44">
        <v>2.05212416</v>
      </c>
      <c r="I44">
        <v>2.0794380800000001</v>
      </c>
      <c r="J44">
        <v>2.1075018239999999</v>
      </c>
      <c r="K44">
        <v>2.136621184</v>
      </c>
      <c r="L44">
        <v>2.16900352</v>
      </c>
      <c r="M44">
        <v>2.2028142079999999</v>
      </c>
      <c r="N44">
        <v>2.2369771520000001</v>
      </c>
      <c r="O44">
        <v>2.2721592319999999</v>
      </c>
      <c r="P44">
        <v>2.3081410560000002</v>
      </c>
      <c r="Q44">
        <v>2.3438041599999999</v>
      </c>
      <c r="R44">
        <v>2.375345152</v>
      </c>
      <c r="S44">
        <v>2.4092917759999999</v>
      </c>
      <c r="T44">
        <v>2.4448616959999998</v>
      </c>
      <c r="U44">
        <v>2.4824565760000001</v>
      </c>
      <c r="V44">
        <v>2.5210204159999998</v>
      </c>
      <c r="W44">
        <v>2.5556628479999999</v>
      </c>
      <c r="X44">
        <v>2.5940464639999998</v>
      </c>
      <c r="Y44">
        <v>2.6318520319999998</v>
      </c>
      <c r="Z44">
        <v>2.6698111999999998</v>
      </c>
      <c r="AA44">
        <v>2.7089420799999999</v>
      </c>
      <c r="AB44">
        <v>2.7488279040000001</v>
      </c>
      <c r="AC44">
        <v>1.2159965044791219E-2</v>
      </c>
    </row>
    <row r="45" spans="1:29" x14ac:dyDescent="0.45">
      <c r="A45" t="s">
        <v>2539</v>
      </c>
      <c r="B45" t="s">
        <v>2540</v>
      </c>
      <c r="C45">
        <v>5.3316213720000007</v>
      </c>
      <c r="D45">
        <v>5.3623669799999991</v>
      </c>
      <c r="E45">
        <v>5.2717369199999986</v>
      </c>
      <c r="F45">
        <v>5.3177383119999986</v>
      </c>
      <c r="G45">
        <v>5.3427270600000014</v>
      </c>
      <c r="H45">
        <v>5.3451493600000006</v>
      </c>
      <c r="I45">
        <v>5.3415670039999998</v>
      </c>
      <c r="J45">
        <v>5.3418360180000004</v>
      </c>
      <c r="K45">
        <v>5.347222038</v>
      </c>
      <c r="L45">
        <v>5.3599476419999998</v>
      </c>
      <c r="M45">
        <v>5.3780041940000007</v>
      </c>
      <c r="N45">
        <v>5.4010543260000006</v>
      </c>
      <c r="O45">
        <v>5.4282283400000004</v>
      </c>
      <c r="P45">
        <v>5.4599227380000013</v>
      </c>
      <c r="Q45">
        <v>5.4944391539999993</v>
      </c>
      <c r="R45">
        <v>5.525149442</v>
      </c>
      <c r="S45">
        <v>5.5618986719999999</v>
      </c>
      <c r="T45">
        <v>5.6055650739999994</v>
      </c>
      <c r="U45">
        <v>5.6555581939999993</v>
      </c>
      <c r="V45">
        <v>5.7074848999999999</v>
      </c>
      <c r="W45">
        <v>5.7576741820000006</v>
      </c>
      <c r="X45">
        <v>5.810944718</v>
      </c>
      <c r="Y45">
        <v>5.8628346639999993</v>
      </c>
      <c r="Z45">
        <v>5.9148232500000004</v>
      </c>
      <c r="AA45">
        <v>5.9698897759999996</v>
      </c>
      <c r="AB45">
        <v>6.0259786520000009</v>
      </c>
      <c r="AC45">
        <v>4.9089901546321979E-3</v>
      </c>
    </row>
    <row r="46" spans="1:29" x14ac:dyDescent="0.45">
      <c r="A46" t="s">
        <v>2541</v>
      </c>
      <c r="B46" t="s">
        <v>2542</v>
      </c>
      <c r="C46">
        <v>7.0134922862052917E-2</v>
      </c>
      <c r="D46">
        <v>9.1486945748329163E-2</v>
      </c>
      <c r="E46">
        <v>0.1193008199334145</v>
      </c>
      <c r="F46">
        <v>0.15019077062606809</v>
      </c>
      <c r="G46">
        <v>0.18050052225589749</v>
      </c>
      <c r="H46">
        <v>0.20873008668422699</v>
      </c>
      <c r="I46">
        <v>0.23311989009380341</v>
      </c>
      <c r="J46">
        <v>0.25518804788589478</v>
      </c>
      <c r="K46">
        <v>0.2769947350025177</v>
      </c>
      <c r="L46">
        <v>0.29923674464225769</v>
      </c>
      <c r="M46">
        <v>0.32176563143730158</v>
      </c>
      <c r="N46">
        <v>0.3443218469619751</v>
      </c>
      <c r="O46">
        <v>0.36690127849578857</v>
      </c>
      <c r="P46">
        <v>0.38932192325592041</v>
      </c>
      <c r="Q46">
        <v>0.41114059090614319</v>
      </c>
      <c r="R46">
        <v>0.43246880173683172</v>
      </c>
      <c r="S46">
        <v>0.4527735710144043</v>
      </c>
      <c r="T46">
        <v>0.47238817811012268</v>
      </c>
      <c r="U46">
        <v>0.49130412936210632</v>
      </c>
      <c r="V46">
        <v>0.50966900587081909</v>
      </c>
      <c r="W46">
        <v>0.52751326560974121</v>
      </c>
      <c r="X46">
        <v>0.54464465379714966</v>
      </c>
      <c r="Y46">
        <v>0.56095385551452637</v>
      </c>
      <c r="Z46">
        <v>0.57689332962036133</v>
      </c>
      <c r="AA46">
        <v>0.59221106767654419</v>
      </c>
      <c r="AB46">
        <v>0.60719448328018188</v>
      </c>
      <c r="AC46">
        <v>9.0173798143279749E-2</v>
      </c>
    </row>
    <row r="47" spans="1:29" x14ac:dyDescent="0.45">
      <c r="A47" t="s">
        <v>2543</v>
      </c>
      <c r="B47" t="s">
        <v>2544</v>
      </c>
      <c r="C47">
        <v>0.18513305485248571</v>
      </c>
      <c r="D47">
        <v>0.19618113338947299</v>
      </c>
      <c r="E47">
        <v>0.20806993544101721</v>
      </c>
      <c r="F47">
        <v>0.2202898561954498</v>
      </c>
      <c r="G47">
        <v>0.23191364109516141</v>
      </c>
      <c r="H47">
        <v>0.24404700100421911</v>
      </c>
      <c r="I47">
        <v>0.25698700547218323</v>
      </c>
      <c r="J47">
        <v>0.26999360322952271</v>
      </c>
      <c r="K47">
        <v>0.28355693817138672</v>
      </c>
      <c r="L47">
        <v>0.29791304469108582</v>
      </c>
      <c r="M47">
        <v>0.31315085291862488</v>
      </c>
      <c r="N47">
        <v>0.32913258671760559</v>
      </c>
      <c r="O47">
        <v>0.3461628258228302</v>
      </c>
      <c r="P47">
        <v>0.36398994922637939</v>
      </c>
      <c r="Q47">
        <v>0.38263362646102911</v>
      </c>
      <c r="R47">
        <v>0.40191635489463812</v>
      </c>
      <c r="S47">
        <v>0.42191752791404719</v>
      </c>
      <c r="T47">
        <v>0.44253355264663702</v>
      </c>
      <c r="U47">
        <v>0.46366396546363831</v>
      </c>
      <c r="V47">
        <v>0.48558345437049871</v>
      </c>
      <c r="W47">
        <v>0.50805890560150146</v>
      </c>
      <c r="X47">
        <v>0.53128021955490112</v>
      </c>
      <c r="Y47">
        <v>0.55522787570953369</v>
      </c>
      <c r="Z47">
        <v>0.58007967472076416</v>
      </c>
      <c r="AA47">
        <v>0.60541057586669922</v>
      </c>
      <c r="AB47">
        <v>0.63153308629989624</v>
      </c>
      <c r="AC47">
        <v>5.0307545821676403E-2</v>
      </c>
    </row>
    <row r="48" spans="1:29" x14ac:dyDescent="0.45">
      <c r="A48" t="s">
        <v>2545</v>
      </c>
      <c r="B48" t="s">
        <v>2546</v>
      </c>
      <c r="C48">
        <v>5.216623240009568</v>
      </c>
      <c r="D48">
        <v>5.2576727923588553</v>
      </c>
      <c r="E48">
        <v>5.1829678044923968</v>
      </c>
      <c r="F48">
        <v>5.2476392264306178</v>
      </c>
      <c r="G48">
        <v>5.2913139411607366</v>
      </c>
      <c r="H48">
        <v>5.3098324456800086</v>
      </c>
      <c r="I48">
        <v>5.31769988862162</v>
      </c>
      <c r="J48">
        <v>5.3270304626563716</v>
      </c>
      <c r="K48">
        <v>5.3406598348311309</v>
      </c>
      <c r="L48">
        <v>5.3612713419511717</v>
      </c>
      <c r="M48">
        <v>5.3866189725186766</v>
      </c>
      <c r="N48">
        <v>5.4162435862443701</v>
      </c>
      <c r="O48">
        <v>5.4489667926729588</v>
      </c>
      <c r="P48">
        <v>5.4852547120295423</v>
      </c>
      <c r="Q48">
        <v>5.5229461184451134</v>
      </c>
      <c r="R48">
        <v>5.5557018888421936</v>
      </c>
      <c r="S48">
        <v>5.5927547151003569</v>
      </c>
      <c r="T48">
        <v>5.6354196994634851</v>
      </c>
      <c r="U48">
        <v>5.6831983578984673</v>
      </c>
      <c r="V48">
        <v>5.7315704515003203</v>
      </c>
      <c r="W48">
        <v>5.7771285420082403</v>
      </c>
      <c r="X48">
        <v>5.8243091522422494</v>
      </c>
      <c r="Y48">
        <v>5.868560643804992</v>
      </c>
      <c r="Z48">
        <v>5.9116369048995976</v>
      </c>
      <c r="AA48">
        <v>5.9566902678098446</v>
      </c>
      <c r="AB48">
        <v>6.0016400489802866</v>
      </c>
      <c r="AC48">
        <v>5.6230491125790483E-3</v>
      </c>
    </row>
    <row r="50" spans="1:29" x14ac:dyDescent="0.45">
      <c r="B50" t="s">
        <v>2547</v>
      </c>
    </row>
    <row r="51" spans="1:29" x14ac:dyDescent="0.45">
      <c r="A51" t="s">
        <v>2548</v>
      </c>
      <c r="B51" t="s">
        <v>2512</v>
      </c>
      <c r="C51">
        <v>3.118029312</v>
      </c>
      <c r="D51">
        <v>2.929732096</v>
      </c>
      <c r="E51">
        <v>3.0470679039999999</v>
      </c>
      <c r="F51">
        <v>3.0283389440000001</v>
      </c>
      <c r="G51">
        <v>2.9919605759999999</v>
      </c>
      <c r="H51">
        <v>2.9475128320000001</v>
      </c>
      <c r="I51">
        <v>2.900389632</v>
      </c>
      <c r="J51">
        <v>2.8565015040000001</v>
      </c>
      <c r="K51">
        <v>2.8131284480000001</v>
      </c>
      <c r="L51">
        <v>2.772394496</v>
      </c>
      <c r="M51">
        <v>2.7328186880000001</v>
      </c>
      <c r="N51">
        <v>2.6957132800000001</v>
      </c>
      <c r="O51">
        <v>2.6580510720000001</v>
      </c>
      <c r="P51">
        <v>2.622240256</v>
      </c>
      <c r="Q51">
        <v>2.5871393280000001</v>
      </c>
      <c r="R51">
        <v>2.5533125120000002</v>
      </c>
      <c r="S51">
        <v>2.519939328</v>
      </c>
      <c r="T51">
        <v>2.4903383039999998</v>
      </c>
      <c r="U51">
        <v>2.4626063359999999</v>
      </c>
      <c r="V51">
        <v>2.4366440960000002</v>
      </c>
      <c r="W51">
        <v>2.412092672</v>
      </c>
      <c r="X51">
        <v>2.3866539520000001</v>
      </c>
      <c r="Y51">
        <v>2.3599639039999998</v>
      </c>
      <c r="Z51">
        <v>2.3336017920000001</v>
      </c>
      <c r="AA51">
        <v>2.30767744</v>
      </c>
      <c r="AB51">
        <v>2.2826296319999999</v>
      </c>
      <c r="AC51">
        <v>-1.2397432551546791E-2</v>
      </c>
    </row>
    <row r="52" spans="1:29" x14ac:dyDescent="0.45">
      <c r="A52" t="s">
        <v>2549</v>
      </c>
      <c r="B52" t="s">
        <v>2514</v>
      </c>
      <c r="C52">
        <v>5.8598367999999998E-2</v>
      </c>
      <c r="D52">
        <v>6.2154656000000003E-2</v>
      </c>
      <c r="E52">
        <v>6.2590276E-2</v>
      </c>
      <c r="F52">
        <v>6.2752188E-2</v>
      </c>
      <c r="G52">
        <v>6.271148E-2</v>
      </c>
      <c r="H52">
        <v>6.2575855999999999E-2</v>
      </c>
      <c r="I52">
        <v>6.2453203999999998E-2</v>
      </c>
      <c r="J52">
        <v>6.2430064E-2</v>
      </c>
      <c r="K52">
        <v>6.2446396000000001E-2</v>
      </c>
      <c r="L52">
        <v>6.2544996000000005E-2</v>
      </c>
      <c r="M52">
        <v>6.2666996000000003E-2</v>
      </c>
      <c r="N52">
        <v>6.2853296000000003E-2</v>
      </c>
      <c r="O52">
        <v>6.3069548000000003E-2</v>
      </c>
      <c r="P52">
        <v>6.3308059999999999E-2</v>
      </c>
      <c r="Q52">
        <v>6.3571704000000007E-2</v>
      </c>
      <c r="R52">
        <v>6.3894231999999995E-2</v>
      </c>
      <c r="S52">
        <v>6.4258975999999995E-2</v>
      </c>
      <c r="T52">
        <v>6.4725168E-2</v>
      </c>
      <c r="U52">
        <v>6.5211411999999996E-2</v>
      </c>
      <c r="V52">
        <v>6.5680888000000007E-2</v>
      </c>
      <c r="W52">
        <v>6.6162064000000007E-2</v>
      </c>
      <c r="X52">
        <v>6.6587255999999997E-2</v>
      </c>
      <c r="Y52">
        <v>6.6993116000000005E-2</v>
      </c>
      <c r="Z52">
        <v>6.7365248000000003E-2</v>
      </c>
      <c r="AA52">
        <v>6.7758520000000003E-2</v>
      </c>
      <c r="AB52">
        <v>6.8145159999999996E-2</v>
      </c>
      <c r="AC52">
        <v>6.055592995690473E-3</v>
      </c>
    </row>
    <row r="53" spans="1:29" x14ac:dyDescent="0.45">
      <c r="A53" t="s">
        <v>2550</v>
      </c>
      <c r="B53" t="s">
        <v>2516</v>
      </c>
      <c r="C53">
        <v>1.0242655359999999</v>
      </c>
      <c r="D53">
        <v>1.0351788799999999</v>
      </c>
      <c r="E53">
        <v>1.0454208</v>
      </c>
      <c r="F53">
        <v>1.05518592</v>
      </c>
      <c r="G53">
        <v>1.053344128</v>
      </c>
      <c r="H53">
        <v>1.049760896</v>
      </c>
      <c r="I53">
        <v>1.0468996479999999</v>
      </c>
      <c r="J53">
        <v>1.045200192</v>
      </c>
      <c r="K53">
        <v>1.042567424</v>
      </c>
      <c r="L53">
        <v>1.041999296</v>
      </c>
      <c r="M53">
        <v>1.04300736</v>
      </c>
      <c r="N53">
        <v>1.0435045119999999</v>
      </c>
      <c r="O53">
        <v>1.043020928</v>
      </c>
      <c r="P53">
        <v>1.0422154239999999</v>
      </c>
      <c r="Q53">
        <v>1.0409104</v>
      </c>
      <c r="R53">
        <v>1.039288896</v>
      </c>
      <c r="S53">
        <v>1.037015552</v>
      </c>
      <c r="T53">
        <v>1.034723072</v>
      </c>
      <c r="U53">
        <v>1.032110976</v>
      </c>
      <c r="V53">
        <v>1.029129344</v>
      </c>
      <c r="W53">
        <v>1.0254291200000001</v>
      </c>
      <c r="X53">
        <v>1.0206722560000001</v>
      </c>
      <c r="Y53">
        <v>1.015128832</v>
      </c>
      <c r="Z53">
        <v>1.009384064</v>
      </c>
      <c r="AA53">
        <v>1.0039144959999999</v>
      </c>
      <c r="AB53">
        <v>0.99913017599999998</v>
      </c>
      <c r="AC53">
        <v>-9.9334662499550586E-4</v>
      </c>
    </row>
    <row r="54" spans="1:29" x14ac:dyDescent="0.45">
      <c r="A54" t="s">
        <v>2551</v>
      </c>
      <c r="B54" t="s">
        <v>2520</v>
      </c>
      <c r="C54">
        <v>7.7267743999999999E-2</v>
      </c>
      <c r="D54">
        <v>7.7256063999999999E-2</v>
      </c>
      <c r="E54">
        <v>7.7246512000000003E-2</v>
      </c>
      <c r="F54">
        <v>7.7222351999999994E-2</v>
      </c>
      <c r="G54">
        <v>7.7195215999999997E-2</v>
      </c>
      <c r="H54">
        <v>7.7166808000000003E-2</v>
      </c>
      <c r="I54">
        <v>7.7124479999999995E-2</v>
      </c>
      <c r="J54">
        <v>7.7065343999999994E-2</v>
      </c>
      <c r="K54">
        <v>7.7005928000000001E-2</v>
      </c>
      <c r="L54">
        <v>7.6969895999999996E-2</v>
      </c>
      <c r="M54">
        <v>7.6962048000000005E-2</v>
      </c>
      <c r="N54">
        <v>7.6990775999999997E-2</v>
      </c>
      <c r="O54">
        <v>7.7060383999999996E-2</v>
      </c>
      <c r="P54">
        <v>7.7216536000000002E-2</v>
      </c>
      <c r="Q54">
        <v>7.7432303999999993E-2</v>
      </c>
      <c r="R54">
        <v>7.7711552000000003E-2</v>
      </c>
      <c r="S54">
        <v>7.8045175999999994E-2</v>
      </c>
      <c r="T54">
        <v>7.8430440000000004E-2</v>
      </c>
      <c r="U54">
        <v>7.8815583999999994E-2</v>
      </c>
      <c r="V54">
        <v>7.9202544E-2</v>
      </c>
      <c r="W54">
        <v>7.9598823999999999E-2</v>
      </c>
      <c r="X54">
        <v>8.0006376000000004E-2</v>
      </c>
      <c r="Y54">
        <v>8.0424376000000006E-2</v>
      </c>
      <c r="Z54">
        <v>8.0854527999999995E-2</v>
      </c>
      <c r="AA54">
        <v>8.1298848000000007E-2</v>
      </c>
      <c r="AB54">
        <v>8.1760856000000007E-2</v>
      </c>
      <c r="AC54">
        <v>2.263438152300123E-3</v>
      </c>
    </row>
    <row r="55" spans="1:29" x14ac:dyDescent="0.45">
      <c r="A55" t="s">
        <v>2552</v>
      </c>
      <c r="B55" t="s">
        <v>2522</v>
      </c>
      <c r="C55">
        <v>3.9573959999999998E-2</v>
      </c>
      <c r="D55">
        <v>4.0283911999999998E-2</v>
      </c>
      <c r="E55">
        <v>4.0920216000000002E-2</v>
      </c>
      <c r="F55">
        <v>4.1544143999999998E-2</v>
      </c>
      <c r="G55">
        <v>4.2108663999999997E-2</v>
      </c>
      <c r="H55">
        <v>4.2643227999999998E-2</v>
      </c>
      <c r="I55">
        <v>4.3186955999999999E-2</v>
      </c>
      <c r="J55">
        <v>4.3759324000000002E-2</v>
      </c>
      <c r="K55">
        <v>4.420806E-2</v>
      </c>
      <c r="L55">
        <v>4.4701355999999998E-2</v>
      </c>
      <c r="M55">
        <v>4.5237623999999997E-2</v>
      </c>
      <c r="N55">
        <v>4.5825655999999999E-2</v>
      </c>
      <c r="O55">
        <v>4.6395935999999999E-2</v>
      </c>
      <c r="P55">
        <v>4.6977848000000003E-2</v>
      </c>
      <c r="Q55">
        <v>4.7561140000000002E-2</v>
      </c>
      <c r="R55">
        <v>4.8145871999999999E-2</v>
      </c>
      <c r="S55">
        <v>4.8723816000000003E-2</v>
      </c>
      <c r="T55">
        <v>4.9351908E-2</v>
      </c>
      <c r="U55">
        <v>5.0014775999999997E-2</v>
      </c>
      <c r="V55">
        <v>5.0706528000000001E-2</v>
      </c>
      <c r="W55">
        <v>5.1405520000000003E-2</v>
      </c>
      <c r="X55">
        <v>5.2087891999999997E-2</v>
      </c>
      <c r="Y55">
        <v>5.2755844000000003E-2</v>
      </c>
      <c r="Z55">
        <v>5.3424048000000002E-2</v>
      </c>
      <c r="AA55">
        <v>5.4099875999999998E-2</v>
      </c>
      <c r="AB55">
        <v>5.4789400000000002E-2</v>
      </c>
      <c r="AC55">
        <v>1.3098054503162929E-2</v>
      </c>
    </row>
    <row r="56" spans="1:29" x14ac:dyDescent="0.45">
      <c r="A56" t="s">
        <v>2553</v>
      </c>
      <c r="B56" t="s">
        <v>2554</v>
      </c>
      <c r="C56">
        <v>0.60834560000000004</v>
      </c>
      <c r="D56">
        <v>0.61166591999999997</v>
      </c>
      <c r="E56">
        <v>0.61394630400000005</v>
      </c>
      <c r="F56">
        <v>0.61501363200000003</v>
      </c>
      <c r="G56">
        <v>0.61462041599999995</v>
      </c>
      <c r="H56">
        <v>0.61321504000000004</v>
      </c>
      <c r="I56">
        <v>0.61157491200000003</v>
      </c>
      <c r="J56">
        <v>0.61024972799999999</v>
      </c>
      <c r="K56">
        <v>0.60843251200000004</v>
      </c>
      <c r="L56">
        <v>0.60708844799999995</v>
      </c>
      <c r="M56">
        <v>0.60590003199999998</v>
      </c>
      <c r="N56">
        <v>0.60509100800000004</v>
      </c>
      <c r="O56">
        <v>0.60413382400000004</v>
      </c>
      <c r="P56">
        <v>0.603321408</v>
      </c>
      <c r="Q56">
        <v>0.60255628800000005</v>
      </c>
      <c r="R56">
        <v>0.60190777600000001</v>
      </c>
      <c r="S56">
        <v>0.60136454399999995</v>
      </c>
      <c r="T56">
        <v>0.60120902399999998</v>
      </c>
      <c r="U56">
        <v>0.60129600000000005</v>
      </c>
      <c r="V56">
        <v>0.60158265600000005</v>
      </c>
      <c r="W56">
        <v>0.60179142399999996</v>
      </c>
      <c r="X56">
        <v>0.60165894399999997</v>
      </c>
      <c r="Y56">
        <v>0.60125036799999998</v>
      </c>
      <c r="Z56">
        <v>0.60075871999999997</v>
      </c>
      <c r="AA56">
        <v>0.60029504</v>
      </c>
      <c r="AB56">
        <v>0.59991673599999995</v>
      </c>
      <c r="AC56">
        <v>-5.5793506734624909E-4</v>
      </c>
    </row>
    <row r="57" spans="1:29" x14ac:dyDescent="0.45">
      <c r="A57" t="s">
        <v>2555</v>
      </c>
      <c r="B57" t="s">
        <v>2556</v>
      </c>
      <c r="C57">
        <v>4.9260802268981934</v>
      </c>
      <c r="D57">
        <v>4.7562723159790039</v>
      </c>
      <c r="E57">
        <v>4.8871927261352539</v>
      </c>
      <c r="F57">
        <v>4.8800573348999023</v>
      </c>
      <c r="G57">
        <v>4.8419408798217773</v>
      </c>
      <c r="H57">
        <v>4.792874813079834</v>
      </c>
      <c r="I57">
        <v>4.7416291236877441</v>
      </c>
      <c r="J57">
        <v>4.6952061653137207</v>
      </c>
      <c r="K57">
        <v>4.6477890014648438</v>
      </c>
      <c r="L57">
        <v>4.6056985855102539</v>
      </c>
      <c r="M57">
        <v>4.5665931701660156</v>
      </c>
      <c r="N57">
        <v>4.5299792289733887</v>
      </c>
      <c r="O57">
        <v>4.491732120513916</v>
      </c>
      <c r="P57">
        <v>4.4552803039550781</v>
      </c>
      <c r="Q57">
        <v>4.4191713333129883</v>
      </c>
      <c r="R57">
        <v>4.3842606544494629</v>
      </c>
      <c r="S57">
        <v>4.3493475914001456</v>
      </c>
      <c r="T57">
        <v>4.3187780380249023</v>
      </c>
      <c r="U57">
        <v>4.2900552749633789</v>
      </c>
      <c r="V57">
        <v>4.2629461288452148</v>
      </c>
      <c r="W57">
        <v>4.2364802360534668</v>
      </c>
      <c r="X57">
        <v>4.2076668739318848</v>
      </c>
      <c r="Y57">
        <v>4.1765165328979492</v>
      </c>
      <c r="Z57">
        <v>4.1453886032104492</v>
      </c>
      <c r="AA57">
        <v>4.1150445938110352</v>
      </c>
      <c r="AB57">
        <v>4.086371898651123</v>
      </c>
      <c r="AC57">
        <v>-7.4475714078754418E-3</v>
      </c>
    </row>
    <row r="59" spans="1:29" x14ac:dyDescent="0.45">
      <c r="B59" t="s">
        <v>2557</v>
      </c>
    </row>
    <row r="60" spans="1:29" x14ac:dyDescent="0.45">
      <c r="A60" t="s">
        <v>2558</v>
      </c>
      <c r="B60" t="s">
        <v>2512</v>
      </c>
      <c r="C60">
        <v>0.42536784</v>
      </c>
      <c r="D60">
        <v>0.409160896</v>
      </c>
      <c r="E60">
        <v>0.40481756800000002</v>
      </c>
      <c r="F60">
        <v>0.39842924800000001</v>
      </c>
      <c r="G60">
        <v>0.39159583999999997</v>
      </c>
      <c r="H60">
        <v>0.38541782400000002</v>
      </c>
      <c r="I60">
        <v>0.37914031999999998</v>
      </c>
      <c r="J60">
        <v>0.37317808000000002</v>
      </c>
      <c r="K60">
        <v>0.367289792</v>
      </c>
      <c r="L60">
        <v>0.36187728000000002</v>
      </c>
      <c r="M60">
        <v>0.35654764799999999</v>
      </c>
      <c r="N60">
        <v>0.35143584</v>
      </c>
      <c r="O60">
        <v>0.34647817600000003</v>
      </c>
      <c r="P60">
        <v>0.34170550399999999</v>
      </c>
      <c r="Q60">
        <v>0.33711088</v>
      </c>
      <c r="R60">
        <v>0.33257625600000001</v>
      </c>
      <c r="S60">
        <v>0.32808076800000002</v>
      </c>
      <c r="T60">
        <v>0.32377766400000002</v>
      </c>
      <c r="U60">
        <v>0.31953401599999998</v>
      </c>
      <c r="V60">
        <v>0.31542748799999998</v>
      </c>
      <c r="W60">
        <v>0.31137142400000001</v>
      </c>
      <c r="X60">
        <v>0.30740188800000001</v>
      </c>
      <c r="Y60">
        <v>0.30341849599999998</v>
      </c>
      <c r="Z60">
        <v>0.299458528</v>
      </c>
      <c r="AA60">
        <v>0.29552342399999998</v>
      </c>
      <c r="AB60">
        <v>0.29172918399999997</v>
      </c>
      <c r="AC60">
        <v>-1.497192455298002E-2</v>
      </c>
    </row>
    <row r="61" spans="1:29" x14ac:dyDescent="0.45">
      <c r="A61" t="s">
        <v>2559</v>
      </c>
      <c r="B61" t="s">
        <v>2516</v>
      </c>
      <c r="C61">
        <v>3.7856924E-2</v>
      </c>
      <c r="D61">
        <v>3.5875452000000002E-2</v>
      </c>
      <c r="E61">
        <v>3.3764559999999999E-2</v>
      </c>
      <c r="F61">
        <v>3.1760318000000003E-2</v>
      </c>
      <c r="G61">
        <v>2.9821963999999999E-2</v>
      </c>
      <c r="H61">
        <v>2.8182556000000001E-2</v>
      </c>
      <c r="I61">
        <v>2.6771066E-2</v>
      </c>
      <c r="J61">
        <v>2.5623322E-2</v>
      </c>
      <c r="K61">
        <v>2.4712479999999998E-2</v>
      </c>
      <c r="L61">
        <v>2.4074603999999999E-2</v>
      </c>
      <c r="M61">
        <v>2.3676277999999999E-2</v>
      </c>
      <c r="N61">
        <v>2.3233988000000001E-2</v>
      </c>
      <c r="O61">
        <v>2.2777892000000001E-2</v>
      </c>
      <c r="P61">
        <v>2.2309217999999999E-2</v>
      </c>
      <c r="Q61">
        <v>2.1833941999999999E-2</v>
      </c>
      <c r="R61">
        <v>2.1354017999999999E-2</v>
      </c>
      <c r="S61">
        <v>2.0862208E-2</v>
      </c>
      <c r="T61">
        <v>2.0367122000000001E-2</v>
      </c>
      <c r="U61">
        <v>1.9869511999999999E-2</v>
      </c>
      <c r="V61">
        <v>1.9371581999999998E-2</v>
      </c>
      <c r="W61">
        <v>1.8869574E-2</v>
      </c>
      <c r="X61">
        <v>1.8372125999999999E-2</v>
      </c>
      <c r="Y61">
        <v>1.7880828000000001E-2</v>
      </c>
      <c r="Z61">
        <v>1.7401414E-2</v>
      </c>
      <c r="AA61">
        <v>1.6940015999999999E-2</v>
      </c>
      <c r="AB61">
        <v>1.6508926E-2</v>
      </c>
      <c r="AC61">
        <v>-3.2651550467683747E-2</v>
      </c>
    </row>
    <row r="62" spans="1:29" x14ac:dyDescent="0.45">
      <c r="A62" t="s">
        <v>2560</v>
      </c>
      <c r="B62" t="s">
        <v>2561</v>
      </c>
      <c r="C62">
        <v>2.605526E-2</v>
      </c>
      <c r="D62">
        <v>2.6323658E-2</v>
      </c>
      <c r="E62">
        <v>2.6369386000000002E-2</v>
      </c>
      <c r="F62">
        <v>2.6309869999999999E-2</v>
      </c>
      <c r="G62">
        <v>2.6205866000000001E-2</v>
      </c>
      <c r="H62">
        <v>2.6145310000000001E-2</v>
      </c>
      <c r="I62">
        <v>2.6071268000000002E-2</v>
      </c>
      <c r="J62">
        <v>2.6010390000000001E-2</v>
      </c>
      <c r="K62">
        <v>2.5942750000000001E-2</v>
      </c>
      <c r="L62">
        <v>2.5899246000000001E-2</v>
      </c>
      <c r="M62">
        <v>2.5848791999999999E-2</v>
      </c>
      <c r="N62">
        <v>2.5802875999999999E-2</v>
      </c>
      <c r="O62">
        <v>2.5762488E-2</v>
      </c>
      <c r="P62">
        <v>2.5723826000000002E-2</v>
      </c>
      <c r="Q62">
        <v>2.5689788000000002E-2</v>
      </c>
      <c r="R62">
        <v>2.5656688E-2</v>
      </c>
      <c r="S62">
        <v>2.5618281999999999E-2</v>
      </c>
      <c r="T62">
        <v>2.5582908000000001E-2</v>
      </c>
      <c r="U62">
        <v>2.5548856000000002E-2</v>
      </c>
      <c r="V62">
        <v>2.5516258E-2</v>
      </c>
      <c r="W62">
        <v>2.5476874E-2</v>
      </c>
      <c r="X62">
        <v>2.5437815999999999E-2</v>
      </c>
      <c r="Y62">
        <v>2.5395692000000001E-2</v>
      </c>
      <c r="Z62">
        <v>2.5351438E-2</v>
      </c>
      <c r="AA62">
        <v>2.5306002000000001E-2</v>
      </c>
      <c r="AB62">
        <v>2.5270761999999999E-2</v>
      </c>
      <c r="AC62">
        <v>-1.2221162838391699E-3</v>
      </c>
    </row>
    <row r="63" spans="1:29" x14ac:dyDescent="0.45">
      <c r="A63" t="s">
        <v>2562</v>
      </c>
      <c r="B63" t="s">
        <v>2556</v>
      </c>
      <c r="C63">
        <v>0.48928001523017878</v>
      </c>
      <c r="D63">
        <v>0.47136002779006958</v>
      </c>
      <c r="E63">
        <v>0.46495157480239868</v>
      </c>
      <c r="F63">
        <v>0.45649954676628107</v>
      </c>
      <c r="G63">
        <v>0.44762369990348821</v>
      </c>
      <c r="H63">
        <v>0.43974563479423517</v>
      </c>
      <c r="I63">
        <v>0.43198266625404358</v>
      </c>
      <c r="J63">
        <v>0.42481181025505071</v>
      </c>
      <c r="K63">
        <v>0.41794514656066889</v>
      </c>
      <c r="L63">
        <v>0.41185116767883301</v>
      </c>
      <c r="M63">
        <v>0.4060727059841156</v>
      </c>
      <c r="N63">
        <v>0.40047276020050049</v>
      </c>
      <c r="O63">
        <v>0.39501944184303278</v>
      </c>
      <c r="P63">
        <v>0.3897416889667511</v>
      </c>
      <c r="Q63">
        <v>0.38464006781578058</v>
      </c>
      <c r="R63">
        <v>0.37959465384483337</v>
      </c>
      <c r="S63">
        <v>0.37457168102264399</v>
      </c>
      <c r="T63">
        <v>0.36974090337753301</v>
      </c>
      <c r="U63">
        <v>0.36496850848197943</v>
      </c>
      <c r="V63">
        <v>0.36033466458320618</v>
      </c>
      <c r="W63">
        <v>0.35574036836624151</v>
      </c>
      <c r="X63">
        <v>0.35123756527900701</v>
      </c>
      <c r="Y63">
        <v>0.34672409296035772</v>
      </c>
      <c r="Z63">
        <v>0.34224361181259161</v>
      </c>
      <c r="AA63">
        <v>0.33780473470687872</v>
      </c>
      <c r="AB63">
        <v>0.33354681730270391</v>
      </c>
      <c r="AC63">
        <v>-1.5209222169628391E-2</v>
      </c>
    </row>
    <row r="65" spans="1:29" x14ac:dyDescent="0.45">
      <c r="B65" t="s">
        <v>2563</v>
      </c>
    </row>
    <row r="66" spans="1:29" x14ac:dyDescent="0.45">
      <c r="A66" t="s">
        <v>2564</v>
      </c>
      <c r="B66" t="s">
        <v>2512</v>
      </c>
      <c r="C66">
        <v>0.37752092799999998</v>
      </c>
      <c r="D66">
        <v>0.36312345600000001</v>
      </c>
      <c r="E66">
        <v>0.34120233599999999</v>
      </c>
      <c r="F66">
        <v>0.33858147199999999</v>
      </c>
      <c r="G66">
        <v>0.33409823999999999</v>
      </c>
      <c r="H66">
        <v>0.328570048</v>
      </c>
      <c r="I66">
        <v>0.32222105600000001</v>
      </c>
      <c r="J66">
        <v>0.31594832</v>
      </c>
      <c r="K66">
        <v>0.3099808</v>
      </c>
      <c r="L66">
        <v>0.30452153599999998</v>
      </c>
      <c r="M66">
        <v>0.29947724799999997</v>
      </c>
      <c r="N66">
        <v>0.29476940800000001</v>
      </c>
      <c r="O66">
        <v>0.29023353600000001</v>
      </c>
      <c r="P66">
        <v>0.285863808</v>
      </c>
      <c r="Q66">
        <v>0.28161328000000002</v>
      </c>
      <c r="R66">
        <v>0.27760268799999999</v>
      </c>
      <c r="S66">
        <v>0.273847648</v>
      </c>
      <c r="T66">
        <v>0.27051984000000001</v>
      </c>
      <c r="U66">
        <v>0.26754745600000002</v>
      </c>
      <c r="V66">
        <v>0.26485846400000002</v>
      </c>
      <c r="W66">
        <v>0.26235745599999999</v>
      </c>
      <c r="X66">
        <v>0.25987972799999998</v>
      </c>
      <c r="Y66">
        <v>0.257270416</v>
      </c>
      <c r="Z66">
        <v>0.25461995199999998</v>
      </c>
      <c r="AA66">
        <v>0.251971216</v>
      </c>
      <c r="AB66">
        <v>0.24937891200000001</v>
      </c>
      <c r="AC66">
        <v>-1.644930918232446E-2</v>
      </c>
    </row>
    <row r="67" spans="1:29" x14ac:dyDescent="0.45">
      <c r="A67" t="s">
        <v>2565</v>
      </c>
      <c r="B67" t="s">
        <v>2516</v>
      </c>
      <c r="C67">
        <v>5.8524816E-2</v>
      </c>
      <c r="D67">
        <v>5.9045232000000003E-2</v>
      </c>
      <c r="E67">
        <v>5.9788363999999997E-2</v>
      </c>
      <c r="F67">
        <v>6.0390256000000003E-2</v>
      </c>
      <c r="G67">
        <v>5.9602552000000003E-2</v>
      </c>
      <c r="H67">
        <v>5.8604436000000003E-2</v>
      </c>
      <c r="I67">
        <v>5.7557207999999999E-2</v>
      </c>
      <c r="J67">
        <v>5.6583512000000002E-2</v>
      </c>
      <c r="K67">
        <v>5.5702179999999997E-2</v>
      </c>
      <c r="L67">
        <v>5.5020607999999999E-2</v>
      </c>
      <c r="M67">
        <v>5.4533824000000002E-2</v>
      </c>
      <c r="N67">
        <v>5.3958739999999998E-2</v>
      </c>
      <c r="O67">
        <v>5.3306795999999997E-2</v>
      </c>
      <c r="P67">
        <v>5.2582360000000002E-2</v>
      </c>
      <c r="Q67">
        <v>5.1788816000000001E-2</v>
      </c>
      <c r="R67">
        <v>5.0961772000000002E-2</v>
      </c>
      <c r="S67">
        <v>5.0117759999999997E-2</v>
      </c>
      <c r="T67">
        <v>4.9286348000000001E-2</v>
      </c>
      <c r="U67">
        <v>4.8475836000000001E-2</v>
      </c>
      <c r="V67">
        <v>4.7684471999999999E-2</v>
      </c>
      <c r="W67">
        <v>4.6888052E-2</v>
      </c>
      <c r="X67">
        <v>4.6069628000000001E-2</v>
      </c>
      <c r="Y67">
        <v>4.5236156E-2</v>
      </c>
      <c r="Z67">
        <v>4.4409216000000001E-2</v>
      </c>
      <c r="AA67">
        <v>4.36164E-2</v>
      </c>
      <c r="AB67">
        <v>4.2877907999999999E-2</v>
      </c>
      <c r="AC67">
        <v>-1.2366662145239521E-2</v>
      </c>
    </row>
    <row r="68" spans="1:29" x14ac:dyDescent="0.45">
      <c r="A68" t="s">
        <v>2566</v>
      </c>
      <c r="B68" t="s">
        <v>2520</v>
      </c>
      <c r="C68">
        <v>1.0416893E-2</v>
      </c>
      <c r="D68">
        <v>1.0382659000000001E-2</v>
      </c>
      <c r="E68">
        <v>1.0352623E-2</v>
      </c>
      <c r="F68">
        <v>1.0320664E-2</v>
      </c>
      <c r="G68">
        <v>1.0288456E-2</v>
      </c>
      <c r="H68">
        <v>1.0251335E-2</v>
      </c>
      <c r="I68">
        <v>1.0208539000000001E-2</v>
      </c>
      <c r="J68">
        <v>1.0160659000000001E-2</v>
      </c>
      <c r="K68">
        <v>1.0109655E-2</v>
      </c>
      <c r="L68">
        <v>1.0054894999999999E-2</v>
      </c>
      <c r="M68">
        <v>9.9962169999999999E-3</v>
      </c>
      <c r="N68">
        <v>9.9327949999999995E-3</v>
      </c>
      <c r="O68">
        <v>9.8648179999999992E-3</v>
      </c>
      <c r="P68">
        <v>9.8131069999999997E-3</v>
      </c>
      <c r="Q68">
        <v>9.7768479999999994E-3</v>
      </c>
      <c r="R68">
        <v>9.7585469999999994E-3</v>
      </c>
      <c r="S68">
        <v>9.7593279999999994E-3</v>
      </c>
      <c r="T68">
        <v>9.7802050000000001E-3</v>
      </c>
      <c r="U68">
        <v>9.7986549999999999E-3</v>
      </c>
      <c r="V68">
        <v>9.8149589999999998E-3</v>
      </c>
      <c r="W68">
        <v>9.8302839999999999E-3</v>
      </c>
      <c r="X68">
        <v>9.8444940000000005E-3</v>
      </c>
      <c r="Y68">
        <v>9.8571200000000005E-3</v>
      </c>
      <c r="Z68">
        <v>9.8679949999999992E-3</v>
      </c>
      <c r="AA68">
        <v>9.8773070000000001E-3</v>
      </c>
      <c r="AB68">
        <v>9.8855120000000008E-3</v>
      </c>
      <c r="AC68">
        <v>-2.0921509687310551E-3</v>
      </c>
    </row>
    <row r="69" spans="1:29" x14ac:dyDescent="0.45">
      <c r="A69" t="s">
        <v>2567</v>
      </c>
      <c r="B69" t="s">
        <v>2568</v>
      </c>
      <c r="C69">
        <v>7.8037311999999998E-2</v>
      </c>
      <c r="D69">
        <v>8.1168695999999999E-2</v>
      </c>
      <c r="E69">
        <v>8.4197159999999993E-2</v>
      </c>
      <c r="F69">
        <v>8.6919023999999998E-2</v>
      </c>
      <c r="G69">
        <v>8.9321968000000002E-2</v>
      </c>
      <c r="H69">
        <v>9.1502511999999994E-2</v>
      </c>
      <c r="I69">
        <v>9.3499600000000002E-2</v>
      </c>
      <c r="J69">
        <v>9.5470912000000005E-2</v>
      </c>
      <c r="K69">
        <v>9.7410464000000002E-2</v>
      </c>
      <c r="L69">
        <v>9.9465440000000002E-2</v>
      </c>
      <c r="M69">
        <v>0.101613936</v>
      </c>
      <c r="N69">
        <v>0.10382166399999999</v>
      </c>
      <c r="O69">
        <v>0.10602426399999999</v>
      </c>
      <c r="P69">
        <v>0.108215704</v>
      </c>
      <c r="Q69">
        <v>0.110387264</v>
      </c>
      <c r="R69">
        <v>0.112575104</v>
      </c>
      <c r="S69">
        <v>0.114813912</v>
      </c>
      <c r="T69">
        <v>0.117151528</v>
      </c>
      <c r="U69">
        <v>0.119593984</v>
      </c>
      <c r="V69">
        <v>0.122121088</v>
      </c>
      <c r="W69">
        <v>0.124669688</v>
      </c>
      <c r="X69">
        <v>0.12718207200000001</v>
      </c>
      <c r="Y69">
        <v>0.12964841599999999</v>
      </c>
      <c r="Z69">
        <v>0.13209407200000001</v>
      </c>
      <c r="AA69">
        <v>0.13455473600000001</v>
      </c>
      <c r="AB69">
        <v>0.13704892799999999</v>
      </c>
      <c r="AC69">
        <v>2.2781664166767301E-2</v>
      </c>
    </row>
    <row r="70" spans="1:29" x14ac:dyDescent="0.45">
      <c r="A70" t="s">
        <v>2569</v>
      </c>
      <c r="B70" t="s">
        <v>2556</v>
      </c>
      <c r="C70">
        <v>0.52450001239776611</v>
      </c>
      <c r="D70">
        <v>0.51372003555297852</v>
      </c>
      <c r="E70">
        <v>0.4955405592918396</v>
      </c>
      <c r="F70">
        <v>0.49621137976646418</v>
      </c>
      <c r="G70">
        <v>0.49331116676330572</v>
      </c>
      <c r="H70">
        <v>0.48892834782600397</v>
      </c>
      <c r="I70">
        <v>0.48348644375801092</v>
      </c>
      <c r="J70">
        <v>0.4781634509563446</v>
      </c>
      <c r="K70">
        <v>0.47320321202278143</v>
      </c>
      <c r="L70">
        <v>0.4690624475479126</v>
      </c>
      <c r="M70">
        <v>0.46562120318412781</v>
      </c>
      <c r="N70">
        <v>0.46248260140419012</v>
      </c>
      <c r="O70">
        <v>0.45942938327789312</v>
      </c>
      <c r="P70">
        <v>0.45647501945495611</v>
      </c>
      <c r="Q70">
        <v>0.45356625318527222</v>
      </c>
      <c r="R70">
        <v>0.45089817047119141</v>
      </c>
      <c r="S70">
        <v>0.44853869080543518</v>
      </c>
      <c r="T70">
        <v>0.44673797488212591</v>
      </c>
      <c r="U70">
        <v>0.44541597366333008</v>
      </c>
      <c r="V70">
        <v>0.44447898864746088</v>
      </c>
      <c r="W70">
        <v>0.44374552369117742</v>
      </c>
      <c r="X70">
        <v>0.44297593832015991</v>
      </c>
      <c r="Y70">
        <v>0.44201213121414179</v>
      </c>
      <c r="Z70">
        <v>0.44099125266075129</v>
      </c>
      <c r="AA70">
        <v>0.44001969695091248</v>
      </c>
      <c r="AB70">
        <v>0.43919128179550171</v>
      </c>
      <c r="AC70">
        <v>-7.0752680662837797E-3</v>
      </c>
    </row>
    <row r="72" spans="1:29" x14ac:dyDescent="0.45">
      <c r="A72" t="s">
        <v>2570</v>
      </c>
      <c r="B72" t="s">
        <v>2571</v>
      </c>
      <c r="C72">
        <v>0.37138739199999998</v>
      </c>
      <c r="D72">
        <v>0.34290067200000002</v>
      </c>
      <c r="E72">
        <v>0.33499011200000001</v>
      </c>
      <c r="F72">
        <v>0.33120499199999998</v>
      </c>
      <c r="G72">
        <v>0.32895392000000001</v>
      </c>
      <c r="H72">
        <v>0.32362681599999998</v>
      </c>
      <c r="I72">
        <v>0.31936905599999998</v>
      </c>
      <c r="J72">
        <v>0.31564275200000003</v>
      </c>
      <c r="K72">
        <v>0.312811968</v>
      </c>
      <c r="L72">
        <v>0.30912588800000002</v>
      </c>
      <c r="M72">
        <v>0.30582918399999998</v>
      </c>
      <c r="N72">
        <v>0.30200764800000002</v>
      </c>
      <c r="O72">
        <v>0.298093728</v>
      </c>
      <c r="P72">
        <v>0.29419919999999999</v>
      </c>
      <c r="Q72">
        <v>0.28995385600000001</v>
      </c>
      <c r="R72">
        <v>0.28553836799999999</v>
      </c>
      <c r="S72">
        <v>0.281270464</v>
      </c>
      <c r="T72">
        <v>0.27737811200000001</v>
      </c>
      <c r="U72">
        <v>0.27363056000000002</v>
      </c>
      <c r="V72">
        <v>0.27007763200000001</v>
      </c>
      <c r="W72">
        <v>0.26697406400000001</v>
      </c>
      <c r="X72">
        <v>0.263977984</v>
      </c>
      <c r="Y72">
        <v>0.26128950400000001</v>
      </c>
      <c r="Z72">
        <v>0.25882419200000001</v>
      </c>
      <c r="AA72">
        <v>0.25657587199999998</v>
      </c>
      <c r="AB72">
        <v>0.254137424</v>
      </c>
      <c r="AC72">
        <v>-1.506026423030749E-2</v>
      </c>
    </row>
    <row r="74" spans="1:29" x14ac:dyDescent="0.45">
      <c r="B74" t="s">
        <v>2572</v>
      </c>
    </row>
    <row r="75" spans="1:29" x14ac:dyDescent="0.45">
      <c r="A75" t="s">
        <v>2573</v>
      </c>
      <c r="B75" t="s">
        <v>2574</v>
      </c>
      <c r="C75">
        <v>4.8872924160000002</v>
      </c>
      <c r="D75">
        <v>4.6105082880000001</v>
      </c>
      <c r="E75">
        <v>4.694247936</v>
      </c>
      <c r="F75">
        <v>4.6635043840000003</v>
      </c>
      <c r="G75">
        <v>4.6124252160000001</v>
      </c>
      <c r="H75">
        <v>4.547402752</v>
      </c>
      <c r="I75">
        <v>4.4787609599999998</v>
      </c>
      <c r="J75">
        <v>4.4142899199999999</v>
      </c>
      <c r="K75">
        <v>4.3518760959999998</v>
      </c>
      <c r="L75">
        <v>4.2920202239999998</v>
      </c>
      <c r="M75">
        <v>4.2342993919999996</v>
      </c>
      <c r="N75">
        <v>4.1793088000000003</v>
      </c>
      <c r="O75">
        <v>4.1237058559999999</v>
      </c>
      <c r="P75">
        <v>4.0705356799999999</v>
      </c>
      <c r="Q75">
        <v>4.0178626560000001</v>
      </c>
      <c r="R75">
        <v>3.9665464319999999</v>
      </c>
      <c r="S75">
        <v>3.9159198719999999</v>
      </c>
      <c r="T75">
        <v>3.8705213440000001</v>
      </c>
      <c r="U75">
        <v>3.8277063679999999</v>
      </c>
      <c r="V75">
        <v>3.7870338559999999</v>
      </c>
      <c r="W75">
        <v>3.7487544320000001</v>
      </c>
      <c r="X75">
        <v>3.7094520320000002</v>
      </c>
      <c r="Y75">
        <v>3.6686021119999999</v>
      </c>
      <c r="Z75">
        <v>3.6283356160000002</v>
      </c>
      <c r="AA75">
        <v>3.5889408</v>
      </c>
      <c r="AB75">
        <v>3.5503339519999999</v>
      </c>
      <c r="AC75">
        <v>-1.2702504690540789E-2</v>
      </c>
    </row>
    <row r="76" spans="1:29" x14ac:dyDescent="0.45">
      <c r="A76" t="s">
        <v>2575</v>
      </c>
      <c r="B76" t="s">
        <v>2576</v>
      </c>
      <c r="C76">
        <v>0.98317260799999995</v>
      </c>
      <c r="D76">
        <v>1.046040576</v>
      </c>
      <c r="E76">
        <v>1.06037216</v>
      </c>
      <c r="F76">
        <v>1.0743171840000001</v>
      </c>
      <c r="G76">
        <v>1.0854568959999999</v>
      </c>
      <c r="H76">
        <v>1.0925698559999999</v>
      </c>
      <c r="I76">
        <v>1.0990485759999999</v>
      </c>
      <c r="J76">
        <v>1.10656128</v>
      </c>
      <c r="K76">
        <v>1.1148355839999999</v>
      </c>
      <c r="L76">
        <v>1.124533888</v>
      </c>
      <c r="M76">
        <v>1.135239168</v>
      </c>
      <c r="N76">
        <v>1.1472550399999999</v>
      </c>
      <c r="O76">
        <v>1.1600700159999999</v>
      </c>
      <c r="P76">
        <v>1.1734277120000001</v>
      </c>
      <c r="Q76">
        <v>1.187167104</v>
      </c>
      <c r="R76">
        <v>1.2018499840000001</v>
      </c>
      <c r="S76">
        <v>1.217397632</v>
      </c>
      <c r="T76">
        <v>1.2348896</v>
      </c>
      <c r="U76">
        <v>1.253485824</v>
      </c>
      <c r="V76">
        <v>1.272132992</v>
      </c>
      <c r="W76">
        <v>1.2914392320000001</v>
      </c>
      <c r="X76">
        <v>1.309698432</v>
      </c>
      <c r="Y76">
        <v>1.327260544</v>
      </c>
      <c r="Z76">
        <v>1.344267648</v>
      </c>
      <c r="AA76">
        <v>1.362016128</v>
      </c>
      <c r="AB76">
        <v>1.3795253759999999</v>
      </c>
      <c r="AC76">
        <v>1.364059914705784E-2</v>
      </c>
    </row>
    <row r="77" spans="1:29" x14ac:dyDescent="0.45">
      <c r="A77" t="s">
        <v>2577</v>
      </c>
      <c r="B77" t="s">
        <v>2578</v>
      </c>
      <c r="C77">
        <v>1.573176704</v>
      </c>
      <c r="D77">
        <v>1.574928256</v>
      </c>
      <c r="E77">
        <v>1.5782146560000001</v>
      </c>
      <c r="F77">
        <v>1.58200512</v>
      </c>
      <c r="G77">
        <v>1.5606996479999999</v>
      </c>
      <c r="H77">
        <v>1.5333607680000001</v>
      </c>
      <c r="I77">
        <v>1.505777664</v>
      </c>
      <c r="J77">
        <v>1.4812957440000001</v>
      </c>
      <c r="K77">
        <v>1.4578415360000001</v>
      </c>
      <c r="L77">
        <v>1.438644992</v>
      </c>
      <c r="M77">
        <v>1.4231032320000001</v>
      </c>
      <c r="N77">
        <v>1.4087640320000001</v>
      </c>
      <c r="O77">
        <v>1.395113856</v>
      </c>
      <c r="P77">
        <v>1.382832896</v>
      </c>
      <c r="Q77">
        <v>1.3717009920000001</v>
      </c>
      <c r="R77">
        <v>1.3619397120000001</v>
      </c>
      <c r="S77">
        <v>1.353175936</v>
      </c>
      <c r="T77">
        <v>1.3462069759999999</v>
      </c>
      <c r="U77">
        <v>1.340719488</v>
      </c>
      <c r="V77">
        <v>1.3348089599999999</v>
      </c>
      <c r="W77">
        <v>1.3281712640000001</v>
      </c>
      <c r="X77">
        <v>1.320356224</v>
      </c>
      <c r="Y77">
        <v>1.3116526079999999</v>
      </c>
      <c r="Z77">
        <v>1.3027751679999999</v>
      </c>
      <c r="AA77">
        <v>1.294452224</v>
      </c>
      <c r="AB77">
        <v>1.2870755840000001</v>
      </c>
      <c r="AC77">
        <v>-7.9968258045686191E-3</v>
      </c>
    </row>
    <row r="78" spans="1:29" x14ac:dyDescent="0.45">
      <c r="A78" t="s">
        <v>2579</v>
      </c>
      <c r="B78" t="s">
        <v>2580</v>
      </c>
      <c r="C78">
        <v>0.34956310400000001</v>
      </c>
      <c r="D78">
        <v>0.34852729599999999</v>
      </c>
      <c r="E78">
        <v>0.34743289599999999</v>
      </c>
      <c r="F78">
        <v>0.34620860799999997</v>
      </c>
      <c r="G78">
        <v>0.34525900799999998</v>
      </c>
      <c r="H78">
        <v>0.34202352000000003</v>
      </c>
      <c r="I78">
        <v>0.33902982399999998</v>
      </c>
      <c r="J78">
        <v>0.33630428800000001</v>
      </c>
      <c r="K78">
        <v>0.33379897600000002</v>
      </c>
      <c r="L78">
        <v>0.33146774400000001</v>
      </c>
      <c r="M78">
        <v>0.32936582399999997</v>
      </c>
      <c r="N78">
        <v>0.327653056</v>
      </c>
      <c r="O78">
        <v>0.32634323199999998</v>
      </c>
      <c r="P78">
        <v>0.32546067200000001</v>
      </c>
      <c r="Q78">
        <v>0.32498998400000001</v>
      </c>
      <c r="R78">
        <v>0.32493840000000002</v>
      </c>
      <c r="S78">
        <v>0.32529401600000002</v>
      </c>
      <c r="T78">
        <v>0.32607193600000001</v>
      </c>
      <c r="U78">
        <v>0.32728083200000002</v>
      </c>
      <c r="V78">
        <v>0.32891251199999999</v>
      </c>
      <c r="W78">
        <v>0.33105030400000002</v>
      </c>
      <c r="X78">
        <v>0.33371427199999998</v>
      </c>
      <c r="Y78">
        <v>0.33686508799999998</v>
      </c>
      <c r="Z78">
        <v>0.34000607999999999</v>
      </c>
      <c r="AA78">
        <v>0.34312889600000002</v>
      </c>
      <c r="AB78">
        <v>0.34622892799999999</v>
      </c>
      <c r="AC78">
        <v>-3.832826310995463E-4</v>
      </c>
    </row>
    <row r="79" spans="1:29" x14ac:dyDescent="0.45">
      <c r="A79" t="s">
        <v>2581</v>
      </c>
      <c r="B79" t="s">
        <v>2582</v>
      </c>
      <c r="C79">
        <v>0.15604678399999999</v>
      </c>
      <c r="D79">
        <v>0.15688024</v>
      </c>
      <c r="E79">
        <v>0.157748992</v>
      </c>
      <c r="F79">
        <v>0.15859595200000001</v>
      </c>
      <c r="G79">
        <v>0.15944396799999999</v>
      </c>
      <c r="H79">
        <v>0.160278112</v>
      </c>
      <c r="I79">
        <v>0.161102784</v>
      </c>
      <c r="J79">
        <v>0.161912208</v>
      </c>
      <c r="K79">
        <v>0.16271075199999999</v>
      </c>
      <c r="L79">
        <v>0.16352728</v>
      </c>
      <c r="M79">
        <v>0.16437318400000001</v>
      </c>
      <c r="N79">
        <v>0.16525561599999999</v>
      </c>
      <c r="O79">
        <v>0.166161472</v>
      </c>
      <c r="P79">
        <v>0.16710384</v>
      </c>
      <c r="Q79">
        <v>0.16803183999999999</v>
      </c>
      <c r="R79">
        <v>0.16895603200000001</v>
      </c>
      <c r="S79">
        <v>0.169856336</v>
      </c>
      <c r="T79">
        <v>0.17073536</v>
      </c>
      <c r="U79">
        <v>0.17157900800000001</v>
      </c>
      <c r="V79">
        <v>0.17239865600000001</v>
      </c>
      <c r="W79">
        <v>0.173218224</v>
      </c>
      <c r="X79">
        <v>0.17404207999999999</v>
      </c>
      <c r="Y79">
        <v>0.17486534400000001</v>
      </c>
      <c r="Z79">
        <v>0.175689664</v>
      </c>
      <c r="AA79">
        <v>0.17651795200000001</v>
      </c>
      <c r="AB79">
        <v>0.17735535999999999</v>
      </c>
      <c r="AC79">
        <v>5.1331112550536684E-3</v>
      </c>
    </row>
    <row r="80" spans="1:29" x14ac:dyDescent="0.45">
      <c r="A80" t="s">
        <v>2583</v>
      </c>
      <c r="B80" t="s">
        <v>2584</v>
      </c>
      <c r="C80">
        <v>0.22990720000000001</v>
      </c>
      <c r="D80">
        <v>0.23112454399999999</v>
      </c>
      <c r="E80">
        <v>0.23272319999999999</v>
      </c>
      <c r="F80">
        <v>0.23462008000000001</v>
      </c>
      <c r="G80">
        <v>0.23584943999999999</v>
      </c>
      <c r="H80">
        <v>0.23600408</v>
      </c>
      <c r="I80">
        <v>0.23554830399999999</v>
      </c>
      <c r="J80">
        <v>0.23478808000000001</v>
      </c>
      <c r="K80">
        <v>0.23432846399999999</v>
      </c>
      <c r="L80">
        <v>0.23430152000000001</v>
      </c>
      <c r="M80">
        <v>0.23472089600000001</v>
      </c>
      <c r="N80">
        <v>0.23564288</v>
      </c>
      <c r="O80">
        <v>0.23691409599999999</v>
      </c>
      <c r="P80">
        <v>0.23868604800000001</v>
      </c>
      <c r="Q80">
        <v>0.240921472</v>
      </c>
      <c r="R80">
        <v>0.24367492800000001</v>
      </c>
      <c r="S80">
        <v>0.24702553599999999</v>
      </c>
      <c r="T80">
        <v>0.25042220799999998</v>
      </c>
      <c r="U80">
        <v>0.25392486399999997</v>
      </c>
      <c r="V80">
        <v>0.25746416</v>
      </c>
      <c r="W80">
        <v>0.26101676800000001</v>
      </c>
      <c r="X80">
        <v>0.26441572800000002</v>
      </c>
      <c r="Y80">
        <v>0.26761515200000002</v>
      </c>
      <c r="Z80">
        <v>0.270684704</v>
      </c>
      <c r="AA80">
        <v>0.27381014399999998</v>
      </c>
      <c r="AB80">
        <v>0.27686204800000003</v>
      </c>
      <c r="AC80">
        <v>7.4614433203574748E-3</v>
      </c>
    </row>
    <row r="81" spans="1:29" x14ac:dyDescent="0.45">
      <c r="A81" t="s">
        <v>2585</v>
      </c>
      <c r="B81" t="s">
        <v>2586</v>
      </c>
      <c r="C81">
        <v>7.9277760000000003E-2</v>
      </c>
      <c r="D81">
        <v>7.9241023999999993E-2</v>
      </c>
      <c r="E81">
        <v>7.9217047999999998E-2</v>
      </c>
      <c r="F81">
        <v>7.9159960000000001E-2</v>
      </c>
      <c r="G81">
        <v>7.9073071999999994E-2</v>
      </c>
      <c r="H81">
        <v>7.8570111999999998E-2</v>
      </c>
      <c r="I81">
        <v>7.8006560000000003E-2</v>
      </c>
      <c r="J81">
        <v>7.7403968000000004E-2</v>
      </c>
      <c r="K81">
        <v>7.6822632000000002E-2</v>
      </c>
      <c r="L81">
        <v>7.6256599999999994E-2</v>
      </c>
      <c r="M81">
        <v>7.5716071999999995E-2</v>
      </c>
      <c r="N81">
        <v>7.5195239999999997E-2</v>
      </c>
      <c r="O81">
        <v>7.4692744000000005E-2</v>
      </c>
      <c r="P81">
        <v>7.4213528000000001E-2</v>
      </c>
      <c r="Q81">
        <v>7.3757199999999995E-2</v>
      </c>
      <c r="R81">
        <v>7.3328264000000004E-2</v>
      </c>
      <c r="S81">
        <v>7.2936855999999994E-2</v>
      </c>
      <c r="T81">
        <v>7.2586367999999998E-2</v>
      </c>
      <c r="U81">
        <v>7.2277752000000001E-2</v>
      </c>
      <c r="V81">
        <v>7.2012376000000003E-2</v>
      </c>
      <c r="W81">
        <v>7.1801504000000002E-2</v>
      </c>
      <c r="X81">
        <v>7.1659855999999994E-2</v>
      </c>
      <c r="Y81">
        <v>7.1579335999999993E-2</v>
      </c>
      <c r="Z81">
        <v>7.1571248000000004E-2</v>
      </c>
      <c r="AA81">
        <v>7.1643271999999994E-2</v>
      </c>
      <c r="AB81">
        <v>7.1800048000000005E-2</v>
      </c>
      <c r="AC81">
        <v>-3.9550577058538039E-3</v>
      </c>
    </row>
    <row r="82" spans="1:29" x14ac:dyDescent="0.45">
      <c r="A82" t="s">
        <v>2587</v>
      </c>
      <c r="B82" t="s">
        <v>2588</v>
      </c>
      <c r="C82">
        <v>0.18284710400000001</v>
      </c>
      <c r="D82">
        <v>0.182215504</v>
      </c>
      <c r="E82">
        <v>0.183569232</v>
      </c>
      <c r="F82">
        <v>0.185640272</v>
      </c>
      <c r="G82">
        <v>0.18743944000000001</v>
      </c>
      <c r="H82">
        <v>0.18699436799999999</v>
      </c>
      <c r="I82">
        <v>0.186424016</v>
      </c>
      <c r="J82">
        <v>0.18626144</v>
      </c>
      <c r="K82">
        <v>0.186404352</v>
      </c>
      <c r="L82">
        <v>0.18674231999999999</v>
      </c>
      <c r="M82">
        <v>0.18721537599999999</v>
      </c>
      <c r="N82">
        <v>0.187754368</v>
      </c>
      <c r="O82">
        <v>0.188226384</v>
      </c>
      <c r="P82">
        <v>0.188723216</v>
      </c>
      <c r="Q82">
        <v>0.18940014399999999</v>
      </c>
      <c r="R82">
        <v>0.18703504000000001</v>
      </c>
      <c r="S82">
        <v>0.18508912</v>
      </c>
      <c r="T82">
        <v>0.18369095999999999</v>
      </c>
      <c r="U82">
        <v>0.182845696</v>
      </c>
      <c r="V82">
        <v>0.18247695999999999</v>
      </c>
      <c r="W82">
        <v>0.182383504</v>
      </c>
      <c r="X82">
        <v>0.182309728</v>
      </c>
      <c r="Y82">
        <v>0.182201904</v>
      </c>
      <c r="Z82">
        <v>0.182192464</v>
      </c>
      <c r="AA82">
        <v>0.182375024</v>
      </c>
      <c r="AB82">
        <v>0.18258764799999999</v>
      </c>
      <c r="AC82">
        <v>-5.6797811119779773E-5</v>
      </c>
    </row>
    <row r="83" spans="1:29" x14ac:dyDescent="0.45">
      <c r="A83" t="s">
        <v>2589</v>
      </c>
      <c r="B83" t="s">
        <v>2590</v>
      </c>
      <c r="C83">
        <v>4.0723188E-2</v>
      </c>
      <c r="D83">
        <v>3.9741315999999999E-2</v>
      </c>
      <c r="E83">
        <v>3.8750288000000001E-2</v>
      </c>
      <c r="F83">
        <v>3.7582836000000001E-2</v>
      </c>
      <c r="G83">
        <v>3.638516E-2</v>
      </c>
      <c r="H83">
        <v>3.4992292000000001E-2</v>
      </c>
      <c r="I83">
        <v>3.3539880000000001E-2</v>
      </c>
      <c r="J83">
        <v>3.2000177999999997E-2</v>
      </c>
      <c r="K83">
        <v>3.0664894000000002E-2</v>
      </c>
      <c r="L83">
        <v>2.9534002E-2</v>
      </c>
      <c r="M83">
        <v>2.8609286000000001E-2</v>
      </c>
      <c r="N83">
        <v>2.7903582E-2</v>
      </c>
      <c r="O83">
        <v>2.7428560000000001E-2</v>
      </c>
      <c r="P83">
        <v>2.7209850000000001E-2</v>
      </c>
      <c r="Q83">
        <v>2.7260937999999998E-2</v>
      </c>
      <c r="R83">
        <v>2.7310738000000001E-2</v>
      </c>
      <c r="S83">
        <v>2.7361704000000001E-2</v>
      </c>
      <c r="T83">
        <v>2.7419786000000002E-2</v>
      </c>
      <c r="U83">
        <v>2.7486282000000001E-2</v>
      </c>
      <c r="V83">
        <v>2.7564120000000001E-2</v>
      </c>
      <c r="W83">
        <v>2.7658222E-2</v>
      </c>
      <c r="X83">
        <v>2.7768014000000001E-2</v>
      </c>
      <c r="Y83">
        <v>2.7890496000000001E-2</v>
      </c>
      <c r="Z83">
        <v>2.8023998000000001E-2</v>
      </c>
      <c r="AA83">
        <v>2.8167032000000002E-2</v>
      </c>
      <c r="AB83">
        <v>2.8318728000000001E-2</v>
      </c>
      <c r="AC83">
        <v>-1.442590723214077E-2</v>
      </c>
    </row>
    <row r="84" spans="1:29" x14ac:dyDescent="0.45">
      <c r="A84" t="s">
        <v>2591</v>
      </c>
      <c r="B84" t="s">
        <v>2592</v>
      </c>
      <c r="C84">
        <v>3.7161696000000001E-2</v>
      </c>
      <c r="D84">
        <v>3.8075504000000003E-2</v>
      </c>
      <c r="E84">
        <v>3.8360159999999997E-2</v>
      </c>
      <c r="F84">
        <v>3.8522852000000003E-2</v>
      </c>
      <c r="G84">
        <v>3.8637291999999997E-2</v>
      </c>
      <c r="H84">
        <v>3.870258E-2</v>
      </c>
      <c r="I84">
        <v>3.8719692E-2</v>
      </c>
      <c r="J84">
        <v>3.8688536000000003E-2</v>
      </c>
      <c r="K84">
        <v>3.8734320000000003E-2</v>
      </c>
      <c r="L84">
        <v>3.8861E-2</v>
      </c>
      <c r="M84">
        <v>3.9070651999999997E-2</v>
      </c>
      <c r="N84">
        <v>3.9370936000000002E-2</v>
      </c>
      <c r="O84">
        <v>3.9763699999999999E-2</v>
      </c>
      <c r="P84">
        <v>4.0262112000000003E-2</v>
      </c>
      <c r="Q84">
        <v>4.0871616E-2</v>
      </c>
      <c r="R84">
        <v>4.1476607999999998E-2</v>
      </c>
      <c r="S84">
        <v>4.2075632000000002E-2</v>
      </c>
      <c r="T84">
        <v>4.2674256000000001E-2</v>
      </c>
      <c r="U84">
        <v>4.3273180000000001E-2</v>
      </c>
      <c r="V84">
        <v>4.3875648000000003E-2</v>
      </c>
      <c r="W84">
        <v>4.4488423999999999E-2</v>
      </c>
      <c r="X84">
        <v>4.5111343999999998E-2</v>
      </c>
      <c r="Y84">
        <v>4.5741499999999997E-2</v>
      </c>
      <c r="Z84">
        <v>4.6378655999999997E-2</v>
      </c>
      <c r="AA84">
        <v>4.7023391999999997E-2</v>
      </c>
      <c r="AB84">
        <v>4.7675936000000002E-2</v>
      </c>
      <c r="AC84">
        <v>1.001575448740288E-2</v>
      </c>
    </row>
    <row r="85" spans="1:29" x14ac:dyDescent="0.45">
      <c r="A85" t="s">
        <v>2593</v>
      </c>
      <c r="B85" t="s">
        <v>2594</v>
      </c>
      <c r="C85">
        <v>0.12483857600000001</v>
      </c>
      <c r="D85">
        <v>0.122177168</v>
      </c>
      <c r="E85">
        <v>0.119963032</v>
      </c>
      <c r="F85">
        <v>0.11808790399999999</v>
      </c>
      <c r="G85">
        <v>0.11609736800000001</v>
      </c>
      <c r="H85">
        <v>0.11380596</v>
      </c>
      <c r="I85">
        <v>0.111515896</v>
      </c>
      <c r="J85">
        <v>0.109399336</v>
      </c>
      <c r="K85">
        <v>0.107488504</v>
      </c>
      <c r="L85">
        <v>0.105734648</v>
      </c>
      <c r="M85">
        <v>0.10414446400000001</v>
      </c>
      <c r="N85">
        <v>0.102719456</v>
      </c>
      <c r="O85">
        <v>0.10141056</v>
      </c>
      <c r="P85">
        <v>0.10027256</v>
      </c>
      <c r="Q85">
        <v>9.9267408000000001E-2</v>
      </c>
      <c r="R85">
        <v>9.8397992000000004E-2</v>
      </c>
      <c r="S85">
        <v>9.7693543999999993E-2</v>
      </c>
      <c r="T85">
        <v>9.7154119999999997E-2</v>
      </c>
      <c r="U85">
        <v>9.6815248000000007E-2</v>
      </c>
      <c r="V85">
        <v>9.6643400000000004E-2</v>
      </c>
      <c r="W85">
        <v>9.6637704000000005E-2</v>
      </c>
      <c r="X85">
        <v>9.6759144000000005E-2</v>
      </c>
      <c r="Y85">
        <v>9.6902584E-2</v>
      </c>
      <c r="Z85">
        <v>9.7108184E-2</v>
      </c>
      <c r="AA85">
        <v>9.7404288000000006E-2</v>
      </c>
      <c r="AB85">
        <v>9.7757631999999997E-2</v>
      </c>
      <c r="AC85">
        <v>-9.7335290819186016E-3</v>
      </c>
    </row>
    <row r="86" spans="1:29" x14ac:dyDescent="0.45">
      <c r="A86" t="s">
        <v>2595</v>
      </c>
      <c r="B86" t="s">
        <v>2596</v>
      </c>
      <c r="C86">
        <v>9.7011752000000007E-2</v>
      </c>
      <c r="D86">
        <v>9.5323727999999996E-2</v>
      </c>
      <c r="E86">
        <v>9.3864928E-2</v>
      </c>
      <c r="F86">
        <v>9.2523648E-2</v>
      </c>
      <c r="G86">
        <v>9.0934360000000006E-2</v>
      </c>
      <c r="H86">
        <v>8.8982368000000006E-2</v>
      </c>
      <c r="I86">
        <v>8.6906232E-2</v>
      </c>
      <c r="J86">
        <v>8.4864703999999999E-2</v>
      </c>
      <c r="K86">
        <v>8.2885327999999994E-2</v>
      </c>
      <c r="L86">
        <v>8.0946472000000005E-2</v>
      </c>
      <c r="M86">
        <v>7.9061928000000004E-2</v>
      </c>
      <c r="N86">
        <v>7.7250440000000004E-2</v>
      </c>
      <c r="O86">
        <v>7.5483776000000002E-2</v>
      </c>
      <c r="P86">
        <v>7.3799192E-2</v>
      </c>
      <c r="Q86">
        <v>7.2188823999999999E-2</v>
      </c>
      <c r="R86">
        <v>7.0666976000000006E-2</v>
      </c>
      <c r="S86">
        <v>6.9257791999999999E-2</v>
      </c>
      <c r="T86">
        <v>6.7990159999999994E-2</v>
      </c>
      <c r="U86">
        <v>6.6878571999999997E-2</v>
      </c>
      <c r="V86">
        <v>6.5919443999999994E-2</v>
      </c>
      <c r="W86">
        <v>6.5113632000000005E-2</v>
      </c>
      <c r="X86">
        <v>6.4456327999999993E-2</v>
      </c>
      <c r="Y86">
        <v>6.3892571999999995E-2</v>
      </c>
      <c r="Z86">
        <v>6.3458587999999996E-2</v>
      </c>
      <c r="AA86">
        <v>6.3206232000000001E-2</v>
      </c>
      <c r="AB86">
        <v>6.3082444000000001E-2</v>
      </c>
      <c r="AC86">
        <v>-1.7068243354986471E-2</v>
      </c>
    </row>
    <row r="87" spans="1:29" x14ac:dyDescent="0.45">
      <c r="A87" t="s">
        <v>2597</v>
      </c>
      <c r="B87" t="s">
        <v>2598</v>
      </c>
      <c r="C87">
        <v>0.15743579199999999</v>
      </c>
      <c r="D87">
        <v>0.15289734399999999</v>
      </c>
      <c r="E87">
        <v>0.15377766400000001</v>
      </c>
      <c r="F87">
        <v>0.154119168</v>
      </c>
      <c r="G87">
        <v>0.15401436800000001</v>
      </c>
      <c r="H87">
        <v>0.15365110400000001</v>
      </c>
      <c r="I87">
        <v>0.15306988799999999</v>
      </c>
      <c r="J87">
        <v>0.15265783999999999</v>
      </c>
      <c r="K87">
        <v>0.152172368</v>
      </c>
      <c r="L87">
        <v>0.15165830399999999</v>
      </c>
      <c r="M87">
        <v>0.15102332800000001</v>
      </c>
      <c r="N87">
        <v>0.15022961600000001</v>
      </c>
      <c r="O87">
        <v>0.14910772799999999</v>
      </c>
      <c r="P87">
        <v>0.147685712</v>
      </c>
      <c r="Q87">
        <v>0.145907232</v>
      </c>
      <c r="R87">
        <v>0.14382793599999999</v>
      </c>
      <c r="S87">
        <v>0.14144376</v>
      </c>
      <c r="T87">
        <v>0.13901844799999999</v>
      </c>
      <c r="U87">
        <v>0.13644356799999999</v>
      </c>
      <c r="V87">
        <v>0.133819296</v>
      </c>
      <c r="W87">
        <v>0.13125719199999999</v>
      </c>
      <c r="X87">
        <v>0.12870858399999999</v>
      </c>
      <c r="Y87">
        <v>0.12613221599999999</v>
      </c>
      <c r="Z87">
        <v>0.12373096</v>
      </c>
      <c r="AA87">
        <v>0.12151582399999999</v>
      </c>
      <c r="AB87">
        <v>0.119520032</v>
      </c>
      <c r="AC87">
        <v>-1.096083609828913E-2</v>
      </c>
    </row>
    <row r="88" spans="1:29" x14ac:dyDescent="0.45">
      <c r="A88" t="s">
        <v>2599</v>
      </c>
      <c r="B88" t="s">
        <v>2600</v>
      </c>
      <c r="C88">
        <v>2.7444144640000001</v>
      </c>
      <c r="D88">
        <v>2.7689384960000001</v>
      </c>
      <c r="E88">
        <v>2.6761692159999999</v>
      </c>
      <c r="F88">
        <v>2.7168235520000001</v>
      </c>
      <c r="G88">
        <v>2.7528412160000002</v>
      </c>
      <c r="H88">
        <v>2.7829870080000001</v>
      </c>
      <c r="I88">
        <v>2.8105840639999999</v>
      </c>
      <c r="J88">
        <v>2.839232768</v>
      </c>
      <c r="K88">
        <v>2.8684070400000001</v>
      </c>
      <c r="L88">
        <v>2.9014566400000001</v>
      </c>
      <c r="M88">
        <v>2.9361768960000001</v>
      </c>
      <c r="N88">
        <v>2.9716925440000002</v>
      </c>
      <c r="O88">
        <v>3.0080798720000002</v>
      </c>
      <c r="P88">
        <v>3.0454021120000001</v>
      </c>
      <c r="Q88">
        <v>3.0824373760000001</v>
      </c>
      <c r="R88">
        <v>3.115484672</v>
      </c>
      <c r="S88">
        <v>3.1510883839999999</v>
      </c>
      <c r="T88">
        <v>3.18880512</v>
      </c>
      <c r="U88">
        <v>3.2288952320000002</v>
      </c>
      <c r="V88">
        <v>3.2702402560000001</v>
      </c>
      <c r="W88">
        <v>3.3076008959999998</v>
      </c>
      <c r="X88">
        <v>3.3483251200000002</v>
      </c>
      <c r="Y88">
        <v>3.3881464320000001</v>
      </c>
      <c r="Z88">
        <v>3.4280153599999998</v>
      </c>
      <c r="AA88">
        <v>3.4690979839999998</v>
      </c>
      <c r="AB88">
        <v>3.51106432</v>
      </c>
      <c r="AC88">
        <v>9.9027700842313493E-3</v>
      </c>
    </row>
    <row r="89" spans="1:29" x14ac:dyDescent="0.45">
      <c r="A89" t="s">
        <v>2601</v>
      </c>
      <c r="B89" t="s">
        <v>2602</v>
      </c>
      <c r="C89">
        <v>11.642869148000001</v>
      </c>
      <c r="D89">
        <v>11.446619284000001</v>
      </c>
      <c r="E89">
        <v>11.454411408</v>
      </c>
      <c r="F89">
        <v>11.481711519999999</v>
      </c>
      <c r="G89">
        <v>11.454556452</v>
      </c>
      <c r="H89">
        <v>11.39032488</v>
      </c>
      <c r="I89">
        <v>11.318034340000001</v>
      </c>
      <c r="J89">
        <v>11.25566029</v>
      </c>
      <c r="K89">
        <v>11.198970846</v>
      </c>
      <c r="L89">
        <v>11.155685633999999</v>
      </c>
      <c r="M89">
        <v>11.122119698000001</v>
      </c>
      <c r="N89">
        <v>11.095995606000001</v>
      </c>
      <c r="O89">
        <v>11.072501852</v>
      </c>
      <c r="P89">
        <v>11.05561513</v>
      </c>
      <c r="Q89">
        <v>11.041764786</v>
      </c>
      <c r="R89">
        <v>11.025433714</v>
      </c>
      <c r="S89">
        <v>11.015616120000001</v>
      </c>
      <c r="T89">
        <v>11.018186642</v>
      </c>
      <c r="U89">
        <v>11.029611914</v>
      </c>
      <c r="V89">
        <v>11.045302636000001</v>
      </c>
      <c r="W89">
        <v>11.060591302000001</v>
      </c>
      <c r="X89">
        <v>11.076776885999999</v>
      </c>
      <c r="Y89">
        <v>11.089347888000001</v>
      </c>
      <c r="Z89">
        <v>11.102238337999999</v>
      </c>
      <c r="AA89">
        <v>11.119299192</v>
      </c>
      <c r="AB89">
        <v>11.139188036</v>
      </c>
      <c r="AC89">
        <v>-1.7674185817179171E-3</v>
      </c>
    </row>
    <row r="90" spans="1:29" x14ac:dyDescent="0.45">
      <c r="A90" t="s">
        <v>2603</v>
      </c>
      <c r="B90" t="s">
        <v>2604</v>
      </c>
      <c r="C90">
        <v>7.0134922862052917E-2</v>
      </c>
      <c r="D90">
        <v>9.1486945748329163E-2</v>
      </c>
      <c r="E90">
        <v>0.1193008199334145</v>
      </c>
      <c r="F90">
        <v>0.15019077062606809</v>
      </c>
      <c r="G90">
        <v>0.18050052225589749</v>
      </c>
      <c r="H90">
        <v>0.20873008668422699</v>
      </c>
      <c r="I90">
        <v>0.23311989009380341</v>
      </c>
      <c r="J90">
        <v>0.25518804788589478</v>
      </c>
      <c r="K90">
        <v>0.2769947350025177</v>
      </c>
      <c r="L90">
        <v>0.29923674464225769</v>
      </c>
      <c r="M90">
        <v>0.32176563143730158</v>
      </c>
      <c r="N90">
        <v>0.3443218469619751</v>
      </c>
      <c r="O90">
        <v>0.36690127849578857</v>
      </c>
      <c r="P90">
        <v>0.38932192325592041</v>
      </c>
      <c r="Q90">
        <v>0.41114059090614319</v>
      </c>
      <c r="R90">
        <v>0.43246880173683172</v>
      </c>
      <c r="S90">
        <v>0.4527735710144043</v>
      </c>
      <c r="T90">
        <v>0.47238817811012268</v>
      </c>
      <c r="U90">
        <v>0.49130412936210632</v>
      </c>
      <c r="V90">
        <v>0.50966900587081909</v>
      </c>
      <c r="W90">
        <v>0.52751326560974121</v>
      </c>
      <c r="X90">
        <v>0.54464465379714966</v>
      </c>
      <c r="Y90">
        <v>0.56095385551452637</v>
      </c>
      <c r="Z90">
        <v>0.57689332962036133</v>
      </c>
      <c r="AA90">
        <v>0.59221106767654419</v>
      </c>
      <c r="AB90">
        <v>0.60719448328018188</v>
      </c>
      <c r="AC90">
        <v>9.0173798143279749E-2</v>
      </c>
    </row>
    <row r="91" spans="1:29" x14ac:dyDescent="0.45">
      <c r="A91" t="s">
        <v>2605</v>
      </c>
      <c r="B91" t="s">
        <v>2606</v>
      </c>
      <c r="C91">
        <v>0.18513305485248571</v>
      </c>
      <c r="D91">
        <v>0.19618113338947299</v>
      </c>
      <c r="E91">
        <v>0.20806993544101721</v>
      </c>
      <c r="F91">
        <v>0.2202898561954498</v>
      </c>
      <c r="G91">
        <v>0.23191364109516141</v>
      </c>
      <c r="H91">
        <v>0.24404700100421911</v>
      </c>
      <c r="I91">
        <v>0.25698700547218323</v>
      </c>
      <c r="J91">
        <v>0.26999360322952271</v>
      </c>
      <c r="K91">
        <v>0.28355693817138672</v>
      </c>
      <c r="L91">
        <v>0.29791304469108582</v>
      </c>
      <c r="M91">
        <v>0.31315085291862488</v>
      </c>
      <c r="N91">
        <v>0.32913258671760559</v>
      </c>
      <c r="O91">
        <v>0.3461628258228302</v>
      </c>
      <c r="P91">
        <v>0.36398994922637939</v>
      </c>
      <c r="Q91">
        <v>0.38263362646102911</v>
      </c>
      <c r="R91">
        <v>0.40191635489463812</v>
      </c>
      <c r="S91">
        <v>0.42191752791404719</v>
      </c>
      <c r="T91">
        <v>0.44253355264663702</v>
      </c>
      <c r="U91">
        <v>0.46366396546363831</v>
      </c>
      <c r="V91">
        <v>0.48558345437049871</v>
      </c>
      <c r="W91">
        <v>0.50805890560150146</v>
      </c>
      <c r="X91">
        <v>0.53128021955490112</v>
      </c>
      <c r="Y91">
        <v>0.55522787570953369</v>
      </c>
      <c r="Z91">
        <v>0.58007967472076416</v>
      </c>
      <c r="AA91">
        <v>0.60541057586669922</v>
      </c>
      <c r="AB91">
        <v>0.63153308629989624</v>
      </c>
      <c r="AC91">
        <v>5.0307545821676403E-2</v>
      </c>
    </row>
    <row r="92" spans="1:29" x14ac:dyDescent="0.45">
      <c r="A92" t="s">
        <v>2607</v>
      </c>
      <c r="B92" t="s">
        <v>2608</v>
      </c>
      <c r="C92">
        <v>11.52787101600957</v>
      </c>
      <c r="D92">
        <v>11.34192509635886</v>
      </c>
      <c r="E92">
        <v>11.365642292492399</v>
      </c>
      <c r="F92">
        <v>11.411612434430619</v>
      </c>
      <c r="G92">
        <v>11.40314333316074</v>
      </c>
      <c r="H92">
        <v>11.355007965680009</v>
      </c>
      <c r="I92">
        <v>11.294167224621621</v>
      </c>
      <c r="J92">
        <v>11.24085473465637</v>
      </c>
      <c r="K92">
        <v>11.192408642831129</v>
      </c>
      <c r="L92">
        <v>11.157009333951169</v>
      </c>
      <c r="M92">
        <v>11.130734476518681</v>
      </c>
      <c r="N92">
        <v>11.11118486624437</v>
      </c>
      <c r="O92">
        <v>11.09324030467296</v>
      </c>
      <c r="P92">
        <v>11.080947104029541</v>
      </c>
      <c r="Q92">
        <v>11.070271750445119</v>
      </c>
      <c r="R92">
        <v>11.05598616084219</v>
      </c>
      <c r="S92">
        <v>11.04647216310036</v>
      </c>
      <c r="T92">
        <v>11.048041267463489</v>
      </c>
      <c r="U92">
        <v>11.05725207789847</v>
      </c>
      <c r="V92">
        <v>11.069388187500319</v>
      </c>
      <c r="W92">
        <v>11.08004566200824</v>
      </c>
      <c r="X92">
        <v>11.09014132024225</v>
      </c>
      <c r="Y92">
        <v>11.095073867805</v>
      </c>
      <c r="Z92">
        <v>11.0990519928996</v>
      </c>
      <c r="AA92">
        <v>11.106099683809839</v>
      </c>
      <c r="AB92">
        <v>11.114849432980289</v>
      </c>
      <c r="AC92">
        <v>-1.4583623084174491E-3</v>
      </c>
    </row>
    <row r="94" spans="1:29" x14ac:dyDescent="0.45">
      <c r="A94" t="s">
        <v>2609</v>
      </c>
      <c r="B94" t="s">
        <v>2610</v>
      </c>
      <c r="C94">
        <v>7.1676516532897949</v>
      </c>
      <c r="D94">
        <v>7.1545977592468262</v>
      </c>
      <c r="E94">
        <v>6.514531135559082</v>
      </c>
      <c r="F94">
        <v>6.3125262260437012</v>
      </c>
      <c r="G94">
        <v>6.2211818695068359</v>
      </c>
      <c r="H94">
        <v>6.1316671371459961</v>
      </c>
      <c r="I94">
        <v>5.9451780319213867</v>
      </c>
      <c r="J94">
        <v>5.8393311500549316</v>
      </c>
      <c r="K94">
        <v>5.7834558486938477</v>
      </c>
      <c r="L94">
        <v>5.6923151016235352</v>
      </c>
      <c r="M94">
        <v>5.6339974403381348</v>
      </c>
      <c r="N94">
        <v>5.5780782699584961</v>
      </c>
      <c r="O94">
        <v>5.5564055442810059</v>
      </c>
      <c r="P94">
        <v>5.5518922805786133</v>
      </c>
      <c r="Q94">
        <v>5.5371222496032706</v>
      </c>
      <c r="R94">
        <v>5.5038857460021973</v>
      </c>
      <c r="S94">
        <v>5.4754343032836914</v>
      </c>
      <c r="T94">
        <v>5.4789481163024902</v>
      </c>
      <c r="U94">
        <v>5.4940376281738281</v>
      </c>
      <c r="V94">
        <v>5.5118722915649414</v>
      </c>
      <c r="W94">
        <v>5.5274820327758789</v>
      </c>
      <c r="X94">
        <v>5.5468564033508301</v>
      </c>
      <c r="Y94">
        <v>5.5688819885253906</v>
      </c>
      <c r="Z94">
        <v>5.5885734558105469</v>
      </c>
      <c r="AA94">
        <v>5.5896444320678711</v>
      </c>
      <c r="AB94">
        <v>5.6078219413757324</v>
      </c>
      <c r="AC94">
        <v>-9.7686013391723447E-3</v>
      </c>
    </row>
    <row r="96" spans="1:29" x14ac:dyDescent="0.45">
      <c r="B96" t="s">
        <v>2611</v>
      </c>
    </row>
    <row r="97" spans="1:29" x14ac:dyDescent="0.45">
      <c r="A97" t="s">
        <v>2612</v>
      </c>
      <c r="B97" t="s">
        <v>2574</v>
      </c>
      <c r="C97">
        <v>5.6764186818814144</v>
      </c>
      <c r="D97">
        <v>5.3520022730703909</v>
      </c>
      <c r="E97">
        <v>5.3777859240864672</v>
      </c>
      <c r="F97">
        <v>5.3172510493583598</v>
      </c>
      <c r="G97">
        <v>5.2487986956268049</v>
      </c>
      <c r="H97">
        <v>5.167058990051431</v>
      </c>
      <c r="I97">
        <v>5.0722079230264336</v>
      </c>
      <c r="J97">
        <v>4.9898533375754912</v>
      </c>
      <c r="K97">
        <v>4.9145239824052087</v>
      </c>
      <c r="L97">
        <v>4.8376088730320381</v>
      </c>
      <c r="M97">
        <v>4.7658439178703942</v>
      </c>
      <c r="N97">
        <v>4.6970881952929124</v>
      </c>
      <c r="O97">
        <v>4.6305017718172357</v>
      </c>
      <c r="P97">
        <v>4.5679314103099307</v>
      </c>
      <c r="Q97">
        <v>4.5047994521334784</v>
      </c>
      <c r="R97">
        <v>4.4419416399117067</v>
      </c>
      <c r="S97">
        <v>4.3798620123739953</v>
      </c>
      <c r="T97">
        <v>4.3258800585984778</v>
      </c>
      <c r="U97">
        <v>4.2753310281595223</v>
      </c>
      <c r="V97">
        <v>4.2269826981237903</v>
      </c>
      <c r="W97">
        <v>4.1814090215363464</v>
      </c>
      <c r="X97">
        <v>4.1347757977555712</v>
      </c>
      <c r="Y97">
        <v>4.0866757310010184</v>
      </c>
      <c r="Z97">
        <v>4.0391635229969838</v>
      </c>
      <c r="AA97">
        <v>3.991318785419872</v>
      </c>
      <c r="AB97">
        <v>3.945525484524627</v>
      </c>
      <c r="AC97">
        <v>-1.444420186604334E-2</v>
      </c>
    </row>
    <row r="98" spans="1:29" x14ac:dyDescent="0.45">
      <c r="A98" t="s">
        <v>2613</v>
      </c>
      <c r="B98" t="s">
        <v>2576</v>
      </c>
      <c r="C98">
        <v>2.2094278697787231</v>
      </c>
      <c r="D98">
        <v>2.335922392295553</v>
      </c>
      <c r="E98">
        <v>2.2649966173651981</v>
      </c>
      <c r="F98">
        <v>2.2407478404999521</v>
      </c>
      <c r="G98">
        <v>2.235737963038233</v>
      </c>
      <c r="H98">
        <v>2.227676489986115</v>
      </c>
      <c r="I98">
        <v>2.202204035881199</v>
      </c>
      <c r="J98">
        <v>2.1932576017821241</v>
      </c>
      <c r="K98">
        <v>2.194044851865756</v>
      </c>
      <c r="L98">
        <v>2.1894261447864389</v>
      </c>
      <c r="M98">
        <v>2.1917468198528418</v>
      </c>
      <c r="N98">
        <v>2.1960018208380321</v>
      </c>
      <c r="O98">
        <v>2.207364294562292</v>
      </c>
      <c r="P98">
        <v>2.2221276155829579</v>
      </c>
      <c r="Q98">
        <v>2.2351982998932569</v>
      </c>
      <c r="R98">
        <v>2.2471860192873159</v>
      </c>
      <c r="S98">
        <v>2.2607062533105182</v>
      </c>
      <c r="T98">
        <v>2.2827494763163059</v>
      </c>
      <c r="U98">
        <v>2.308032794910766</v>
      </c>
      <c r="V98">
        <v>2.3336317579067258</v>
      </c>
      <c r="W98">
        <v>2.3603219295338409</v>
      </c>
      <c r="X98">
        <v>2.3853510881160358</v>
      </c>
      <c r="Y98">
        <v>2.4099158567686572</v>
      </c>
      <c r="Z98">
        <v>2.4330039224294362</v>
      </c>
      <c r="AA98">
        <v>2.4533588645698998</v>
      </c>
      <c r="AB98">
        <v>2.4764382333479311</v>
      </c>
      <c r="AC98">
        <v>4.5739379489091458E-3</v>
      </c>
    </row>
    <row r="99" spans="1:29" x14ac:dyDescent="0.45">
      <c r="A99" t="s">
        <v>2614</v>
      </c>
      <c r="B99" t="s">
        <v>2578</v>
      </c>
      <c r="C99">
        <v>2.1733628668287461</v>
      </c>
      <c r="D99">
        <v>2.158101960445471</v>
      </c>
      <c r="E99">
        <v>2.1085111619440311</v>
      </c>
      <c r="F99">
        <v>2.083219376174485</v>
      </c>
      <c r="G99">
        <v>2.0307463399599368</v>
      </c>
      <c r="H99">
        <v>1.970669072427059</v>
      </c>
      <c r="I99">
        <v>1.9043773303973379</v>
      </c>
      <c r="J99">
        <v>1.849611131693927</v>
      </c>
      <c r="K99">
        <v>1.801234847015361</v>
      </c>
      <c r="L99">
        <v>1.757063549446791</v>
      </c>
      <c r="M99">
        <v>1.720467607613096</v>
      </c>
      <c r="N99">
        <v>1.687359119112023</v>
      </c>
      <c r="O99">
        <v>1.658615967506512</v>
      </c>
      <c r="P99">
        <v>1.633856817736715</v>
      </c>
      <c r="Q99">
        <v>1.611573669457536</v>
      </c>
      <c r="R99">
        <v>1.591899705718298</v>
      </c>
      <c r="S99">
        <v>1.575004334633219</v>
      </c>
      <c r="T99">
        <v>1.562761423744174</v>
      </c>
      <c r="U99">
        <v>1.553943587243743</v>
      </c>
      <c r="V99">
        <v>1.544762350365001</v>
      </c>
      <c r="W99">
        <v>1.53490702433556</v>
      </c>
      <c r="X99">
        <v>1.5239091698670959</v>
      </c>
      <c r="Y99">
        <v>1.5121649344359609</v>
      </c>
      <c r="Z99">
        <v>1.5002295969259849</v>
      </c>
      <c r="AA99">
        <v>1.4883768507411059</v>
      </c>
      <c r="AB99">
        <v>1.4782548703576841</v>
      </c>
      <c r="AC99">
        <v>-1.529831055305042E-2</v>
      </c>
    </row>
    <row r="100" spans="1:29" x14ac:dyDescent="0.45">
      <c r="A100" t="s">
        <v>2615</v>
      </c>
      <c r="B100" t="s">
        <v>2580</v>
      </c>
      <c r="C100">
        <v>0.81318580934341234</v>
      </c>
      <c r="D100">
        <v>0.8054491787438427</v>
      </c>
      <c r="E100">
        <v>0.76688946145613635</v>
      </c>
      <c r="F100">
        <v>0.7454200393559034</v>
      </c>
      <c r="G100">
        <v>0.73357155594037526</v>
      </c>
      <c r="H100">
        <v>0.718951102528402</v>
      </c>
      <c r="I100">
        <v>0.69982884384376354</v>
      </c>
      <c r="J100">
        <v>0.68631837891994962</v>
      </c>
      <c r="K100">
        <v>0.67610478080360381</v>
      </c>
      <c r="L100">
        <v>0.66384169435440743</v>
      </c>
      <c r="M100">
        <v>0.65379855336975745</v>
      </c>
      <c r="N100">
        <v>0.64453291570401583</v>
      </c>
      <c r="O100">
        <v>0.63789953112844533</v>
      </c>
      <c r="P100">
        <v>0.63291452719734675</v>
      </c>
      <c r="Q100">
        <v>0.62812369566339799</v>
      </c>
      <c r="R100">
        <v>0.62342964635230458</v>
      </c>
      <c r="S100">
        <v>0.619605580502397</v>
      </c>
      <c r="T100">
        <v>0.61806310849497992</v>
      </c>
      <c r="U100">
        <v>0.61772973902719053</v>
      </c>
      <c r="V100">
        <v>0.61830670074305749</v>
      </c>
      <c r="W100">
        <v>0.61984531836869805</v>
      </c>
      <c r="X100">
        <v>0.62247416114020382</v>
      </c>
      <c r="Y100">
        <v>0.62625508533278895</v>
      </c>
      <c r="Z100">
        <v>0.62990838797792903</v>
      </c>
      <c r="AA100">
        <v>0.63246172266414136</v>
      </c>
      <c r="AB100">
        <v>0.63583445640317271</v>
      </c>
      <c r="AC100">
        <v>-9.7925928428800324E-3</v>
      </c>
    </row>
    <row r="101" spans="1:29" x14ac:dyDescent="0.45">
      <c r="A101" t="s">
        <v>2616</v>
      </c>
      <c r="B101" t="s">
        <v>2582</v>
      </c>
      <c r="C101">
        <v>0.24671494028332419</v>
      </c>
      <c r="D101">
        <v>0.24765638879967811</v>
      </c>
      <c r="E101">
        <v>0.24244107109820379</v>
      </c>
      <c r="F101">
        <v>0.2405267406261436</v>
      </c>
      <c r="G101">
        <v>0.24037765006573539</v>
      </c>
      <c r="H101">
        <v>0.24057355952166959</v>
      </c>
      <c r="I101">
        <v>0.23960932857025541</v>
      </c>
      <c r="J101">
        <v>0.23964307891110259</v>
      </c>
      <c r="K101">
        <v>0.24023244602418181</v>
      </c>
      <c r="L101">
        <v>0.24023891969577879</v>
      </c>
      <c r="M101">
        <v>0.24062860992445659</v>
      </c>
      <c r="N101">
        <v>0.2410121149125822</v>
      </c>
      <c r="O101">
        <v>0.2418074782070638</v>
      </c>
      <c r="P101">
        <v>0.2427477614008732</v>
      </c>
      <c r="Q101">
        <v>0.24341902916350591</v>
      </c>
      <c r="R101">
        <v>0.24380972302828141</v>
      </c>
      <c r="S101">
        <v>0.24409318592166551</v>
      </c>
      <c r="T101">
        <v>0.24463466592683669</v>
      </c>
      <c r="U101">
        <v>0.2452069797834901</v>
      </c>
      <c r="V101">
        <v>0.2457616861189274</v>
      </c>
      <c r="W101">
        <v>0.24631249342662029</v>
      </c>
      <c r="X101">
        <v>0.24689195766019151</v>
      </c>
      <c r="Y101">
        <v>0.24752861609044899</v>
      </c>
      <c r="Z101">
        <v>0.2481359238688664</v>
      </c>
      <c r="AA101">
        <v>0.24847978475280261</v>
      </c>
      <c r="AB101">
        <v>0.2490472193244152</v>
      </c>
      <c r="AC101">
        <v>3.7642811501648049E-4</v>
      </c>
    </row>
    <row r="102" spans="1:29" x14ac:dyDescent="0.45">
      <c r="A102" t="s">
        <v>2617</v>
      </c>
      <c r="B102" t="s">
        <v>2584</v>
      </c>
      <c r="C102">
        <v>0.48234464075049349</v>
      </c>
      <c r="D102">
        <v>0.48131802446154109</v>
      </c>
      <c r="E102">
        <v>0.46428741051313122</v>
      </c>
      <c r="F102">
        <v>0.45725498563163808</v>
      </c>
      <c r="G102">
        <v>0.45374955478862228</v>
      </c>
      <c r="H102">
        <v>0.44909772043818319</v>
      </c>
      <c r="I102">
        <v>0.44026122144241658</v>
      </c>
      <c r="J102">
        <v>0.43360432277967131</v>
      </c>
      <c r="K102">
        <v>0.42929406069369103</v>
      </c>
      <c r="L102">
        <v>0.42442003170359338</v>
      </c>
      <c r="M102">
        <v>0.42136617981771018</v>
      </c>
      <c r="N102">
        <v>0.41921894237484508</v>
      </c>
      <c r="O102">
        <v>0.41879969075430162</v>
      </c>
      <c r="P102">
        <v>0.41978758404849331</v>
      </c>
      <c r="Q102">
        <v>0.42127791135464099</v>
      </c>
      <c r="R102">
        <v>0.42328962304228968</v>
      </c>
      <c r="S102">
        <v>0.42644010937544058</v>
      </c>
      <c r="T102">
        <v>0.43047681355453032</v>
      </c>
      <c r="U102">
        <v>0.43488706550108558</v>
      </c>
      <c r="V102">
        <v>0.43938018628687969</v>
      </c>
      <c r="W102">
        <v>0.44387321805177438</v>
      </c>
      <c r="X102">
        <v>0.44814105437674828</v>
      </c>
      <c r="Y102">
        <v>0.45219389863047571</v>
      </c>
      <c r="Z102">
        <v>0.45592952552554122</v>
      </c>
      <c r="AA102">
        <v>0.45907402051007418</v>
      </c>
      <c r="AB102">
        <v>0.46261622300866939</v>
      </c>
      <c r="AC102">
        <v>-1.669048086364366E-3</v>
      </c>
    </row>
    <row r="103" spans="1:29" x14ac:dyDescent="0.45">
      <c r="A103" t="s">
        <v>2618</v>
      </c>
      <c r="B103" t="s">
        <v>2586</v>
      </c>
      <c r="C103">
        <v>0.18442320911686599</v>
      </c>
      <c r="D103">
        <v>0.18312659707324941</v>
      </c>
      <c r="E103">
        <v>0.17485597932230601</v>
      </c>
      <c r="F103">
        <v>0.17043891785212839</v>
      </c>
      <c r="G103">
        <v>0.16800649690804101</v>
      </c>
      <c r="H103">
        <v>0.16515843310477599</v>
      </c>
      <c r="I103">
        <v>0.1610219421198448</v>
      </c>
      <c r="J103">
        <v>0.1579633912955985</v>
      </c>
      <c r="K103">
        <v>0.1556030800079983</v>
      </c>
      <c r="L103">
        <v>0.1527216794576135</v>
      </c>
      <c r="M103">
        <v>0.1502981023934056</v>
      </c>
      <c r="N103">
        <v>0.14791806881319991</v>
      </c>
      <c r="O103">
        <v>0.14600108629278091</v>
      </c>
      <c r="P103">
        <v>0.14432103177666589</v>
      </c>
      <c r="Q103">
        <v>0.1425540703610865</v>
      </c>
      <c r="R103">
        <v>0.14068824642808739</v>
      </c>
      <c r="S103">
        <v>0.13892688084953811</v>
      </c>
      <c r="T103">
        <v>0.13758607008865839</v>
      </c>
      <c r="U103">
        <v>0.13642142317834241</v>
      </c>
      <c r="V103">
        <v>0.13537257779122899</v>
      </c>
      <c r="W103">
        <v>0.13443825777677379</v>
      </c>
      <c r="X103">
        <v>0.13366647007242111</v>
      </c>
      <c r="Y103">
        <v>0.13307084875101211</v>
      </c>
      <c r="Z103">
        <v>0.13259565668134099</v>
      </c>
      <c r="AA103">
        <v>0.13205424478856961</v>
      </c>
      <c r="AB103">
        <v>0.13185768373982229</v>
      </c>
      <c r="AC103">
        <v>-1.333074709167059E-2</v>
      </c>
    </row>
    <row r="104" spans="1:29" x14ac:dyDescent="0.45">
      <c r="A104" t="s">
        <v>2619</v>
      </c>
      <c r="B104" t="s">
        <v>2588</v>
      </c>
      <c r="C104">
        <v>0.42535573277304201</v>
      </c>
      <c r="D104">
        <v>0.42110138785570289</v>
      </c>
      <c r="E104">
        <v>0.4051928043923525</v>
      </c>
      <c r="F104">
        <v>0.39970115029687708</v>
      </c>
      <c r="G104">
        <v>0.39825243790711651</v>
      </c>
      <c r="H104">
        <v>0.39307181868721108</v>
      </c>
      <c r="I104">
        <v>0.3848183680206001</v>
      </c>
      <c r="J104">
        <v>0.38011602622234619</v>
      </c>
      <c r="K104">
        <v>0.37755919763456008</v>
      </c>
      <c r="L104">
        <v>0.37399517859714559</v>
      </c>
      <c r="M104">
        <v>0.37162672347382109</v>
      </c>
      <c r="N104">
        <v>0.36933539311534691</v>
      </c>
      <c r="O104">
        <v>0.36792404537932227</v>
      </c>
      <c r="P104">
        <v>0.36700491119800399</v>
      </c>
      <c r="Q104">
        <v>0.3660627227467409</v>
      </c>
      <c r="R104">
        <v>0.35884705791217397</v>
      </c>
      <c r="S104">
        <v>0.35254952750891622</v>
      </c>
      <c r="T104">
        <v>0.34818269591905948</v>
      </c>
      <c r="U104">
        <v>0.34511408255135761</v>
      </c>
      <c r="V104">
        <v>0.3430295990054123</v>
      </c>
      <c r="W104">
        <v>0.34148756166699878</v>
      </c>
      <c r="X104">
        <v>0.34006065825227499</v>
      </c>
      <c r="Y104">
        <v>0.33872571840189208</v>
      </c>
      <c r="Z104">
        <v>0.33753679140080928</v>
      </c>
      <c r="AA104">
        <v>0.33615712111274387</v>
      </c>
      <c r="AB104">
        <v>0.33531432102638697</v>
      </c>
      <c r="AC104">
        <v>-9.4691811977454243E-3</v>
      </c>
    </row>
    <row r="105" spans="1:29" x14ac:dyDescent="0.45">
      <c r="A105" t="s">
        <v>2620</v>
      </c>
      <c r="B105" t="s">
        <v>2590</v>
      </c>
      <c r="C105">
        <v>9.4734021451028008E-2</v>
      </c>
      <c r="D105">
        <v>9.1842477481016399E-2</v>
      </c>
      <c r="E105">
        <v>8.5533603287784768E-2</v>
      </c>
      <c r="F105">
        <v>8.0919418070120513E-2</v>
      </c>
      <c r="G105">
        <v>7.7307522224994346E-2</v>
      </c>
      <c r="H105">
        <v>7.3555604928560989E-2</v>
      </c>
      <c r="I105">
        <v>6.9233364681977272E-2</v>
      </c>
      <c r="J105">
        <v>6.5304877379707485E-2</v>
      </c>
      <c r="K105">
        <v>6.2111279323504409E-2</v>
      </c>
      <c r="L105">
        <v>5.9148747604069907E-2</v>
      </c>
      <c r="M105">
        <v>5.6790074855312428E-2</v>
      </c>
      <c r="N105">
        <v>5.4889697305451332E-2</v>
      </c>
      <c r="O105">
        <v>5.3614304964438281E-2</v>
      </c>
      <c r="P105">
        <v>5.2914256097463988E-2</v>
      </c>
      <c r="Q105">
        <v>5.2688519544684682E-2</v>
      </c>
      <c r="R105">
        <v>5.2398619962923568E-2</v>
      </c>
      <c r="S105">
        <v>5.2117357395393221E-2</v>
      </c>
      <c r="T105">
        <v>5.1973679113025952E-2</v>
      </c>
      <c r="U105">
        <v>5.1879279647785062E-2</v>
      </c>
      <c r="V105">
        <v>5.1816454145975827E-2</v>
      </c>
      <c r="W105">
        <v>5.1786146135368381E-2</v>
      </c>
      <c r="X105">
        <v>5.1795421027661173E-2</v>
      </c>
      <c r="Y105">
        <v>5.1850326954789118E-2</v>
      </c>
      <c r="Z105">
        <v>5.1918340415785233E-2</v>
      </c>
      <c r="AA105">
        <v>5.1918010370819931E-2</v>
      </c>
      <c r="AB105">
        <v>5.2006119557720228E-2</v>
      </c>
      <c r="AC105">
        <v>-2.3703035369769251E-2</v>
      </c>
    </row>
    <row r="106" spans="1:29" x14ac:dyDescent="0.45">
      <c r="A106" t="s">
        <v>2621</v>
      </c>
      <c r="B106" t="s">
        <v>2592</v>
      </c>
      <c r="C106">
        <v>8.6448951541332725E-2</v>
      </c>
      <c r="D106">
        <v>8.7992773533175139E-2</v>
      </c>
      <c r="E106">
        <v>8.4672472821258754E-2</v>
      </c>
      <c r="F106">
        <v>8.2943361864479259E-2</v>
      </c>
      <c r="G106">
        <v>8.2092625400124575E-2</v>
      </c>
      <c r="H106">
        <v>8.1354821918953629E-2</v>
      </c>
      <c r="I106">
        <v>7.9925585798453602E-2</v>
      </c>
      <c r="J106">
        <v>7.8954251425738919E-2</v>
      </c>
      <c r="K106">
        <v>7.8455779724071542E-2</v>
      </c>
      <c r="L106">
        <v>7.782824287212281E-2</v>
      </c>
      <c r="M106">
        <v>7.755612117428802E-2</v>
      </c>
      <c r="N106">
        <v>7.7447359972361143E-2</v>
      </c>
      <c r="O106">
        <v>7.7725667636741935E-2</v>
      </c>
      <c r="P106">
        <v>7.8296635424038641E-2</v>
      </c>
      <c r="Q106">
        <v>7.8994528304156195E-2</v>
      </c>
      <c r="R106">
        <v>7.9577381612432274E-2</v>
      </c>
      <c r="S106">
        <v>8.0143793331769242E-2</v>
      </c>
      <c r="T106">
        <v>8.0888234785316052E-2</v>
      </c>
      <c r="U106">
        <v>8.1676430681637463E-2</v>
      </c>
      <c r="V106">
        <v>8.2479705599778852E-2</v>
      </c>
      <c r="W106">
        <v>8.3298341686469574E-2</v>
      </c>
      <c r="X106">
        <v>8.4145774905027643E-2</v>
      </c>
      <c r="Y106">
        <v>8.5036556194715451E-2</v>
      </c>
      <c r="Z106">
        <v>8.5922888312888135E-2</v>
      </c>
      <c r="AA106">
        <v>8.6674412608581941E-2</v>
      </c>
      <c r="AB106">
        <v>8.7554795103869709E-2</v>
      </c>
      <c r="AC106">
        <v>5.0855899174151453E-4</v>
      </c>
    </row>
    <row r="107" spans="1:29" x14ac:dyDescent="0.45">
      <c r="A107" t="s">
        <v>2622</v>
      </c>
      <c r="B107" t="s">
        <v>2594</v>
      </c>
      <c r="C107">
        <v>0.29041096528837063</v>
      </c>
      <c r="D107">
        <v>0.28235234587436298</v>
      </c>
      <c r="E107">
        <v>0.26479468715917232</v>
      </c>
      <c r="F107">
        <v>0.25425448129567058</v>
      </c>
      <c r="G107">
        <v>0.2466719909139701</v>
      </c>
      <c r="H107">
        <v>0.23922600532356139</v>
      </c>
      <c r="I107">
        <v>0.2301922575633977</v>
      </c>
      <c r="J107">
        <v>0.22325845259052679</v>
      </c>
      <c r="K107">
        <v>0.21771634025572109</v>
      </c>
      <c r="L107">
        <v>0.21175836608791371</v>
      </c>
      <c r="M107">
        <v>0.2067290985984897</v>
      </c>
      <c r="N107">
        <v>0.20206150763083491</v>
      </c>
      <c r="O107">
        <v>0.19822610776703059</v>
      </c>
      <c r="P107">
        <v>0.19499732337327561</v>
      </c>
      <c r="Q107">
        <v>0.1918588702471716</v>
      </c>
      <c r="R107">
        <v>0.18878724507271799</v>
      </c>
      <c r="S107">
        <v>0.18608231957595081</v>
      </c>
      <c r="T107">
        <v>0.18415377338788921</v>
      </c>
      <c r="U107">
        <v>0.18273498486123599</v>
      </c>
      <c r="V107">
        <v>0.18167524682852931</v>
      </c>
      <c r="W107">
        <v>0.18094056304597139</v>
      </c>
      <c r="X107">
        <v>0.18048394104656151</v>
      </c>
      <c r="Y107">
        <v>0.1801484872540064</v>
      </c>
      <c r="Z107">
        <v>0.17990637003580681</v>
      </c>
      <c r="AA107">
        <v>0.17953744059886509</v>
      </c>
      <c r="AB107">
        <v>0.17952766443011201</v>
      </c>
      <c r="AC107">
        <v>-1.9054826190392889E-2</v>
      </c>
    </row>
    <row r="108" spans="1:29" x14ac:dyDescent="0.45">
      <c r="A108" t="s">
        <v>2623</v>
      </c>
      <c r="B108" t="s">
        <v>2596</v>
      </c>
      <c r="C108">
        <v>0.2256776506537212</v>
      </c>
      <c r="D108">
        <v>0.22029384588689849</v>
      </c>
      <c r="E108">
        <v>0.2071882798442293</v>
      </c>
      <c r="F108">
        <v>0.1992122083039361</v>
      </c>
      <c r="G108">
        <v>0.19320816664584239</v>
      </c>
      <c r="H108">
        <v>0.1870455329481083</v>
      </c>
      <c r="I108">
        <v>0.17939273644367609</v>
      </c>
      <c r="J108">
        <v>0.17318900815442881</v>
      </c>
      <c r="K108">
        <v>0.16788297912356329</v>
      </c>
      <c r="L108">
        <v>0.16211424519331691</v>
      </c>
      <c r="M108">
        <v>0.1569397016522999</v>
      </c>
      <c r="N108">
        <v>0.15196089406417171</v>
      </c>
      <c r="O108">
        <v>0.1475473078547086</v>
      </c>
      <c r="P108">
        <v>0.14351528381354231</v>
      </c>
      <c r="Q108">
        <v>0.1395227950055058</v>
      </c>
      <c r="R108">
        <v>0.13558227607591719</v>
      </c>
      <c r="S108">
        <v>0.1319191632977173</v>
      </c>
      <c r="T108">
        <v>0.12887404586904111</v>
      </c>
      <c r="U108">
        <v>0.1262306826086019</v>
      </c>
      <c r="V108">
        <v>0.1239187700298149</v>
      </c>
      <c r="W108">
        <v>0.1219161543412516</v>
      </c>
      <c r="X108">
        <v>0.1202297955718772</v>
      </c>
      <c r="Y108">
        <v>0.11878063223337459</v>
      </c>
      <c r="Z108">
        <v>0.1175658296182102</v>
      </c>
      <c r="AA108">
        <v>0.1165029318132081</v>
      </c>
      <c r="AB108">
        <v>0.1158481809160775</v>
      </c>
      <c r="AC108">
        <v>-2.632049939931003E-2</v>
      </c>
    </row>
    <row r="109" spans="1:29" x14ac:dyDescent="0.45">
      <c r="A109" t="s">
        <v>2624</v>
      </c>
      <c r="B109" t="s">
        <v>2598</v>
      </c>
      <c r="C109">
        <v>0.36624160408285278</v>
      </c>
      <c r="D109">
        <v>0.35334690157787468</v>
      </c>
      <c r="E109">
        <v>0.33943380516548061</v>
      </c>
      <c r="F109">
        <v>0.33183321737644111</v>
      </c>
      <c r="G109">
        <v>0.32723421244068901</v>
      </c>
      <c r="H109">
        <v>0.32298255577717627</v>
      </c>
      <c r="I109">
        <v>0.315968434524316</v>
      </c>
      <c r="J109">
        <v>0.31153893963499218</v>
      </c>
      <c r="K109">
        <v>0.30822283142955281</v>
      </c>
      <c r="L109">
        <v>0.3037312296978007</v>
      </c>
      <c r="M109">
        <v>0.29978469585079481</v>
      </c>
      <c r="N109">
        <v>0.29551969881695428</v>
      </c>
      <c r="O109">
        <v>0.29145923816439911</v>
      </c>
      <c r="P109">
        <v>0.28720039201628489</v>
      </c>
      <c r="Q109">
        <v>0.282001890211659</v>
      </c>
      <c r="R109">
        <v>0.27594953159140889</v>
      </c>
      <c r="S109">
        <v>0.26941578606610989</v>
      </c>
      <c r="T109">
        <v>0.2635068051640842</v>
      </c>
      <c r="U109">
        <v>0.25753188519326031</v>
      </c>
      <c r="V109">
        <v>0.25156041313964561</v>
      </c>
      <c r="W109">
        <v>0.2457607045828942</v>
      </c>
      <c r="X109">
        <v>0.2400789375197698</v>
      </c>
      <c r="Y109">
        <v>0.23448835901419909</v>
      </c>
      <c r="Z109">
        <v>0.2292287524874897</v>
      </c>
      <c r="AA109">
        <v>0.2239802834267639</v>
      </c>
      <c r="AB109">
        <v>0.2194933710911926</v>
      </c>
      <c r="AC109">
        <v>-2.027058066643328E-2</v>
      </c>
    </row>
    <row r="110" spans="1:29" x14ac:dyDescent="0.45">
      <c r="A110" t="s">
        <v>2625</v>
      </c>
      <c r="B110" t="s">
        <v>2600</v>
      </c>
      <c r="C110">
        <v>5.4394083212918076</v>
      </c>
      <c r="D110">
        <v>5.4562158151548719</v>
      </c>
      <c r="E110">
        <v>5.0324087087289859</v>
      </c>
      <c r="F110">
        <v>5.0098464458255121</v>
      </c>
      <c r="G110">
        <v>5.0277623665602631</v>
      </c>
      <c r="H110">
        <v>5.044533812374528</v>
      </c>
      <c r="I110">
        <v>5.023543420312552</v>
      </c>
      <c r="J110">
        <v>5.0326491511996574</v>
      </c>
      <c r="K110">
        <v>5.0594797710006736</v>
      </c>
      <c r="L110">
        <v>5.0763900424942552</v>
      </c>
      <c r="M110">
        <v>5.1059983338062516</v>
      </c>
      <c r="N110">
        <v>5.135118134289165</v>
      </c>
      <c r="O110">
        <v>5.1772853340346803</v>
      </c>
      <c r="P110">
        <v>5.2258402633919907</v>
      </c>
      <c r="Q110">
        <v>5.2686156873688601</v>
      </c>
      <c r="R110">
        <v>5.2974974317642634</v>
      </c>
      <c r="S110">
        <v>5.3309084761633887</v>
      </c>
      <c r="T110">
        <v>5.378131935304661</v>
      </c>
      <c r="U110">
        <v>5.431978116003612</v>
      </c>
      <c r="V110">
        <v>5.4883640168042263</v>
      </c>
      <c r="W110">
        <v>5.5370587155273547</v>
      </c>
      <c r="X110">
        <v>5.5929296581276891</v>
      </c>
      <c r="Y110">
        <v>5.6490861365050131</v>
      </c>
      <c r="Z110">
        <v>5.7043994433238163</v>
      </c>
      <c r="AA110">
        <v>5.7533295902936246</v>
      </c>
      <c r="AB110">
        <v>5.8103400108726753</v>
      </c>
      <c r="AC110">
        <v>2.6422365836791251E-3</v>
      </c>
    </row>
    <row r="111" spans="1:29" x14ac:dyDescent="0.45">
      <c r="A111" t="s">
        <v>2626</v>
      </c>
      <c r="B111" t="s">
        <v>2627</v>
      </c>
      <c r="C111">
        <v>18.714155265065131</v>
      </c>
      <c r="D111">
        <v>18.476722362253629</v>
      </c>
      <c r="E111">
        <v>17.818991987184742</v>
      </c>
      <c r="F111">
        <v>17.613569232531649</v>
      </c>
      <c r="G111">
        <v>17.463517578420749</v>
      </c>
      <c r="H111">
        <v>17.280955520015741</v>
      </c>
      <c r="I111">
        <v>17.002584792626219</v>
      </c>
      <c r="J111">
        <v>16.815261949565262</v>
      </c>
      <c r="K111">
        <v>16.682466227307451</v>
      </c>
      <c r="L111">
        <v>16.530286945023281</v>
      </c>
      <c r="M111">
        <v>16.419574540252921</v>
      </c>
      <c r="N111">
        <v>16.319463862241889</v>
      </c>
      <c r="O111">
        <v>16.254771826069948</v>
      </c>
      <c r="P111">
        <v>16.213455813367581</v>
      </c>
      <c r="Q111">
        <v>16.166691141455679</v>
      </c>
      <c r="R111">
        <v>16.100884147760119</v>
      </c>
      <c r="S111">
        <v>16.047774780306021</v>
      </c>
      <c r="T111">
        <v>16.037862786267041</v>
      </c>
      <c r="U111">
        <v>16.048698079351631</v>
      </c>
      <c r="V111">
        <v>16.067042162888988</v>
      </c>
      <c r="W111">
        <v>16.083355450015919</v>
      </c>
      <c r="X111">
        <v>16.104933885439131</v>
      </c>
      <c r="Y111">
        <v>16.125921187568348</v>
      </c>
      <c r="Z111">
        <v>16.14544495200089</v>
      </c>
      <c r="AA111">
        <v>16.153224063671079</v>
      </c>
      <c r="AB111">
        <v>16.17965863370436</v>
      </c>
      <c r="AC111">
        <v>-5.8041063217070246E-3</v>
      </c>
    </row>
    <row r="112" spans="1:29" x14ac:dyDescent="0.45">
      <c r="A112" t="s">
        <v>2628</v>
      </c>
      <c r="B112" t="s">
        <v>2604</v>
      </c>
      <c r="C112">
        <v>0.16650426387786871</v>
      </c>
      <c r="D112">
        <v>0.21598678827285769</v>
      </c>
      <c r="E112">
        <v>0.26925423741340643</v>
      </c>
      <c r="F112">
        <v>0.33086007833480829</v>
      </c>
      <c r="G112">
        <v>0.39272016286849981</v>
      </c>
      <c r="H112">
        <v>0.44976556301116938</v>
      </c>
      <c r="I112">
        <v>0.49374240636825562</v>
      </c>
      <c r="J112">
        <v>0.53491902351379395</v>
      </c>
      <c r="K112">
        <v>0.57697665691375732</v>
      </c>
      <c r="L112">
        <v>0.61697202920913696</v>
      </c>
      <c r="M112">
        <v>0.65833103656768799</v>
      </c>
      <c r="N112">
        <v>0.69895559549331665</v>
      </c>
      <c r="O112">
        <v>0.74106138944625854</v>
      </c>
      <c r="P112">
        <v>0.78339946269989014</v>
      </c>
      <c r="Q112">
        <v>0.82336235046386719</v>
      </c>
      <c r="R112">
        <v>0.86093109846115112</v>
      </c>
      <c r="S112">
        <v>0.89607590436935425</v>
      </c>
      <c r="T112">
        <v>0.93168854713439941</v>
      </c>
      <c r="U112">
        <v>0.96628403663635254</v>
      </c>
      <c r="V112">
        <v>0.99982988834381104</v>
      </c>
      <c r="W112">
        <v>1.0322592258453369</v>
      </c>
      <c r="X112">
        <v>1.0633754730224609</v>
      </c>
      <c r="Y112">
        <v>1.093294620513916</v>
      </c>
      <c r="Z112">
        <v>1.122296094894409</v>
      </c>
      <c r="AA112">
        <v>1.147966623306274</v>
      </c>
      <c r="AB112">
        <v>1.174582958221436</v>
      </c>
      <c r="AC112">
        <v>8.1280406684162143E-2</v>
      </c>
    </row>
    <row r="113" spans="1:29" x14ac:dyDescent="0.45">
      <c r="A113" t="s">
        <v>2629</v>
      </c>
      <c r="B113" t="s">
        <v>2606</v>
      </c>
      <c r="C113">
        <v>0.18513305485248571</v>
      </c>
      <c r="D113">
        <v>0.19618113338947299</v>
      </c>
      <c r="E113">
        <v>0.20806993544101721</v>
      </c>
      <c r="F113">
        <v>0.2202898561954498</v>
      </c>
      <c r="G113">
        <v>0.23191364109516141</v>
      </c>
      <c r="H113">
        <v>0.24404700100421911</v>
      </c>
      <c r="I113">
        <v>0.25698700547218323</v>
      </c>
      <c r="J113">
        <v>0.26999360322952271</v>
      </c>
      <c r="K113">
        <v>0.28355693817138672</v>
      </c>
      <c r="L113">
        <v>0.29791304469108582</v>
      </c>
      <c r="M113">
        <v>0.31315085291862488</v>
      </c>
      <c r="N113">
        <v>0.32913258671760559</v>
      </c>
      <c r="O113">
        <v>0.3461628258228302</v>
      </c>
      <c r="P113">
        <v>0.36398994922637939</v>
      </c>
      <c r="Q113">
        <v>0.38263362646102911</v>
      </c>
      <c r="R113">
        <v>0.40191635489463812</v>
      </c>
      <c r="S113">
        <v>0.42191752791404719</v>
      </c>
      <c r="T113">
        <v>0.44253355264663702</v>
      </c>
      <c r="U113">
        <v>0.46366396546363831</v>
      </c>
      <c r="V113">
        <v>0.48558345437049871</v>
      </c>
      <c r="W113">
        <v>0.50805890560150146</v>
      </c>
      <c r="X113">
        <v>0.53128021955490112</v>
      </c>
      <c r="Y113">
        <v>0.55522787570953369</v>
      </c>
      <c r="Z113">
        <v>0.58007967472076416</v>
      </c>
      <c r="AA113">
        <v>0.60541057586669922</v>
      </c>
      <c r="AB113">
        <v>0.63153308629989624</v>
      </c>
      <c r="AC113">
        <v>5.0307545821676403E-2</v>
      </c>
    </row>
    <row r="114" spans="1:29" x14ac:dyDescent="0.45">
      <c r="A114" t="s">
        <v>2630</v>
      </c>
      <c r="B114" t="s">
        <v>2631</v>
      </c>
      <c r="C114">
        <v>18.695526474090521</v>
      </c>
      <c r="D114">
        <v>18.49652801713701</v>
      </c>
      <c r="E114">
        <v>17.880176289157131</v>
      </c>
      <c r="F114">
        <v>17.724139454671011</v>
      </c>
      <c r="G114">
        <v>17.624324100194091</v>
      </c>
      <c r="H114">
        <v>17.486674082022692</v>
      </c>
      <c r="I114">
        <v>17.239340193522299</v>
      </c>
      <c r="J114">
        <v>17.080187369849529</v>
      </c>
      <c r="K114">
        <v>16.975885946049821</v>
      </c>
      <c r="L114">
        <v>16.849345929541339</v>
      </c>
      <c r="M114">
        <v>16.76475472390198</v>
      </c>
      <c r="N114">
        <v>16.6892868710176</v>
      </c>
      <c r="O114">
        <v>16.64967038969338</v>
      </c>
      <c r="P114">
        <v>16.632865326841092</v>
      </c>
      <c r="Q114">
        <v>16.607419865458521</v>
      </c>
      <c r="R114">
        <v>16.55989889132664</v>
      </c>
      <c r="S114">
        <v>16.521933156761321</v>
      </c>
      <c r="T114">
        <v>16.5270177807548</v>
      </c>
      <c r="U114">
        <v>16.551318150524349</v>
      </c>
      <c r="V114">
        <v>16.581288596862301</v>
      </c>
      <c r="W114">
        <v>16.607555770259761</v>
      </c>
      <c r="X114">
        <v>16.637029138906691</v>
      </c>
      <c r="Y114">
        <v>16.663987932372731</v>
      </c>
      <c r="Z114">
        <v>16.687661372174539</v>
      </c>
      <c r="AA114">
        <v>16.695780111110651</v>
      </c>
      <c r="AB114">
        <v>16.722708505625899</v>
      </c>
      <c r="AC114">
        <v>-4.4507333100763944E-3</v>
      </c>
    </row>
    <row r="116" spans="1:29" x14ac:dyDescent="0.45">
      <c r="B116" t="s">
        <v>2632</v>
      </c>
    </row>
    <row r="117" spans="1:29" x14ac:dyDescent="0.45">
      <c r="A117" t="s">
        <v>2633</v>
      </c>
      <c r="B117" t="s">
        <v>2634</v>
      </c>
      <c r="C117">
        <v>4.9685503999999998E-2</v>
      </c>
      <c r="D117">
        <v>4.8801575999999999E-2</v>
      </c>
      <c r="E117">
        <v>4.9416995999999998E-2</v>
      </c>
      <c r="F117">
        <v>4.8901359999999998E-2</v>
      </c>
      <c r="G117">
        <v>4.8594643999999999E-2</v>
      </c>
      <c r="H117">
        <v>4.8425808000000001E-2</v>
      </c>
      <c r="I117">
        <v>4.8258632000000003E-2</v>
      </c>
      <c r="J117">
        <v>4.7826232000000003E-2</v>
      </c>
      <c r="K117">
        <v>4.7666991999999998E-2</v>
      </c>
      <c r="L117">
        <v>4.7592375999999999E-2</v>
      </c>
      <c r="M117">
        <v>4.7389559999999997E-2</v>
      </c>
      <c r="N117">
        <v>4.7232855999999997E-2</v>
      </c>
      <c r="O117">
        <v>4.7174232000000003E-2</v>
      </c>
      <c r="P117">
        <v>4.7139920000000002E-2</v>
      </c>
      <c r="Q117">
        <v>4.7047671999999999E-2</v>
      </c>
      <c r="R117">
        <v>4.7018655999999999E-2</v>
      </c>
      <c r="S117">
        <v>4.6748188000000003E-2</v>
      </c>
      <c r="T117">
        <v>4.6572684000000003E-2</v>
      </c>
      <c r="U117">
        <v>4.6285883999999999E-2</v>
      </c>
      <c r="V117">
        <v>4.6040240000000003E-2</v>
      </c>
      <c r="W117">
        <v>4.5849444000000003E-2</v>
      </c>
      <c r="X117">
        <v>4.5748400000000002E-2</v>
      </c>
      <c r="Y117">
        <v>4.5539695999999998E-2</v>
      </c>
      <c r="Z117">
        <v>4.5423287999999999E-2</v>
      </c>
      <c r="AA117">
        <v>4.5241115999999998E-2</v>
      </c>
      <c r="AB117">
        <v>4.4973751999999999E-2</v>
      </c>
      <c r="AC117">
        <v>-3.9774365555526048E-3</v>
      </c>
    </row>
    <row r="118" spans="1:29" x14ac:dyDescent="0.45">
      <c r="A118" t="s">
        <v>2635</v>
      </c>
      <c r="B118" t="s">
        <v>2636</v>
      </c>
      <c r="C118">
        <v>0.22438438236713409</v>
      </c>
      <c r="D118">
        <v>0.23718477785587311</v>
      </c>
      <c r="E118">
        <v>0.25163364410400391</v>
      </c>
      <c r="F118">
        <v>0.26653721928596502</v>
      </c>
      <c r="G118">
        <v>0.28042688965797419</v>
      </c>
      <c r="H118">
        <v>0.29501697421073908</v>
      </c>
      <c r="I118">
        <v>0.31080970168113708</v>
      </c>
      <c r="J118">
        <v>0.32653322815895081</v>
      </c>
      <c r="K118">
        <v>0.34300875663757319</v>
      </c>
      <c r="L118">
        <v>0.36046761274337769</v>
      </c>
      <c r="M118">
        <v>0.37908229231834412</v>
      </c>
      <c r="N118">
        <v>0.39858260750770569</v>
      </c>
      <c r="O118">
        <v>0.41947066783905029</v>
      </c>
      <c r="P118">
        <v>0.4413415789604187</v>
      </c>
      <c r="Q118">
        <v>0.46438413858413702</v>
      </c>
      <c r="R118">
        <v>0.48823532462120062</v>
      </c>
      <c r="S118">
        <v>0.51302868127822876</v>
      </c>
      <c r="T118">
        <v>0.53851747512817383</v>
      </c>
      <c r="U118">
        <v>0.56479382514953613</v>
      </c>
      <c r="V118">
        <v>0.5920870304107666</v>
      </c>
      <c r="W118">
        <v>0.61999595165252686</v>
      </c>
      <c r="X118">
        <v>0.64872235059738159</v>
      </c>
      <c r="Y118">
        <v>0.67828959226608276</v>
      </c>
      <c r="Z118">
        <v>0.70909136533737183</v>
      </c>
      <c r="AA118">
        <v>0.74038064479827881</v>
      </c>
      <c r="AB118">
        <v>0.7727934718132019</v>
      </c>
      <c r="AC118">
        <v>5.0709920490154207E-2</v>
      </c>
    </row>
    <row r="119" spans="1:29" x14ac:dyDescent="0.45">
      <c r="A119" t="s">
        <v>2637</v>
      </c>
      <c r="B119" t="s">
        <v>2638</v>
      </c>
      <c r="C119">
        <v>5.8779853861778975E-4</v>
      </c>
      <c r="D119">
        <v>5.883243284188211E-4</v>
      </c>
      <c r="E119">
        <v>5.8896513655781746E-4</v>
      </c>
      <c r="F119">
        <v>5.8960117166861892E-4</v>
      </c>
      <c r="G119">
        <v>5.9062830405309796E-4</v>
      </c>
      <c r="H119">
        <v>5.9240957489237189E-4</v>
      </c>
      <c r="I119">
        <v>5.9563992545008659E-4</v>
      </c>
      <c r="J119">
        <v>6.006661569699645E-4</v>
      </c>
      <c r="K119">
        <v>6.0838687932118773E-4</v>
      </c>
      <c r="L119">
        <v>6.1899487627670169E-4</v>
      </c>
      <c r="M119">
        <v>6.3164823222905397E-4</v>
      </c>
      <c r="N119">
        <v>6.4583314815536141E-4</v>
      </c>
      <c r="O119">
        <v>6.6153763327747583E-4</v>
      </c>
      <c r="P119">
        <v>6.7802233388647437E-4</v>
      </c>
      <c r="Q119">
        <v>6.9491489557549357E-4</v>
      </c>
      <c r="R119">
        <v>7.1281311102211475E-4</v>
      </c>
      <c r="S119">
        <v>7.3276489274576306E-4</v>
      </c>
      <c r="T119">
        <v>7.5405789539217949E-4</v>
      </c>
      <c r="U119">
        <v>7.7602959936484694E-4</v>
      </c>
      <c r="V119">
        <v>7.985290139913559E-4</v>
      </c>
      <c r="W119">
        <v>8.2174333510920405E-4</v>
      </c>
      <c r="X119">
        <v>8.4689923096448183E-4</v>
      </c>
      <c r="Y119">
        <v>8.7301706662401557E-4</v>
      </c>
      <c r="Z119">
        <v>9.0274040121585131E-4</v>
      </c>
      <c r="AA119">
        <v>9.3279540305957198E-4</v>
      </c>
      <c r="AB119">
        <v>9.6316100098192692E-4</v>
      </c>
      <c r="AC119">
        <v>1.99498431218279E-2</v>
      </c>
    </row>
    <row r="120" spans="1:29" x14ac:dyDescent="0.45">
      <c r="A120" t="s">
        <v>2639</v>
      </c>
      <c r="B120" t="s">
        <v>2640</v>
      </c>
      <c r="C120">
        <v>0.27465768490575188</v>
      </c>
      <c r="D120">
        <v>0.28657467818429189</v>
      </c>
      <c r="E120">
        <v>0.30163960524056171</v>
      </c>
      <c r="F120">
        <v>0.31602818045763359</v>
      </c>
      <c r="G120">
        <v>0.32961216196202742</v>
      </c>
      <c r="H120">
        <v>0.34403519178563152</v>
      </c>
      <c r="I120">
        <v>0.3596639736065872</v>
      </c>
      <c r="J120">
        <v>0.37496012631592079</v>
      </c>
      <c r="K120">
        <v>0.39128413551689439</v>
      </c>
      <c r="L120">
        <v>0.40867898361965438</v>
      </c>
      <c r="M120">
        <v>0.42710350055057322</v>
      </c>
      <c r="N120">
        <v>0.44646129665586098</v>
      </c>
      <c r="O120">
        <v>0.46730643747232781</v>
      </c>
      <c r="P120">
        <v>0.48915952129430518</v>
      </c>
      <c r="Q120">
        <v>0.5121267254797125</v>
      </c>
      <c r="R120">
        <v>0.53596679373222267</v>
      </c>
      <c r="S120">
        <v>0.56050963417097455</v>
      </c>
      <c r="T120">
        <v>0.58584421702356604</v>
      </c>
      <c r="U120">
        <v>0.61185573874890098</v>
      </c>
      <c r="V120">
        <v>0.63892579942475791</v>
      </c>
      <c r="W120">
        <v>0.66666713898763608</v>
      </c>
      <c r="X120">
        <v>0.6953176498283461</v>
      </c>
      <c r="Y120">
        <v>0.72470230533270674</v>
      </c>
      <c r="Z120">
        <v>0.75541739373858763</v>
      </c>
      <c r="AA120">
        <v>0.78655455620133841</v>
      </c>
      <c r="AB120">
        <v>0.81873038481418381</v>
      </c>
      <c r="AC120">
        <v>4.4657595130769501E-2</v>
      </c>
    </row>
    <row r="122" spans="1:29" x14ac:dyDescent="0.45">
      <c r="B122" t="s">
        <v>2462</v>
      </c>
    </row>
    <row r="123" spans="1:29" x14ac:dyDescent="0.45">
      <c r="A123" t="s">
        <v>2641</v>
      </c>
      <c r="B123" t="s">
        <v>2642</v>
      </c>
      <c r="C123">
        <v>6045</v>
      </c>
      <c r="D123">
        <v>5873</v>
      </c>
      <c r="E123">
        <v>5850</v>
      </c>
      <c r="F123">
        <v>5826</v>
      </c>
      <c r="G123">
        <v>5803</v>
      </c>
      <c r="H123">
        <v>5779</v>
      </c>
      <c r="I123">
        <v>5755</v>
      </c>
      <c r="J123">
        <v>5732</v>
      </c>
      <c r="K123">
        <v>5708</v>
      </c>
      <c r="L123">
        <v>5684</v>
      </c>
      <c r="M123">
        <v>5661</v>
      </c>
      <c r="N123">
        <v>5637</v>
      </c>
      <c r="O123">
        <v>5613</v>
      </c>
      <c r="P123">
        <v>5589</v>
      </c>
      <c r="Q123">
        <v>5566</v>
      </c>
      <c r="R123">
        <v>5542</v>
      </c>
      <c r="S123">
        <v>5518</v>
      </c>
      <c r="T123">
        <v>5495</v>
      </c>
      <c r="U123">
        <v>5471</v>
      </c>
      <c r="V123">
        <v>5447</v>
      </c>
      <c r="W123">
        <v>5423</v>
      </c>
      <c r="X123">
        <v>5400</v>
      </c>
      <c r="Y123">
        <v>5376</v>
      </c>
      <c r="Z123">
        <v>5352</v>
      </c>
      <c r="AA123">
        <v>5328</v>
      </c>
      <c r="AB123">
        <v>5305</v>
      </c>
      <c r="AC123">
        <v>-5.2096509329098151E-3</v>
      </c>
    </row>
    <row r="124" spans="1:29" x14ac:dyDescent="0.45">
      <c r="A124" t="s">
        <v>2643</v>
      </c>
      <c r="B124" t="s">
        <v>2644</v>
      </c>
      <c r="C124">
        <v>5404</v>
      </c>
      <c r="D124">
        <v>5271</v>
      </c>
      <c r="E124">
        <v>5249</v>
      </c>
      <c r="F124">
        <v>5228</v>
      </c>
      <c r="G124">
        <v>5207</v>
      </c>
      <c r="H124">
        <v>5185</v>
      </c>
      <c r="I124">
        <v>5164</v>
      </c>
      <c r="J124">
        <v>5142</v>
      </c>
      <c r="K124">
        <v>5121</v>
      </c>
      <c r="L124">
        <v>5100</v>
      </c>
      <c r="M124">
        <v>5078</v>
      </c>
      <c r="N124">
        <v>5057</v>
      </c>
      <c r="O124">
        <v>5035</v>
      </c>
      <c r="P124">
        <v>5014</v>
      </c>
      <c r="Q124">
        <v>4993</v>
      </c>
      <c r="R124">
        <v>4971</v>
      </c>
      <c r="S124">
        <v>4950</v>
      </c>
      <c r="T124">
        <v>4929</v>
      </c>
      <c r="U124">
        <v>4907</v>
      </c>
      <c r="V124">
        <v>4886</v>
      </c>
      <c r="W124">
        <v>4865</v>
      </c>
      <c r="X124">
        <v>4843</v>
      </c>
      <c r="Y124">
        <v>4822</v>
      </c>
      <c r="Z124">
        <v>4801</v>
      </c>
      <c r="AA124">
        <v>4780</v>
      </c>
      <c r="AB124">
        <v>4758</v>
      </c>
      <c r="AC124">
        <v>-5.0795356335953112E-3</v>
      </c>
    </row>
    <row r="125" spans="1:29" x14ac:dyDescent="0.45">
      <c r="A125" t="s">
        <v>2645</v>
      </c>
      <c r="B125" t="s">
        <v>2646</v>
      </c>
      <c r="C125">
        <v>5984</v>
      </c>
      <c r="D125">
        <v>5836</v>
      </c>
      <c r="E125">
        <v>5817</v>
      </c>
      <c r="F125">
        <v>5798</v>
      </c>
      <c r="G125">
        <v>5779</v>
      </c>
      <c r="H125">
        <v>5760</v>
      </c>
      <c r="I125">
        <v>5741</v>
      </c>
      <c r="J125">
        <v>5722</v>
      </c>
      <c r="K125">
        <v>5703</v>
      </c>
      <c r="L125">
        <v>5683</v>
      </c>
      <c r="M125">
        <v>5664</v>
      </c>
      <c r="N125">
        <v>5645</v>
      </c>
      <c r="O125">
        <v>5626</v>
      </c>
      <c r="P125">
        <v>5607</v>
      </c>
      <c r="Q125">
        <v>5588</v>
      </c>
      <c r="R125">
        <v>5569</v>
      </c>
      <c r="S125">
        <v>5549</v>
      </c>
      <c r="T125">
        <v>5530</v>
      </c>
      <c r="U125">
        <v>5511</v>
      </c>
      <c r="V125">
        <v>5492</v>
      </c>
      <c r="W125">
        <v>5473</v>
      </c>
      <c r="X125">
        <v>5453</v>
      </c>
      <c r="Y125">
        <v>5434</v>
      </c>
      <c r="Z125">
        <v>5415</v>
      </c>
      <c r="AA125">
        <v>5396</v>
      </c>
      <c r="AB125">
        <v>5377</v>
      </c>
      <c r="AC125">
        <v>-4.2692066307929988E-3</v>
      </c>
    </row>
    <row r="126" spans="1:29" x14ac:dyDescent="0.45">
      <c r="A126" t="s">
        <v>2647</v>
      </c>
      <c r="B126" t="s">
        <v>2648</v>
      </c>
      <c r="C126">
        <v>6267</v>
      </c>
      <c r="D126">
        <v>6263</v>
      </c>
      <c r="E126">
        <v>6251</v>
      </c>
      <c r="F126">
        <v>6239</v>
      </c>
      <c r="G126">
        <v>6227</v>
      </c>
      <c r="H126">
        <v>6215</v>
      </c>
      <c r="I126">
        <v>6203</v>
      </c>
      <c r="J126">
        <v>6191</v>
      </c>
      <c r="K126">
        <v>6178</v>
      </c>
      <c r="L126">
        <v>6166</v>
      </c>
      <c r="M126">
        <v>6153</v>
      </c>
      <c r="N126">
        <v>6141</v>
      </c>
      <c r="O126">
        <v>6128</v>
      </c>
      <c r="P126">
        <v>6116</v>
      </c>
      <c r="Q126">
        <v>6103</v>
      </c>
      <c r="R126">
        <v>6091</v>
      </c>
      <c r="S126">
        <v>6078</v>
      </c>
      <c r="T126">
        <v>6066</v>
      </c>
      <c r="U126">
        <v>6053</v>
      </c>
      <c r="V126">
        <v>6040</v>
      </c>
      <c r="W126">
        <v>6028</v>
      </c>
      <c r="X126">
        <v>6015</v>
      </c>
      <c r="Y126">
        <v>6002</v>
      </c>
      <c r="Z126">
        <v>5990</v>
      </c>
      <c r="AA126">
        <v>5977</v>
      </c>
      <c r="AB126">
        <v>5964</v>
      </c>
      <c r="AC126">
        <v>-1.980291603725814E-3</v>
      </c>
    </row>
    <row r="127" spans="1:29" x14ac:dyDescent="0.45">
      <c r="A127" t="s">
        <v>2649</v>
      </c>
      <c r="B127" t="s">
        <v>2650</v>
      </c>
      <c r="C127">
        <v>2431</v>
      </c>
      <c r="D127">
        <v>2296</v>
      </c>
      <c r="E127">
        <v>2280</v>
      </c>
      <c r="F127">
        <v>2263</v>
      </c>
      <c r="G127">
        <v>2245</v>
      </c>
      <c r="H127">
        <v>2228</v>
      </c>
      <c r="I127">
        <v>2210</v>
      </c>
      <c r="J127">
        <v>2192</v>
      </c>
      <c r="K127">
        <v>2175</v>
      </c>
      <c r="L127">
        <v>2157</v>
      </c>
      <c r="M127">
        <v>2139</v>
      </c>
      <c r="N127">
        <v>2122</v>
      </c>
      <c r="O127">
        <v>2104</v>
      </c>
      <c r="P127">
        <v>2087</v>
      </c>
      <c r="Q127">
        <v>2069</v>
      </c>
      <c r="R127">
        <v>2052</v>
      </c>
      <c r="S127">
        <v>2034</v>
      </c>
      <c r="T127">
        <v>2017</v>
      </c>
      <c r="U127">
        <v>2000</v>
      </c>
      <c r="V127">
        <v>1982</v>
      </c>
      <c r="W127">
        <v>1965</v>
      </c>
      <c r="X127">
        <v>1948</v>
      </c>
      <c r="Y127">
        <v>1930</v>
      </c>
      <c r="Z127">
        <v>1913</v>
      </c>
      <c r="AA127">
        <v>1896</v>
      </c>
      <c r="AB127">
        <v>1879</v>
      </c>
      <c r="AC127">
        <v>-1.024962983363786E-2</v>
      </c>
    </row>
    <row r="128" spans="1:29" x14ac:dyDescent="0.45">
      <c r="A128" t="s">
        <v>2651</v>
      </c>
      <c r="B128" t="s">
        <v>2652</v>
      </c>
      <c r="C128">
        <v>3231</v>
      </c>
      <c r="D128">
        <v>3099</v>
      </c>
      <c r="E128">
        <v>3084</v>
      </c>
      <c r="F128">
        <v>3069</v>
      </c>
      <c r="G128">
        <v>3053</v>
      </c>
      <c r="H128">
        <v>3038</v>
      </c>
      <c r="I128">
        <v>3023</v>
      </c>
      <c r="J128">
        <v>3008</v>
      </c>
      <c r="K128">
        <v>2992</v>
      </c>
      <c r="L128">
        <v>2977</v>
      </c>
      <c r="M128">
        <v>2961</v>
      </c>
      <c r="N128">
        <v>2946</v>
      </c>
      <c r="O128">
        <v>2930</v>
      </c>
      <c r="P128">
        <v>2915</v>
      </c>
      <c r="Q128">
        <v>2900</v>
      </c>
      <c r="R128">
        <v>2884</v>
      </c>
      <c r="S128">
        <v>2869</v>
      </c>
      <c r="T128">
        <v>2853</v>
      </c>
      <c r="U128">
        <v>2838</v>
      </c>
      <c r="V128">
        <v>2822</v>
      </c>
      <c r="W128">
        <v>2807</v>
      </c>
      <c r="X128">
        <v>2791</v>
      </c>
      <c r="Y128">
        <v>2776</v>
      </c>
      <c r="Z128">
        <v>2760</v>
      </c>
      <c r="AA128">
        <v>2745</v>
      </c>
      <c r="AB128">
        <v>2730</v>
      </c>
      <c r="AC128">
        <v>-6.7169429162804439E-3</v>
      </c>
    </row>
    <row r="129" spans="1:29" x14ac:dyDescent="0.45">
      <c r="A129" t="s">
        <v>2653</v>
      </c>
      <c r="B129" t="s">
        <v>2654</v>
      </c>
      <c r="C129">
        <v>1966</v>
      </c>
      <c r="D129">
        <v>1889</v>
      </c>
      <c r="E129">
        <v>1880</v>
      </c>
      <c r="F129">
        <v>1870</v>
      </c>
      <c r="G129">
        <v>1860</v>
      </c>
      <c r="H129">
        <v>1851</v>
      </c>
      <c r="I129">
        <v>1841</v>
      </c>
      <c r="J129">
        <v>1831</v>
      </c>
      <c r="K129">
        <v>1822</v>
      </c>
      <c r="L129">
        <v>1812</v>
      </c>
      <c r="M129">
        <v>1803</v>
      </c>
      <c r="N129">
        <v>1793</v>
      </c>
      <c r="O129">
        <v>1784</v>
      </c>
      <c r="P129">
        <v>1774</v>
      </c>
      <c r="Q129">
        <v>1765</v>
      </c>
      <c r="R129">
        <v>1756</v>
      </c>
      <c r="S129">
        <v>1746</v>
      </c>
      <c r="T129">
        <v>1737</v>
      </c>
      <c r="U129">
        <v>1728</v>
      </c>
      <c r="V129">
        <v>1718</v>
      </c>
      <c r="W129">
        <v>1709</v>
      </c>
      <c r="X129">
        <v>1700</v>
      </c>
      <c r="Y129">
        <v>1690</v>
      </c>
      <c r="Z129">
        <v>1681</v>
      </c>
      <c r="AA129">
        <v>1672</v>
      </c>
      <c r="AB129">
        <v>1663</v>
      </c>
      <c r="AC129">
        <v>-6.6727505264080333E-3</v>
      </c>
    </row>
    <row r="130" spans="1:29" x14ac:dyDescent="0.45">
      <c r="A130" t="s">
        <v>2655</v>
      </c>
      <c r="B130" t="s">
        <v>2656</v>
      </c>
      <c r="C130">
        <v>4734</v>
      </c>
      <c r="D130">
        <v>4833</v>
      </c>
      <c r="E130">
        <v>4825</v>
      </c>
      <c r="F130">
        <v>4816</v>
      </c>
      <c r="G130">
        <v>4807</v>
      </c>
      <c r="H130">
        <v>4799</v>
      </c>
      <c r="I130">
        <v>4790</v>
      </c>
      <c r="J130">
        <v>4782</v>
      </c>
      <c r="K130">
        <v>4774</v>
      </c>
      <c r="L130">
        <v>4766</v>
      </c>
      <c r="M130">
        <v>4758</v>
      </c>
      <c r="N130">
        <v>4750</v>
      </c>
      <c r="O130">
        <v>4742</v>
      </c>
      <c r="P130">
        <v>4734</v>
      </c>
      <c r="Q130">
        <v>4726</v>
      </c>
      <c r="R130">
        <v>4718</v>
      </c>
      <c r="S130">
        <v>4710</v>
      </c>
      <c r="T130">
        <v>4702</v>
      </c>
      <c r="U130">
        <v>4694</v>
      </c>
      <c r="V130">
        <v>4687</v>
      </c>
      <c r="W130">
        <v>4679</v>
      </c>
      <c r="X130">
        <v>4671</v>
      </c>
      <c r="Y130">
        <v>4664</v>
      </c>
      <c r="Z130">
        <v>4656</v>
      </c>
      <c r="AA130">
        <v>4648</v>
      </c>
      <c r="AB130">
        <v>4641</v>
      </c>
      <c r="AC130">
        <v>-7.9331119546310891E-4</v>
      </c>
    </row>
    <row r="131" spans="1:29" x14ac:dyDescent="0.45">
      <c r="A131" t="s">
        <v>2657</v>
      </c>
      <c r="B131" t="s">
        <v>2658</v>
      </c>
      <c r="C131">
        <v>3251</v>
      </c>
      <c r="D131">
        <v>3291</v>
      </c>
      <c r="E131">
        <v>3285</v>
      </c>
      <c r="F131">
        <v>3279</v>
      </c>
      <c r="G131">
        <v>3272</v>
      </c>
      <c r="H131">
        <v>3266</v>
      </c>
      <c r="I131">
        <v>3259</v>
      </c>
      <c r="J131">
        <v>3252</v>
      </c>
      <c r="K131">
        <v>3245</v>
      </c>
      <c r="L131">
        <v>3238</v>
      </c>
      <c r="M131">
        <v>3231</v>
      </c>
      <c r="N131">
        <v>3224</v>
      </c>
      <c r="O131">
        <v>3216</v>
      </c>
      <c r="P131">
        <v>3209</v>
      </c>
      <c r="Q131">
        <v>3202</v>
      </c>
      <c r="R131">
        <v>3195</v>
      </c>
      <c r="S131">
        <v>3187</v>
      </c>
      <c r="T131">
        <v>3180</v>
      </c>
      <c r="U131">
        <v>3173</v>
      </c>
      <c r="V131">
        <v>3165</v>
      </c>
      <c r="W131">
        <v>3158</v>
      </c>
      <c r="X131">
        <v>3151</v>
      </c>
      <c r="Y131">
        <v>3143</v>
      </c>
      <c r="Z131">
        <v>3136</v>
      </c>
      <c r="AA131">
        <v>3129</v>
      </c>
      <c r="AB131">
        <v>3122</v>
      </c>
      <c r="AC131">
        <v>-1.61824200126981E-3</v>
      </c>
    </row>
    <row r="132" spans="1:29" x14ac:dyDescent="0.45">
      <c r="A132" t="s">
        <v>2659</v>
      </c>
      <c r="B132" t="s">
        <v>2660</v>
      </c>
      <c r="C132">
        <v>3989.572265625</v>
      </c>
      <c r="D132">
        <v>3910.10595703125</v>
      </c>
      <c r="E132">
        <v>3891.6015625</v>
      </c>
      <c r="F132">
        <v>3872.8251953125</v>
      </c>
      <c r="G132">
        <v>3853.715576171875</v>
      </c>
      <c r="H132">
        <v>3835.1279296875</v>
      </c>
      <c r="I132">
        <v>3816.111328125</v>
      </c>
      <c r="J132">
        <v>3797.1376953125</v>
      </c>
      <c r="K132">
        <v>3778.5009765625</v>
      </c>
      <c r="L132">
        <v>3759.552734375</v>
      </c>
      <c r="M132">
        <v>3740.7109375</v>
      </c>
      <c r="N132">
        <v>3722.160888671875</v>
      </c>
      <c r="O132">
        <v>3703.157470703125</v>
      </c>
      <c r="P132">
        <v>3684.65234375</v>
      </c>
      <c r="Q132">
        <v>3666.06494140625</v>
      </c>
      <c r="R132">
        <v>3647.55615234375</v>
      </c>
      <c r="S132">
        <v>3628.5244140625</v>
      </c>
      <c r="T132">
        <v>3610.19921875</v>
      </c>
      <c r="U132">
        <v>3591.732177734375</v>
      </c>
      <c r="V132">
        <v>3572.9052734375</v>
      </c>
      <c r="W132">
        <v>3554.652587890625</v>
      </c>
      <c r="X132">
        <v>3536.15771484375</v>
      </c>
      <c r="Y132">
        <v>3517.5849609375</v>
      </c>
      <c r="Z132">
        <v>3499.5966796875</v>
      </c>
      <c r="AA132">
        <v>3481.78857421875</v>
      </c>
      <c r="AB132">
        <v>3464.1162109375</v>
      </c>
      <c r="AC132">
        <v>-5.6331334759734952E-3</v>
      </c>
    </row>
    <row r="134" spans="1:29" x14ac:dyDescent="0.45">
      <c r="B134" t="s">
        <v>2463</v>
      </c>
    </row>
    <row r="135" spans="1:29" x14ac:dyDescent="0.45">
      <c r="A135" t="s">
        <v>2661</v>
      </c>
      <c r="B135" t="s">
        <v>2642</v>
      </c>
      <c r="C135">
        <v>530</v>
      </c>
      <c r="D135">
        <v>626</v>
      </c>
      <c r="E135">
        <v>633</v>
      </c>
      <c r="F135">
        <v>640</v>
      </c>
      <c r="G135">
        <v>647</v>
      </c>
      <c r="H135">
        <v>654</v>
      </c>
      <c r="I135">
        <v>662</v>
      </c>
      <c r="J135">
        <v>669</v>
      </c>
      <c r="K135">
        <v>676</v>
      </c>
      <c r="L135">
        <v>683</v>
      </c>
      <c r="M135">
        <v>690</v>
      </c>
      <c r="N135">
        <v>697</v>
      </c>
      <c r="O135">
        <v>704</v>
      </c>
      <c r="P135">
        <v>712</v>
      </c>
      <c r="Q135">
        <v>719</v>
      </c>
      <c r="R135">
        <v>726</v>
      </c>
      <c r="S135">
        <v>733</v>
      </c>
      <c r="T135">
        <v>740</v>
      </c>
      <c r="U135">
        <v>747</v>
      </c>
      <c r="V135">
        <v>754</v>
      </c>
      <c r="W135">
        <v>761</v>
      </c>
      <c r="X135">
        <v>769</v>
      </c>
      <c r="Y135">
        <v>776</v>
      </c>
      <c r="Z135">
        <v>783</v>
      </c>
      <c r="AA135">
        <v>790</v>
      </c>
      <c r="AB135">
        <v>797</v>
      </c>
      <c r="AC135">
        <v>1.6452990811785199E-2</v>
      </c>
    </row>
    <row r="136" spans="1:29" x14ac:dyDescent="0.45">
      <c r="A136" t="s">
        <v>2662</v>
      </c>
      <c r="B136" t="s">
        <v>2644</v>
      </c>
      <c r="C136">
        <v>766</v>
      </c>
      <c r="D136">
        <v>858</v>
      </c>
      <c r="E136">
        <v>866</v>
      </c>
      <c r="F136">
        <v>874</v>
      </c>
      <c r="G136">
        <v>883</v>
      </c>
      <c r="H136">
        <v>891</v>
      </c>
      <c r="I136">
        <v>899</v>
      </c>
      <c r="J136">
        <v>907</v>
      </c>
      <c r="K136">
        <v>915</v>
      </c>
      <c r="L136">
        <v>923</v>
      </c>
      <c r="M136">
        <v>932</v>
      </c>
      <c r="N136">
        <v>940</v>
      </c>
      <c r="O136">
        <v>948</v>
      </c>
      <c r="P136">
        <v>956</v>
      </c>
      <c r="Q136">
        <v>964</v>
      </c>
      <c r="R136">
        <v>973</v>
      </c>
      <c r="S136">
        <v>981</v>
      </c>
      <c r="T136">
        <v>989</v>
      </c>
      <c r="U136">
        <v>997</v>
      </c>
      <c r="V136">
        <v>1005</v>
      </c>
      <c r="W136">
        <v>1014</v>
      </c>
      <c r="X136">
        <v>1022</v>
      </c>
      <c r="Y136">
        <v>1030</v>
      </c>
      <c r="Z136">
        <v>1038</v>
      </c>
      <c r="AA136">
        <v>1046</v>
      </c>
      <c r="AB136">
        <v>1055</v>
      </c>
      <c r="AC136">
        <v>1.2886884383320311E-2</v>
      </c>
    </row>
    <row r="137" spans="1:29" x14ac:dyDescent="0.45">
      <c r="A137" t="s">
        <v>2663</v>
      </c>
      <c r="B137" t="s">
        <v>2646</v>
      </c>
      <c r="C137">
        <v>873</v>
      </c>
      <c r="D137">
        <v>857</v>
      </c>
      <c r="E137">
        <v>862</v>
      </c>
      <c r="F137">
        <v>867</v>
      </c>
      <c r="G137">
        <v>871</v>
      </c>
      <c r="H137">
        <v>876</v>
      </c>
      <c r="I137">
        <v>881</v>
      </c>
      <c r="J137">
        <v>886</v>
      </c>
      <c r="K137">
        <v>890</v>
      </c>
      <c r="L137">
        <v>895</v>
      </c>
      <c r="M137">
        <v>900</v>
      </c>
      <c r="N137">
        <v>905</v>
      </c>
      <c r="O137">
        <v>909</v>
      </c>
      <c r="P137">
        <v>914</v>
      </c>
      <c r="Q137">
        <v>919</v>
      </c>
      <c r="R137">
        <v>924</v>
      </c>
      <c r="S137">
        <v>928</v>
      </c>
      <c r="T137">
        <v>933</v>
      </c>
      <c r="U137">
        <v>938</v>
      </c>
      <c r="V137">
        <v>943</v>
      </c>
      <c r="W137">
        <v>948</v>
      </c>
      <c r="X137">
        <v>952</v>
      </c>
      <c r="Y137">
        <v>957</v>
      </c>
      <c r="Z137">
        <v>962</v>
      </c>
      <c r="AA137">
        <v>967</v>
      </c>
      <c r="AB137">
        <v>972</v>
      </c>
      <c r="AC137">
        <v>4.3060544685959989E-3</v>
      </c>
    </row>
    <row r="138" spans="1:29" x14ac:dyDescent="0.45">
      <c r="A138" t="s">
        <v>2664</v>
      </c>
      <c r="B138" t="s">
        <v>2648</v>
      </c>
      <c r="C138">
        <v>1052</v>
      </c>
      <c r="D138">
        <v>1048</v>
      </c>
      <c r="E138">
        <v>1053</v>
      </c>
      <c r="F138">
        <v>1057</v>
      </c>
      <c r="G138">
        <v>1062</v>
      </c>
      <c r="H138">
        <v>1067</v>
      </c>
      <c r="I138">
        <v>1071</v>
      </c>
      <c r="J138">
        <v>1076</v>
      </c>
      <c r="K138">
        <v>1081</v>
      </c>
      <c r="L138">
        <v>1086</v>
      </c>
      <c r="M138">
        <v>1090</v>
      </c>
      <c r="N138">
        <v>1095</v>
      </c>
      <c r="O138">
        <v>1100</v>
      </c>
      <c r="P138">
        <v>1105</v>
      </c>
      <c r="Q138">
        <v>1109</v>
      </c>
      <c r="R138">
        <v>1114</v>
      </c>
      <c r="S138">
        <v>1119</v>
      </c>
      <c r="T138">
        <v>1124</v>
      </c>
      <c r="U138">
        <v>1129</v>
      </c>
      <c r="V138">
        <v>1133</v>
      </c>
      <c r="W138">
        <v>1138</v>
      </c>
      <c r="X138">
        <v>1143</v>
      </c>
      <c r="Y138">
        <v>1148</v>
      </c>
      <c r="Z138">
        <v>1153</v>
      </c>
      <c r="AA138">
        <v>1158</v>
      </c>
      <c r="AB138">
        <v>1162</v>
      </c>
      <c r="AC138">
        <v>3.9859044359582541E-3</v>
      </c>
    </row>
    <row r="139" spans="1:29" x14ac:dyDescent="0.45">
      <c r="A139" t="s">
        <v>2665</v>
      </c>
      <c r="B139" t="s">
        <v>2650</v>
      </c>
      <c r="C139">
        <v>2319</v>
      </c>
      <c r="D139">
        <v>2427</v>
      </c>
      <c r="E139">
        <v>2442</v>
      </c>
      <c r="F139">
        <v>2458</v>
      </c>
      <c r="G139">
        <v>2473</v>
      </c>
      <c r="H139">
        <v>2489</v>
      </c>
      <c r="I139">
        <v>2505</v>
      </c>
      <c r="J139">
        <v>2522</v>
      </c>
      <c r="K139">
        <v>2538</v>
      </c>
      <c r="L139">
        <v>2554</v>
      </c>
      <c r="M139">
        <v>2570</v>
      </c>
      <c r="N139">
        <v>2586</v>
      </c>
      <c r="O139">
        <v>2603</v>
      </c>
      <c r="P139">
        <v>2619</v>
      </c>
      <c r="Q139">
        <v>2635</v>
      </c>
      <c r="R139">
        <v>2652</v>
      </c>
      <c r="S139">
        <v>2668</v>
      </c>
      <c r="T139">
        <v>2684</v>
      </c>
      <c r="U139">
        <v>2701</v>
      </c>
      <c r="V139">
        <v>2717</v>
      </c>
      <c r="W139">
        <v>2734</v>
      </c>
      <c r="X139">
        <v>2750</v>
      </c>
      <c r="Y139">
        <v>2767</v>
      </c>
      <c r="Z139">
        <v>2783</v>
      </c>
      <c r="AA139">
        <v>2800</v>
      </c>
      <c r="AB139">
        <v>2816</v>
      </c>
      <c r="AC139">
        <v>7.7974985795448148E-3</v>
      </c>
    </row>
    <row r="140" spans="1:29" x14ac:dyDescent="0.45">
      <c r="A140" t="s">
        <v>2666</v>
      </c>
      <c r="B140" t="s">
        <v>2652</v>
      </c>
      <c r="C140">
        <v>1790</v>
      </c>
      <c r="D140">
        <v>1783</v>
      </c>
      <c r="E140">
        <v>1790</v>
      </c>
      <c r="F140">
        <v>1797</v>
      </c>
      <c r="G140">
        <v>1804</v>
      </c>
      <c r="H140">
        <v>1811</v>
      </c>
      <c r="I140">
        <v>1819</v>
      </c>
      <c r="J140">
        <v>1826</v>
      </c>
      <c r="K140">
        <v>1833</v>
      </c>
      <c r="L140">
        <v>1840</v>
      </c>
      <c r="M140">
        <v>1847</v>
      </c>
      <c r="N140">
        <v>1854</v>
      </c>
      <c r="O140">
        <v>1862</v>
      </c>
      <c r="P140">
        <v>1869</v>
      </c>
      <c r="Q140">
        <v>1876</v>
      </c>
      <c r="R140">
        <v>1883</v>
      </c>
      <c r="S140">
        <v>1890</v>
      </c>
      <c r="T140">
        <v>1898</v>
      </c>
      <c r="U140">
        <v>1905</v>
      </c>
      <c r="V140">
        <v>1912</v>
      </c>
      <c r="W140">
        <v>1919</v>
      </c>
      <c r="X140">
        <v>1926</v>
      </c>
      <c r="Y140">
        <v>1934</v>
      </c>
      <c r="Z140">
        <v>1941</v>
      </c>
      <c r="AA140">
        <v>1948</v>
      </c>
      <c r="AB140">
        <v>1955</v>
      </c>
      <c r="AC140">
        <v>3.533210066561487E-3</v>
      </c>
    </row>
    <row r="141" spans="1:29" x14ac:dyDescent="0.45">
      <c r="A141" t="s">
        <v>2667</v>
      </c>
      <c r="B141" t="s">
        <v>2654</v>
      </c>
      <c r="C141">
        <v>2916</v>
      </c>
      <c r="D141">
        <v>2946</v>
      </c>
      <c r="E141">
        <v>2961</v>
      </c>
      <c r="F141">
        <v>2976</v>
      </c>
      <c r="G141">
        <v>2990</v>
      </c>
      <c r="H141">
        <v>3005</v>
      </c>
      <c r="I141">
        <v>3020</v>
      </c>
      <c r="J141">
        <v>3035</v>
      </c>
      <c r="K141">
        <v>3049</v>
      </c>
      <c r="L141">
        <v>3064</v>
      </c>
      <c r="M141">
        <v>3079</v>
      </c>
      <c r="N141">
        <v>3093</v>
      </c>
      <c r="O141">
        <v>3108</v>
      </c>
      <c r="P141">
        <v>3123</v>
      </c>
      <c r="Q141">
        <v>3138</v>
      </c>
      <c r="R141">
        <v>3152</v>
      </c>
      <c r="S141">
        <v>3167</v>
      </c>
      <c r="T141">
        <v>3182</v>
      </c>
      <c r="U141">
        <v>3197</v>
      </c>
      <c r="V141">
        <v>3211</v>
      </c>
      <c r="W141">
        <v>3226</v>
      </c>
      <c r="X141">
        <v>3241</v>
      </c>
      <c r="Y141">
        <v>3255</v>
      </c>
      <c r="Z141">
        <v>3270</v>
      </c>
      <c r="AA141">
        <v>3285</v>
      </c>
      <c r="AB141">
        <v>3299</v>
      </c>
      <c r="AC141">
        <v>4.9484665423147334E-3</v>
      </c>
    </row>
    <row r="142" spans="1:29" x14ac:dyDescent="0.45">
      <c r="A142" t="s">
        <v>2668</v>
      </c>
      <c r="B142" t="s">
        <v>2656</v>
      </c>
      <c r="C142">
        <v>1515</v>
      </c>
      <c r="D142">
        <v>1608</v>
      </c>
      <c r="E142">
        <v>1617</v>
      </c>
      <c r="F142">
        <v>1627</v>
      </c>
      <c r="G142">
        <v>1636</v>
      </c>
      <c r="H142">
        <v>1645</v>
      </c>
      <c r="I142">
        <v>1655</v>
      </c>
      <c r="J142">
        <v>1664</v>
      </c>
      <c r="K142">
        <v>1673</v>
      </c>
      <c r="L142">
        <v>1682</v>
      </c>
      <c r="M142">
        <v>1691</v>
      </c>
      <c r="N142">
        <v>1701</v>
      </c>
      <c r="O142">
        <v>1710</v>
      </c>
      <c r="P142">
        <v>1719</v>
      </c>
      <c r="Q142">
        <v>1728</v>
      </c>
      <c r="R142">
        <v>1737</v>
      </c>
      <c r="S142">
        <v>1746</v>
      </c>
      <c r="T142">
        <v>1755</v>
      </c>
      <c r="U142">
        <v>1764</v>
      </c>
      <c r="V142">
        <v>1773</v>
      </c>
      <c r="W142">
        <v>1782</v>
      </c>
      <c r="X142">
        <v>1791</v>
      </c>
      <c r="Y142">
        <v>1800</v>
      </c>
      <c r="Z142">
        <v>1809</v>
      </c>
      <c r="AA142">
        <v>1818</v>
      </c>
      <c r="AB142">
        <v>1827</v>
      </c>
      <c r="AC142">
        <v>7.5185167090765503E-3</v>
      </c>
    </row>
    <row r="143" spans="1:29" x14ac:dyDescent="0.45">
      <c r="A143" t="s">
        <v>2669</v>
      </c>
      <c r="B143" t="s">
        <v>2658</v>
      </c>
      <c r="C143">
        <v>887</v>
      </c>
      <c r="D143">
        <v>1040</v>
      </c>
      <c r="E143">
        <v>1049</v>
      </c>
      <c r="F143">
        <v>1058</v>
      </c>
      <c r="G143">
        <v>1067</v>
      </c>
      <c r="H143">
        <v>1076</v>
      </c>
      <c r="I143">
        <v>1085</v>
      </c>
      <c r="J143">
        <v>1094</v>
      </c>
      <c r="K143">
        <v>1103</v>
      </c>
      <c r="L143">
        <v>1112</v>
      </c>
      <c r="M143">
        <v>1121</v>
      </c>
      <c r="N143">
        <v>1131</v>
      </c>
      <c r="O143">
        <v>1140</v>
      </c>
      <c r="P143">
        <v>1149</v>
      </c>
      <c r="Q143">
        <v>1158</v>
      </c>
      <c r="R143">
        <v>1167</v>
      </c>
      <c r="S143">
        <v>1177</v>
      </c>
      <c r="T143">
        <v>1186</v>
      </c>
      <c r="U143">
        <v>1195</v>
      </c>
      <c r="V143">
        <v>1204</v>
      </c>
      <c r="W143">
        <v>1213</v>
      </c>
      <c r="X143">
        <v>1223</v>
      </c>
      <c r="Y143">
        <v>1232</v>
      </c>
      <c r="Z143">
        <v>1241</v>
      </c>
      <c r="AA143">
        <v>1250</v>
      </c>
      <c r="AB143">
        <v>1259</v>
      </c>
      <c r="AC143">
        <v>1.4107709657196651E-2</v>
      </c>
    </row>
    <row r="144" spans="1:29" x14ac:dyDescent="0.45">
      <c r="A144" t="s">
        <v>2670</v>
      </c>
      <c r="B144" t="s">
        <v>2660</v>
      </c>
      <c r="C144">
        <v>1516.423583984375</v>
      </c>
      <c r="D144">
        <v>1589.852905273438</v>
      </c>
      <c r="E144">
        <v>1602.154052734375</v>
      </c>
      <c r="F144">
        <v>1614.68994140625</v>
      </c>
      <c r="G144">
        <v>1626.874267578125</v>
      </c>
      <c r="H144">
        <v>1639.42919921875</v>
      </c>
      <c r="I144">
        <v>1652.126586914062</v>
      </c>
      <c r="J144">
        <v>1664.94091796875</v>
      </c>
      <c r="K144">
        <v>1677.306884765625</v>
      </c>
      <c r="L144">
        <v>1689.963012695312</v>
      </c>
      <c r="M144">
        <v>1702.697631835938</v>
      </c>
      <c r="N144">
        <v>1715.52587890625</v>
      </c>
      <c r="O144">
        <v>1728.397705078125</v>
      </c>
      <c r="P144">
        <v>1741.199096679688</v>
      </c>
      <c r="Q144">
        <v>1753.922607421875</v>
      </c>
      <c r="R144">
        <v>1766.92138671875</v>
      </c>
      <c r="S144">
        <v>1779.796142578125</v>
      </c>
      <c r="T144">
        <v>1792.711669921875</v>
      </c>
      <c r="U144">
        <v>1805.81201171875</v>
      </c>
      <c r="V144">
        <v>1818.522705078125</v>
      </c>
      <c r="W144">
        <v>1831.7783203125</v>
      </c>
      <c r="X144">
        <v>1844.803100585938</v>
      </c>
      <c r="Y144">
        <v>1857.8740234375</v>
      </c>
      <c r="Z144">
        <v>1870.785278320312</v>
      </c>
      <c r="AA144">
        <v>1883.8203125</v>
      </c>
      <c r="AB144">
        <v>1896.469848632812</v>
      </c>
      <c r="AC144">
        <v>8.9857123444541109E-3</v>
      </c>
    </row>
    <row r="146" spans="2:2" x14ac:dyDescent="0.45">
      <c r="B146" t="s">
        <v>2671</v>
      </c>
    </row>
    <row r="147" spans="2:2" x14ac:dyDescent="0.45">
      <c r="B147" t="s">
        <v>2672</v>
      </c>
    </row>
    <row r="148" spans="2:2" x14ac:dyDescent="0.45">
      <c r="B148" t="s">
        <v>2673</v>
      </c>
    </row>
    <row r="149" spans="2:2" x14ac:dyDescent="0.45">
      <c r="B149" t="s">
        <v>2674</v>
      </c>
    </row>
    <row r="150" spans="2:2" x14ac:dyDescent="0.45">
      <c r="B150" t="s">
        <v>2675</v>
      </c>
    </row>
    <row r="151" spans="2:2" x14ac:dyDescent="0.45">
      <c r="B151" t="s">
        <v>2676</v>
      </c>
    </row>
    <row r="152" spans="2:2" x14ac:dyDescent="0.45">
      <c r="B152" t="s">
        <v>2677</v>
      </c>
    </row>
    <row r="153" spans="2:2" x14ac:dyDescent="0.45">
      <c r="B153" t="s">
        <v>2678</v>
      </c>
    </row>
    <row r="154" spans="2:2" x14ac:dyDescent="0.45">
      <c r="B154" t="s">
        <v>2679</v>
      </c>
    </row>
    <row r="155" spans="2:2" x14ac:dyDescent="0.45">
      <c r="B155" t="s">
        <v>2680</v>
      </c>
    </row>
    <row r="156" spans="2:2" x14ac:dyDescent="0.45">
      <c r="B156" t="s">
        <v>2681</v>
      </c>
    </row>
    <row r="157" spans="2:2" x14ac:dyDescent="0.45">
      <c r="B157" t="s">
        <v>2682</v>
      </c>
    </row>
    <row r="158" spans="2:2" x14ac:dyDescent="0.45">
      <c r="B158" t="s">
        <v>2683</v>
      </c>
    </row>
    <row r="159" spans="2:2" x14ac:dyDescent="0.45">
      <c r="B159" t="s">
        <v>2684</v>
      </c>
    </row>
    <row r="160" spans="2:2" x14ac:dyDescent="0.45">
      <c r="B160" t="s">
        <v>2685</v>
      </c>
    </row>
    <row r="161" spans="2:2" x14ac:dyDescent="0.45">
      <c r="B161" t="s">
        <v>2686</v>
      </c>
    </row>
    <row r="162" spans="2:2" x14ac:dyDescent="0.45">
      <c r="B162" t="s">
        <v>2687</v>
      </c>
    </row>
    <row r="163" spans="2:2" x14ac:dyDescent="0.45">
      <c r="B163" t="s">
        <v>2688</v>
      </c>
    </row>
    <row r="164" spans="2:2" x14ac:dyDescent="0.45">
      <c r="B164" t="s">
        <v>2689</v>
      </c>
    </row>
    <row r="165" spans="2:2" x14ac:dyDescent="0.45">
      <c r="B165" t="s">
        <v>2690</v>
      </c>
    </row>
    <row r="166" spans="2:2" x14ac:dyDescent="0.45">
      <c r="B166" t="s">
        <v>2691</v>
      </c>
    </row>
    <row r="167" spans="2:2" x14ac:dyDescent="0.45">
      <c r="B167" t="s">
        <v>2692</v>
      </c>
    </row>
    <row r="168" spans="2:2" x14ac:dyDescent="0.45">
      <c r="B168" t="s">
        <v>2693</v>
      </c>
    </row>
    <row r="169" spans="2:2" x14ac:dyDescent="0.45">
      <c r="B169" t="s">
        <v>2694</v>
      </c>
    </row>
    <row r="170" spans="2:2" x14ac:dyDescent="0.45">
      <c r="B170" t="s">
        <v>2695</v>
      </c>
    </row>
    <row r="171" spans="2:2" x14ac:dyDescent="0.45">
      <c r="B171" t="s">
        <v>2696</v>
      </c>
    </row>
    <row r="172" spans="2:2" x14ac:dyDescent="0.45">
      <c r="B172" t="s">
        <v>2697</v>
      </c>
    </row>
    <row r="173" spans="2:2" x14ac:dyDescent="0.45">
      <c r="B173" t="s">
        <v>2698</v>
      </c>
    </row>
    <row r="174" spans="2:2" x14ac:dyDescent="0.45">
      <c r="B174" t="s">
        <v>2699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53"/>
  <sheetViews>
    <sheetView workbookViewId="0"/>
  </sheetViews>
  <sheetFormatPr defaultRowHeight="14.25" x14ac:dyDescent="0.45"/>
  <sheetData>
    <row r="1" spans="1:29" x14ac:dyDescent="0.45">
      <c r="B1" t="s">
        <v>2476</v>
      </c>
    </row>
    <row r="3" spans="1:29" x14ac:dyDescent="0.45">
      <c r="C3" t="s">
        <v>2477</v>
      </c>
      <c r="D3" t="s">
        <v>8</v>
      </c>
    </row>
    <row r="4" spans="1:29" x14ac:dyDescent="0.45">
      <c r="C4" t="s">
        <v>2478</v>
      </c>
      <c r="D4" t="s">
        <v>2479</v>
      </c>
      <c r="F4" t="s">
        <v>2480</v>
      </c>
    </row>
    <row r="5" spans="1:29" x14ac:dyDescent="0.45">
      <c r="C5" t="s">
        <v>2481</v>
      </c>
      <c r="D5" t="s">
        <v>2482</v>
      </c>
    </row>
    <row r="6" spans="1:29" x14ac:dyDescent="0.45">
      <c r="C6" t="s">
        <v>2483</v>
      </c>
      <c r="E6" t="s">
        <v>2484</v>
      </c>
    </row>
    <row r="7" spans="1:29" x14ac:dyDescent="0.45">
      <c r="B7" t="s">
        <v>2700</v>
      </c>
    </row>
    <row r="8" spans="1:29" x14ac:dyDescent="0.45">
      <c r="B8" t="s">
        <v>2486</v>
      </c>
    </row>
    <row r="9" spans="1:29" x14ac:dyDescent="0.45">
      <c r="AC9" t="s">
        <v>2487</v>
      </c>
    </row>
    <row r="10" spans="1:29" x14ac:dyDescent="0.45">
      <c r="B10" t="s">
        <v>2488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2489</v>
      </c>
    </row>
    <row r="12" spans="1:29" x14ac:dyDescent="0.45">
      <c r="B12" t="s">
        <v>2460</v>
      </c>
    </row>
    <row r="14" spans="1:29" x14ac:dyDescent="0.45">
      <c r="B14" t="s">
        <v>2701</v>
      </c>
    </row>
    <row r="15" spans="1:29" x14ac:dyDescent="0.45">
      <c r="A15" t="s">
        <v>2702</v>
      </c>
      <c r="B15" t="s">
        <v>2703</v>
      </c>
      <c r="C15">
        <v>101.8455047607422</v>
      </c>
      <c r="D15">
        <v>103.1044235229492</v>
      </c>
      <c r="E15">
        <v>104.3142471313477</v>
      </c>
      <c r="F15">
        <v>105.48232269287109</v>
      </c>
      <c r="G15">
        <v>106.62843322753911</v>
      </c>
      <c r="H15">
        <v>107.7598419189453</v>
      </c>
      <c r="I15">
        <v>108.9023132324219</v>
      </c>
      <c r="J15">
        <v>110.0705871582031</v>
      </c>
      <c r="K15">
        <v>111.2677459716797</v>
      </c>
      <c r="L15">
        <v>112.5000076293945</v>
      </c>
      <c r="M15">
        <v>113.7686767578125</v>
      </c>
      <c r="N15">
        <v>115.07391357421881</v>
      </c>
      <c r="O15">
        <v>116.4143600463867</v>
      </c>
      <c r="P15">
        <v>117.7805099487305</v>
      </c>
      <c r="Q15">
        <v>119.1147384643555</v>
      </c>
      <c r="R15">
        <v>120.41529846191411</v>
      </c>
      <c r="S15">
        <v>121.68447113037109</v>
      </c>
      <c r="T15">
        <v>122.8978652954102</v>
      </c>
      <c r="U15">
        <v>124.0641784667969</v>
      </c>
      <c r="V15">
        <v>125.19847106933589</v>
      </c>
      <c r="W15">
        <v>126.3077087402344</v>
      </c>
      <c r="X15">
        <v>127.40098571777339</v>
      </c>
      <c r="Y15">
        <v>128.4819641113281</v>
      </c>
      <c r="Z15">
        <v>129.55204772949219</v>
      </c>
      <c r="AA15">
        <v>130.61297607421881</v>
      </c>
      <c r="AB15">
        <v>131.6655578613281</v>
      </c>
      <c r="AC15">
        <v>1.03252633839257E-2</v>
      </c>
    </row>
    <row r="16" spans="1:29" x14ac:dyDescent="0.45">
      <c r="A16" t="s">
        <v>2704</v>
      </c>
      <c r="B16" t="s">
        <v>2705</v>
      </c>
      <c r="C16">
        <v>2.7983536720275879</v>
      </c>
      <c r="D16">
        <v>2.7631325721740718</v>
      </c>
      <c r="E16">
        <v>2.735620498657227</v>
      </c>
      <c r="F16">
        <v>2.7281327247619629</v>
      </c>
      <c r="G16">
        <v>2.728127002716064</v>
      </c>
      <c r="H16">
        <v>2.7541439533233638</v>
      </c>
      <c r="I16">
        <v>2.795398473739624</v>
      </c>
      <c r="J16">
        <v>2.840164422988892</v>
      </c>
      <c r="K16">
        <v>2.891743659973145</v>
      </c>
      <c r="L16">
        <v>2.9451780319213872</v>
      </c>
      <c r="M16">
        <v>2.9993841648101811</v>
      </c>
      <c r="N16">
        <v>3.0528368949890141</v>
      </c>
      <c r="O16">
        <v>3.0973126888275151</v>
      </c>
      <c r="P16">
        <v>3.0842866897583008</v>
      </c>
      <c r="Q16">
        <v>3.069424152374268</v>
      </c>
      <c r="R16">
        <v>3.0566568374633789</v>
      </c>
      <c r="S16">
        <v>3.0191318988800049</v>
      </c>
      <c r="T16">
        <v>2.989726066589355</v>
      </c>
      <c r="U16">
        <v>2.974995613098145</v>
      </c>
      <c r="V16">
        <v>2.9668219089508061</v>
      </c>
      <c r="W16">
        <v>2.967410564422607</v>
      </c>
      <c r="X16">
        <v>2.9713459014892578</v>
      </c>
      <c r="Y16">
        <v>2.9764959812164311</v>
      </c>
      <c r="Z16">
        <v>2.983036994934082</v>
      </c>
      <c r="AA16">
        <v>2.990272045135498</v>
      </c>
      <c r="AB16">
        <v>2.9985415935516362</v>
      </c>
      <c r="AC16">
        <v>2.7676133903273841E-3</v>
      </c>
    </row>
    <row r="17" spans="1:29" x14ac:dyDescent="0.45">
      <c r="A17" t="s">
        <v>2706</v>
      </c>
      <c r="B17" t="s">
        <v>2498</v>
      </c>
      <c r="C17">
        <v>104.64385986328119</v>
      </c>
      <c r="D17">
        <v>105.8675537109375</v>
      </c>
      <c r="E17">
        <v>107.04986572265619</v>
      </c>
      <c r="F17">
        <v>108.2104568481445</v>
      </c>
      <c r="G17">
        <v>109.356559753418</v>
      </c>
      <c r="H17">
        <v>110.5139846801758</v>
      </c>
      <c r="I17">
        <v>111.6977081298828</v>
      </c>
      <c r="J17">
        <v>112.91075134277339</v>
      </c>
      <c r="K17">
        <v>114.1594924926758</v>
      </c>
      <c r="L17">
        <v>115.445182800293</v>
      </c>
      <c r="M17">
        <v>116.7680587768555</v>
      </c>
      <c r="N17">
        <v>118.1267471313477</v>
      </c>
      <c r="O17">
        <v>119.5116729736328</v>
      </c>
      <c r="P17">
        <v>120.8647994995117</v>
      </c>
      <c r="Q17">
        <v>122.1841659545898</v>
      </c>
      <c r="R17">
        <v>123.4719543457031</v>
      </c>
      <c r="S17">
        <v>124.7036056518555</v>
      </c>
      <c r="T17">
        <v>125.88758850097661</v>
      </c>
      <c r="U17">
        <v>127.039176940918</v>
      </c>
      <c r="V17">
        <v>128.16529846191409</v>
      </c>
      <c r="W17">
        <v>129.2751159667969</v>
      </c>
      <c r="X17">
        <v>130.37232971191409</v>
      </c>
      <c r="Y17">
        <v>131.4584655761719</v>
      </c>
      <c r="Z17">
        <v>132.53507995605469</v>
      </c>
      <c r="AA17">
        <v>133.6032409667969</v>
      </c>
      <c r="AB17">
        <v>134.6640930175781</v>
      </c>
      <c r="AC17">
        <v>1.013989195705056E-2</v>
      </c>
    </row>
    <row r="19" spans="1:29" x14ac:dyDescent="0.45">
      <c r="B19" t="s">
        <v>2707</v>
      </c>
    </row>
    <row r="20" spans="1:29" x14ac:dyDescent="0.45">
      <c r="B20" t="s">
        <v>2507</v>
      </c>
    </row>
    <row r="21" spans="1:29" x14ac:dyDescent="0.45">
      <c r="A21" t="s">
        <v>2708</v>
      </c>
      <c r="B21" t="s">
        <v>2709</v>
      </c>
      <c r="C21">
        <v>94.608612060546875</v>
      </c>
      <c r="D21">
        <v>95.200950622558594</v>
      </c>
      <c r="E21">
        <v>94.894546508789063</v>
      </c>
      <c r="F21">
        <v>94.391609191894531</v>
      </c>
      <c r="G21">
        <v>93.678153991699219</v>
      </c>
      <c r="H21">
        <v>92.733329772949219</v>
      </c>
      <c r="I21">
        <v>91.840522766113281</v>
      </c>
      <c r="J21">
        <v>91.140853881835938</v>
      </c>
      <c r="K21">
        <v>90.533226013183594</v>
      </c>
      <c r="L21">
        <v>90.025192260742188</v>
      </c>
      <c r="M21">
        <v>89.52703857421875</v>
      </c>
      <c r="N21">
        <v>89.104965209960938</v>
      </c>
      <c r="O21">
        <v>88.683937072753906</v>
      </c>
      <c r="P21">
        <v>88.304733276367188</v>
      </c>
      <c r="Q21">
        <v>87.952102661132813</v>
      </c>
      <c r="R21">
        <v>87.609710693359375</v>
      </c>
      <c r="S21">
        <v>87.320465087890625</v>
      </c>
      <c r="T21">
        <v>87.099517822265625</v>
      </c>
      <c r="U21">
        <v>86.907028198242188</v>
      </c>
      <c r="V21">
        <v>86.735260009765625</v>
      </c>
      <c r="W21">
        <v>86.553421020507813</v>
      </c>
      <c r="X21">
        <v>86.303924560546875</v>
      </c>
      <c r="Y21">
        <v>85.985275268554688</v>
      </c>
      <c r="Z21">
        <v>85.633079528808594</v>
      </c>
      <c r="AA21">
        <v>85.264457702636719</v>
      </c>
      <c r="AB21">
        <v>84.897254943847656</v>
      </c>
      <c r="AC21">
        <v>-4.3228991963574206E-3</v>
      </c>
    </row>
    <row r="22" spans="1:29" x14ac:dyDescent="0.45">
      <c r="A22" t="s">
        <v>2710</v>
      </c>
      <c r="B22" t="s">
        <v>2506</v>
      </c>
      <c r="C22">
        <v>93.084304809570313</v>
      </c>
      <c r="D22">
        <v>93.513206481933594</v>
      </c>
      <c r="E22">
        <v>93.074775695800781</v>
      </c>
      <c r="F22">
        <v>92.519630432128906</v>
      </c>
      <c r="G22">
        <v>91.78271484375</v>
      </c>
      <c r="H22">
        <v>90.809181213378906</v>
      </c>
      <c r="I22">
        <v>89.899635314941406</v>
      </c>
      <c r="J22">
        <v>89.191780090332031</v>
      </c>
      <c r="K22">
        <v>88.573188781738281</v>
      </c>
      <c r="L22">
        <v>88.0384521484375</v>
      </c>
      <c r="M22">
        <v>87.524017333984375</v>
      </c>
      <c r="N22">
        <v>87.092613220214844</v>
      </c>
      <c r="O22">
        <v>86.638893127441406</v>
      </c>
      <c r="P22">
        <v>86.2286376953125</v>
      </c>
      <c r="Q22">
        <v>85.833717346191406</v>
      </c>
      <c r="R22">
        <v>85.458236694335938</v>
      </c>
      <c r="S22">
        <v>85.16070556640625</v>
      </c>
      <c r="T22">
        <v>84.916267395019531</v>
      </c>
      <c r="U22">
        <v>84.720146179199219</v>
      </c>
      <c r="V22">
        <v>84.54144287109375</v>
      </c>
      <c r="W22">
        <v>84.357269287109375</v>
      </c>
      <c r="X22">
        <v>84.093650817871094</v>
      </c>
      <c r="Y22">
        <v>83.753242492675781</v>
      </c>
      <c r="Z22">
        <v>83.378761291503906</v>
      </c>
      <c r="AA22">
        <v>82.997833251953125</v>
      </c>
      <c r="AB22">
        <v>82.609664916992188</v>
      </c>
      <c r="AC22">
        <v>-4.7637732073034789E-3</v>
      </c>
    </row>
    <row r="24" spans="1:29" x14ac:dyDescent="0.45">
      <c r="B24" t="s">
        <v>2461</v>
      </c>
    </row>
    <row r="25" spans="1:29" x14ac:dyDescent="0.45">
      <c r="B25" t="s">
        <v>2711</v>
      </c>
    </row>
    <row r="26" spans="1:29" x14ac:dyDescent="0.45">
      <c r="A26" t="s">
        <v>2712</v>
      </c>
      <c r="B26" t="s">
        <v>2713</v>
      </c>
      <c r="C26">
        <v>0.20085975527763369</v>
      </c>
      <c r="D26">
        <v>0.19399107992649081</v>
      </c>
      <c r="E26">
        <v>0.19232957065105441</v>
      </c>
      <c r="F26">
        <v>0.19123730063438421</v>
      </c>
      <c r="G26">
        <v>0.18969020247459409</v>
      </c>
      <c r="H26">
        <v>0.187901645898819</v>
      </c>
      <c r="I26">
        <v>0.18603099882602689</v>
      </c>
      <c r="J26">
        <v>0.18410614132881159</v>
      </c>
      <c r="K26">
        <v>0.18222986161708829</v>
      </c>
      <c r="L26">
        <v>0.18024235963821411</v>
      </c>
      <c r="M26">
        <v>0.178200364112854</v>
      </c>
      <c r="N26">
        <v>0.17622686922550199</v>
      </c>
      <c r="O26">
        <v>0.1741006672382355</v>
      </c>
      <c r="P26">
        <v>0.17193321883678439</v>
      </c>
      <c r="Q26">
        <v>0.16966257989406591</v>
      </c>
      <c r="R26">
        <v>0.16736641526222229</v>
      </c>
      <c r="S26">
        <v>0.16509945690631869</v>
      </c>
      <c r="T26">
        <v>0.16280846297740939</v>
      </c>
      <c r="U26">
        <v>0.16050852835178381</v>
      </c>
      <c r="V26">
        <v>0.15815579891204831</v>
      </c>
      <c r="W26">
        <v>0.15582430362701419</v>
      </c>
      <c r="X26">
        <v>0.1533553749322891</v>
      </c>
      <c r="Y26">
        <v>0.15071453154087069</v>
      </c>
      <c r="Z26">
        <v>0.14803248643875119</v>
      </c>
      <c r="AA26">
        <v>0.1453853249549866</v>
      </c>
      <c r="AB26">
        <v>0.14267079532146451</v>
      </c>
      <c r="AC26">
        <v>-1.358950092456224E-2</v>
      </c>
    </row>
    <row r="27" spans="1:29" x14ac:dyDescent="0.45">
      <c r="A27" t="s">
        <v>2714</v>
      </c>
      <c r="B27" t="s">
        <v>2715</v>
      </c>
      <c r="C27">
        <v>0.56683909893035889</v>
      </c>
      <c r="D27">
        <v>0.59447222948074341</v>
      </c>
      <c r="E27">
        <v>0.60086137056350708</v>
      </c>
      <c r="F27">
        <v>0.60903185606002808</v>
      </c>
      <c r="G27">
        <v>0.61581021547317505</v>
      </c>
      <c r="H27">
        <v>0.62006598711013794</v>
      </c>
      <c r="I27">
        <v>0.62495642900466919</v>
      </c>
      <c r="J27">
        <v>0.63044631481170654</v>
      </c>
      <c r="K27">
        <v>0.63640803098678589</v>
      </c>
      <c r="L27">
        <v>0.64294540882110596</v>
      </c>
      <c r="M27">
        <v>0.6497994065284729</v>
      </c>
      <c r="N27">
        <v>0.65744853019714355</v>
      </c>
      <c r="O27">
        <v>0.66526556015014648</v>
      </c>
      <c r="P27">
        <v>0.67322629690170288</v>
      </c>
      <c r="Q27">
        <v>0.68110114336013794</v>
      </c>
      <c r="R27">
        <v>0.68931227922439575</v>
      </c>
      <c r="S27">
        <v>0.69798088073730469</v>
      </c>
      <c r="T27">
        <v>0.70710176229476929</v>
      </c>
      <c r="U27">
        <v>0.71693152189254761</v>
      </c>
      <c r="V27">
        <v>0.72700560092926025</v>
      </c>
      <c r="W27">
        <v>0.73754805326461792</v>
      </c>
      <c r="X27">
        <v>0.74766790866851807</v>
      </c>
      <c r="Y27">
        <v>0.75733828544616699</v>
      </c>
      <c r="Z27">
        <v>0.76694387197494507</v>
      </c>
      <c r="AA27">
        <v>0.77708876132965088</v>
      </c>
      <c r="AB27">
        <v>0.78723692893981934</v>
      </c>
      <c r="AC27">
        <v>1.3224835475628799E-2</v>
      </c>
    </row>
    <row r="28" spans="1:29" x14ac:dyDescent="0.45">
      <c r="A28" t="s">
        <v>2716</v>
      </c>
      <c r="B28" t="s">
        <v>2717</v>
      </c>
      <c r="C28">
        <v>7.3797442018985748E-2</v>
      </c>
      <c r="D28">
        <v>7.2725929319858551E-2</v>
      </c>
      <c r="E28">
        <v>7.2052367031574249E-2</v>
      </c>
      <c r="F28">
        <v>7.1639999747276306E-2</v>
      </c>
      <c r="G28">
        <v>7.1071445941925049E-2</v>
      </c>
      <c r="H28">
        <v>7.0186875760555267E-2</v>
      </c>
      <c r="I28">
        <v>6.9283425807952881E-2</v>
      </c>
      <c r="J28">
        <v>6.8399414420127869E-2</v>
      </c>
      <c r="K28">
        <v>6.7566446959972382E-2</v>
      </c>
      <c r="L28">
        <v>6.674639880657196E-2</v>
      </c>
      <c r="M28">
        <v>6.5931566059589386E-2</v>
      </c>
      <c r="N28">
        <v>6.5183967351913452E-2</v>
      </c>
      <c r="O28">
        <v>6.442539393901825E-2</v>
      </c>
      <c r="P28">
        <v>6.3673168420791626E-2</v>
      </c>
      <c r="Q28">
        <v>6.291624903678894E-2</v>
      </c>
      <c r="R28">
        <v>6.2152568250894553E-2</v>
      </c>
      <c r="S28">
        <v>6.1431121081113822E-2</v>
      </c>
      <c r="T28">
        <v>6.0715850442647927E-2</v>
      </c>
      <c r="U28">
        <v>6.0034144669771188E-2</v>
      </c>
      <c r="V28">
        <v>5.9363886713981628E-2</v>
      </c>
      <c r="W28">
        <v>5.8695036917924881E-2</v>
      </c>
      <c r="X28">
        <v>5.800233781337738E-2</v>
      </c>
      <c r="Y28">
        <v>5.7258345186710358E-2</v>
      </c>
      <c r="Z28">
        <v>5.6503459811210632E-2</v>
      </c>
      <c r="AA28">
        <v>5.5764075368642807E-2</v>
      </c>
      <c r="AB28">
        <v>5.5011309683322913E-2</v>
      </c>
      <c r="AC28">
        <v>-1.1682632859364441E-2</v>
      </c>
    </row>
    <row r="29" spans="1:29" x14ac:dyDescent="0.45">
      <c r="A29" t="s">
        <v>2718</v>
      </c>
      <c r="B29" t="s">
        <v>2719</v>
      </c>
      <c r="C29">
        <v>0.7725786566734314</v>
      </c>
      <c r="D29">
        <v>0.77808070182800293</v>
      </c>
      <c r="E29">
        <v>0.78721636533737183</v>
      </c>
      <c r="F29">
        <v>0.79894798994064331</v>
      </c>
      <c r="G29">
        <v>0.80861729383468628</v>
      </c>
      <c r="H29">
        <v>0.81284761428833008</v>
      </c>
      <c r="I29">
        <v>0.81740254163742065</v>
      </c>
      <c r="J29">
        <v>0.82248866558074951</v>
      </c>
      <c r="K29">
        <v>0.82842159271240234</v>
      </c>
      <c r="L29">
        <v>0.83473402261734009</v>
      </c>
      <c r="M29">
        <v>0.84140819311141968</v>
      </c>
      <c r="N29">
        <v>0.84894019365310669</v>
      </c>
      <c r="O29">
        <v>0.85649627447128296</v>
      </c>
      <c r="P29">
        <v>0.86420577764511108</v>
      </c>
      <c r="Q29">
        <v>0.87185335159301758</v>
      </c>
      <c r="R29">
        <v>0.87961149215698242</v>
      </c>
      <c r="S29">
        <v>0.88787376880645752</v>
      </c>
      <c r="T29">
        <v>0.89625650644302368</v>
      </c>
      <c r="U29">
        <v>0.90508544445037842</v>
      </c>
      <c r="V29">
        <v>0.91416382789611816</v>
      </c>
      <c r="W29">
        <v>0.92337268590927124</v>
      </c>
      <c r="X29">
        <v>0.93216902017593384</v>
      </c>
      <c r="Y29">
        <v>0.94026070833206177</v>
      </c>
      <c r="Z29">
        <v>0.94815254211425781</v>
      </c>
      <c r="AA29">
        <v>0.9564245343208313</v>
      </c>
      <c r="AB29">
        <v>0.96451842784881592</v>
      </c>
      <c r="AC29">
        <v>8.9153113016047225E-3</v>
      </c>
    </row>
    <row r="30" spans="1:29" x14ac:dyDescent="0.45">
      <c r="A30" t="s">
        <v>2720</v>
      </c>
      <c r="B30" t="s">
        <v>2520</v>
      </c>
      <c r="C30">
        <v>8.3990909159183502E-2</v>
      </c>
      <c r="D30">
        <v>8.3245344460010529E-2</v>
      </c>
      <c r="E30">
        <v>8.2882039248943329E-2</v>
      </c>
      <c r="F30">
        <v>8.2750335335731506E-2</v>
      </c>
      <c r="G30">
        <v>8.2395762205123901E-2</v>
      </c>
      <c r="H30">
        <v>8.1707864999771118E-2</v>
      </c>
      <c r="I30">
        <v>8.0997481942176819E-2</v>
      </c>
      <c r="J30">
        <v>8.0317422747612E-2</v>
      </c>
      <c r="K30">
        <v>7.9704485833644867E-2</v>
      </c>
      <c r="L30">
        <v>7.9115942120552063E-2</v>
      </c>
      <c r="M30">
        <v>7.8533269464969635E-2</v>
      </c>
      <c r="N30">
        <v>7.7997617423534393E-2</v>
      </c>
      <c r="O30">
        <v>7.7441923320293427E-2</v>
      </c>
      <c r="P30">
        <v>7.6880864799022675E-2</v>
      </c>
      <c r="Q30">
        <v>7.629849761724472E-2</v>
      </c>
      <c r="R30">
        <v>7.570222020149231E-2</v>
      </c>
      <c r="S30">
        <v>7.5151115655899048E-2</v>
      </c>
      <c r="T30">
        <v>7.4597328901290894E-2</v>
      </c>
      <c r="U30">
        <v>7.4064627289772034E-2</v>
      </c>
      <c r="V30">
        <v>7.3537647724151611E-2</v>
      </c>
      <c r="W30">
        <v>7.3002226650714874E-2</v>
      </c>
      <c r="X30">
        <v>7.241734117269516E-2</v>
      </c>
      <c r="Y30">
        <v>7.1763046085834503E-2</v>
      </c>
      <c r="Z30">
        <v>7.1081988513469696E-2</v>
      </c>
      <c r="AA30">
        <v>7.0414647459983826E-2</v>
      </c>
      <c r="AB30">
        <v>6.9721437990665436E-2</v>
      </c>
      <c r="AC30">
        <v>-7.4203610865809511E-3</v>
      </c>
    </row>
    <row r="31" spans="1:29" x14ac:dyDescent="0.45">
      <c r="A31" t="s">
        <v>2721</v>
      </c>
      <c r="B31" t="s">
        <v>2722</v>
      </c>
      <c r="C31">
        <v>0.56464868783950806</v>
      </c>
      <c r="D31">
        <v>0.55332779884338379</v>
      </c>
      <c r="E31">
        <v>0.5473293662071228</v>
      </c>
      <c r="F31">
        <v>0.54542988538742065</v>
      </c>
      <c r="G31">
        <v>0.54358804225921631</v>
      </c>
      <c r="H31">
        <v>0.53231817483901978</v>
      </c>
      <c r="I31">
        <v>0.52262163162231445</v>
      </c>
      <c r="J31">
        <v>0.51420021057128906</v>
      </c>
      <c r="K31">
        <v>0.50677865743637085</v>
      </c>
      <c r="L31">
        <v>0.49977785348892212</v>
      </c>
      <c r="M31">
        <v>0.49295160174369812</v>
      </c>
      <c r="N31">
        <v>0.48728850483894348</v>
      </c>
      <c r="O31">
        <v>0.48248586058616638</v>
      </c>
      <c r="P31">
        <v>0.47849792242050171</v>
      </c>
      <c r="Q31">
        <v>0.47511857748031622</v>
      </c>
      <c r="R31">
        <v>0.47012150287628168</v>
      </c>
      <c r="S31">
        <v>0.46640691161155701</v>
      </c>
      <c r="T31">
        <v>0.4634820818901062</v>
      </c>
      <c r="U31">
        <v>0.46129697561264038</v>
      </c>
      <c r="V31">
        <v>0.45964255928993231</v>
      </c>
      <c r="W31">
        <v>0.45840096473693848</v>
      </c>
      <c r="X31">
        <v>0.45725777745246893</v>
      </c>
      <c r="Y31">
        <v>0.45599430799484247</v>
      </c>
      <c r="Z31">
        <v>0.45470628142356873</v>
      </c>
      <c r="AA31">
        <v>0.45369204878807068</v>
      </c>
      <c r="AB31">
        <v>0.45269542932510382</v>
      </c>
      <c r="AC31">
        <v>-8.8004151828615651E-3</v>
      </c>
    </row>
    <row r="32" spans="1:29" x14ac:dyDescent="0.45">
      <c r="A32" t="s">
        <v>2723</v>
      </c>
      <c r="B32" t="s">
        <v>2518</v>
      </c>
      <c r="C32">
        <v>0.36673378944396973</v>
      </c>
      <c r="D32">
        <v>0.36595341563224792</v>
      </c>
      <c r="E32">
        <v>0.36617350578308111</v>
      </c>
      <c r="F32">
        <v>0.36700010299682623</v>
      </c>
      <c r="G32">
        <v>0.36756345629692078</v>
      </c>
      <c r="H32">
        <v>0.36664438247680659</v>
      </c>
      <c r="I32">
        <v>0.36620622873306269</v>
      </c>
      <c r="J32">
        <v>0.36610907316207891</v>
      </c>
      <c r="K32">
        <v>0.36639034748077393</v>
      </c>
      <c r="L32">
        <v>0.36694955825805659</v>
      </c>
      <c r="M32">
        <v>0.36775559186935419</v>
      </c>
      <c r="N32">
        <v>0.36884811520576483</v>
      </c>
      <c r="O32">
        <v>0.37004610896110529</v>
      </c>
      <c r="P32">
        <v>0.37123894691467291</v>
      </c>
      <c r="Q32">
        <v>0.3723832368850708</v>
      </c>
      <c r="R32">
        <v>0.37348532676696777</v>
      </c>
      <c r="S32">
        <v>0.37482777237892151</v>
      </c>
      <c r="T32">
        <v>0.37610214948654169</v>
      </c>
      <c r="U32">
        <v>0.37739026546478271</v>
      </c>
      <c r="V32">
        <v>0.37866276502609247</v>
      </c>
      <c r="W32">
        <v>0.37990128993988043</v>
      </c>
      <c r="X32">
        <v>0.3810141384601593</v>
      </c>
      <c r="Y32">
        <v>0.38195547461509699</v>
      </c>
      <c r="Z32">
        <v>0.38280674815177917</v>
      </c>
      <c r="AA32">
        <v>0.38365435600280762</v>
      </c>
      <c r="AB32">
        <v>0.38441506028175348</v>
      </c>
      <c r="AC32">
        <v>1.885240416076073E-3</v>
      </c>
    </row>
    <row r="33" spans="1:29" x14ac:dyDescent="0.45">
      <c r="A33" t="s">
        <v>2724</v>
      </c>
      <c r="B33" t="s">
        <v>2725</v>
      </c>
      <c r="C33">
        <v>0.35769146680831909</v>
      </c>
      <c r="D33">
        <v>0.40369805693626398</v>
      </c>
      <c r="E33">
        <v>0.45296800136566162</v>
      </c>
      <c r="F33">
        <v>0.50386369228363037</v>
      </c>
      <c r="G33">
        <v>0.55580109357833862</v>
      </c>
      <c r="H33">
        <v>0.60810637474060059</v>
      </c>
      <c r="I33">
        <v>0.66097623109817505</v>
      </c>
      <c r="J33">
        <v>0.71486109495162964</v>
      </c>
      <c r="K33">
        <v>0.76973402500152588</v>
      </c>
      <c r="L33">
        <v>0.82540673017501831</v>
      </c>
      <c r="M33">
        <v>0.8817182183265686</v>
      </c>
      <c r="N33">
        <v>0.93838644027709961</v>
      </c>
      <c r="O33">
        <v>0.99514853954315186</v>
      </c>
      <c r="P33">
        <v>1.051304817199707</v>
      </c>
      <c r="Q33">
        <v>1.106358528137207</v>
      </c>
      <c r="R33">
        <v>1.159801244735718</v>
      </c>
      <c r="S33">
        <v>1.211428165435791</v>
      </c>
      <c r="T33">
        <v>1.260422468185425</v>
      </c>
      <c r="U33">
        <v>1.3068299293518071</v>
      </c>
      <c r="V33">
        <v>1.3498513698577881</v>
      </c>
      <c r="W33">
        <v>1.389499306678772</v>
      </c>
      <c r="X33">
        <v>1.424822926521301</v>
      </c>
      <c r="Y33">
        <v>1.4555174112319951</v>
      </c>
      <c r="Z33">
        <v>1.4812450408935549</v>
      </c>
      <c r="AA33">
        <v>1.5018157958984379</v>
      </c>
      <c r="AB33">
        <v>1.5200847387313841</v>
      </c>
      <c r="AC33">
        <v>5.9581504241519527E-2</v>
      </c>
    </row>
    <row r="34" spans="1:29" x14ac:dyDescent="0.45">
      <c r="A34" t="s">
        <v>2726</v>
      </c>
      <c r="B34" t="s">
        <v>2727</v>
      </c>
      <c r="C34">
        <v>0.21695259213447571</v>
      </c>
      <c r="D34">
        <v>0.2117447704076767</v>
      </c>
      <c r="E34">
        <v>0.20712237060070041</v>
      </c>
      <c r="F34">
        <v>0.2026841789484024</v>
      </c>
      <c r="G34">
        <v>0.1982623636722565</v>
      </c>
      <c r="H34">
        <v>0.19391293823719019</v>
      </c>
      <c r="I34">
        <v>0.1898292750120163</v>
      </c>
      <c r="J34">
        <v>0.18571975827217099</v>
      </c>
      <c r="K34">
        <v>0.18246522545814511</v>
      </c>
      <c r="L34">
        <v>0.17970889806747439</v>
      </c>
      <c r="M34">
        <v>0.17706714570522311</v>
      </c>
      <c r="N34">
        <v>0.1750409007072449</v>
      </c>
      <c r="O34">
        <v>0.1731773912906647</v>
      </c>
      <c r="P34">
        <v>0.17144748568534851</v>
      </c>
      <c r="Q34">
        <v>0.17038112878799441</v>
      </c>
      <c r="R34">
        <v>0.16903424263000491</v>
      </c>
      <c r="S34">
        <v>0.16736727952957151</v>
      </c>
      <c r="T34">
        <v>0.16648046672344211</v>
      </c>
      <c r="U34">
        <v>0.1648089736700058</v>
      </c>
      <c r="V34">
        <v>0.1634516566991806</v>
      </c>
      <c r="W34">
        <v>0.1618640869855881</v>
      </c>
      <c r="X34">
        <v>0.16062961518764499</v>
      </c>
      <c r="Y34">
        <v>0.15854467451572421</v>
      </c>
      <c r="Z34">
        <v>0.1562098562717438</v>
      </c>
      <c r="AA34">
        <v>0.1536378413438797</v>
      </c>
      <c r="AB34">
        <v>0.15080669522285459</v>
      </c>
      <c r="AC34">
        <v>-1.4441901008480749E-2</v>
      </c>
    </row>
    <row r="35" spans="1:29" x14ac:dyDescent="0.45">
      <c r="A35" t="s">
        <v>2728</v>
      </c>
      <c r="B35" t="s">
        <v>2729</v>
      </c>
      <c r="C35">
        <v>1.9491628408432009</v>
      </c>
      <c r="D35">
        <v>2.1337265968322749</v>
      </c>
      <c r="E35">
        <v>2.1396884918212891</v>
      </c>
      <c r="F35">
        <v>2.1391499042510991</v>
      </c>
      <c r="G35">
        <v>2.1382029056549068</v>
      </c>
      <c r="H35">
        <v>2.1360304355621338</v>
      </c>
      <c r="I35">
        <v>2.134271621704102</v>
      </c>
      <c r="J35">
        <v>2.1334948539733891</v>
      </c>
      <c r="K35">
        <v>2.1342422962188721</v>
      </c>
      <c r="L35">
        <v>2.136271715164185</v>
      </c>
      <c r="M35">
        <v>2.1396157741546631</v>
      </c>
      <c r="N35">
        <v>2.1449534893035889</v>
      </c>
      <c r="O35">
        <v>2.1511600017547612</v>
      </c>
      <c r="P35">
        <v>2.1578776836395259</v>
      </c>
      <c r="Q35">
        <v>2.164867639541626</v>
      </c>
      <c r="R35">
        <v>2.1721892356872559</v>
      </c>
      <c r="S35">
        <v>2.1793885231018071</v>
      </c>
      <c r="T35">
        <v>2.1868374347686772</v>
      </c>
      <c r="U35">
        <v>2.1948528289794922</v>
      </c>
      <c r="V35">
        <v>2.2030379772186279</v>
      </c>
      <c r="W35">
        <v>2.212114810943604</v>
      </c>
      <c r="X35">
        <v>2.2210614681243901</v>
      </c>
      <c r="Y35">
        <v>2.230132102966309</v>
      </c>
      <c r="Z35">
        <v>2.2396624088287349</v>
      </c>
      <c r="AA35">
        <v>2.249700784683228</v>
      </c>
      <c r="AB35">
        <v>2.2603828907012939</v>
      </c>
      <c r="AC35">
        <v>5.9429597935931611E-3</v>
      </c>
    </row>
    <row r="36" spans="1:29" x14ac:dyDescent="0.45">
      <c r="A36" t="s">
        <v>2730</v>
      </c>
      <c r="B36" t="s">
        <v>2540</v>
      </c>
      <c r="C36">
        <v>5.1532554626464844</v>
      </c>
      <c r="D36">
        <v>5.3909659385681152</v>
      </c>
      <c r="E36">
        <v>5.4486231803894043</v>
      </c>
      <c r="F36">
        <v>5.5117354393005371</v>
      </c>
      <c r="G36">
        <v>5.5710029602050781</v>
      </c>
      <c r="H36">
        <v>5.6097221374511719</v>
      </c>
      <c r="I36">
        <v>5.6525759696960449</v>
      </c>
      <c r="J36">
        <v>5.7001433372497559</v>
      </c>
      <c r="K36">
        <v>5.7539410591125488</v>
      </c>
      <c r="L36">
        <v>5.8118991851806641</v>
      </c>
      <c r="M36">
        <v>5.872981071472168</v>
      </c>
      <c r="N36">
        <v>5.940314769744873</v>
      </c>
      <c r="O36">
        <v>6.0097479820251456</v>
      </c>
      <c r="P36">
        <v>6.0802860260009766</v>
      </c>
      <c r="Q36">
        <v>6.1509408950805664</v>
      </c>
      <c r="R36">
        <v>6.2187762260437012</v>
      </c>
      <c r="S36">
        <v>6.2869548797607422</v>
      </c>
      <c r="T36">
        <v>6.3548049926757813</v>
      </c>
      <c r="U36">
        <v>6.4218029975891113</v>
      </c>
      <c r="V36">
        <v>6.486872673034668</v>
      </c>
      <c r="W36">
        <v>6.5502228736877441</v>
      </c>
      <c r="X36">
        <v>6.6083984375</v>
      </c>
      <c r="Y36">
        <v>6.6594786643981934</v>
      </c>
      <c r="Z36">
        <v>6.7053451538085938</v>
      </c>
      <c r="AA36">
        <v>6.7475776672363281</v>
      </c>
      <c r="AB36">
        <v>6.7875442504882813</v>
      </c>
      <c r="AC36">
        <v>1.1079348822274239E-2</v>
      </c>
    </row>
    <row r="37" spans="1:29" x14ac:dyDescent="0.45">
      <c r="A37" t="s">
        <v>2731</v>
      </c>
      <c r="B37" t="s">
        <v>2542</v>
      </c>
      <c r="C37">
        <v>3.1625282019376748E-2</v>
      </c>
      <c r="D37">
        <v>4.134933277964592E-2</v>
      </c>
      <c r="E37">
        <v>5.3095277398824692E-2</v>
      </c>
      <c r="F37">
        <v>6.6244311630725861E-2</v>
      </c>
      <c r="G37">
        <v>7.9602524638175964E-2</v>
      </c>
      <c r="H37">
        <v>9.2542998492717743E-2</v>
      </c>
      <c r="I37">
        <v>0.1044155731797218</v>
      </c>
      <c r="J37">
        <v>0.11564316600561141</v>
      </c>
      <c r="K37">
        <v>0.126972422003746</v>
      </c>
      <c r="L37">
        <v>0.13850162923336029</v>
      </c>
      <c r="M37">
        <v>0.1503918915987015</v>
      </c>
      <c r="N37">
        <v>0.1624611169099808</v>
      </c>
      <c r="O37">
        <v>0.17480400204658511</v>
      </c>
      <c r="P37">
        <v>0.18723900616168981</v>
      </c>
      <c r="Q37">
        <v>0.19958958029747009</v>
      </c>
      <c r="R37">
        <v>0.21228790283203119</v>
      </c>
      <c r="S37">
        <v>0.22536417841911319</v>
      </c>
      <c r="T37">
        <v>0.2392434626817703</v>
      </c>
      <c r="U37">
        <v>0.25397318601608282</v>
      </c>
      <c r="V37">
        <v>0.26994425058364868</v>
      </c>
      <c r="W37">
        <v>0.28712135553359991</v>
      </c>
      <c r="X37">
        <v>0.30473798513412481</v>
      </c>
      <c r="Y37">
        <v>0.32270422577857971</v>
      </c>
      <c r="Z37">
        <v>0.34103548526763922</v>
      </c>
      <c r="AA37">
        <v>0.35960790514945978</v>
      </c>
      <c r="AB37">
        <v>0.37826317548751831</v>
      </c>
      <c r="AC37">
        <v>0.10435928343752671</v>
      </c>
    </row>
    <row r="38" spans="1:29" x14ac:dyDescent="0.45">
      <c r="A38" t="s">
        <v>2732</v>
      </c>
      <c r="B38" t="s">
        <v>2544</v>
      </c>
      <c r="C38">
        <v>0.15950858592987061</v>
      </c>
      <c r="D38">
        <v>0.1786766201257706</v>
      </c>
      <c r="E38">
        <v>0.1948061287403107</v>
      </c>
      <c r="F38">
        <v>0.20256760716438291</v>
      </c>
      <c r="G38">
        <v>0.20727863907814029</v>
      </c>
      <c r="H38">
        <v>0.21264529228210449</v>
      </c>
      <c r="I38">
        <v>0.2167929410934448</v>
      </c>
      <c r="J38">
        <v>0.22007113695144651</v>
      </c>
      <c r="K38">
        <v>0.22375722229480741</v>
      </c>
      <c r="L38">
        <v>0.22935956716537481</v>
      </c>
      <c r="M38">
        <v>0.23388862609863281</v>
      </c>
      <c r="N38">
        <v>0.23771291971206671</v>
      </c>
      <c r="O38">
        <v>0.24440619349479681</v>
      </c>
      <c r="P38">
        <v>0.25092688202857971</v>
      </c>
      <c r="Q38">
        <v>0.25883272290229797</v>
      </c>
      <c r="R38">
        <v>0.26564681529998779</v>
      </c>
      <c r="S38">
        <v>0.26932963728904719</v>
      </c>
      <c r="T38">
        <v>0.27484393119812012</v>
      </c>
      <c r="U38">
        <v>0.27782019972801208</v>
      </c>
      <c r="V38">
        <v>0.28117102384567261</v>
      </c>
      <c r="W38">
        <v>0.28390690684318542</v>
      </c>
      <c r="X38">
        <v>0.28815773129463201</v>
      </c>
      <c r="Y38">
        <v>0.29341936111450201</v>
      </c>
      <c r="Z38">
        <v>0.29877597093582148</v>
      </c>
      <c r="AA38">
        <v>0.30282855033874512</v>
      </c>
      <c r="AB38">
        <v>0.30805617570877081</v>
      </c>
      <c r="AC38">
        <v>2.667700303508402E-2</v>
      </c>
    </row>
    <row r="39" spans="1:29" x14ac:dyDescent="0.45">
      <c r="A39" t="s">
        <v>2733</v>
      </c>
      <c r="B39" t="s">
        <v>2734</v>
      </c>
      <c r="C39">
        <v>5.0253725051879883</v>
      </c>
      <c r="D39">
        <v>5.2536382675170898</v>
      </c>
      <c r="E39">
        <v>5.3069119453430176</v>
      </c>
      <c r="F39">
        <v>5.3754119873046884</v>
      </c>
      <c r="G39">
        <v>5.4433269500732422</v>
      </c>
      <c r="H39">
        <v>5.4896197319030762</v>
      </c>
      <c r="I39">
        <v>5.540198802947998</v>
      </c>
      <c r="J39">
        <v>5.5957150459289551</v>
      </c>
      <c r="K39">
        <v>5.6571564674377441</v>
      </c>
      <c r="L39">
        <v>5.7210402488708496</v>
      </c>
      <c r="M39">
        <v>5.7894845008850098</v>
      </c>
      <c r="N39">
        <v>5.8650627136230469</v>
      </c>
      <c r="O39">
        <v>5.9401464462280273</v>
      </c>
      <c r="P39">
        <v>6.0165977478027344</v>
      </c>
      <c r="Q39">
        <v>6.0916976928710938</v>
      </c>
      <c r="R39">
        <v>6.1654171943664551</v>
      </c>
      <c r="S39">
        <v>6.2429895401000977</v>
      </c>
      <c r="T39">
        <v>6.3192043304443359</v>
      </c>
      <c r="U39">
        <v>6.3979558944702148</v>
      </c>
      <c r="V39">
        <v>6.4756464958190918</v>
      </c>
      <c r="W39">
        <v>6.5534367561340332</v>
      </c>
      <c r="X39">
        <v>6.6249785423278809</v>
      </c>
      <c r="Y39">
        <v>6.6887631416320801</v>
      </c>
      <c r="Z39">
        <v>6.7476053237915039</v>
      </c>
      <c r="AA39">
        <v>6.8043575286865234</v>
      </c>
      <c r="AB39">
        <v>6.8577513694763184</v>
      </c>
      <c r="AC39">
        <v>1.251283930028224E-2</v>
      </c>
    </row>
    <row r="41" spans="1:29" x14ac:dyDescent="0.45">
      <c r="B41" t="s">
        <v>2547</v>
      </c>
    </row>
    <row r="42" spans="1:29" x14ac:dyDescent="0.45">
      <c r="A42" t="s">
        <v>2735</v>
      </c>
      <c r="B42" t="s">
        <v>2713</v>
      </c>
      <c r="C42">
        <v>1.6773954629898069</v>
      </c>
      <c r="D42">
        <v>1.6589773893356321</v>
      </c>
      <c r="E42">
        <v>1.655333399772644</v>
      </c>
      <c r="F42">
        <v>1.6402128934860229</v>
      </c>
      <c r="G42">
        <v>1.6146227121353149</v>
      </c>
      <c r="H42">
        <v>1.585396289825439</v>
      </c>
      <c r="I42">
        <v>1.558152914047241</v>
      </c>
      <c r="J42">
        <v>1.5396790504455571</v>
      </c>
      <c r="K42">
        <v>1.525580048561096</v>
      </c>
      <c r="L42">
        <v>1.514997720718384</v>
      </c>
      <c r="M42">
        <v>1.504150867462158</v>
      </c>
      <c r="N42">
        <v>1.4947488307952881</v>
      </c>
      <c r="O42">
        <v>1.48476254940033</v>
      </c>
      <c r="P42">
        <v>1.4748086929321289</v>
      </c>
      <c r="Q42">
        <v>1.4642318487167361</v>
      </c>
      <c r="R42">
        <v>1.4538170099258421</v>
      </c>
      <c r="S42">
        <v>1.443761348724365</v>
      </c>
      <c r="T42">
        <v>1.435541152954102</v>
      </c>
      <c r="U42">
        <v>1.4277917146682739</v>
      </c>
      <c r="V42">
        <v>1.4207719564437871</v>
      </c>
      <c r="W42">
        <v>1.4132452011108401</v>
      </c>
      <c r="X42">
        <v>1.403234720230103</v>
      </c>
      <c r="Y42">
        <v>1.391638040542603</v>
      </c>
      <c r="Z42">
        <v>1.379733562469482</v>
      </c>
      <c r="AA42">
        <v>1.3678485155105591</v>
      </c>
      <c r="AB42">
        <v>1.356255054473877</v>
      </c>
      <c r="AC42">
        <v>-8.4645722836076409E-3</v>
      </c>
    </row>
    <row r="43" spans="1:29" x14ac:dyDescent="0.45">
      <c r="A43" t="s">
        <v>2736</v>
      </c>
      <c r="B43" t="s">
        <v>2737</v>
      </c>
      <c r="C43">
        <v>1.5692310407757759E-2</v>
      </c>
      <c r="D43">
        <v>1.7611738294363018E-2</v>
      </c>
      <c r="E43">
        <v>1.7944717779755589E-2</v>
      </c>
      <c r="F43">
        <v>1.8168630078434941E-2</v>
      </c>
      <c r="G43">
        <v>1.8287289887666699E-2</v>
      </c>
      <c r="H43">
        <v>1.839173398911953E-2</v>
      </c>
      <c r="I43">
        <v>1.8555257469415661E-2</v>
      </c>
      <c r="J43">
        <v>1.8871057778596882E-2</v>
      </c>
      <c r="K43">
        <v>1.9279817119240761E-2</v>
      </c>
      <c r="L43">
        <v>1.978542655706406E-2</v>
      </c>
      <c r="M43">
        <v>2.0337725058197979E-2</v>
      </c>
      <c r="N43">
        <v>2.0947156473994259E-2</v>
      </c>
      <c r="O43">
        <v>2.16028206050396E-2</v>
      </c>
      <c r="P43">
        <v>2.2291727364063259E-2</v>
      </c>
      <c r="Q43">
        <v>2.3007044568657879E-2</v>
      </c>
      <c r="R43">
        <v>2.3771090433001522E-2</v>
      </c>
      <c r="S43">
        <v>2.4567574262619019E-2</v>
      </c>
      <c r="T43">
        <v>2.5421241298317909E-2</v>
      </c>
      <c r="U43">
        <v>2.632622979581356E-2</v>
      </c>
      <c r="V43">
        <v>2.7284827083349231E-2</v>
      </c>
      <c r="W43">
        <v>2.829787693917751E-2</v>
      </c>
      <c r="X43">
        <v>2.9311478137969971E-2</v>
      </c>
      <c r="Y43">
        <v>3.0355546623468399E-2</v>
      </c>
      <c r="Z43">
        <v>3.1434997916221619E-2</v>
      </c>
      <c r="AA43">
        <v>3.2569676637649543E-2</v>
      </c>
      <c r="AB43">
        <v>3.3763069659471512E-2</v>
      </c>
      <c r="AC43">
        <v>3.1122352162310959E-2</v>
      </c>
    </row>
    <row r="44" spans="1:29" x14ac:dyDescent="0.45">
      <c r="A44" t="s">
        <v>2738</v>
      </c>
      <c r="B44" t="s">
        <v>2717</v>
      </c>
      <c r="C44">
        <v>0.27396970987319952</v>
      </c>
      <c r="D44">
        <v>0.28034082055091858</v>
      </c>
      <c r="E44">
        <v>0.28301820158958441</v>
      </c>
      <c r="F44">
        <v>0.28370055556297302</v>
      </c>
      <c r="G44">
        <v>0.28280740976333618</v>
      </c>
      <c r="H44">
        <v>0.28132256865501398</v>
      </c>
      <c r="I44">
        <v>0.28013831377029419</v>
      </c>
      <c r="J44">
        <v>0.28065657615661621</v>
      </c>
      <c r="K44">
        <v>0.28179177641868591</v>
      </c>
      <c r="L44">
        <v>0.28385654091835022</v>
      </c>
      <c r="M44">
        <v>0.28609967231750488</v>
      </c>
      <c r="N44">
        <v>0.28878262639045721</v>
      </c>
      <c r="O44">
        <v>0.29144948720932012</v>
      </c>
      <c r="P44">
        <v>0.29413104057312012</v>
      </c>
      <c r="Q44">
        <v>0.29673013091087341</v>
      </c>
      <c r="R44">
        <v>0.299366295337677</v>
      </c>
      <c r="S44">
        <v>0.30216354131698608</v>
      </c>
      <c r="T44">
        <v>0.30531713366508478</v>
      </c>
      <c r="U44">
        <v>0.30862829089164728</v>
      </c>
      <c r="V44">
        <v>0.31213518977165222</v>
      </c>
      <c r="W44">
        <v>0.31552162766456598</v>
      </c>
      <c r="X44">
        <v>0.31842884421348572</v>
      </c>
      <c r="Y44">
        <v>0.32100528478622442</v>
      </c>
      <c r="Z44">
        <v>0.3234659731388092</v>
      </c>
      <c r="AA44">
        <v>0.32592290639877319</v>
      </c>
      <c r="AB44">
        <v>0.32842874526977539</v>
      </c>
      <c r="AC44">
        <v>7.2784542239763272E-3</v>
      </c>
    </row>
    <row r="45" spans="1:29" x14ac:dyDescent="0.45">
      <c r="A45" t="s">
        <v>2739</v>
      </c>
      <c r="B45" t="s">
        <v>2520</v>
      </c>
      <c r="C45">
        <v>0.40539014339447021</v>
      </c>
      <c r="D45">
        <v>0.41269847750663757</v>
      </c>
      <c r="E45">
        <v>0.41620051860809332</v>
      </c>
      <c r="F45">
        <v>0.4167693555355072</v>
      </c>
      <c r="G45">
        <v>0.41515323519706732</v>
      </c>
      <c r="H45">
        <v>0.41260257363319403</v>
      </c>
      <c r="I45">
        <v>0.4105217456817627</v>
      </c>
      <c r="J45">
        <v>0.41081517934799189</v>
      </c>
      <c r="K45">
        <v>0.41202756762504578</v>
      </c>
      <c r="L45">
        <v>0.41451823711395258</v>
      </c>
      <c r="M45">
        <v>0.41720250248909002</v>
      </c>
      <c r="N45">
        <v>0.42046648263931269</v>
      </c>
      <c r="O45">
        <v>0.42367342114448547</v>
      </c>
      <c r="P45">
        <v>0.42686823010444641</v>
      </c>
      <c r="Q45">
        <v>0.42989811301231379</v>
      </c>
      <c r="R45">
        <v>0.43293362855911249</v>
      </c>
      <c r="S45">
        <v>0.43624541163444519</v>
      </c>
      <c r="T45">
        <v>0.4400576651096344</v>
      </c>
      <c r="U45">
        <v>0.44407555460929871</v>
      </c>
      <c r="V45">
        <v>0.44835063815116882</v>
      </c>
      <c r="W45">
        <v>0.4524155855178833</v>
      </c>
      <c r="X45">
        <v>0.45573797821998602</v>
      </c>
      <c r="Y45">
        <v>0.45854222774505621</v>
      </c>
      <c r="Z45">
        <v>0.46114656329154968</v>
      </c>
      <c r="AA45">
        <v>0.46372115612030029</v>
      </c>
      <c r="AB45">
        <v>0.46634387969970698</v>
      </c>
      <c r="AC45">
        <v>5.6186610306712126E-3</v>
      </c>
    </row>
    <row r="46" spans="1:29" x14ac:dyDescent="0.45">
      <c r="A46" t="s">
        <v>2740</v>
      </c>
      <c r="B46" t="s">
        <v>2554</v>
      </c>
      <c r="C46">
        <v>1.267356395721436</v>
      </c>
      <c r="D46">
        <v>1.194332599639893</v>
      </c>
      <c r="E46">
        <v>1.199043273925781</v>
      </c>
      <c r="F46">
        <v>1.1970863342285161</v>
      </c>
      <c r="G46">
        <v>1.188332796096802</v>
      </c>
      <c r="H46">
        <v>1.177144050598145</v>
      </c>
      <c r="I46">
        <v>1.1660845279693599</v>
      </c>
      <c r="J46">
        <v>1.1606681346893311</v>
      </c>
      <c r="K46">
        <v>1.157207250595093</v>
      </c>
      <c r="L46">
        <v>1.156333923339844</v>
      </c>
      <c r="M46">
        <v>1.155312299728394</v>
      </c>
      <c r="N46">
        <v>1.1553342342376709</v>
      </c>
      <c r="O46">
        <v>1.1551671028137209</v>
      </c>
      <c r="P46">
        <v>1.1551246643066411</v>
      </c>
      <c r="Q46">
        <v>1.154979467391968</v>
      </c>
      <c r="R46">
        <v>1.155163049697876</v>
      </c>
      <c r="S46">
        <v>1.1555249691009519</v>
      </c>
      <c r="T46">
        <v>1.157366037368774</v>
      </c>
      <c r="U46">
        <v>1.1597251892089839</v>
      </c>
      <c r="V46">
        <v>1.1629612445831301</v>
      </c>
      <c r="W46">
        <v>1.165869474411011</v>
      </c>
      <c r="X46">
        <v>1.1673815250396731</v>
      </c>
      <c r="Y46">
        <v>1.1680183410644529</v>
      </c>
      <c r="Z46">
        <v>1.1684195995330811</v>
      </c>
      <c r="AA46">
        <v>1.1688694953918459</v>
      </c>
      <c r="AB46">
        <v>1.1696515083312991</v>
      </c>
      <c r="AC46">
        <v>-3.203948546843693E-3</v>
      </c>
    </row>
    <row r="47" spans="1:29" x14ac:dyDescent="0.45">
      <c r="A47" t="s">
        <v>2741</v>
      </c>
      <c r="B47" t="s">
        <v>2556</v>
      </c>
      <c r="C47">
        <v>3.6398038864135742</v>
      </c>
      <c r="D47">
        <v>3.5639610290527339</v>
      </c>
      <c r="E47">
        <v>3.5715401172637939</v>
      </c>
      <c r="F47">
        <v>3.555937767028809</v>
      </c>
      <c r="G47">
        <v>3.5192034244537349</v>
      </c>
      <c r="H47">
        <v>3.4748573303222661</v>
      </c>
      <c r="I47">
        <v>3.433452844619751</v>
      </c>
      <c r="J47">
        <v>3.410690069198608</v>
      </c>
      <c r="K47">
        <v>3.3958864212036128</v>
      </c>
      <c r="L47">
        <v>3.3894917964935298</v>
      </c>
      <c r="M47">
        <v>3.3831031322479248</v>
      </c>
      <c r="N47">
        <v>3.3802793025970459</v>
      </c>
      <c r="O47">
        <v>3.3766553401947021</v>
      </c>
      <c r="P47">
        <v>3.3732244968414311</v>
      </c>
      <c r="Q47">
        <v>3.3688466548919682</v>
      </c>
      <c r="R47">
        <v>3.3650510311126709</v>
      </c>
      <c r="S47">
        <v>3.3622629642486568</v>
      </c>
      <c r="T47">
        <v>3.3637032508850102</v>
      </c>
      <c r="U47">
        <v>3.3665468692779541</v>
      </c>
      <c r="V47">
        <v>3.3715038299560551</v>
      </c>
      <c r="W47">
        <v>3.375349760055542</v>
      </c>
      <c r="X47">
        <v>3.3740944862365718</v>
      </c>
      <c r="Y47">
        <v>3.3695592880249019</v>
      </c>
      <c r="Z47">
        <v>3.3642005920410161</v>
      </c>
      <c r="AA47">
        <v>3.3589315414428711</v>
      </c>
      <c r="AB47">
        <v>3.3544421195983891</v>
      </c>
      <c r="AC47">
        <v>-3.2604463439075419E-3</v>
      </c>
    </row>
    <row r="49" spans="1:29" x14ac:dyDescent="0.45">
      <c r="B49" t="s">
        <v>2742</v>
      </c>
    </row>
    <row r="50" spans="1:29" x14ac:dyDescent="0.45">
      <c r="A50" t="s">
        <v>2743</v>
      </c>
      <c r="B50" t="s">
        <v>2713</v>
      </c>
      <c r="C50">
        <v>7.4527919292449951E-2</v>
      </c>
      <c r="D50">
        <v>7.281358540058136E-2</v>
      </c>
      <c r="E50">
        <v>7.2147302329540253E-2</v>
      </c>
      <c r="F50">
        <v>7.1328140795230865E-2</v>
      </c>
      <c r="G50">
        <v>7.0239558815956116E-2</v>
      </c>
      <c r="H50">
        <v>6.9390051066875458E-2</v>
      </c>
      <c r="I50">
        <v>6.8551786243915558E-2</v>
      </c>
      <c r="J50">
        <v>6.7389041185379028E-2</v>
      </c>
      <c r="K50">
        <v>6.5911509096622467E-2</v>
      </c>
      <c r="L50">
        <v>6.4452938735485077E-2</v>
      </c>
      <c r="M50">
        <v>6.3008643686771393E-2</v>
      </c>
      <c r="N50">
        <v>6.1669744551181793E-2</v>
      </c>
      <c r="O50">
        <v>6.0346193611621857E-2</v>
      </c>
      <c r="P50">
        <v>5.9038575738668442E-2</v>
      </c>
      <c r="Q50">
        <v>5.7779919356107712E-2</v>
      </c>
      <c r="R50">
        <v>5.6541707366704941E-2</v>
      </c>
      <c r="S50">
        <v>5.5331457406282418E-2</v>
      </c>
      <c r="T50">
        <v>5.4154399782419198E-2</v>
      </c>
      <c r="U50">
        <v>5.2974898368120187E-2</v>
      </c>
      <c r="V50">
        <v>5.1813665777444839E-2</v>
      </c>
      <c r="W50">
        <v>5.0656583160161972E-2</v>
      </c>
      <c r="X50">
        <v>4.9515556544065482E-2</v>
      </c>
      <c r="Y50">
        <v>4.8376400023698807E-2</v>
      </c>
      <c r="Z50">
        <v>4.7275986522436142E-2</v>
      </c>
      <c r="AA50">
        <v>4.6178881078958511E-2</v>
      </c>
      <c r="AB50">
        <v>4.5136269181966782E-2</v>
      </c>
      <c r="AC50">
        <v>-1.9859654335996121E-2</v>
      </c>
    </row>
    <row r="51" spans="1:29" x14ac:dyDescent="0.45">
      <c r="A51" t="s">
        <v>2744</v>
      </c>
      <c r="B51" t="s">
        <v>2717</v>
      </c>
      <c r="C51">
        <v>3.7680559325963259E-3</v>
      </c>
      <c r="D51">
        <v>3.7832744419574742E-3</v>
      </c>
      <c r="E51">
        <v>3.7724871654063459E-3</v>
      </c>
      <c r="F51">
        <v>3.7564183585345749E-3</v>
      </c>
      <c r="G51">
        <v>3.7375132087618108E-3</v>
      </c>
      <c r="H51">
        <v>3.7337860558182001E-3</v>
      </c>
      <c r="I51">
        <v>3.7297364324331279E-3</v>
      </c>
      <c r="J51">
        <v>3.7097297608852391E-3</v>
      </c>
      <c r="K51">
        <v>3.6715194582939148E-3</v>
      </c>
      <c r="L51">
        <v>3.635622793808579E-3</v>
      </c>
      <c r="M51">
        <v>3.6015734076499939E-3</v>
      </c>
      <c r="N51">
        <v>3.5739874001592402E-3</v>
      </c>
      <c r="O51">
        <v>3.547454252839088E-3</v>
      </c>
      <c r="P51">
        <v>3.5207115579396491E-3</v>
      </c>
      <c r="Q51">
        <v>3.496143501251936E-3</v>
      </c>
      <c r="R51">
        <v>3.471773816272616E-3</v>
      </c>
      <c r="S51">
        <v>3.4477852750569582E-3</v>
      </c>
      <c r="T51">
        <v>3.4243902191519742E-3</v>
      </c>
      <c r="U51">
        <v>3.400481771677732E-3</v>
      </c>
      <c r="V51">
        <v>3.375726286321878E-3</v>
      </c>
      <c r="W51">
        <v>3.3500534482300282E-3</v>
      </c>
      <c r="X51">
        <v>3.3243908546864991E-3</v>
      </c>
      <c r="Y51">
        <v>3.2979131210595369E-3</v>
      </c>
      <c r="Z51">
        <v>3.2726200297474861E-3</v>
      </c>
      <c r="AA51">
        <v>3.2461252994835381E-3</v>
      </c>
      <c r="AB51">
        <v>3.2221607398241758E-3</v>
      </c>
      <c r="AC51">
        <v>-6.2407264267132501E-3</v>
      </c>
    </row>
    <row r="52" spans="1:29" x14ac:dyDescent="0.45">
      <c r="A52" t="s">
        <v>2745</v>
      </c>
      <c r="B52" t="s">
        <v>2746</v>
      </c>
      <c r="C52">
        <v>0.23712390661239621</v>
      </c>
      <c r="D52">
        <v>0.24239152669906619</v>
      </c>
      <c r="E52">
        <v>0.25052589178085333</v>
      </c>
      <c r="F52">
        <v>0.25241014361381531</v>
      </c>
      <c r="G52">
        <v>0.25394093990325928</v>
      </c>
      <c r="H52">
        <v>0.25635850429534912</v>
      </c>
      <c r="I52">
        <v>0.25846773386001592</v>
      </c>
      <c r="J52">
        <v>0.25921866297721857</v>
      </c>
      <c r="K52">
        <v>0.25816449522972112</v>
      </c>
      <c r="L52">
        <v>0.25715771317481989</v>
      </c>
      <c r="M52">
        <v>0.25619250535964971</v>
      </c>
      <c r="N52">
        <v>0.255626380443573</v>
      </c>
      <c r="O52">
        <v>0.25496232509613043</v>
      </c>
      <c r="P52">
        <v>0.25428009033203119</v>
      </c>
      <c r="Q52">
        <v>0.25374829769134521</v>
      </c>
      <c r="R52">
        <v>0.25328880548477167</v>
      </c>
      <c r="S52">
        <v>0.25278040766715998</v>
      </c>
      <c r="T52">
        <v>0.25230595469474792</v>
      </c>
      <c r="U52">
        <v>0.25179854035377502</v>
      </c>
      <c r="V52">
        <v>0.25126516819000239</v>
      </c>
      <c r="W52">
        <v>0.25062987208366388</v>
      </c>
      <c r="X52">
        <v>0.24996206164360049</v>
      </c>
      <c r="Y52">
        <v>0.24919475615024569</v>
      </c>
      <c r="Z52">
        <v>0.24849805235862729</v>
      </c>
      <c r="AA52">
        <v>0.24769699573516851</v>
      </c>
      <c r="AB52">
        <v>0.24707627296447751</v>
      </c>
      <c r="AC52">
        <v>1.6459238145363211E-3</v>
      </c>
    </row>
    <row r="53" spans="1:29" x14ac:dyDescent="0.45">
      <c r="A53" t="s">
        <v>2747</v>
      </c>
      <c r="B53" t="s">
        <v>2556</v>
      </c>
      <c r="C53">
        <v>0.31541988253593439</v>
      </c>
      <c r="D53">
        <v>0.3189883828163147</v>
      </c>
      <c r="E53">
        <v>0.32644569873809809</v>
      </c>
      <c r="F53">
        <v>0.32749468088150019</v>
      </c>
      <c r="G53">
        <v>0.32791799306869512</v>
      </c>
      <c r="H53">
        <v>0.32948234677314758</v>
      </c>
      <c r="I53">
        <v>0.33074924349784851</v>
      </c>
      <c r="J53">
        <v>0.33031743764877319</v>
      </c>
      <c r="K53">
        <v>0.32774752378463751</v>
      </c>
      <c r="L53">
        <v>0.32524627447128301</v>
      </c>
      <c r="M53">
        <v>0.32280272245407099</v>
      </c>
      <c r="N53">
        <v>0.32087010145187378</v>
      </c>
      <c r="O53">
        <v>0.31885597109794622</v>
      </c>
      <c r="P53">
        <v>0.31683936715126038</v>
      </c>
      <c r="Q53">
        <v>0.31502434611320501</v>
      </c>
      <c r="R53">
        <v>0.31330227851867681</v>
      </c>
      <c r="S53">
        <v>0.31155964732170099</v>
      </c>
      <c r="T53">
        <v>0.30988472700119019</v>
      </c>
      <c r="U53">
        <v>0.30817392468452448</v>
      </c>
      <c r="V53">
        <v>0.30645456910133362</v>
      </c>
      <c r="W53">
        <v>0.30463650822639471</v>
      </c>
      <c r="X53">
        <v>0.30280199646949768</v>
      </c>
      <c r="Y53">
        <v>0.30086907744407648</v>
      </c>
      <c r="Z53">
        <v>0.29904666543006903</v>
      </c>
      <c r="AA53">
        <v>0.29712200164794922</v>
      </c>
      <c r="AB53">
        <v>0.29543471336364752</v>
      </c>
      <c r="AC53">
        <v>-2.6148487269990191E-3</v>
      </c>
    </row>
    <row r="55" spans="1:29" x14ac:dyDescent="0.45">
      <c r="A55" t="s">
        <v>2748</v>
      </c>
      <c r="B55" t="s">
        <v>2749</v>
      </c>
      <c r="C55">
        <v>0.14368182420730591</v>
      </c>
      <c r="D55">
        <v>0.14368182420730591</v>
      </c>
      <c r="E55">
        <v>0.14368182420730591</v>
      </c>
      <c r="F55">
        <v>0.14368182420730591</v>
      </c>
      <c r="G55">
        <v>0.14368182420730591</v>
      </c>
      <c r="H55">
        <v>0.14368182420730591</v>
      </c>
      <c r="I55">
        <v>0.14368182420730591</v>
      </c>
      <c r="J55">
        <v>0.14368182420730591</v>
      </c>
      <c r="K55">
        <v>0.14368182420730591</v>
      </c>
      <c r="L55">
        <v>0.14368182420730591</v>
      </c>
      <c r="M55">
        <v>0.14368182420730591</v>
      </c>
      <c r="N55">
        <v>0.14368182420730591</v>
      </c>
      <c r="O55">
        <v>0.14368182420730591</v>
      </c>
      <c r="P55">
        <v>0.14368182420730591</v>
      </c>
      <c r="Q55">
        <v>0.14368182420730591</v>
      </c>
      <c r="R55">
        <v>0.14368182420730591</v>
      </c>
      <c r="S55">
        <v>0.14368182420730591</v>
      </c>
      <c r="T55">
        <v>0.14368182420730591</v>
      </c>
      <c r="U55">
        <v>0.14368182420730591</v>
      </c>
      <c r="V55">
        <v>0.14368182420730591</v>
      </c>
      <c r="W55">
        <v>0.14368182420730591</v>
      </c>
      <c r="X55">
        <v>0.14368182420730591</v>
      </c>
      <c r="Y55">
        <v>0.14368182420730591</v>
      </c>
      <c r="Z55">
        <v>0.14368182420730591</v>
      </c>
      <c r="AA55">
        <v>0.14368182420730591</v>
      </c>
      <c r="AB55">
        <v>0.14368182420730591</v>
      </c>
      <c r="AC55">
        <v>0</v>
      </c>
    </row>
    <row r="56" spans="1:29" x14ac:dyDescent="0.45">
      <c r="A56" t="s">
        <v>2750</v>
      </c>
      <c r="B56" t="s">
        <v>2751</v>
      </c>
      <c r="C56">
        <v>0.64804857969284058</v>
      </c>
      <c r="D56">
        <v>0.66109436750411987</v>
      </c>
      <c r="E56">
        <v>0.66815906763076782</v>
      </c>
      <c r="F56">
        <v>0.67530959844589233</v>
      </c>
      <c r="G56">
        <v>0.68251526355743408</v>
      </c>
      <c r="H56">
        <v>0.6905861496925354</v>
      </c>
      <c r="I56">
        <v>0.69791728258132935</v>
      </c>
      <c r="J56">
        <v>0.70595133304595947</v>
      </c>
      <c r="K56">
        <v>0.71397119760513306</v>
      </c>
      <c r="L56">
        <v>0.72265666723251343</v>
      </c>
      <c r="M56">
        <v>0.73132973909378052</v>
      </c>
      <c r="N56">
        <v>0.74053525924682617</v>
      </c>
      <c r="O56">
        <v>0.74982339143753052</v>
      </c>
      <c r="P56">
        <v>0.75890272855758667</v>
      </c>
      <c r="Q56">
        <v>0.76786136627197266</v>
      </c>
      <c r="R56">
        <v>0.77653080224990845</v>
      </c>
      <c r="S56">
        <v>0.78471815586090088</v>
      </c>
      <c r="T56">
        <v>0.79267412424087524</v>
      </c>
      <c r="U56">
        <v>0.80039334297180176</v>
      </c>
      <c r="V56">
        <v>0.80793756246566772</v>
      </c>
      <c r="W56">
        <v>0.81531292200088501</v>
      </c>
      <c r="X56">
        <v>0.82266759872436523</v>
      </c>
      <c r="Y56">
        <v>0.82990443706512451</v>
      </c>
      <c r="Z56">
        <v>0.83711159229278564</v>
      </c>
      <c r="AA56">
        <v>0.84429466724395752</v>
      </c>
      <c r="AB56">
        <v>0.8515092134475708</v>
      </c>
      <c r="AC56">
        <v>1.0981646761222709E-2</v>
      </c>
    </row>
    <row r="58" spans="1:29" x14ac:dyDescent="0.45">
      <c r="B58" t="s">
        <v>2752</v>
      </c>
    </row>
    <row r="59" spans="1:29" x14ac:dyDescent="0.45">
      <c r="A59" t="s">
        <v>2753</v>
      </c>
      <c r="B59" t="s">
        <v>2713</v>
      </c>
      <c r="C59">
        <v>1.9527831077575679</v>
      </c>
      <c r="D59">
        <v>1.9257820844650271</v>
      </c>
      <c r="E59">
        <v>1.9198101758956909</v>
      </c>
      <c r="F59">
        <v>1.9027783870697019</v>
      </c>
      <c r="G59">
        <v>1.8745524883270259</v>
      </c>
      <c r="H59">
        <v>1.8426879644393921</v>
      </c>
      <c r="I59">
        <v>1.8127356767654419</v>
      </c>
      <c r="J59">
        <v>1.791174173355103</v>
      </c>
      <c r="K59">
        <v>1.77372145652771</v>
      </c>
      <c r="L59">
        <v>1.759692907333374</v>
      </c>
      <c r="M59">
        <v>1.7453598976135249</v>
      </c>
      <c r="N59">
        <v>1.7326453924179079</v>
      </c>
      <c r="O59">
        <v>1.7192094326019289</v>
      </c>
      <c r="P59">
        <v>1.7057803869247441</v>
      </c>
      <c r="Q59">
        <v>1.6916743516921999</v>
      </c>
      <c r="R59">
        <v>1.677725076675415</v>
      </c>
      <c r="S59">
        <v>1.664192318916321</v>
      </c>
      <c r="T59">
        <v>1.652503967285156</v>
      </c>
      <c r="U59">
        <v>1.64127516746521</v>
      </c>
      <c r="V59">
        <v>1.6307414770126341</v>
      </c>
      <c r="W59">
        <v>1.6197260618209841</v>
      </c>
      <c r="X59">
        <v>1.60610568523407</v>
      </c>
      <c r="Y59">
        <v>1.5907289981842041</v>
      </c>
      <c r="Z59">
        <v>1.5750420093536379</v>
      </c>
      <c r="AA59">
        <v>1.559412837028503</v>
      </c>
      <c r="AB59">
        <v>1.54406201839447</v>
      </c>
      <c r="AC59">
        <v>-9.3495772140717026E-3</v>
      </c>
    </row>
    <row r="60" spans="1:29" x14ac:dyDescent="0.45">
      <c r="A60" t="s">
        <v>2754</v>
      </c>
      <c r="B60" t="s">
        <v>2715</v>
      </c>
      <c r="C60">
        <v>0.5825313925743103</v>
      </c>
      <c r="D60">
        <v>0.61208397150039673</v>
      </c>
      <c r="E60">
        <v>0.61880606412887573</v>
      </c>
      <c r="F60">
        <v>0.62720048427581787</v>
      </c>
      <c r="G60">
        <v>0.63409751653671265</v>
      </c>
      <c r="H60">
        <v>0.63845771551132202</v>
      </c>
      <c r="I60">
        <v>0.64351171255111694</v>
      </c>
      <c r="J60">
        <v>0.64931738376617432</v>
      </c>
      <c r="K60">
        <v>0.65568786859512329</v>
      </c>
      <c r="L60">
        <v>0.66273081302642822</v>
      </c>
      <c r="M60">
        <v>0.67013710737228394</v>
      </c>
      <c r="N60">
        <v>0.67839568853378296</v>
      </c>
      <c r="O60">
        <v>0.68686836957931519</v>
      </c>
      <c r="P60">
        <v>0.69551801681518555</v>
      </c>
      <c r="Q60">
        <v>0.70410817861557007</v>
      </c>
      <c r="R60">
        <v>0.71308338642120361</v>
      </c>
      <c r="S60">
        <v>0.72254848480224609</v>
      </c>
      <c r="T60">
        <v>0.73252302408218384</v>
      </c>
      <c r="U60">
        <v>0.74325776100158691</v>
      </c>
      <c r="V60">
        <v>0.75429040193557739</v>
      </c>
      <c r="W60">
        <v>0.76584595441818237</v>
      </c>
      <c r="X60">
        <v>0.77697938680648804</v>
      </c>
      <c r="Y60">
        <v>0.78769385814666748</v>
      </c>
      <c r="Z60">
        <v>0.79837888479232788</v>
      </c>
      <c r="AA60">
        <v>0.80965840816497803</v>
      </c>
      <c r="AB60">
        <v>0.82099997997283936</v>
      </c>
      <c r="AC60">
        <v>1.382022883046452E-2</v>
      </c>
    </row>
    <row r="61" spans="1:29" x14ac:dyDescent="0.45">
      <c r="A61" t="s">
        <v>2755</v>
      </c>
      <c r="B61" t="s">
        <v>2717</v>
      </c>
      <c r="C61">
        <v>0.35153520107269293</v>
      </c>
      <c r="D61">
        <v>0.3568500280380249</v>
      </c>
      <c r="E61">
        <v>0.35884305834770203</v>
      </c>
      <c r="F61">
        <v>0.3590969443321228</v>
      </c>
      <c r="G61">
        <v>0.3576163649559021</v>
      </c>
      <c r="H61">
        <v>0.35524323582649231</v>
      </c>
      <c r="I61">
        <v>0.35315147042274481</v>
      </c>
      <c r="J61">
        <v>0.35276573896408081</v>
      </c>
      <c r="K61">
        <v>0.3530297577381134</v>
      </c>
      <c r="L61">
        <v>0.35423853993415833</v>
      </c>
      <c r="M61">
        <v>0.35563281178474432</v>
      </c>
      <c r="N61">
        <v>0.35754057765007019</v>
      </c>
      <c r="O61">
        <v>0.35942235589027399</v>
      </c>
      <c r="P61">
        <v>0.36132490634918207</v>
      </c>
      <c r="Q61">
        <v>0.36314252018928528</v>
      </c>
      <c r="R61">
        <v>0.36499062180519098</v>
      </c>
      <c r="S61">
        <v>0.3670424222946167</v>
      </c>
      <c r="T61">
        <v>0.36945736408233643</v>
      </c>
      <c r="U61">
        <v>0.37206292152404791</v>
      </c>
      <c r="V61">
        <v>0.37487480044364929</v>
      </c>
      <c r="W61">
        <v>0.37756672501564031</v>
      </c>
      <c r="X61">
        <v>0.37975555658340449</v>
      </c>
      <c r="Y61">
        <v>0.38156154751777649</v>
      </c>
      <c r="Z61">
        <v>0.38324204087257391</v>
      </c>
      <c r="AA61">
        <v>0.38493311405181879</v>
      </c>
      <c r="AB61">
        <v>0.38666221499443049</v>
      </c>
      <c r="AC61">
        <v>3.816931234072563E-3</v>
      </c>
    </row>
    <row r="62" spans="1:29" x14ac:dyDescent="0.45">
      <c r="A62" t="s">
        <v>2756</v>
      </c>
      <c r="B62" t="s">
        <v>2719</v>
      </c>
      <c r="C62">
        <v>0.7725786566734314</v>
      </c>
      <c r="D62">
        <v>0.77808070182800293</v>
      </c>
      <c r="E62">
        <v>0.78721636533737183</v>
      </c>
      <c r="F62">
        <v>0.79894798994064331</v>
      </c>
      <c r="G62">
        <v>0.80861729383468628</v>
      </c>
      <c r="H62">
        <v>0.81284761428833008</v>
      </c>
      <c r="I62">
        <v>0.81740254163742065</v>
      </c>
      <c r="J62">
        <v>0.82248866558074951</v>
      </c>
      <c r="K62">
        <v>0.82842159271240234</v>
      </c>
      <c r="L62">
        <v>0.83473402261734009</v>
      </c>
      <c r="M62">
        <v>0.84140819311141968</v>
      </c>
      <c r="N62">
        <v>0.84894019365310669</v>
      </c>
      <c r="O62">
        <v>0.85649627447128296</v>
      </c>
      <c r="P62">
        <v>0.86420577764511108</v>
      </c>
      <c r="Q62">
        <v>0.87185335159301758</v>
      </c>
      <c r="R62">
        <v>0.87961149215698242</v>
      </c>
      <c r="S62">
        <v>0.88787376880645752</v>
      </c>
      <c r="T62">
        <v>0.89625650644302368</v>
      </c>
      <c r="U62">
        <v>0.90508544445037842</v>
      </c>
      <c r="V62">
        <v>0.91416382789611816</v>
      </c>
      <c r="W62">
        <v>0.92337268590927124</v>
      </c>
      <c r="X62">
        <v>0.93216902017593384</v>
      </c>
      <c r="Y62">
        <v>0.94026070833206177</v>
      </c>
      <c r="Z62">
        <v>0.94815254211425781</v>
      </c>
      <c r="AA62">
        <v>0.9564245343208313</v>
      </c>
      <c r="AB62">
        <v>0.96451842784881592</v>
      </c>
      <c r="AC62">
        <v>8.9153113016047225E-3</v>
      </c>
    </row>
    <row r="63" spans="1:29" x14ac:dyDescent="0.45">
      <c r="A63" t="s">
        <v>2757</v>
      </c>
      <c r="B63" t="s">
        <v>2520</v>
      </c>
      <c r="C63">
        <v>0.48938104510307312</v>
      </c>
      <c r="D63">
        <v>0.4959438145160675</v>
      </c>
      <c r="E63">
        <v>0.49908256530761719</v>
      </c>
      <c r="F63">
        <v>0.4995197057723999</v>
      </c>
      <c r="G63">
        <v>0.49754899740219122</v>
      </c>
      <c r="H63">
        <v>0.49431043863296509</v>
      </c>
      <c r="I63">
        <v>0.49151921272277832</v>
      </c>
      <c r="J63">
        <v>0.49113261699676508</v>
      </c>
      <c r="K63">
        <v>0.49173206090927118</v>
      </c>
      <c r="L63">
        <v>0.49363416433334351</v>
      </c>
      <c r="M63">
        <v>0.495735764503479</v>
      </c>
      <c r="N63">
        <v>0.49846410751342768</v>
      </c>
      <c r="O63">
        <v>0.50111532211303711</v>
      </c>
      <c r="P63">
        <v>0.50374907255172729</v>
      </c>
      <c r="Q63">
        <v>0.50619661808013916</v>
      </c>
      <c r="R63">
        <v>0.50863587856292725</v>
      </c>
      <c r="S63">
        <v>0.51139652729034424</v>
      </c>
      <c r="T63">
        <v>0.51465499401092529</v>
      </c>
      <c r="U63">
        <v>0.51814019680023193</v>
      </c>
      <c r="V63">
        <v>0.52188825607299805</v>
      </c>
      <c r="W63">
        <v>0.52541780471801758</v>
      </c>
      <c r="X63">
        <v>0.52815532684326172</v>
      </c>
      <c r="Y63">
        <v>0.53030526638031006</v>
      </c>
      <c r="Z63">
        <v>0.53222852945327759</v>
      </c>
      <c r="AA63">
        <v>0.53413581848144531</v>
      </c>
      <c r="AB63">
        <v>0.53606534004211426</v>
      </c>
      <c r="AC63">
        <v>3.6512350709754231E-3</v>
      </c>
    </row>
    <row r="64" spans="1:29" x14ac:dyDescent="0.45">
      <c r="A64" t="s">
        <v>2758</v>
      </c>
      <c r="B64" t="s">
        <v>2722</v>
      </c>
      <c r="C64">
        <v>0.56464868783950806</v>
      </c>
      <c r="D64">
        <v>0.55332779884338379</v>
      </c>
      <c r="E64">
        <v>0.5473293662071228</v>
      </c>
      <c r="F64">
        <v>0.54542988538742065</v>
      </c>
      <c r="G64">
        <v>0.54358804225921631</v>
      </c>
      <c r="H64">
        <v>0.53231817483901978</v>
      </c>
      <c r="I64">
        <v>0.52262163162231445</v>
      </c>
      <c r="J64">
        <v>0.51420021057128906</v>
      </c>
      <c r="K64">
        <v>0.50677865743637085</v>
      </c>
      <c r="L64">
        <v>0.49977785348892212</v>
      </c>
      <c r="M64">
        <v>0.49295160174369812</v>
      </c>
      <c r="N64">
        <v>0.48728850483894348</v>
      </c>
      <c r="O64">
        <v>0.48248586058616638</v>
      </c>
      <c r="P64">
        <v>0.47849792242050171</v>
      </c>
      <c r="Q64">
        <v>0.47511857748031622</v>
      </c>
      <c r="R64">
        <v>0.47012150287628168</v>
      </c>
      <c r="S64">
        <v>0.46640691161155701</v>
      </c>
      <c r="T64">
        <v>0.4634820818901062</v>
      </c>
      <c r="U64">
        <v>0.46129697561264038</v>
      </c>
      <c r="V64">
        <v>0.45964255928993231</v>
      </c>
      <c r="W64">
        <v>0.45840096473693848</v>
      </c>
      <c r="X64">
        <v>0.45725777745246893</v>
      </c>
      <c r="Y64">
        <v>0.45599430799484247</v>
      </c>
      <c r="Z64">
        <v>0.45470628142356873</v>
      </c>
      <c r="AA64">
        <v>0.45369204878807068</v>
      </c>
      <c r="AB64">
        <v>0.45269542932510382</v>
      </c>
      <c r="AC64">
        <v>-8.8004151828615651E-3</v>
      </c>
    </row>
    <row r="65" spans="1:29" x14ac:dyDescent="0.45">
      <c r="A65" t="s">
        <v>2759</v>
      </c>
      <c r="B65" t="s">
        <v>2518</v>
      </c>
      <c r="C65">
        <v>0.36673378944396973</v>
      </c>
      <c r="D65">
        <v>0.36595341563224792</v>
      </c>
      <c r="E65">
        <v>0.36617350578308111</v>
      </c>
      <c r="F65">
        <v>0.36700010299682623</v>
      </c>
      <c r="G65">
        <v>0.36756345629692078</v>
      </c>
      <c r="H65">
        <v>0.36664438247680659</v>
      </c>
      <c r="I65">
        <v>0.36620622873306269</v>
      </c>
      <c r="J65">
        <v>0.36610907316207891</v>
      </c>
      <c r="K65">
        <v>0.36639034748077393</v>
      </c>
      <c r="L65">
        <v>0.36694955825805659</v>
      </c>
      <c r="M65">
        <v>0.36775559186935419</v>
      </c>
      <c r="N65">
        <v>0.36884811520576483</v>
      </c>
      <c r="O65">
        <v>0.37004610896110529</v>
      </c>
      <c r="P65">
        <v>0.37123894691467291</v>
      </c>
      <c r="Q65">
        <v>0.3723832368850708</v>
      </c>
      <c r="R65">
        <v>0.37348532676696777</v>
      </c>
      <c r="S65">
        <v>0.37482777237892151</v>
      </c>
      <c r="T65">
        <v>0.37610214948654169</v>
      </c>
      <c r="U65">
        <v>0.37739026546478271</v>
      </c>
      <c r="V65">
        <v>0.37866276502609247</v>
      </c>
      <c r="W65">
        <v>0.37990128993988043</v>
      </c>
      <c r="X65">
        <v>0.3810141384601593</v>
      </c>
      <c r="Y65">
        <v>0.38195547461509699</v>
      </c>
      <c r="Z65">
        <v>0.38280674815177917</v>
      </c>
      <c r="AA65">
        <v>0.38365435600280762</v>
      </c>
      <c r="AB65">
        <v>0.38441506028175348</v>
      </c>
      <c r="AC65">
        <v>1.885240416076073E-3</v>
      </c>
    </row>
    <row r="66" spans="1:29" x14ac:dyDescent="0.45">
      <c r="A66" t="s">
        <v>2760</v>
      </c>
      <c r="B66" t="s">
        <v>2725</v>
      </c>
      <c r="C66">
        <v>0.35769146680831909</v>
      </c>
      <c r="D66">
        <v>0.40369805693626398</v>
      </c>
      <c r="E66">
        <v>0.45296800136566162</v>
      </c>
      <c r="F66">
        <v>0.50386369228363037</v>
      </c>
      <c r="G66">
        <v>0.55580109357833862</v>
      </c>
      <c r="H66">
        <v>0.60810637474060059</v>
      </c>
      <c r="I66">
        <v>0.66097623109817505</v>
      </c>
      <c r="J66">
        <v>0.71486109495162964</v>
      </c>
      <c r="K66">
        <v>0.76973402500152588</v>
      </c>
      <c r="L66">
        <v>0.82540673017501831</v>
      </c>
      <c r="M66">
        <v>0.8817182183265686</v>
      </c>
      <c r="N66">
        <v>0.93838644027709961</v>
      </c>
      <c r="O66">
        <v>0.99514853954315186</v>
      </c>
      <c r="P66">
        <v>1.051304817199707</v>
      </c>
      <c r="Q66">
        <v>1.106358528137207</v>
      </c>
      <c r="R66">
        <v>1.159801244735718</v>
      </c>
      <c r="S66">
        <v>1.211428165435791</v>
      </c>
      <c r="T66">
        <v>1.260422468185425</v>
      </c>
      <c r="U66">
        <v>1.3068299293518071</v>
      </c>
      <c r="V66">
        <v>1.3498513698577881</v>
      </c>
      <c r="W66">
        <v>1.389499306678772</v>
      </c>
      <c r="X66">
        <v>1.424822926521301</v>
      </c>
      <c r="Y66">
        <v>1.4555174112319951</v>
      </c>
      <c r="Z66">
        <v>1.4812450408935549</v>
      </c>
      <c r="AA66">
        <v>1.5018157958984379</v>
      </c>
      <c r="AB66">
        <v>1.5200847387313841</v>
      </c>
      <c r="AC66">
        <v>5.9581504241519527E-2</v>
      </c>
    </row>
    <row r="67" spans="1:29" x14ac:dyDescent="0.45">
      <c r="A67" t="s">
        <v>2761</v>
      </c>
      <c r="B67" t="s">
        <v>2727</v>
      </c>
      <c r="C67">
        <v>0.21695259213447571</v>
      </c>
      <c r="D67">
        <v>0.2117447704076767</v>
      </c>
      <c r="E67">
        <v>0.20712237060070041</v>
      </c>
      <c r="F67">
        <v>0.2026841789484024</v>
      </c>
      <c r="G67">
        <v>0.1982623636722565</v>
      </c>
      <c r="H67">
        <v>0.19391293823719019</v>
      </c>
      <c r="I67">
        <v>0.1898292750120163</v>
      </c>
      <c r="J67">
        <v>0.18571975827217099</v>
      </c>
      <c r="K67">
        <v>0.18246522545814511</v>
      </c>
      <c r="L67">
        <v>0.17970889806747439</v>
      </c>
      <c r="M67">
        <v>0.17706714570522311</v>
      </c>
      <c r="N67">
        <v>0.1750409007072449</v>
      </c>
      <c r="O67">
        <v>0.1731773912906647</v>
      </c>
      <c r="P67">
        <v>0.17144748568534851</v>
      </c>
      <c r="Q67">
        <v>0.17038112878799441</v>
      </c>
      <c r="R67">
        <v>0.16903424263000491</v>
      </c>
      <c r="S67">
        <v>0.16736727952957151</v>
      </c>
      <c r="T67">
        <v>0.16648046672344211</v>
      </c>
      <c r="U67">
        <v>0.1648089736700058</v>
      </c>
      <c r="V67">
        <v>0.1634516566991806</v>
      </c>
      <c r="W67">
        <v>0.1618640869855881</v>
      </c>
      <c r="X67">
        <v>0.16062961518764499</v>
      </c>
      <c r="Y67">
        <v>0.15854467451572421</v>
      </c>
      <c r="Z67">
        <v>0.1562098562717438</v>
      </c>
      <c r="AA67">
        <v>0.1536378413438797</v>
      </c>
      <c r="AB67">
        <v>0.15080669522285459</v>
      </c>
      <c r="AC67">
        <v>-1.4441901008480749E-2</v>
      </c>
    </row>
    <row r="68" spans="1:29" x14ac:dyDescent="0.45">
      <c r="A68" t="s">
        <v>2762</v>
      </c>
      <c r="B68" t="s">
        <v>2763</v>
      </c>
      <c r="C68">
        <v>4.2453742027282706</v>
      </c>
      <c r="D68">
        <v>4.3752255439758301</v>
      </c>
      <c r="E68">
        <v>4.401097297668457</v>
      </c>
      <c r="F68">
        <v>4.4076380729675293</v>
      </c>
      <c r="G68">
        <v>4.4066743850708008</v>
      </c>
      <c r="H68">
        <v>4.4038009643554688</v>
      </c>
      <c r="I68">
        <v>4.4004230499267578</v>
      </c>
      <c r="J68">
        <v>4.4030141830444336</v>
      </c>
      <c r="K68">
        <v>4.4072675704956046</v>
      </c>
      <c r="L68">
        <v>4.4161014556884766</v>
      </c>
      <c r="M68">
        <v>4.4261331558227539</v>
      </c>
      <c r="N68">
        <v>4.4401311874389648</v>
      </c>
      <c r="O68">
        <v>4.4547953605651864</v>
      </c>
      <c r="P68">
        <v>4.4698667526245117</v>
      </c>
      <c r="Q68">
        <v>4.4851388931274414</v>
      </c>
      <c r="R68">
        <v>4.5008525848388672</v>
      </c>
      <c r="S68">
        <v>4.5160937309265137</v>
      </c>
      <c r="T68">
        <v>4.532867431640625</v>
      </c>
      <c r="U68">
        <v>4.5504508018493652</v>
      </c>
      <c r="V68">
        <v>4.5688838958740234</v>
      </c>
      <c r="W68">
        <v>4.587608814239502</v>
      </c>
      <c r="X68">
        <v>4.6047549247741699</v>
      </c>
      <c r="Y68">
        <v>4.6209311485290527</v>
      </c>
      <c r="Z68">
        <v>4.6373744010925293</v>
      </c>
      <c r="AA68">
        <v>4.6542434692382813</v>
      </c>
      <c r="AB68">
        <v>4.67230224609375</v>
      </c>
      <c r="AC68">
        <v>3.840233642889102E-3</v>
      </c>
    </row>
    <row r="69" spans="1:29" x14ac:dyDescent="0.45">
      <c r="A69" t="s">
        <v>2764</v>
      </c>
      <c r="B69" t="s">
        <v>2765</v>
      </c>
      <c r="C69">
        <v>9.9002103805541992</v>
      </c>
      <c r="D69">
        <v>10.078691482543951</v>
      </c>
      <c r="E69">
        <v>10.158449172973629</v>
      </c>
      <c r="F69">
        <v>10.21415996551514</v>
      </c>
      <c r="G69">
        <v>10.244320869445801</v>
      </c>
      <c r="H69">
        <v>10.248330116271971</v>
      </c>
      <c r="I69">
        <v>10.258376121521</v>
      </c>
      <c r="J69">
        <v>10.29078197479248</v>
      </c>
      <c r="K69">
        <v>10.33522796630859</v>
      </c>
      <c r="L69">
        <v>10.39297580718994</v>
      </c>
      <c r="M69">
        <v>10.453898429870611</v>
      </c>
      <c r="N69">
        <v>10.525680541992189</v>
      </c>
      <c r="O69">
        <v>10.59876537322998</v>
      </c>
      <c r="P69">
        <v>10.672934532165529</v>
      </c>
      <c r="Q69">
        <v>10.746355056762701</v>
      </c>
      <c r="R69">
        <v>10.817342758178709</v>
      </c>
      <c r="S69">
        <v>10.889177322387701</v>
      </c>
      <c r="T69">
        <v>10.964749336242679</v>
      </c>
      <c r="U69">
        <v>11.04059886932373</v>
      </c>
      <c r="V69">
        <v>11.11645030975342</v>
      </c>
      <c r="W69">
        <v>11.1892032623291</v>
      </c>
      <c r="X69">
        <v>11.25164318084717</v>
      </c>
      <c r="Y69">
        <v>11.303493499755859</v>
      </c>
      <c r="Z69">
        <v>11.349386215209959</v>
      </c>
      <c r="AA69">
        <v>11.39160823822021</v>
      </c>
      <c r="AB69">
        <v>11.43261241912842</v>
      </c>
      <c r="AC69">
        <v>5.7731609241042916E-3</v>
      </c>
    </row>
    <row r="70" spans="1:29" x14ac:dyDescent="0.45">
      <c r="A70" t="s">
        <v>2766</v>
      </c>
      <c r="B70" t="s">
        <v>2604</v>
      </c>
      <c r="C70">
        <v>3.1625282019376748E-2</v>
      </c>
      <c r="D70">
        <v>4.134933277964592E-2</v>
      </c>
      <c r="E70">
        <v>5.3095277398824692E-2</v>
      </c>
      <c r="F70">
        <v>6.6244311630725861E-2</v>
      </c>
      <c r="G70">
        <v>7.9602524638175964E-2</v>
      </c>
      <c r="H70">
        <v>9.2542998492717743E-2</v>
      </c>
      <c r="I70">
        <v>0.1044155731797218</v>
      </c>
      <c r="J70">
        <v>0.11564316600561141</v>
      </c>
      <c r="K70">
        <v>0.126972422003746</v>
      </c>
      <c r="L70">
        <v>0.13850162923336029</v>
      </c>
      <c r="M70">
        <v>0.1503918915987015</v>
      </c>
      <c r="N70">
        <v>0.1624611169099808</v>
      </c>
      <c r="O70">
        <v>0.17480400204658511</v>
      </c>
      <c r="P70">
        <v>0.18723900616168981</v>
      </c>
      <c r="Q70">
        <v>0.19958958029747009</v>
      </c>
      <c r="R70">
        <v>0.21228790283203119</v>
      </c>
      <c r="S70">
        <v>0.22536417841911319</v>
      </c>
      <c r="T70">
        <v>0.2392434626817703</v>
      </c>
      <c r="U70">
        <v>0.25397318601608282</v>
      </c>
      <c r="V70">
        <v>0.26994425058364868</v>
      </c>
      <c r="W70">
        <v>0.28712135553359991</v>
      </c>
      <c r="X70">
        <v>0.30473798513412481</v>
      </c>
      <c r="Y70">
        <v>0.32270422577857971</v>
      </c>
      <c r="Z70">
        <v>0.34103548526763922</v>
      </c>
      <c r="AA70">
        <v>0.35960790514945978</v>
      </c>
      <c r="AB70">
        <v>0.37826317548751831</v>
      </c>
      <c r="AC70">
        <v>0.10435928343752671</v>
      </c>
    </row>
    <row r="71" spans="1:29" x14ac:dyDescent="0.45">
      <c r="A71" t="s">
        <v>2767</v>
      </c>
      <c r="B71" t="s">
        <v>2606</v>
      </c>
      <c r="C71">
        <v>0.15950858592987061</v>
      </c>
      <c r="D71">
        <v>0.1786766201257706</v>
      </c>
      <c r="E71">
        <v>0.1948061287403107</v>
      </c>
      <c r="F71">
        <v>0.20256760716438291</v>
      </c>
      <c r="G71">
        <v>0.20727863907814029</v>
      </c>
      <c r="H71">
        <v>0.21264529228210449</v>
      </c>
      <c r="I71">
        <v>0.2167929410934448</v>
      </c>
      <c r="J71">
        <v>0.22007113695144651</v>
      </c>
      <c r="K71">
        <v>0.22375722229480741</v>
      </c>
      <c r="L71">
        <v>0.22935956716537481</v>
      </c>
      <c r="M71">
        <v>0.23388862609863281</v>
      </c>
      <c r="N71">
        <v>0.23771291971206671</v>
      </c>
      <c r="O71">
        <v>0.24440619349479681</v>
      </c>
      <c r="P71">
        <v>0.25092688202857971</v>
      </c>
      <c r="Q71">
        <v>0.25883272290229797</v>
      </c>
      <c r="R71">
        <v>0.26564681529998779</v>
      </c>
      <c r="S71">
        <v>0.26932963728904719</v>
      </c>
      <c r="T71">
        <v>0.27484393119812012</v>
      </c>
      <c r="U71">
        <v>0.27782019972801208</v>
      </c>
      <c r="V71">
        <v>0.28117102384567261</v>
      </c>
      <c r="W71">
        <v>0.28390690684318542</v>
      </c>
      <c r="X71">
        <v>0.28815773129463201</v>
      </c>
      <c r="Y71">
        <v>0.29341936111450201</v>
      </c>
      <c r="Z71">
        <v>0.29877597093582148</v>
      </c>
      <c r="AA71">
        <v>0.30282855033874512</v>
      </c>
      <c r="AB71">
        <v>0.30805617570877081</v>
      </c>
      <c r="AC71">
        <v>2.667700303508402E-2</v>
      </c>
    </row>
    <row r="72" spans="1:29" x14ac:dyDescent="0.45">
      <c r="A72" t="s">
        <v>2768</v>
      </c>
      <c r="B72" t="s">
        <v>2769</v>
      </c>
      <c r="C72">
        <v>9.7723274230957031</v>
      </c>
      <c r="D72">
        <v>9.9413642883300781</v>
      </c>
      <c r="E72">
        <v>10.01673793792725</v>
      </c>
      <c r="F72">
        <v>10.077836036682131</v>
      </c>
      <c r="G72">
        <v>10.11664485931396</v>
      </c>
      <c r="H72">
        <v>10.128227233886721</v>
      </c>
      <c r="I72">
        <v>10.145998954772949</v>
      </c>
      <c r="J72">
        <v>10.186354637146</v>
      </c>
      <c r="K72">
        <v>10.238443374633791</v>
      </c>
      <c r="L72">
        <v>10.30211734771729</v>
      </c>
      <c r="M72">
        <v>10.370401382446291</v>
      </c>
      <c r="N72">
        <v>10.45042896270752</v>
      </c>
      <c r="O72">
        <v>10.5291633605957</v>
      </c>
      <c r="P72">
        <v>10.60924625396729</v>
      </c>
      <c r="Q72">
        <v>10.687111854553221</v>
      </c>
      <c r="R72">
        <v>10.76398372650146</v>
      </c>
      <c r="S72">
        <v>10.845211029052731</v>
      </c>
      <c r="T72">
        <v>10.92914867401123</v>
      </c>
      <c r="U72">
        <v>11.016751289367679</v>
      </c>
      <c r="V72">
        <v>11.10522365570068</v>
      </c>
      <c r="W72">
        <v>11.192418098449711</v>
      </c>
      <c r="X72">
        <v>11.268223762512211</v>
      </c>
      <c r="Y72">
        <v>11.332778930664061</v>
      </c>
      <c r="Z72">
        <v>11.391646385192869</v>
      </c>
      <c r="AA72">
        <v>11.44838714599609</v>
      </c>
      <c r="AB72">
        <v>11.50282001495361</v>
      </c>
      <c r="AC72">
        <v>6.5428138966372451E-3</v>
      </c>
    </row>
    <row r="74" spans="1:29" x14ac:dyDescent="0.45">
      <c r="A74" t="s">
        <v>2770</v>
      </c>
      <c r="B74" t="s">
        <v>2771</v>
      </c>
      <c r="C74">
        <v>6.9051451683044434</v>
      </c>
      <c r="D74">
        <v>7.1494035720825204</v>
      </c>
      <c r="E74">
        <v>6.6704459190368652</v>
      </c>
      <c r="F74">
        <v>6.4662551879882813</v>
      </c>
      <c r="G74">
        <v>6.3998751640319824</v>
      </c>
      <c r="H74">
        <v>6.3392543792724609</v>
      </c>
      <c r="I74">
        <v>6.1938114166259766</v>
      </c>
      <c r="J74">
        <v>6.133887767791748</v>
      </c>
      <c r="K74">
        <v>6.1266307830810547</v>
      </c>
      <c r="L74">
        <v>6.074709415435791</v>
      </c>
      <c r="M74">
        <v>6.0557756423950204</v>
      </c>
      <c r="N74">
        <v>6.0407123565673828</v>
      </c>
      <c r="O74">
        <v>6.0576672554016113</v>
      </c>
      <c r="P74">
        <v>6.0900907516479492</v>
      </c>
      <c r="Q74">
        <v>6.1077170372009277</v>
      </c>
      <c r="R74">
        <v>6.1082992553710938</v>
      </c>
      <c r="S74">
        <v>6.1123967170715332</v>
      </c>
      <c r="T74">
        <v>6.1441268920898438</v>
      </c>
      <c r="U74">
        <v>6.1853756904602051</v>
      </c>
      <c r="V74">
        <v>6.2277836799621582</v>
      </c>
      <c r="W74">
        <v>6.2705936431884766</v>
      </c>
      <c r="X74">
        <v>6.3097653388977051</v>
      </c>
      <c r="Y74">
        <v>6.3475842475891113</v>
      </c>
      <c r="Z74">
        <v>6.3792777061462402</v>
      </c>
      <c r="AA74">
        <v>6.385493278503418</v>
      </c>
      <c r="AB74">
        <v>6.408177375793457</v>
      </c>
      <c r="AC74">
        <v>-2.983218156668133E-3</v>
      </c>
    </row>
    <row r="76" spans="1:29" x14ac:dyDescent="0.45">
      <c r="B76" t="s">
        <v>2772</v>
      </c>
    </row>
    <row r="77" spans="1:29" x14ac:dyDescent="0.45">
      <c r="A77" t="s">
        <v>2773</v>
      </c>
      <c r="B77" t="s">
        <v>2713</v>
      </c>
      <c r="C77">
        <v>2.2202329635620122</v>
      </c>
      <c r="D77">
        <v>2.1810247898101811</v>
      </c>
      <c r="E77">
        <v>2.152912855148315</v>
      </c>
      <c r="F77">
        <v>2.1243691444396968</v>
      </c>
      <c r="G77">
        <v>2.0892786979675289</v>
      </c>
      <c r="H77">
        <v>2.0514461994171138</v>
      </c>
      <c r="I77">
        <v>2.0127372741699219</v>
      </c>
      <c r="J77">
        <v>1.9851952791213989</v>
      </c>
      <c r="K77">
        <v>1.9633995294570921</v>
      </c>
      <c r="L77">
        <v>1.943524837493896</v>
      </c>
      <c r="M77">
        <v>1.9243335723876951</v>
      </c>
      <c r="N77">
        <v>1.9068866968154909</v>
      </c>
      <c r="O77">
        <v>1.889534115791321</v>
      </c>
      <c r="P77">
        <v>1.8726315498352051</v>
      </c>
      <c r="Q77">
        <v>1.85462486743927</v>
      </c>
      <c r="R77">
        <v>1.8364578485488889</v>
      </c>
      <c r="S77">
        <v>1.818913340568542</v>
      </c>
      <c r="T77">
        <v>1.8039553165435791</v>
      </c>
      <c r="U77">
        <v>1.789737462997437</v>
      </c>
      <c r="V77">
        <v>1.776250839233398</v>
      </c>
      <c r="W77">
        <v>1.7623627185821531</v>
      </c>
      <c r="X77">
        <v>1.7457956075668331</v>
      </c>
      <c r="Y77">
        <v>1.7274540662765501</v>
      </c>
      <c r="Z77">
        <v>1.7087579965591431</v>
      </c>
      <c r="AA77">
        <v>1.689725279808044</v>
      </c>
      <c r="AB77">
        <v>1.671329021453857</v>
      </c>
      <c r="AC77">
        <v>-1.129544191571996E-2</v>
      </c>
    </row>
    <row r="78" spans="1:29" x14ac:dyDescent="0.45">
      <c r="A78" t="s">
        <v>2774</v>
      </c>
      <c r="B78" t="s">
        <v>2715</v>
      </c>
      <c r="C78">
        <v>1.337291955947876</v>
      </c>
      <c r="D78">
        <v>1.394257545471191</v>
      </c>
      <c r="E78">
        <v>1.3470475673675539</v>
      </c>
      <c r="F78">
        <v>1.3328989744186399</v>
      </c>
      <c r="G78">
        <v>1.3311846256256099</v>
      </c>
      <c r="H78">
        <v>1.3273496627807619</v>
      </c>
      <c r="I78">
        <v>1.315401554107666</v>
      </c>
      <c r="J78">
        <v>1.3137161731719971</v>
      </c>
      <c r="K78">
        <v>1.3181077241897581</v>
      </c>
      <c r="L78">
        <v>1.318480968475342</v>
      </c>
      <c r="M78">
        <v>1.322756290435791</v>
      </c>
      <c r="N78">
        <v>1.3284368515014651</v>
      </c>
      <c r="O78">
        <v>1.337705135345459</v>
      </c>
      <c r="P78">
        <v>1.3488450050353999</v>
      </c>
      <c r="Q78">
        <v>1.358264207839966</v>
      </c>
      <c r="R78">
        <v>1.3668372631073</v>
      </c>
      <c r="S78">
        <v>1.37665319442749</v>
      </c>
      <c r="T78">
        <v>1.390299320220947</v>
      </c>
      <c r="U78">
        <v>1.4063829183578489</v>
      </c>
      <c r="V78">
        <v>1.4231634140014651</v>
      </c>
      <c r="W78">
        <v>1.4409738779067991</v>
      </c>
      <c r="X78">
        <v>1.458022832870483</v>
      </c>
      <c r="Y78">
        <v>1.4747354984283449</v>
      </c>
      <c r="Z78">
        <v>1.49115002155304</v>
      </c>
      <c r="AA78">
        <v>1.5061824321746831</v>
      </c>
      <c r="AB78">
        <v>1.5232410430908201</v>
      </c>
      <c r="AC78">
        <v>5.2213314581857073E-3</v>
      </c>
    </row>
    <row r="79" spans="1:29" x14ac:dyDescent="0.45">
      <c r="A79" t="s">
        <v>2775</v>
      </c>
      <c r="B79" t="s">
        <v>2717</v>
      </c>
      <c r="C79">
        <v>0.4497983455657959</v>
      </c>
      <c r="D79">
        <v>0.45253875851631159</v>
      </c>
      <c r="E79">
        <v>0.44617024064064031</v>
      </c>
      <c r="F79">
        <v>0.44210776686668402</v>
      </c>
      <c r="G79">
        <v>0.43806809186935419</v>
      </c>
      <c r="H79">
        <v>0.43322068452835077</v>
      </c>
      <c r="I79">
        <v>0.42763799428939819</v>
      </c>
      <c r="J79">
        <v>0.42484879493713379</v>
      </c>
      <c r="K79">
        <v>0.42335784435272222</v>
      </c>
      <c r="L79">
        <v>0.42231422662734991</v>
      </c>
      <c r="M79">
        <v>0.42185047268867493</v>
      </c>
      <c r="N79">
        <v>0.42199012637138372</v>
      </c>
      <c r="O79">
        <v>0.42245045304298401</v>
      </c>
      <c r="P79">
        <v>0.42311602830886841</v>
      </c>
      <c r="Q79">
        <v>0.42356973886489868</v>
      </c>
      <c r="R79">
        <v>0.42393702268600458</v>
      </c>
      <c r="S79">
        <v>0.42461186647415161</v>
      </c>
      <c r="T79">
        <v>0.42593783140182501</v>
      </c>
      <c r="U79">
        <v>0.42759144306182861</v>
      </c>
      <c r="V79">
        <v>0.42949184775352478</v>
      </c>
      <c r="W79">
        <v>0.43129429221153259</v>
      </c>
      <c r="X79">
        <v>0.4325893223285675</v>
      </c>
      <c r="Y79">
        <v>0.43350511789321899</v>
      </c>
      <c r="Z79">
        <v>0.43428093194961548</v>
      </c>
      <c r="AA79">
        <v>0.43491584062576288</v>
      </c>
      <c r="AB79">
        <v>0.4357340931892395</v>
      </c>
      <c r="AC79">
        <v>-1.2698803016296669E-3</v>
      </c>
    </row>
    <row r="80" spans="1:29" x14ac:dyDescent="0.45">
      <c r="A80" t="s">
        <v>2776</v>
      </c>
      <c r="B80" t="s">
        <v>2719</v>
      </c>
      <c r="C80">
        <v>1.8012866973876951</v>
      </c>
      <c r="D80">
        <v>1.8018361330032351</v>
      </c>
      <c r="E80">
        <v>1.741319417953491</v>
      </c>
      <c r="F80">
        <v>1.7247064113616939</v>
      </c>
      <c r="G80">
        <v>1.7239587306976321</v>
      </c>
      <c r="H80">
        <v>1.715919494628906</v>
      </c>
      <c r="I80">
        <v>1.6961908340454099</v>
      </c>
      <c r="J80">
        <v>1.6892721652984619</v>
      </c>
      <c r="K80">
        <v>1.690703153610229</v>
      </c>
      <c r="L80">
        <v>1.686092257499695</v>
      </c>
      <c r="M80">
        <v>1.68646764755249</v>
      </c>
      <c r="N80">
        <v>1.6883155107498169</v>
      </c>
      <c r="O80">
        <v>1.694416284561157</v>
      </c>
      <c r="P80">
        <v>1.702867388725281</v>
      </c>
      <c r="Q80">
        <v>1.7092151641845701</v>
      </c>
      <c r="R80">
        <v>1.713847875595093</v>
      </c>
      <c r="S80">
        <v>1.719934344291687</v>
      </c>
      <c r="T80">
        <v>1.729992628097534</v>
      </c>
      <c r="U80">
        <v>1.7422435283660891</v>
      </c>
      <c r="V80">
        <v>1.7552294731140139</v>
      </c>
      <c r="W80">
        <v>1.7685985565185549</v>
      </c>
      <c r="X80">
        <v>1.781272768974304</v>
      </c>
      <c r="Y80">
        <v>1.793245673179626</v>
      </c>
      <c r="Z80">
        <v>1.8046072721481321</v>
      </c>
      <c r="AA80">
        <v>1.8136916160583501</v>
      </c>
      <c r="AB80">
        <v>1.8249003887176509</v>
      </c>
      <c r="AC80">
        <v>5.2110223088597252E-4</v>
      </c>
    </row>
    <row r="81" spans="1:29" x14ac:dyDescent="0.45">
      <c r="A81" t="s">
        <v>2777</v>
      </c>
      <c r="B81" t="s">
        <v>2520</v>
      </c>
      <c r="C81">
        <v>0.60121703147888184</v>
      </c>
      <c r="D81">
        <v>0.60547339916229248</v>
      </c>
      <c r="E81">
        <v>0.59953522682189941</v>
      </c>
      <c r="F81">
        <v>0.59540432691574097</v>
      </c>
      <c r="G81">
        <v>0.59081965684890747</v>
      </c>
      <c r="H81">
        <v>0.58508771657943726</v>
      </c>
      <c r="I81">
        <v>0.57859951257705688</v>
      </c>
      <c r="J81">
        <v>0.57577550411224365</v>
      </c>
      <c r="K81">
        <v>0.57469427585601807</v>
      </c>
      <c r="L81">
        <v>0.57432574033737183</v>
      </c>
      <c r="M81">
        <v>0.57460981607437134</v>
      </c>
      <c r="N81">
        <v>0.57558292150497437</v>
      </c>
      <c r="O81">
        <v>0.57687759399414063</v>
      </c>
      <c r="P81">
        <v>0.57835745811462402</v>
      </c>
      <c r="Q81">
        <v>0.57947665452957153</v>
      </c>
      <c r="R81">
        <v>0.5804329514503479</v>
      </c>
      <c r="S81">
        <v>0.58182352781295776</v>
      </c>
      <c r="T81">
        <v>0.58404862880706787</v>
      </c>
      <c r="U81">
        <v>0.58664619922637939</v>
      </c>
      <c r="V81">
        <v>0.58954572677612305</v>
      </c>
      <c r="W81">
        <v>0.59224170446395874</v>
      </c>
      <c r="X81">
        <v>0.5941196084022522</v>
      </c>
      <c r="Y81">
        <v>0.59540724754333496</v>
      </c>
      <c r="Z81">
        <v>0.5964360237121582</v>
      </c>
      <c r="AA81">
        <v>0.59725022315979004</v>
      </c>
      <c r="AB81">
        <v>0.59825915098190308</v>
      </c>
      <c r="AC81">
        <v>-1.9725908968082351E-4</v>
      </c>
    </row>
    <row r="82" spans="1:29" x14ac:dyDescent="0.45">
      <c r="A82" t="s">
        <v>2778</v>
      </c>
      <c r="B82" t="s">
        <v>2722</v>
      </c>
      <c r="C82">
        <v>1.316492557525635</v>
      </c>
      <c r="D82">
        <v>1.2813658714294429</v>
      </c>
      <c r="E82">
        <v>1.2106902599334719</v>
      </c>
      <c r="F82">
        <v>1.1774313449859619</v>
      </c>
      <c r="G82">
        <v>1.1589207649230959</v>
      </c>
      <c r="H82">
        <v>1.1237224340438841</v>
      </c>
      <c r="I82">
        <v>1.084491491317749</v>
      </c>
      <c r="J82">
        <v>1.056092500686646</v>
      </c>
      <c r="K82">
        <v>1.034270763397217</v>
      </c>
      <c r="L82">
        <v>1.0095090866088869</v>
      </c>
      <c r="M82">
        <v>0.98804235458374023</v>
      </c>
      <c r="N82">
        <v>0.96908682584762573</v>
      </c>
      <c r="O82">
        <v>0.95450723171234131</v>
      </c>
      <c r="P82">
        <v>0.94285237789154053</v>
      </c>
      <c r="Q82">
        <v>0.93144088983535767</v>
      </c>
      <c r="R82">
        <v>0.91599160432815552</v>
      </c>
      <c r="S82">
        <v>0.90349471569061279</v>
      </c>
      <c r="T82">
        <v>0.89463293552398682</v>
      </c>
      <c r="U82">
        <v>0.88797324895858765</v>
      </c>
      <c r="V82">
        <v>0.88253134489059448</v>
      </c>
      <c r="W82">
        <v>0.87800657749176025</v>
      </c>
      <c r="X82">
        <v>0.87376952171325684</v>
      </c>
      <c r="Y82">
        <v>0.86966288089752197</v>
      </c>
      <c r="Z82">
        <v>0.86543691158294678</v>
      </c>
      <c r="AA82">
        <v>0.86034750938415527</v>
      </c>
      <c r="AB82">
        <v>0.856514573097229</v>
      </c>
      <c r="AC82">
        <v>-1.7047223070022492E-2</v>
      </c>
    </row>
    <row r="83" spans="1:29" x14ac:dyDescent="0.45">
      <c r="A83" t="s">
        <v>2779</v>
      </c>
      <c r="B83" t="s">
        <v>2518</v>
      </c>
      <c r="C83">
        <v>0.85504913330078125</v>
      </c>
      <c r="D83">
        <v>0.84745460748672485</v>
      </c>
      <c r="E83">
        <v>0.8099743127822876</v>
      </c>
      <c r="F83">
        <v>0.7922511100769043</v>
      </c>
      <c r="G83">
        <v>0.78363925218582153</v>
      </c>
      <c r="H83">
        <v>0.77398544549942017</v>
      </c>
      <c r="I83">
        <v>0.75991404056549072</v>
      </c>
      <c r="J83">
        <v>0.75193488597869873</v>
      </c>
      <c r="K83">
        <v>0.74775612354278564</v>
      </c>
      <c r="L83">
        <v>0.74120712280273438</v>
      </c>
      <c r="M83">
        <v>0.7371070384979248</v>
      </c>
      <c r="N83">
        <v>0.73354047536849976</v>
      </c>
      <c r="O83">
        <v>0.73206639289855957</v>
      </c>
      <c r="P83">
        <v>0.73150479793548584</v>
      </c>
      <c r="Q83">
        <v>0.73003458976745605</v>
      </c>
      <c r="R83">
        <v>0.72770428657531738</v>
      </c>
      <c r="S83">
        <v>0.72609329223632813</v>
      </c>
      <c r="T83">
        <v>0.72596848011016846</v>
      </c>
      <c r="U83">
        <v>0.72645711898803711</v>
      </c>
      <c r="V83">
        <v>0.72704702615737915</v>
      </c>
      <c r="W83">
        <v>0.72765076160430908</v>
      </c>
      <c r="X83">
        <v>0.7280762791633606</v>
      </c>
      <c r="Y83">
        <v>0.72845757007598877</v>
      </c>
      <c r="Z83">
        <v>0.7285914421081543</v>
      </c>
      <c r="AA83">
        <v>0.72753334045410156</v>
      </c>
      <c r="AB83">
        <v>0.7273259162902832</v>
      </c>
      <c r="AC83">
        <v>-6.4504759019193836E-3</v>
      </c>
    </row>
    <row r="84" spans="1:29" x14ac:dyDescent="0.45">
      <c r="A84" t="s">
        <v>2780</v>
      </c>
      <c r="B84" t="s">
        <v>2725</v>
      </c>
      <c r="C84">
        <v>0.83396661281585693</v>
      </c>
      <c r="D84">
        <v>0.93486154079437256</v>
      </c>
      <c r="E84">
        <v>1.0019633769989009</v>
      </c>
      <c r="F84">
        <v>1.087701559066772</v>
      </c>
      <c r="G84">
        <v>1.184958934783936</v>
      </c>
      <c r="H84">
        <v>1.283711194992065</v>
      </c>
      <c r="I84">
        <v>1.371590852737427</v>
      </c>
      <c r="J84">
        <v>1.468220710754395</v>
      </c>
      <c r="K84">
        <v>1.570929288864136</v>
      </c>
      <c r="L84">
        <v>1.667251825332642</v>
      </c>
      <c r="M84">
        <v>1.7672625780105591</v>
      </c>
      <c r="N84">
        <v>1.86620020866394</v>
      </c>
      <c r="O84">
        <v>1.968713641166687</v>
      </c>
      <c r="P84">
        <v>2.0715351104736328</v>
      </c>
      <c r="Q84">
        <v>2.1689481735229492</v>
      </c>
      <c r="R84">
        <v>2.259773731231689</v>
      </c>
      <c r="S84">
        <v>2.3467040061950679</v>
      </c>
      <c r="T84">
        <v>2.432921409606934</v>
      </c>
      <c r="U84">
        <v>2.5155811309814449</v>
      </c>
      <c r="V84">
        <v>2.591766357421875</v>
      </c>
      <c r="W84">
        <v>2.661402702331543</v>
      </c>
      <c r="X84">
        <v>2.7226805686950679</v>
      </c>
      <c r="Y84">
        <v>2.7759325504302979</v>
      </c>
      <c r="Z84">
        <v>2.8192358016967769</v>
      </c>
      <c r="AA84">
        <v>2.8479306697845459</v>
      </c>
      <c r="AB84">
        <v>2.8760499954223628</v>
      </c>
      <c r="AC84">
        <v>5.0765755518207278E-2</v>
      </c>
    </row>
    <row r="85" spans="1:29" x14ac:dyDescent="0.45">
      <c r="A85" t="s">
        <v>2781</v>
      </c>
      <c r="B85" t="s">
        <v>2727</v>
      </c>
      <c r="C85">
        <v>0.50583040714263916</v>
      </c>
      <c r="D85">
        <v>0.49034678936004639</v>
      </c>
      <c r="E85">
        <v>0.45815384387969971</v>
      </c>
      <c r="F85">
        <v>0.437538743019104</v>
      </c>
      <c r="G85">
        <v>0.42269212007522577</v>
      </c>
      <c r="H85">
        <v>0.40934976935386658</v>
      </c>
      <c r="I85">
        <v>0.39391446113586431</v>
      </c>
      <c r="J85">
        <v>0.38144141435623169</v>
      </c>
      <c r="K85">
        <v>0.37238830327987671</v>
      </c>
      <c r="L85">
        <v>0.36299681663513178</v>
      </c>
      <c r="M85">
        <v>0.35490265488624573</v>
      </c>
      <c r="N85">
        <v>0.3481096625328064</v>
      </c>
      <c r="O85">
        <v>0.34259879589080811</v>
      </c>
      <c r="P85">
        <v>0.33782732486724848</v>
      </c>
      <c r="Q85">
        <v>0.33402177691459661</v>
      </c>
      <c r="R85">
        <v>0.32934880256652832</v>
      </c>
      <c r="S85">
        <v>0.32421356439590449</v>
      </c>
      <c r="T85">
        <v>0.32134771347045898</v>
      </c>
      <c r="U85">
        <v>0.3172488808631897</v>
      </c>
      <c r="V85">
        <v>0.31383344531059271</v>
      </c>
      <c r="W85">
        <v>0.3100292980670929</v>
      </c>
      <c r="X85">
        <v>0.3069455623626709</v>
      </c>
      <c r="Y85">
        <v>0.30237311124801641</v>
      </c>
      <c r="Z85">
        <v>0.29731231927871699</v>
      </c>
      <c r="AA85">
        <v>0.29134726524353027</v>
      </c>
      <c r="AB85">
        <v>0.28533118963241583</v>
      </c>
      <c r="AC85">
        <v>-2.264177401330647E-2</v>
      </c>
    </row>
    <row r="86" spans="1:29" x14ac:dyDescent="0.45">
      <c r="A86" t="s">
        <v>2782</v>
      </c>
      <c r="B86" t="s">
        <v>2763</v>
      </c>
      <c r="C86">
        <v>6.840733528137207</v>
      </c>
      <c r="D86">
        <v>7.1826648712158203</v>
      </c>
      <c r="E86">
        <v>6.9943914413452148</v>
      </c>
      <c r="F86">
        <v>6.8863177299499512</v>
      </c>
      <c r="G86">
        <v>6.827085018157959</v>
      </c>
      <c r="H86">
        <v>6.7769260406494141</v>
      </c>
      <c r="I86">
        <v>6.6949758529663086</v>
      </c>
      <c r="J86">
        <v>6.6514077186584473</v>
      </c>
      <c r="K86">
        <v>6.6287422180175781</v>
      </c>
      <c r="L86">
        <v>6.5949182510375977</v>
      </c>
      <c r="M86">
        <v>6.5750336647033691</v>
      </c>
      <c r="N86">
        <v>6.560917854309082</v>
      </c>
      <c r="O86">
        <v>6.5592994689941406</v>
      </c>
      <c r="P86">
        <v>6.5639619827270508</v>
      </c>
      <c r="Q86">
        <v>6.564361572265625</v>
      </c>
      <c r="R86">
        <v>6.5609884262084961</v>
      </c>
      <c r="S86">
        <v>6.5584821701049796</v>
      </c>
      <c r="T86">
        <v>6.5671572685241699</v>
      </c>
      <c r="U86">
        <v>6.5805778503417969</v>
      </c>
      <c r="V86">
        <v>6.5957632064819336</v>
      </c>
      <c r="W86">
        <v>6.6125078201293954</v>
      </c>
      <c r="X86">
        <v>6.6278986930847168</v>
      </c>
      <c r="Y86">
        <v>6.6440610885620117</v>
      </c>
      <c r="Z86">
        <v>6.6604342460632324</v>
      </c>
      <c r="AA86">
        <v>6.6707062721252441</v>
      </c>
      <c r="AB86">
        <v>6.6886377334594727</v>
      </c>
      <c r="AC86">
        <v>-8.9898529919685277E-4</v>
      </c>
    </row>
    <row r="87" spans="1:29" x14ac:dyDescent="0.45">
      <c r="A87" t="s">
        <v>2783</v>
      </c>
      <c r="B87" t="s">
        <v>2784</v>
      </c>
      <c r="C87">
        <v>16.761899948120121</v>
      </c>
      <c r="D87">
        <v>17.17182540893555</v>
      </c>
      <c r="E87">
        <v>16.76215934753418</v>
      </c>
      <c r="F87">
        <v>16.600727081298832</v>
      </c>
      <c r="G87">
        <v>16.550605773925781</v>
      </c>
      <c r="H87">
        <v>16.480718612670898</v>
      </c>
      <c r="I87">
        <v>16.335453033447269</v>
      </c>
      <c r="J87">
        <v>16.297904968261719</v>
      </c>
      <c r="K87">
        <v>16.324348449707031</v>
      </c>
      <c r="L87">
        <v>16.320621490478519</v>
      </c>
      <c r="M87">
        <v>16.352365493774411</v>
      </c>
      <c r="N87">
        <v>16.399066925048832</v>
      </c>
      <c r="O87">
        <v>16.478168487548832</v>
      </c>
      <c r="P87">
        <v>16.57349967956543</v>
      </c>
      <c r="Q87">
        <v>16.653957366943359</v>
      </c>
      <c r="R87">
        <v>16.7153205871582</v>
      </c>
      <c r="S87">
        <v>16.780923843383789</v>
      </c>
      <c r="T87">
        <v>16.876262664794918</v>
      </c>
      <c r="U87">
        <v>16.980440139770511</v>
      </c>
      <c r="V87">
        <v>17.084621429443359</v>
      </c>
      <c r="W87">
        <v>17.185068130493161</v>
      </c>
      <c r="X87">
        <v>17.271171569824219</v>
      </c>
      <c r="Y87">
        <v>17.344833374023441</v>
      </c>
      <c r="Z87">
        <v>17.406242370605469</v>
      </c>
      <c r="AA87">
        <v>17.439630508422852</v>
      </c>
      <c r="AB87">
        <v>17.487321853637699</v>
      </c>
      <c r="AC87">
        <v>1.6961449166039699E-3</v>
      </c>
    </row>
    <row r="88" spans="1:29" x14ac:dyDescent="0.45">
      <c r="A88" t="s">
        <v>2785</v>
      </c>
      <c r="B88" t="s">
        <v>2604</v>
      </c>
      <c r="C88">
        <v>7.5080201029777527E-2</v>
      </c>
      <c r="D88">
        <v>9.7619488835334778E-2</v>
      </c>
      <c r="E88">
        <v>0.11983262002468111</v>
      </c>
      <c r="F88">
        <v>0.14593172073364261</v>
      </c>
      <c r="G88">
        <v>0.173193484544754</v>
      </c>
      <c r="H88">
        <v>0.19940897822380069</v>
      </c>
      <c r="I88">
        <v>0.22114971280097959</v>
      </c>
      <c r="J88">
        <v>0.2424083948135376</v>
      </c>
      <c r="K88">
        <v>0.26448199152946472</v>
      </c>
      <c r="L88">
        <v>0.28556531667709351</v>
      </c>
      <c r="M88">
        <v>0.30770117044448853</v>
      </c>
      <c r="N88">
        <v>0.32978767156600952</v>
      </c>
      <c r="O88">
        <v>0.35306635499000549</v>
      </c>
      <c r="P88">
        <v>0.37676513195037842</v>
      </c>
      <c r="Q88">
        <v>0.39970400929450989</v>
      </c>
      <c r="R88">
        <v>0.42260909080505371</v>
      </c>
      <c r="S88">
        <v>0.44601410627365112</v>
      </c>
      <c r="T88">
        <v>0.47185853123664862</v>
      </c>
      <c r="U88">
        <v>0.49950778484344482</v>
      </c>
      <c r="V88">
        <v>0.52955609560012817</v>
      </c>
      <c r="W88">
        <v>0.56185066699981689</v>
      </c>
      <c r="X88">
        <v>0.59497666358947754</v>
      </c>
      <c r="Y88">
        <v>0.62894797325134277</v>
      </c>
      <c r="Z88">
        <v>0.66345506906509399</v>
      </c>
      <c r="AA88">
        <v>0.69707900285720825</v>
      </c>
      <c r="AB88">
        <v>0.73172849416732788</v>
      </c>
      <c r="AC88">
        <v>9.5350174108518759E-2</v>
      </c>
    </row>
    <row r="89" spans="1:29" x14ac:dyDescent="0.45">
      <c r="A89" t="s">
        <v>2786</v>
      </c>
      <c r="B89" t="s">
        <v>2606</v>
      </c>
      <c r="C89">
        <v>0.15950858592987061</v>
      </c>
      <c r="D89">
        <v>0.1786766201257706</v>
      </c>
      <c r="E89">
        <v>0.1948061287403107</v>
      </c>
      <c r="F89">
        <v>0.20256760716438291</v>
      </c>
      <c r="G89">
        <v>0.20727863907814029</v>
      </c>
      <c r="H89">
        <v>0.21264529228210449</v>
      </c>
      <c r="I89">
        <v>0.2167929410934448</v>
      </c>
      <c r="J89">
        <v>0.22007113695144651</v>
      </c>
      <c r="K89">
        <v>0.22375722229480741</v>
      </c>
      <c r="L89">
        <v>0.22935956716537481</v>
      </c>
      <c r="M89">
        <v>0.23388862609863281</v>
      </c>
      <c r="N89">
        <v>0.23771291971206671</v>
      </c>
      <c r="O89">
        <v>0.24440619349479681</v>
      </c>
      <c r="P89">
        <v>0.25092688202857971</v>
      </c>
      <c r="Q89">
        <v>0.25883272290229797</v>
      </c>
      <c r="R89">
        <v>0.26564681529998779</v>
      </c>
      <c r="S89">
        <v>0.26932963728904719</v>
      </c>
      <c r="T89">
        <v>0.27484393119812012</v>
      </c>
      <c r="U89">
        <v>0.27782019972801208</v>
      </c>
      <c r="V89">
        <v>0.28117102384567261</v>
      </c>
      <c r="W89">
        <v>0.28390690684318542</v>
      </c>
      <c r="X89">
        <v>0.28815773129463201</v>
      </c>
      <c r="Y89">
        <v>0.29341936111450201</v>
      </c>
      <c r="Z89">
        <v>0.29877597093582148</v>
      </c>
      <c r="AA89">
        <v>0.30282855033874512</v>
      </c>
      <c r="AB89">
        <v>0.30805617570877081</v>
      </c>
      <c r="AC89">
        <v>2.667700303508402E-2</v>
      </c>
    </row>
    <row r="90" spans="1:29" x14ac:dyDescent="0.45">
      <c r="A90" t="s">
        <v>2787</v>
      </c>
      <c r="B90" t="s">
        <v>2631</v>
      </c>
      <c r="C90">
        <v>16.677473068237301</v>
      </c>
      <c r="D90">
        <v>17.090768814086911</v>
      </c>
      <c r="E90">
        <v>16.687185287475589</v>
      </c>
      <c r="F90">
        <v>16.54409027099609</v>
      </c>
      <c r="G90">
        <v>16.516519546508789</v>
      </c>
      <c r="H90">
        <v>16.467483520507809</v>
      </c>
      <c r="I90">
        <v>16.339809417724609</v>
      </c>
      <c r="J90">
        <v>16.320241928100589</v>
      </c>
      <c r="K90">
        <v>16.36507415771484</v>
      </c>
      <c r="L90">
        <v>16.376827239990231</v>
      </c>
      <c r="M90">
        <v>16.426177978515621</v>
      </c>
      <c r="N90">
        <v>16.491142272949219</v>
      </c>
      <c r="O90">
        <v>16.58682823181152</v>
      </c>
      <c r="P90">
        <v>16.699337005615231</v>
      </c>
      <c r="Q90">
        <v>16.794828414916989</v>
      </c>
      <c r="R90">
        <v>16.872283935546879</v>
      </c>
      <c r="S90">
        <v>16.957609176635739</v>
      </c>
      <c r="T90">
        <v>17.07327842712402</v>
      </c>
      <c r="U90">
        <v>17.202127456665039</v>
      </c>
      <c r="V90">
        <v>17.333005905151371</v>
      </c>
      <c r="W90">
        <v>17.4630126953125</v>
      </c>
      <c r="X90">
        <v>17.57798957824707</v>
      </c>
      <c r="Y90">
        <v>17.680362701416019</v>
      </c>
      <c r="Z90">
        <v>17.77092170715332</v>
      </c>
      <c r="AA90">
        <v>17.833881378173832</v>
      </c>
      <c r="AB90">
        <v>17.910993576049801</v>
      </c>
      <c r="AC90">
        <v>2.858309191881236E-3</v>
      </c>
    </row>
    <row r="92" spans="1:29" x14ac:dyDescent="0.45">
      <c r="B92" t="s">
        <v>2464</v>
      </c>
    </row>
    <row r="93" spans="1:29" x14ac:dyDescent="0.45">
      <c r="A93" t="s">
        <v>2788</v>
      </c>
      <c r="B93" t="s">
        <v>2789</v>
      </c>
      <c r="C93">
        <v>6.5495342016220093E-2</v>
      </c>
      <c r="D93">
        <v>6.3335344195365906E-2</v>
      </c>
      <c r="E93">
        <v>6.3611052930355072E-2</v>
      </c>
      <c r="F93">
        <v>6.2601976096630096E-2</v>
      </c>
      <c r="G93">
        <v>6.1895396560430527E-2</v>
      </c>
      <c r="H93">
        <v>6.1555970460176468E-2</v>
      </c>
      <c r="I93">
        <v>6.1000552028417587E-2</v>
      </c>
      <c r="J93">
        <v>5.9719327837228782E-2</v>
      </c>
      <c r="K93">
        <v>5.9399869292974472E-2</v>
      </c>
      <c r="L93">
        <v>5.9208467602729797E-2</v>
      </c>
      <c r="M93">
        <v>5.8635268360376358E-2</v>
      </c>
      <c r="N93">
        <v>5.8118700981140137E-2</v>
      </c>
      <c r="O93">
        <v>5.7820618152618408E-2</v>
      </c>
      <c r="P93">
        <v>5.7596802711486823E-2</v>
      </c>
      <c r="Q93">
        <v>5.7361405342817313E-2</v>
      </c>
      <c r="R93">
        <v>5.7212363928556442E-2</v>
      </c>
      <c r="S93">
        <v>5.6903231889009483E-2</v>
      </c>
      <c r="T93">
        <v>5.6644070893526077E-2</v>
      </c>
      <c r="U93">
        <v>5.6243952363729477E-2</v>
      </c>
      <c r="V93">
        <v>5.5781196802854538E-2</v>
      </c>
      <c r="W93">
        <v>5.5393330752849579E-2</v>
      </c>
      <c r="X93">
        <v>5.4973375052213669E-2</v>
      </c>
      <c r="Y93">
        <v>5.4612774401903152E-2</v>
      </c>
      <c r="Z93">
        <v>5.4244145750999451E-2</v>
      </c>
      <c r="AA93">
        <v>5.3924702107906342E-2</v>
      </c>
      <c r="AB93">
        <v>5.3518615663051612E-2</v>
      </c>
      <c r="AC93">
        <v>-8.0454398495303225E-3</v>
      </c>
    </row>
    <row r="94" spans="1:29" x14ac:dyDescent="0.45">
      <c r="A94" t="s">
        <v>2790</v>
      </c>
      <c r="B94" t="s">
        <v>2791</v>
      </c>
      <c r="C94">
        <v>0.15757319331169131</v>
      </c>
      <c r="D94">
        <v>0.17653824388980871</v>
      </c>
      <c r="E94">
        <v>0.1926458477973938</v>
      </c>
      <c r="F94">
        <v>0.2003890722990036</v>
      </c>
      <c r="G94">
        <v>0.2050669938325882</v>
      </c>
      <c r="H94">
        <v>0.21039468050003049</v>
      </c>
      <c r="I94">
        <v>0.21450857818126681</v>
      </c>
      <c r="J94">
        <v>0.21774961054325101</v>
      </c>
      <c r="K94">
        <v>0.22139823436737061</v>
      </c>
      <c r="L94">
        <v>0.2269328981637955</v>
      </c>
      <c r="M94">
        <v>0.2314201295375824</v>
      </c>
      <c r="N94">
        <v>0.2351967841386795</v>
      </c>
      <c r="O94">
        <v>0.24181878566741941</v>
      </c>
      <c r="P94">
        <v>0.24828812479972839</v>
      </c>
      <c r="Q94">
        <v>0.25614160299301147</v>
      </c>
      <c r="R94">
        <v>0.26291728019714361</v>
      </c>
      <c r="S94">
        <v>0.26657092571258539</v>
      </c>
      <c r="T94">
        <v>0.27200782299041748</v>
      </c>
      <c r="U94">
        <v>0.27494531869888311</v>
      </c>
      <c r="V94">
        <v>0.27825099229812622</v>
      </c>
      <c r="W94">
        <v>0.28095689415931702</v>
      </c>
      <c r="X94">
        <v>0.28517109155654907</v>
      </c>
      <c r="Y94">
        <v>0.29038175940513611</v>
      </c>
      <c r="Z94">
        <v>0.29569143056869512</v>
      </c>
      <c r="AA94">
        <v>0.29971441626548773</v>
      </c>
      <c r="AB94">
        <v>0.30489730834960938</v>
      </c>
      <c r="AC94">
        <v>2.675505613431484E-2</v>
      </c>
    </row>
    <row r="95" spans="1:29" x14ac:dyDescent="0.45">
      <c r="A95" t="s">
        <v>2792</v>
      </c>
      <c r="B95" t="s">
        <v>2793</v>
      </c>
      <c r="C95">
        <v>2.5242581032216549E-3</v>
      </c>
      <c r="D95">
        <v>2.5274485815316439E-3</v>
      </c>
      <c r="E95">
        <v>2.5326085742563009E-3</v>
      </c>
      <c r="F95">
        <v>2.533233724534512E-3</v>
      </c>
      <c r="G95">
        <v>2.535882405936718E-3</v>
      </c>
      <c r="H95">
        <v>2.540368121117353E-3</v>
      </c>
      <c r="I95">
        <v>2.5422528851777319E-3</v>
      </c>
      <c r="J95">
        <v>2.5453937705606222E-3</v>
      </c>
      <c r="K95">
        <v>2.5490603875368829E-3</v>
      </c>
      <c r="L95">
        <v>2.551554469391704E-3</v>
      </c>
      <c r="M95">
        <v>2.5528869591653351E-3</v>
      </c>
      <c r="N95">
        <v>2.5536359753459692E-3</v>
      </c>
      <c r="O95">
        <v>2.5551239959895611E-3</v>
      </c>
      <c r="P95">
        <v>2.556521445512772E-3</v>
      </c>
      <c r="Q95">
        <v>2.5584092363715172E-3</v>
      </c>
      <c r="R95">
        <v>2.5603929534554482E-3</v>
      </c>
      <c r="S95">
        <v>2.5611117016524081E-3</v>
      </c>
      <c r="T95">
        <v>2.5649594608694311E-3</v>
      </c>
      <c r="U95">
        <v>2.566458890214562E-3</v>
      </c>
      <c r="V95">
        <v>2.567789051681757E-3</v>
      </c>
      <c r="W95">
        <v>2.5683694984763861E-3</v>
      </c>
      <c r="X95">
        <v>2.5692624039947991E-3</v>
      </c>
      <c r="Y95">
        <v>2.5717106182128191E-3</v>
      </c>
      <c r="Z95">
        <v>2.5733232032507658E-3</v>
      </c>
      <c r="AA95">
        <v>2.5739751290529971E-3</v>
      </c>
      <c r="AB95">
        <v>2.5747127365320921E-3</v>
      </c>
      <c r="AC95">
        <v>7.9194423104467226E-4</v>
      </c>
    </row>
    <row r="96" spans="1:29" x14ac:dyDescent="0.45">
      <c r="A96" t="s">
        <v>2794</v>
      </c>
      <c r="B96" t="s">
        <v>2640</v>
      </c>
      <c r="C96">
        <v>0.2255927920341492</v>
      </c>
      <c r="D96">
        <v>0.24240103363990781</v>
      </c>
      <c r="E96">
        <v>0.25878950953483582</v>
      </c>
      <c r="F96">
        <v>0.26552426815032959</v>
      </c>
      <c r="G96">
        <v>0.26949825882911682</v>
      </c>
      <c r="H96">
        <v>0.27449104189872742</v>
      </c>
      <c r="I96">
        <v>0.27805137634277338</v>
      </c>
      <c r="J96">
        <v>0.28001433610916138</v>
      </c>
      <c r="K96">
        <v>0.28334715962409968</v>
      </c>
      <c r="L96">
        <v>0.28869292140007019</v>
      </c>
      <c r="M96">
        <v>0.29260829091072083</v>
      </c>
      <c r="N96">
        <v>0.29586911201477051</v>
      </c>
      <c r="O96">
        <v>0.30219453573226929</v>
      </c>
      <c r="P96">
        <v>0.30844146013259888</v>
      </c>
      <c r="Q96">
        <v>0.31606140732765198</v>
      </c>
      <c r="R96">
        <v>0.32269003987312322</v>
      </c>
      <c r="S96">
        <v>0.32603529095649719</v>
      </c>
      <c r="T96">
        <v>0.33121687173843378</v>
      </c>
      <c r="U96">
        <v>0.3337557315826416</v>
      </c>
      <c r="V96">
        <v>0.33659997582435608</v>
      </c>
      <c r="W96">
        <v>0.33891859650611877</v>
      </c>
      <c r="X96">
        <v>0.34271371364593511</v>
      </c>
      <c r="Y96">
        <v>0.34756624698638922</v>
      </c>
      <c r="Z96">
        <v>0.35250890254974371</v>
      </c>
      <c r="AA96">
        <v>0.35621309280395508</v>
      </c>
      <c r="AB96">
        <v>0.36099064350128168</v>
      </c>
      <c r="AC96">
        <v>1.8982742965093061E-2</v>
      </c>
    </row>
    <row r="98" spans="1:29" x14ac:dyDescent="0.45">
      <c r="B98" t="s">
        <v>2462</v>
      </c>
    </row>
    <row r="99" spans="1:29" x14ac:dyDescent="0.45">
      <c r="A99" t="s">
        <v>2795</v>
      </c>
      <c r="B99" t="s">
        <v>2642</v>
      </c>
      <c r="C99">
        <v>6045</v>
      </c>
      <c r="D99">
        <v>5873</v>
      </c>
      <c r="E99">
        <v>5850</v>
      </c>
      <c r="F99">
        <v>5826</v>
      </c>
      <c r="G99">
        <v>5803</v>
      </c>
      <c r="H99">
        <v>5779</v>
      </c>
      <c r="I99">
        <v>5755</v>
      </c>
      <c r="J99">
        <v>5732</v>
      </c>
      <c r="K99">
        <v>5708</v>
      </c>
      <c r="L99">
        <v>5684</v>
      </c>
      <c r="M99">
        <v>5661</v>
      </c>
      <c r="N99">
        <v>5637</v>
      </c>
      <c r="O99">
        <v>5613</v>
      </c>
      <c r="P99">
        <v>5589</v>
      </c>
      <c r="Q99">
        <v>5566</v>
      </c>
      <c r="R99">
        <v>5542</v>
      </c>
      <c r="S99">
        <v>5518</v>
      </c>
      <c r="T99">
        <v>5495</v>
      </c>
      <c r="U99">
        <v>5471</v>
      </c>
      <c r="V99">
        <v>5447</v>
      </c>
      <c r="W99">
        <v>5423</v>
      </c>
      <c r="X99">
        <v>5400</v>
      </c>
      <c r="Y99">
        <v>5376</v>
      </c>
      <c r="Z99">
        <v>5352</v>
      </c>
      <c r="AA99">
        <v>5328</v>
      </c>
      <c r="AB99">
        <v>5305</v>
      </c>
      <c r="AC99">
        <v>-5.2096509329098151E-3</v>
      </c>
    </row>
    <row r="100" spans="1:29" x14ac:dyDescent="0.45">
      <c r="A100" t="s">
        <v>2796</v>
      </c>
      <c r="B100" t="s">
        <v>2644</v>
      </c>
      <c r="C100">
        <v>5404</v>
      </c>
      <c r="D100">
        <v>5271</v>
      </c>
      <c r="E100">
        <v>5249</v>
      </c>
      <c r="F100">
        <v>5228</v>
      </c>
      <c r="G100">
        <v>5207</v>
      </c>
      <c r="H100">
        <v>5185</v>
      </c>
      <c r="I100">
        <v>5164</v>
      </c>
      <c r="J100">
        <v>5142</v>
      </c>
      <c r="K100">
        <v>5121</v>
      </c>
      <c r="L100">
        <v>5100</v>
      </c>
      <c r="M100">
        <v>5078</v>
      </c>
      <c r="N100">
        <v>5057</v>
      </c>
      <c r="O100">
        <v>5035</v>
      </c>
      <c r="P100">
        <v>5014</v>
      </c>
      <c r="Q100">
        <v>4993</v>
      </c>
      <c r="R100">
        <v>4971</v>
      </c>
      <c r="S100">
        <v>4950</v>
      </c>
      <c r="T100">
        <v>4929</v>
      </c>
      <c r="U100">
        <v>4907</v>
      </c>
      <c r="V100">
        <v>4886</v>
      </c>
      <c r="W100">
        <v>4865</v>
      </c>
      <c r="X100">
        <v>4843</v>
      </c>
      <c r="Y100">
        <v>4822</v>
      </c>
      <c r="Z100">
        <v>4801</v>
      </c>
      <c r="AA100">
        <v>4780</v>
      </c>
      <c r="AB100">
        <v>4758</v>
      </c>
      <c r="AC100">
        <v>-5.0795356335953112E-3</v>
      </c>
    </row>
    <row r="101" spans="1:29" x14ac:dyDescent="0.45">
      <c r="A101" t="s">
        <v>2797</v>
      </c>
      <c r="B101" t="s">
        <v>2646</v>
      </c>
      <c r="C101">
        <v>5984</v>
      </c>
      <c r="D101">
        <v>5836</v>
      </c>
      <c r="E101">
        <v>5817</v>
      </c>
      <c r="F101">
        <v>5798</v>
      </c>
      <c r="G101">
        <v>5779</v>
      </c>
      <c r="H101">
        <v>5760</v>
      </c>
      <c r="I101">
        <v>5741</v>
      </c>
      <c r="J101">
        <v>5722</v>
      </c>
      <c r="K101">
        <v>5703</v>
      </c>
      <c r="L101">
        <v>5683</v>
      </c>
      <c r="M101">
        <v>5664</v>
      </c>
      <c r="N101">
        <v>5645</v>
      </c>
      <c r="O101">
        <v>5626</v>
      </c>
      <c r="P101">
        <v>5607</v>
      </c>
      <c r="Q101">
        <v>5588</v>
      </c>
      <c r="R101">
        <v>5569</v>
      </c>
      <c r="S101">
        <v>5549</v>
      </c>
      <c r="T101">
        <v>5530</v>
      </c>
      <c r="U101">
        <v>5511</v>
      </c>
      <c r="V101">
        <v>5492</v>
      </c>
      <c r="W101">
        <v>5473</v>
      </c>
      <c r="X101">
        <v>5453</v>
      </c>
      <c r="Y101">
        <v>5434</v>
      </c>
      <c r="Z101">
        <v>5415</v>
      </c>
      <c r="AA101">
        <v>5396</v>
      </c>
      <c r="AB101">
        <v>5377</v>
      </c>
      <c r="AC101">
        <v>-4.2692066307929988E-3</v>
      </c>
    </row>
    <row r="102" spans="1:29" x14ac:dyDescent="0.45">
      <c r="A102" t="s">
        <v>2798</v>
      </c>
      <c r="B102" t="s">
        <v>2648</v>
      </c>
      <c r="C102">
        <v>6267</v>
      </c>
      <c r="D102">
        <v>6263</v>
      </c>
      <c r="E102">
        <v>6251</v>
      </c>
      <c r="F102">
        <v>6239</v>
      </c>
      <c r="G102">
        <v>6227</v>
      </c>
      <c r="H102">
        <v>6215</v>
      </c>
      <c r="I102">
        <v>6203</v>
      </c>
      <c r="J102">
        <v>6191</v>
      </c>
      <c r="K102">
        <v>6178</v>
      </c>
      <c r="L102">
        <v>6166</v>
      </c>
      <c r="M102">
        <v>6153</v>
      </c>
      <c r="N102">
        <v>6141</v>
      </c>
      <c r="O102">
        <v>6128</v>
      </c>
      <c r="P102">
        <v>6116</v>
      </c>
      <c r="Q102">
        <v>6103</v>
      </c>
      <c r="R102">
        <v>6091</v>
      </c>
      <c r="S102">
        <v>6078</v>
      </c>
      <c r="T102">
        <v>6066</v>
      </c>
      <c r="U102">
        <v>6053</v>
      </c>
      <c r="V102">
        <v>6040</v>
      </c>
      <c r="W102">
        <v>6028</v>
      </c>
      <c r="X102">
        <v>6015</v>
      </c>
      <c r="Y102">
        <v>6002</v>
      </c>
      <c r="Z102">
        <v>5990</v>
      </c>
      <c r="AA102">
        <v>5977</v>
      </c>
      <c r="AB102">
        <v>5964</v>
      </c>
      <c r="AC102">
        <v>-1.980291603725814E-3</v>
      </c>
    </row>
    <row r="103" spans="1:29" x14ac:dyDescent="0.45">
      <c r="A103" t="s">
        <v>2799</v>
      </c>
      <c r="B103" t="s">
        <v>2650</v>
      </c>
      <c r="C103">
        <v>2431</v>
      </c>
      <c r="D103">
        <v>2296</v>
      </c>
      <c r="E103">
        <v>2280</v>
      </c>
      <c r="F103">
        <v>2263</v>
      </c>
      <c r="G103">
        <v>2245</v>
      </c>
      <c r="H103">
        <v>2228</v>
      </c>
      <c r="I103">
        <v>2210</v>
      </c>
      <c r="J103">
        <v>2192</v>
      </c>
      <c r="K103">
        <v>2175</v>
      </c>
      <c r="L103">
        <v>2157</v>
      </c>
      <c r="M103">
        <v>2139</v>
      </c>
      <c r="N103">
        <v>2122</v>
      </c>
      <c r="O103">
        <v>2104</v>
      </c>
      <c r="P103">
        <v>2087</v>
      </c>
      <c r="Q103">
        <v>2069</v>
      </c>
      <c r="R103">
        <v>2052</v>
      </c>
      <c r="S103">
        <v>2034</v>
      </c>
      <c r="T103">
        <v>2017</v>
      </c>
      <c r="U103">
        <v>2000</v>
      </c>
      <c r="V103">
        <v>1982</v>
      </c>
      <c r="W103">
        <v>1965</v>
      </c>
      <c r="X103">
        <v>1948</v>
      </c>
      <c r="Y103">
        <v>1930</v>
      </c>
      <c r="Z103">
        <v>1913</v>
      </c>
      <c r="AA103">
        <v>1896</v>
      </c>
      <c r="AB103">
        <v>1879</v>
      </c>
      <c r="AC103">
        <v>-1.024962983363786E-2</v>
      </c>
    </row>
    <row r="104" spans="1:29" x14ac:dyDescent="0.45">
      <c r="A104" t="s">
        <v>2800</v>
      </c>
      <c r="B104" t="s">
        <v>2652</v>
      </c>
      <c r="C104">
        <v>3231</v>
      </c>
      <c r="D104">
        <v>3099</v>
      </c>
      <c r="E104">
        <v>3084</v>
      </c>
      <c r="F104">
        <v>3069</v>
      </c>
      <c r="G104">
        <v>3053</v>
      </c>
      <c r="H104">
        <v>3038</v>
      </c>
      <c r="I104">
        <v>3023</v>
      </c>
      <c r="J104">
        <v>3008</v>
      </c>
      <c r="K104">
        <v>2992</v>
      </c>
      <c r="L104">
        <v>2977</v>
      </c>
      <c r="M104">
        <v>2961</v>
      </c>
      <c r="N104">
        <v>2946</v>
      </c>
      <c r="O104">
        <v>2930</v>
      </c>
      <c r="P104">
        <v>2915</v>
      </c>
      <c r="Q104">
        <v>2900</v>
      </c>
      <c r="R104">
        <v>2884</v>
      </c>
      <c r="S104">
        <v>2869</v>
      </c>
      <c r="T104">
        <v>2853</v>
      </c>
      <c r="U104">
        <v>2838</v>
      </c>
      <c r="V104">
        <v>2822</v>
      </c>
      <c r="W104">
        <v>2807</v>
      </c>
      <c r="X104">
        <v>2791</v>
      </c>
      <c r="Y104">
        <v>2776</v>
      </c>
      <c r="Z104">
        <v>2760</v>
      </c>
      <c r="AA104">
        <v>2745</v>
      </c>
      <c r="AB104">
        <v>2730</v>
      </c>
      <c r="AC104">
        <v>-6.7169429162804439E-3</v>
      </c>
    </row>
    <row r="105" spans="1:29" x14ac:dyDescent="0.45">
      <c r="A105" t="s">
        <v>2801</v>
      </c>
      <c r="B105" t="s">
        <v>2654</v>
      </c>
      <c r="C105">
        <v>1966</v>
      </c>
      <c r="D105">
        <v>1889</v>
      </c>
      <c r="E105">
        <v>1880</v>
      </c>
      <c r="F105">
        <v>1870</v>
      </c>
      <c r="G105">
        <v>1860</v>
      </c>
      <c r="H105">
        <v>1851</v>
      </c>
      <c r="I105">
        <v>1841</v>
      </c>
      <c r="J105">
        <v>1831</v>
      </c>
      <c r="K105">
        <v>1822</v>
      </c>
      <c r="L105">
        <v>1812</v>
      </c>
      <c r="M105">
        <v>1803</v>
      </c>
      <c r="N105">
        <v>1793</v>
      </c>
      <c r="O105">
        <v>1784</v>
      </c>
      <c r="P105">
        <v>1774</v>
      </c>
      <c r="Q105">
        <v>1765</v>
      </c>
      <c r="R105">
        <v>1756</v>
      </c>
      <c r="S105">
        <v>1746</v>
      </c>
      <c r="T105">
        <v>1737</v>
      </c>
      <c r="U105">
        <v>1728</v>
      </c>
      <c r="V105">
        <v>1718</v>
      </c>
      <c r="W105">
        <v>1709</v>
      </c>
      <c r="X105">
        <v>1700</v>
      </c>
      <c r="Y105">
        <v>1690</v>
      </c>
      <c r="Z105">
        <v>1681</v>
      </c>
      <c r="AA105">
        <v>1672</v>
      </c>
      <c r="AB105">
        <v>1663</v>
      </c>
      <c r="AC105">
        <v>-6.6727505264080333E-3</v>
      </c>
    </row>
    <row r="106" spans="1:29" x14ac:dyDescent="0.45">
      <c r="A106" t="s">
        <v>2802</v>
      </c>
      <c r="B106" t="s">
        <v>2656</v>
      </c>
      <c r="C106">
        <v>4734</v>
      </c>
      <c r="D106">
        <v>4833</v>
      </c>
      <c r="E106">
        <v>4825</v>
      </c>
      <c r="F106">
        <v>4816</v>
      </c>
      <c r="G106">
        <v>4807</v>
      </c>
      <c r="H106">
        <v>4799</v>
      </c>
      <c r="I106">
        <v>4790</v>
      </c>
      <c r="J106">
        <v>4782</v>
      </c>
      <c r="K106">
        <v>4774</v>
      </c>
      <c r="L106">
        <v>4766</v>
      </c>
      <c r="M106">
        <v>4758</v>
      </c>
      <c r="N106">
        <v>4750</v>
      </c>
      <c r="O106">
        <v>4742</v>
      </c>
      <c r="P106">
        <v>4734</v>
      </c>
      <c r="Q106">
        <v>4726</v>
      </c>
      <c r="R106">
        <v>4718</v>
      </c>
      <c r="S106">
        <v>4710</v>
      </c>
      <c r="T106">
        <v>4702</v>
      </c>
      <c r="U106">
        <v>4694</v>
      </c>
      <c r="V106">
        <v>4687</v>
      </c>
      <c r="W106">
        <v>4679</v>
      </c>
      <c r="X106">
        <v>4671</v>
      </c>
      <c r="Y106">
        <v>4664</v>
      </c>
      <c r="Z106">
        <v>4656</v>
      </c>
      <c r="AA106">
        <v>4648</v>
      </c>
      <c r="AB106">
        <v>4641</v>
      </c>
      <c r="AC106">
        <v>-7.9331119546310891E-4</v>
      </c>
    </row>
    <row r="107" spans="1:29" x14ac:dyDescent="0.45">
      <c r="A107" t="s">
        <v>2803</v>
      </c>
      <c r="B107" t="s">
        <v>2658</v>
      </c>
      <c r="C107">
        <v>3251</v>
      </c>
      <c r="D107">
        <v>3291</v>
      </c>
      <c r="E107">
        <v>3285</v>
      </c>
      <c r="F107">
        <v>3279</v>
      </c>
      <c r="G107">
        <v>3272</v>
      </c>
      <c r="H107">
        <v>3266</v>
      </c>
      <c r="I107">
        <v>3259</v>
      </c>
      <c r="J107">
        <v>3252</v>
      </c>
      <c r="K107">
        <v>3245</v>
      </c>
      <c r="L107">
        <v>3238</v>
      </c>
      <c r="M107">
        <v>3231</v>
      </c>
      <c r="N107">
        <v>3224</v>
      </c>
      <c r="O107">
        <v>3216</v>
      </c>
      <c r="P107">
        <v>3209</v>
      </c>
      <c r="Q107">
        <v>3202</v>
      </c>
      <c r="R107">
        <v>3195</v>
      </c>
      <c r="S107">
        <v>3187</v>
      </c>
      <c r="T107">
        <v>3180</v>
      </c>
      <c r="U107">
        <v>3173</v>
      </c>
      <c r="V107">
        <v>3165</v>
      </c>
      <c r="W107">
        <v>3158</v>
      </c>
      <c r="X107">
        <v>3151</v>
      </c>
      <c r="Y107">
        <v>3143</v>
      </c>
      <c r="Z107">
        <v>3136</v>
      </c>
      <c r="AA107">
        <v>3129</v>
      </c>
      <c r="AB107">
        <v>3122</v>
      </c>
      <c r="AC107">
        <v>-1.61824200126981E-3</v>
      </c>
    </row>
    <row r="108" spans="1:29" x14ac:dyDescent="0.45">
      <c r="A108" t="s">
        <v>2804</v>
      </c>
      <c r="B108" t="s">
        <v>2660</v>
      </c>
      <c r="C108">
        <v>3989.572265625</v>
      </c>
      <c r="D108">
        <v>3910.10595703125</v>
      </c>
      <c r="E108">
        <v>3891.6015625</v>
      </c>
      <c r="F108">
        <v>3872.8251953125</v>
      </c>
      <c r="G108">
        <v>3853.715576171875</v>
      </c>
      <c r="H108">
        <v>3835.1279296875</v>
      </c>
      <c r="I108">
        <v>3816.111328125</v>
      </c>
      <c r="J108">
        <v>3797.1376953125</v>
      </c>
      <c r="K108">
        <v>3778.5009765625</v>
      </c>
      <c r="L108">
        <v>3759.552734375</v>
      </c>
      <c r="M108">
        <v>3740.7109375</v>
      </c>
      <c r="N108">
        <v>3722.160888671875</v>
      </c>
      <c r="O108">
        <v>3703.157470703125</v>
      </c>
      <c r="P108">
        <v>3684.65234375</v>
      </c>
      <c r="Q108">
        <v>3666.06494140625</v>
      </c>
      <c r="R108">
        <v>3647.55615234375</v>
      </c>
      <c r="S108">
        <v>3628.5244140625</v>
      </c>
      <c r="T108">
        <v>3610.19921875</v>
      </c>
      <c r="U108">
        <v>3591.732177734375</v>
      </c>
      <c r="V108">
        <v>3572.9052734375</v>
      </c>
      <c r="W108">
        <v>3554.652587890625</v>
      </c>
      <c r="X108">
        <v>3536.15771484375</v>
      </c>
      <c r="Y108">
        <v>3517.5849609375</v>
      </c>
      <c r="Z108">
        <v>3499.5966796875</v>
      </c>
      <c r="AA108">
        <v>3481.78857421875</v>
      </c>
      <c r="AB108">
        <v>3464.1162109375</v>
      </c>
      <c r="AC108">
        <v>-5.6331334759734952E-3</v>
      </c>
    </row>
    <row r="110" spans="1:29" x14ac:dyDescent="0.45">
      <c r="B110" t="s">
        <v>2463</v>
      </c>
    </row>
    <row r="111" spans="1:29" x14ac:dyDescent="0.45">
      <c r="A111" t="s">
        <v>2805</v>
      </c>
      <c r="B111" t="s">
        <v>2642</v>
      </c>
      <c r="C111">
        <v>530</v>
      </c>
      <c r="D111">
        <v>626</v>
      </c>
      <c r="E111">
        <v>633</v>
      </c>
      <c r="F111">
        <v>640</v>
      </c>
      <c r="G111">
        <v>647</v>
      </c>
      <c r="H111">
        <v>654</v>
      </c>
      <c r="I111">
        <v>662</v>
      </c>
      <c r="J111">
        <v>669</v>
      </c>
      <c r="K111">
        <v>676</v>
      </c>
      <c r="L111">
        <v>683</v>
      </c>
      <c r="M111">
        <v>690</v>
      </c>
      <c r="N111">
        <v>697</v>
      </c>
      <c r="O111">
        <v>704</v>
      </c>
      <c r="P111">
        <v>712</v>
      </c>
      <c r="Q111">
        <v>719</v>
      </c>
      <c r="R111">
        <v>726</v>
      </c>
      <c r="S111">
        <v>733</v>
      </c>
      <c r="T111">
        <v>740</v>
      </c>
      <c r="U111">
        <v>747</v>
      </c>
      <c r="V111">
        <v>754</v>
      </c>
      <c r="W111">
        <v>761</v>
      </c>
      <c r="X111">
        <v>769</v>
      </c>
      <c r="Y111">
        <v>776</v>
      </c>
      <c r="Z111">
        <v>783</v>
      </c>
      <c r="AA111">
        <v>790</v>
      </c>
      <c r="AB111">
        <v>797</v>
      </c>
      <c r="AC111">
        <v>1.6452990811785199E-2</v>
      </c>
    </row>
    <row r="112" spans="1:29" x14ac:dyDescent="0.45">
      <c r="A112" t="s">
        <v>2806</v>
      </c>
      <c r="B112" t="s">
        <v>2644</v>
      </c>
      <c r="C112">
        <v>766</v>
      </c>
      <c r="D112">
        <v>858</v>
      </c>
      <c r="E112">
        <v>866</v>
      </c>
      <c r="F112">
        <v>874</v>
      </c>
      <c r="G112">
        <v>883</v>
      </c>
      <c r="H112">
        <v>891</v>
      </c>
      <c r="I112">
        <v>899</v>
      </c>
      <c r="J112">
        <v>907</v>
      </c>
      <c r="K112">
        <v>915</v>
      </c>
      <c r="L112">
        <v>923</v>
      </c>
      <c r="M112">
        <v>932</v>
      </c>
      <c r="N112">
        <v>940</v>
      </c>
      <c r="O112">
        <v>948</v>
      </c>
      <c r="P112">
        <v>956</v>
      </c>
      <c r="Q112">
        <v>964</v>
      </c>
      <c r="R112">
        <v>973</v>
      </c>
      <c r="S112">
        <v>981</v>
      </c>
      <c r="T112">
        <v>989</v>
      </c>
      <c r="U112">
        <v>997</v>
      </c>
      <c r="V112">
        <v>1005</v>
      </c>
      <c r="W112">
        <v>1014</v>
      </c>
      <c r="X112">
        <v>1022</v>
      </c>
      <c r="Y112">
        <v>1030</v>
      </c>
      <c r="Z112">
        <v>1038</v>
      </c>
      <c r="AA112">
        <v>1046</v>
      </c>
      <c r="AB112">
        <v>1055</v>
      </c>
      <c r="AC112">
        <v>1.2886884383320311E-2</v>
      </c>
    </row>
    <row r="113" spans="1:29" x14ac:dyDescent="0.45">
      <c r="A113" t="s">
        <v>2807</v>
      </c>
      <c r="B113" t="s">
        <v>2646</v>
      </c>
      <c r="C113">
        <v>873</v>
      </c>
      <c r="D113">
        <v>857</v>
      </c>
      <c r="E113">
        <v>862</v>
      </c>
      <c r="F113">
        <v>867</v>
      </c>
      <c r="G113">
        <v>871</v>
      </c>
      <c r="H113">
        <v>876</v>
      </c>
      <c r="I113">
        <v>881</v>
      </c>
      <c r="J113">
        <v>886</v>
      </c>
      <c r="K113">
        <v>890</v>
      </c>
      <c r="L113">
        <v>895</v>
      </c>
      <c r="M113">
        <v>900</v>
      </c>
      <c r="N113">
        <v>905</v>
      </c>
      <c r="O113">
        <v>909</v>
      </c>
      <c r="P113">
        <v>914</v>
      </c>
      <c r="Q113">
        <v>919</v>
      </c>
      <c r="R113">
        <v>924</v>
      </c>
      <c r="S113">
        <v>928</v>
      </c>
      <c r="T113">
        <v>933</v>
      </c>
      <c r="U113">
        <v>938</v>
      </c>
      <c r="V113">
        <v>943</v>
      </c>
      <c r="W113">
        <v>948</v>
      </c>
      <c r="X113">
        <v>952</v>
      </c>
      <c r="Y113">
        <v>957</v>
      </c>
      <c r="Z113">
        <v>962</v>
      </c>
      <c r="AA113">
        <v>967</v>
      </c>
      <c r="AB113">
        <v>972</v>
      </c>
      <c r="AC113">
        <v>4.3060544685959989E-3</v>
      </c>
    </row>
    <row r="114" spans="1:29" x14ac:dyDescent="0.45">
      <c r="A114" t="s">
        <v>2808</v>
      </c>
      <c r="B114" t="s">
        <v>2648</v>
      </c>
      <c r="C114">
        <v>1052</v>
      </c>
      <c r="D114">
        <v>1048</v>
      </c>
      <c r="E114">
        <v>1053</v>
      </c>
      <c r="F114">
        <v>1057</v>
      </c>
      <c r="G114">
        <v>1062</v>
      </c>
      <c r="H114">
        <v>1067</v>
      </c>
      <c r="I114">
        <v>1071</v>
      </c>
      <c r="J114">
        <v>1076</v>
      </c>
      <c r="K114">
        <v>1081</v>
      </c>
      <c r="L114">
        <v>1086</v>
      </c>
      <c r="M114">
        <v>1090</v>
      </c>
      <c r="N114">
        <v>1095</v>
      </c>
      <c r="O114">
        <v>1100</v>
      </c>
      <c r="P114">
        <v>1105</v>
      </c>
      <c r="Q114">
        <v>1109</v>
      </c>
      <c r="R114">
        <v>1114</v>
      </c>
      <c r="S114">
        <v>1119</v>
      </c>
      <c r="T114">
        <v>1124</v>
      </c>
      <c r="U114">
        <v>1129</v>
      </c>
      <c r="V114">
        <v>1133</v>
      </c>
      <c r="W114">
        <v>1138</v>
      </c>
      <c r="X114">
        <v>1143</v>
      </c>
      <c r="Y114">
        <v>1148</v>
      </c>
      <c r="Z114">
        <v>1153</v>
      </c>
      <c r="AA114">
        <v>1158</v>
      </c>
      <c r="AB114">
        <v>1162</v>
      </c>
      <c r="AC114">
        <v>3.9859044359582541E-3</v>
      </c>
    </row>
    <row r="115" spans="1:29" x14ac:dyDescent="0.45">
      <c r="A115" t="s">
        <v>2809</v>
      </c>
      <c r="B115" t="s">
        <v>2650</v>
      </c>
      <c r="C115">
        <v>2319</v>
      </c>
      <c r="D115">
        <v>2427</v>
      </c>
      <c r="E115">
        <v>2442</v>
      </c>
      <c r="F115">
        <v>2458</v>
      </c>
      <c r="G115">
        <v>2473</v>
      </c>
      <c r="H115">
        <v>2489</v>
      </c>
      <c r="I115">
        <v>2505</v>
      </c>
      <c r="J115">
        <v>2522</v>
      </c>
      <c r="K115">
        <v>2538</v>
      </c>
      <c r="L115">
        <v>2554</v>
      </c>
      <c r="M115">
        <v>2570</v>
      </c>
      <c r="N115">
        <v>2586</v>
      </c>
      <c r="O115">
        <v>2603</v>
      </c>
      <c r="P115">
        <v>2619</v>
      </c>
      <c r="Q115">
        <v>2635</v>
      </c>
      <c r="R115">
        <v>2652</v>
      </c>
      <c r="S115">
        <v>2668</v>
      </c>
      <c r="T115">
        <v>2684</v>
      </c>
      <c r="U115">
        <v>2701</v>
      </c>
      <c r="V115">
        <v>2717</v>
      </c>
      <c r="W115">
        <v>2734</v>
      </c>
      <c r="X115">
        <v>2750</v>
      </c>
      <c r="Y115">
        <v>2767</v>
      </c>
      <c r="Z115">
        <v>2783</v>
      </c>
      <c r="AA115">
        <v>2800</v>
      </c>
      <c r="AB115">
        <v>2816</v>
      </c>
      <c r="AC115">
        <v>7.7974985795448148E-3</v>
      </c>
    </row>
    <row r="116" spans="1:29" x14ac:dyDescent="0.45">
      <c r="A116" t="s">
        <v>2810</v>
      </c>
      <c r="B116" t="s">
        <v>2652</v>
      </c>
      <c r="C116">
        <v>1790</v>
      </c>
      <c r="D116">
        <v>1783</v>
      </c>
      <c r="E116">
        <v>1790</v>
      </c>
      <c r="F116">
        <v>1797</v>
      </c>
      <c r="G116">
        <v>1804</v>
      </c>
      <c r="H116">
        <v>1811</v>
      </c>
      <c r="I116">
        <v>1819</v>
      </c>
      <c r="J116">
        <v>1826</v>
      </c>
      <c r="K116">
        <v>1833</v>
      </c>
      <c r="L116">
        <v>1840</v>
      </c>
      <c r="M116">
        <v>1847</v>
      </c>
      <c r="N116">
        <v>1854</v>
      </c>
      <c r="O116">
        <v>1862</v>
      </c>
      <c r="P116">
        <v>1869</v>
      </c>
      <c r="Q116">
        <v>1876</v>
      </c>
      <c r="R116">
        <v>1883</v>
      </c>
      <c r="S116">
        <v>1890</v>
      </c>
      <c r="T116">
        <v>1898</v>
      </c>
      <c r="U116">
        <v>1905</v>
      </c>
      <c r="V116">
        <v>1912</v>
      </c>
      <c r="W116">
        <v>1919</v>
      </c>
      <c r="X116">
        <v>1926</v>
      </c>
      <c r="Y116">
        <v>1934</v>
      </c>
      <c r="Z116">
        <v>1941</v>
      </c>
      <c r="AA116">
        <v>1948</v>
      </c>
      <c r="AB116">
        <v>1955</v>
      </c>
      <c r="AC116">
        <v>3.533210066561487E-3</v>
      </c>
    </row>
    <row r="117" spans="1:29" x14ac:dyDescent="0.45">
      <c r="A117" t="s">
        <v>2811</v>
      </c>
      <c r="B117" t="s">
        <v>2654</v>
      </c>
      <c r="C117">
        <v>2916</v>
      </c>
      <c r="D117">
        <v>2946</v>
      </c>
      <c r="E117">
        <v>2961</v>
      </c>
      <c r="F117">
        <v>2976</v>
      </c>
      <c r="G117">
        <v>2990</v>
      </c>
      <c r="H117">
        <v>3005</v>
      </c>
      <c r="I117">
        <v>3020</v>
      </c>
      <c r="J117">
        <v>3035</v>
      </c>
      <c r="K117">
        <v>3049</v>
      </c>
      <c r="L117">
        <v>3064</v>
      </c>
      <c r="M117">
        <v>3079</v>
      </c>
      <c r="N117">
        <v>3093</v>
      </c>
      <c r="O117">
        <v>3108</v>
      </c>
      <c r="P117">
        <v>3123</v>
      </c>
      <c r="Q117">
        <v>3138</v>
      </c>
      <c r="R117">
        <v>3152</v>
      </c>
      <c r="S117">
        <v>3167</v>
      </c>
      <c r="T117">
        <v>3182</v>
      </c>
      <c r="U117">
        <v>3197</v>
      </c>
      <c r="V117">
        <v>3211</v>
      </c>
      <c r="W117">
        <v>3226</v>
      </c>
      <c r="X117">
        <v>3241</v>
      </c>
      <c r="Y117">
        <v>3255</v>
      </c>
      <c r="Z117">
        <v>3270</v>
      </c>
      <c r="AA117">
        <v>3285</v>
      </c>
      <c r="AB117">
        <v>3299</v>
      </c>
      <c r="AC117">
        <v>4.9484665423147334E-3</v>
      </c>
    </row>
    <row r="118" spans="1:29" x14ac:dyDescent="0.45">
      <c r="A118" t="s">
        <v>2812</v>
      </c>
      <c r="B118" t="s">
        <v>2656</v>
      </c>
      <c r="C118">
        <v>1515</v>
      </c>
      <c r="D118">
        <v>1608</v>
      </c>
      <c r="E118">
        <v>1617</v>
      </c>
      <c r="F118">
        <v>1627</v>
      </c>
      <c r="G118">
        <v>1636</v>
      </c>
      <c r="H118">
        <v>1645</v>
      </c>
      <c r="I118">
        <v>1655</v>
      </c>
      <c r="J118">
        <v>1664</v>
      </c>
      <c r="K118">
        <v>1673</v>
      </c>
      <c r="L118">
        <v>1682</v>
      </c>
      <c r="M118">
        <v>1691</v>
      </c>
      <c r="N118">
        <v>1701</v>
      </c>
      <c r="O118">
        <v>1710</v>
      </c>
      <c r="P118">
        <v>1719</v>
      </c>
      <c r="Q118">
        <v>1728</v>
      </c>
      <c r="R118">
        <v>1737</v>
      </c>
      <c r="S118">
        <v>1746</v>
      </c>
      <c r="T118">
        <v>1755</v>
      </c>
      <c r="U118">
        <v>1764</v>
      </c>
      <c r="V118">
        <v>1773</v>
      </c>
      <c r="W118">
        <v>1782</v>
      </c>
      <c r="X118">
        <v>1791</v>
      </c>
      <c r="Y118">
        <v>1800</v>
      </c>
      <c r="Z118">
        <v>1809</v>
      </c>
      <c r="AA118">
        <v>1818</v>
      </c>
      <c r="AB118">
        <v>1827</v>
      </c>
      <c r="AC118">
        <v>7.5185167090765503E-3</v>
      </c>
    </row>
    <row r="119" spans="1:29" x14ac:dyDescent="0.45">
      <c r="A119" t="s">
        <v>2813</v>
      </c>
      <c r="B119" t="s">
        <v>2658</v>
      </c>
      <c r="C119">
        <v>887</v>
      </c>
      <c r="D119">
        <v>1040</v>
      </c>
      <c r="E119">
        <v>1049</v>
      </c>
      <c r="F119">
        <v>1058</v>
      </c>
      <c r="G119">
        <v>1067</v>
      </c>
      <c r="H119">
        <v>1076</v>
      </c>
      <c r="I119">
        <v>1085</v>
      </c>
      <c r="J119">
        <v>1094</v>
      </c>
      <c r="K119">
        <v>1103</v>
      </c>
      <c r="L119">
        <v>1112</v>
      </c>
      <c r="M119">
        <v>1121</v>
      </c>
      <c r="N119">
        <v>1131</v>
      </c>
      <c r="O119">
        <v>1140</v>
      </c>
      <c r="P119">
        <v>1149</v>
      </c>
      <c r="Q119">
        <v>1158</v>
      </c>
      <c r="R119">
        <v>1167</v>
      </c>
      <c r="S119">
        <v>1177</v>
      </c>
      <c r="T119">
        <v>1186</v>
      </c>
      <c r="U119">
        <v>1195</v>
      </c>
      <c r="V119">
        <v>1204</v>
      </c>
      <c r="W119">
        <v>1213</v>
      </c>
      <c r="X119">
        <v>1223</v>
      </c>
      <c r="Y119">
        <v>1232</v>
      </c>
      <c r="Z119">
        <v>1241</v>
      </c>
      <c r="AA119">
        <v>1250</v>
      </c>
      <c r="AB119">
        <v>1259</v>
      </c>
      <c r="AC119">
        <v>1.4107709657196651E-2</v>
      </c>
    </row>
    <row r="120" spans="1:29" x14ac:dyDescent="0.45">
      <c r="A120" t="s">
        <v>2814</v>
      </c>
      <c r="B120" t="s">
        <v>2660</v>
      </c>
      <c r="C120">
        <v>1516.423583984375</v>
      </c>
      <c r="D120">
        <v>1589.852905273438</v>
      </c>
      <c r="E120">
        <v>1602.154052734375</v>
      </c>
      <c r="F120">
        <v>1614.68994140625</v>
      </c>
      <c r="G120">
        <v>1626.874267578125</v>
      </c>
      <c r="H120">
        <v>1639.42919921875</v>
      </c>
      <c r="I120">
        <v>1652.126586914062</v>
      </c>
      <c r="J120">
        <v>1664.94091796875</v>
      </c>
      <c r="K120">
        <v>1677.306884765625</v>
      </c>
      <c r="L120">
        <v>1689.963012695312</v>
      </c>
      <c r="M120">
        <v>1702.697631835938</v>
      </c>
      <c r="N120">
        <v>1715.52587890625</v>
      </c>
      <c r="O120">
        <v>1728.397705078125</v>
      </c>
      <c r="P120">
        <v>1741.199096679688</v>
      </c>
      <c r="Q120">
        <v>1753.922607421875</v>
      </c>
      <c r="R120">
        <v>1766.92138671875</v>
      </c>
      <c r="S120">
        <v>1779.796142578125</v>
      </c>
      <c r="T120">
        <v>1792.711669921875</v>
      </c>
      <c r="U120">
        <v>1805.81201171875</v>
      </c>
      <c r="V120">
        <v>1818.522705078125</v>
      </c>
      <c r="W120">
        <v>1831.7783203125</v>
      </c>
      <c r="X120">
        <v>1844.803100585938</v>
      </c>
      <c r="Y120">
        <v>1857.8740234375</v>
      </c>
      <c r="Z120">
        <v>1870.785278320312</v>
      </c>
      <c r="AA120">
        <v>1883.8203125</v>
      </c>
      <c r="AB120">
        <v>1896.469848632812</v>
      </c>
      <c r="AC120">
        <v>8.9857123444541109E-3</v>
      </c>
    </row>
    <row r="122" spans="1:29" x14ac:dyDescent="0.45">
      <c r="B122" t="s">
        <v>2671</v>
      </c>
    </row>
    <row r="123" spans="1:29" x14ac:dyDescent="0.45">
      <c r="B123" t="s">
        <v>2672</v>
      </c>
    </row>
    <row r="124" spans="1:29" x14ac:dyDescent="0.45">
      <c r="B124" t="s">
        <v>2673</v>
      </c>
    </row>
    <row r="125" spans="1:29" x14ac:dyDescent="0.45">
      <c r="B125" t="s">
        <v>2815</v>
      </c>
    </row>
    <row r="126" spans="1:29" x14ac:dyDescent="0.45">
      <c r="B126" t="s">
        <v>2816</v>
      </c>
    </row>
    <row r="127" spans="1:29" x14ac:dyDescent="0.45">
      <c r="B127" t="s">
        <v>2817</v>
      </c>
    </row>
    <row r="128" spans="1:29" x14ac:dyDescent="0.45">
      <c r="B128" t="s">
        <v>2818</v>
      </c>
    </row>
    <row r="129" spans="2:2" x14ac:dyDescent="0.45">
      <c r="B129" t="s">
        <v>2675</v>
      </c>
    </row>
    <row r="130" spans="2:2" x14ac:dyDescent="0.45">
      <c r="B130" t="s">
        <v>2819</v>
      </c>
    </row>
    <row r="131" spans="2:2" x14ac:dyDescent="0.45">
      <c r="B131" t="s">
        <v>2820</v>
      </c>
    </row>
    <row r="132" spans="2:2" x14ac:dyDescent="0.45">
      <c r="B132" t="s">
        <v>2821</v>
      </c>
    </row>
    <row r="133" spans="2:2" x14ac:dyDescent="0.45">
      <c r="B133" t="s">
        <v>2822</v>
      </c>
    </row>
    <row r="134" spans="2:2" x14ac:dyDescent="0.45">
      <c r="B134" t="s">
        <v>2823</v>
      </c>
    </row>
    <row r="135" spans="2:2" x14ac:dyDescent="0.45">
      <c r="B135" t="s">
        <v>2824</v>
      </c>
    </row>
    <row r="136" spans="2:2" x14ac:dyDescent="0.45">
      <c r="B136" t="s">
        <v>2825</v>
      </c>
    </row>
    <row r="137" spans="2:2" x14ac:dyDescent="0.45">
      <c r="B137" t="s">
        <v>2826</v>
      </c>
    </row>
    <row r="138" spans="2:2" x14ac:dyDescent="0.45">
      <c r="B138" t="s">
        <v>2827</v>
      </c>
    </row>
    <row r="139" spans="2:2" x14ac:dyDescent="0.45">
      <c r="B139" t="s">
        <v>2828</v>
      </c>
    </row>
    <row r="140" spans="2:2" x14ac:dyDescent="0.45">
      <c r="B140" t="s">
        <v>2684</v>
      </c>
    </row>
    <row r="141" spans="2:2" x14ac:dyDescent="0.45">
      <c r="B141" t="s">
        <v>2829</v>
      </c>
    </row>
    <row r="142" spans="2:2" x14ac:dyDescent="0.45">
      <c r="B142" t="s">
        <v>2830</v>
      </c>
    </row>
    <row r="143" spans="2:2" x14ac:dyDescent="0.45">
      <c r="B143" t="s">
        <v>2831</v>
      </c>
    </row>
    <row r="144" spans="2:2" x14ac:dyDescent="0.45">
      <c r="B144" t="s">
        <v>2832</v>
      </c>
    </row>
    <row r="145" spans="2:2" x14ac:dyDescent="0.45">
      <c r="B145" t="s">
        <v>2833</v>
      </c>
    </row>
    <row r="146" spans="2:2" x14ac:dyDescent="0.45">
      <c r="B146" t="s">
        <v>2834</v>
      </c>
    </row>
    <row r="147" spans="2:2" x14ac:dyDescent="0.45">
      <c r="B147" t="s">
        <v>2835</v>
      </c>
    </row>
    <row r="148" spans="2:2" x14ac:dyDescent="0.45">
      <c r="B148" t="s">
        <v>2836</v>
      </c>
    </row>
    <row r="149" spans="2:2" x14ac:dyDescent="0.45">
      <c r="B149" t="s">
        <v>2837</v>
      </c>
    </row>
    <row r="150" spans="2:2" x14ac:dyDescent="0.45">
      <c r="B150" t="s">
        <v>2838</v>
      </c>
    </row>
    <row r="151" spans="2:2" x14ac:dyDescent="0.45">
      <c r="B151" t="s">
        <v>2839</v>
      </c>
    </row>
    <row r="152" spans="2:2" x14ac:dyDescent="0.45">
      <c r="B152" t="s">
        <v>2697</v>
      </c>
    </row>
    <row r="153" spans="2:2" x14ac:dyDescent="0.45">
      <c r="B153" t="s">
        <v>2699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D7"/>
  <sheetViews>
    <sheetView workbookViewId="0">
      <selection activeCell="D3" sqref="D3"/>
    </sheetView>
  </sheetViews>
  <sheetFormatPr defaultRowHeight="14.25" x14ac:dyDescent="0.45"/>
  <cols>
    <col min="1" max="1" width="23.53125" customWidth="1"/>
    <col min="2" max="2" width="21.265625" customWidth="1"/>
    <col min="3" max="3" width="20.73046875" customWidth="1"/>
    <col min="4" max="4" width="20.265625" customWidth="1"/>
  </cols>
  <sheetData>
    <row r="1" spans="1:4" ht="29.55" customHeight="1" x14ac:dyDescent="0.45">
      <c r="A1" s="55" t="s">
        <v>2465</v>
      </c>
      <c r="B1" s="51" t="s">
        <v>2466</v>
      </c>
      <c r="C1" s="51" t="s">
        <v>2467</v>
      </c>
      <c r="D1" s="51" t="s">
        <v>2468</v>
      </c>
    </row>
    <row r="2" spans="1:4" x14ac:dyDescent="0.45">
      <c r="A2" t="s">
        <v>2469</v>
      </c>
      <c r="B2" s="56">
        <f>Residential!B56</f>
        <v>0.53510411745176667</v>
      </c>
      <c r="C2" s="56">
        <f t="shared" ref="C2:C7" si="0">$B2</f>
        <v>0.53510411745176667</v>
      </c>
      <c r="D2" s="56">
        <f>Commercial!K11</f>
        <v>0.58753539817108646</v>
      </c>
    </row>
    <row r="3" spans="1:4" x14ac:dyDescent="0.45">
      <c r="A3" t="s">
        <v>2470</v>
      </c>
      <c r="B3" s="56">
        <f>Residential!B56</f>
        <v>0.53510411745176667</v>
      </c>
      <c r="C3" s="56">
        <f t="shared" si="0"/>
        <v>0.53510411745176667</v>
      </c>
      <c r="D3" s="56">
        <f>Commercial!K11</f>
        <v>0.58753539817108646</v>
      </c>
    </row>
    <row r="4" spans="1:4" x14ac:dyDescent="0.45">
      <c r="A4" t="s">
        <v>2471</v>
      </c>
      <c r="B4">
        <v>0</v>
      </c>
      <c r="C4">
        <f t="shared" si="0"/>
        <v>0</v>
      </c>
      <c r="D4">
        <v>0</v>
      </c>
    </row>
    <row r="5" spans="1:4" x14ac:dyDescent="0.45">
      <c r="A5" t="s">
        <v>2472</v>
      </c>
      <c r="B5">
        <v>0</v>
      </c>
      <c r="C5">
        <f t="shared" si="0"/>
        <v>0</v>
      </c>
      <c r="D5">
        <v>0</v>
      </c>
    </row>
    <row r="6" spans="1:4" x14ac:dyDescent="0.45">
      <c r="A6" t="s">
        <v>2473</v>
      </c>
      <c r="B6">
        <v>0</v>
      </c>
      <c r="C6">
        <f t="shared" si="0"/>
        <v>0</v>
      </c>
      <c r="D6">
        <v>0</v>
      </c>
    </row>
    <row r="7" spans="1:4" x14ac:dyDescent="0.45">
      <c r="A7" t="s">
        <v>2474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D7"/>
  <sheetViews>
    <sheetView workbookViewId="0">
      <selection activeCell="B3" sqref="B3"/>
    </sheetView>
  </sheetViews>
  <sheetFormatPr defaultRowHeight="14.25" x14ac:dyDescent="0.45"/>
  <cols>
    <col min="1" max="1" width="23.53125" customWidth="1"/>
    <col min="2" max="2" width="21.265625" customWidth="1"/>
    <col min="3" max="3" width="20.73046875" customWidth="1"/>
    <col min="4" max="4" width="20.265625" customWidth="1"/>
  </cols>
  <sheetData>
    <row r="1" spans="1:4" x14ac:dyDescent="0.45">
      <c r="A1" s="55" t="s">
        <v>2475</v>
      </c>
      <c r="B1" s="51" t="s">
        <v>2466</v>
      </c>
      <c r="C1" s="51" t="s">
        <v>2467</v>
      </c>
      <c r="D1" s="51" t="s">
        <v>2468</v>
      </c>
    </row>
    <row r="2" spans="1:4" x14ac:dyDescent="0.45">
      <c r="A2" t="s">
        <v>2469</v>
      </c>
      <c r="B2" s="58">
        <f>Residential!$B$53</f>
        <v>4.2315385496418648E-4</v>
      </c>
      <c r="C2" s="58">
        <f t="shared" ref="C2:C7" si="0">$B2</f>
        <v>4.2315385496418648E-4</v>
      </c>
      <c r="D2" s="57">
        <f>Commercial!$K$8</f>
        <v>2.4112379226373467E-4</v>
      </c>
    </row>
    <row r="3" spans="1:4" x14ac:dyDescent="0.45">
      <c r="A3" t="s">
        <v>2470</v>
      </c>
      <c r="B3" s="58">
        <f>Residential!$B$53</f>
        <v>4.2315385496418648E-4</v>
      </c>
      <c r="C3" s="58">
        <f t="shared" si="0"/>
        <v>4.2315385496418648E-4</v>
      </c>
      <c r="D3" s="57">
        <f>Commercial!$K$8</f>
        <v>2.4112379226373467E-4</v>
      </c>
    </row>
    <row r="4" spans="1:4" x14ac:dyDescent="0.45">
      <c r="A4" t="s">
        <v>2471</v>
      </c>
      <c r="B4">
        <v>0</v>
      </c>
      <c r="C4">
        <f t="shared" si="0"/>
        <v>0</v>
      </c>
      <c r="D4">
        <v>0</v>
      </c>
    </row>
    <row r="5" spans="1:4" x14ac:dyDescent="0.45">
      <c r="A5" t="s">
        <v>2472</v>
      </c>
      <c r="B5">
        <v>0</v>
      </c>
      <c r="C5">
        <f t="shared" si="0"/>
        <v>0</v>
      </c>
      <c r="D5">
        <v>0</v>
      </c>
    </row>
    <row r="6" spans="1:4" x14ac:dyDescent="0.45">
      <c r="A6" t="s">
        <v>2473</v>
      </c>
      <c r="B6">
        <v>0</v>
      </c>
      <c r="C6">
        <f t="shared" si="0"/>
        <v>0</v>
      </c>
      <c r="D6">
        <v>0</v>
      </c>
    </row>
    <row r="7" spans="1:4" x14ac:dyDescent="0.45">
      <c r="A7" t="s">
        <v>2474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 2026 Table 4 raw</vt:lpstr>
      <vt:lpstr>AEO 2026 Table 5 raw</vt:lpstr>
      <vt:lpstr>BRESaC-energy</vt:lpstr>
      <vt:lpstr>BRESaC-cost</vt:lpstr>
      <vt:lpstr>'CBECS_Table B10'!Print_Titles</vt:lpstr>
      <vt:lpstr>'CBECS_Table B5'!Print_Titles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2019-05-24T18:41:25Z</dcterms:created>
  <dcterms:modified xsi:type="dcterms:W3CDTF">2026-04-23T18:43:35Z</dcterms:modified>
</cp:coreProperties>
</file>