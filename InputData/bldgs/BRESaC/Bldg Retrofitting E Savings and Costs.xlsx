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bldgs\BRESaC\"/>
    </mc:Choice>
  </mc:AlternateContent>
  <xr:revisionPtr revIDLastSave="0" documentId="13_ncr:1_{A6F5F7CC-0B4D-48BE-920F-BFB743F23F4A}" xr6:coauthVersionLast="47" xr6:coauthVersionMax="47" xr10:uidLastSave="{00000000-0000-0000-0000-000000000000}"/>
  <bookViews>
    <workbookView xWindow="-120" yWindow="-120" windowWidth="29040" windowHeight="17520" tabRatio="909" xr2:uid="{00000000-000D-0000-FFFF-FFFF00000000}"/>
  </bookViews>
  <sheets>
    <sheet name="About" sheetId="3" r:id="rId1"/>
    <sheet name="Residential" sheetId="2" r:id="rId2"/>
    <sheet name="Commercial" sheetId="1" r:id="rId3"/>
    <sheet name="County Climates" sheetId="5" r:id="rId4"/>
    <sheet name="CBECS_Table B5" sheetId="13" r:id="rId5"/>
    <sheet name="CBECS_Table B10" sheetId="14" r:id="rId6"/>
    <sheet name="CBECS_Table C4" sheetId="9" r:id="rId7"/>
    <sheet name="State Codes" sheetId="6" r:id="rId8"/>
    <sheet name="AEO22 Table 4" sheetId="4" r:id="rId9"/>
    <sheet name="AEO23 Table 4" sheetId="15" r:id="rId10"/>
    <sheet name="AEO22 Table 5" sheetId="11" r:id="rId11"/>
    <sheet name="AEO23 Table 5" sheetId="16" r:id="rId12"/>
    <sheet name="BRESaC-energy" sheetId="10" r:id="rId13"/>
    <sheet name="BRESaC-cost" sheetId="12" r:id="rId14"/>
  </sheets>
  <definedNames>
    <definedName name="_xlnm._FilterDatabase" localSheetId="3" hidden="1">'County Climates'!$A$1:$F$3141</definedName>
    <definedName name="_xlnm.Print_Titles" localSheetId="5">'CBECS_Table B10'!$2:$5</definedName>
    <definedName name="_xlnm.Print_Titles" localSheetId="4">'CBECS_Table B5'!$2:$6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" l="1"/>
  <c r="N5" i="1"/>
  <c r="N4" i="1"/>
  <c r="N3" i="1"/>
  <c r="N2" i="1"/>
  <c r="K12" i="1"/>
  <c r="I2" i="1"/>
  <c r="K2" i="1" a="1"/>
  <c r="K2" i="1" s="1"/>
  <c r="M3" i="1" a="1"/>
  <c r="M3" i="1" s="1"/>
  <c r="M2" i="1" a="1"/>
  <c r="M2" i="1" s="1"/>
  <c r="J2" i="1"/>
  <c r="O7" i="14"/>
  <c r="J28" i="1"/>
  <c r="J29" i="1" s="1"/>
  <c r="I28" i="1"/>
  <c r="I29" i="1" s="1"/>
  <c r="K29" i="1" s="1"/>
  <c r="K30" i="1" s="1"/>
  <c r="I16" i="1"/>
  <c r="J16" i="1"/>
  <c r="K11" i="1"/>
  <c r="B55" i="2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2" i="5"/>
  <c r="U4" i="5"/>
  <c r="U5" i="5"/>
  <c r="U7" i="5"/>
  <c r="U9" i="5"/>
  <c r="U10" i="5"/>
  <c r="U11" i="5"/>
  <c r="U3" i="5"/>
  <c r="D1" i="13"/>
  <c r="E1" i="13"/>
  <c r="F1" i="13"/>
  <c r="G1" i="13"/>
  <c r="H1" i="13"/>
  <c r="I1" i="13"/>
  <c r="J1" i="13"/>
  <c r="U8" i="5" s="1"/>
  <c r="K1" i="13"/>
  <c r="C1" i="13"/>
  <c r="B53" i="2"/>
  <c r="C7" i="12"/>
  <c r="C6" i="12"/>
  <c r="C5" i="12"/>
  <c r="C4" i="12"/>
  <c r="U6" i="5" l="1"/>
  <c r="C4" i="10" l="1"/>
  <c r="C5" i="10"/>
  <c r="C6" i="10"/>
  <c r="C7" i="10"/>
  <c r="M4" i="1" l="1" a="1"/>
  <c r="M4" i="1" s="1"/>
  <c r="M5" i="1" a="1"/>
  <c r="M5" i="1" s="1"/>
  <c r="M6" i="1" a="1"/>
  <c r="M6" i="1" s="1"/>
  <c r="K3" i="1" a="1"/>
  <c r="K3" i="1" s="1"/>
  <c r="K4" i="1" a="1"/>
  <c r="K4" i="1" s="1"/>
  <c r="K5" i="1" a="1"/>
  <c r="K5" i="1" s="1"/>
  <c r="K6" i="1" a="1"/>
  <c r="K6" i="1" s="1"/>
  <c r="L3" i="1"/>
  <c r="L4" i="1" l="1"/>
  <c r="J3" i="1"/>
  <c r="L18" i="5"/>
  <c r="L20" i="5"/>
  <c r="L24" i="5"/>
  <c r="M16" i="5"/>
  <c r="L19" i="5"/>
  <c r="E8" i="6"/>
  <c r="E9" i="6" s="1"/>
  <c r="E15" i="6"/>
  <c r="E16" i="6"/>
  <c r="E2452" i="5" s="1"/>
  <c r="E20" i="6"/>
  <c r="E21" i="6" s="1"/>
  <c r="E1898" i="5" s="1"/>
  <c r="E26" i="6"/>
  <c r="E27" i="6" s="1"/>
  <c r="E35" i="6"/>
  <c r="E36" i="6"/>
  <c r="E45" i="6"/>
  <c r="E46" i="6"/>
  <c r="E47" i="6" s="1"/>
  <c r="E50" i="6"/>
  <c r="E51" i="6" s="1"/>
  <c r="E56" i="6"/>
  <c r="E57" i="6" s="1"/>
  <c r="E65" i="6"/>
  <c r="E66" i="6" s="1"/>
  <c r="E7" i="6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E40" i="2"/>
  <c r="I40" i="2" s="1"/>
  <c r="E41" i="2"/>
  <c r="I41" i="2" s="1"/>
  <c r="E42" i="2"/>
  <c r="I42" i="2" s="1"/>
  <c r="E43" i="2"/>
  <c r="I43" i="2" s="1"/>
  <c r="E44" i="2"/>
  <c r="I44" i="2" s="1"/>
  <c r="E45" i="2"/>
  <c r="I45" i="2" s="1"/>
  <c r="E46" i="2"/>
  <c r="I46" i="2" s="1"/>
  <c r="E47" i="2"/>
  <c r="I47" i="2" s="1"/>
  <c r="E48" i="2"/>
  <c r="I48" i="2" s="1"/>
  <c r="E39" i="2"/>
  <c r="I39" i="2" s="1"/>
  <c r="F14" i="2"/>
  <c r="F15" i="2"/>
  <c r="F16" i="2"/>
  <c r="F40" i="2" s="1"/>
  <c r="F17" i="2"/>
  <c r="F18" i="2"/>
  <c r="F19" i="2"/>
  <c r="F20" i="2"/>
  <c r="F21" i="2"/>
  <c r="F22" i="2"/>
  <c r="F23" i="2"/>
  <c r="F24" i="2"/>
  <c r="F25" i="2"/>
  <c r="F26" i="2"/>
  <c r="F27" i="2"/>
  <c r="F28" i="2"/>
  <c r="F45" i="2" s="1"/>
  <c r="F29" i="2"/>
  <c r="F30" i="2"/>
  <c r="F31" i="2"/>
  <c r="F32" i="2"/>
  <c r="F33" i="2"/>
  <c r="F47" i="2" s="1"/>
  <c r="F34" i="2"/>
  <c r="F35" i="2"/>
  <c r="F13" i="2"/>
  <c r="B6" i="2"/>
  <c r="J4" i="1" l="1"/>
  <c r="L5" i="1"/>
  <c r="E48" i="6"/>
  <c r="E520" i="5"/>
  <c r="E528" i="5"/>
  <c r="E536" i="5"/>
  <c r="E544" i="5"/>
  <c r="E552" i="5"/>
  <c r="E560" i="5"/>
  <c r="E568" i="5"/>
  <c r="E576" i="5"/>
  <c r="E584" i="5"/>
  <c r="E521" i="5"/>
  <c r="E529" i="5"/>
  <c r="E537" i="5"/>
  <c r="E545" i="5"/>
  <c r="E553" i="5"/>
  <c r="E561" i="5"/>
  <c r="E569" i="5"/>
  <c r="E577" i="5"/>
  <c r="E522" i="5"/>
  <c r="E530" i="5"/>
  <c r="E538" i="5"/>
  <c r="E546" i="5"/>
  <c r="E554" i="5"/>
  <c r="E562" i="5"/>
  <c r="E570" i="5"/>
  <c r="E578" i="5"/>
  <c r="E523" i="5"/>
  <c r="E531" i="5"/>
  <c r="E539" i="5"/>
  <c r="E547" i="5"/>
  <c r="E555" i="5"/>
  <c r="E563" i="5"/>
  <c r="E571" i="5"/>
  <c r="E579" i="5"/>
  <c r="E524" i="5"/>
  <c r="E532" i="5"/>
  <c r="E540" i="5"/>
  <c r="E548" i="5"/>
  <c r="E556" i="5"/>
  <c r="E564" i="5"/>
  <c r="E572" i="5"/>
  <c r="E580" i="5"/>
  <c r="E525" i="5"/>
  <c r="E533" i="5"/>
  <c r="E541" i="5"/>
  <c r="E549" i="5"/>
  <c r="E557" i="5"/>
  <c r="E565" i="5"/>
  <c r="E573" i="5"/>
  <c r="E581" i="5"/>
  <c r="E526" i="5"/>
  <c r="E534" i="5"/>
  <c r="E542" i="5"/>
  <c r="E550" i="5"/>
  <c r="E558" i="5"/>
  <c r="E566" i="5"/>
  <c r="E574" i="5"/>
  <c r="E582" i="5"/>
  <c r="E527" i="5"/>
  <c r="E535" i="5"/>
  <c r="E543" i="5"/>
  <c r="E551" i="5"/>
  <c r="E559" i="5"/>
  <c r="E567" i="5"/>
  <c r="E575" i="5"/>
  <c r="E583" i="5"/>
  <c r="E2059" i="5"/>
  <c r="E2067" i="5"/>
  <c r="E2075" i="5"/>
  <c r="E2083" i="5"/>
  <c r="E2091" i="5"/>
  <c r="E2099" i="5"/>
  <c r="E2107" i="5"/>
  <c r="E2060" i="5"/>
  <c r="E2068" i="5"/>
  <c r="E2076" i="5"/>
  <c r="E2084" i="5"/>
  <c r="E2092" i="5"/>
  <c r="E2100" i="5"/>
  <c r="E2108" i="5"/>
  <c r="E2062" i="5"/>
  <c r="E2070" i="5"/>
  <c r="E2078" i="5"/>
  <c r="E2086" i="5"/>
  <c r="E2094" i="5"/>
  <c r="E2102" i="5"/>
  <c r="E2056" i="5"/>
  <c r="E2064" i="5"/>
  <c r="E2072" i="5"/>
  <c r="E2080" i="5"/>
  <c r="E2088" i="5"/>
  <c r="E2096" i="5"/>
  <c r="E2104" i="5"/>
  <c r="E2057" i="5"/>
  <c r="E2065" i="5"/>
  <c r="E2073" i="5"/>
  <c r="E2081" i="5"/>
  <c r="E2089" i="5"/>
  <c r="E2097" i="5"/>
  <c r="E2105" i="5"/>
  <c r="E2071" i="5"/>
  <c r="E2093" i="5"/>
  <c r="E2074" i="5"/>
  <c r="E2095" i="5"/>
  <c r="E2055" i="5"/>
  <c r="E2077" i="5"/>
  <c r="E2098" i="5"/>
  <c r="E2058" i="5"/>
  <c r="E2079" i="5"/>
  <c r="E2101" i="5"/>
  <c r="E2061" i="5"/>
  <c r="E2082" i="5"/>
  <c r="E2103" i="5"/>
  <c r="E2063" i="5"/>
  <c r="E2085" i="5"/>
  <c r="E2106" i="5"/>
  <c r="E2066" i="5"/>
  <c r="E2069" i="5"/>
  <c r="E2087" i="5"/>
  <c r="E2090" i="5"/>
  <c r="E2109" i="5"/>
  <c r="E67" i="6"/>
  <c r="E1590" i="5"/>
  <c r="E1598" i="5"/>
  <c r="E1606" i="5"/>
  <c r="E1591" i="5"/>
  <c r="E1599" i="5"/>
  <c r="E1607" i="5"/>
  <c r="E1592" i="5"/>
  <c r="E1600" i="5"/>
  <c r="E1608" i="5"/>
  <c r="E1593" i="5"/>
  <c r="E1601" i="5"/>
  <c r="E1609" i="5"/>
  <c r="E1586" i="5"/>
  <c r="E1594" i="5"/>
  <c r="E1602" i="5"/>
  <c r="E1587" i="5"/>
  <c r="E1595" i="5"/>
  <c r="E1603" i="5"/>
  <c r="E1611" i="5"/>
  <c r="E1588" i="5"/>
  <c r="E1596" i="5"/>
  <c r="E1604" i="5"/>
  <c r="E1605" i="5"/>
  <c r="E1610" i="5"/>
  <c r="E1589" i="5"/>
  <c r="E1597" i="5"/>
  <c r="E2" i="5"/>
  <c r="E37" i="6"/>
  <c r="E38" i="6" s="1"/>
  <c r="E187" i="5"/>
  <c r="E188" i="5"/>
  <c r="E189" i="5"/>
  <c r="E2461" i="5"/>
  <c r="E2460" i="5"/>
  <c r="E28" i="6"/>
  <c r="E400" i="5"/>
  <c r="E408" i="5"/>
  <c r="E416" i="5"/>
  <c r="E424" i="5"/>
  <c r="E432" i="5"/>
  <c r="E440" i="5"/>
  <c r="E448" i="5"/>
  <c r="E401" i="5"/>
  <c r="E409" i="5"/>
  <c r="E417" i="5"/>
  <c r="E425" i="5"/>
  <c r="E433" i="5"/>
  <c r="E441" i="5"/>
  <c r="E449" i="5"/>
  <c r="E402" i="5"/>
  <c r="E410" i="5"/>
  <c r="E418" i="5"/>
  <c r="E426" i="5"/>
  <c r="E434" i="5"/>
  <c r="E442" i="5"/>
  <c r="E450" i="5"/>
  <c r="E403" i="5"/>
  <c r="E411" i="5"/>
  <c r="E419" i="5"/>
  <c r="E427" i="5"/>
  <c r="E435" i="5"/>
  <c r="E443" i="5"/>
  <c r="E451" i="5"/>
  <c r="E404" i="5"/>
  <c r="E412" i="5"/>
  <c r="E420" i="5"/>
  <c r="E428" i="5"/>
  <c r="E436" i="5"/>
  <c r="E444" i="5"/>
  <c r="E452" i="5"/>
  <c r="E405" i="5"/>
  <c r="E413" i="5"/>
  <c r="E421" i="5"/>
  <c r="E429" i="5"/>
  <c r="E437" i="5"/>
  <c r="E445" i="5"/>
  <c r="E453" i="5"/>
  <c r="E406" i="5"/>
  <c r="E414" i="5"/>
  <c r="E422" i="5"/>
  <c r="E430" i="5"/>
  <c r="E438" i="5"/>
  <c r="E446" i="5"/>
  <c r="E454" i="5"/>
  <c r="E399" i="5"/>
  <c r="E407" i="5"/>
  <c r="E415" i="5"/>
  <c r="E423" i="5"/>
  <c r="E431" i="5"/>
  <c r="E439" i="5"/>
  <c r="E447" i="5"/>
  <c r="E1979" i="5"/>
  <c r="E1987" i="5"/>
  <c r="E1995" i="5"/>
  <c r="E2003" i="5"/>
  <c r="E2011" i="5"/>
  <c r="E1972" i="5"/>
  <c r="E1980" i="5"/>
  <c r="E1988" i="5"/>
  <c r="E1996" i="5"/>
  <c r="E2004" i="5"/>
  <c r="E2012" i="5"/>
  <c r="E1974" i="5"/>
  <c r="E1982" i="5"/>
  <c r="E1990" i="5"/>
  <c r="E1998" i="5"/>
  <c r="E2006" i="5"/>
  <c r="E2014" i="5"/>
  <c r="E1976" i="5"/>
  <c r="E1984" i="5"/>
  <c r="E1992" i="5"/>
  <c r="E2000" i="5"/>
  <c r="E2008" i="5"/>
  <c r="E1977" i="5"/>
  <c r="E1985" i="5"/>
  <c r="E1993" i="5"/>
  <c r="E2001" i="5"/>
  <c r="E2009" i="5"/>
  <c r="E1986" i="5"/>
  <c r="E2007" i="5"/>
  <c r="E1989" i="5"/>
  <c r="E2010" i="5"/>
  <c r="E1991" i="5"/>
  <c r="E2013" i="5"/>
  <c r="E1973" i="5"/>
  <c r="E1994" i="5"/>
  <c r="E1975" i="5"/>
  <c r="E1997" i="5"/>
  <c r="E1978" i="5"/>
  <c r="E1999" i="5"/>
  <c r="E2453" i="5"/>
  <c r="E2005" i="5"/>
  <c r="E58" i="6"/>
  <c r="E1614" i="5"/>
  <c r="E1622" i="5"/>
  <c r="E1615" i="5"/>
  <c r="E1623" i="5"/>
  <c r="E1616" i="5"/>
  <c r="E1624" i="5"/>
  <c r="E1617" i="5"/>
  <c r="E1625" i="5"/>
  <c r="E1619" i="5"/>
  <c r="E1612" i="5"/>
  <c r="E1620" i="5"/>
  <c r="E1613" i="5"/>
  <c r="E1618" i="5"/>
  <c r="E1621" i="5"/>
  <c r="E1626" i="5"/>
  <c r="E22" i="6"/>
  <c r="E328" i="5"/>
  <c r="E336" i="5"/>
  <c r="E344" i="5"/>
  <c r="E352" i="5"/>
  <c r="E360" i="5"/>
  <c r="E368" i="5"/>
  <c r="E329" i="5"/>
  <c r="E337" i="5"/>
  <c r="E345" i="5"/>
  <c r="E353" i="5"/>
  <c r="E361" i="5"/>
  <c r="E369" i="5"/>
  <c r="E330" i="5"/>
  <c r="E338" i="5"/>
  <c r="E346" i="5"/>
  <c r="E354" i="5"/>
  <c r="E362" i="5"/>
  <c r="E370" i="5"/>
  <c r="E331" i="5"/>
  <c r="E339" i="5"/>
  <c r="E347" i="5"/>
  <c r="E355" i="5"/>
  <c r="E363" i="5"/>
  <c r="E371" i="5"/>
  <c r="E332" i="5"/>
  <c r="E340" i="5"/>
  <c r="E348" i="5"/>
  <c r="E356" i="5"/>
  <c r="E364" i="5"/>
  <c r="E325" i="5"/>
  <c r="E333" i="5"/>
  <c r="E341" i="5"/>
  <c r="E349" i="5"/>
  <c r="E357" i="5"/>
  <c r="E365" i="5"/>
  <c r="E326" i="5"/>
  <c r="E334" i="5"/>
  <c r="E342" i="5"/>
  <c r="E350" i="5"/>
  <c r="E358" i="5"/>
  <c r="E366" i="5"/>
  <c r="E327" i="5"/>
  <c r="E335" i="5"/>
  <c r="E343" i="5"/>
  <c r="E351" i="5"/>
  <c r="E359" i="5"/>
  <c r="E367" i="5"/>
  <c r="E1855" i="5"/>
  <c r="E1863" i="5"/>
  <c r="E1871" i="5"/>
  <c r="E1879" i="5"/>
  <c r="E1856" i="5"/>
  <c r="E1864" i="5"/>
  <c r="E1872" i="5"/>
  <c r="E1880" i="5"/>
  <c r="E1888" i="5"/>
  <c r="E1857" i="5"/>
  <c r="E1865" i="5"/>
  <c r="E1873" i="5"/>
  <c r="E1881" i="5"/>
  <c r="E1889" i="5"/>
  <c r="E1852" i="5"/>
  <c r="E1860" i="5"/>
  <c r="E1868" i="5"/>
  <c r="E1876" i="5"/>
  <c r="E1884" i="5"/>
  <c r="E1892" i="5"/>
  <c r="E1859" i="5"/>
  <c r="E1875" i="5"/>
  <c r="E1890" i="5"/>
  <c r="E1899" i="5"/>
  <c r="E1861" i="5"/>
  <c r="E1877" i="5"/>
  <c r="E1891" i="5"/>
  <c r="E1900" i="5"/>
  <c r="E1866" i="5"/>
  <c r="E1882" i="5"/>
  <c r="E1894" i="5"/>
  <c r="E1902" i="5"/>
  <c r="E1853" i="5"/>
  <c r="E1869" i="5"/>
  <c r="E1885" i="5"/>
  <c r="E1896" i="5"/>
  <c r="E1904" i="5"/>
  <c r="E1854" i="5"/>
  <c r="E1870" i="5"/>
  <c r="E1886" i="5"/>
  <c r="E1897" i="5"/>
  <c r="E1905" i="5"/>
  <c r="E1867" i="5"/>
  <c r="E1901" i="5"/>
  <c r="E1874" i="5"/>
  <c r="E1903" i="5"/>
  <c r="E1878" i="5"/>
  <c r="E1906" i="5"/>
  <c r="E1883" i="5"/>
  <c r="E1887" i="5"/>
  <c r="E1893" i="5"/>
  <c r="E1858" i="5"/>
  <c r="E1895" i="5"/>
  <c r="E2002" i="5"/>
  <c r="E1862" i="5"/>
  <c r="E52" i="6"/>
  <c r="E72" i="5"/>
  <c r="E80" i="5"/>
  <c r="E88" i="5"/>
  <c r="E96" i="5"/>
  <c r="E104" i="5"/>
  <c r="E112" i="5"/>
  <c r="E120" i="5"/>
  <c r="E73" i="5"/>
  <c r="E81" i="5"/>
  <c r="E89" i="5"/>
  <c r="E97" i="5"/>
  <c r="E105" i="5"/>
  <c r="E113" i="5"/>
  <c r="E121" i="5"/>
  <c r="E74" i="5"/>
  <c r="E82" i="5"/>
  <c r="E90" i="5"/>
  <c r="E98" i="5"/>
  <c r="E106" i="5"/>
  <c r="E114" i="5"/>
  <c r="E67" i="5"/>
  <c r="E75" i="5"/>
  <c r="E83" i="5"/>
  <c r="E91" i="5"/>
  <c r="E99" i="5"/>
  <c r="E107" i="5"/>
  <c r="E115" i="5"/>
  <c r="E68" i="5"/>
  <c r="E76" i="5"/>
  <c r="E84" i="5"/>
  <c r="E92" i="5"/>
  <c r="E100" i="5"/>
  <c r="E108" i="5"/>
  <c r="E116" i="5"/>
  <c r="E69" i="5"/>
  <c r="E77" i="5"/>
  <c r="E85" i="5"/>
  <c r="E93" i="5"/>
  <c r="E101" i="5"/>
  <c r="E109" i="5"/>
  <c r="E117" i="5"/>
  <c r="E70" i="5"/>
  <c r="E78" i="5"/>
  <c r="E86" i="5"/>
  <c r="E94" i="5"/>
  <c r="E102" i="5"/>
  <c r="E110" i="5"/>
  <c r="E118" i="5"/>
  <c r="E71" i="5"/>
  <c r="E79" i="5"/>
  <c r="E87" i="5"/>
  <c r="E95" i="5"/>
  <c r="E103" i="5"/>
  <c r="E111" i="5"/>
  <c r="E119" i="5"/>
  <c r="E1630" i="5"/>
  <c r="E1638" i="5"/>
  <c r="E1646" i="5"/>
  <c r="E1631" i="5"/>
  <c r="E1639" i="5"/>
  <c r="E1632" i="5"/>
  <c r="E1640" i="5"/>
  <c r="E1633" i="5"/>
  <c r="E1641" i="5"/>
  <c r="E1627" i="5"/>
  <c r="E1635" i="5"/>
  <c r="E1643" i="5"/>
  <c r="E1628" i="5"/>
  <c r="E1636" i="5"/>
  <c r="E1644" i="5"/>
  <c r="E1637" i="5"/>
  <c r="E1642" i="5"/>
  <c r="E1645" i="5"/>
  <c r="E1629" i="5"/>
  <c r="E1634" i="5"/>
  <c r="E17" i="6"/>
  <c r="E2446" i="5"/>
  <c r="E2454" i="5"/>
  <c r="E2462" i="5"/>
  <c r="E2447" i="5"/>
  <c r="E2455" i="5"/>
  <c r="E2463" i="5"/>
  <c r="E2448" i="5"/>
  <c r="E2456" i="5"/>
  <c r="E2464" i="5"/>
  <c r="E2449" i="5"/>
  <c r="E2457" i="5"/>
  <c r="E2465" i="5"/>
  <c r="E2450" i="5"/>
  <c r="E2458" i="5"/>
  <c r="E2466" i="5"/>
  <c r="E2451" i="5"/>
  <c r="E2459" i="5"/>
  <c r="E1983" i="5"/>
  <c r="E1981" i="5"/>
  <c r="E8" i="5"/>
  <c r="E16" i="5"/>
  <c r="E24" i="5"/>
  <c r="E32" i="5"/>
  <c r="E40" i="5"/>
  <c r="E48" i="5"/>
  <c r="E56" i="5"/>
  <c r="E64" i="5"/>
  <c r="E9" i="5"/>
  <c r="E17" i="5"/>
  <c r="E25" i="5"/>
  <c r="E33" i="5"/>
  <c r="E41" i="5"/>
  <c r="E49" i="5"/>
  <c r="E57" i="5"/>
  <c r="E65" i="5"/>
  <c r="E10" i="5"/>
  <c r="E18" i="5"/>
  <c r="E26" i="5"/>
  <c r="E34" i="5"/>
  <c r="E42" i="5"/>
  <c r="E50" i="5"/>
  <c r="E58" i="5"/>
  <c r="E66" i="5"/>
  <c r="E3" i="5"/>
  <c r="E11" i="5"/>
  <c r="E19" i="5"/>
  <c r="E27" i="5"/>
  <c r="E35" i="5"/>
  <c r="E43" i="5"/>
  <c r="E51" i="5"/>
  <c r="E59" i="5"/>
  <c r="E4" i="5"/>
  <c r="E12" i="5"/>
  <c r="E20" i="5"/>
  <c r="E28" i="5"/>
  <c r="E36" i="5"/>
  <c r="E44" i="5"/>
  <c r="E52" i="5"/>
  <c r="E60" i="5"/>
  <c r="E5" i="5"/>
  <c r="E13" i="5"/>
  <c r="E21" i="5"/>
  <c r="E29" i="5"/>
  <c r="E37" i="5"/>
  <c r="E45" i="5"/>
  <c r="E53" i="5"/>
  <c r="E61" i="5"/>
  <c r="E6" i="5"/>
  <c r="E14" i="5"/>
  <c r="E22" i="5"/>
  <c r="E30" i="5"/>
  <c r="E38" i="5"/>
  <c r="E46" i="5"/>
  <c r="E54" i="5"/>
  <c r="E62" i="5"/>
  <c r="E7" i="5"/>
  <c r="E15" i="5"/>
  <c r="E23" i="5"/>
  <c r="E31" i="5"/>
  <c r="E39" i="5"/>
  <c r="E47" i="5"/>
  <c r="E55" i="5"/>
  <c r="E63" i="5"/>
  <c r="E1584" i="5"/>
  <c r="E1585" i="5"/>
  <c r="E10" i="6"/>
  <c r="E184" i="5"/>
  <c r="E185" i="5"/>
  <c r="E186" i="5"/>
  <c r="E179" i="5"/>
  <c r="E180" i="5"/>
  <c r="E181" i="5"/>
  <c r="E182" i="5"/>
  <c r="E183" i="5"/>
  <c r="L23" i="5"/>
  <c r="L22" i="5"/>
  <c r="L17" i="5"/>
  <c r="G40" i="2"/>
  <c r="F44" i="2"/>
  <c r="G44" i="2" s="1"/>
  <c r="F39" i="2"/>
  <c r="G39" i="2" s="1"/>
  <c r="G45" i="2"/>
  <c r="F48" i="2"/>
  <c r="G48" i="2" s="1"/>
  <c r="C51" i="2"/>
  <c r="B54" i="2" s="1"/>
  <c r="B56" i="2" s="1"/>
  <c r="L16" i="5"/>
  <c r="P20" i="5"/>
  <c r="S20" i="5"/>
  <c r="Q16" i="5"/>
  <c r="S19" i="5"/>
  <c r="S24" i="5"/>
  <c r="P19" i="5"/>
  <c r="P24" i="5"/>
  <c r="S18" i="5"/>
  <c r="S23" i="5"/>
  <c r="P18" i="5"/>
  <c r="S22" i="5"/>
  <c r="S17" i="5"/>
  <c r="P22" i="5"/>
  <c r="S16" i="5"/>
  <c r="R24" i="5"/>
  <c r="R23" i="5"/>
  <c r="R22" i="5"/>
  <c r="R20" i="5"/>
  <c r="R19" i="5"/>
  <c r="R18" i="5"/>
  <c r="R16" i="5"/>
  <c r="Q24" i="5"/>
  <c r="Q23" i="5"/>
  <c r="Q22" i="5"/>
  <c r="Q20" i="5"/>
  <c r="Q19" i="5"/>
  <c r="Q18" i="5"/>
  <c r="P23" i="5"/>
  <c r="P16" i="5"/>
  <c r="O24" i="5"/>
  <c r="O23" i="5"/>
  <c r="O22" i="5"/>
  <c r="O20" i="5"/>
  <c r="O19" i="5"/>
  <c r="O18" i="5"/>
  <c r="O16" i="5"/>
  <c r="N24" i="5"/>
  <c r="N23" i="5"/>
  <c r="N22" i="5"/>
  <c r="N20" i="5"/>
  <c r="N19" i="5"/>
  <c r="N18" i="5"/>
  <c r="N16" i="5"/>
  <c r="M24" i="5"/>
  <c r="M23" i="5"/>
  <c r="M22" i="5"/>
  <c r="M20" i="5"/>
  <c r="M19" i="5"/>
  <c r="M18" i="5"/>
  <c r="F46" i="2"/>
  <c r="G46" i="2" s="1"/>
  <c r="F43" i="2"/>
  <c r="G43" i="2" s="1"/>
  <c r="F41" i="2"/>
  <c r="G41" i="2" s="1"/>
  <c r="F42" i="2"/>
  <c r="G42" i="2" s="1"/>
  <c r="G47" i="2"/>
  <c r="J5" i="1" l="1"/>
  <c r="L6" i="1"/>
  <c r="J6" i="1" s="1"/>
  <c r="K9" i="1" s="1"/>
  <c r="E23" i="6"/>
  <c r="E376" i="5"/>
  <c r="E384" i="5"/>
  <c r="E392" i="5"/>
  <c r="E377" i="5"/>
  <c r="E385" i="5"/>
  <c r="E393" i="5"/>
  <c r="E378" i="5"/>
  <c r="E386" i="5"/>
  <c r="E394" i="5"/>
  <c r="E379" i="5"/>
  <c r="E387" i="5"/>
  <c r="E395" i="5"/>
  <c r="E372" i="5"/>
  <c r="E380" i="5"/>
  <c r="E388" i="5"/>
  <c r="E396" i="5"/>
  <c r="E373" i="5"/>
  <c r="E381" i="5"/>
  <c r="E389" i="5"/>
  <c r="E397" i="5"/>
  <c r="E374" i="5"/>
  <c r="E382" i="5"/>
  <c r="E390" i="5"/>
  <c r="E398" i="5"/>
  <c r="E375" i="5"/>
  <c r="E383" i="5"/>
  <c r="E391" i="5"/>
  <c r="E1907" i="5"/>
  <c r="E1915" i="5"/>
  <c r="E1923" i="5"/>
  <c r="E1931" i="5"/>
  <c r="E1939" i="5"/>
  <c r="E1947" i="5"/>
  <c r="E1955" i="5"/>
  <c r="E1963" i="5"/>
  <c r="E1971" i="5"/>
  <c r="E1908" i="5"/>
  <c r="E1916" i="5"/>
  <c r="E1924" i="5"/>
  <c r="E1932" i="5"/>
  <c r="E1940" i="5"/>
  <c r="E1948" i="5"/>
  <c r="E1956" i="5"/>
  <c r="E1964" i="5"/>
  <c r="E1910" i="5"/>
  <c r="E1918" i="5"/>
  <c r="E1926" i="5"/>
  <c r="E1934" i="5"/>
  <c r="E1942" i="5"/>
  <c r="E1950" i="5"/>
  <c r="E1958" i="5"/>
  <c r="E1966" i="5"/>
  <c r="E1912" i="5"/>
  <c r="E1920" i="5"/>
  <c r="E1928" i="5"/>
  <c r="E1936" i="5"/>
  <c r="E1944" i="5"/>
  <c r="E1952" i="5"/>
  <c r="E1960" i="5"/>
  <c r="E1968" i="5"/>
  <c r="E1913" i="5"/>
  <c r="E1921" i="5"/>
  <c r="E1929" i="5"/>
  <c r="E1937" i="5"/>
  <c r="E1945" i="5"/>
  <c r="E1953" i="5"/>
  <c r="E1961" i="5"/>
  <c r="E1969" i="5"/>
  <c r="E1922" i="5"/>
  <c r="E1943" i="5"/>
  <c r="E1965" i="5"/>
  <c r="E1925" i="5"/>
  <c r="E1946" i="5"/>
  <c r="E1967" i="5"/>
  <c r="E1927" i="5"/>
  <c r="E1949" i="5"/>
  <c r="E1970" i="5"/>
  <c r="E1909" i="5"/>
  <c r="E1930" i="5"/>
  <c r="E1951" i="5"/>
  <c r="E1911" i="5"/>
  <c r="E1933" i="5"/>
  <c r="E1954" i="5"/>
  <c r="E1914" i="5"/>
  <c r="E1935" i="5"/>
  <c r="E1957" i="5"/>
  <c r="E1917" i="5"/>
  <c r="E1938" i="5"/>
  <c r="E1962" i="5"/>
  <c r="E1919" i="5"/>
  <c r="E1941" i="5"/>
  <c r="E1959" i="5"/>
  <c r="M17" i="5"/>
  <c r="N17" i="5"/>
  <c r="O17" i="5"/>
  <c r="Q17" i="5"/>
  <c r="R17" i="5"/>
  <c r="P17" i="5"/>
  <c r="E53" i="6"/>
  <c r="E585" i="5"/>
  <c r="E586" i="5"/>
  <c r="E587" i="5"/>
  <c r="E588" i="5"/>
  <c r="E589" i="5"/>
  <c r="E590" i="5"/>
  <c r="E591" i="5"/>
  <c r="E2115" i="5"/>
  <c r="E2123" i="5"/>
  <c r="E2131" i="5"/>
  <c r="E2139" i="5"/>
  <c r="E2147" i="5"/>
  <c r="E2155" i="5"/>
  <c r="E2163" i="5"/>
  <c r="E2116" i="5"/>
  <c r="E2124" i="5"/>
  <c r="E2132" i="5"/>
  <c r="E2140" i="5"/>
  <c r="E2148" i="5"/>
  <c r="E2156" i="5"/>
  <c r="E2164" i="5"/>
  <c r="E2110" i="5"/>
  <c r="E2118" i="5"/>
  <c r="E2126" i="5"/>
  <c r="E2134" i="5"/>
  <c r="E2142" i="5"/>
  <c r="E2150" i="5"/>
  <c r="E2158" i="5"/>
  <c r="E2166" i="5"/>
  <c r="E2112" i="5"/>
  <c r="E2120" i="5"/>
  <c r="E2128" i="5"/>
  <c r="E2136" i="5"/>
  <c r="E2144" i="5"/>
  <c r="E2152" i="5"/>
  <c r="E2160" i="5"/>
  <c r="E2113" i="5"/>
  <c r="E2121" i="5"/>
  <c r="E2129" i="5"/>
  <c r="E2137" i="5"/>
  <c r="E2145" i="5"/>
  <c r="E2153" i="5"/>
  <c r="E2161" i="5"/>
  <c r="E2114" i="5"/>
  <c r="E2135" i="5"/>
  <c r="E2157" i="5"/>
  <c r="E2117" i="5"/>
  <c r="E2138" i="5"/>
  <c r="E2159" i="5"/>
  <c r="E2119" i="5"/>
  <c r="E2141" i="5"/>
  <c r="E2162" i="5"/>
  <c r="E2122" i="5"/>
  <c r="E2143" i="5"/>
  <c r="E2165" i="5"/>
  <c r="E2125" i="5"/>
  <c r="E2146" i="5"/>
  <c r="E2127" i="5"/>
  <c r="E2149" i="5"/>
  <c r="E2133" i="5"/>
  <c r="E2151" i="5"/>
  <c r="E2154" i="5"/>
  <c r="E2111" i="5"/>
  <c r="E2130" i="5"/>
  <c r="E11" i="6"/>
  <c r="E592" i="5"/>
  <c r="E600" i="5"/>
  <c r="E593" i="5"/>
  <c r="E601" i="5"/>
  <c r="E594" i="5"/>
  <c r="E602" i="5"/>
  <c r="E595" i="5"/>
  <c r="E603" i="5"/>
  <c r="E596" i="5"/>
  <c r="E604" i="5"/>
  <c r="E597" i="5"/>
  <c r="E605" i="5"/>
  <c r="E598" i="5"/>
  <c r="E606" i="5"/>
  <c r="E599" i="5"/>
  <c r="E607" i="5"/>
  <c r="E29" i="6"/>
  <c r="E456" i="5"/>
  <c r="E464" i="5"/>
  <c r="E472" i="5"/>
  <c r="E480" i="5"/>
  <c r="E488" i="5"/>
  <c r="E496" i="5"/>
  <c r="E504" i="5"/>
  <c r="E512" i="5"/>
  <c r="E457" i="5"/>
  <c r="E465" i="5"/>
  <c r="E473" i="5"/>
  <c r="E481" i="5"/>
  <c r="E489" i="5"/>
  <c r="E497" i="5"/>
  <c r="E505" i="5"/>
  <c r="E513" i="5"/>
  <c r="E458" i="5"/>
  <c r="E466" i="5"/>
  <c r="E474" i="5"/>
  <c r="E482" i="5"/>
  <c r="E490" i="5"/>
  <c r="E498" i="5"/>
  <c r="E506" i="5"/>
  <c r="E514" i="5"/>
  <c r="E459" i="5"/>
  <c r="E467" i="5"/>
  <c r="E475" i="5"/>
  <c r="E483" i="5"/>
  <c r="E491" i="5"/>
  <c r="E499" i="5"/>
  <c r="E507" i="5"/>
  <c r="E515" i="5"/>
  <c r="E460" i="5"/>
  <c r="E468" i="5"/>
  <c r="E476" i="5"/>
  <c r="E484" i="5"/>
  <c r="E492" i="5"/>
  <c r="E500" i="5"/>
  <c r="E508" i="5"/>
  <c r="E516" i="5"/>
  <c r="E461" i="5"/>
  <c r="E469" i="5"/>
  <c r="E477" i="5"/>
  <c r="E485" i="5"/>
  <c r="E493" i="5"/>
  <c r="E501" i="5"/>
  <c r="E509" i="5"/>
  <c r="E517" i="5"/>
  <c r="E462" i="5"/>
  <c r="E470" i="5"/>
  <c r="E478" i="5"/>
  <c r="E486" i="5"/>
  <c r="E494" i="5"/>
  <c r="E502" i="5"/>
  <c r="E510" i="5"/>
  <c r="E518" i="5"/>
  <c r="E455" i="5"/>
  <c r="E463" i="5"/>
  <c r="E471" i="5"/>
  <c r="E479" i="5"/>
  <c r="E487" i="5"/>
  <c r="E495" i="5"/>
  <c r="E503" i="5"/>
  <c r="E511" i="5"/>
  <c r="E519" i="5"/>
  <c r="E2019" i="5"/>
  <c r="E2027" i="5"/>
  <c r="E2035" i="5"/>
  <c r="E2043" i="5"/>
  <c r="E2051" i="5"/>
  <c r="E2020" i="5"/>
  <c r="E2028" i="5"/>
  <c r="E2036" i="5"/>
  <c r="E2044" i="5"/>
  <c r="E2052" i="5"/>
  <c r="E2022" i="5"/>
  <c r="E2030" i="5"/>
  <c r="E2038" i="5"/>
  <c r="E2046" i="5"/>
  <c r="E2054" i="5"/>
  <c r="E2016" i="5"/>
  <c r="E2024" i="5"/>
  <c r="E2032" i="5"/>
  <c r="E2040" i="5"/>
  <c r="E2048" i="5"/>
  <c r="E2017" i="5"/>
  <c r="E2025" i="5"/>
  <c r="E2033" i="5"/>
  <c r="E2041" i="5"/>
  <c r="E2049" i="5"/>
  <c r="E2029" i="5"/>
  <c r="E2050" i="5"/>
  <c r="E2031" i="5"/>
  <c r="E2053" i="5"/>
  <c r="E2034" i="5"/>
  <c r="E2015" i="5"/>
  <c r="E2037" i="5"/>
  <c r="E2018" i="5"/>
  <c r="E2039" i="5"/>
  <c r="E2021" i="5"/>
  <c r="E2042" i="5"/>
  <c r="E2047" i="5"/>
  <c r="E2023" i="5"/>
  <c r="E2026" i="5"/>
  <c r="E2045" i="5"/>
  <c r="E39" i="6"/>
  <c r="E192" i="5"/>
  <c r="E193" i="5"/>
  <c r="E194" i="5"/>
  <c r="E190" i="5"/>
  <c r="E191" i="5"/>
  <c r="E1718" i="5"/>
  <c r="E1726" i="5"/>
  <c r="E1734" i="5"/>
  <c r="E1742" i="5"/>
  <c r="E1750" i="5"/>
  <c r="E1758" i="5"/>
  <c r="E1766" i="5"/>
  <c r="E1719" i="5"/>
  <c r="E1727" i="5"/>
  <c r="E1735" i="5"/>
  <c r="E1743" i="5"/>
  <c r="E1751" i="5"/>
  <c r="E1759" i="5"/>
  <c r="E1767" i="5"/>
  <c r="E1712" i="5"/>
  <c r="E1720" i="5"/>
  <c r="E1728" i="5"/>
  <c r="E1736" i="5"/>
  <c r="E1744" i="5"/>
  <c r="E1752" i="5"/>
  <c r="E1760" i="5"/>
  <c r="E1768" i="5"/>
  <c r="E1713" i="5"/>
  <c r="E1721" i="5"/>
  <c r="E1729" i="5"/>
  <c r="E1737" i="5"/>
  <c r="E1745" i="5"/>
  <c r="E1753" i="5"/>
  <c r="E1761" i="5"/>
  <c r="E1769" i="5"/>
  <c r="E1716" i="5"/>
  <c r="E1724" i="5"/>
  <c r="E1732" i="5"/>
  <c r="E1740" i="5"/>
  <c r="E1748" i="5"/>
  <c r="E1756" i="5"/>
  <c r="E1764" i="5"/>
  <c r="E1772" i="5"/>
  <c r="E1715" i="5"/>
  <c r="E1738" i="5"/>
  <c r="E1717" i="5"/>
  <c r="E1739" i="5"/>
  <c r="E1762" i="5"/>
  <c r="E1722" i="5"/>
  <c r="E1741" i="5"/>
  <c r="E1763" i="5"/>
  <c r="E1725" i="5"/>
  <c r="E1747" i="5"/>
  <c r="E1770" i="5"/>
  <c r="E1731" i="5"/>
  <c r="E1754" i="5"/>
  <c r="E1773" i="5"/>
  <c r="E1714" i="5"/>
  <c r="E1733" i="5"/>
  <c r="E1755" i="5"/>
  <c r="E1765" i="5"/>
  <c r="E1771" i="5"/>
  <c r="E1723" i="5"/>
  <c r="E1730" i="5"/>
  <c r="E1746" i="5"/>
  <c r="E1749" i="5"/>
  <c r="E1757" i="5"/>
  <c r="E68" i="6"/>
  <c r="E128" i="5"/>
  <c r="E129" i="5"/>
  <c r="E122" i="5"/>
  <c r="E130" i="5"/>
  <c r="E123" i="5"/>
  <c r="E131" i="5"/>
  <c r="E124" i="5"/>
  <c r="E125" i="5"/>
  <c r="E126" i="5"/>
  <c r="E127" i="5"/>
  <c r="E1654" i="5"/>
  <c r="E1662" i="5"/>
  <c r="E1670" i="5"/>
  <c r="E1678" i="5"/>
  <c r="E1686" i="5"/>
  <c r="E1694" i="5"/>
  <c r="E1647" i="5"/>
  <c r="E1655" i="5"/>
  <c r="E1663" i="5"/>
  <c r="E1671" i="5"/>
  <c r="E1679" i="5"/>
  <c r="E1687" i="5"/>
  <c r="E1648" i="5"/>
  <c r="E1656" i="5"/>
  <c r="E1664" i="5"/>
  <c r="E1672" i="5"/>
  <c r="E1680" i="5"/>
  <c r="E1688" i="5"/>
  <c r="E1649" i="5"/>
  <c r="E1657" i="5"/>
  <c r="E1665" i="5"/>
  <c r="E1673" i="5"/>
  <c r="E1681" i="5"/>
  <c r="E1689" i="5"/>
  <c r="E1651" i="5"/>
  <c r="E1659" i="5"/>
  <c r="E1667" i="5"/>
  <c r="E1675" i="5"/>
  <c r="E1652" i="5"/>
  <c r="E1660" i="5"/>
  <c r="E1668" i="5"/>
  <c r="E1676" i="5"/>
  <c r="E1684" i="5"/>
  <c r="E1692" i="5"/>
  <c r="E1669" i="5"/>
  <c r="E1693" i="5"/>
  <c r="E1674" i="5"/>
  <c r="E1677" i="5"/>
  <c r="E1650" i="5"/>
  <c r="E1653" i="5"/>
  <c r="E1683" i="5"/>
  <c r="E1661" i="5"/>
  <c r="E1690" i="5"/>
  <c r="E1666" i="5"/>
  <c r="E1691" i="5"/>
  <c r="E1685" i="5"/>
  <c r="E1658" i="5"/>
  <c r="E1682" i="5"/>
  <c r="E59" i="6"/>
  <c r="E136" i="5"/>
  <c r="E144" i="5"/>
  <c r="E152" i="5"/>
  <c r="E160" i="5"/>
  <c r="E168" i="5"/>
  <c r="E176" i="5"/>
  <c r="E137" i="5"/>
  <c r="E145" i="5"/>
  <c r="E153" i="5"/>
  <c r="E161" i="5"/>
  <c r="E169" i="5"/>
  <c r="E177" i="5"/>
  <c r="E138" i="5"/>
  <c r="E146" i="5"/>
  <c r="E154" i="5"/>
  <c r="E162" i="5"/>
  <c r="E170" i="5"/>
  <c r="E178" i="5"/>
  <c r="E139" i="5"/>
  <c r="E147" i="5"/>
  <c r="E155" i="5"/>
  <c r="E163" i="5"/>
  <c r="E171" i="5"/>
  <c r="E132" i="5"/>
  <c r="E140" i="5"/>
  <c r="E148" i="5"/>
  <c r="E156" i="5"/>
  <c r="E164" i="5"/>
  <c r="E172" i="5"/>
  <c r="E133" i="5"/>
  <c r="E141" i="5"/>
  <c r="E149" i="5"/>
  <c r="E157" i="5"/>
  <c r="E165" i="5"/>
  <c r="E173" i="5"/>
  <c r="E134" i="5"/>
  <c r="E142" i="5"/>
  <c r="E150" i="5"/>
  <c r="E158" i="5"/>
  <c r="E166" i="5"/>
  <c r="E174" i="5"/>
  <c r="E135" i="5"/>
  <c r="E143" i="5"/>
  <c r="E151" i="5"/>
  <c r="E159" i="5"/>
  <c r="E167" i="5"/>
  <c r="E175" i="5"/>
  <c r="E1702" i="5"/>
  <c r="E1710" i="5"/>
  <c r="E1695" i="5"/>
  <c r="E1703" i="5"/>
  <c r="E1711" i="5"/>
  <c r="E1696" i="5"/>
  <c r="E1704" i="5"/>
  <c r="E1697" i="5"/>
  <c r="E1705" i="5"/>
  <c r="E1700" i="5"/>
  <c r="E1708" i="5"/>
  <c r="E1698" i="5"/>
  <c r="E1699" i="5"/>
  <c r="E1706" i="5"/>
  <c r="E1709" i="5"/>
  <c r="E1701" i="5"/>
  <c r="E1707" i="5"/>
  <c r="B3" i="10"/>
  <c r="C3" i="10" s="1"/>
  <c r="B2" i="10"/>
  <c r="C2" i="10" s="1"/>
  <c r="E18" i="6"/>
  <c r="E922" i="5"/>
  <c r="E930" i="5"/>
  <c r="E938" i="5"/>
  <c r="E946" i="5"/>
  <c r="E954" i="5"/>
  <c r="E962" i="5"/>
  <c r="E970" i="5"/>
  <c r="E923" i="5"/>
  <c r="E931" i="5"/>
  <c r="E939" i="5"/>
  <c r="E947" i="5"/>
  <c r="E955" i="5"/>
  <c r="E963" i="5"/>
  <c r="E971" i="5"/>
  <c r="E924" i="5"/>
  <c r="E932" i="5"/>
  <c r="E940" i="5"/>
  <c r="E948" i="5"/>
  <c r="E956" i="5"/>
  <c r="E964" i="5"/>
  <c r="E972" i="5"/>
  <c r="E925" i="5"/>
  <c r="E933" i="5"/>
  <c r="E941" i="5"/>
  <c r="E949" i="5"/>
  <c r="E957" i="5"/>
  <c r="E965" i="5"/>
  <c r="E973" i="5"/>
  <c r="E918" i="5"/>
  <c r="E926" i="5"/>
  <c r="E934" i="5"/>
  <c r="E942" i="5"/>
  <c r="E950" i="5"/>
  <c r="E958" i="5"/>
  <c r="E966" i="5"/>
  <c r="E974" i="5"/>
  <c r="E919" i="5"/>
  <c r="E927" i="5"/>
  <c r="E935" i="5"/>
  <c r="E943" i="5"/>
  <c r="E951" i="5"/>
  <c r="E959" i="5"/>
  <c r="E967" i="5"/>
  <c r="E920" i="5"/>
  <c r="E928" i="5"/>
  <c r="E936" i="5"/>
  <c r="E944" i="5"/>
  <c r="E952" i="5"/>
  <c r="E960" i="5"/>
  <c r="E968" i="5"/>
  <c r="E921" i="5"/>
  <c r="E929" i="5"/>
  <c r="E937" i="5"/>
  <c r="E945" i="5"/>
  <c r="E953" i="5"/>
  <c r="E961" i="5"/>
  <c r="E969" i="5"/>
  <c r="E2494" i="5"/>
  <c r="E2495" i="5"/>
  <c r="E2496" i="5"/>
  <c r="E2492" i="5"/>
  <c r="E2493" i="5"/>
  <c r="E49" i="6"/>
  <c r="E722" i="5"/>
  <c r="E730" i="5"/>
  <c r="E738" i="5"/>
  <c r="E746" i="5"/>
  <c r="E754" i="5"/>
  <c r="E762" i="5"/>
  <c r="E715" i="5"/>
  <c r="E723" i="5"/>
  <c r="E731" i="5"/>
  <c r="E739" i="5"/>
  <c r="E747" i="5"/>
  <c r="E755" i="5"/>
  <c r="E763" i="5"/>
  <c r="E716" i="5"/>
  <c r="E724" i="5"/>
  <c r="E732" i="5"/>
  <c r="E740" i="5"/>
  <c r="E748" i="5"/>
  <c r="E756" i="5"/>
  <c r="E764" i="5"/>
  <c r="E717" i="5"/>
  <c r="E725" i="5"/>
  <c r="E733" i="5"/>
  <c r="E741" i="5"/>
  <c r="E749" i="5"/>
  <c r="E757" i="5"/>
  <c r="E765" i="5"/>
  <c r="E718" i="5"/>
  <c r="E726" i="5"/>
  <c r="E734" i="5"/>
  <c r="E742" i="5"/>
  <c r="E750" i="5"/>
  <c r="E758" i="5"/>
  <c r="E766" i="5"/>
  <c r="E719" i="5"/>
  <c r="E727" i="5"/>
  <c r="E735" i="5"/>
  <c r="E743" i="5"/>
  <c r="E751" i="5"/>
  <c r="E759" i="5"/>
  <c r="E767" i="5"/>
  <c r="E720" i="5"/>
  <c r="E728" i="5"/>
  <c r="E736" i="5"/>
  <c r="E744" i="5"/>
  <c r="E752" i="5"/>
  <c r="E760" i="5"/>
  <c r="E729" i="5"/>
  <c r="E737" i="5"/>
  <c r="E745" i="5"/>
  <c r="E753" i="5"/>
  <c r="E761" i="5"/>
  <c r="E721" i="5"/>
  <c r="E2275" i="5"/>
  <c r="E2283" i="5"/>
  <c r="E2291" i="5"/>
  <c r="E2268" i="5"/>
  <c r="E2276" i="5"/>
  <c r="E2284" i="5"/>
  <c r="E2292" i="5"/>
  <c r="E2270" i="5"/>
  <c r="E2278" i="5"/>
  <c r="E2286" i="5"/>
  <c r="E2294" i="5"/>
  <c r="E2272" i="5"/>
  <c r="E2280" i="5"/>
  <c r="E2288" i="5"/>
  <c r="E2296" i="5"/>
  <c r="E2273" i="5"/>
  <c r="E2281" i="5"/>
  <c r="E2289" i="5"/>
  <c r="E2285" i="5"/>
  <c r="E2287" i="5"/>
  <c r="E2269" i="5"/>
  <c r="E2290" i="5"/>
  <c r="E2271" i="5"/>
  <c r="E2293" i="5"/>
  <c r="E2274" i="5"/>
  <c r="E2295" i="5"/>
  <c r="E2277" i="5"/>
  <c r="E2279" i="5"/>
  <c r="E2282" i="5"/>
  <c r="C50" i="2"/>
  <c r="L21" i="5"/>
  <c r="L25" i="5" s="1"/>
  <c r="M21" i="5"/>
  <c r="M25" i="5" s="1"/>
  <c r="N21" i="5"/>
  <c r="N25" i="5" s="1"/>
  <c r="O21" i="5"/>
  <c r="O25" i="5" s="1"/>
  <c r="P21" i="5"/>
  <c r="P25" i="5" s="1"/>
  <c r="Q21" i="5"/>
  <c r="R21" i="5"/>
  <c r="R25" i="5" s="1"/>
  <c r="S21" i="5"/>
  <c r="S25" i="5" s="1"/>
  <c r="Q25" i="5" l="1"/>
  <c r="E40" i="6"/>
  <c r="E200" i="5"/>
  <c r="E208" i="5"/>
  <c r="E216" i="5"/>
  <c r="E224" i="5"/>
  <c r="E232" i="5"/>
  <c r="E240" i="5"/>
  <c r="E248" i="5"/>
  <c r="E256" i="5"/>
  <c r="E264" i="5"/>
  <c r="E272" i="5"/>
  <c r="E280" i="5"/>
  <c r="E201" i="5"/>
  <c r="E209" i="5"/>
  <c r="E217" i="5"/>
  <c r="E225" i="5"/>
  <c r="E233" i="5"/>
  <c r="E241" i="5"/>
  <c r="E249" i="5"/>
  <c r="E257" i="5"/>
  <c r="E265" i="5"/>
  <c r="E273" i="5"/>
  <c r="E281" i="5"/>
  <c r="E202" i="5"/>
  <c r="E210" i="5"/>
  <c r="E218" i="5"/>
  <c r="E226" i="5"/>
  <c r="E234" i="5"/>
  <c r="E242" i="5"/>
  <c r="E250" i="5"/>
  <c r="E258" i="5"/>
  <c r="E266" i="5"/>
  <c r="E274" i="5"/>
  <c r="E282" i="5"/>
  <c r="E195" i="5"/>
  <c r="E203" i="5"/>
  <c r="E211" i="5"/>
  <c r="E219" i="5"/>
  <c r="E227" i="5"/>
  <c r="E235" i="5"/>
  <c r="E243" i="5"/>
  <c r="E251" i="5"/>
  <c r="E259" i="5"/>
  <c r="E267" i="5"/>
  <c r="E275" i="5"/>
  <c r="E283" i="5"/>
  <c r="E196" i="5"/>
  <c r="E204" i="5"/>
  <c r="E212" i="5"/>
  <c r="E220" i="5"/>
  <c r="E228" i="5"/>
  <c r="E236" i="5"/>
  <c r="E244" i="5"/>
  <c r="E252" i="5"/>
  <c r="E260" i="5"/>
  <c r="E268" i="5"/>
  <c r="E276" i="5"/>
  <c r="E284" i="5"/>
  <c r="E197" i="5"/>
  <c r="E205" i="5"/>
  <c r="E213" i="5"/>
  <c r="E221" i="5"/>
  <c r="E229" i="5"/>
  <c r="E237" i="5"/>
  <c r="E245" i="5"/>
  <c r="E253" i="5"/>
  <c r="E261" i="5"/>
  <c r="E269" i="5"/>
  <c r="E277" i="5"/>
  <c r="E285" i="5"/>
  <c r="E198" i="5"/>
  <c r="E206" i="5"/>
  <c r="E214" i="5"/>
  <c r="E222" i="5"/>
  <c r="E230" i="5"/>
  <c r="E238" i="5"/>
  <c r="E246" i="5"/>
  <c r="E254" i="5"/>
  <c r="E262" i="5"/>
  <c r="E270" i="5"/>
  <c r="E278" i="5"/>
  <c r="E199" i="5"/>
  <c r="E207" i="5"/>
  <c r="E215" i="5"/>
  <c r="E223" i="5"/>
  <c r="E231" i="5"/>
  <c r="E239" i="5"/>
  <c r="E247" i="5"/>
  <c r="E255" i="5"/>
  <c r="E263" i="5"/>
  <c r="E271" i="5"/>
  <c r="E279" i="5"/>
  <c r="E1774" i="5"/>
  <c r="E1782" i="5"/>
  <c r="E1790" i="5"/>
  <c r="E1798" i="5"/>
  <c r="E1806" i="5"/>
  <c r="E1814" i="5"/>
  <c r="E1822" i="5"/>
  <c r="E1830" i="5"/>
  <c r="E1775" i="5"/>
  <c r="E1783" i="5"/>
  <c r="E1791" i="5"/>
  <c r="E1799" i="5"/>
  <c r="E1807" i="5"/>
  <c r="E1815" i="5"/>
  <c r="E1823" i="5"/>
  <c r="E1831" i="5"/>
  <c r="E1839" i="5"/>
  <c r="E1776" i="5"/>
  <c r="E1784" i="5"/>
  <c r="E1792" i="5"/>
  <c r="E1800" i="5"/>
  <c r="E1808" i="5"/>
  <c r="E1816" i="5"/>
  <c r="E1824" i="5"/>
  <c r="E1832" i="5"/>
  <c r="E1840" i="5"/>
  <c r="E1777" i="5"/>
  <c r="E1785" i="5"/>
  <c r="E1793" i="5"/>
  <c r="E1801" i="5"/>
  <c r="E1809" i="5"/>
  <c r="E1817" i="5"/>
  <c r="E1825" i="5"/>
  <c r="E1833" i="5"/>
  <c r="E1841" i="5"/>
  <c r="E1780" i="5"/>
  <c r="E1788" i="5"/>
  <c r="E1796" i="5"/>
  <c r="E1804" i="5"/>
  <c r="E1812" i="5"/>
  <c r="E1820" i="5"/>
  <c r="E1828" i="5"/>
  <c r="E1836" i="5"/>
  <c r="E1781" i="5"/>
  <c r="E1803" i="5"/>
  <c r="E1826" i="5"/>
  <c r="E1786" i="5"/>
  <c r="E1805" i="5"/>
  <c r="E1827" i="5"/>
  <c r="E1789" i="5"/>
  <c r="E1811" i="5"/>
  <c r="E1834" i="5"/>
  <c r="E1795" i="5"/>
  <c r="E1818" i="5"/>
  <c r="E1837" i="5"/>
  <c r="E1778" i="5"/>
  <c r="E1797" i="5"/>
  <c r="E1819" i="5"/>
  <c r="E1838" i="5"/>
  <c r="E1821" i="5"/>
  <c r="E1829" i="5"/>
  <c r="E1779" i="5"/>
  <c r="E1835" i="5"/>
  <c r="E1787" i="5"/>
  <c r="E1794" i="5"/>
  <c r="E1802" i="5"/>
  <c r="E1810" i="5"/>
  <c r="E1813" i="5"/>
  <c r="E60" i="6"/>
  <c r="E296" i="5"/>
  <c r="E304" i="5"/>
  <c r="E312" i="5"/>
  <c r="E320" i="5"/>
  <c r="E297" i="5"/>
  <c r="E305" i="5"/>
  <c r="E313" i="5"/>
  <c r="E321" i="5"/>
  <c r="E298" i="5"/>
  <c r="E306" i="5"/>
  <c r="E314" i="5"/>
  <c r="E322" i="5"/>
  <c r="E291" i="5"/>
  <c r="E299" i="5"/>
  <c r="E307" i="5"/>
  <c r="E315" i="5"/>
  <c r="E323" i="5"/>
  <c r="E292" i="5"/>
  <c r="E300" i="5"/>
  <c r="E308" i="5"/>
  <c r="E316" i="5"/>
  <c r="E324" i="5"/>
  <c r="E293" i="5"/>
  <c r="E301" i="5"/>
  <c r="E309" i="5"/>
  <c r="E317" i="5"/>
  <c r="E294" i="5"/>
  <c r="E302" i="5"/>
  <c r="E310" i="5"/>
  <c r="E318" i="5"/>
  <c r="E295" i="5"/>
  <c r="E303" i="5"/>
  <c r="E311" i="5"/>
  <c r="E319" i="5"/>
  <c r="E1847" i="5"/>
  <c r="E1848" i="5"/>
  <c r="E1849" i="5"/>
  <c r="E1844" i="5"/>
  <c r="E1843" i="5"/>
  <c r="E1845" i="5"/>
  <c r="E1850" i="5"/>
  <c r="E1842" i="5"/>
  <c r="E1846" i="5"/>
  <c r="E1851" i="5"/>
  <c r="E30" i="6"/>
  <c r="E665" i="5"/>
  <c r="E673" i="5"/>
  <c r="E666" i="5"/>
  <c r="E674" i="5"/>
  <c r="E682" i="5"/>
  <c r="E668" i="5"/>
  <c r="E676" i="5"/>
  <c r="E671" i="5"/>
  <c r="E669" i="5"/>
  <c r="E681" i="5"/>
  <c r="E690" i="5"/>
  <c r="E698" i="5"/>
  <c r="E706" i="5"/>
  <c r="E714" i="5"/>
  <c r="E670" i="5"/>
  <c r="E683" i="5"/>
  <c r="E691" i="5"/>
  <c r="E699" i="5"/>
  <c r="E707" i="5"/>
  <c r="E672" i="5"/>
  <c r="E684" i="5"/>
  <c r="E692" i="5"/>
  <c r="E700" i="5"/>
  <c r="E708" i="5"/>
  <c r="E675" i="5"/>
  <c r="E685" i="5"/>
  <c r="E693" i="5"/>
  <c r="E701" i="5"/>
  <c r="E709" i="5"/>
  <c r="E677" i="5"/>
  <c r="E686" i="5"/>
  <c r="E694" i="5"/>
  <c r="E702" i="5"/>
  <c r="E710" i="5"/>
  <c r="E678" i="5"/>
  <c r="E687" i="5"/>
  <c r="E695" i="5"/>
  <c r="E703" i="5"/>
  <c r="E711" i="5"/>
  <c r="E664" i="5"/>
  <c r="E679" i="5"/>
  <c r="E688" i="5"/>
  <c r="E696" i="5"/>
  <c r="E704" i="5"/>
  <c r="E712" i="5"/>
  <c r="E667" i="5"/>
  <c r="E680" i="5"/>
  <c r="E689" i="5"/>
  <c r="E697" i="5"/>
  <c r="E705" i="5"/>
  <c r="E713" i="5"/>
  <c r="E2235" i="5"/>
  <c r="E2243" i="5"/>
  <c r="E2251" i="5"/>
  <c r="E2259" i="5"/>
  <c r="E2267" i="5"/>
  <c r="E2236" i="5"/>
  <c r="E2244" i="5"/>
  <c r="E2252" i="5"/>
  <c r="E2260" i="5"/>
  <c r="E2238" i="5"/>
  <c r="E2246" i="5"/>
  <c r="E2254" i="5"/>
  <c r="E2262" i="5"/>
  <c r="E2232" i="5"/>
  <c r="E2240" i="5"/>
  <c r="E2248" i="5"/>
  <c r="E2256" i="5"/>
  <c r="E2264" i="5"/>
  <c r="E2233" i="5"/>
  <c r="E2241" i="5"/>
  <c r="E2249" i="5"/>
  <c r="E2257" i="5"/>
  <c r="E2265" i="5"/>
  <c r="E2242" i="5"/>
  <c r="E2263" i="5"/>
  <c r="E2245" i="5"/>
  <c r="E2266" i="5"/>
  <c r="E2247" i="5"/>
  <c r="E2250" i="5"/>
  <c r="E2253" i="5"/>
  <c r="E2234" i="5"/>
  <c r="E2255" i="5"/>
  <c r="E2237" i="5"/>
  <c r="E2239" i="5"/>
  <c r="E2258" i="5"/>
  <c r="E2261" i="5"/>
  <c r="E12" i="6"/>
  <c r="E633" i="5"/>
  <c r="E641" i="5"/>
  <c r="E634" i="5"/>
  <c r="E642" i="5"/>
  <c r="E635" i="5"/>
  <c r="E636" i="5"/>
  <c r="E644" i="5"/>
  <c r="E637" i="5"/>
  <c r="E645" i="5"/>
  <c r="E639" i="5"/>
  <c r="E632" i="5"/>
  <c r="E638" i="5"/>
  <c r="E640" i="5"/>
  <c r="E643" i="5"/>
  <c r="E69" i="6"/>
  <c r="E288" i="5"/>
  <c r="E289" i="5"/>
  <c r="E290" i="5"/>
  <c r="E286" i="5"/>
  <c r="E287" i="5"/>
  <c r="E54" i="6"/>
  <c r="E1098" i="5"/>
  <c r="E1091" i="5"/>
  <c r="E1099" i="5"/>
  <c r="E1092" i="5"/>
  <c r="E1100" i="5"/>
  <c r="E1093" i="5"/>
  <c r="E1101" i="5"/>
  <c r="E1094" i="5"/>
  <c r="E1102" i="5"/>
  <c r="E1095" i="5"/>
  <c r="E1103" i="5"/>
  <c r="E1096" i="5"/>
  <c r="E1104" i="5"/>
  <c r="E1097" i="5"/>
  <c r="E2622" i="5"/>
  <c r="E2630" i="5"/>
  <c r="E2638" i="5"/>
  <c r="E2646" i="5"/>
  <c r="E2654" i="5"/>
  <c r="E2662" i="5"/>
  <c r="E2670" i="5"/>
  <c r="E2678" i="5"/>
  <c r="E2623" i="5"/>
  <c r="E2631" i="5"/>
  <c r="E2639" i="5"/>
  <c r="E2647" i="5"/>
  <c r="E2655" i="5"/>
  <c r="E2663" i="5"/>
  <c r="E2671" i="5"/>
  <c r="E2679" i="5"/>
  <c r="E2624" i="5"/>
  <c r="E2632" i="5"/>
  <c r="E2640" i="5"/>
  <c r="E2648" i="5"/>
  <c r="E2656" i="5"/>
  <c r="E2664" i="5"/>
  <c r="E2672" i="5"/>
  <c r="E2680" i="5"/>
  <c r="E2625" i="5"/>
  <c r="E2633" i="5"/>
  <c r="E2641" i="5"/>
  <c r="E2649" i="5"/>
  <c r="E2657" i="5"/>
  <c r="E2665" i="5"/>
  <c r="E2673" i="5"/>
  <c r="E2681" i="5"/>
  <c r="E2626" i="5"/>
  <c r="E2634" i="5"/>
  <c r="E2642" i="5"/>
  <c r="E2650" i="5"/>
  <c r="E2658" i="5"/>
  <c r="E2666" i="5"/>
  <c r="E2674" i="5"/>
  <c r="E2682" i="5"/>
  <c r="E2627" i="5"/>
  <c r="E2635" i="5"/>
  <c r="E2643" i="5"/>
  <c r="E2651" i="5"/>
  <c r="E2659" i="5"/>
  <c r="E2667" i="5"/>
  <c r="E2675" i="5"/>
  <c r="E2683" i="5"/>
  <c r="E2629" i="5"/>
  <c r="E2661" i="5"/>
  <c r="E2636" i="5"/>
  <c r="E2668" i="5"/>
  <c r="E2637" i="5"/>
  <c r="E2669" i="5"/>
  <c r="E2644" i="5"/>
  <c r="E2676" i="5"/>
  <c r="E2645" i="5"/>
  <c r="E2677" i="5"/>
  <c r="E2652" i="5"/>
  <c r="E2684" i="5"/>
  <c r="E2653" i="5"/>
  <c r="E2628" i="5"/>
  <c r="E2660" i="5"/>
  <c r="B3" i="12"/>
  <c r="C3" i="12" s="1"/>
  <c r="B2" i="12"/>
  <c r="C2" i="12" s="1"/>
  <c r="E19" i="6"/>
  <c r="E1146" i="5"/>
  <c r="E1154" i="5"/>
  <c r="E1162" i="5"/>
  <c r="E1139" i="5"/>
  <c r="E1147" i="5"/>
  <c r="E1155" i="5"/>
  <c r="E1163" i="5"/>
  <c r="E1140" i="5"/>
  <c r="E1148" i="5"/>
  <c r="E1156" i="5"/>
  <c r="E1164" i="5"/>
  <c r="E1141" i="5"/>
  <c r="E1149" i="5"/>
  <c r="E1157" i="5"/>
  <c r="E1165" i="5"/>
  <c r="E1142" i="5"/>
  <c r="E1150" i="5"/>
  <c r="E1158" i="5"/>
  <c r="E1166" i="5"/>
  <c r="E1143" i="5"/>
  <c r="E1151" i="5"/>
  <c r="E1159" i="5"/>
  <c r="E1167" i="5"/>
  <c r="E1144" i="5"/>
  <c r="E1152" i="5"/>
  <c r="E1160" i="5"/>
  <c r="E1168" i="5"/>
  <c r="E1145" i="5"/>
  <c r="E1153" i="5"/>
  <c r="E1161" i="5"/>
  <c r="E1169" i="5"/>
  <c r="E2694" i="5"/>
  <c r="E2702" i="5"/>
  <c r="E2710" i="5"/>
  <c r="E2718" i="5"/>
  <c r="E2687" i="5"/>
  <c r="E2695" i="5"/>
  <c r="E2703" i="5"/>
  <c r="E2711" i="5"/>
  <c r="E2719" i="5"/>
  <c r="E2688" i="5"/>
  <c r="E2696" i="5"/>
  <c r="E2704" i="5"/>
  <c r="E2712" i="5"/>
  <c r="E2720" i="5"/>
  <c r="E2689" i="5"/>
  <c r="E2697" i="5"/>
  <c r="E2705" i="5"/>
  <c r="E2713" i="5"/>
  <c r="E2721" i="5"/>
  <c r="E2690" i="5"/>
  <c r="E2698" i="5"/>
  <c r="E2706" i="5"/>
  <c r="E2714" i="5"/>
  <c r="E2722" i="5"/>
  <c r="E2691" i="5"/>
  <c r="E2699" i="5"/>
  <c r="E2707" i="5"/>
  <c r="E2715" i="5"/>
  <c r="E2693" i="5"/>
  <c r="E2700" i="5"/>
  <c r="E2701" i="5"/>
  <c r="E2708" i="5"/>
  <c r="E2709" i="5"/>
  <c r="E2716" i="5"/>
  <c r="E2717" i="5"/>
  <c r="E2692" i="5"/>
  <c r="E1235" i="5"/>
  <c r="E1243" i="5"/>
  <c r="E1251" i="5"/>
  <c r="E1259" i="5"/>
  <c r="E1267" i="5"/>
  <c r="E1275" i="5"/>
  <c r="E1283" i="5"/>
  <c r="E1236" i="5"/>
  <c r="E1244" i="5"/>
  <c r="E1252" i="5"/>
  <c r="E1260" i="5"/>
  <c r="E1268" i="5"/>
  <c r="E1276" i="5"/>
  <c r="E1284" i="5"/>
  <c r="E1237" i="5"/>
  <c r="E1245" i="5"/>
  <c r="E1253" i="5"/>
  <c r="E1261" i="5"/>
  <c r="E1269" i="5"/>
  <c r="E1277" i="5"/>
  <c r="E1285" i="5"/>
  <c r="E1238" i="5"/>
  <c r="E1246" i="5"/>
  <c r="E1254" i="5"/>
  <c r="E1262" i="5"/>
  <c r="E1270" i="5"/>
  <c r="E1278" i="5"/>
  <c r="E1286" i="5"/>
  <c r="E1239" i="5"/>
  <c r="E1247" i="5"/>
  <c r="E1255" i="5"/>
  <c r="E1263" i="5"/>
  <c r="E1271" i="5"/>
  <c r="E1279" i="5"/>
  <c r="E1287" i="5"/>
  <c r="E1249" i="5"/>
  <c r="E1272" i="5"/>
  <c r="E1250" i="5"/>
  <c r="E1273" i="5"/>
  <c r="E1256" i="5"/>
  <c r="E1274" i="5"/>
  <c r="E1257" i="5"/>
  <c r="E1280" i="5"/>
  <c r="E1240" i="5"/>
  <c r="E1258" i="5"/>
  <c r="E1281" i="5"/>
  <c r="E1241" i="5"/>
  <c r="E1264" i="5"/>
  <c r="E1282" i="5"/>
  <c r="E1242" i="5"/>
  <c r="E1265" i="5"/>
  <c r="E1248" i="5"/>
  <c r="E1266" i="5"/>
  <c r="E2782" i="5"/>
  <c r="E2790" i="5"/>
  <c r="E2798" i="5"/>
  <c r="E2806" i="5"/>
  <c r="E2775" i="5"/>
  <c r="E2783" i="5"/>
  <c r="E2791" i="5"/>
  <c r="E2799" i="5"/>
  <c r="E2807" i="5"/>
  <c r="E2815" i="5"/>
  <c r="E2776" i="5"/>
  <c r="E2784" i="5"/>
  <c r="E2792" i="5"/>
  <c r="E2800" i="5"/>
  <c r="E2808" i="5"/>
  <c r="E2777" i="5"/>
  <c r="E2785" i="5"/>
  <c r="E2793" i="5"/>
  <c r="E2801" i="5"/>
  <c r="E2809" i="5"/>
  <c r="E2778" i="5"/>
  <c r="E2786" i="5"/>
  <c r="E2794" i="5"/>
  <c r="E2802" i="5"/>
  <c r="E2810" i="5"/>
  <c r="E2779" i="5"/>
  <c r="E2787" i="5"/>
  <c r="E2795" i="5"/>
  <c r="E2803" i="5"/>
  <c r="E2811" i="5"/>
  <c r="E2789" i="5"/>
  <c r="E2816" i="5"/>
  <c r="E2796" i="5"/>
  <c r="E2797" i="5"/>
  <c r="E2804" i="5"/>
  <c r="E2805" i="5"/>
  <c r="E2780" i="5"/>
  <c r="E2812" i="5"/>
  <c r="E2781" i="5"/>
  <c r="E2813" i="5"/>
  <c r="E2788" i="5"/>
  <c r="E2814" i="5"/>
  <c r="E24" i="6"/>
  <c r="E649" i="5"/>
  <c r="E657" i="5"/>
  <c r="E650" i="5"/>
  <c r="E658" i="5"/>
  <c r="E652" i="5"/>
  <c r="E660" i="5"/>
  <c r="E647" i="5"/>
  <c r="E655" i="5"/>
  <c r="E663" i="5"/>
  <c r="E653" i="5"/>
  <c r="E654" i="5"/>
  <c r="E656" i="5"/>
  <c r="E659" i="5"/>
  <c r="E661" i="5"/>
  <c r="E646" i="5"/>
  <c r="E662" i="5"/>
  <c r="E648" i="5"/>
  <c r="E651" i="5"/>
  <c r="E2171" i="5"/>
  <c r="E2179" i="5"/>
  <c r="E2187" i="5"/>
  <c r="E2195" i="5"/>
  <c r="E2203" i="5"/>
  <c r="E2211" i="5"/>
  <c r="E2219" i="5"/>
  <c r="E2227" i="5"/>
  <c r="E2172" i="5"/>
  <c r="E2180" i="5"/>
  <c r="E2188" i="5"/>
  <c r="E2196" i="5"/>
  <c r="E2204" i="5"/>
  <c r="E2212" i="5"/>
  <c r="E2220" i="5"/>
  <c r="E2228" i="5"/>
  <c r="E2174" i="5"/>
  <c r="E2182" i="5"/>
  <c r="E2190" i="5"/>
  <c r="E2198" i="5"/>
  <c r="E2206" i="5"/>
  <c r="E2214" i="5"/>
  <c r="E2222" i="5"/>
  <c r="E2230" i="5"/>
  <c r="E2168" i="5"/>
  <c r="E2176" i="5"/>
  <c r="E2184" i="5"/>
  <c r="E2192" i="5"/>
  <c r="E2200" i="5"/>
  <c r="E2208" i="5"/>
  <c r="E2216" i="5"/>
  <c r="E2224" i="5"/>
  <c r="E2169" i="5"/>
  <c r="E2177" i="5"/>
  <c r="E2185" i="5"/>
  <c r="E2193" i="5"/>
  <c r="E2201" i="5"/>
  <c r="E2209" i="5"/>
  <c r="E2217" i="5"/>
  <c r="E2225" i="5"/>
  <c r="E2178" i="5"/>
  <c r="E2199" i="5"/>
  <c r="E2221" i="5"/>
  <c r="E2181" i="5"/>
  <c r="E2202" i="5"/>
  <c r="E2223" i="5"/>
  <c r="E2183" i="5"/>
  <c r="E2205" i="5"/>
  <c r="E2226" i="5"/>
  <c r="E2186" i="5"/>
  <c r="E2207" i="5"/>
  <c r="E2229" i="5"/>
  <c r="E2167" i="5"/>
  <c r="E2189" i="5"/>
  <c r="E2210" i="5"/>
  <c r="E2231" i="5"/>
  <c r="E2170" i="5"/>
  <c r="E2191" i="5"/>
  <c r="E2213" i="5"/>
  <c r="E2218" i="5"/>
  <c r="E2173" i="5"/>
  <c r="E2175" i="5"/>
  <c r="E2194" i="5"/>
  <c r="E2197" i="5"/>
  <c r="E2215" i="5"/>
  <c r="L33" i="5"/>
  <c r="L31" i="5"/>
  <c r="I5" i="1" s="1"/>
  <c r="L30" i="5"/>
  <c r="L28" i="5"/>
  <c r="L35" i="5"/>
  <c r="L34" i="5"/>
  <c r="I6" i="1" s="1"/>
  <c r="L29" i="5"/>
  <c r="L32" i="5"/>
  <c r="E25" i="6" l="1"/>
  <c r="E1042" i="5"/>
  <c r="E1050" i="5"/>
  <c r="E1058" i="5"/>
  <c r="E1066" i="5"/>
  <c r="E1074" i="5"/>
  <c r="E1082" i="5"/>
  <c r="E1090" i="5"/>
  <c r="E1043" i="5"/>
  <c r="E1051" i="5"/>
  <c r="E1059" i="5"/>
  <c r="E1067" i="5"/>
  <c r="E1075" i="5"/>
  <c r="E1083" i="5"/>
  <c r="E1044" i="5"/>
  <c r="E1052" i="5"/>
  <c r="E1060" i="5"/>
  <c r="E1068" i="5"/>
  <c r="E1076" i="5"/>
  <c r="E1084" i="5"/>
  <c r="E1045" i="5"/>
  <c r="E1053" i="5"/>
  <c r="E1061" i="5"/>
  <c r="E1069" i="5"/>
  <c r="E1077" i="5"/>
  <c r="E1085" i="5"/>
  <c r="E1046" i="5"/>
  <c r="E1054" i="5"/>
  <c r="E1062" i="5"/>
  <c r="E1070" i="5"/>
  <c r="E1078" i="5"/>
  <c r="E1086" i="5"/>
  <c r="E1047" i="5"/>
  <c r="E1055" i="5"/>
  <c r="E1063" i="5"/>
  <c r="E1071" i="5"/>
  <c r="E1079" i="5"/>
  <c r="E1087" i="5"/>
  <c r="E1040" i="5"/>
  <c r="E1048" i="5"/>
  <c r="E1056" i="5"/>
  <c r="E1064" i="5"/>
  <c r="E1072" i="5"/>
  <c r="E1080" i="5"/>
  <c r="E1088" i="5"/>
  <c r="E1049" i="5"/>
  <c r="E1057" i="5"/>
  <c r="E1065" i="5"/>
  <c r="E1073" i="5"/>
  <c r="E1081" i="5"/>
  <c r="E1089" i="5"/>
  <c r="E2590" i="5"/>
  <c r="E2598" i="5"/>
  <c r="E2606" i="5"/>
  <c r="E2614" i="5"/>
  <c r="E2591" i="5"/>
  <c r="E2599" i="5"/>
  <c r="E2607" i="5"/>
  <c r="E2615" i="5"/>
  <c r="E2592" i="5"/>
  <c r="E2600" i="5"/>
  <c r="E2608" i="5"/>
  <c r="E2616" i="5"/>
  <c r="E2585" i="5"/>
  <c r="E2593" i="5"/>
  <c r="E2601" i="5"/>
  <c r="E2609" i="5"/>
  <c r="E2617" i="5"/>
  <c r="E2586" i="5"/>
  <c r="E2594" i="5"/>
  <c r="E2602" i="5"/>
  <c r="E2610" i="5"/>
  <c r="E2618" i="5"/>
  <c r="E2587" i="5"/>
  <c r="E2595" i="5"/>
  <c r="E2603" i="5"/>
  <c r="E2611" i="5"/>
  <c r="E2619" i="5"/>
  <c r="E2597" i="5"/>
  <c r="E2604" i="5"/>
  <c r="E2605" i="5"/>
  <c r="E2612" i="5"/>
  <c r="E2613" i="5"/>
  <c r="E2588" i="5"/>
  <c r="E2620" i="5"/>
  <c r="E2589" i="5"/>
  <c r="E2621" i="5"/>
  <c r="E1041" i="5"/>
  <c r="E2596" i="5"/>
  <c r="E13" i="6"/>
  <c r="E2438" i="5"/>
  <c r="E2439" i="5"/>
  <c r="E2440" i="5"/>
  <c r="E2441" i="5"/>
  <c r="E2442" i="5"/>
  <c r="E2443" i="5"/>
  <c r="E2437" i="5"/>
  <c r="E2444" i="5"/>
  <c r="E2445" i="5"/>
  <c r="E2436" i="5"/>
  <c r="E31" i="6"/>
  <c r="E770" i="5"/>
  <c r="E778" i="5"/>
  <c r="E786" i="5"/>
  <c r="E794" i="5"/>
  <c r="E802" i="5"/>
  <c r="E810" i="5"/>
  <c r="E771" i="5"/>
  <c r="E779" i="5"/>
  <c r="E787" i="5"/>
  <c r="E795" i="5"/>
  <c r="E803" i="5"/>
  <c r="E811" i="5"/>
  <c r="E772" i="5"/>
  <c r="E780" i="5"/>
  <c r="E788" i="5"/>
  <c r="E796" i="5"/>
  <c r="E804" i="5"/>
  <c r="E812" i="5"/>
  <c r="E773" i="5"/>
  <c r="E781" i="5"/>
  <c r="E789" i="5"/>
  <c r="E797" i="5"/>
  <c r="E805" i="5"/>
  <c r="E813" i="5"/>
  <c r="E774" i="5"/>
  <c r="E782" i="5"/>
  <c r="E790" i="5"/>
  <c r="E798" i="5"/>
  <c r="E806" i="5"/>
  <c r="E814" i="5"/>
  <c r="E775" i="5"/>
  <c r="E783" i="5"/>
  <c r="E791" i="5"/>
  <c r="E799" i="5"/>
  <c r="E807" i="5"/>
  <c r="E815" i="5"/>
  <c r="E768" i="5"/>
  <c r="E776" i="5"/>
  <c r="E784" i="5"/>
  <c r="E792" i="5"/>
  <c r="E800" i="5"/>
  <c r="E808" i="5"/>
  <c r="E816" i="5"/>
  <c r="E793" i="5"/>
  <c r="E801" i="5"/>
  <c r="E809" i="5"/>
  <c r="E817" i="5"/>
  <c r="E769" i="5"/>
  <c r="E777" i="5"/>
  <c r="E785" i="5"/>
  <c r="E2299" i="5"/>
  <c r="E2307" i="5"/>
  <c r="E2315" i="5"/>
  <c r="E2323" i="5"/>
  <c r="E2331" i="5"/>
  <c r="E2339" i="5"/>
  <c r="E2347" i="5"/>
  <c r="E2355" i="5"/>
  <c r="E2300" i="5"/>
  <c r="E2308" i="5"/>
  <c r="E2316" i="5"/>
  <c r="E2324" i="5"/>
  <c r="E2332" i="5"/>
  <c r="E2340" i="5"/>
  <c r="E2348" i="5"/>
  <c r="E2356" i="5"/>
  <c r="E2302" i="5"/>
  <c r="E2310" i="5"/>
  <c r="E2318" i="5"/>
  <c r="E2326" i="5"/>
  <c r="E2334" i="5"/>
  <c r="E2342" i="5"/>
  <c r="E2350" i="5"/>
  <c r="E2358" i="5"/>
  <c r="E2304" i="5"/>
  <c r="E2312" i="5"/>
  <c r="E2320" i="5"/>
  <c r="E2328" i="5"/>
  <c r="E2336" i="5"/>
  <c r="E2344" i="5"/>
  <c r="E2352" i="5"/>
  <c r="E2360" i="5"/>
  <c r="E2297" i="5"/>
  <c r="E2305" i="5"/>
  <c r="E2313" i="5"/>
  <c r="E2321" i="5"/>
  <c r="E2329" i="5"/>
  <c r="E2337" i="5"/>
  <c r="E2345" i="5"/>
  <c r="E2353" i="5"/>
  <c r="E2361" i="5"/>
  <c r="E2306" i="5"/>
  <c r="E2327" i="5"/>
  <c r="E2349" i="5"/>
  <c r="E2309" i="5"/>
  <c r="E2330" i="5"/>
  <c r="E2351" i="5"/>
  <c r="E2311" i="5"/>
  <c r="E2333" i="5"/>
  <c r="E2354" i="5"/>
  <c r="E2314" i="5"/>
  <c r="E2335" i="5"/>
  <c r="E2357" i="5"/>
  <c r="E2317" i="5"/>
  <c r="E2338" i="5"/>
  <c r="E2359" i="5"/>
  <c r="E2298" i="5"/>
  <c r="E2319" i="5"/>
  <c r="E2341" i="5"/>
  <c r="E2303" i="5"/>
  <c r="E2322" i="5"/>
  <c r="E2325" i="5"/>
  <c r="E2343" i="5"/>
  <c r="E2346" i="5"/>
  <c r="E2301" i="5"/>
  <c r="E70" i="6"/>
  <c r="E1106" i="5"/>
  <c r="E1114" i="5"/>
  <c r="E1122" i="5"/>
  <c r="E1130" i="5"/>
  <c r="E1138" i="5"/>
  <c r="E1107" i="5"/>
  <c r="E1115" i="5"/>
  <c r="E1123" i="5"/>
  <c r="E1131" i="5"/>
  <c r="E1108" i="5"/>
  <c r="E1116" i="5"/>
  <c r="E1124" i="5"/>
  <c r="E1132" i="5"/>
  <c r="E1109" i="5"/>
  <c r="E1117" i="5"/>
  <c r="E1125" i="5"/>
  <c r="E1133" i="5"/>
  <c r="E1110" i="5"/>
  <c r="E1118" i="5"/>
  <c r="E1126" i="5"/>
  <c r="E1134" i="5"/>
  <c r="E1111" i="5"/>
  <c r="E1119" i="5"/>
  <c r="E1127" i="5"/>
  <c r="E1135" i="5"/>
  <c r="E1112" i="5"/>
  <c r="E1120" i="5"/>
  <c r="E1128" i="5"/>
  <c r="E1136" i="5"/>
  <c r="E1113" i="5"/>
  <c r="E1121" i="5"/>
  <c r="E1129" i="5"/>
  <c r="E1137" i="5"/>
  <c r="E1105" i="5"/>
  <c r="E2686" i="5"/>
  <c r="E2685" i="5"/>
  <c r="E55" i="6"/>
  <c r="E1291" i="5"/>
  <c r="E1299" i="5"/>
  <c r="E1307" i="5"/>
  <c r="E1315" i="5"/>
  <c r="E1323" i="5"/>
  <c r="E1331" i="5"/>
  <c r="E1292" i="5"/>
  <c r="E1300" i="5"/>
  <c r="E1308" i="5"/>
  <c r="E1316" i="5"/>
  <c r="E1324" i="5"/>
  <c r="E1293" i="5"/>
  <c r="E1301" i="5"/>
  <c r="E1309" i="5"/>
  <c r="E1317" i="5"/>
  <c r="E1325" i="5"/>
  <c r="E1294" i="5"/>
  <c r="E1302" i="5"/>
  <c r="E1310" i="5"/>
  <c r="E1318" i="5"/>
  <c r="E1326" i="5"/>
  <c r="E1334" i="5"/>
  <c r="E1295" i="5"/>
  <c r="E1303" i="5"/>
  <c r="E1311" i="5"/>
  <c r="E1319" i="5"/>
  <c r="E1327" i="5"/>
  <c r="E1335" i="5"/>
  <c r="E1290" i="5"/>
  <c r="E1313" i="5"/>
  <c r="E1332" i="5"/>
  <c r="E1342" i="5"/>
  <c r="E1350" i="5"/>
  <c r="E1358" i="5"/>
  <c r="E1366" i="5"/>
  <c r="E1374" i="5"/>
  <c r="E1382" i="5"/>
  <c r="E1390" i="5"/>
  <c r="E1398" i="5"/>
  <c r="E1406" i="5"/>
  <c r="E1296" i="5"/>
  <c r="E1314" i="5"/>
  <c r="E1333" i="5"/>
  <c r="E1343" i="5"/>
  <c r="E1351" i="5"/>
  <c r="E1359" i="5"/>
  <c r="E1367" i="5"/>
  <c r="E1375" i="5"/>
  <c r="E1383" i="5"/>
  <c r="E1391" i="5"/>
  <c r="E1399" i="5"/>
  <c r="E1407" i="5"/>
  <c r="E1297" i="5"/>
  <c r="E1320" i="5"/>
  <c r="E1336" i="5"/>
  <c r="E1344" i="5"/>
  <c r="E1352" i="5"/>
  <c r="E1360" i="5"/>
  <c r="E1368" i="5"/>
  <c r="E1376" i="5"/>
  <c r="E1384" i="5"/>
  <c r="E1392" i="5"/>
  <c r="E1400" i="5"/>
  <c r="E1408" i="5"/>
  <c r="E1298" i="5"/>
  <c r="E1321" i="5"/>
  <c r="E1337" i="5"/>
  <c r="E1345" i="5"/>
  <c r="E1353" i="5"/>
  <c r="E1361" i="5"/>
  <c r="E1369" i="5"/>
  <c r="E1377" i="5"/>
  <c r="E1385" i="5"/>
  <c r="E1393" i="5"/>
  <c r="E1401" i="5"/>
  <c r="E1409" i="5"/>
  <c r="E1304" i="5"/>
  <c r="E1322" i="5"/>
  <c r="E1338" i="5"/>
  <c r="E1346" i="5"/>
  <c r="E1354" i="5"/>
  <c r="E1362" i="5"/>
  <c r="E1370" i="5"/>
  <c r="E1378" i="5"/>
  <c r="E1386" i="5"/>
  <c r="E1394" i="5"/>
  <c r="E1402" i="5"/>
  <c r="E1410" i="5"/>
  <c r="E1305" i="5"/>
  <c r="E1328" i="5"/>
  <c r="E1339" i="5"/>
  <c r="E1347" i="5"/>
  <c r="E1355" i="5"/>
  <c r="E1363" i="5"/>
  <c r="E1371" i="5"/>
  <c r="E1379" i="5"/>
  <c r="E1387" i="5"/>
  <c r="E1395" i="5"/>
  <c r="E1403" i="5"/>
  <c r="E1411" i="5"/>
  <c r="E1288" i="5"/>
  <c r="E1306" i="5"/>
  <c r="E1329" i="5"/>
  <c r="E1340" i="5"/>
  <c r="E1348" i="5"/>
  <c r="E1356" i="5"/>
  <c r="E1364" i="5"/>
  <c r="E1372" i="5"/>
  <c r="E1380" i="5"/>
  <c r="E1388" i="5"/>
  <c r="E1396" i="5"/>
  <c r="E1404" i="5"/>
  <c r="E1349" i="5"/>
  <c r="E1357" i="5"/>
  <c r="E1365" i="5"/>
  <c r="E1373" i="5"/>
  <c r="E1289" i="5"/>
  <c r="E1381" i="5"/>
  <c r="E1330" i="5"/>
  <c r="E1397" i="5"/>
  <c r="E1341" i="5"/>
  <c r="E1405" i="5"/>
  <c r="E1312" i="5"/>
  <c r="E1389" i="5"/>
  <c r="E2823" i="5"/>
  <c r="E2831" i="5"/>
  <c r="E2839" i="5"/>
  <c r="E2817" i="5"/>
  <c r="E2825" i="5"/>
  <c r="E2833" i="5"/>
  <c r="E2841" i="5"/>
  <c r="E2849" i="5"/>
  <c r="E2857" i="5"/>
  <c r="E2818" i="5"/>
  <c r="E2826" i="5"/>
  <c r="E2834" i="5"/>
  <c r="E2842" i="5"/>
  <c r="E2850" i="5"/>
  <c r="E2858" i="5"/>
  <c r="E2829" i="5"/>
  <c r="E2843" i="5"/>
  <c r="E2853" i="5"/>
  <c r="E2863" i="5"/>
  <c r="E2871" i="5"/>
  <c r="E2879" i="5"/>
  <c r="E2887" i="5"/>
  <c r="E2895" i="5"/>
  <c r="E2903" i="5"/>
  <c r="E2911" i="5"/>
  <c r="E2919" i="5"/>
  <c r="E2927" i="5"/>
  <c r="E2935" i="5"/>
  <c r="E2943" i="5"/>
  <c r="E2819" i="5"/>
  <c r="E2830" i="5"/>
  <c r="E2844" i="5"/>
  <c r="E2854" i="5"/>
  <c r="E2864" i="5"/>
  <c r="E2872" i="5"/>
  <c r="E2880" i="5"/>
  <c r="E2888" i="5"/>
  <c r="E2896" i="5"/>
  <c r="E2904" i="5"/>
  <c r="E2912" i="5"/>
  <c r="E2920" i="5"/>
  <c r="E2928" i="5"/>
  <c r="E2936" i="5"/>
  <c r="E2944" i="5"/>
  <c r="E2820" i="5"/>
  <c r="E2832" i="5"/>
  <c r="E2845" i="5"/>
  <c r="E2855" i="5"/>
  <c r="E2865" i="5"/>
  <c r="E2873" i="5"/>
  <c r="E2881" i="5"/>
  <c r="E2889" i="5"/>
  <c r="E2897" i="5"/>
  <c r="E2905" i="5"/>
  <c r="E2913" i="5"/>
  <c r="E2921" i="5"/>
  <c r="E2929" i="5"/>
  <c r="E2937" i="5"/>
  <c r="E2945" i="5"/>
  <c r="E2821" i="5"/>
  <c r="E2835" i="5"/>
  <c r="E2846" i="5"/>
  <c r="E2856" i="5"/>
  <c r="E2866" i="5"/>
  <c r="E2874" i="5"/>
  <c r="E2882" i="5"/>
  <c r="E2890" i="5"/>
  <c r="E2898" i="5"/>
  <c r="E2906" i="5"/>
  <c r="E2914" i="5"/>
  <c r="E2922" i="5"/>
  <c r="E2930" i="5"/>
  <c r="E2938" i="5"/>
  <c r="E2946" i="5"/>
  <c r="E2822" i="5"/>
  <c r="E2836" i="5"/>
  <c r="E2847" i="5"/>
  <c r="E2859" i="5"/>
  <c r="E2867" i="5"/>
  <c r="E2875" i="5"/>
  <c r="E2883" i="5"/>
  <c r="E2891" i="5"/>
  <c r="E2899" i="5"/>
  <c r="E2907" i="5"/>
  <c r="E2915" i="5"/>
  <c r="E2923" i="5"/>
  <c r="E2931" i="5"/>
  <c r="E2939" i="5"/>
  <c r="E2824" i="5"/>
  <c r="E2837" i="5"/>
  <c r="E2848" i="5"/>
  <c r="E2860" i="5"/>
  <c r="E2868" i="5"/>
  <c r="E2876" i="5"/>
  <c r="E2884" i="5"/>
  <c r="E2892" i="5"/>
  <c r="E2900" i="5"/>
  <c r="E2908" i="5"/>
  <c r="E2916" i="5"/>
  <c r="E2924" i="5"/>
  <c r="E2932" i="5"/>
  <c r="E2940" i="5"/>
  <c r="E2827" i="5"/>
  <c r="E2838" i="5"/>
  <c r="E2851" i="5"/>
  <c r="E2861" i="5"/>
  <c r="E2869" i="5"/>
  <c r="E2877" i="5"/>
  <c r="E2885" i="5"/>
  <c r="E2893" i="5"/>
  <c r="E2901" i="5"/>
  <c r="E2909" i="5"/>
  <c r="E2917" i="5"/>
  <c r="E2925" i="5"/>
  <c r="E2933" i="5"/>
  <c r="E2941" i="5"/>
  <c r="E2828" i="5"/>
  <c r="E2840" i="5"/>
  <c r="E2852" i="5"/>
  <c r="E2862" i="5"/>
  <c r="E2870" i="5"/>
  <c r="E2878" i="5"/>
  <c r="E2886" i="5"/>
  <c r="E2894" i="5"/>
  <c r="E2902" i="5"/>
  <c r="E2910" i="5"/>
  <c r="E2918" i="5"/>
  <c r="E2926" i="5"/>
  <c r="E2934" i="5"/>
  <c r="E2942" i="5"/>
  <c r="E61" i="6"/>
  <c r="E818" i="5"/>
  <c r="E826" i="5"/>
  <c r="E834" i="5"/>
  <c r="E842" i="5"/>
  <c r="E819" i="5"/>
  <c r="E827" i="5"/>
  <c r="E835" i="5"/>
  <c r="E843" i="5"/>
  <c r="E820" i="5"/>
  <c r="E828" i="5"/>
  <c r="E836" i="5"/>
  <c r="E844" i="5"/>
  <c r="E821" i="5"/>
  <c r="E829" i="5"/>
  <c r="E837" i="5"/>
  <c r="E822" i="5"/>
  <c r="E830" i="5"/>
  <c r="E838" i="5"/>
  <c r="E823" i="5"/>
  <c r="E831" i="5"/>
  <c r="E839" i="5"/>
  <c r="E824" i="5"/>
  <c r="E832" i="5"/>
  <c r="E840" i="5"/>
  <c r="E825" i="5"/>
  <c r="E833" i="5"/>
  <c r="E841" i="5"/>
  <c r="E2363" i="5"/>
  <c r="E2371" i="5"/>
  <c r="E2379" i="5"/>
  <c r="E2387" i="5"/>
  <c r="E2364" i="5"/>
  <c r="E2372" i="5"/>
  <c r="E2380" i="5"/>
  <c r="E2388" i="5"/>
  <c r="E2366" i="5"/>
  <c r="E2374" i="5"/>
  <c r="E2382" i="5"/>
  <c r="E2390" i="5"/>
  <c r="E2368" i="5"/>
  <c r="E2376" i="5"/>
  <c r="E2384" i="5"/>
  <c r="E2369" i="5"/>
  <c r="E2377" i="5"/>
  <c r="E2385" i="5"/>
  <c r="E2370" i="5"/>
  <c r="E2373" i="5"/>
  <c r="E2375" i="5"/>
  <c r="E2378" i="5"/>
  <c r="E2381" i="5"/>
  <c r="E2362" i="5"/>
  <c r="E2383" i="5"/>
  <c r="E2389" i="5"/>
  <c r="E2365" i="5"/>
  <c r="E2367" i="5"/>
  <c r="E2386" i="5"/>
  <c r="E41" i="6"/>
  <c r="E608" i="5"/>
  <c r="E616" i="5"/>
  <c r="E609" i="5"/>
  <c r="E617" i="5"/>
  <c r="E625" i="5"/>
  <c r="E610" i="5"/>
  <c r="E618" i="5"/>
  <c r="E626" i="5"/>
  <c r="E611" i="5"/>
  <c r="E619" i="5"/>
  <c r="E627" i="5"/>
  <c r="E612" i="5"/>
  <c r="E620" i="5"/>
  <c r="E628" i="5"/>
  <c r="E613" i="5"/>
  <c r="E621" i="5"/>
  <c r="E629" i="5"/>
  <c r="E614" i="5"/>
  <c r="E622" i="5"/>
  <c r="E615" i="5"/>
  <c r="E623" i="5"/>
  <c r="E631" i="5"/>
  <c r="E630" i="5"/>
  <c r="E624" i="5"/>
  <c r="I4" i="1"/>
  <c r="I3" i="1"/>
  <c r="D3" i="12" l="1"/>
  <c r="D2" i="12"/>
  <c r="E42" i="6"/>
  <c r="E978" i="5"/>
  <c r="E986" i="5"/>
  <c r="E994" i="5"/>
  <c r="E1002" i="5"/>
  <c r="E1010" i="5"/>
  <c r="E979" i="5"/>
  <c r="E987" i="5"/>
  <c r="E995" i="5"/>
  <c r="E1003" i="5"/>
  <c r="E1011" i="5"/>
  <c r="E980" i="5"/>
  <c r="E988" i="5"/>
  <c r="E996" i="5"/>
  <c r="E1004" i="5"/>
  <c r="E1012" i="5"/>
  <c r="E981" i="5"/>
  <c r="E989" i="5"/>
  <c r="E997" i="5"/>
  <c r="E1005" i="5"/>
  <c r="E1013" i="5"/>
  <c r="E982" i="5"/>
  <c r="E990" i="5"/>
  <c r="E998" i="5"/>
  <c r="E1006" i="5"/>
  <c r="E1014" i="5"/>
  <c r="E975" i="5"/>
  <c r="E983" i="5"/>
  <c r="E991" i="5"/>
  <c r="E999" i="5"/>
  <c r="E1007" i="5"/>
  <c r="E976" i="5"/>
  <c r="E984" i="5"/>
  <c r="E992" i="5"/>
  <c r="E1000" i="5"/>
  <c r="E1008" i="5"/>
  <c r="E985" i="5"/>
  <c r="E993" i="5"/>
  <c r="E1001" i="5"/>
  <c r="E1009" i="5"/>
  <c r="E977" i="5"/>
  <c r="E2502" i="5"/>
  <c r="E2510" i="5"/>
  <c r="E2518" i="5"/>
  <c r="E2526" i="5"/>
  <c r="E2534" i="5"/>
  <c r="E2542" i="5"/>
  <c r="E2550" i="5"/>
  <c r="E2503" i="5"/>
  <c r="E2511" i="5"/>
  <c r="E2519" i="5"/>
  <c r="E2527" i="5"/>
  <c r="E2535" i="5"/>
  <c r="E2543" i="5"/>
  <c r="E2551" i="5"/>
  <c r="E2504" i="5"/>
  <c r="E2512" i="5"/>
  <c r="E2520" i="5"/>
  <c r="E2528" i="5"/>
  <c r="E2536" i="5"/>
  <c r="E2544" i="5"/>
  <c r="E2552" i="5"/>
  <c r="E2497" i="5"/>
  <c r="E2505" i="5"/>
  <c r="E2513" i="5"/>
  <c r="E2521" i="5"/>
  <c r="E2529" i="5"/>
  <c r="E2537" i="5"/>
  <c r="E2545" i="5"/>
  <c r="E2553" i="5"/>
  <c r="E2498" i="5"/>
  <c r="E2506" i="5"/>
  <c r="E2514" i="5"/>
  <c r="E2522" i="5"/>
  <c r="E2530" i="5"/>
  <c r="E2538" i="5"/>
  <c r="E2546" i="5"/>
  <c r="E2554" i="5"/>
  <c r="E2499" i="5"/>
  <c r="E2507" i="5"/>
  <c r="E2515" i="5"/>
  <c r="E2523" i="5"/>
  <c r="E2531" i="5"/>
  <c r="E2539" i="5"/>
  <c r="E2547" i="5"/>
  <c r="E2555" i="5"/>
  <c r="E2501" i="5"/>
  <c r="E2533" i="5"/>
  <c r="E2508" i="5"/>
  <c r="E2540" i="5"/>
  <c r="E2509" i="5"/>
  <c r="E2541" i="5"/>
  <c r="E2516" i="5"/>
  <c r="E2548" i="5"/>
  <c r="E2517" i="5"/>
  <c r="E2549" i="5"/>
  <c r="E2524" i="5"/>
  <c r="E2556" i="5"/>
  <c r="E2525" i="5"/>
  <c r="E2500" i="5"/>
  <c r="E2532" i="5"/>
  <c r="E62" i="6"/>
  <c r="E906" i="5"/>
  <c r="E907" i="5"/>
  <c r="E908" i="5"/>
  <c r="E909" i="5"/>
  <c r="E902" i="5"/>
  <c r="E903" i="5"/>
  <c r="E904" i="5"/>
  <c r="E905" i="5"/>
  <c r="E2428" i="5"/>
  <c r="E2430" i="5"/>
  <c r="E2431" i="5"/>
  <c r="E2432" i="5"/>
  <c r="E2433" i="5"/>
  <c r="E2434" i="5"/>
  <c r="E2435" i="5"/>
  <c r="E2427" i="5"/>
  <c r="E2429" i="5"/>
  <c r="E32" i="6"/>
  <c r="E850" i="5"/>
  <c r="E858" i="5"/>
  <c r="E866" i="5"/>
  <c r="E874" i="5"/>
  <c r="E882" i="5"/>
  <c r="E890" i="5"/>
  <c r="E898" i="5"/>
  <c r="E851" i="5"/>
  <c r="E859" i="5"/>
  <c r="E867" i="5"/>
  <c r="E875" i="5"/>
  <c r="E883" i="5"/>
  <c r="E891" i="5"/>
  <c r="E899" i="5"/>
  <c r="E852" i="5"/>
  <c r="E860" i="5"/>
  <c r="E868" i="5"/>
  <c r="E876" i="5"/>
  <c r="E884" i="5"/>
  <c r="E892" i="5"/>
  <c r="E900" i="5"/>
  <c r="E845" i="5"/>
  <c r="E853" i="5"/>
  <c r="E861" i="5"/>
  <c r="E869" i="5"/>
  <c r="E877" i="5"/>
  <c r="E885" i="5"/>
  <c r="E893" i="5"/>
  <c r="E901" i="5"/>
  <c r="E846" i="5"/>
  <c r="E854" i="5"/>
  <c r="E862" i="5"/>
  <c r="E870" i="5"/>
  <c r="E878" i="5"/>
  <c r="E886" i="5"/>
  <c r="E894" i="5"/>
  <c r="E847" i="5"/>
  <c r="E855" i="5"/>
  <c r="E863" i="5"/>
  <c r="E871" i="5"/>
  <c r="E879" i="5"/>
  <c r="E887" i="5"/>
  <c r="E895" i="5"/>
  <c r="E848" i="5"/>
  <c r="E856" i="5"/>
  <c r="E864" i="5"/>
  <c r="E872" i="5"/>
  <c r="E880" i="5"/>
  <c r="E888" i="5"/>
  <c r="E896" i="5"/>
  <c r="E857" i="5"/>
  <c r="E865" i="5"/>
  <c r="E873" i="5"/>
  <c r="E881" i="5"/>
  <c r="E889" i="5"/>
  <c r="E897" i="5"/>
  <c r="E2395" i="5"/>
  <c r="E2403" i="5"/>
  <c r="E2411" i="5"/>
  <c r="E849" i="5"/>
  <c r="E2396" i="5"/>
  <c r="E2404" i="5"/>
  <c r="E2412" i="5"/>
  <c r="E2420" i="5"/>
  <c r="E2398" i="5"/>
  <c r="E2406" i="5"/>
  <c r="E2414" i="5"/>
  <c r="E2393" i="5"/>
  <c r="E2401" i="5"/>
  <c r="E2409" i="5"/>
  <c r="E2417" i="5"/>
  <c r="E2391" i="5"/>
  <c r="E2407" i="5"/>
  <c r="E2421" i="5"/>
  <c r="E2392" i="5"/>
  <c r="E2408" i="5"/>
  <c r="E2422" i="5"/>
  <c r="E2394" i="5"/>
  <c r="E2410" i="5"/>
  <c r="E2423" i="5"/>
  <c r="E2397" i="5"/>
  <c r="E2413" i="5"/>
  <c r="E2424" i="5"/>
  <c r="E2399" i="5"/>
  <c r="E2415" i="5"/>
  <c r="E2425" i="5"/>
  <c r="E2400" i="5"/>
  <c r="E2416" i="5"/>
  <c r="E2426" i="5"/>
  <c r="E2402" i="5"/>
  <c r="E2405" i="5"/>
  <c r="E2418" i="5"/>
  <c r="E2419" i="5"/>
  <c r="E14" i="6"/>
  <c r="E2726" i="5"/>
  <c r="E2727" i="5"/>
  <c r="E2723" i="5"/>
  <c r="E2725" i="5"/>
  <c r="E2724" i="5"/>
  <c r="E1495" i="5"/>
  <c r="E1496" i="5"/>
  <c r="E1497" i="5"/>
  <c r="E1498" i="5"/>
  <c r="E3047" i="5"/>
  <c r="E3055" i="5"/>
  <c r="E3063" i="5"/>
  <c r="E3071" i="5"/>
  <c r="E3048" i="5"/>
  <c r="E3056" i="5"/>
  <c r="E3064" i="5"/>
  <c r="E3072" i="5"/>
  <c r="E3049" i="5"/>
  <c r="E3057" i="5"/>
  <c r="E3065" i="5"/>
  <c r="E3073" i="5"/>
  <c r="E3042" i="5"/>
  <c r="E3050" i="5"/>
  <c r="E3058" i="5"/>
  <c r="E3066" i="5"/>
  <c r="E3074" i="5"/>
  <c r="E3043" i="5"/>
  <c r="E3051" i="5"/>
  <c r="E3059" i="5"/>
  <c r="E3067" i="5"/>
  <c r="E3075" i="5"/>
  <c r="E3044" i="5"/>
  <c r="E3052" i="5"/>
  <c r="E3060" i="5"/>
  <c r="E3068" i="5"/>
  <c r="E3076" i="5"/>
  <c r="E3045" i="5"/>
  <c r="E3053" i="5"/>
  <c r="E3061" i="5"/>
  <c r="E3069" i="5"/>
  <c r="E3046" i="5"/>
  <c r="E3054" i="5"/>
  <c r="E3062" i="5"/>
  <c r="E3070" i="5"/>
  <c r="E1558" i="5"/>
  <c r="E1559" i="5"/>
  <c r="E1560" i="5"/>
  <c r="E1554" i="5"/>
  <c r="E1555" i="5"/>
  <c r="E1556" i="5"/>
  <c r="E1557" i="5"/>
  <c r="E3079" i="5"/>
  <c r="E3087" i="5"/>
  <c r="E3095" i="5"/>
  <c r="E3103" i="5"/>
  <c r="E3111" i="5"/>
  <c r="E3119" i="5"/>
  <c r="E3127" i="5"/>
  <c r="E3135" i="5"/>
  <c r="E3080" i="5"/>
  <c r="E3088" i="5"/>
  <c r="E3096" i="5"/>
  <c r="E3104" i="5"/>
  <c r="E3112" i="5"/>
  <c r="E3120" i="5"/>
  <c r="E3128" i="5"/>
  <c r="E3136" i="5"/>
  <c r="E3081" i="5"/>
  <c r="E3089" i="5"/>
  <c r="E3097" i="5"/>
  <c r="E3105" i="5"/>
  <c r="E3113" i="5"/>
  <c r="E3121" i="5"/>
  <c r="E3129" i="5"/>
  <c r="E3137" i="5"/>
  <c r="E3082" i="5"/>
  <c r="E3090" i="5"/>
  <c r="E3098" i="5"/>
  <c r="E3106" i="5"/>
  <c r="E3114" i="5"/>
  <c r="E3122" i="5"/>
  <c r="E3130" i="5"/>
  <c r="E3138" i="5"/>
  <c r="E3083" i="5"/>
  <c r="E3091" i="5"/>
  <c r="E3099" i="5"/>
  <c r="E3107" i="5"/>
  <c r="E3115" i="5"/>
  <c r="E3123" i="5"/>
  <c r="E3131" i="5"/>
  <c r="E3139" i="5"/>
  <c r="E3084" i="5"/>
  <c r="E3092" i="5"/>
  <c r="E3100" i="5"/>
  <c r="E3108" i="5"/>
  <c r="E3116" i="5"/>
  <c r="E3124" i="5"/>
  <c r="E3132" i="5"/>
  <c r="E3140" i="5"/>
  <c r="E3077" i="5"/>
  <c r="E3085" i="5"/>
  <c r="E3093" i="5"/>
  <c r="E3101" i="5"/>
  <c r="E3109" i="5"/>
  <c r="E3117" i="5"/>
  <c r="E3125" i="5"/>
  <c r="E3133" i="5"/>
  <c r="E3141" i="5"/>
  <c r="E3078" i="5"/>
  <c r="E3086" i="5"/>
  <c r="E3094" i="5"/>
  <c r="E3102" i="5"/>
  <c r="E3110" i="5"/>
  <c r="E3118" i="5"/>
  <c r="E3126" i="5"/>
  <c r="E3134" i="5"/>
  <c r="K10" i="1"/>
  <c r="E63" i="6" l="1"/>
  <c r="E914" i="5"/>
  <c r="E915" i="5"/>
  <c r="E916" i="5"/>
  <c r="E917" i="5"/>
  <c r="E910" i="5"/>
  <c r="E911" i="5"/>
  <c r="E912" i="5"/>
  <c r="E913" i="5"/>
  <c r="E2470" i="5"/>
  <c r="E2478" i="5"/>
  <c r="E2486" i="5"/>
  <c r="E2471" i="5"/>
  <c r="E2479" i="5"/>
  <c r="E2487" i="5"/>
  <c r="E2472" i="5"/>
  <c r="E2480" i="5"/>
  <c r="E2488" i="5"/>
  <c r="E2473" i="5"/>
  <c r="E2481" i="5"/>
  <c r="E2489" i="5"/>
  <c r="E2474" i="5"/>
  <c r="E2482" i="5"/>
  <c r="E2490" i="5"/>
  <c r="E2467" i="5"/>
  <c r="E2475" i="5"/>
  <c r="E2483" i="5"/>
  <c r="E2491" i="5"/>
  <c r="E2469" i="5"/>
  <c r="E2476" i="5"/>
  <c r="E2477" i="5"/>
  <c r="E2484" i="5"/>
  <c r="E2485" i="5"/>
  <c r="E2468" i="5"/>
  <c r="E2959" i="5"/>
  <c r="E2967" i="5"/>
  <c r="E2960" i="5"/>
  <c r="E2968" i="5"/>
  <c r="E2961" i="5"/>
  <c r="E2969" i="5"/>
  <c r="E2962" i="5"/>
  <c r="E2970" i="5"/>
  <c r="E2963" i="5"/>
  <c r="E2971" i="5"/>
  <c r="E2964" i="5"/>
  <c r="E2965" i="5"/>
  <c r="E2958" i="5"/>
  <c r="E2966" i="5"/>
  <c r="D3" i="10"/>
  <c r="D2" i="10"/>
  <c r="E43" i="6"/>
  <c r="E1170" i="5"/>
  <c r="E1178" i="5"/>
  <c r="E1171" i="5"/>
  <c r="E1179" i="5"/>
  <c r="E1187" i="5"/>
  <c r="E1172" i="5"/>
  <c r="E1180" i="5"/>
  <c r="E1188" i="5"/>
  <c r="E1173" i="5"/>
  <c r="E1181" i="5"/>
  <c r="E1189" i="5"/>
  <c r="E1174" i="5"/>
  <c r="E1182" i="5"/>
  <c r="E1190" i="5"/>
  <c r="E1175" i="5"/>
  <c r="E1183" i="5"/>
  <c r="E1191" i="5"/>
  <c r="E1176" i="5"/>
  <c r="E1184" i="5"/>
  <c r="E1177" i="5"/>
  <c r="E1185" i="5"/>
  <c r="E1186" i="5"/>
  <c r="E2734" i="5"/>
  <c r="E2742" i="5"/>
  <c r="E2750" i="5"/>
  <c r="E2735" i="5"/>
  <c r="E2743" i="5"/>
  <c r="E2751" i="5"/>
  <c r="E2728" i="5"/>
  <c r="E2736" i="5"/>
  <c r="E2744" i="5"/>
  <c r="E2729" i="5"/>
  <c r="E2737" i="5"/>
  <c r="E2745" i="5"/>
  <c r="E2730" i="5"/>
  <c r="E2738" i="5"/>
  <c r="E2746" i="5"/>
  <c r="E2731" i="5"/>
  <c r="E2739" i="5"/>
  <c r="E2747" i="5"/>
  <c r="E2732" i="5"/>
  <c r="E2733" i="5"/>
  <c r="E2740" i="5"/>
  <c r="E2741" i="5"/>
  <c r="E2748" i="5"/>
  <c r="E2749" i="5"/>
  <c r="E33" i="6"/>
  <c r="E1018" i="5"/>
  <c r="E1026" i="5"/>
  <c r="E1034" i="5"/>
  <c r="E1019" i="5"/>
  <c r="E1027" i="5"/>
  <c r="E1035" i="5"/>
  <c r="E1020" i="5"/>
  <c r="E1028" i="5"/>
  <c r="E1036" i="5"/>
  <c r="E1021" i="5"/>
  <c r="E1029" i="5"/>
  <c r="E1037" i="5"/>
  <c r="E1022" i="5"/>
  <c r="E1030" i="5"/>
  <c r="E1038" i="5"/>
  <c r="E1015" i="5"/>
  <c r="E1023" i="5"/>
  <c r="E1031" i="5"/>
  <c r="E1039" i="5"/>
  <c r="E1016" i="5"/>
  <c r="E1024" i="5"/>
  <c r="E1032" i="5"/>
  <c r="E1017" i="5"/>
  <c r="E1025" i="5"/>
  <c r="E1033" i="5"/>
  <c r="E2558" i="5"/>
  <c r="E2566" i="5"/>
  <c r="E2574" i="5"/>
  <c r="E2582" i="5"/>
  <c r="E2559" i="5"/>
  <c r="E2567" i="5"/>
  <c r="E2575" i="5"/>
  <c r="E2583" i="5"/>
  <c r="E2560" i="5"/>
  <c r="E2568" i="5"/>
  <c r="E2576" i="5"/>
  <c r="E2584" i="5"/>
  <c r="E2561" i="5"/>
  <c r="E2569" i="5"/>
  <c r="E2577" i="5"/>
  <c r="E2562" i="5"/>
  <c r="E2570" i="5"/>
  <c r="E2578" i="5"/>
  <c r="E2563" i="5"/>
  <c r="E2571" i="5"/>
  <c r="E2579" i="5"/>
  <c r="E2565" i="5"/>
  <c r="E2572" i="5"/>
  <c r="E2573" i="5"/>
  <c r="E2580" i="5"/>
  <c r="E2581" i="5"/>
  <c r="E2557" i="5"/>
  <c r="E2564" i="5"/>
  <c r="E44" i="6" l="1"/>
  <c r="E1430" i="5"/>
  <c r="E1438" i="5"/>
  <c r="E1446" i="5"/>
  <c r="E1454" i="5"/>
  <c r="E1462" i="5"/>
  <c r="E1470" i="5"/>
  <c r="E1478" i="5"/>
  <c r="E1486" i="5"/>
  <c r="E1494" i="5"/>
  <c r="E1431" i="5"/>
  <c r="E1439" i="5"/>
  <c r="E1447" i="5"/>
  <c r="E1455" i="5"/>
  <c r="E1463" i="5"/>
  <c r="E1471" i="5"/>
  <c r="E1479" i="5"/>
  <c r="E1487" i="5"/>
  <c r="E1432" i="5"/>
  <c r="E1440" i="5"/>
  <c r="E1448" i="5"/>
  <c r="E1456" i="5"/>
  <c r="E1464" i="5"/>
  <c r="E1472" i="5"/>
  <c r="E1480" i="5"/>
  <c r="E1488" i="5"/>
  <c r="E1433" i="5"/>
  <c r="E1441" i="5"/>
  <c r="E1449" i="5"/>
  <c r="E1457" i="5"/>
  <c r="E1465" i="5"/>
  <c r="E1473" i="5"/>
  <c r="E1481" i="5"/>
  <c r="E1489" i="5"/>
  <c r="E1434" i="5"/>
  <c r="E1442" i="5"/>
  <c r="E1450" i="5"/>
  <c r="E1458" i="5"/>
  <c r="E1466" i="5"/>
  <c r="E1474" i="5"/>
  <c r="E1482" i="5"/>
  <c r="E1490" i="5"/>
  <c r="E1435" i="5"/>
  <c r="E1443" i="5"/>
  <c r="E1451" i="5"/>
  <c r="E1459" i="5"/>
  <c r="E1467" i="5"/>
  <c r="E1475" i="5"/>
  <c r="E1483" i="5"/>
  <c r="E1491" i="5"/>
  <c r="E1436" i="5"/>
  <c r="E1444" i="5"/>
  <c r="E1452" i="5"/>
  <c r="E1460" i="5"/>
  <c r="E1468" i="5"/>
  <c r="E1476" i="5"/>
  <c r="E1484" i="5"/>
  <c r="E1492" i="5"/>
  <c r="E1477" i="5"/>
  <c r="E1485" i="5"/>
  <c r="E1493" i="5"/>
  <c r="E1437" i="5"/>
  <c r="E1445" i="5"/>
  <c r="E1461" i="5"/>
  <c r="E1469" i="5"/>
  <c r="E1453" i="5"/>
  <c r="E2975" i="5"/>
  <c r="E2983" i="5"/>
  <c r="E2991" i="5"/>
  <c r="E2999" i="5"/>
  <c r="E3007" i="5"/>
  <c r="E3015" i="5"/>
  <c r="E3023" i="5"/>
  <c r="E3031" i="5"/>
  <c r="E3039" i="5"/>
  <c r="E2976" i="5"/>
  <c r="E2984" i="5"/>
  <c r="E2992" i="5"/>
  <c r="E3000" i="5"/>
  <c r="E3008" i="5"/>
  <c r="E3016" i="5"/>
  <c r="E3024" i="5"/>
  <c r="E3032" i="5"/>
  <c r="E3040" i="5"/>
  <c r="E2977" i="5"/>
  <c r="E2985" i="5"/>
  <c r="E2993" i="5"/>
  <c r="E3001" i="5"/>
  <c r="E3009" i="5"/>
  <c r="E3017" i="5"/>
  <c r="E3025" i="5"/>
  <c r="E3033" i="5"/>
  <c r="E3041" i="5"/>
  <c r="E2978" i="5"/>
  <c r="E2986" i="5"/>
  <c r="E2994" i="5"/>
  <c r="E3002" i="5"/>
  <c r="E3010" i="5"/>
  <c r="E3018" i="5"/>
  <c r="E3026" i="5"/>
  <c r="E3034" i="5"/>
  <c r="E2979" i="5"/>
  <c r="E2987" i="5"/>
  <c r="E2995" i="5"/>
  <c r="E3003" i="5"/>
  <c r="E3011" i="5"/>
  <c r="E3019" i="5"/>
  <c r="E3027" i="5"/>
  <c r="E3035" i="5"/>
  <c r="E2972" i="5"/>
  <c r="E2980" i="5"/>
  <c r="E2988" i="5"/>
  <c r="E2996" i="5"/>
  <c r="E3004" i="5"/>
  <c r="E3012" i="5"/>
  <c r="E3020" i="5"/>
  <c r="E3028" i="5"/>
  <c r="E3036" i="5"/>
  <c r="E2973" i="5"/>
  <c r="E2981" i="5"/>
  <c r="E2989" i="5"/>
  <c r="E2997" i="5"/>
  <c r="E3005" i="5"/>
  <c r="E3013" i="5"/>
  <c r="E3021" i="5"/>
  <c r="E3029" i="5"/>
  <c r="E3037" i="5"/>
  <c r="E2974" i="5"/>
  <c r="E2982" i="5"/>
  <c r="E2990" i="5"/>
  <c r="E2998" i="5"/>
  <c r="E3006" i="5"/>
  <c r="E3014" i="5"/>
  <c r="E3022" i="5"/>
  <c r="E3030" i="5"/>
  <c r="E3038" i="5"/>
  <c r="E34" i="6"/>
  <c r="E1195" i="5"/>
  <c r="E1203" i="5"/>
  <c r="E1211" i="5"/>
  <c r="E1219" i="5"/>
  <c r="E1227" i="5"/>
  <c r="E1196" i="5"/>
  <c r="E1204" i="5"/>
  <c r="E1212" i="5"/>
  <c r="E1220" i="5"/>
  <c r="E1228" i="5"/>
  <c r="E1197" i="5"/>
  <c r="E1205" i="5"/>
  <c r="E1213" i="5"/>
  <c r="E1221" i="5"/>
  <c r="E1229" i="5"/>
  <c r="E1198" i="5"/>
  <c r="E1206" i="5"/>
  <c r="E1214" i="5"/>
  <c r="E1222" i="5"/>
  <c r="E1230" i="5"/>
  <c r="E1199" i="5"/>
  <c r="E1207" i="5"/>
  <c r="E1215" i="5"/>
  <c r="E1223" i="5"/>
  <c r="E1231" i="5"/>
  <c r="E1192" i="5"/>
  <c r="E1208" i="5"/>
  <c r="E1226" i="5"/>
  <c r="E1209" i="5"/>
  <c r="E1232" i="5"/>
  <c r="E1210" i="5"/>
  <c r="E1233" i="5"/>
  <c r="E1193" i="5"/>
  <c r="E1216" i="5"/>
  <c r="E1234" i="5"/>
  <c r="E1194" i="5"/>
  <c r="E1217" i="5"/>
  <c r="E1200" i="5"/>
  <c r="E1218" i="5"/>
  <c r="E1201" i="5"/>
  <c r="E1224" i="5"/>
  <c r="E1202" i="5"/>
  <c r="E1225" i="5"/>
  <c r="E2758" i="5"/>
  <c r="E2766" i="5"/>
  <c r="E2774" i="5"/>
  <c r="E2759" i="5"/>
  <c r="E2767" i="5"/>
  <c r="E2752" i="5"/>
  <c r="E2760" i="5"/>
  <c r="E2768" i="5"/>
  <c r="E2753" i="5"/>
  <c r="E2761" i="5"/>
  <c r="E2769" i="5"/>
  <c r="E2754" i="5"/>
  <c r="E2762" i="5"/>
  <c r="E2770" i="5"/>
  <c r="E2755" i="5"/>
  <c r="E2763" i="5"/>
  <c r="E2771" i="5"/>
  <c r="E2757" i="5"/>
  <c r="E2764" i="5"/>
  <c r="E2765" i="5"/>
  <c r="E2772" i="5"/>
  <c r="E2773" i="5"/>
  <c r="E2756" i="5"/>
  <c r="E64" i="6"/>
  <c r="E1414" i="5"/>
  <c r="E1422" i="5"/>
  <c r="E1415" i="5"/>
  <c r="E1423" i="5"/>
  <c r="E1416" i="5"/>
  <c r="E1424" i="5"/>
  <c r="E1417" i="5"/>
  <c r="E1425" i="5"/>
  <c r="E1418" i="5"/>
  <c r="E1426" i="5"/>
  <c r="E1419" i="5"/>
  <c r="E1427" i="5"/>
  <c r="E1412" i="5"/>
  <c r="E1420" i="5"/>
  <c r="E1428" i="5"/>
  <c r="E1413" i="5"/>
  <c r="E1421" i="5"/>
  <c r="E1429" i="5"/>
  <c r="E2951" i="5"/>
  <c r="E2952" i="5"/>
  <c r="E2953" i="5"/>
  <c r="E2954" i="5"/>
  <c r="E2947" i="5"/>
  <c r="E2955" i="5"/>
  <c r="E2948" i="5"/>
  <c r="E2956" i="5"/>
  <c r="E2949" i="5"/>
  <c r="E2957" i="5"/>
  <c r="E2950" i="5"/>
  <c r="E1566" i="5" l="1"/>
  <c r="E1574" i="5"/>
  <c r="E1582" i="5"/>
  <c r="E1567" i="5"/>
  <c r="E1575" i="5"/>
  <c r="E1583" i="5"/>
  <c r="E1568" i="5"/>
  <c r="E1576" i="5"/>
  <c r="E1561" i="5"/>
  <c r="E1569" i="5"/>
  <c r="E1577" i="5"/>
  <c r="E1562" i="5"/>
  <c r="E1570" i="5"/>
  <c r="E1578" i="5"/>
  <c r="E1563" i="5"/>
  <c r="E1571" i="5"/>
  <c r="E1579" i="5"/>
  <c r="E1564" i="5"/>
  <c r="E1572" i="5"/>
  <c r="E1580" i="5"/>
  <c r="E1565" i="5"/>
  <c r="E1573" i="5"/>
  <c r="E1581" i="5"/>
  <c r="E1502" i="5"/>
  <c r="E1510" i="5"/>
  <c r="E1518" i="5"/>
  <c r="E1526" i="5"/>
  <c r="E1534" i="5"/>
  <c r="E1542" i="5"/>
  <c r="E1550" i="5"/>
  <c r="E1503" i="5"/>
  <c r="E1511" i="5"/>
  <c r="E1519" i="5"/>
  <c r="E1527" i="5"/>
  <c r="E1535" i="5"/>
  <c r="E1543" i="5"/>
  <c r="E1551" i="5"/>
  <c r="E1504" i="5"/>
  <c r="E1512" i="5"/>
  <c r="E1520" i="5"/>
  <c r="E1528" i="5"/>
  <c r="E1536" i="5"/>
  <c r="E1544" i="5"/>
  <c r="E1552" i="5"/>
  <c r="E1505" i="5"/>
  <c r="E1513" i="5"/>
  <c r="E1521" i="5"/>
  <c r="E1529" i="5"/>
  <c r="E1537" i="5"/>
  <c r="E1545" i="5"/>
  <c r="E1553" i="5"/>
  <c r="E1506" i="5"/>
  <c r="E1514" i="5"/>
  <c r="E1522" i="5"/>
  <c r="E1530" i="5"/>
  <c r="E1538" i="5"/>
  <c r="E1546" i="5"/>
  <c r="E1499" i="5"/>
  <c r="E1507" i="5"/>
  <c r="E1515" i="5"/>
  <c r="E1523" i="5"/>
  <c r="E1531" i="5"/>
  <c r="E1539" i="5"/>
  <c r="E1547" i="5"/>
  <c r="E1500" i="5"/>
  <c r="E1508" i="5"/>
  <c r="E1516" i="5"/>
  <c r="E1524" i="5"/>
  <c r="E1532" i="5"/>
  <c r="E1540" i="5"/>
  <c r="E1548" i="5"/>
  <c r="E1541" i="5"/>
  <c r="E1549" i="5"/>
  <c r="E1501" i="5"/>
  <c r="E1509" i="5"/>
  <c r="E1525" i="5"/>
  <c r="E1533" i="5"/>
  <c r="E151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<sst xmlns="http://schemas.openxmlformats.org/spreadsheetml/2006/main" count="17230" uniqueCount="2918">
  <si>
    <t>Average project costs ($)</t>
  </si>
  <si>
    <t>Average project costs ($/SF)</t>
  </si>
  <si>
    <t>Average site energy reduction (MMBtu)</t>
  </si>
  <si>
    <t>Average cost per energy reduction ($/btu)</t>
  </si>
  <si>
    <t>Average percent reduction in energy use</t>
  </si>
  <si>
    <t>Source</t>
  </si>
  <si>
    <t>Table 11</t>
  </si>
  <si>
    <t>Table 15</t>
  </si>
  <si>
    <t>Source: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</si>
  <si>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</si>
  <si>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</si>
  <si>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</si>
  <si>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</si>
  <si>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Single Family</t>
  </si>
  <si>
    <t>Single Family</t>
  </si>
  <si>
    <t>Multi Family</t>
  </si>
  <si>
    <t>Residential Buildings, Multifamily</t>
  </si>
  <si>
    <t>https://be-exchange.org/wp-content/uploads/2017/11/BEEx_Retrofitting_Affordability_Update_Nov2015-1.pdf</t>
  </si>
  <si>
    <t>Building Energy Exchange</t>
  </si>
  <si>
    <t>Evaluating New York City’s Multifamily Building Energy Data for Savings Opportunities: Retrofitting Affordability</t>
  </si>
  <si>
    <t>Report</t>
  </si>
  <si>
    <t>Scenario</t>
  </si>
  <si>
    <t>Datekey</t>
  </si>
  <si>
    <t>Release Date</t>
  </si>
  <si>
    <t>RKI000</t>
  </si>
  <si>
    <t>4. Residential Sector Key Indicators and Consumption</t>
  </si>
  <si>
    <t>(quadrillion Btu, unless otherwise noted)</t>
  </si>
  <si>
    <t/>
  </si>
  <si>
    <t xml:space="preserve"> Key Indicators and Consumption</t>
  </si>
  <si>
    <t>Key Indicators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</si>
  <si>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</si>
  <si>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</si>
  <si>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</si>
  <si>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</si>
  <si>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</si>
  <si>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</si>
  <si>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</si>
  <si>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</si>
  <si>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</si>
  <si>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</si>
  <si>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</si>
  <si>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</si>
  <si>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(million Btu per household)</t>
  </si>
  <si>
    <t>RKI000:da_DeliveredEner</t>
  </si>
  <si>
    <t>RKI000:da_TotalEnergyCo</t>
  </si>
  <si>
    <t xml:space="preserve"> (thousand Btu per square foot)</t>
  </si>
  <si>
    <t>RKI000:ea_DeliveredEner</t>
  </si>
  <si>
    <t>RKI000:ea_TotalEnergyCo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</si>
  <si>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</si>
  <si>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</si>
  <si>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</si>
  <si>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</si>
  <si>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</si>
  <si>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</si>
  <si>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</si>
  <si>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</si>
  <si>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</si>
  <si>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</si>
  <si>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</si>
  <si>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</si>
  <si>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</si>
  <si>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</si>
  <si>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</si>
  <si>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</t>
  </si>
  <si>
    <t>RKI000:fa_ClothesWasher</t>
  </si>
  <si>
    <t>RKI000:fa_Dishwashers</t>
  </si>
  <si>
    <t>RKI000:fa_ColorTelevisi</t>
  </si>
  <si>
    <t>RKI000:fa_PersonalCompu</t>
  </si>
  <si>
    <t>RKI000:fa_FurnaceFans</t>
  </si>
  <si>
    <t xml:space="preserve">   Furnace Fans and Boiler Circulation Pumps</t>
  </si>
  <si>
    <t>RKI000:fa_OtherUses</t>
  </si>
  <si>
    <t xml:space="preserve">   Other Uses 4/</t>
  </si>
  <si>
    <t>RKI000:fa_DeliveredEner</t>
  </si>
  <si>
    <t xml:space="preserve">     Delivered Energy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</si>
  <si>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</si>
  <si>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</si>
  <si>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</si>
  <si>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</si>
  <si>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</si>
  <si>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</si>
  <si>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</si>
  <si>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5/</t>
  </si>
  <si>
    <t>RKI000:ga_DeliveredEner</t>
  </si>
  <si>
    <t>RKI000:ha_SpaceHeating</t>
  </si>
  <si>
    <t>RKI000:ha_WaterHeating</t>
  </si>
  <si>
    <t>RKI000:Other_ha_ha</t>
  </si>
  <si>
    <t xml:space="preserve">   Other Uses 7/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</si>
  <si>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</si>
  <si>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</si>
  <si>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</si>
  <si>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</si>
  <si>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</si>
  <si>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</si>
  <si>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>RKI000:ia_DeliveredEner</t>
  </si>
  <si>
    <t>RKI000:ja_MarketedRenew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</si>
  <si>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</si>
  <si>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</si>
  <si>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</si>
  <si>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</si>
  <si>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</si>
  <si>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</si>
  <si>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</si>
  <si>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</si>
  <si>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</si>
  <si>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</si>
  <si>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</si>
  <si>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</si>
  <si>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</si>
  <si>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</si>
  <si>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</si>
  <si>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</t>
  </si>
  <si>
    <t>RKI000:ka_ClothesWasher</t>
  </si>
  <si>
    <t>RKI000:ka_Dishwashers</t>
  </si>
  <si>
    <t>RKI000:ka_ColorTelevisi</t>
  </si>
  <si>
    <t>RKI000:ka_PersonalCompu</t>
  </si>
  <si>
    <t>RKI000:ka_FurnaceFans</t>
  </si>
  <si>
    <t xml:space="preserve"> Furnace Fans and Boiler Circulation Pumps</t>
  </si>
  <si>
    <t>RKI000:ka_OtherUses</t>
  </si>
  <si>
    <t>RKI000:ka_DeliveredEner</t>
  </si>
  <si>
    <t>RKI000:la_ElectricityRe</t>
  </si>
  <si>
    <t>Electricity Related Losses</t>
  </si>
  <si>
    <t>Total Energy Consumption by End Use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</si>
  <si>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</si>
  <si>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</si>
  <si>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</si>
  <si>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</si>
  <si>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</si>
  <si>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</si>
  <si>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</si>
  <si>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</si>
  <si>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</si>
  <si>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</si>
  <si>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</si>
  <si>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</si>
  <si>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</si>
  <si>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</si>
  <si>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</si>
  <si>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>RKI000:na_GeothermalHea</t>
  </si>
  <si>
    <t xml:space="preserve">  Geothermal Heat Pumps</t>
  </si>
  <si>
    <t>RKI000:na_SolarHotWater</t>
  </si>
  <si>
    <t xml:space="preserve">  Solar Hot Water Heating</t>
  </si>
  <si>
    <t>RKI000:na_SolarPhotovol</t>
  </si>
  <si>
    <t xml:space="preserve">  Solar Photovoltaic</t>
  </si>
  <si>
    <t>RKI000:na_WindHuffPuff</t>
  </si>
  <si>
    <t xml:space="preserve">  Wind</t>
  </si>
  <si>
    <t>RKI000:na_Total</t>
  </si>
  <si>
    <t xml:space="preserve">    Total</t>
  </si>
  <si>
    <t>Heating Degree Days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</si>
  <si>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</si>
  <si>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</si>
  <si>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</si>
  <si>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</si>
  <si>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</si>
  <si>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</si>
  <si>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</si>
  <si>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</si>
  <si>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</si>
  <si>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</si>
  <si>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</si>
  <si>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</si>
  <si>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</si>
  <si>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</si>
  <si>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</si>
  <si>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</si>
  <si>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</si>
  <si>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</si>
  <si>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</si>
  <si>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</si>
  <si>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Cooling Degree Days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</si>
  <si>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</si>
  <si>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</si>
  <si>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</si>
  <si>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</si>
  <si>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</si>
  <si>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</si>
  <si>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</si>
  <si>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</si>
  <si>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</si>
  <si>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</si>
  <si>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transportation sector.</t>
  </si>
  <si>
    <t>Survey.</t>
  </si>
  <si>
    <t>Average Costs ($/BTU saved)</t>
  </si>
  <si>
    <t>post war oil</t>
  </si>
  <si>
    <t>post war gas mid</t>
  </si>
  <si>
    <t>pre war gas low</t>
  </si>
  <si>
    <t>pre war oil mid</t>
  </si>
  <si>
    <t>post war gas high</t>
  </si>
  <si>
    <t>pre war oil low</t>
  </si>
  <si>
    <t>all electric</t>
  </si>
  <si>
    <t>all district steam</t>
  </si>
  <si>
    <t>pre war gas mid</t>
  </si>
  <si>
    <t>post war gas low</t>
  </si>
  <si>
    <t>Total Source Savings (TBTU)</t>
  </si>
  <si>
    <t>Retrofit cost (millions)</t>
  </si>
  <si>
    <t>Replace with LED</t>
  </si>
  <si>
    <t>Area (million SF)</t>
  </si>
  <si>
    <t>Total Removed Source Savings (GBTU)</t>
  </si>
  <si>
    <t>Adjusted Source Savings (TBTU)</t>
  </si>
  <si>
    <t>Building Type</t>
  </si>
  <si>
    <t>Removed Tech</t>
  </si>
  <si>
    <t>Frequency of Rec</t>
  </si>
  <si>
    <t>separate dhw from heating</t>
  </si>
  <si>
    <t>install low flow aerators</t>
  </si>
  <si>
    <t>replace boiler</t>
  </si>
  <si>
    <t>seprrate dhw from heating</t>
  </si>
  <si>
    <t>upgrade boiler</t>
  </si>
  <si>
    <t>install low flow showerheads</t>
  </si>
  <si>
    <t>installe low flow aerators</t>
  </si>
  <si>
    <t>upgrade to led</t>
  </si>
  <si>
    <t>upgrade dhw boiler</t>
  </si>
  <si>
    <t>#2 oil to natural gas</t>
  </si>
  <si>
    <t>#6 oil or #4 oil to natural gas</t>
  </si>
  <si>
    <t>Frequency adjusted measure costs ($/SF-rec)</t>
  </si>
  <si>
    <t>Measure cost ($/SF)</t>
  </si>
  <si>
    <t>Cost per BTU Saved</t>
  </si>
  <si>
    <t>Adjusted Costs ($)</t>
  </si>
  <si>
    <t>Removing non-heating/cooling/envelope related retrofit costs and savings</t>
  </si>
  <si>
    <t>Adjusted Savings by Building Type after Removing Uncovered Costs</t>
  </si>
  <si>
    <t>Floor area weighted cost per unit saved ($)</t>
  </si>
  <si>
    <t>Source Energy Use</t>
  </si>
  <si>
    <t>Percent Reduction</t>
  </si>
  <si>
    <t>Floor area weighted average percent reduction in energy consumption</t>
  </si>
  <si>
    <t>Table 3, Table 13, Figure 6</t>
  </si>
  <si>
    <t>Climate</t>
  </si>
  <si>
    <t>Hot &amp; Humid</t>
  </si>
  <si>
    <t>Hot &amp; Dry</t>
  </si>
  <si>
    <t>Marine</t>
  </si>
  <si>
    <t>Cold</t>
  </si>
  <si>
    <t>Very Cold</t>
  </si>
  <si>
    <t>Measure</t>
  </si>
  <si>
    <t>Savings as % of Total Site Energy</t>
  </si>
  <si>
    <t>Cost</t>
  </si>
  <si>
    <t>Remaining Site Energy Use</t>
  </si>
  <si>
    <t>Row Labels</t>
  </si>
  <si>
    <t>Column Labels</t>
  </si>
  <si>
    <t>Total Reductions</t>
  </si>
  <si>
    <t>State Abbrev</t>
  </si>
  <si>
    <t>State</t>
  </si>
  <si>
    <t>County</t>
  </si>
  <si>
    <r>
      <rPr>
        <sz val="11"/>
        <color theme="1"/>
        <rFont val="Calibri"/>
        <family val="2"/>
        <scheme val="minor"/>
      </rPr>
      <t>AL</t>
    </r>
  </si>
  <si>
    <r>
      <rPr>
        <sz val="11"/>
        <color theme="1"/>
        <rFont val="Calibri"/>
        <family val="2"/>
        <scheme val="minor"/>
      </rPr>
      <t>Alabama</t>
    </r>
  </si>
  <si>
    <t>Autauga</t>
  </si>
  <si>
    <t>Hot-Humid</t>
  </si>
  <si>
    <t>Baldwin</t>
  </si>
  <si>
    <t>Barbour</t>
  </si>
  <si>
    <t>Bibb</t>
  </si>
  <si>
    <t>Mixed-Humid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</si>
  <si>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</si>
  <si>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</si>
  <si>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</si>
  <si>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</si>
  <si>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</si>
  <si>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</si>
  <si>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</si>
  <si>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</si>
  <si>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</si>
  <si>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</si>
  <si>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</si>
  <si>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</si>
  <si>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</si>
  <si>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</si>
  <si>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</si>
  <si>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</si>
  <si>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</si>
  <si>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</si>
  <si>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</si>
  <si>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</si>
  <si>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</si>
  <si>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</si>
  <si>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</si>
  <si>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</si>
  <si>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</si>
  <si>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</si>
  <si>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</si>
  <si>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</si>
  <si>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</si>
  <si>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</si>
  <si>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</si>
  <si>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</si>
  <si>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</si>
  <si>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</si>
  <si>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</si>
  <si>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</si>
  <si>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</si>
  <si>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</si>
  <si>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</si>
  <si>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</si>
  <si>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</si>
  <si>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</si>
  <si>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</si>
  <si>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</si>
  <si>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</si>
  <si>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</si>
  <si>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</si>
  <si>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</si>
  <si>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</si>
  <si>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</si>
  <si>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</si>
  <si>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</si>
  <si>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</si>
  <si>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</si>
  <si>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</si>
  <si>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</si>
  <si>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</si>
  <si>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</si>
  <si>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</si>
  <si>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</si>
  <si>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</si>
  <si>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r>
      <rPr>
        <sz val="11"/>
        <color theme="1"/>
        <rFont val="Calibri"/>
        <family val="2"/>
        <scheme val="minor"/>
      </rPr>
      <t>AR</t>
    </r>
  </si>
  <si>
    <r>
      <rPr>
        <sz val="11"/>
        <color theme="1"/>
        <rFont val="Calibri"/>
        <family val="2"/>
        <scheme val="minor"/>
      </rPr>
      <t>Arkansas</t>
    </r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</si>
  <si>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</si>
  <si>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</si>
  <si>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</si>
  <si>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</si>
  <si>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</si>
  <si>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</si>
  <si>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</si>
  <si>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</si>
  <si>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</si>
  <si>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</si>
  <si>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</si>
  <si>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</si>
  <si>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</si>
  <si>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</si>
  <si>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</si>
  <si>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</si>
  <si>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</si>
  <si>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</si>
  <si>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</si>
  <si>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</si>
  <si>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</si>
  <si>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</si>
  <si>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</si>
  <si>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</si>
  <si>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</si>
  <si>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</si>
  <si>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</si>
  <si>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</si>
  <si>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</si>
  <si>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</si>
  <si>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</si>
  <si>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</si>
  <si>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</si>
  <si>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</si>
  <si>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</si>
  <si>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</si>
  <si>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</si>
  <si>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</si>
  <si>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</si>
  <si>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</si>
  <si>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</si>
  <si>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r>
      <rPr>
        <sz val="11"/>
        <color theme="1"/>
        <rFont val="Calibri"/>
        <family val="2"/>
        <scheme val="minor"/>
      </rPr>
      <t>CA</t>
    </r>
  </si>
  <si>
    <r>
      <rPr>
        <sz val="11"/>
        <color theme="1"/>
        <rFont val="Calibri"/>
        <family val="2"/>
        <scheme val="minor"/>
      </rPr>
      <t>California</t>
    </r>
  </si>
  <si>
    <t>Alameda</t>
  </si>
  <si>
    <t>Alpine</t>
  </si>
  <si>
    <t>Amador</t>
  </si>
  <si>
    <t>Mixed-Dry</t>
  </si>
  <si>
    <t>Butte</t>
  </si>
  <si>
    <t>Hot-Dry</t>
  </si>
  <si>
    <t>Calaveras</t>
  </si>
  <si>
    <t>Colusa</t>
  </si>
  <si>
    <t>Contra Costa</t>
  </si>
  <si>
    <t>Del Norte</t>
  </si>
  <si>
    <t>El Dorado</t>
  </si>
  <si>
    <t>Fresno</t>
  </si>
  <si>
    <r>
      <rPr>
        <sz val="11"/>
        <color theme="1"/>
        <rFont val="Calibri"/>
        <family val="2"/>
        <scheme val="minor"/>
      </rPr>
      <t>CO</t>
    </r>
  </si>
  <si>
    <r>
      <rPr>
        <sz val="11"/>
        <color theme="1"/>
        <rFont val="Calibri"/>
        <family val="2"/>
        <scheme val="minor"/>
      </rPr>
      <t>Colorado</t>
    </r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</si>
  <si>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</si>
  <si>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</si>
  <si>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</si>
  <si>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</si>
  <si>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</si>
  <si>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</si>
  <si>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</si>
  <si>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</si>
  <si>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</si>
  <si>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</si>
  <si>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</si>
  <si>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</si>
  <si>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</si>
  <si>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</si>
  <si>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</si>
  <si>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</si>
  <si>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</si>
  <si>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</si>
  <si>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</si>
  <si>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</si>
  <si>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</si>
  <si>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</si>
  <si>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</si>
  <si>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</si>
  <si>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</si>
  <si>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</si>
  <si>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</si>
  <si>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</si>
  <si>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</si>
  <si>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</si>
  <si>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</si>
  <si>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</si>
  <si>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</si>
  <si>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</si>
  <si>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</si>
  <si>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</si>
  <si>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</si>
  <si>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</si>
  <si>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</si>
  <si>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</si>
  <si>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r>
      <rPr>
        <sz val="11"/>
        <color theme="1"/>
        <rFont val="Calibri"/>
        <family val="2"/>
        <scheme val="minor"/>
      </rPr>
      <t>CT</t>
    </r>
  </si>
  <si>
    <r>
      <rPr>
        <sz val="11"/>
        <color theme="1"/>
        <rFont val="Calibri"/>
        <family val="2"/>
        <scheme val="minor"/>
      </rPr>
      <t>Connecticut</t>
    </r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</si>
  <si>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</si>
  <si>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</si>
  <si>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</si>
  <si>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</si>
  <si>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</si>
  <si>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</si>
  <si>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</si>
  <si>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</si>
  <si>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r>
      <rPr>
        <sz val="11"/>
        <color theme="1"/>
        <rFont val="Calibri"/>
        <family val="2"/>
        <scheme val="minor"/>
      </rPr>
      <t>DE</t>
    </r>
  </si>
  <si>
    <r>
      <rPr>
        <sz val="11"/>
        <color theme="1"/>
        <rFont val="Calibri"/>
        <family val="2"/>
        <scheme val="minor"/>
      </rPr>
      <t>Delaware</t>
    </r>
  </si>
  <si>
    <t>Kent</t>
  </si>
  <si>
    <t>New Castle</t>
  </si>
  <si>
    <t>Sussex</t>
  </si>
  <si>
    <t>District of Columbia</t>
  </si>
  <si>
    <r>
      <rPr>
        <sz val="11"/>
        <color theme="1"/>
        <rFont val="Calibri"/>
        <family val="2"/>
        <scheme val="minor"/>
      </rPr>
      <t>FL</t>
    </r>
  </si>
  <si>
    <r>
      <rPr>
        <sz val="11"/>
        <color theme="1"/>
        <rFont val="Calibri"/>
        <family val="2"/>
        <scheme val="minor"/>
      </rPr>
      <t>Florida</t>
    </r>
  </si>
  <si>
    <t>Alachua</t>
  </si>
  <si>
    <t>Baker</t>
  </si>
  <si>
    <t>Bay</t>
  </si>
  <si>
    <t>Bradford</t>
  </si>
  <si>
    <t>Brevard</t>
  </si>
  <si>
    <r>
      <rPr>
        <sz val="11"/>
        <color theme="1"/>
        <rFont val="Calibri"/>
        <family val="2"/>
        <scheme val="minor"/>
      </rPr>
      <t>GA</t>
    </r>
  </si>
  <si>
    <r>
      <rPr>
        <sz val="11"/>
        <color theme="1"/>
        <rFont val="Calibri"/>
        <family val="2"/>
        <scheme val="minor"/>
      </rPr>
      <t>Georgia</t>
    </r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</si>
  <si>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</si>
  <si>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</si>
  <si>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</si>
  <si>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</si>
  <si>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</si>
  <si>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</si>
  <si>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</si>
  <si>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</si>
  <si>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</si>
  <si>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</si>
  <si>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</si>
  <si>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</si>
  <si>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</si>
  <si>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</si>
  <si>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</si>
  <si>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</si>
  <si>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</si>
  <si>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</si>
  <si>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</si>
  <si>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</si>
  <si>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</si>
  <si>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</si>
  <si>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</si>
  <si>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</si>
  <si>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</si>
  <si>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</si>
  <si>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</si>
  <si>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</si>
  <si>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</si>
  <si>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</si>
  <si>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</si>
  <si>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</si>
  <si>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</si>
  <si>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</si>
  <si>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</si>
  <si>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</si>
  <si>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</si>
  <si>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</si>
  <si>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</si>
  <si>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</si>
  <si>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</si>
  <si>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</si>
  <si>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</si>
  <si>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</si>
  <si>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</si>
  <si>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</si>
  <si>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</si>
  <si>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</si>
  <si>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</si>
  <si>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</si>
  <si>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</si>
  <si>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</si>
  <si>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</si>
  <si>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</si>
  <si>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</si>
  <si>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</si>
  <si>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</si>
  <si>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</si>
  <si>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</si>
  <si>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</si>
  <si>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</si>
  <si>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</si>
  <si>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</si>
  <si>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</si>
  <si>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</si>
  <si>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</si>
  <si>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</si>
  <si>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</si>
  <si>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</si>
  <si>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</si>
  <si>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</si>
  <si>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</si>
  <si>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</si>
  <si>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r>
      <rPr>
        <sz val="11"/>
        <color theme="1"/>
        <rFont val="Calibri"/>
        <family val="2"/>
        <scheme val="minor"/>
      </rPr>
      <t>HI</t>
    </r>
  </si>
  <si>
    <r>
      <rPr>
        <sz val="11"/>
        <color theme="1"/>
        <rFont val="Calibri"/>
        <family val="2"/>
        <scheme val="minor"/>
      </rPr>
      <t>Hawaii</t>
    </r>
  </si>
  <si>
    <t>Hawaii</t>
  </si>
  <si>
    <t>Honolulu</t>
  </si>
  <si>
    <t>Kalawao</t>
  </si>
  <si>
    <t>Kauai</t>
  </si>
  <si>
    <t>Maui</t>
  </si>
  <si>
    <r>
      <rPr>
        <sz val="11"/>
        <color theme="1"/>
        <rFont val="Calibri"/>
        <family val="2"/>
        <scheme val="minor"/>
      </rPr>
      <t>ID</t>
    </r>
  </si>
  <si>
    <r>
      <rPr>
        <sz val="11"/>
        <color theme="1"/>
        <rFont val="Calibri"/>
        <family val="2"/>
        <scheme val="minor"/>
      </rPr>
      <t>Idaho</t>
    </r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</si>
  <si>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</si>
  <si>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</si>
  <si>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</si>
  <si>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</si>
  <si>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</si>
  <si>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</si>
  <si>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</si>
  <si>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</si>
  <si>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</si>
  <si>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</si>
  <si>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</si>
  <si>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</si>
  <si>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</si>
  <si>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</si>
  <si>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</si>
  <si>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</si>
  <si>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</si>
  <si>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</si>
  <si>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</si>
  <si>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</si>
  <si>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Idaho</t>
  </si>
  <si>
    <t>Jerome</t>
  </si>
  <si>
    <t>Kootenai</t>
  </si>
  <si>
    <t>Latah</t>
  </si>
  <si>
    <t>Lemhi</t>
  </si>
  <si>
    <t>Lewis</t>
  </si>
  <si>
    <t>Minidoka</t>
  </si>
  <si>
    <r>
      <rPr>
        <sz val="11"/>
        <color theme="1"/>
        <rFont val="Calibri"/>
        <family val="2"/>
        <scheme val="minor"/>
      </rPr>
      <t>IL</t>
    </r>
  </si>
  <si>
    <r>
      <rPr>
        <sz val="11"/>
        <color theme="1"/>
        <rFont val="Calibri"/>
        <family val="2"/>
        <scheme val="minor"/>
      </rPr>
      <t>Illinois</t>
    </r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</si>
  <si>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</si>
  <si>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</si>
  <si>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</si>
  <si>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</si>
  <si>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</si>
  <si>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</si>
  <si>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</si>
  <si>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</si>
  <si>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</si>
  <si>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</si>
  <si>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</si>
  <si>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</si>
  <si>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</si>
  <si>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</si>
  <si>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</si>
  <si>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</si>
  <si>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</si>
  <si>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</si>
  <si>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</si>
  <si>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</si>
  <si>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</si>
  <si>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</si>
  <si>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</si>
  <si>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</si>
  <si>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</si>
  <si>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</si>
  <si>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</si>
  <si>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r>
      <rPr>
        <sz val="11"/>
        <color theme="1"/>
        <rFont val="Calibri"/>
        <family val="2"/>
        <scheme val="minor"/>
      </rPr>
      <t>IN</t>
    </r>
  </si>
  <si>
    <r>
      <rPr>
        <sz val="11"/>
        <color theme="1"/>
        <rFont val="Calibri"/>
        <family val="2"/>
        <scheme val="minor"/>
      </rPr>
      <t>Indiana</t>
    </r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</si>
  <si>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</si>
  <si>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</si>
  <si>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</si>
  <si>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</si>
  <si>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</si>
  <si>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</si>
  <si>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</si>
  <si>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</si>
  <si>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</si>
  <si>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</si>
  <si>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</si>
  <si>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Delaware</t>
  </si>
  <si>
    <t>Vigo</t>
  </si>
  <si>
    <t>Warrick</t>
  </si>
  <si>
    <t>Wells</t>
  </si>
  <si>
    <t>Whitley</t>
  </si>
  <si>
    <r>
      <rPr>
        <sz val="11"/>
        <color theme="1"/>
        <rFont val="Calibri"/>
        <family val="2"/>
        <scheme val="minor"/>
      </rPr>
      <t>IA</t>
    </r>
  </si>
  <si>
    <r>
      <rPr>
        <sz val="11"/>
        <color theme="1"/>
        <rFont val="Calibri"/>
        <family val="2"/>
        <scheme val="minor"/>
      </rPr>
      <t>Iowa</t>
    </r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</si>
  <si>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</si>
  <si>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</si>
  <si>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</si>
  <si>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</si>
  <si>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</si>
  <si>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</si>
  <si>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</si>
  <si>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</si>
  <si>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</si>
  <si>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</si>
  <si>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</si>
  <si>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</si>
  <si>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</si>
  <si>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</si>
  <si>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</si>
  <si>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</si>
  <si>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</si>
  <si>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</si>
  <si>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</si>
  <si>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</si>
  <si>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</si>
  <si>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</si>
  <si>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</si>
  <si>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</si>
  <si>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Iowa</t>
  </si>
  <si>
    <t>Jasper</t>
  </si>
  <si>
    <t>Jones</t>
  </si>
  <si>
    <t>Keokuk</t>
  </si>
  <si>
    <t>Kossuth</t>
  </si>
  <si>
    <r>
      <rPr>
        <sz val="11"/>
        <color theme="1"/>
        <rFont val="Calibri"/>
        <family val="2"/>
        <scheme val="minor"/>
      </rPr>
      <t>KS</t>
    </r>
  </si>
  <si>
    <r>
      <rPr>
        <sz val="11"/>
        <color theme="1"/>
        <rFont val="Calibri"/>
        <family val="2"/>
        <scheme val="minor"/>
      </rPr>
      <t>Kansas</t>
    </r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</si>
  <si>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</si>
  <si>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</si>
  <si>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</si>
  <si>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</si>
  <si>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</si>
  <si>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</si>
  <si>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</si>
  <si>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</si>
  <si>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</si>
  <si>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</si>
  <si>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</si>
  <si>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</si>
  <si>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</si>
  <si>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</si>
  <si>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</si>
  <si>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</si>
  <si>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</si>
  <si>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</si>
  <si>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</si>
  <si>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</si>
  <si>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</si>
  <si>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</si>
  <si>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</si>
  <si>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</si>
  <si>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</si>
  <si>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</si>
  <si>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</si>
  <si>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</si>
  <si>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</si>
  <si>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</si>
  <si>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</si>
  <si>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</si>
  <si>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</si>
  <si>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</si>
  <si>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</si>
  <si>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</si>
  <si>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</si>
  <si>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</si>
  <si>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</si>
  <si>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</si>
  <si>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</si>
  <si>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</si>
  <si>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</si>
  <si>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</si>
  <si>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</si>
  <si>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</si>
  <si>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</si>
  <si>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r>
      <rPr>
        <sz val="11"/>
        <color theme="1"/>
        <rFont val="Calibri"/>
        <family val="2"/>
        <scheme val="minor"/>
      </rPr>
      <t>KY</t>
    </r>
  </si>
  <si>
    <r>
      <rPr>
        <sz val="11"/>
        <color theme="1"/>
        <rFont val="Calibri"/>
        <family val="2"/>
        <scheme val="minor"/>
      </rPr>
      <t>Kentucky</t>
    </r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</si>
  <si>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</si>
  <si>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</si>
  <si>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</si>
  <si>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</si>
  <si>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</si>
  <si>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</si>
  <si>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</si>
  <si>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</si>
  <si>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</si>
  <si>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</si>
  <si>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</si>
  <si>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</si>
  <si>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</si>
  <si>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</si>
  <si>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</si>
  <si>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</si>
  <si>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</si>
  <si>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</si>
  <si>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</si>
  <si>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</si>
  <si>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</si>
  <si>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</si>
  <si>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</si>
  <si>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</si>
  <si>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</si>
  <si>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</si>
  <si>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</si>
  <si>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</si>
  <si>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</si>
  <si>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</si>
  <si>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</si>
  <si>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</si>
  <si>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</si>
  <si>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</si>
  <si>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</si>
  <si>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</si>
  <si>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</si>
  <si>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</si>
  <si>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r>
      <rPr>
        <sz val="11"/>
        <color theme="1"/>
        <rFont val="Calibri"/>
        <family val="2"/>
        <scheme val="minor"/>
      </rPr>
      <t>LA</t>
    </r>
  </si>
  <si>
    <r>
      <rPr>
        <sz val="11"/>
        <color theme="1"/>
        <rFont val="Calibri"/>
        <family val="2"/>
        <scheme val="minor"/>
      </rPr>
      <t>Louisiana</t>
    </r>
  </si>
  <si>
    <t>Vernon</t>
  </si>
  <si>
    <t>West Baton Rouge</t>
  </si>
  <si>
    <t>West Carroll</t>
  </si>
  <si>
    <t>West Feliciana</t>
  </si>
  <si>
    <t>Winn</t>
  </si>
  <si>
    <r>
      <rPr>
        <sz val="11"/>
        <color theme="1"/>
        <rFont val="Calibri"/>
        <family val="2"/>
        <scheme val="minor"/>
      </rPr>
      <t>ME</t>
    </r>
  </si>
  <si>
    <r>
      <rPr>
        <sz val="11"/>
        <color theme="1"/>
        <rFont val="Calibri"/>
        <family val="2"/>
        <scheme val="minor"/>
      </rPr>
      <t>Maine</t>
    </r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</si>
  <si>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</si>
  <si>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</si>
  <si>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</si>
  <si>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</si>
  <si>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</si>
  <si>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</si>
  <si>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</si>
  <si>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</si>
  <si>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</si>
  <si>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</si>
  <si>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</si>
  <si>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r>
      <rPr>
        <sz val="11"/>
        <color theme="1"/>
        <rFont val="Calibri"/>
        <family val="2"/>
        <scheme val="minor"/>
      </rPr>
      <t>MD</t>
    </r>
  </si>
  <si>
    <r>
      <rPr>
        <sz val="11"/>
        <color theme="1"/>
        <rFont val="Calibri"/>
        <family val="2"/>
        <scheme val="minor"/>
      </rPr>
      <t>Maryland</t>
    </r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</si>
  <si>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</si>
  <si>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</si>
  <si>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</si>
  <si>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</si>
  <si>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</si>
  <si>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</si>
  <si>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</si>
  <si>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</si>
  <si>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</si>
  <si>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</si>
  <si>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</si>
  <si>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</si>
  <si>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</si>
  <si>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</si>
  <si>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</si>
  <si>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</si>
  <si>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</si>
  <si>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</si>
  <si>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r>
      <rPr>
        <sz val="11"/>
        <color theme="1"/>
        <rFont val="Calibri"/>
        <family val="2"/>
        <scheme val="minor"/>
      </rPr>
      <t>MA</t>
    </r>
  </si>
  <si>
    <r>
      <rPr>
        <sz val="11"/>
        <color theme="1"/>
        <rFont val="Calibri"/>
        <family val="2"/>
        <scheme val="minor"/>
      </rPr>
      <t>Massachusetts</t>
    </r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</si>
  <si>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</si>
  <si>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</si>
  <si>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</si>
  <si>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</si>
  <si>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</si>
  <si>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</si>
  <si>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</si>
  <si>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</si>
  <si>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</si>
  <si>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</si>
  <si>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</si>
  <si>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r>
      <rPr>
        <sz val="11"/>
        <color theme="1"/>
        <rFont val="Calibri"/>
        <family val="2"/>
        <scheme val="minor"/>
      </rPr>
      <t>MI</t>
    </r>
  </si>
  <si>
    <r>
      <rPr>
        <sz val="11"/>
        <color theme="1"/>
        <rFont val="Calibri"/>
        <family val="2"/>
        <scheme val="minor"/>
      </rPr>
      <t>Michigan</t>
    </r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</si>
  <si>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</si>
  <si>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</si>
  <si>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</si>
  <si>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</si>
  <si>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</si>
  <si>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</si>
  <si>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</si>
  <si>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</si>
  <si>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</si>
  <si>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</si>
  <si>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</si>
  <si>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</si>
  <si>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</si>
  <si>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</si>
  <si>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r>
      <rPr>
        <sz val="11"/>
        <color theme="1"/>
        <rFont val="Calibri"/>
        <family val="2"/>
        <scheme val="minor"/>
      </rPr>
      <t>MN</t>
    </r>
  </si>
  <si>
    <r>
      <rPr>
        <sz val="11"/>
        <color theme="1"/>
        <rFont val="Calibri"/>
        <family val="2"/>
        <scheme val="minor"/>
      </rPr>
      <t>Minnesota</t>
    </r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</si>
  <si>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</si>
  <si>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</si>
  <si>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</si>
  <si>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</si>
  <si>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</si>
  <si>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</si>
  <si>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</si>
  <si>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</si>
  <si>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</si>
  <si>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</si>
  <si>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</si>
  <si>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</si>
  <si>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</si>
  <si>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</si>
  <si>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</si>
  <si>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</si>
  <si>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</si>
  <si>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</si>
  <si>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</si>
  <si>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</si>
  <si>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</si>
  <si>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</si>
  <si>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</si>
  <si>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</si>
  <si>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</si>
  <si>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</si>
  <si>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</si>
  <si>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</si>
  <si>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</si>
  <si>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</si>
  <si>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</si>
  <si>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</si>
  <si>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</si>
  <si>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</si>
  <si>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</si>
  <si>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r>
      <rPr>
        <sz val="11"/>
        <color theme="1"/>
        <rFont val="Calibri"/>
        <family val="2"/>
        <scheme val="minor"/>
      </rPr>
      <t>MS</t>
    </r>
  </si>
  <si>
    <r>
      <rPr>
        <sz val="11"/>
        <color theme="1"/>
        <rFont val="Calibri"/>
        <family val="2"/>
        <scheme val="minor"/>
      </rPr>
      <t>Mississippi</t>
    </r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</si>
  <si>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</si>
  <si>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</si>
  <si>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</si>
  <si>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</si>
  <si>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</si>
  <si>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</si>
  <si>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</si>
  <si>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</si>
  <si>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</si>
  <si>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</si>
  <si>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</si>
  <si>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</si>
  <si>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</si>
  <si>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</si>
  <si>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</si>
  <si>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</si>
  <si>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</si>
  <si>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</si>
  <si>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</si>
  <si>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</si>
  <si>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</si>
  <si>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</si>
  <si>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</si>
  <si>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</si>
  <si>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</si>
  <si>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r>
      <rPr>
        <sz val="11"/>
        <color theme="1"/>
        <rFont val="Calibri"/>
        <family val="2"/>
        <scheme val="minor"/>
      </rPr>
      <t>MO</t>
    </r>
  </si>
  <si>
    <r>
      <rPr>
        <sz val="11"/>
        <color theme="1"/>
        <rFont val="Calibri"/>
        <family val="2"/>
        <scheme val="minor"/>
      </rPr>
      <t>Missouri</t>
    </r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</si>
  <si>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</si>
  <si>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</si>
  <si>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</si>
  <si>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</si>
  <si>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</si>
  <si>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</si>
  <si>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</si>
  <si>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</si>
  <si>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</si>
  <si>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</si>
  <si>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</si>
  <si>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</si>
  <si>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</si>
  <si>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</si>
  <si>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</si>
  <si>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</si>
  <si>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</si>
  <si>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</si>
  <si>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</si>
  <si>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</si>
  <si>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</si>
  <si>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</si>
  <si>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</si>
  <si>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</si>
  <si>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</si>
  <si>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</si>
  <si>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</si>
  <si>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r>
      <rPr>
        <sz val="11"/>
        <color theme="1"/>
        <rFont val="Calibri"/>
        <family val="2"/>
        <scheme val="minor"/>
      </rPr>
      <t>MT</t>
    </r>
  </si>
  <si>
    <r>
      <rPr>
        <sz val="11"/>
        <color theme="1"/>
        <rFont val="Calibri"/>
        <family val="2"/>
        <scheme val="minor"/>
      </rPr>
      <t>Montana</t>
    </r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</si>
  <si>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</si>
  <si>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</si>
  <si>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</si>
  <si>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</si>
  <si>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</si>
  <si>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</si>
  <si>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</si>
  <si>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</si>
  <si>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</si>
  <si>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</si>
  <si>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</si>
  <si>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</si>
  <si>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</si>
  <si>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</si>
  <si>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</si>
  <si>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</si>
  <si>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</si>
  <si>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</si>
  <si>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</si>
  <si>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</si>
  <si>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r>
      <rPr>
        <sz val="11"/>
        <color theme="1"/>
        <rFont val="Calibri"/>
        <family val="2"/>
        <scheme val="minor"/>
      </rPr>
      <t>NE</t>
    </r>
  </si>
  <si>
    <r>
      <rPr>
        <sz val="11"/>
        <color theme="1"/>
        <rFont val="Calibri"/>
        <family val="2"/>
        <scheme val="minor"/>
      </rPr>
      <t>Nebraska</t>
    </r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</si>
  <si>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</si>
  <si>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</si>
  <si>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</si>
  <si>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</si>
  <si>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</si>
  <si>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</si>
  <si>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</si>
  <si>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</si>
  <si>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</si>
  <si>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</si>
  <si>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</si>
  <si>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</si>
  <si>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</si>
  <si>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</si>
  <si>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</si>
  <si>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</si>
  <si>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</si>
  <si>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</si>
  <si>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</si>
  <si>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</si>
  <si>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</si>
  <si>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</si>
  <si>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</si>
  <si>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</si>
  <si>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</si>
  <si>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</si>
  <si>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</si>
  <si>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</si>
  <si>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</si>
  <si>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</si>
  <si>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</si>
  <si>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</si>
  <si>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</si>
  <si>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r>
      <rPr>
        <sz val="11"/>
        <color theme="1"/>
        <rFont val="Calibri"/>
        <family val="2"/>
        <scheme val="minor"/>
      </rPr>
      <t>NV</t>
    </r>
  </si>
  <si>
    <r>
      <rPr>
        <sz val="11"/>
        <color theme="1"/>
        <rFont val="Calibri"/>
        <family val="2"/>
        <scheme val="minor"/>
      </rPr>
      <t>Nevada</t>
    </r>
  </si>
  <si>
    <t>Carson City (city)</t>
  </si>
  <si>
    <t>Churchill</t>
  </si>
  <si>
    <t>Elko</t>
  </si>
  <si>
    <t>Esmeralda</t>
  </si>
  <si>
    <t>Eureka</t>
  </si>
  <si>
    <r>
      <rPr>
        <sz val="11"/>
        <color theme="1"/>
        <rFont val="Calibri"/>
        <family val="2"/>
        <scheme val="minor"/>
      </rPr>
      <t>NM</t>
    </r>
  </si>
  <si>
    <r>
      <rPr>
        <sz val="11"/>
        <color theme="1"/>
        <rFont val="Calibri"/>
        <family val="2"/>
        <scheme val="minor"/>
      </rPr>
      <t>New Mexico</t>
    </r>
  </si>
  <si>
    <t>Sandoval</t>
  </si>
  <si>
    <t>Santa Fe</t>
  </si>
  <si>
    <t>Sierra</t>
  </si>
  <si>
    <t>Socorro</t>
  </si>
  <si>
    <t>Taos</t>
  </si>
  <si>
    <t>Torrance</t>
  </si>
  <si>
    <t>Valencia</t>
  </si>
  <si>
    <r>
      <rPr>
        <sz val="11"/>
        <color theme="1"/>
        <rFont val="Calibri"/>
        <family val="2"/>
        <scheme val="minor"/>
      </rPr>
      <t>NY</t>
    </r>
  </si>
  <si>
    <r>
      <rPr>
        <sz val="11"/>
        <color theme="1"/>
        <rFont val="Calibri"/>
        <family val="2"/>
        <scheme val="minor"/>
      </rPr>
      <t>New York</t>
    </r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</si>
  <si>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</si>
  <si>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</si>
  <si>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</si>
  <si>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</si>
  <si>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</si>
  <si>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</si>
  <si>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</si>
  <si>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</si>
  <si>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</si>
  <si>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</si>
  <si>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</si>
  <si>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</si>
  <si>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</si>
  <si>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</si>
  <si>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</si>
  <si>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New York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</si>
  <si>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</si>
  <si>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</si>
  <si>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</si>
  <si>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</si>
  <si>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</si>
  <si>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</si>
  <si>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</si>
  <si>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</si>
  <si>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</si>
  <si>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</si>
  <si>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</si>
  <si>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</si>
  <si>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</si>
  <si>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</si>
  <si>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</si>
  <si>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</si>
  <si>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</si>
  <si>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</si>
  <si>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</si>
  <si>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</si>
  <si>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</si>
  <si>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r>
      <rPr>
        <sz val="11"/>
        <color theme="1"/>
        <rFont val="Calibri"/>
        <family val="2"/>
        <scheme val="minor"/>
      </rPr>
      <t>NC</t>
    </r>
  </si>
  <si>
    <r>
      <rPr>
        <sz val="11"/>
        <color theme="1"/>
        <rFont val="Calibri"/>
        <family val="2"/>
        <scheme val="minor"/>
      </rPr>
      <t>North Carolina</t>
    </r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</si>
  <si>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</si>
  <si>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</si>
  <si>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</si>
  <si>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</si>
  <si>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</si>
  <si>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</si>
  <si>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</si>
  <si>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</si>
  <si>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</si>
  <si>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</si>
  <si>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</si>
  <si>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</si>
  <si>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</si>
  <si>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</si>
  <si>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</si>
  <si>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</si>
  <si>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</si>
  <si>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</si>
  <si>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</si>
  <si>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</si>
  <si>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</si>
  <si>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</si>
  <si>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</si>
  <si>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</si>
  <si>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</si>
  <si>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</si>
  <si>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</si>
  <si>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r>
      <rPr>
        <sz val="11"/>
        <color theme="1"/>
        <rFont val="Calibri"/>
        <family val="2"/>
        <scheme val="minor"/>
      </rPr>
      <t>ND</t>
    </r>
  </si>
  <si>
    <r>
      <rPr>
        <sz val="11"/>
        <color theme="1"/>
        <rFont val="Calibri"/>
        <family val="2"/>
        <scheme val="minor"/>
      </rPr>
      <t>North Dakota</t>
    </r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</si>
  <si>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</si>
  <si>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</si>
  <si>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</si>
  <si>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</si>
  <si>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</si>
  <si>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</si>
  <si>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</si>
  <si>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</si>
  <si>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</si>
  <si>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</si>
  <si>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</si>
  <si>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</si>
  <si>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</si>
  <si>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</si>
  <si>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</si>
  <si>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</si>
  <si>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</si>
  <si>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</si>
  <si>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r>
      <rPr>
        <sz val="11"/>
        <color theme="1"/>
        <rFont val="Calibri"/>
        <family val="2"/>
        <scheme val="minor"/>
      </rPr>
      <t>OH</t>
    </r>
  </si>
  <si>
    <r>
      <rPr>
        <sz val="11"/>
        <color theme="1"/>
        <rFont val="Calibri"/>
        <family val="2"/>
        <scheme val="minor"/>
      </rPr>
      <t>Ohio</t>
    </r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</si>
  <si>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</si>
  <si>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</si>
  <si>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</si>
  <si>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</si>
  <si>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</si>
  <si>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</si>
  <si>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</si>
  <si>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</si>
  <si>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</si>
  <si>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</si>
  <si>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</si>
  <si>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</si>
  <si>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</si>
  <si>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</si>
  <si>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</si>
  <si>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</si>
  <si>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</si>
  <si>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</si>
  <si>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</si>
  <si>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</si>
  <si>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</si>
  <si>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</si>
  <si>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</si>
  <si>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</si>
  <si>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</si>
  <si>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r>
      <rPr>
        <sz val="11"/>
        <color theme="1"/>
        <rFont val="Calibri"/>
        <family val="2"/>
        <scheme val="minor"/>
      </rPr>
      <t>OK</t>
    </r>
  </si>
  <si>
    <r>
      <rPr>
        <sz val="11"/>
        <color theme="1"/>
        <rFont val="Calibri"/>
        <family val="2"/>
        <scheme val="minor"/>
      </rPr>
      <t>Oklahoma</t>
    </r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</si>
  <si>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</si>
  <si>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</si>
  <si>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</si>
  <si>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</si>
  <si>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</si>
  <si>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</si>
  <si>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</si>
  <si>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</si>
  <si>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r>
      <rPr>
        <sz val="11"/>
        <color theme="1"/>
        <rFont val="Calibri"/>
        <family val="2"/>
        <scheme val="minor"/>
      </rPr>
      <t>OR</t>
    </r>
  </si>
  <si>
    <r>
      <rPr>
        <sz val="11"/>
        <color theme="1"/>
        <rFont val="Calibri"/>
        <family val="2"/>
        <scheme val="minor"/>
      </rPr>
      <t>Oregon</t>
    </r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</si>
  <si>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</si>
  <si>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</si>
  <si>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</si>
  <si>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</si>
  <si>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</si>
  <si>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</si>
  <si>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</si>
  <si>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</si>
  <si>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</si>
  <si>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</si>
  <si>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</si>
  <si>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</si>
  <si>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</si>
  <si>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</si>
  <si>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</si>
  <si>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</si>
  <si>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</si>
  <si>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</si>
  <si>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r>
      <rPr>
        <sz val="11"/>
        <color theme="1"/>
        <rFont val="Calibri"/>
        <family val="2"/>
        <scheme val="minor"/>
      </rPr>
      <t>PA</t>
    </r>
  </si>
  <si>
    <r>
      <rPr>
        <sz val="11"/>
        <color theme="1"/>
        <rFont val="Calibri"/>
        <family val="2"/>
        <scheme val="minor"/>
      </rPr>
      <t>Pennsylvania</t>
    </r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</si>
  <si>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</si>
  <si>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</si>
  <si>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</si>
  <si>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</si>
  <si>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</si>
  <si>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</si>
  <si>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</si>
  <si>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</si>
  <si>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</si>
  <si>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</si>
  <si>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</si>
  <si>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</si>
  <si>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</si>
  <si>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</si>
  <si>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</si>
  <si>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r>
      <rPr>
        <sz val="11"/>
        <color theme="1"/>
        <rFont val="Calibri"/>
        <family val="2"/>
        <scheme val="minor"/>
      </rPr>
      <t>SC</t>
    </r>
  </si>
  <si>
    <r>
      <rPr>
        <sz val="11"/>
        <color theme="1"/>
        <rFont val="Calibri"/>
        <family val="2"/>
        <scheme val="minor"/>
      </rPr>
      <t>South Carolina</t>
    </r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</si>
  <si>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</si>
  <si>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</si>
  <si>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</si>
  <si>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</si>
  <si>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</si>
  <si>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</si>
  <si>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</si>
  <si>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</si>
  <si>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</si>
  <si>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</si>
  <si>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</si>
  <si>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</si>
  <si>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</si>
  <si>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r>
      <rPr>
        <sz val="11"/>
        <color theme="1"/>
        <rFont val="Calibri"/>
        <family val="2"/>
        <scheme val="minor"/>
      </rPr>
      <t>SD</t>
    </r>
  </si>
  <si>
    <r>
      <rPr>
        <sz val="11"/>
        <color theme="1"/>
        <rFont val="Calibri"/>
        <family val="2"/>
        <scheme val="minor"/>
      </rPr>
      <t>South Dakota</t>
    </r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</si>
  <si>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</si>
  <si>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</si>
  <si>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</si>
  <si>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</si>
  <si>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</si>
  <si>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</si>
  <si>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</si>
  <si>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</si>
  <si>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</si>
  <si>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</si>
  <si>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</si>
  <si>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</si>
  <si>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</si>
  <si>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</si>
  <si>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</si>
  <si>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</si>
  <si>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</si>
  <si>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</si>
  <si>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</si>
  <si>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</si>
  <si>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</si>
  <si>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</si>
  <si>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</si>
  <si>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</si>
  <si>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</si>
  <si>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</si>
  <si>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</si>
  <si>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</si>
  <si>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</si>
  <si>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</si>
  <si>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r>
      <rPr>
        <sz val="11"/>
        <color theme="1"/>
        <rFont val="Calibri"/>
        <family val="2"/>
        <scheme val="minor"/>
      </rPr>
      <t>TN</t>
    </r>
  </si>
  <si>
    <r>
      <rPr>
        <sz val="11"/>
        <color theme="1"/>
        <rFont val="Calibri"/>
        <family val="2"/>
        <scheme val="minor"/>
      </rPr>
      <t>Tennessee</t>
    </r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</si>
  <si>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</si>
  <si>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</si>
  <si>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</si>
  <si>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</si>
  <si>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</si>
  <si>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</si>
  <si>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</si>
  <si>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</si>
  <si>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</si>
  <si>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</si>
  <si>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</si>
  <si>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</si>
  <si>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</si>
  <si>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</si>
  <si>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</si>
  <si>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</si>
  <si>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</si>
  <si>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r>
      <rPr>
        <sz val="11"/>
        <color theme="1"/>
        <rFont val="Calibri"/>
        <family val="2"/>
        <scheme val="minor"/>
      </rPr>
      <t>TX</t>
    </r>
  </si>
  <si>
    <r>
      <rPr>
        <sz val="11"/>
        <color theme="1"/>
        <rFont val="Calibri"/>
        <family val="2"/>
        <scheme val="minor"/>
      </rPr>
      <t>Texas</t>
    </r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</si>
  <si>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</si>
  <si>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</si>
  <si>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</si>
  <si>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</si>
  <si>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</si>
  <si>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</si>
  <si>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</si>
  <si>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</si>
  <si>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</si>
  <si>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</si>
  <si>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</si>
  <si>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</si>
  <si>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</si>
  <si>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</si>
  <si>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</si>
  <si>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</si>
  <si>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</si>
  <si>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</si>
  <si>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</si>
  <si>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</si>
  <si>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</si>
  <si>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</si>
  <si>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</si>
  <si>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</si>
  <si>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</si>
  <si>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</si>
  <si>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</si>
  <si>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</si>
  <si>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</si>
  <si>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</si>
  <si>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</si>
  <si>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</si>
  <si>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</si>
  <si>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</si>
  <si>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</si>
  <si>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</si>
  <si>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</si>
  <si>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</si>
  <si>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</si>
  <si>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</si>
  <si>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</si>
  <si>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</si>
  <si>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</si>
  <si>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</si>
  <si>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</si>
  <si>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</si>
  <si>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</si>
  <si>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</si>
  <si>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</si>
  <si>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</si>
  <si>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</si>
  <si>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</si>
  <si>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</si>
  <si>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</si>
  <si>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</si>
  <si>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</si>
  <si>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</si>
  <si>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</si>
  <si>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</si>
  <si>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</si>
  <si>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</si>
  <si>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</si>
  <si>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</si>
  <si>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</si>
  <si>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</si>
  <si>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</si>
  <si>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</si>
  <si>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</si>
  <si>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</si>
  <si>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</si>
  <si>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</si>
  <si>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</si>
  <si>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</si>
  <si>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</si>
  <si>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</si>
  <si>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</si>
  <si>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</si>
  <si>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</si>
  <si>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</si>
  <si>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</si>
  <si>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</si>
  <si>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</si>
  <si>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</si>
  <si>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</si>
  <si>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</si>
  <si>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</si>
  <si>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</si>
  <si>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</si>
  <si>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</si>
  <si>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</si>
  <si>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r>
      <rPr>
        <sz val="11"/>
        <color theme="1"/>
        <rFont val="Calibri"/>
        <family val="2"/>
        <scheme val="minor"/>
      </rPr>
      <t>UT</t>
    </r>
  </si>
  <si>
    <r>
      <rPr>
        <sz val="11"/>
        <color theme="1"/>
        <rFont val="Calibri"/>
        <family val="2"/>
        <scheme val="minor"/>
      </rPr>
      <t>Utah</t>
    </r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</si>
  <si>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</si>
  <si>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</si>
  <si>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</si>
  <si>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</si>
  <si>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</si>
  <si>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</si>
  <si>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</si>
  <si>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</si>
  <si>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</si>
  <si>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</si>
  <si>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</si>
  <si>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</si>
  <si>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r>
      <rPr>
        <sz val="11"/>
        <color theme="1"/>
        <rFont val="Calibri"/>
        <family val="2"/>
        <scheme val="minor"/>
      </rPr>
      <t>VA</t>
    </r>
  </si>
  <si>
    <r>
      <rPr>
        <sz val="11"/>
        <color theme="1"/>
        <rFont val="Calibri"/>
        <family val="2"/>
        <scheme val="minor"/>
      </rPr>
      <t>Virginia</t>
    </r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</si>
  <si>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</si>
  <si>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</si>
  <si>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</si>
  <si>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</si>
  <si>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</si>
  <si>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</si>
  <si>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</si>
  <si>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</si>
  <si>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</si>
  <si>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</si>
  <si>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</si>
  <si>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</si>
  <si>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</si>
  <si>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</si>
  <si>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</si>
  <si>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</si>
  <si>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</si>
  <si>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</si>
  <si>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</si>
  <si>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</si>
  <si>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</si>
  <si>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</si>
  <si>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</si>
  <si>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</si>
  <si>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</si>
  <si>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</si>
  <si>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</si>
  <si>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</si>
  <si>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</si>
  <si>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</si>
  <si>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</si>
  <si>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</si>
  <si>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</si>
  <si>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</si>
  <si>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</si>
  <si>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</si>
  <si>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</si>
  <si>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</si>
  <si>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</si>
  <si>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</si>
  <si>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</si>
  <si>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</si>
  <si>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</si>
  <si>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</si>
  <si>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</si>
  <si>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</si>
  <si>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</si>
  <si>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</si>
  <si>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</si>
  <si>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</si>
  <si>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r>
      <rPr>
        <sz val="11"/>
        <color theme="1"/>
        <rFont val="Calibri"/>
        <family val="2"/>
        <scheme val="minor"/>
      </rPr>
      <t>WA</t>
    </r>
  </si>
  <si>
    <r>
      <rPr>
        <sz val="11"/>
        <color theme="1"/>
        <rFont val="Calibri"/>
        <family val="2"/>
        <scheme val="minor"/>
      </rPr>
      <t>Washington</t>
    </r>
  </si>
  <si>
    <t>Walla Walla</t>
  </si>
  <si>
    <t>Whatcom</t>
  </si>
  <si>
    <t>Whitman</t>
  </si>
  <si>
    <t>Yakima</t>
  </si>
  <si>
    <r>
      <rPr>
        <sz val="11"/>
        <color theme="1"/>
        <rFont val="Calibri"/>
        <family val="2"/>
        <scheme val="minor"/>
      </rPr>
      <t>WV</t>
    </r>
  </si>
  <si>
    <r>
      <rPr>
        <sz val="11"/>
        <color theme="1"/>
        <rFont val="Calibri"/>
        <family val="2"/>
        <scheme val="minor"/>
      </rPr>
      <t>West Virginia</t>
    </r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</si>
  <si>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</si>
  <si>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</si>
  <si>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</si>
  <si>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</si>
  <si>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</si>
  <si>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</si>
  <si>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</si>
  <si>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</si>
  <si>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</si>
  <si>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</si>
  <si>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</si>
  <si>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</si>
  <si>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</si>
  <si>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</si>
  <si>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</si>
  <si>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</si>
  <si>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</si>
  <si>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</si>
  <si>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</si>
  <si>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</si>
  <si>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</si>
  <si>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r>
      <rPr>
        <sz val="11"/>
        <color theme="1"/>
        <rFont val="Calibri"/>
        <family val="2"/>
        <scheme val="minor"/>
      </rPr>
      <t>WI</t>
    </r>
  </si>
  <si>
    <r>
      <rPr>
        <sz val="11"/>
        <color theme="1"/>
        <rFont val="Calibri"/>
        <family val="2"/>
        <scheme val="minor"/>
      </rPr>
      <t>Wisconsin</t>
    </r>
  </si>
  <si>
    <t>Ashland</t>
  </si>
  <si>
    <t>Barron</t>
  </si>
  <si>
    <t>Bayfield</t>
  </si>
  <si>
    <r>
      <rPr>
        <sz val="11"/>
        <color theme="1"/>
        <rFont val="Calibri"/>
        <family val="2"/>
        <scheme val="minor"/>
      </rPr>
      <t>WY</t>
    </r>
  </si>
  <si>
    <r>
      <rPr>
        <sz val="11"/>
        <color theme="1"/>
        <rFont val="Calibri"/>
        <family val="2"/>
        <scheme val="minor"/>
      </rPr>
      <t>Wyoming</t>
    </r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</si>
  <si>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</si>
  <si>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</si>
  <si>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</si>
  <si>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</si>
  <si>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</si>
  <si>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</si>
  <si>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</si>
  <si>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</si>
  <si>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</si>
  <si>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</si>
  <si>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</si>
  <si>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</si>
  <si>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AL</t>
  </si>
  <si>
    <t>Alabama</t>
  </si>
  <si>
    <t>AK</t>
  </si>
  <si>
    <t>Alaska</t>
  </si>
  <si>
    <t>Aleutians East</t>
  </si>
  <si>
    <t>Aleutians West (CA)</t>
  </si>
  <si>
    <t>Anchorage</t>
  </si>
  <si>
    <t>Bethel (CA)</t>
  </si>
  <si>
    <t>Subarctic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</si>
  <si>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</si>
  <si>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</si>
  <si>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</si>
  <si>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</si>
  <si>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</si>
  <si>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</si>
  <si>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</si>
  <si>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</si>
  <si>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</si>
  <si>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</si>
  <si>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</si>
  <si>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</si>
  <si>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</si>
  <si>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</si>
  <si>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</si>
  <si>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</si>
  <si>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</si>
  <si>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</si>
  <si>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</si>
  <si>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</si>
  <si>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</si>
  <si>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</si>
  <si>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</si>
  <si>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</si>
  <si>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</si>
  <si>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</si>
  <si>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</si>
  <si>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</si>
  <si>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</si>
  <si>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</si>
  <si>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</si>
  <si>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</si>
  <si>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</si>
  <si>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</si>
  <si>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</si>
  <si>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</si>
  <si>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</si>
  <si>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AR</t>
  </si>
  <si>
    <t>Arkansas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</si>
  <si>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</si>
  <si>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</si>
  <si>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</si>
  <si>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</si>
  <si>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</si>
  <si>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</si>
  <si>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</si>
  <si>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</si>
  <si>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CA</t>
  </si>
  <si>
    <t>California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</si>
  <si>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</si>
  <si>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</si>
  <si>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</si>
  <si>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</si>
  <si>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</si>
  <si>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</si>
  <si>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</si>
  <si>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</si>
  <si>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</si>
  <si>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</si>
  <si>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</si>
  <si>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</si>
  <si>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</si>
  <si>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</si>
  <si>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</si>
  <si>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</si>
  <si>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</si>
  <si>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</si>
  <si>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</si>
  <si>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</si>
  <si>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</si>
  <si>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</si>
  <si>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</si>
  <si>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</si>
  <si>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</si>
  <si>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</si>
  <si>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</si>
  <si>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</si>
  <si>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</si>
  <si>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</si>
  <si>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</si>
  <si>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</si>
  <si>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</si>
  <si>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</si>
  <si>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</si>
  <si>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</si>
  <si>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</si>
  <si>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</si>
  <si>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</si>
  <si>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</si>
  <si>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CO</t>
  </si>
  <si>
    <t>Colorado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</si>
  <si>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</si>
  <si>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</si>
  <si>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</si>
  <si>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</si>
  <si>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</si>
  <si>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</si>
  <si>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</si>
  <si>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</si>
  <si>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</si>
  <si>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</si>
  <si>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</si>
  <si>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</si>
  <si>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</si>
  <si>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</si>
  <si>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</si>
  <si>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FL</t>
  </si>
  <si>
    <t>Florida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</si>
  <si>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</si>
  <si>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</si>
  <si>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</si>
  <si>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</si>
  <si>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</si>
  <si>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</si>
  <si>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</si>
  <si>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</si>
  <si>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</si>
  <si>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</si>
  <si>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</si>
  <si>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</si>
  <si>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</si>
  <si>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</si>
  <si>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</si>
  <si>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</si>
  <si>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</si>
  <si>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</si>
  <si>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</si>
  <si>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</si>
  <si>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</si>
  <si>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</si>
  <si>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</si>
  <si>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</si>
  <si>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</si>
  <si>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</si>
  <si>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</si>
  <si>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</si>
  <si>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</si>
  <si>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</si>
  <si>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</si>
  <si>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</si>
  <si>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</si>
  <si>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</si>
  <si>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</si>
  <si>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</si>
  <si>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GA</t>
  </si>
  <si>
    <t>Georgia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</si>
  <si>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</si>
  <si>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</si>
  <si>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</si>
  <si>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</si>
  <si>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</si>
  <si>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</si>
  <si>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</si>
  <si>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</si>
  <si>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</si>
  <si>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</si>
  <si>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</si>
  <si>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</si>
  <si>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</si>
  <si>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</si>
  <si>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</si>
  <si>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</si>
  <si>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</si>
  <si>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</si>
  <si>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</si>
  <si>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</si>
  <si>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</si>
  <si>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</si>
  <si>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</si>
  <si>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ID</t>
  </si>
  <si>
    <t>Nez Perce</t>
  </si>
  <si>
    <t>Owyhee</t>
  </si>
  <si>
    <t>Payette</t>
  </si>
  <si>
    <t>Power</t>
  </si>
  <si>
    <t>Shoshone</t>
  </si>
  <si>
    <t>Twin Falls</t>
  </si>
  <si>
    <t>IL</t>
  </si>
  <si>
    <t>Illinois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</si>
  <si>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</si>
  <si>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</si>
  <si>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</si>
  <si>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</si>
  <si>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</si>
  <si>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</si>
  <si>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</si>
  <si>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</si>
  <si>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</si>
  <si>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</si>
  <si>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</si>
  <si>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</si>
  <si>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</si>
  <si>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IN</t>
  </si>
  <si>
    <t>Indiana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</si>
  <si>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</si>
  <si>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</si>
  <si>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</si>
  <si>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</si>
  <si>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</si>
  <si>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</si>
  <si>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</si>
  <si>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</si>
  <si>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</si>
  <si>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</si>
  <si>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</si>
  <si>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</si>
  <si>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</si>
  <si>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</si>
  <si>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</si>
  <si>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</si>
  <si>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</si>
  <si>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</si>
  <si>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</si>
  <si>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IA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</si>
  <si>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</si>
  <si>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</si>
  <si>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</si>
  <si>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</si>
  <si>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</si>
  <si>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</si>
  <si>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</si>
  <si>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</si>
  <si>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</si>
  <si>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</si>
  <si>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</si>
  <si>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</si>
  <si>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</si>
  <si>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</si>
  <si>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</si>
  <si>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KS</t>
  </si>
  <si>
    <t>Kansas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</si>
  <si>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</si>
  <si>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</si>
  <si>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</si>
  <si>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</si>
  <si>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</si>
  <si>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</si>
  <si>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</si>
  <si>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</si>
  <si>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</si>
  <si>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</si>
  <si>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</si>
  <si>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</si>
  <si>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</si>
  <si>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</si>
  <si>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</si>
  <si>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</si>
  <si>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KY</t>
  </si>
  <si>
    <t>Kentucky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</si>
  <si>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</si>
  <si>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</si>
  <si>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</si>
  <si>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</si>
  <si>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</si>
  <si>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</si>
  <si>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</si>
  <si>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</si>
  <si>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</si>
  <si>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</si>
  <si>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</si>
  <si>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</si>
  <si>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</si>
  <si>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</si>
  <si>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</si>
  <si>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</si>
  <si>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</si>
  <si>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</si>
  <si>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</si>
  <si>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</si>
  <si>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</si>
  <si>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</si>
  <si>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</si>
  <si>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LA</t>
  </si>
  <si>
    <t>Louisiana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</si>
  <si>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</si>
  <si>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</si>
  <si>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</si>
  <si>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</si>
  <si>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</si>
  <si>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</si>
  <si>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</si>
  <si>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</si>
  <si>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</si>
  <si>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</si>
  <si>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</si>
  <si>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</si>
  <si>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</si>
  <si>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</si>
  <si>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</si>
  <si>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</si>
  <si>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</si>
  <si>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</si>
  <si>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</si>
  <si>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</si>
  <si>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</si>
  <si>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</si>
  <si>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</si>
  <si>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</si>
  <si>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</si>
  <si>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</si>
  <si>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</si>
  <si>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</si>
  <si>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</si>
  <si>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</si>
  <si>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</si>
  <si>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</si>
  <si>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</si>
  <si>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</si>
  <si>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</si>
  <si>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</si>
  <si>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</si>
  <si>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MI</t>
  </si>
  <si>
    <t>Michigan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</si>
  <si>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</si>
  <si>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</si>
  <si>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</si>
  <si>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</si>
  <si>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</si>
  <si>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</si>
  <si>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</si>
  <si>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</si>
  <si>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</si>
  <si>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</si>
  <si>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</si>
  <si>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</si>
  <si>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</si>
  <si>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</si>
  <si>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</si>
  <si>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</si>
  <si>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</si>
  <si>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</si>
  <si>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</si>
  <si>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</si>
  <si>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</si>
  <si>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</si>
  <si>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</si>
  <si>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</si>
  <si>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</si>
  <si>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</si>
  <si>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</si>
  <si>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</si>
  <si>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</si>
  <si>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</si>
  <si>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</si>
  <si>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</si>
  <si>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</si>
  <si>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</si>
  <si>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</si>
  <si>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</si>
  <si>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</si>
  <si>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</si>
  <si>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</si>
  <si>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</si>
  <si>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</si>
  <si>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</si>
  <si>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</si>
  <si>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MN</t>
  </si>
  <si>
    <t>Minnesota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</si>
  <si>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</si>
  <si>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</si>
  <si>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</si>
  <si>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</si>
  <si>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</si>
  <si>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</si>
  <si>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</si>
  <si>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</si>
  <si>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</si>
  <si>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</si>
  <si>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</si>
  <si>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</si>
  <si>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</si>
  <si>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</si>
  <si>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</si>
  <si>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</si>
  <si>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</si>
  <si>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</si>
  <si>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</si>
  <si>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</si>
  <si>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</si>
  <si>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</si>
  <si>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</si>
  <si>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</si>
  <si>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</si>
  <si>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</si>
  <si>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</si>
  <si>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</si>
  <si>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</si>
  <si>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</si>
  <si>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</si>
  <si>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</si>
  <si>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</si>
  <si>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</si>
  <si>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</si>
  <si>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</si>
  <si>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</si>
  <si>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</si>
  <si>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</si>
  <si>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MO</t>
  </si>
  <si>
    <t>Missouri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</si>
  <si>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</si>
  <si>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</si>
  <si>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</si>
  <si>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</si>
  <si>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</si>
  <si>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</si>
  <si>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</si>
  <si>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</si>
  <si>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</si>
  <si>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</si>
  <si>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</si>
  <si>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</si>
  <si>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</si>
  <si>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</si>
  <si>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</si>
  <si>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</si>
  <si>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</si>
  <si>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Oregon</t>
  </si>
  <si>
    <t>Ozark</t>
  </si>
  <si>
    <t>MT</t>
  </si>
  <si>
    <t>Montana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</si>
  <si>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</si>
  <si>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</si>
  <si>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</si>
  <si>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</si>
  <si>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</si>
  <si>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</si>
  <si>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</si>
  <si>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</si>
  <si>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</si>
  <si>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</si>
  <si>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</si>
  <si>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</si>
  <si>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</si>
  <si>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</si>
  <si>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</si>
  <si>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</si>
  <si>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</si>
  <si>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</si>
  <si>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</si>
  <si>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</t>
  </si>
  <si>
    <t>Nebraska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</si>
  <si>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</si>
  <si>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</si>
  <si>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</si>
  <si>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</si>
  <si>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</si>
  <si>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</si>
  <si>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</si>
  <si>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</si>
  <si>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</si>
  <si>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</si>
  <si>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</si>
  <si>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</si>
  <si>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</si>
  <si>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</si>
  <si>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</si>
  <si>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NV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</si>
  <si>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</si>
  <si>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</si>
  <si>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</si>
  <si>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</si>
  <si>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</si>
  <si>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</si>
  <si>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</si>
  <si>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</si>
  <si>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</si>
  <si>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</si>
  <si>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</si>
  <si>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</si>
  <si>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</si>
  <si>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</si>
  <si>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</si>
  <si>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</si>
  <si>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</si>
  <si>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</si>
  <si>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</si>
  <si>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</si>
  <si>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</si>
  <si>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</si>
  <si>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</si>
  <si>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</si>
  <si>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</si>
  <si>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NM</t>
  </si>
  <si>
    <t>New Mexico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</si>
  <si>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</si>
  <si>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</si>
  <si>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</si>
  <si>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</si>
  <si>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</si>
  <si>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</si>
  <si>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</si>
  <si>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</si>
  <si>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</si>
  <si>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</si>
  <si>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</si>
  <si>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</si>
  <si>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</si>
  <si>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NY</t>
  </si>
  <si>
    <t>Westchester</t>
  </si>
  <si>
    <t>Yates</t>
  </si>
  <si>
    <t>NC</t>
  </si>
  <si>
    <t>North Carolina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</si>
  <si>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</si>
  <si>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</si>
  <si>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</si>
  <si>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</si>
  <si>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</si>
  <si>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</si>
  <si>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</si>
  <si>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</si>
  <si>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</si>
  <si>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</si>
  <si>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</si>
  <si>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</si>
  <si>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</si>
  <si>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</si>
  <si>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</si>
  <si>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</si>
  <si>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</si>
  <si>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</si>
  <si>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</si>
  <si>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</si>
  <si>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</si>
  <si>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</si>
  <si>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</si>
  <si>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</si>
  <si>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</si>
  <si>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</si>
  <si>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</si>
  <si>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</si>
  <si>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</si>
  <si>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</si>
  <si>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</si>
  <si>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</si>
  <si>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</si>
  <si>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</si>
  <si>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</si>
  <si>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ND</t>
  </si>
  <si>
    <t>North Dakota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</si>
  <si>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</si>
  <si>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</si>
  <si>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</si>
  <si>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</si>
  <si>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</si>
  <si>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</si>
  <si>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</si>
  <si>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</si>
  <si>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</si>
  <si>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</si>
  <si>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</si>
  <si>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</si>
  <si>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OH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</si>
  <si>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</si>
  <si>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</si>
  <si>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</si>
  <si>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</si>
  <si>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</si>
  <si>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</si>
  <si>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</si>
  <si>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</si>
  <si>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</si>
  <si>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</si>
  <si>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</si>
  <si>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</si>
  <si>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</si>
  <si>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</si>
  <si>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OK</t>
  </si>
  <si>
    <t>Oklahoma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</si>
  <si>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</si>
  <si>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</si>
  <si>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</si>
  <si>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</si>
  <si>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</si>
  <si>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</si>
  <si>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</si>
  <si>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</si>
  <si>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</si>
  <si>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</si>
  <si>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</si>
  <si>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</si>
  <si>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</si>
  <si>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</si>
  <si>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</si>
  <si>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</si>
  <si>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</si>
  <si>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</si>
  <si>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</si>
  <si>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</si>
  <si>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</si>
  <si>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</si>
  <si>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</si>
  <si>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</si>
  <si>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</si>
  <si>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</si>
  <si>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</si>
  <si>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</si>
  <si>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</si>
  <si>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</si>
  <si>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</si>
  <si>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</si>
  <si>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</si>
  <si>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PA</t>
  </si>
  <si>
    <t>Pennsylvania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</si>
  <si>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</si>
  <si>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</si>
  <si>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</si>
  <si>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</si>
  <si>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</si>
  <si>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</si>
  <si>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</si>
  <si>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</si>
  <si>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</si>
  <si>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</si>
  <si>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</si>
  <si>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</si>
  <si>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</si>
  <si>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</si>
  <si>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</si>
  <si>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</si>
  <si>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</si>
  <si>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</si>
  <si>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</si>
  <si>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</si>
  <si>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SC</t>
  </si>
  <si>
    <t>South Carolina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</si>
  <si>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</si>
  <si>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</si>
  <si>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</si>
  <si>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</si>
  <si>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</si>
  <si>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</si>
  <si>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</si>
  <si>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</si>
  <si>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</si>
  <si>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</si>
  <si>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</si>
  <si>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</si>
  <si>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</si>
  <si>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</si>
  <si>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</si>
  <si>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SD</t>
  </si>
  <si>
    <t>South Dakota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</si>
  <si>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</si>
  <si>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</si>
  <si>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</si>
  <si>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</si>
  <si>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</si>
  <si>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</si>
  <si>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</si>
  <si>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</si>
  <si>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</si>
  <si>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</si>
  <si>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</si>
  <si>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</si>
  <si>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</si>
  <si>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</si>
  <si>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TN</t>
  </si>
  <si>
    <t>Tennessee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</si>
  <si>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</si>
  <si>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</si>
  <si>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</si>
  <si>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</si>
  <si>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</si>
  <si>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</si>
  <si>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</si>
  <si>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</si>
  <si>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</si>
  <si>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</si>
  <si>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</si>
  <si>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TX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</si>
  <si>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</si>
  <si>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</si>
  <si>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</si>
  <si>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</si>
  <si>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</si>
  <si>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</si>
  <si>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</si>
  <si>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</si>
  <si>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</si>
  <si>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</si>
  <si>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</si>
  <si>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</si>
  <si>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</si>
  <si>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</si>
  <si>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</si>
  <si>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</si>
  <si>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</si>
  <si>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</si>
  <si>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</si>
  <si>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</si>
  <si>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</si>
  <si>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</si>
  <si>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</si>
  <si>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</si>
  <si>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</si>
  <si>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</si>
  <si>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</si>
  <si>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</si>
  <si>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</si>
  <si>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</si>
  <si>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</si>
  <si>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</si>
  <si>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</si>
  <si>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</si>
  <si>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</si>
  <si>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</si>
  <si>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</si>
  <si>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</si>
  <si>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</si>
  <si>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</si>
  <si>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</si>
  <si>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</si>
  <si>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</si>
  <si>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</si>
  <si>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</si>
  <si>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</si>
  <si>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</si>
  <si>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</si>
  <si>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</si>
  <si>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</si>
  <si>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</si>
  <si>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</si>
  <si>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</si>
  <si>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</si>
  <si>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</si>
  <si>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</si>
  <si>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</si>
  <si>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</si>
  <si>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</si>
  <si>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</si>
  <si>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</si>
  <si>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</si>
  <si>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</si>
  <si>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</si>
  <si>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</si>
  <si>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</si>
  <si>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</si>
  <si>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</si>
  <si>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</si>
  <si>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</si>
  <si>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</si>
  <si>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</si>
  <si>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</si>
  <si>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</si>
  <si>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</si>
  <si>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</si>
  <si>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</si>
  <si>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</si>
  <si>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</si>
  <si>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</si>
  <si>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</si>
  <si>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UT</t>
  </si>
  <si>
    <t>Utah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</si>
  <si>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</si>
  <si>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</si>
  <si>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</si>
  <si>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</si>
  <si>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</si>
  <si>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</si>
  <si>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</si>
  <si>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</si>
  <si>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</si>
  <si>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</si>
  <si>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</si>
  <si>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</si>
  <si>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</si>
  <si>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</si>
  <si>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</si>
  <si>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VA</t>
  </si>
  <si>
    <t>Virginia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</si>
  <si>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</si>
  <si>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</si>
  <si>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</si>
  <si>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</si>
  <si>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</si>
  <si>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</si>
  <si>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</si>
  <si>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</si>
  <si>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</si>
  <si>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</si>
  <si>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</si>
  <si>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</si>
  <si>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</si>
  <si>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</si>
  <si>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</si>
  <si>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</si>
  <si>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</si>
  <si>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</si>
  <si>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</si>
  <si>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</si>
  <si>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</si>
  <si>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</si>
  <si>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</si>
  <si>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</si>
  <si>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</si>
  <si>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</si>
  <si>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</si>
  <si>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</si>
  <si>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</si>
  <si>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</si>
  <si>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</si>
  <si>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</si>
  <si>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</si>
  <si>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</si>
  <si>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</si>
  <si>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</si>
  <si>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</si>
  <si>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</si>
  <si>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</si>
  <si>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</si>
  <si>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</si>
  <si>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</si>
  <si>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</si>
  <si>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</si>
  <si>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</si>
  <si>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</si>
  <si>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</si>
  <si>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</si>
  <si>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</si>
  <si>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</si>
  <si>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</si>
  <si>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</si>
  <si>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</si>
  <si>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</si>
  <si>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</si>
  <si>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</si>
  <si>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</si>
  <si>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</si>
  <si>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</si>
  <si>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</si>
  <si>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</si>
  <si>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</si>
  <si>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WI</t>
  </si>
  <si>
    <t>Wisconsin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</si>
  <si>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</si>
  <si>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</si>
  <si>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</si>
  <si>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</si>
  <si>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</si>
  <si>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</si>
  <si>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</si>
  <si>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</si>
  <si>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</si>
  <si>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</si>
  <si>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</si>
  <si>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</si>
  <si>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</si>
  <si>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</si>
  <si>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</si>
  <si>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</si>
  <si>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</si>
  <si>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</si>
  <si>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</si>
  <si>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</si>
  <si>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</si>
  <si>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</si>
  <si>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</si>
  <si>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</si>
  <si>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</si>
  <si>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</si>
  <si>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</si>
  <si>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</si>
  <si>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</si>
  <si>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</si>
  <si>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</si>
  <si>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</si>
  <si>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</si>
  <si>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</si>
  <si>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</si>
  <si>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Region</t>
  </si>
  <si>
    <t>Division</t>
  </si>
  <si>
    <t>State (FIPS)</t>
  </si>
  <si>
    <t>Name</t>
  </si>
  <si>
    <t>1</t>
  </si>
  <si>
    <t>Northeast Region</t>
  </si>
  <si>
    <t>New England Division</t>
  </si>
  <si>
    <t>Connecticut</t>
  </si>
  <si>
    <t>Maine</t>
  </si>
  <si>
    <t>Massachusetts</t>
  </si>
  <si>
    <t>2</t>
  </si>
  <si>
    <t>Middle Atlantic Division</t>
  </si>
  <si>
    <t>0</t>
  </si>
  <si>
    <t>Midwest Region</t>
  </si>
  <si>
    <t>3</t>
  </si>
  <si>
    <t>East North Central Division</t>
  </si>
  <si>
    <t>4</t>
  </si>
  <si>
    <t>West North Central Division</t>
  </si>
  <si>
    <t>South Region</t>
  </si>
  <si>
    <t>5</t>
  </si>
  <si>
    <t>South Atlantic Division</t>
  </si>
  <si>
    <t>Maryland</t>
  </si>
  <si>
    <t>West Virginia</t>
  </si>
  <si>
    <t>6</t>
  </si>
  <si>
    <t>East South Central Division</t>
  </si>
  <si>
    <t>7</t>
  </si>
  <si>
    <t>West South Central Division</t>
  </si>
  <si>
    <t>West Region</t>
  </si>
  <si>
    <t>8</t>
  </si>
  <si>
    <t>Mountain Division</t>
  </si>
  <si>
    <t>9</t>
  </si>
  <si>
    <t>Pacific Division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</si>
  <si>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</si>
  <si>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</si>
  <si>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</si>
  <si>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</si>
  <si>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</si>
  <si>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</si>
  <si>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</si>
  <si>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</si>
  <si>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</si>
  <si>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</si>
  <si>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</si>
  <si>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</si>
  <si>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</si>
  <si>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</si>
  <si>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</si>
  <si>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</si>
  <si>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</si>
  <si>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</si>
  <si>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</si>
  <si>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</si>
  <si>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</si>
  <si>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</si>
  <si>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</si>
  <si>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</si>
  <si>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</si>
  <si>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</si>
  <si>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</si>
  <si>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</si>
  <si>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</si>
  <si>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</si>
  <si>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</si>
  <si>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</si>
  <si>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</si>
  <si>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</si>
  <si>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</si>
  <si>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</si>
  <si>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</si>
  <si>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</si>
  <si>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</si>
  <si>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</si>
  <si>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</si>
  <si>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</si>
  <si>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</si>
  <si>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</si>
  <si>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</si>
  <si>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</si>
  <si>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</si>
  <si>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</si>
  <si>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</si>
  <si>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</si>
  <si>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</si>
  <si>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</si>
  <si>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</si>
  <si>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</si>
  <si>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</si>
  <si>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</si>
  <si>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</si>
  <si>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</si>
  <si>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</si>
  <si>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</si>
  <si>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</si>
  <si>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</si>
  <si>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</si>
  <si>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</si>
  <si>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</si>
  <si>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</si>
  <si>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</si>
  <si>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</si>
  <si>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</si>
  <si>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</si>
  <si>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</si>
  <si>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</si>
  <si>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</si>
  <si>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</si>
  <si>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</si>
  <si>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</si>
  <si>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</si>
  <si>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</si>
  <si>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</si>
  <si>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</si>
  <si>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</si>
  <si>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</si>
  <si>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</si>
  <si>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</si>
  <si>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</si>
  <si>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</si>
  <si>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</si>
  <si>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</si>
  <si>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</si>
  <si>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</si>
  <si>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</si>
  <si>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</si>
  <si>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</si>
  <si>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</si>
  <si>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</si>
  <si>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</si>
  <si>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</si>
  <si>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</si>
  <si>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</si>
  <si>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</si>
  <si>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</si>
  <si>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</si>
  <si>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</si>
  <si>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</si>
  <si>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</si>
  <si>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</si>
  <si>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</si>
  <si>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</si>
  <si>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</si>
  <si>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</si>
  <si>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</si>
  <si>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</si>
  <si>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</si>
  <si>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N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</si>
  <si>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</si>
  <si>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</si>
  <si>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</si>
  <si>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</si>
  <si>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</si>
  <si>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</si>
  <si>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</si>
  <si>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</si>
  <si>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No one major type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</si>
  <si>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</si>
  <si>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</si>
  <si>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</si>
  <si>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</si>
  <si>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</si>
  <si>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</si>
  <si>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</si>
  <si>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</si>
  <si>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characteristics</t>
  </si>
  <si>
    <t>Roof tilt</t>
  </si>
  <si>
    <t>Flat</t>
  </si>
  <si>
    <t>Shallow pitch</t>
  </si>
  <si>
    <t>Steeper pitch</t>
  </si>
  <si>
    <t>Cool roof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</si>
  <si>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</si>
  <si>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</si>
  <si>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</si>
  <si>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</si>
  <si>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</si>
  <si>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</si>
  <si>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</si>
  <si>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</si>
  <si>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</si>
  <si>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</si>
  <si>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</si>
  <si>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</si>
  <si>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</si>
  <si>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</si>
  <si>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</si>
  <si>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</si>
  <si>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</si>
  <si>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</si>
  <si>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</si>
  <si>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</si>
  <si>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</si>
  <si>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</si>
  <si>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</si>
  <si>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</si>
  <si>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>Space-heating energy sources
(more than one may apply)</t>
  </si>
  <si>
    <t>Primary space-heating 
energy source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</si>
  <si>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</si>
  <si>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</si>
  <si>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</si>
  <si>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</si>
  <si>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</si>
  <si>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</si>
  <si>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</si>
  <si>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</si>
  <si>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</si>
  <si>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</si>
  <si>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</si>
  <si>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</si>
  <si>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</si>
  <si>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</si>
  <si>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</si>
  <si>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Percent of floorspace cooled</t>
  </si>
  <si>
    <t>Not cooled</t>
  </si>
  <si>
    <t>Percent lit when open</t>
  </si>
  <si>
    <t>Zero</t>
  </si>
  <si>
    <t>Building never open/electricity
not used</t>
  </si>
  <si>
    <t>Percent lit during off hours</t>
  </si>
  <si>
    <t>51 to 100</t>
  </si>
  <si>
    <t>Building always open with 
no "off hours"</t>
  </si>
  <si>
    <t>Electricity not used</t>
  </si>
  <si>
    <t>Heating equipment 
(more than one may apply)</t>
  </si>
  <si>
    <t>Heat pumps</t>
  </si>
  <si>
    <t>Furnaces</t>
  </si>
  <si>
    <t>Individual space heaters</t>
  </si>
  <si>
    <t>Boilers</t>
  </si>
  <si>
    <t>Packaged heating units</t>
  </si>
  <si>
    <t>Cooling equipment 
(more than one may apply)</t>
  </si>
  <si>
    <t>Residential-type central air
conditioners</t>
  </si>
  <si>
    <t>Individual air conditioners</t>
  </si>
  <si>
    <t>Central chillers</t>
  </si>
  <si>
    <t>Packaged air conditioning units</t>
  </si>
  <si>
    <t>Swamp coolers</t>
  </si>
  <si>
    <t>Main equipment replaced since 
1990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</si>
  <si>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</si>
  <si>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</si>
  <si>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</si>
  <si>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</si>
  <si>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</si>
  <si>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</si>
  <si>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</si>
  <si>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</si>
  <si>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</si>
  <si>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</si>
  <si>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</si>
  <si>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</si>
  <si>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</si>
  <si>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</si>
  <si>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</si>
  <si>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</si>
  <si>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</si>
  <si>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</si>
  <si>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</si>
  <si>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</si>
  <si>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</si>
  <si>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</si>
  <si>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</si>
  <si>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</si>
  <si>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flat screen monitors</t>
  </si>
  <si>
    <t>With multiple monitors</t>
  </si>
  <si>
    <t>Laptop computers</t>
  </si>
  <si>
    <t>Dedicated servers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</si>
  <si>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</si>
  <si>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</si>
  <si>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</si>
  <si>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</si>
  <si>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</si>
  <si>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</si>
  <si>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</si>
  <si>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</si>
  <si>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</si>
  <si>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</si>
  <si>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</si>
  <si>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</si>
  <si>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</si>
  <si>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</si>
  <si>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</si>
  <si>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</si>
  <si>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</si>
  <si>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</si>
  <si>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</si>
  <si>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</si>
  <si>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</si>
  <si>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</si>
  <si>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Data center or server farm</t>
  </si>
  <si>
    <t>Computer-based training room</t>
  </si>
  <si>
    <t>Student or public computer center</t>
  </si>
  <si>
    <t>HVAC conservation features 
(more than one may apply)</t>
  </si>
  <si>
    <t>Economizer cycle</t>
  </si>
  <si>
    <t>Regular HVAC maintenance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</si>
  <si>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</si>
  <si>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</si>
  <si>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</si>
  <si>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</si>
  <si>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</si>
  <si>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</si>
  <si>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</si>
  <si>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</si>
  <si>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</si>
  <si>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</si>
  <si>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</si>
  <si>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t>Equipment usage reduced when 
building not in full use 
(more than one may apply)</t>
  </si>
  <si>
    <t>Lighting</t>
  </si>
  <si>
    <t>Total Floor Space (million)</t>
  </si>
  <si>
    <t>Count of County</t>
  </si>
  <si>
    <t>Total Floor Area</t>
  </si>
  <si>
    <t>Share of Floorspace</t>
  </si>
  <si>
    <t>Total</t>
  </si>
  <si>
    <t>Floorspace allocation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</si>
  <si>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</si>
  <si>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</si>
  <si>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</si>
  <si>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</si>
  <si>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</si>
  <si>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</si>
  <si>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</si>
  <si>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</si>
  <si>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</si>
  <si>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</si>
  <si>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</si>
  <si>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</si>
  <si>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</si>
  <si>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</si>
  <si>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</si>
  <si>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</si>
  <si>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</si>
  <si>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</si>
  <si>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</si>
  <si>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</si>
  <si>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</si>
  <si>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</si>
  <si>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</si>
  <si>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</si>
  <si>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</si>
  <si>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</si>
  <si>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Census region and division</t>
  </si>
  <si>
    <t xml:space="preserve">New England </t>
  </si>
  <si>
    <t xml:space="preserve">South Atlantic </t>
  </si>
  <si>
    <t>Mountain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</si>
  <si>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</si>
  <si>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E7 Add AEDG roof insulation</t>
  </si>
  <si>
    <t>HA13 Widen Zone Temperature Deadband, Add Conference Room Standby Control (Upgrade To DDC Zone Control)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</si>
  <si>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</si>
  <si>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</si>
  <si>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</si>
  <si>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</si>
  <si>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</si>
  <si>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</si>
  <si>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</si>
  <si>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</si>
  <si>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</si>
  <si>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Commercial Buildings Deep Retrofit Measures</t>
  </si>
  <si>
    <t>PNNL</t>
  </si>
  <si>
    <t>https://www.pnnl.gov/main/publications/external/technical_reports/PNNL-20761.pdf</t>
  </si>
  <si>
    <t>Advanced Energy Retrofit Guides OFFICE BUILDINGS</t>
  </si>
  <si>
    <t>Include?</t>
  </si>
  <si>
    <t>Total Cost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</si>
  <si>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</si>
  <si>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</si>
  <si>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</si>
  <si>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</si>
  <si>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</si>
  <si>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Tables B5, B10, and C4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</si>
  <si>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</si>
  <si>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</si>
  <si>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</si>
  <si>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</si>
  <si>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other component</t>
  </si>
  <si>
    <t>appliances</t>
  </si>
  <si>
    <t>lighting</t>
  </si>
  <si>
    <t>envelope</t>
  </si>
  <si>
    <t>cooling and ventilation</t>
  </si>
  <si>
    <t>heating</t>
  </si>
  <si>
    <t>commercial</t>
  </si>
  <si>
    <t>rural residential</t>
  </si>
  <si>
    <t>urban residential</t>
  </si>
  <si>
    <t>BRESaC Percent Energy Savings from Retrofitting by Component</t>
  </si>
  <si>
    <t>BRESaC Retrofitting Cost per Unit Energy Saved</t>
  </si>
  <si>
    <t>escalators, off-road electric vehicles, laboratory fume hoods, laundry equipment, coffee brewers, water services, emergency generators,</t>
  </si>
  <si>
    <t>performed in commercial buildings.</t>
  </si>
  <si>
    <t>escalators, off-road electric vehicles, laboratory fume hoods, laundry equipment, coffee brewers, and water services.</t>
  </si>
  <si>
    <t>CKI000:cdd_UnitedStates</t>
  </si>
  <si>
    <t>CKI000:cdd_Pacific</t>
  </si>
  <si>
    <t>CKI000:cdd_Mountain</t>
  </si>
  <si>
    <t>CKI000:cdd_WestSouthCen</t>
  </si>
  <si>
    <t>CKI000:cdd_EastSouthCen</t>
  </si>
  <si>
    <t>CKI000:cdd_SouthAtlantc</t>
  </si>
  <si>
    <t>CKI000:cdd_WestNorthCen</t>
  </si>
  <si>
    <t>CKI000:cdd_EastNorthCen</t>
  </si>
  <si>
    <t>CKI000:cdd_MiddleAtlant</t>
  </si>
  <si>
    <t>CKI000:cdd_NewEngland</t>
  </si>
  <si>
    <t>CKI000:hdd_UnitedStates</t>
  </si>
  <si>
    <t>CKI000:hdd_Pacific</t>
  </si>
  <si>
    <t>CKI000:hdd_Mountain</t>
  </si>
  <si>
    <t>CKI000:hdd_WestSouthCen</t>
  </si>
  <si>
    <t>CKI000:hdd_EastSouthCen</t>
  </si>
  <si>
    <t>CKI000:hdd_SouthAtlantc</t>
  </si>
  <si>
    <t>CKI000:hdd_WestNorthCen</t>
  </si>
  <si>
    <t>CKI000:hdd_EastNorthCen</t>
  </si>
  <si>
    <t>CKI000:hdd_MiddleAtlant</t>
  </si>
  <si>
    <t>CKI000:hdd_NewEngland</t>
  </si>
  <si>
    <t>CKI000:qa_TotalSolar</t>
  </si>
  <si>
    <t>CKI000:qa_EKnowitzWindy</t>
  </si>
  <si>
    <t>CKI000:qa_SolarPhotovol</t>
  </si>
  <si>
    <t xml:space="preserve">  Solar Thermal</t>
  </si>
  <si>
    <t>CKI000:qa_SolarThermal</t>
  </si>
  <si>
    <t>CKI000:pa_Total</t>
  </si>
  <si>
    <t xml:space="preserve">   Other Uses 6/</t>
  </si>
  <si>
    <t>CKI000:pa_OtherUses</t>
  </si>
  <si>
    <t xml:space="preserve">   Office Equipment</t>
  </si>
  <si>
    <t>CKI000:pa_OfficeEquipme</t>
  </si>
  <si>
    <t xml:space="preserve">   Computing</t>
  </si>
  <si>
    <t>CKI000:oa_OfficeEquipme</t>
  </si>
  <si>
    <t>CKI000:oa_Refrigeration</t>
  </si>
  <si>
    <t>CKI000:oa_Lighting</t>
  </si>
  <si>
    <t>CKI000:oa_Cooking</t>
  </si>
  <si>
    <t xml:space="preserve">   Ventilation</t>
  </si>
  <si>
    <t>CKI000:oa_Ventilation</t>
  </si>
  <si>
    <t>CKI000:oa_WaterHeating</t>
  </si>
  <si>
    <t>CKI000:oa_SpaceCooling</t>
  </si>
  <si>
    <t>CKI000:oa_SpaceHeating</t>
  </si>
  <si>
    <t>CKI000:na_ElectricityRe</t>
  </si>
  <si>
    <t>CKI000:ma_DeliveredEner</t>
  </si>
  <si>
    <t>CKI000:ma_OtherUses</t>
  </si>
  <si>
    <t>CKI000:ma_OfficeEquipme</t>
  </si>
  <si>
    <t>CKI000:la_OfficeEquipme</t>
  </si>
  <si>
    <t>CKI000:la_Refrigeration</t>
  </si>
  <si>
    <t>CKI000:la_Lighting</t>
  </si>
  <si>
    <t>CKI000:la_Cooking</t>
  </si>
  <si>
    <t>CKI000:la_Ventilation</t>
  </si>
  <si>
    <t>CKI000:la_WaterHeating</t>
  </si>
  <si>
    <t>CKI000:la_SpaceCooling</t>
  </si>
  <si>
    <t>CKI000:la_SpaceHeating</t>
  </si>
  <si>
    <t>CKI000:ka_OtherFuels</t>
  </si>
  <si>
    <t xml:space="preserve"> Marketed Renewables (biomass)</t>
  </si>
  <si>
    <t>CKI000:ka_MarketedRenew</t>
  </si>
  <si>
    <t>CKI000:ja_DeliveredEner</t>
  </si>
  <si>
    <t>CKI000:ja_OtherUses</t>
  </si>
  <si>
    <t>CKI000:ja_WaterHeating</t>
  </si>
  <si>
    <t>CKI000:ja_SpaceHeating</t>
  </si>
  <si>
    <t xml:space="preserve"> Distillate Fuel Oil</t>
  </si>
  <si>
    <t>CKI000:ia_DeliveredEner</t>
  </si>
  <si>
    <t xml:space="preserve">   Other Uses 3/</t>
  </si>
  <si>
    <t>CKI000:ia_OtherUses</t>
  </si>
  <si>
    <t>CKI000:ia_Cooking</t>
  </si>
  <si>
    <t>CKI000:ia_WaterHeating</t>
  </si>
  <si>
    <t>CKI000:ia_SpaceCooling</t>
  </si>
  <si>
    <t>CKI000:ia_SpaceHeating</t>
  </si>
  <si>
    <t>CKI000:ha_OtherUses</t>
  </si>
  <si>
    <t>CKI000:ha_OfficeEquipme</t>
  </si>
  <si>
    <t>CKI000:ga_OfficeEquipme</t>
  </si>
  <si>
    <t>CKI000:ga_Refrigeration</t>
  </si>
  <si>
    <t>CKI000:ga_Lighting</t>
  </si>
  <si>
    <t>CKI000:ga_Cooking</t>
  </si>
  <si>
    <t>CKI000:ga_Ventilation</t>
  </si>
  <si>
    <t>CKI000:ga_WaterHeating</t>
  </si>
  <si>
    <t>CKI000:ga_SpaceCooling</t>
  </si>
  <si>
    <t>CKI000:ga_SpaceHeating</t>
  </si>
  <si>
    <t>CKI000:ea_ElectricityRe</t>
  </si>
  <si>
    <t xml:space="preserve">   Delivered Energy Consumption</t>
  </si>
  <si>
    <t>CKI000:ea_DeliveredEner</t>
  </si>
  <si>
    <t xml:space="preserve"> Energy Consumption Intensity</t>
  </si>
  <si>
    <t>CKI000:da_Total</t>
  </si>
  <si>
    <t xml:space="preserve">   New Additions</t>
  </si>
  <si>
    <t>CKI000:da_NewAdditions</t>
  </si>
  <si>
    <t xml:space="preserve">   Surviving</t>
  </si>
  <si>
    <t>CKI000:da_Surviving</t>
  </si>
  <si>
    <t xml:space="preserve"> Total Floorspace (billion square feet)</t>
  </si>
  <si>
    <t>5. Commercial Sector Key Indicators and Consumption</t>
  </si>
  <si>
    <t>CKI000</t>
  </si>
  <si>
    <t>Share of residential bldg energy use for space heating and cooling (ignoring non-appliance plug loads and "other")</t>
  </si>
  <si>
    <t>Share of commercial bldg energy use for space heating and cooling (ignoring non-appliance plug loads and "other")</t>
  </si>
  <si>
    <t>Average reduction in building energy use (%)</t>
  </si>
  <si>
    <t>Perc reduction heating and cooling energy use</t>
  </si>
  <si>
    <t>Percent energy saving (dimensionless)</t>
  </si>
  <si>
    <t>$/BTU</t>
  </si>
  <si>
    <t xml:space="preserve">   Gross End-use Consumption 1/</t>
  </si>
  <si>
    <t>Energy Consumption by Fuel</t>
  </si>
  <si>
    <t xml:space="preserve"> Electricity 1/</t>
  </si>
  <si>
    <t xml:space="preserve">   Clothes Washers 2/</t>
  </si>
  <si>
    <t xml:space="preserve">   Dishwashers 2/</t>
  </si>
  <si>
    <t xml:space="preserve">   Televisions and Related Equipment 3/</t>
  </si>
  <si>
    <t xml:space="preserve">   Computers and Related Equipment 4/</t>
  </si>
  <si>
    <t xml:space="preserve">     Electricity Subtotal</t>
  </si>
  <si>
    <t>RKI000:fa_OwnGeneration</t>
  </si>
  <si>
    <t xml:space="preserve">   Onsite Generation for Own Use</t>
  </si>
  <si>
    <t>RKI000:fa_PurchasedElec</t>
  </si>
  <si>
    <t xml:space="preserve">     Purchased Electricity</t>
  </si>
  <si>
    <t xml:space="preserve"> Distillate Fuel Oil 7/</t>
  </si>
  <si>
    <t xml:space="preserve">   Other Uses 8/</t>
  </si>
  <si>
    <t xml:space="preserve">   Other Uses 9/</t>
  </si>
  <si>
    <t xml:space="preserve"> Marketed Renewables (wood) 10/</t>
  </si>
  <si>
    <t>Energy Consumption by End Use 1/</t>
  </si>
  <si>
    <t xml:space="preserve"> Clothes Washers 2/</t>
  </si>
  <si>
    <t xml:space="preserve"> Dishwashers 2/</t>
  </si>
  <si>
    <t xml:space="preserve"> Televisions and Related Equipment 3/</t>
  </si>
  <si>
    <t xml:space="preserve"> Computers and Related Equipment 4/</t>
  </si>
  <si>
    <t xml:space="preserve"> Other Uses 11/</t>
  </si>
  <si>
    <t>RKI000:ka_GrsEndUseCons</t>
  </si>
  <si>
    <t xml:space="preserve">    Gross End-use Consumption</t>
  </si>
  <si>
    <t>RKI000:ka_OwnGeneration</t>
  </si>
  <si>
    <t xml:space="preserve"> Onsite Generation for Own Use</t>
  </si>
  <si>
    <t xml:space="preserve">    Delivered Energy</t>
  </si>
  <si>
    <t>Total Energy Consumption by End Use 1/</t>
  </si>
  <si>
    <t xml:space="preserve">   Total Gross End-use Consumption</t>
  </si>
  <si>
    <t>RKI000:ma_OwnGeneration</t>
  </si>
  <si>
    <t xml:space="preserve"> Generation for Own Use</t>
  </si>
  <si>
    <t>RKI000:ma_TtllOwnUseGen</t>
  </si>
  <si>
    <t>Total Net Own-use Generation</t>
  </si>
  <si>
    <t>Nonmarketed Renewables 12/</t>
  </si>
  <si>
    <t>1/ Unless otherwise specified, energy consumption by end use includes all electricity consumed for that end use,</t>
  </si>
  <si>
    <t>including purchased electricity and onsite generation for own use.</t>
  </si>
  <si>
    <t>2/ Does not include water heating portion of load.</t>
  </si>
  <si>
    <t>4/ Includes desktop and laptop computers, monitors, and networking equipment.</t>
  </si>
  <si>
    <t>5/ Includes electric and electronic devices, heating elements, and motors not listed above.  Electric vehicles are included in the</t>
  </si>
  <si>
    <t>6/ Includes such appliances as outdoor grills, natural gas-fueled lights, pool heaters, spa heaters, and backup electricity generators.</t>
  </si>
  <si>
    <t>7/ Includes kerosene use.</t>
  </si>
  <si>
    <t>8/ Includes such appliances as pool heaters, spa heaters, and backup electricity generators.</t>
  </si>
  <si>
    <t>9/ Includes such appliances as outdoor grills, propane-fueled lights, pool heaters, spa heaters, and backup electricity generators.</t>
  </si>
  <si>
    <t>10/ Includes wood used for primary and secondary heating in wood stoves or fireplaces as reported in the Residential Energy Consumption</t>
  </si>
  <si>
    <t>11/ Includes electric and electronic devices, heating elements, motors, outdoor grills, natural gas-and propane-fueled lights, pool</t>
  </si>
  <si>
    <t>heaters, spa heaters, and backup electricity generators not listed above.  Electric vehicles are included in the transportation sector.</t>
  </si>
  <si>
    <t>12/ Consumption determined by using the average electric power sector net heat rate for fossil fuels.</t>
  </si>
  <si>
    <t>Btu = British thermal unit.</t>
  </si>
  <si>
    <t>- - = Not applicable.</t>
  </si>
  <si>
    <t>Note:  Totals may not equal sum of components due to independent rounding.</t>
  </si>
  <si>
    <t xml:space="preserve">   Space Heating 2/</t>
  </si>
  <si>
    <t xml:space="preserve">   Space Cooling 2/</t>
  </si>
  <si>
    <t xml:space="preserve">   Water Heating 2/</t>
  </si>
  <si>
    <t>CKI000:ha_ElecSubtotal</t>
  </si>
  <si>
    <t>CKI000:ha_OwnGeneration</t>
  </si>
  <si>
    <t>CKI000:ha_PurchasedElec</t>
  </si>
  <si>
    <t xml:space="preserve"> Other Fuels 6/</t>
  </si>
  <si>
    <t>CKI000:ma_GrsEndUseCons</t>
  </si>
  <si>
    <t xml:space="preserve">     Gross End-use Consumption</t>
  </si>
  <si>
    <t>CKI000:ma_OwnGeneration</t>
  </si>
  <si>
    <t xml:space="preserve">     Total Gross End-use Consumption</t>
  </si>
  <si>
    <t>CKI000:pa_OwnGeneration</t>
  </si>
  <si>
    <t>CKI000:pa_TtllOwnUseGen</t>
  </si>
  <si>
    <t>Nonmarketed Renewable Fuels 8/</t>
  </si>
  <si>
    <t>2/ Includes fuel consumption for district services.</t>
  </si>
  <si>
    <t>3/ Includes (but is not limited to) miscellaneous uses such as transformers, medical imaging and other medical equipment, elevators,</t>
  </si>
  <si>
    <t>4/ Includes miscellaneous uses, such as emergency generators, combined heat and power in commercial buildings, and manufacturing</t>
  </si>
  <si>
    <t>5/ Includes miscellaneous uses, such as cooking, emergency generators, and combined heat and power in commercial buildings.</t>
  </si>
  <si>
    <t>6/ Includes residual fuel oil, propane, coal, motor gasoline, and kerosene.</t>
  </si>
  <si>
    <t>7/ Includes (but is not limited to) miscellaneous uses such as transformers, medical imaging and other medical equipment, elevators,</t>
  </si>
  <si>
    <t>combined heat and power in commercial buildings, manufacturing performed in commercial buildings, and cooking (distillate).  Also</t>
  </si>
  <si>
    <t>includes residual fuel oil, propane, coal, motor gasoline, kerosene, and marketed renewable fuels (biomass).</t>
  </si>
  <si>
    <t>8/ Consumption determined by using the average electric power sector net heat rate for fossil fuels.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</si>
  <si>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</si>
  <si>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</si>
  <si>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</si>
  <si>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</si>
  <si>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r>
      <t xml:space="preserve">retrofitting </t>
    </r>
    <r>
      <rPr>
        <b/>
        <sz val="11"/>
        <color theme="1"/>
        <rFont val="Calibri"/>
        <family val="2"/>
        <scheme val="minor"/>
      </rPr>
      <t>in a scenario where retrofitting is the only enabled policy</t>
    </r>
    <r>
      <rPr>
        <sz val="11"/>
        <color theme="1"/>
        <rFont val="Calibri"/>
        <family val="2"/>
        <scheme val="minor"/>
      </rPr>
      <t>.  For example, you should</t>
    </r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</si>
  <si>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</si>
  <si>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</si>
  <si>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</si>
  <si>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</si>
  <si>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r>
      <t xml:space="preserve">     </t>
    </r>
    <r>
      <rPr>
        <vertAlign val="superscript"/>
        <sz val="9"/>
        <color rgb="FF000000"/>
        <rFont val="Calibri"/>
        <family val="2"/>
      </rPr>
      <t>1</t>
    </r>
    <r>
      <rPr>
        <i/>
        <sz val="9"/>
        <color rgb="FF000000"/>
        <rFont val="Calibri"/>
        <family val="2"/>
      </rPr>
      <t>Other sources</t>
    </r>
    <r>
      <rPr>
        <sz val="9"/>
        <color rgb="FF000000"/>
        <rFont val="Calibri"/>
        <family val="2"/>
      </rPr>
      <t xml:space="preserve"> includes wood, coal, solar, and all other energy sources.
     </t>
    </r>
    <r>
      <rPr>
        <vertAlign val="superscript"/>
        <sz val="9"/>
        <color rgb="FF000000"/>
        <rFont val="Calibri"/>
        <family val="2"/>
      </rPr>
      <t>2</t>
    </r>
    <r>
      <rPr>
        <i/>
        <sz val="9"/>
        <color rgb="FF000000"/>
        <rFont val="Calibri"/>
        <family val="2"/>
      </rPr>
      <t>Office devices</t>
    </r>
    <r>
      <rPr>
        <sz val="9"/>
        <color rgb="FF000000"/>
        <rFont val="Calibri"/>
        <family val="2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</rPr>
      <t xml:space="preserve"> See </t>
    </r>
    <r>
      <rPr>
        <i/>
        <sz val="9"/>
        <rFont val="Calibri"/>
        <family val="2"/>
      </rPr>
      <t>Guide to the 2018 CBECS Tables</t>
    </r>
    <r>
      <rPr>
        <sz val="9"/>
        <rFont val="Calibri"/>
        <family val="2"/>
      </rPr>
      <t xml:space="preserve"> or </t>
    </r>
    <r>
      <rPr>
        <i/>
        <sz val="9"/>
        <rFont val="Calibri"/>
        <family val="2"/>
      </rPr>
      <t>CBECS Terminology</t>
    </r>
    <r>
      <rPr>
        <sz val="9"/>
        <rFont val="Calibri"/>
        <family val="2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rgb="FF000000"/>
        <rFont val="Calibri"/>
        <family val="2"/>
      </rPr>
      <t xml:space="preserve">
     Source: U.S. Energy Information Administration, Office of Energy Consumption and Efficiency Statistics, Form EIA-871A of the 2018 Commercial Buildings Energy Consumption Survey.</t>
    </r>
  </si>
  <si>
    <t>Charging stations associated with the building</t>
  </si>
  <si>
    <t>Electric vehicle (EV) charging</t>
  </si>
  <si>
    <t>Building automation system (BAS) for lighting</t>
  </si>
  <si>
    <t>Plug-load control</t>
  </si>
  <si>
    <t>Server closet</t>
  </si>
  <si>
    <t>Fast food/small restaurant</t>
  </si>
  <si>
    <t>Snack bar/concession stand/coffee shop</t>
  </si>
  <si>
    <t>Point-of-sales devices/cash registers</t>
  </si>
  <si>
    <t>Televisions/video displays</t>
  </si>
  <si>
    <t>Interactive whiteboards</t>
  </si>
  <si>
    <r>
      <t>Smaller desktop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</si>
  <si>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r>
      <t>Large floor-standing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</si>
  <si>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t>Tablets charged in building</t>
  </si>
  <si>
    <t>Other generation technology</t>
  </si>
  <si>
    <t>Solar panels</t>
  </si>
  <si>
    <t>Reciprocating engine generator</t>
  </si>
  <si>
    <t>Generation technologies (more than one may apply)</t>
  </si>
  <si>
    <t>Main equipment replaced since 
2000 (more than one may apply)</t>
  </si>
  <si>
    <t>Programmable thermostat</t>
  </si>
  <si>
    <t>Internet-connected/smart thermostat</t>
  </si>
  <si>
    <t>Building automation system (BAS) controls heating/cooling</t>
  </si>
  <si>
    <t>Demand controlled ventilation (DCV)</t>
  </si>
  <si>
    <t>Dedicated outside air system (DOAS)</t>
  </si>
  <si>
    <t>Variable air volume (VAV) system</t>
  </si>
  <si>
    <t>HVAC features 
(more than one may apply)</t>
  </si>
  <si>
    <t>Packaged air-conditioning units</t>
  </si>
  <si>
    <t>Duct reheat</t>
  </si>
  <si>
    <t>Percentage lit during off hours</t>
  </si>
  <si>
    <t>Percentage lit when open</t>
  </si>
  <si>
    <t>Percentage of floorspace cooled</t>
  </si>
  <si>
    <t>Percentage of floorspace heated</t>
  </si>
  <si>
    <t>Buildings with electricity generation</t>
  </si>
  <si>
    <r>
      <t>Other sources</t>
    </r>
    <r>
      <rPr>
        <vertAlign val="superscript"/>
        <sz val="10"/>
        <color theme="1"/>
        <rFont val="Calibri"/>
        <family val="2"/>
        <scheme val="minor"/>
      </rPr>
      <t>1</t>
    </r>
  </si>
  <si>
    <t>Wood, coal, and other</t>
  </si>
  <si>
    <t xml:space="preserve">Solar  </t>
  </si>
  <si>
    <t>Buildings constructed 2013 or later</t>
  </si>
  <si>
    <t>Renovations since 2000 
(more than one may apply)</t>
  </si>
  <si>
    <t>Other cool roof property</t>
  </si>
  <si>
    <t>Ballasted roof system</t>
  </si>
  <si>
    <t>Aluminum coating</t>
  </si>
  <si>
    <t>White/reflective tiles or shingles</t>
  </si>
  <si>
    <t>White/reflective coating or paint</t>
  </si>
  <si>
    <t>Cool roof characteristics (more than one may apply)</t>
  </si>
  <si>
    <t>Party responsible for operation
of energy systems</t>
  </si>
  <si>
    <t>2010 to 2018</t>
  </si>
  <si>
    <t>2000 to 2009</t>
  </si>
  <si>
    <t>Table B5.  Census region and division, floorspace, 2018</t>
  </si>
  <si>
    <t>Release date: September 2021</t>
  </si>
  <si>
    <r>
      <t xml:space="preserve">     </t>
    </r>
    <r>
      <rPr>
        <vertAlign val="superscript"/>
        <sz val="9"/>
        <color theme="1"/>
        <rFont val="Calibri"/>
        <family val="2"/>
        <scheme val="minor"/>
      </rPr>
      <t>1</t>
    </r>
    <r>
      <rPr>
        <i/>
        <sz val="9"/>
        <color theme="1"/>
        <rFont val="Calibri"/>
        <family val="2"/>
        <scheme val="minor"/>
      </rPr>
      <t>Other sources</t>
    </r>
    <r>
      <rPr>
        <sz val="9"/>
        <color theme="1"/>
        <rFont val="Calibri"/>
        <family val="2"/>
        <scheme val="minor"/>
      </rPr>
      <t xml:space="preserve"> includes wood, coal, solar, and all other energy sources.
     </t>
    </r>
    <r>
      <rPr>
        <vertAlign val="superscript"/>
        <sz val="9"/>
        <color theme="1"/>
        <rFont val="Calibri"/>
        <family val="2"/>
        <scheme val="minor"/>
      </rPr>
      <t>2</t>
    </r>
    <r>
      <rPr>
        <i/>
        <sz val="9"/>
        <color theme="1"/>
        <rFont val="Calibri"/>
        <family val="2"/>
        <scheme val="minor"/>
      </rPr>
      <t>Office devices</t>
    </r>
    <r>
      <rPr>
        <sz val="9"/>
        <color theme="1"/>
        <rFont val="Calibri"/>
        <family val="2"/>
        <scheme val="minor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  <scheme val="minor"/>
      </rPr>
      <t xml:space="preserve"> See </t>
    </r>
    <r>
      <rPr>
        <i/>
        <sz val="9"/>
        <rFont val="Calibri"/>
        <family val="2"/>
        <scheme val="minor"/>
      </rPr>
      <t>Guide to the 2018 CBECS Tables</t>
    </r>
    <r>
      <rPr>
        <sz val="9"/>
        <rFont val="Calibri"/>
        <family val="2"/>
        <scheme val="minor"/>
      </rPr>
      <t xml:space="preserve"> or </t>
    </r>
    <r>
      <rPr>
        <i/>
        <sz val="9"/>
        <rFont val="Calibri"/>
        <family val="2"/>
        <scheme val="minor"/>
      </rPr>
      <t>CBECS Terminology</t>
    </r>
    <r>
      <rPr>
        <sz val="9"/>
        <rFont val="Calibri"/>
        <family val="2"/>
        <scheme val="minor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theme="1"/>
        <rFont val="Calibri"/>
        <family val="2"/>
        <scheme val="minor"/>
      </rPr>
      <t xml:space="preserve">
     Source: U.S. Energy Information Administration, Office of Energy Consumption and Efficiency Statistics, Form EIA-871A of the 2018 Commercial Buildings Energy Consumption Survey.</t>
    </r>
  </si>
  <si>
    <t>Data center</t>
  </si>
  <si>
    <t>Cafeteria/large restaurant</t>
  </si>
  <si>
    <t>Reciprocating engine generators</t>
  </si>
  <si>
    <t>Generation technologies 
(more than one may apply)</t>
  </si>
  <si>
    <t>Space-heating energy sources 
(more than one may apply)</t>
  </si>
  <si>
    <t>Solar</t>
  </si>
  <si>
    <t>Table B10.  Number of floors, number of buildings and floorspace, 2018</t>
  </si>
  <si>
    <t>https://www.eia.gov/consumption/commercial/data/2018/index.php?view=characteristics#b6-b10</t>
  </si>
  <si>
    <t>Table C4</t>
  </si>
  <si>
    <t>Commercial Building Energy Consumption Survey 2018</t>
  </si>
  <si>
    <t>Tables B5 and B10</t>
  </si>
  <si>
    <t>National Energy Modeling System run ref2022.d011222a.  Projections:  EIA, AEO2022 National Energy Modeling System run ref2022.d011222a.</t>
  </si>
  <si>
    <t>Sources:  2021:  U.S. Energy Information Administration (EIA), Short-Term Energy Outlook, November 2021 and EIA, AEO2022</t>
  </si>
  <si>
    <t>3/ Includes televisions, set-top boxes, home theater systems, over-the-top streaming devices, and video game consoles.</t>
  </si>
  <si>
    <t>2021–2050</t>
  </si>
  <si>
    <t>Change</t>
  </si>
  <si>
    <t>Annual</t>
  </si>
  <si>
    <t>Average</t>
  </si>
  <si>
    <t xml:space="preserve"> March 2022</t>
  </si>
  <si>
    <t>d011222a</t>
  </si>
  <si>
    <t>Reference</t>
  </si>
  <si>
    <t>ref2022</t>
  </si>
  <si>
    <t>Annual Energy Outlook 2022</t>
  </si>
  <si>
    <t>ref2022.d011222a</t>
  </si>
  <si>
    <t>U.S. Energy Information Administration</t>
  </si>
  <si>
    <t>https://www.eia.gov/outlooks/aeo/data/browser/#/?id=4-AEO2022&amp;sourcekey=0</t>
  </si>
  <si>
    <t>Table 4</t>
  </si>
  <si>
    <t>https://www.eia.gov/outlooks/aeo/data/browser/#/?id=5-AEO2022&amp;cases=ref2022&amp;sourcekey=0</t>
  </si>
  <si>
    <t>Table 5</t>
  </si>
  <si>
    <t>Residential Building Usage</t>
  </si>
  <si>
    <t>Commercial Building Usage</t>
  </si>
  <si>
    <t>ref2023.d020623a</t>
  </si>
  <si>
    <t>Annual Energy Outlook 2023</t>
  </si>
  <si>
    <t>ref2023</t>
  </si>
  <si>
    <t>d020623a</t>
  </si>
  <si>
    <t xml:space="preserve"> March 2023</t>
  </si>
  <si>
    <t>2022–2050</t>
  </si>
  <si>
    <t xml:space="preserve">   On-site Generation for Own Use</t>
  </si>
  <si>
    <t xml:space="preserve"> On-site Generation for Own Use</t>
  </si>
  <si>
    <t>including purchased electricity and on-site generation for own use.</t>
  </si>
  <si>
    <t>5/ Includes (but is not limited to) dehumidifiers, ceiling fans, non-PC rechargeables, smart speakers, smartphones, tablets, microwaves,</t>
  </si>
  <si>
    <t>coffee makers, miscellaneous refrigeration products, other small kitchen appliances, pool heaters, pool pumps, portable electric spas, and</t>
  </si>
  <si>
    <t>security systems, as well as electric and electronic devices, heating elements, and motors not listed above. Electric vehicles are</t>
  </si>
  <si>
    <t>included in the transportation sector.</t>
  </si>
  <si>
    <t>11/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</si>
  <si>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</si>
  <si>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</si>
  <si>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 Electric vehicles are included in the transportation sector.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</si>
  <si>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</si>
  <si>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</si>
  <si>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2022 &amp; 2023</t>
  </si>
  <si>
    <t>Annual Energy Outlook 2022 &amp; Annual Energy Outlook 2023</t>
  </si>
  <si>
    <t>https://www.eia.gov/outlooks/aeo/data/browser/#/?id=4-AEO2023&amp;sourcekey=0</t>
  </si>
  <si>
    <t>https://www.eia.gov/outlooks/aeo/data/browser/#/?id=5-AEO2023&amp;cases=ref2022&amp;sourcekey=0</t>
  </si>
  <si>
    <t>avg floorspace:</t>
  </si>
  <si>
    <t xml:space="preserve">*see EERE doc pg. 51: Financial Analysis </t>
  </si>
  <si>
    <t>Assumed Building Sqaure Footage*</t>
  </si>
  <si>
    <t>Average Energy Consumption per Building (MBtu)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</si>
</sst>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#,##0.0"/>
    <numFmt numFmtId="167" formatCode="0.0E+00"/>
    <numFmt numFmtId="168" formatCode="_(* #,##0_);_(* \(#,##0\);_(* &quot;-&quot;??_);_(@_)"/>
    <numFmt numFmtId="169" formatCode="0.00000"/>
    <numFmt numFmtId="174" formatCode="&quot;$&quot;#,##0.00"/>
    <numFmt numFmtId="175" formatCode="0.0000000"/>
    <numFmt numFmtId="176" formatCode="0.0000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sz val="9"/>
      <name val="Calibri"/>
      <family val="2"/>
    </font>
    <font>
      <sz val="11"/>
      <color theme="1"/>
      <name val="Calibri"/>
      <family val="2"/>
    </font>
    <font>
      <sz val="9"/>
      <color rgb="FF000000"/>
      <name val="Calibri"/>
      <family val="2"/>
    </font>
    <font>
      <vertAlign val="superscript"/>
      <sz val="9"/>
      <color rgb="FF000000"/>
      <name val="Calibri"/>
      <family val="2"/>
    </font>
    <font>
      <i/>
      <sz val="9"/>
      <color rgb="FF000000"/>
      <name val="Calibri"/>
      <family val="2"/>
    </font>
    <font>
      <i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name val="Calibri"/>
      <family val="2"/>
      <scheme val="minor"/>
    </font>
    <font>
      <i/>
      <sz val="9"/>
      <name val="Calibri"/>
      <family val="2"/>
      <scheme val="minor"/>
    </font>
    <font>
      <b/>
      <sz val="9"/>
      <name val="Calibri"/>
      <family val="2"/>
    </font>
    <font>
      <sz val="10"/>
      <color indexed="8"/>
      <name val="Arial"/>
      <family val="2"/>
    </font>
    <font>
      <b/>
      <sz val="9"/>
      <name val="Calibri"/>
    </font>
    <font>
      <b/>
      <sz val="12"/>
      <name val="Calibri"/>
      <family val="2"/>
    </font>
    <font>
      <sz val="10"/>
      <name val="Calibri"/>
    </font>
    <font>
      <sz val="9"/>
      <name val="Calibri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dashed">
        <color rgb="FFBFBFBF"/>
      </bottom>
      <diagonal/>
    </border>
    <border>
      <left/>
      <right/>
      <top/>
      <bottom style="thick">
        <color auto="1"/>
      </bottom>
      <diagonal/>
    </border>
  </borders>
  <cellStyleXfs count="3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2" applyNumberFormat="0" applyProtection="0">
      <alignment wrapText="1"/>
    </xf>
    <xf numFmtId="0" fontId="7" fillId="0" borderId="0" applyNumberFormat="0" applyProtection="0">
      <alignment horizontal="left"/>
    </xf>
    <xf numFmtId="0" fontId="5" fillId="0" borderId="3" applyNumberFormat="0" applyProtection="0">
      <alignment wrapText="1"/>
    </xf>
    <xf numFmtId="0" fontId="4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43" fontId="1" fillId="0" borderId="0" applyFont="0" applyFill="0" applyBorder="0" applyAlignment="0" applyProtection="0"/>
    <xf numFmtId="0" fontId="20" fillId="4" borderId="0" applyNumberFormat="0" applyBorder="0" applyAlignment="0" applyProtection="0"/>
    <xf numFmtId="0" fontId="4" fillId="0" borderId="0"/>
    <xf numFmtId="0" fontId="16" fillId="0" borderId="11" applyNumberFormat="0" applyProtection="0">
      <alignment vertical="top" wrapText="1"/>
    </xf>
    <xf numFmtId="0" fontId="16" fillId="0" borderId="14" applyNumberFormat="0" applyFont="0" applyProtection="0">
      <alignment wrapText="1"/>
    </xf>
    <xf numFmtId="0" fontId="28" fillId="0" borderId="15" applyNumberFormat="0" applyProtection="0">
      <alignment wrapText="1"/>
    </xf>
    <xf numFmtId="0" fontId="28" fillId="0" borderId="1" applyNumberFormat="0" applyProtection="0">
      <alignment wrapText="1"/>
    </xf>
    <xf numFmtId="0" fontId="29" fillId="0" borderId="0" applyNumberFormat="0" applyProtection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7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7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97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11" fillId="0" borderId="0" xfId="0" applyFont="1" applyProtection="1">
      <protection locked="0"/>
    </xf>
    <xf numFmtId="49" fontId="11" fillId="0" borderId="0" xfId="0" applyNumberFormat="1" applyFont="1" applyProtection="1">
      <protection locked="0"/>
    </xf>
    <xf numFmtId="0" fontId="12" fillId="0" borderId="0" xfId="0" applyFont="1" applyAlignment="1" applyProtection="1">
      <alignment horizontal="left" vertical="center"/>
      <protection locked="0"/>
    </xf>
    <xf numFmtId="49" fontId="12" fillId="0" borderId="0" xfId="0" applyNumberFormat="1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11" fillId="0" borderId="0" xfId="0" quotePrefix="1" applyFont="1" applyProtection="1">
      <protection locked="0"/>
    </xf>
    <xf numFmtId="49" fontId="11" fillId="0" borderId="0" xfId="0" quotePrefix="1" applyNumberFormat="1" applyFont="1" applyProtection="1">
      <protection locked="0"/>
    </xf>
    <xf numFmtId="0" fontId="11" fillId="0" borderId="0" xfId="0" quotePrefix="1" applyFont="1" applyAlignment="1" applyProtection="1">
      <alignment horizontal="left" indent="1"/>
      <protection locked="0"/>
    </xf>
    <xf numFmtId="0" fontId="11" fillId="0" borderId="0" xfId="0" quotePrefix="1" applyFont="1" applyAlignment="1" applyProtection="1">
      <alignment horizontal="left" indent="2"/>
      <protection locked="0"/>
    </xf>
    <xf numFmtId="0" fontId="13" fillId="0" borderId="0" xfId="0" applyFont="1" applyAlignment="1">
      <alignment wrapText="1"/>
    </xf>
    <xf numFmtId="3" fontId="14" fillId="0" borderId="0" xfId="0" applyNumberFormat="1" applyFont="1"/>
    <xf numFmtId="0" fontId="0" fillId="0" borderId="0" xfId="0" applyAlignment="1">
      <alignment wrapText="1"/>
    </xf>
    <xf numFmtId="0" fontId="7" fillId="0" borderId="0" xfId="6" applyAlignment="1">
      <alignment horizontal="left" wrapText="1"/>
    </xf>
    <xf numFmtId="0" fontId="15" fillId="0" borderId="2" xfId="5" applyFont="1">
      <alignment wrapText="1"/>
    </xf>
    <xf numFmtId="0" fontId="15" fillId="0" borderId="10" xfId="8" applyFont="1" applyBorder="1">
      <alignment wrapText="1"/>
    </xf>
    <xf numFmtId="0" fontId="15" fillId="0" borderId="3" xfId="7" applyFont="1">
      <alignment wrapText="1"/>
    </xf>
    <xf numFmtId="0" fontId="14" fillId="0" borderId="4" xfId="8" applyFont="1">
      <alignment wrapText="1"/>
    </xf>
    <xf numFmtId="0" fontId="14" fillId="0" borderId="4" xfId="8" applyFont="1" applyAlignment="1">
      <alignment horizontal="left" wrapText="1" indent="1"/>
    </xf>
    <xf numFmtId="0" fontId="14" fillId="0" borderId="4" xfId="8" quotePrefix="1" applyFont="1">
      <alignment wrapText="1"/>
    </xf>
    <xf numFmtId="0" fontId="14" fillId="0" borderId="4" xfId="8" applyFont="1" applyAlignment="1">
      <alignment horizontal="left" wrapText="1"/>
    </xf>
    <xf numFmtId="10" fontId="0" fillId="0" borderId="0" xfId="0" applyNumberFormat="1"/>
    <xf numFmtId="167" fontId="0" fillId="0" borderId="0" xfId="0" applyNumberFormat="1"/>
    <xf numFmtId="3" fontId="14" fillId="0" borderId="10" xfId="8" applyNumberFormat="1" applyFont="1" applyBorder="1" applyAlignment="1">
      <alignment horizontal="right" wrapText="1"/>
    </xf>
    <xf numFmtId="3" fontId="15" fillId="0" borderId="3" xfId="7" applyNumberFormat="1" applyFont="1" applyAlignment="1">
      <alignment horizontal="right" wrapText="1"/>
    </xf>
    <xf numFmtId="3" fontId="14" fillId="0" borderId="4" xfId="8" applyNumberFormat="1" applyFont="1" applyAlignment="1">
      <alignment horizontal="right" wrapText="1"/>
    </xf>
    <xf numFmtId="1" fontId="0" fillId="0" borderId="0" xfId="0" applyNumberFormat="1"/>
    <xf numFmtId="168" fontId="0" fillId="0" borderId="0" xfId="10" applyNumberFormat="1" applyFont="1"/>
    <xf numFmtId="168" fontId="0" fillId="0" borderId="0" xfId="0" applyNumberFormat="1"/>
    <xf numFmtId="3" fontId="0" fillId="0" borderId="0" xfId="0" applyNumberFormat="1"/>
    <xf numFmtId="0" fontId="15" fillId="0" borderId="2" xfId="5" applyFont="1" applyAlignment="1">
      <alignment horizontal="right" wrapText="1"/>
    </xf>
    <xf numFmtId="166" fontId="14" fillId="0" borderId="10" xfId="8" applyNumberFormat="1" applyFont="1" applyBorder="1" applyAlignment="1">
      <alignment horizontal="right" wrapText="1"/>
    </xf>
    <xf numFmtId="166" fontId="15" fillId="0" borderId="3" xfId="7" applyNumberFormat="1" applyFont="1" applyAlignment="1">
      <alignment horizontal="right" wrapText="1"/>
    </xf>
    <xf numFmtId="166" fontId="14" fillId="0" borderId="4" xfId="8" applyNumberFormat="1" applyFont="1" applyAlignment="1">
      <alignment horizontal="right" wrapText="1"/>
    </xf>
    <xf numFmtId="165" fontId="1" fillId="0" borderId="0" xfId="2" applyNumberFormat="1" applyFont="1"/>
    <xf numFmtId="0" fontId="20" fillId="4" borderId="0" xfId="11"/>
    <xf numFmtId="165" fontId="20" fillId="4" borderId="0" xfId="11" applyNumberFormat="1"/>
    <xf numFmtId="164" fontId="20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1" fillId="0" borderId="0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0" fontId="13" fillId="0" borderId="0" xfId="0" applyFont="1"/>
    <xf numFmtId="11" fontId="2" fillId="5" borderId="6" xfId="0" applyNumberFormat="1" applyFont="1" applyFill="1" applyBorder="1"/>
    <xf numFmtId="0" fontId="14" fillId="0" borderId="14" xfId="14" applyFont="1" applyAlignment="1">
      <alignment horizontal="left" wrapText="1" indent="1"/>
    </xf>
    <xf numFmtId="3" fontId="14" fillId="0" borderId="14" xfId="14" applyNumberFormat="1" applyFont="1" applyAlignment="1">
      <alignment horizontal="right" wrapText="1"/>
    </xf>
    <xf numFmtId="0" fontId="14" fillId="0" borderId="14" xfId="14" applyFont="1">
      <alignment wrapText="1"/>
    </xf>
    <xf numFmtId="3" fontId="14" fillId="0" borderId="8" xfId="14" applyNumberFormat="1" applyFont="1" applyBorder="1" applyAlignment="1">
      <alignment horizontal="right" wrapText="1"/>
    </xf>
    <xf numFmtId="0" fontId="15" fillId="0" borderId="8" xfId="14" applyFont="1" applyBorder="1">
      <alignment wrapText="1"/>
    </xf>
    <xf numFmtId="3" fontId="14" fillId="0" borderId="16" xfId="15" applyNumberFormat="1" applyFont="1" applyBorder="1" applyAlignment="1">
      <alignment horizontal="right" wrapText="1"/>
    </xf>
    <xf numFmtId="3" fontId="14" fillId="0" borderId="15" xfId="15" applyNumberFormat="1" applyFont="1" applyAlignment="1">
      <alignment horizontal="right" wrapText="1"/>
    </xf>
    <xf numFmtId="0" fontId="15" fillId="0" borderId="8" xfId="15" applyFont="1" applyBorder="1">
      <alignment wrapText="1"/>
    </xf>
    <xf numFmtId="3" fontId="14" fillId="0" borderId="17" xfId="14" applyNumberFormat="1" applyFont="1" applyBorder="1" applyAlignment="1">
      <alignment horizontal="right" wrapText="1"/>
    </xf>
    <xf numFmtId="0" fontId="15" fillId="0" borderId="17" xfId="15" applyFont="1" applyBorder="1">
      <alignment wrapText="1"/>
    </xf>
    <xf numFmtId="0" fontId="14" fillId="0" borderId="14" xfId="14" applyFont="1" applyAlignment="1">
      <alignment horizontal="left" wrapText="1"/>
    </xf>
    <xf numFmtId="0" fontId="15" fillId="0" borderId="17" xfId="14" applyFont="1" applyBorder="1">
      <alignment wrapText="1"/>
    </xf>
    <xf numFmtId="0" fontId="15" fillId="0" borderId="15" xfId="15" applyFont="1">
      <alignment wrapText="1"/>
    </xf>
    <xf numFmtId="0" fontId="14" fillId="0" borderId="18" xfId="14" applyFont="1" applyBorder="1">
      <alignment wrapText="1"/>
    </xf>
    <xf numFmtId="0" fontId="14" fillId="0" borderId="14" xfId="14" quotePrefix="1" applyFont="1">
      <alignment wrapText="1"/>
    </xf>
    <xf numFmtId="3" fontId="14" fillId="0" borderId="19" xfId="15" applyNumberFormat="1" applyFont="1" applyBorder="1" applyAlignment="1">
      <alignment horizontal="right" wrapText="1"/>
    </xf>
    <xf numFmtId="3" fontId="14" fillId="0" borderId="0" xfId="14" applyNumberFormat="1" applyFont="1" applyBorder="1" applyAlignment="1">
      <alignment horizontal="right" wrapText="1"/>
    </xf>
    <xf numFmtId="3" fontId="14" fillId="0" borderId="10" xfId="14" applyNumberFormat="1" applyFont="1" applyBorder="1" applyAlignment="1">
      <alignment horizontal="right" wrapText="1"/>
    </xf>
    <xf numFmtId="0" fontId="15" fillId="0" borderId="10" xfId="14" applyFont="1" applyBorder="1">
      <alignment wrapText="1"/>
    </xf>
    <xf numFmtId="3" fontId="15" fillId="0" borderId="1" xfId="16" applyNumberFormat="1" applyFont="1" applyAlignment="1">
      <alignment horizontal="right" wrapText="1"/>
    </xf>
    <xf numFmtId="0" fontId="15" fillId="0" borderId="1" xfId="16" applyFont="1">
      <alignment wrapText="1"/>
    </xf>
    <xf numFmtId="3" fontId="15" fillId="0" borderId="0" xfId="0" applyNumberFormat="1" applyFont="1" applyAlignment="1">
      <alignment horizontal="left" wrapText="1"/>
    </xf>
    <xf numFmtId="0" fontId="29" fillId="0" borderId="0" xfId="17" applyAlignment="1">
      <alignment horizontal="left" wrapText="1"/>
    </xf>
    <xf numFmtId="3" fontId="14" fillId="0" borderId="14" xfId="14" applyNumberFormat="1" applyFont="1">
      <alignment wrapText="1"/>
    </xf>
    <xf numFmtId="0" fontId="15" fillId="0" borderId="14" xfId="14" applyFont="1">
      <alignment wrapText="1"/>
    </xf>
    <xf numFmtId="3" fontId="15" fillId="0" borderId="15" xfId="15" applyNumberFormat="1" applyFont="1" applyAlignment="1">
      <alignment horizontal="right" wrapText="1"/>
    </xf>
    <xf numFmtId="3" fontId="15" fillId="0" borderId="14" xfId="14" applyNumberFormat="1" applyFont="1" applyAlignment="1">
      <alignment horizontal="right" wrapText="1"/>
    </xf>
    <xf numFmtId="0" fontId="4" fillId="0" borderId="0" xfId="12"/>
    <xf numFmtId="0" fontId="8" fillId="0" borderId="0" xfId="12" applyFont="1"/>
    <xf numFmtId="0" fontId="22" fillId="0" borderId="5" xfId="18" applyFont="1">
      <alignment wrapText="1"/>
    </xf>
    <xf numFmtId="165" fontId="5" fillId="0" borderId="3" xfId="19" applyNumberFormat="1" applyAlignment="1">
      <alignment horizontal="right" wrapText="1"/>
    </xf>
    <xf numFmtId="3" fontId="5" fillId="0" borderId="3" xfId="19" applyNumberFormat="1" applyAlignment="1">
      <alignment horizontal="right" wrapText="1"/>
    </xf>
    <xf numFmtId="0" fontId="5" fillId="0" borderId="3" xfId="19">
      <alignment wrapText="1"/>
    </xf>
    <xf numFmtId="0" fontId="6" fillId="0" borderId="0" xfId="12" applyFont="1"/>
    <xf numFmtId="165" fontId="0" fillId="0" borderId="4" xfId="20" applyNumberFormat="1" applyFont="1" applyAlignment="1">
      <alignment horizontal="right" wrapText="1"/>
    </xf>
    <xf numFmtId="3" fontId="0" fillId="0" borderId="4" xfId="20" applyNumberFormat="1" applyFont="1" applyAlignment="1">
      <alignment horizontal="right" wrapText="1"/>
    </xf>
    <xf numFmtId="0" fontId="0" fillId="0" borderId="4" xfId="20" applyFont="1">
      <alignment wrapText="1"/>
    </xf>
    <xf numFmtId="4" fontId="5" fillId="0" borderId="3" xfId="19" applyNumberFormat="1" applyAlignment="1">
      <alignment horizontal="right" wrapText="1"/>
    </xf>
    <xf numFmtId="4" fontId="0" fillId="0" borderId="4" xfId="20" applyNumberFormat="1" applyFont="1" applyAlignment="1">
      <alignment horizontal="right" wrapText="1"/>
    </xf>
    <xf numFmtId="166" fontId="0" fillId="0" borderId="4" xfId="20" applyNumberFormat="1" applyFont="1" applyAlignment="1">
      <alignment horizontal="right" wrapText="1"/>
    </xf>
    <xf numFmtId="0" fontId="5" fillId="0" borderId="2" xfId="21" applyAlignment="1">
      <alignment horizontal="right"/>
    </xf>
    <xf numFmtId="0" fontId="5" fillId="0" borderId="2" xfId="21">
      <alignment wrapText="1"/>
    </xf>
    <xf numFmtId="0" fontId="32" fillId="0" borderId="0" xfId="12" applyFont="1" applyAlignment="1">
      <alignment horizontal="right"/>
    </xf>
    <xf numFmtId="0" fontId="4" fillId="0" borderId="0" xfId="12" applyAlignment="1">
      <alignment horizontal="left"/>
    </xf>
    <xf numFmtId="0" fontId="4" fillId="0" borderId="0" xfId="22"/>
    <xf numFmtId="0" fontId="7" fillId="0" borderId="0" xfId="23">
      <alignment horizontal="left"/>
    </xf>
    <xf numFmtId="0" fontId="33" fillId="0" borderId="0" xfId="12" applyFont="1"/>
    <xf numFmtId="166" fontId="5" fillId="0" borderId="3" xfId="19" applyNumberFormat="1" applyAlignment="1">
      <alignment horizontal="right" wrapText="1"/>
    </xf>
    <xf numFmtId="0" fontId="5" fillId="0" borderId="0" xfId="19" applyBorder="1">
      <alignment wrapText="1"/>
    </xf>
    <xf numFmtId="0" fontId="6" fillId="0" borderId="22" xfId="12" applyFont="1" applyBorder="1"/>
    <xf numFmtId="0" fontId="0" fillId="0" borderId="22" xfId="20" applyFont="1" applyBorder="1">
      <alignment wrapText="1"/>
    </xf>
    <xf numFmtId="4" fontId="0" fillId="0" borderId="22" xfId="20" applyNumberFormat="1" applyFont="1" applyBorder="1" applyAlignment="1">
      <alignment horizontal="right" wrapText="1"/>
    </xf>
    <xf numFmtId="165" fontId="0" fillId="0" borderId="22" xfId="20" applyNumberFormat="1" applyFont="1" applyBorder="1" applyAlignment="1">
      <alignment horizontal="right" wrapText="1"/>
    </xf>
    <xf numFmtId="0" fontId="4" fillId="0" borderId="22" xfId="12" applyBorder="1"/>
    <xf numFmtId="0" fontId="6" fillId="6" borderId="20" xfId="12" applyFont="1" applyFill="1" applyBorder="1"/>
    <xf numFmtId="0" fontId="0" fillId="6" borderId="21" xfId="20" applyFont="1" applyFill="1" applyBorder="1">
      <alignment wrapText="1"/>
    </xf>
    <xf numFmtId="4" fontId="0" fillId="6" borderId="21" xfId="20" applyNumberFormat="1" applyFont="1" applyFill="1" applyBorder="1" applyAlignment="1">
      <alignment horizontal="right" wrapText="1"/>
    </xf>
    <xf numFmtId="165" fontId="0" fillId="6" borderId="21" xfId="20" applyNumberFormat="1" applyFont="1" applyFill="1" applyBorder="1" applyAlignment="1">
      <alignment horizontal="right" wrapText="1"/>
    </xf>
    <xf numFmtId="0" fontId="4" fillId="6" borderId="20" xfId="12" applyFill="1" applyBorder="1"/>
    <xf numFmtId="0" fontId="6" fillId="6" borderId="0" xfId="12" applyFont="1" applyFill="1"/>
    <xf numFmtId="0" fontId="0" fillId="6" borderId="4" xfId="20" applyFont="1" applyFill="1">
      <alignment wrapText="1"/>
    </xf>
    <xf numFmtId="4" fontId="0" fillId="6" borderId="4" xfId="20" applyNumberFormat="1" applyFont="1" applyFill="1" applyAlignment="1">
      <alignment horizontal="right" wrapText="1"/>
    </xf>
    <xf numFmtId="165" fontId="0" fillId="6" borderId="4" xfId="20" applyNumberFormat="1" applyFont="1" applyFill="1" applyAlignment="1">
      <alignment horizontal="right" wrapText="1"/>
    </xf>
    <xf numFmtId="0" fontId="4" fillId="6" borderId="0" xfId="12" applyFill="1"/>
    <xf numFmtId="0" fontId="34" fillId="0" borderId="0" xfId="0" applyFont="1" applyAlignment="1">
      <alignment horizontal="right"/>
    </xf>
    <xf numFmtId="0" fontId="35" fillId="0" borderId="0" xfId="23" applyFont="1">
      <alignment horizontal="left"/>
    </xf>
    <xf numFmtId="0" fontId="8" fillId="0" borderId="0" xfId="22" applyFont="1"/>
    <xf numFmtId="0" fontId="8" fillId="0" borderId="0" xfId="12" applyFont="1" applyAlignment="1">
      <alignment horizontal="left"/>
    </xf>
    <xf numFmtId="0" fontId="32" fillId="0" borderId="2" xfId="21" applyFont="1">
      <alignment wrapText="1"/>
    </xf>
    <xf numFmtId="0" fontId="32" fillId="0" borderId="2" xfId="21" applyFont="1" applyAlignment="1">
      <alignment horizontal="right"/>
    </xf>
    <xf numFmtId="0" fontId="32" fillId="0" borderId="3" xfId="19" applyFont="1">
      <alignment wrapText="1"/>
    </xf>
    <xf numFmtId="0" fontId="8" fillId="0" borderId="4" xfId="20" applyFont="1">
      <alignment wrapText="1"/>
    </xf>
    <xf numFmtId="4" fontId="8" fillId="0" borderId="4" xfId="20" applyNumberFormat="1" applyFont="1" applyAlignment="1">
      <alignment horizontal="right" wrapText="1"/>
    </xf>
    <xf numFmtId="165" fontId="8" fillId="0" borderId="4" xfId="20" applyNumberFormat="1" applyFont="1" applyAlignment="1">
      <alignment horizontal="right" wrapText="1"/>
    </xf>
    <xf numFmtId="4" fontId="32" fillId="0" borderId="3" xfId="19" applyNumberFormat="1" applyFont="1" applyAlignment="1">
      <alignment horizontal="right" wrapText="1"/>
    </xf>
    <xf numFmtId="165" fontId="32" fillId="0" borderId="3" xfId="19" applyNumberFormat="1" applyFont="1" applyAlignment="1">
      <alignment horizontal="right" wrapText="1"/>
    </xf>
    <xf numFmtId="3" fontId="8" fillId="0" borderId="4" xfId="20" applyNumberFormat="1" applyFont="1" applyAlignment="1">
      <alignment horizontal="right" wrapText="1"/>
    </xf>
    <xf numFmtId="166" fontId="8" fillId="0" borderId="4" xfId="20" applyNumberFormat="1" applyFont="1" applyAlignment="1">
      <alignment horizontal="right" wrapText="1"/>
    </xf>
    <xf numFmtId="3" fontId="32" fillId="0" borderId="3" xfId="19" applyNumberFormat="1" applyFont="1" applyAlignment="1">
      <alignment horizontal="right" wrapText="1"/>
    </xf>
    <xf numFmtId="0" fontId="36" fillId="0" borderId="0" xfId="12" applyFont="1"/>
    <xf numFmtId="0" fontId="4" fillId="0" borderId="5" xfId="12" applyBorder="1"/>
    <xf numFmtId="0" fontId="8" fillId="0" borderId="5" xfId="18" applyFont="1" applyAlignment="1"/>
    <xf numFmtId="4" fontId="32" fillId="0" borderId="3" xfId="19" applyNumberFormat="1" applyFont="1">
      <alignment wrapText="1"/>
    </xf>
    <xf numFmtId="165" fontId="32" fillId="0" borderId="3" xfId="19" applyNumberFormat="1" applyFont="1">
      <alignment wrapText="1"/>
    </xf>
    <xf numFmtId="0" fontId="5" fillId="0" borderId="2" xfId="30">
      <alignment wrapText="1"/>
    </xf>
    <xf numFmtId="0" fontId="35" fillId="0" borderId="0" xfId="32" applyFont="1">
      <alignment horizontal="left"/>
    </xf>
    <xf numFmtId="0" fontId="32" fillId="0" borderId="2" xfId="30" applyFont="1">
      <alignment wrapText="1"/>
    </xf>
    <xf numFmtId="0" fontId="32" fillId="0" borderId="2" xfId="30" applyFont="1" applyAlignment="1">
      <alignment horizontal="right"/>
    </xf>
    <xf numFmtId="0" fontId="32" fillId="0" borderId="3" xfId="31" applyFont="1">
      <alignment wrapText="1"/>
    </xf>
    <xf numFmtId="0" fontId="8" fillId="0" borderId="4" xfId="28" applyFont="1">
      <alignment wrapText="1"/>
    </xf>
    <xf numFmtId="4" fontId="8" fillId="0" borderId="4" xfId="28" applyNumberFormat="1" applyFont="1" applyAlignment="1">
      <alignment horizontal="right" wrapText="1"/>
    </xf>
    <xf numFmtId="165" fontId="8" fillId="0" borderId="4" xfId="28" applyNumberFormat="1" applyFont="1" applyAlignment="1">
      <alignment horizontal="right" wrapText="1"/>
    </xf>
    <xf numFmtId="4" fontId="32" fillId="0" borderId="3" xfId="31" applyNumberFormat="1" applyFont="1" applyAlignment="1">
      <alignment horizontal="right" wrapText="1"/>
    </xf>
    <xf numFmtId="165" fontId="32" fillId="0" borderId="3" xfId="31" applyNumberFormat="1" applyFont="1" applyAlignment="1">
      <alignment horizontal="right" wrapText="1"/>
    </xf>
    <xf numFmtId="3" fontId="8" fillId="0" borderId="4" xfId="28" applyNumberFormat="1" applyFont="1" applyAlignment="1">
      <alignment horizontal="right" wrapText="1"/>
    </xf>
    <xf numFmtId="166" fontId="8" fillId="0" borderId="4" xfId="28" applyNumberFormat="1" applyFont="1" applyAlignment="1">
      <alignment horizontal="right" wrapText="1"/>
    </xf>
    <xf numFmtId="3" fontId="32" fillId="0" borderId="3" xfId="31" applyNumberFormat="1" applyFont="1" applyAlignment="1">
      <alignment horizontal="right" wrapText="1"/>
    </xf>
    <xf numFmtId="166" fontId="32" fillId="0" borderId="3" xfId="31" applyNumberFormat="1" applyFont="1" applyAlignment="1">
      <alignment horizontal="right" wrapText="1"/>
    </xf>
    <xf numFmtId="3" fontId="8" fillId="0" borderId="4" xfId="28" applyNumberFormat="1" applyFont="1">
      <alignment wrapText="1"/>
    </xf>
    <xf numFmtId="165" fontId="8" fillId="0" borderId="4" xfId="28" applyNumberFormat="1" applyFo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4" fillId="0" borderId="5" xfId="13" applyFont="1" applyBorder="1">
      <alignment vertical="top" wrapText="1"/>
    </xf>
    <xf numFmtId="0" fontId="23" fillId="0" borderId="5" xfId="0" applyFont="1" applyBorder="1" applyAlignment="1">
      <alignment vertical="top" wrapText="1"/>
    </xf>
    <xf numFmtId="0" fontId="29" fillId="0" borderId="0" xfId="17" applyAlignment="1">
      <alignment horizontal="left" wrapText="1"/>
    </xf>
    <xf numFmtId="0" fontId="0" fillId="0" borderId="0" xfId="0" applyAlignment="1">
      <alignment wrapText="1"/>
    </xf>
    <xf numFmtId="3" fontId="15" fillId="0" borderId="7" xfId="0" applyNumberFormat="1" applyFont="1" applyBorder="1" applyAlignment="1">
      <alignment horizontal="left" wrapText="1"/>
    </xf>
    <xf numFmtId="0" fontId="0" fillId="0" borderId="7" xfId="0" applyBorder="1" applyAlignment="1">
      <alignment horizontal="left"/>
    </xf>
    <xf numFmtId="3" fontId="15" fillId="0" borderId="8" xfId="0" applyNumberFormat="1" applyFont="1" applyBorder="1" applyAlignment="1">
      <alignment horizontal="left" wrapText="1"/>
    </xf>
    <xf numFmtId="0" fontId="0" fillId="0" borderId="8" xfId="0" applyBorder="1" applyAlignment="1">
      <alignment horizontal="left" wrapText="1"/>
    </xf>
    <xf numFmtId="3" fontId="15" fillId="0" borderId="9" xfId="0" applyNumberFormat="1" applyFont="1" applyBorder="1" applyAlignment="1">
      <alignment horizontal="left" wrapText="1"/>
    </xf>
    <xf numFmtId="0" fontId="0" fillId="0" borderId="8" xfId="0" applyBorder="1" applyAlignment="1">
      <alignment horizontal="left"/>
    </xf>
    <xf numFmtId="0" fontId="15" fillId="0" borderId="9" xfId="0" applyFont="1" applyBorder="1" applyAlignment="1">
      <alignment horizontal="left"/>
    </xf>
    <xf numFmtId="0" fontId="15" fillId="0" borderId="8" xfId="0" applyFont="1" applyBorder="1" applyAlignment="1">
      <alignment horizontal="left"/>
    </xf>
    <xf numFmtId="3" fontId="15" fillId="0" borderId="12" xfId="0" applyNumberFormat="1" applyFont="1" applyBorder="1" applyAlignment="1">
      <alignment horizontal="left" wrapText="1"/>
    </xf>
    <xf numFmtId="0" fontId="16" fillId="0" borderId="11" xfId="13">
      <alignment vertical="top" wrapText="1"/>
    </xf>
    <xf numFmtId="0" fontId="0" fillId="0" borderId="11" xfId="0" applyBorder="1" applyAlignment="1">
      <alignment vertical="top" wrapText="1"/>
    </xf>
    <xf numFmtId="0" fontId="0" fillId="0" borderId="0" xfId="0"/>
    <xf numFmtId="0" fontId="7" fillId="0" borderId="0" xfId="6" applyAlignment="1">
      <alignment horizontal="left" wrapText="1"/>
    </xf>
    <xf numFmtId="0" fontId="15" fillId="0" borderId="8" xfId="0" applyFont="1" applyBorder="1" applyAlignment="1">
      <alignment horizontal="left" wrapText="1"/>
    </xf>
    <xf numFmtId="0" fontId="15" fillId="0" borderId="13" xfId="5" applyFont="1" applyBorder="1" applyAlignment="1">
      <alignment horizontal="right" wrapText="1"/>
    </xf>
    <xf numFmtId="0" fontId="0" fillId="0" borderId="1" xfId="0" applyBorder="1" applyAlignment="1">
      <alignment wrapText="1"/>
    </xf>
    <xf numFmtId="0" fontId="15" fillId="0" borderId="2" xfId="5" applyFont="1" applyAlignment="1">
      <alignment horizontal="right" wrapText="1"/>
    </xf>
    <xf numFmtId="0" fontId="9" fillId="0" borderId="0" xfId="0" applyFont="1" applyAlignment="1" applyProtection="1">
      <alignment wrapText="1"/>
      <protection locked="0"/>
    </xf>
    <xf numFmtId="0" fontId="10" fillId="0" borderId="0" xfId="0" applyFont="1" applyAlignment="1" applyProtection="1">
      <alignment wrapText="1"/>
      <protection locked="0"/>
    </xf>
    <xf numFmtId="0" fontId="4" fillId="0" borderId="0" xfId="12"/>
    <xf numFmtId="0" fontId="0" fillId="0" borderId="4" xfId="20" applyFont="1">
      <alignment wrapText="1"/>
    </xf>
    <xf numFmtId="3" fontId="0" fillId="0" borderId="4" xfId="20" applyNumberFormat="1" applyFont="1" applyAlignment="1">
      <alignment horizontal="right" wrapText="1"/>
    </xf>
    <xf numFmtId="165" fontId="0" fillId="0" borderId="4" xfId="20" applyNumberFormat="1" applyFont="1" applyAlignment="1">
      <alignment horizontal="right" wrapText="1"/>
    </xf>
    <xf numFmtId="0" fontId="37" fillId="0" borderId="5" xfId="29" applyFont="1">
      <alignment wrapText="1"/>
    </xf>
    <xf numFmtId="0" fontId="4" fillId="0" borderId="5" xfId="12" applyBorder="1"/>
    <xf numFmtId="165" fontId="0" fillId="0" borderId="0" xfId="0" applyNumberFormat="1"/>
    <xf numFmtId="174" fontId="0" fillId="0" borderId="0" xfId="0" applyNumberFormat="1"/>
    <xf numFmtId="0" fontId="0" fillId="0" borderId="0" xfId="1" applyNumberFormat="1" applyFont="1"/>
    <xf numFmtId="3" fontId="14" fillId="0" borderId="0" xfId="14" applyNumberFormat="1" applyFont="1" applyFill="1" applyBorder="1" applyAlignment="1">
      <alignment horizontal="right" wrapText="1"/>
    </xf>
    <xf numFmtId="0" fontId="38" fillId="0" borderId="0" xfId="0" applyFont="1"/>
    <xf numFmtId="175" fontId="0" fillId="0" borderId="0" xfId="0" applyNumberFormat="1"/>
    <xf numFmtId="176" fontId="0" fillId="0" borderId="0" xfId="0" applyNumberFormat="1"/>
  </cellXfs>
  <cellStyles count="36">
    <cellStyle name="Bad" xfId="11" builtinId="27"/>
    <cellStyle name="Body: normal cell" xfId="8" xr:uid="{00000000-0005-0000-0000-000001000000}"/>
    <cellStyle name="Body: normal cell 2" xfId="14" xr:uid="{5077DDE4-7F1B-47A9-B559-248F3154D196}"/>
    <cellStyle name="Body: normal cell 2 2" xfId="28" xr:uid="{71D94B50-A365-458A-81AA-D543956B65E8}"/>
    <cellStyle name="Body: normal cell 3" xfId="20" xr:uid="{786C3C07-CB8B-450C-AB3C-13E1AACA5316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5C77B96-DB98-453B-94FF-7B6DC1205C7D}"/>
    <cellStyle name="Font: Calibri, 9pt regular 3" xfId="26" xr:uid="{615D61E9-0134-4981-85B2-EFF2DB5A2216}"/>
    <cellStyle name="Footnotes: top row" xfId="9" xr:uid="{00000000-0005-0000-0000-000005000000}"/>
    <cellStyle name="Footnotes: top row 2" xfId="13" xr:uid="{BFBD1D1C-FC36-4542-9FA3-E56904480F1E}"/>
    <cellStyle name="Footnotes: top row 2 2" xfId="29" xr:uid="{AC4B3CC6-DA6E-441F-970C-8BD1FB01F92F}"/>
    <cellStyle name="Footnotes: top row 3" xfId="18" xr:uid="{0CE884FF-FC72-40CC-8D7B-5C948848B3BF}"/>
    <cellStyle name="Header: bottom row" xfId="5" xr:uid="{00000000-0005-0000-0000-000006000000}"/>
    <cellStyle name="Header: bottom row 2" xfId="16" xr:uid="{CA515F64-FB07-4997-9103-B47F7DFC1CB4}"/>
    <cellStyle name="Header: bottom row 2 2" xfId="30" xr:uid="{DA823EC6-5CE7-4A8A-8B20-7C996A57618B}"/>
    <cellStyle name="Header: bottom row 3" xfId="21" xr:uid="{F0907E74-7583-4E90-A2DD-58B76681637A}"/>
    <cellStyle name="Hyperlink" xfId="3" builtinId="8"/>
    <cellStyle name="Normal" xfId="0" builtinId="0"/>
    <cellStyle name="Normal 2" xfId="12" xr:uid="{00000000-0005-0000-0000-000009000000}"/>
    <cellStyle name="Normal 3" xfId="27" xr:uid="{3B8720CD-C8DE-478C-854D-164175293193}"/>
    <cellStyle name="Normal 3 2" xfId="34" xr:uid="{6B63812F-A2C9-48E2-A44E-3EAD9E8B2A9E}"/>
    <cellStyle name="Normal 4" xfId="25" xr:uid="{3CA23A8B-F36C-4124-8AF9-3AD8C43FE62B}"/>
    <cellStyle name="Normal 5" xfId="24" xr:uid="{D19E787D-CC60-464C-8098-C44C1AEA7DD2}"/>
    <cellStyle name="Normal 5 2" xfId="35" xr:uid="{1F83FE5A-4CAC-4BFF-9E02-2469A1B1E002}"/>
    <cellStyle name="Normal 6" xfId="33" xr:uid="{B3FDF30F-50C8-4C87-9B10-D907A4B8EA39}"/>
    <cellStyle name="Parent row" xfId="7" xr:uid="{00000000-0005-0000-0000-00000A000000}"/>
    <cellStyle name="Parent row 2" xfId="15" xr:uid="{5EA13999-CC2D-4F05-98CE-41285166940D}"/>
    <cellStyle name="Parent row 2 2" xfId="31" xr:uid="{7CF5BB44-676D-4880-B78B-4F560565AE83}"/>
    <cellStyle name="Parent row 3" xfId="19" xr:uid="{B62A22C5-BF47-4998-BCD7-D50940BCF2BF}"/>
    <cellStyle name="Percent" xfId="2" builtinId="5"/>
    <cellStyle name="Table title" xfId="6" xr:uid="{00000000-0005-0000-0000-00000C000000}"/>
    <cellStyle name="Table title 2" xfId="17" xr:uid="{758EDA3D-7604-45D5-B6E3-404C0E21A6D1}"/>
    <cellStyle name="Table title 2 2" xfId="32" xr:uid="{8367573C-5714-4908-9EBE-4733A1FA164A}"/>
    <cellStyle name="Table title 3" xfId="23" xr:uid="{68D5BE53-BA63-4020-94DA-4661BD2A22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2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ia.gov/outlooks/aeo/data/browser/" TargetMode="External"/><Relationship Id="rId3" Type="http://schemas.openxmlformats.org/officeDocument/2006/relationships/hyperlink" Target="https://www.pnnl.gov/main/publications/external/technical_reports/PNNL-20761.pdf" TargetMode="External"/><Relationship Id="rId7" Type="http://schemas.openxmlformats.org/officeDocument/2006/relationships/hyperlink" Target="https://www.eia.gov/outlooks/aeo/data/browser/" TargetMode="External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.eia.gov/consumption/commercial/data/2018/index.php?view=characteristic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1.eere.energy.gov/buildings/publications/pdfs/building_america/ba_climateguide_7_1.pdf" TargetMode="External"/><Relationship Id="rId10" Type="http://schemas.openxmlformats.org/officeDocument/2006/relationships/hyperlink" Target="https://www.eia.gov/outlooks/aeo/data/browser/" TargetMode="External"/><Relationship Id="rId4" Type="http://schemas.openxmlformats.org/officeDocument/2006/relationships/hyperlink" Target="https://www.eia.gov/consumption/commercial/data/2012/index.php?view=characteristics" TargetMode="External"/><Relationship Id="rId9" Type="http://schemas.openxmlformats.org/officeDocument/2006/relationships/hyperlink" Target="https://www.eia.gov/outlooks/aeo/data/browse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workbookViewId="0">
      <selection activeCell="B42" sqref="B42"/>
    </sheetView>
  </sheetViews>
  <sheetFormatPr defaultRowHeight="14.5" x14ac:dyDescent="0.35"/>
  <cols>
    <col min="2" max="2" width="73.1796875" customWidth="1"/>
  </cols>
  <sheetData>
    <row r="1" spans="1:2" x14ac:dyDescent="0.35">
      <c r="A1" s="2" t="s">
        <v>2628</v>
      </c>
    </row>
    <row r="2" spans="1:2" x14ac:dyDescent="0.35">
      <c r="A2" s="2" t="s">
        <v>2629</v>
      </c>
    </row>
    <row r="4" spans="1:2" x14ac:dyDescent="0.35">
      <c r="A4" s="2" t="s">
        <v>8</v>
      </c>
      <c r="B4" s="6" t="s">
        <v>13</v>
      </c>
    </row>
    <row r="5" spans="1:2" x14ac:dyDescent="0.35">
      <c r="B5" t="s">
        <v>9</v>
      </c>
    </row>
    <row r="6" spans="1:2" x14ac:dyDescent="0.35">
      <c r="B6" s="3">
        <v>2014</v>
      </c>
    </row>
    <row r="7" spans="1:2" x14ac:dyDescent="0.35">
      <c r="B7" t="s">
        <v>10</v>
      </c>
    </row>
    <row r="8" spans="1:2" x14ac:dyDescent="0.35">
      <c r="B8" s="4" t="s">
        <v>11</v>
      </c>
    </row>
    <row r="9" spans="1:2" x14ac:dyDescent="0.35">
      <c r="B9" t="s">
        <v>12</v>
      </c>
    </row>
    <row r="11" spans="1:2" x14ac:dyDescent="0.35">
      <c r="B11" s="6" t="s">
        <v>16</v>
      </c>
    </row>
    <row r="12" spans="1:2" x14ac:dyDescent="0.35">
      <c r="B12" t="s">
        <v>18</v>
      </c>
    </row>
    <row r="13" spans="1:2" x14ac:dyDescent="0.35">
      <c r="B13" s="3">
        <v>2015</v>
      </c>
    </row>
    <row r="14" spans="1:2" x14ac:dyDescent="0.35">
      <c r="B14" t="s">
        <v>19</v>
      </c>
    </row>
    <row r="15" spans="1:2" x14ac:dyDescent="0.35">
      <c r="B15" s="4" t="s">
        <v>17</v>
      </c>
    </row>
    <row r="16" spans="1:2" x14ac:dyDescent="0.35">
      <c r="B16" t="s">
        <v>222</v>
      </c>
    </row>
    <row r="18" spans="2:2" x14ac:dyDescent="0.35">
      <c r="B18" s="6" t="s">
        <v>2603</v>
      </c>
    </row>
    <row r="19" spans="2:2" x14ac:dyDescent="0.35">
      <c r="B19" t="s">
        <v>2604</v>
      </c>
    </row>
    <row r="20" spans="2:2" x14ac:dyDescent="0.35">
      <c r="B20" s="3">
        <v>2011</v>
      </c>
    </row>
    <row r="21" spans="2:2" x14ac:dyDescent="0.35">
      <c r="B21" t="s">
        <v>2606</v>
      </c>
    </row>
    <row r="22" spans="2:2" x14ac:dyDescent="0.35">
      <c r="B22" s="4" t="s">
        <v>2605</v>
      </c>
    </row>
    <row r="23" spans="2:2" x14ac:dyDescent="0.35">
      <c r="B23" t="s">
        <v>2609</v>
      </c>
    </row>
    <row r="25" spans="2:2" x14ac:dyDescent="0.35">
      <c r="B25" s="6" t="s">
        <v>2610</v>
      </c>
    </row>
    <row r="26" spans="2:2" x14ac:dyDescent="0.35">
      <c r="B26" t="s">
        <v>2611</v>
      </c>
    </row>
    <row r="27" spans="2:2" x14ac:dyDescent="0.35">
      <c r="B27" s="3">
        <v>2015</v>
      </c>
    </row>
    <row r="28" spans="2:2" x14ac:dyDescent="0.35">
      <c r="B28" t="s">
        <v>2612</v>
      </c>
    </row>
    <row r="29" spans="2:2" x14ac:dyDescent="0.35">
      <c r="B29" s="4" t="s">
        <v>2613</v>
      </c>
    </row>
    <row r="30" spans="2:2" x14ac:dyDescent="0.35">
      <c r="B30" t="s">
        <v>2868</v>
      </c>
    </row>
    <row r="31" spans="2:2" x14ac:dyDescent="0.35">
      <c r="B31" s="4"/>
    </row>
    <row r="32" spans="2:2" x14ac:dyDescent="0.35">
      <c r="B32" t="s">
        <v>2611</v>
      </c>
    </row>
    <row r="33" spans="2:2" x14ac:dyDescent="0.35">
      <c r="B33" s="3">
        <v>2021</v>
      </c>
    </row>
    <row r="34" spans="2:2" x14ac:dyDescent="0.35">
      <c r="B34" t="s">
        <v>2869</v>
      </c>
    </row>
    <row r="35" spans="2:2" x14ac:dyDescent="0.35">
      <c r="B35" s="4" t="s">
        <v>2867</v>
      </c>
    </row>
    <row r="36" spans="2:2" x14ac:dyDescent="0.35">
      <c r="B36" t="s">
        <v>2870</v>
      </c>
    </row>
    <row r="38" spans="2:2" x14ac:dyDescent="0.35">
      <c r="B38" s="6" t="s">
        <v>2889</v>
      </c>
    </row>
    <row r="39" spans="2:2" x14ac:dyDescent="0.35">
      <c r="B39" t="s">
        <v>2884</v>
      </c>
    </row>
    <row r="40" spans="2:2" x14ac:dyDescent="0.35">
      <c r="B40" s="3" t="s">
        <v>2910</v>
      </c>
    </row>
    <row r="41" spans="2:2" x14ac:dyDescent="0.35">
      <c r="B41" t="s">
        <v>2911</v>
      </c>
    </row>
    <row r="42" spans="2:2" x14ac:dyDescent="0.35">
      <c r="B42" s="4" t="s">
        <v>2885</v>
      </c>
    </row>
    <row r="43" spans="2:2" x14ac:dyDescent="0.35">
      <c r="B43" s="4" t="s">
        <v>2912</v>
      </c>
    </row>
    <row r="44" spans="2:2" x14ac:dyDescent="0.35">
      <c r="B44" t="s">
        <v>2886</v>
      </c>
    </row>
    <row r="46" spans="2:2" x14ac:dyDescent="0.35">
      <c r="B46" s="6" t="s">
        <v>2890</v>
      </c>
    </row>
    <row r="47" spans="2:2" x14ac:dyDescent="0.35">
      <c r="B47" t="s">
        <v>2884</v>
      </c>
    </row>
    <row r="48" spans="2:2" x14ac:dyDescent="0.35">
      <c r="B48" s="3" t="s">
        <v>2910</v>
      </c>
    </row>
    <row r="49" spans="1:2" x14ac:dyDescent="0.35">
      <c r="B49" t="s">
        <v>2911</v>
      </c>
    </row>
    <row r="50" spans="1:2" x14ac:dyDescent="0.35">
      <c r="B50" s="4" t="s">
        <v>2887</v>
      </c>
    </row>
    <row r="51" spans="1:2" x14ac:dyDescent="0.35">
      <c r="B51" s="4" t="s">
        <v>2913</v>
      </c>
    </row>
    <row r="52" spans="1:2" x14ac:dyDescent="0.35">
      <c r="B52" t="s">
        <v>2888</v>
      </c>
    </row>
    <row r="54" spans="1:2" x14ac:dyDescent="0.35">
      <c r="B54" s="6" t="s">
        <v>2615</v>
      </c>
    </row>
    <row r="55" spans="1:2" x14ac:dyDescent="0.35">
      <c r="B55" t="s">
        <v>2616</v>
      </c>
    </row>
    <row r="56" spans="1:2" x14ac:dyDescent="0.35">
      <c r="B56" s="3">
        <v>2010</v>
      </c>
    </row>
    <row r="57" spans="1:2" x14ac:dyDescent="0.35">
      <c r="B57" t="s">
        <v>2617</v>
      </c>
    </row>
    <row r="58" spans="1:2" x14ac:dyDescent="0.35">
      <c r="B58" s="4" t="s">
        <v>2618</v>
      </c>
    </row>
    <row r="59" spans="1:2" x14ac:dyDescent="0.35">
      <c r="B59" t="s">
        <v>2614</v>
      </c>
    </row>
    <row r="61" spans="1:2" x14ac:dyDescent="0.35">
      <c r="A61" s="2" t="s">
        <v>2801</v>
      </c>
    </row>
    <row r="62" spans="1:2" x14ac:dyDescent="0.35">
      <c r="A62" t="s">
        <v>2802</v>
      </c>
    </row>
    <row r="63" spans="1:2" x14ac:dyDescent="0.35">
      <c r="A63" t="s">
        <v>2803</v>
      </c>
    </row>
    <row r="65" spans="1:1" x14ac:dyDescent="0.35">
      <c r="A65" t="s">
        <v>2804</v>
      </c>
    </row>
    <row r="66" spans="1:1" x14ac:dyDescent="0.35">
      <c r="A66" t="s">
        <v>2805</v>
      </c>
    </row>
    <row r="67" spans="1:1" x14ac:dyDescent="0.35">
      <c r="A67" t="s">
        <v>2806</v>
      </c>
    </row>
    <row r="68" spans="1:1" x14ac:dyDescent="0.35">
      <c r="A68" t="s">
        <v>2807</v>
      </c>
    </row>
    <row r="69" spans="1:1" x14ac:dyDescent="0.35">
      <c r="A69" t="s">
        <v>2808</v>
      </c>
    </row>
    <row r="70" spans="1:1" x14ac:dyDescent="0.35">
      <c r="A70" t="s">
        <v>2809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58" r:id="rId5" xr:uid="{00000000-0004-0000-0000-000004000000}"/>
    <hyperlink ref="B35" r:id="rId6" location="b6-b10" xr:uid="{6BB3E68C-910F-4566-8DE4-1AF1D2F05C76}"/>
    <hyperlink ref="B43" r:id="rId7" location="/?id=4-AEO2023&amp;sourcekey=0" xr:uid="{A072B4E3-A4D5-4601-B70C-1C0D09F33D32}"/>
    <hyperlink ref="B51" r:id="rId8" location="/?id=5-AEO2023&amp;cases=ref2022&amp;sourcekey=0" xr:uid="{4C0312CC-420D-4E03-B2A2-37DB7A4FE3BC}"/>
    <hyperlink ref="B42" r:id="rId9" location="/?id=4-AEO2022&amp;sourcekey=0" xr:uid="{0EAE0AB9-2345-4A04-9BD5-87568F768411}"/>
    <hyperlink ref="B50" r:id="rId10" location="/?id=5-AEO2022&amp;cases=ref2022&amp;sourcekey=0" xr:uid="{9F2AA22E-75CF-48F8-BAC0-0F362FDD4791}"/>
  </hyperlinks>
  <pageMargins left="0.7" right="0.7" top="0.75" bottom="0.75" header="0.3" footer="0.3"/>
  <pageSetup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56"/>
  <sheetViews>
    <sheetView topLeftCell="A34" workbookViewId="0">
      <selection activeCell="B53" sqref="B53"/>
    </sheetView>
  </sheetViews>
  <sheetFormatPr defaultRowHeight="14.5" x14ac:dyDescent="0.35"/>
  <cols>
    <col min="1" max="1" width="39" customWidth="1"/>
    <col min="2" max="2" width="25.7265625" bestFit="1" customWidth="1"/>
    <col min="3" max="3" width="21.1796875" bestFit="1" customWidth="1"/>
    <col min="4" max="4" width="35.1796875" bestFit="1" customWidth="1"/>
    <col min="5" max="5" width="25.7265625" bestFit="1" customWidth="1"/>
    <col min="6" max="6" width="56.453125" bestFit="1" customWidth="1"/>
    <col min="7" max="7" width="19.1796875" customWidth="1"/>
    <col min="8" max="8" width="21.453125" customWidth="1"/>
    <col min="9" max="9" width="18.81640625" customWidth="1"/>
  </cols>
  <sheetData>
    <row r="1" spans="1:6" x14ac:dyDescent="0.35">
      <c r="A1" s="6" t="s">
        <v>14</v>
      </c>
      <c r="B1" s="6"/>
      <c r="C1" s="6"/>
    </row>
    <row r="2" spans="1:6" x14ac:dyDescent="0.35">
      <c r="C2" t="s">
        <v>5</v>
      </c>
    </row>
    <row r="3" spans="1:6" x14ac:dyDescent="0.35">
      <c r="A3" t="s">
        <v>0</v>
      </c>
      <c r="B3" s="7">
        <v>40420</v>
      </c>
      <c r="C3" t="s">
        <v>7</v>
      </c>
    </row>
    <row r="4" spans="1:6" x14ac:dyDescent="0.35">
      <c r="A4" t="s">
        <v>1</v>
      </c>
      <c r="B4" s="7">
        <v>22.11</v>
      </c>
      <c r="C4" t="s">
        <v>7</v>
      </c>
    </row>
    <row r="5" spans="1:6" x14ac:dyDescent="0.35">
      <c r="A5" t="s">
        <v>2</v>
      </c>
      <c r="B5">
        <v>74.5</v>
      </c>
      <c r="C5" t="s">
        <v>6</v>
      </c>
    </row>
    <row r="6" spans="1:6" x14ac:dyDescent="0.35">
      <c r="A6" t="s">
        <v>3</v>
      </c>
      <c r="B6">
        <f>B3/(B5*10^6)</f>
        <v>5.4255033557046978E-4</v>
      </c>
    </row>
    <row r="7" spans="1:6" x14ac:dyDescent="0.35">
      <c r="A7" t="s">
        <v>4</v>
      </c>
      <c r="B7" s="1">
        <v>0.47</v>
      </c>
      <c r="C7" t="s">
        <v>6</v>
      </c>
    </row>
    <row r="10" spans="1:6" x14ac:dyDescent="0.35">
      <c r="A10" s="6" t="s">
        <v>15</v>
      </c>
      <c r="B10" s="6"/>
      <c r="C10" s="6"/>
      <c r="D10" s="5"/>
      <c r="E10" s="5"/>
      <c r="F10" s="5"/>
    </row>
    <row r="11" spans="1:6" x14ac:dyDescent="0.35">
      <c r="A11" s="10" t="s">
        <v>216</v>
      </c>
      <c r="B11" s="10"/>
      <c r="C11" s="10"/>
      <c r="D11" s="11"/>
      <c r="E11" s="11"/>
      <c r="F11" s="11"/>
    </row>
    <row r="12" spans="1:6" x14ac:dyDescent="0.35">
      <c r="A12" t="s">
        <v>198</v>
      </c>
      <c r="B12" t="s">
        <v>199</v>
      </c>
      <c r="C12" t="s">
        <v>200</v>
      </c>
      <c r="D12" t="s">
        <v>196</v>
      </c>
      <c r="E12" t="s">
        <v>213</v>
      </c>
      <c r="F12" t="s">
        <v>212</v>
      </c>
    </row>
    <row r="13" spans="1:6" x14ac:dyDescent="0.35">
      <c r="A13" t="s">
        <v>191</v>
      </c>
      <c r="B13" t="s">
        <v>201</v>
      </c>
      <c r="C13" s="8">
        <v>0.44</v>
      </c>
      <c r="D13">
        <v>1000</v>
      </c>
      <c r="E13">
        <v>0.3</v>
      </c>
      <c r="F13">
        <f>E13*C13</f>
        <v>0.13200000000000001</v>
      </c>
    </row>
    <row r="14" spans="1:6" x14ac:dyDescent="0.35">
      <c r="A14" t="s">
        <v>191</v>
      </c>
      <c r="B14" t="s">
        <v>202</v>
      </c>
      <c r="C14" s="8">
        <v>0.28999999999999998</v>
      </c>
      <c r="D14">
        <v>500</v>
      </c>
      <c r="E14">
        <v>0.08</v>
      </c>
      <c r="F14">
        <f t="shared" ref="F14:F35" si="0">E14*C14</f>
        <v>2.3199999999999998E-2</v>
      </c>
    </row>
    <row r="15" spans="1:6" x14ac:dyDescent="0.35">
      <c r="A15" t="s">
        <v>191</v>
      </c>
      <c r="B15" t="s">
        <v>203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35">
      <c r="A16" t="s">
        <v>182</v>
      </c>
      <c r="B16" t="s">
        <v>204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35">
      <c r="A17" t="s">
        <v>183</v>
      </c>
      <c r="B17" t="s">
        <v>201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35">
      <c r="A18" t="s">
        <v>183</v>
      </c>
      <c r="B18" t="s">
        <v>205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35">
      <c r="A19" t="s">
        <v>184</v>
      </c>
      <c r="B19" t="s">
        <v>201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35">
      <c r="A20" t="s">
        <v>184</v>
      </c>
      <c r="B20" t="s">
        <v>206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35">
      <c r="A21" t="s">
        <v>184</v>
      </c>
      <c r="B21" t="s">
        <v>207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35">
      <c r="A22" t="s">
        <v>185</v>
      </c>
      <c r="B22" t="s">
        <v>201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35">
      <c r="A23" t="s">
        <v>185</v>
      </c>
      <c r="B23" t="s">
        <v>210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35">
      <c r="A24" t="s">
        <v>185</v>
      </c>
      <c r="B24" t="s">
        <v>211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35">
      <c r="A25" t="s">
        <v>185</v>
      </c>
      <c r="B25" t="s">
        <v>202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35">
      <c r="A26" t="s">
        <v>186</v>
      </c>
      <c r="B26" t="s">
        <v>201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35">
      <c r="A27" t="s">
        <v>186</v>
      </c>
      <c r="B27" t="s">
        <v>202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35">
      <c r="A28" t="s">
        <v>187</v>
      </c>
      <c r="B28" t="s">
        <v>201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35">
      <c r="A29" t="s">
        <v>187</v>
      </c>
      <c r="B29" t="s">
        <v>202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35">
      <c r="A30" t="s">
        <v>188</v>
      </c>
      <c r="B30" t="s">
        <v>208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35">
      <c r="A31" t="s">
        <v>188</v>
      </c>
      <c r="B31" t="s">
        <v>202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35">
      <c r="A32" t="s">
        <v>188</v>
      </c>
      <c r="B32" t="s">
        <v>209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35">
      <c r="A33" t="s">
        <v>189</v>
      </c>
      <c r="B33" t="s">
        <v>194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35">
      <c r="A34" t="s">
        <v>190</v>
      </c>
      <c r="B34" t="s">
        <v>201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35">
      <c r="A35" t="s">
        <v>190</v>
      </c>
      <c r="B35" t="s">
        <v>202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35">
      <c r="A37" s="10" t="s">
        <v>217</v>
      </c>
      <c r="B37" s="11"/>
      <c r="C37" s="11"/>
      <c r="D37" s="11"/>
      <c r="E37" s="11"/>
      <c r="F37" s="11"/>
      <c r="G37" s="11"/>
    </row>
    <row r="38" spans="1:9" ht="14.25" customHeight="1" x14ac:dyDescent="0.35">
      <c r="B38" t="s">
        <v>195</v>
      </c>
      <c r="C38" t="s">
        <v>192</v>
      </c>
      <c r="D38" t="s">
        <v>193</v>
      </c>
      <c r="E38" t="s">
        <v>197</v>
      </c>
      <c r="F38" t="s">
        <v>215</v>
      </c>
      <c r="G38" s="51" t="s">
        <v>214</v>
      </c>
      <c r="H38" s="51" t="s">
        <v>219</v>
      </c>
      <c r="I38" s="51" t="s">
        <v>220</v>
      </c>
    </row>
    <row r="39" spans="1:9" x14ac:dyDescent="0.35">
      <c r="A39" t="s">
        <v>191</v>
      </c>
      <c r="B39">
        <v>270</v>
      </c>
      <c r="C39">
        <v>4.9000000000000004</v>
      </c>
      <c r="D39">
        <v>230</v>
      </c>
      <c r="E39">
        <f>C39-SUMIF($A$13:$A$35,A39,$D$13:$D$35)/10^3</f>
        <v>3.16</v>
      </c>
      <c r="F39" s="7">
        <f>D39*10^6-SUMIF($A$13:$A$35,A39,$F$13:$F$35)*B39*10^6</f>
        <v>180428000</v>
      </c>
      <c r="G39" s="9">
        <f>F39/(E39*10^12)</f>
        <v>5.7097468354430379E-5</v>
      </c>
      <c r="H39">
        <v>31</v>
      </c>
      <c r="I39" s="12">
        <f>1-(H39-E39)/H39</f>
        <v>0.10193548387096774</v>
      </c>
    </row>
    <row r="40" spans="1:9" x14ac:dyDescent="0.35">
      <c r="A40" t="s">
        <v>182</v>
      </c>
      <c r="B40">
        <v>200</v>
      </c>
      <c r="C40">
        <v>3.7</v>
      </c>
      <c r="D40">
        <v>430</v>
      </c>
      <c r="E40">
        <f t="shared" ref="E40:E48" si="1">C40-SUMIF($A$13:$A$35,A40,$D$13:$D$35)/10^3</f>
        <v>3.1300000000000003</v>
      </c>
      <c r="F40" s="7">
        <f t="shared" ref="F40:F48" si="2">D40*10^6-SUMIF($A$13:$A$35,A40,$F$13:$F$35)*B40*10^6</f>
        <v>401200000</v>
      </c>
      <c r="G40" s="9">
        <f t="shared" ref="G40:G48" si="3">F40/(E40*10^12)</f>
        <v>1.2817891373801915E-4</v>
      </c>
      <c r="H40">
        <v>26</v>
      </c>
      <c r="I40" s="12">
        <f t="shared" ref="I40:I48" si="4">1-(H40-E40)/H40</f>
        <v>0.12038461538461531</v>
      </c>
    </row>
    <row r="41" spans="1:9" x14ac:dyDescent="0.35">
      <c r="A41" t="s">
        <v>183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35">
      <c r="A42" t="s">
        <v>184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35">
      <c r="A43" t="s">
        <v>185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35">
      <c r="A44" t="s">
        <v>186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35">
      <c r="A45" t="s">
        <v>187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35">
      <c r="A46" t="s">
        <v>188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35">
      <c r="A47" t="s">
        <v>189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35">
      <c r="A48" t="s">
        <v>190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35">
      <c r="A50" t="s">
        <v>218</v>
      </c>
      <c r="C50" s="9">
        <f>SUMPRODUCT(B39:B48,G39:G48)/SUM(B39:B48)</f>
        <v>1.1262661801507862E-4</v>
      </c>
    </row>
    <row r="51" spans="1:3" x14ac:dyDescent="0.35">
      <c r="A51" t="s">
        <v>221</v>
      </c>
      <c r="C51" s="8">
        <f>SUMPRODUCT(B39:B48,I39:I48)/SUM(B39:B48)</f>
        <v>8.2858476068544143E-2</v>
      </c>
    </row>
    <row r="52" spans="1:3" ht="15" thickBot="1" x14ac:dyDescent="0.4"/>
    <row r="53" spans="1:3" ht="15" thickBot="1" x14ac:dyDescent="0.4">
      <c r="A53" s="2" t="s">
        <v>181</v>
      </c>
      <c r="B53" s="58">
        <f>(B6*'AEO22 Table 4'!C17+C50*'AEO22 Table 4'!C18)/SUM('AEO22 Table 4'!C17:C18)</f>
        <v>4.2515926462339789E-4</v>
      </c>
    </row>
    <row r="54" spans="1:3" x14ac:dyDescent="0.35">
      <c r="A54" s="25" t="s">
        <v>2724</v>
      </c>
      <c r="B54" s="54">
        <f>(B7*'AEO22 Table 4'!C17+C51*'AEO22 Table 4'!C18)/SUM('AEO22 Table 4'!C17:C18)</f>
        <v>0.36429064681331585</v>
      </c>
    </row>
    <row r="55" spans="1:3" ht="44" thickBot="1" x14ac:dyDescent="0.4">
      <c r="A55" s="25" t="s">
        <v>2722</v>
      </c>
      <c r="B55" s="8">
        <f>SUM('AEO23 Table 4'!C77:C78,'AEO23 Table 4'!C89)/SUM('AEO23 Table 4'!C77:C86,'AEO23 Table 4'!C89)</f>
        <v>0.70789013562775904</v>
      </c>
    </row>
    <row r="56" spans="1:3" ht="29.5" thickBot="1" x14ac:dyDescent="0.4">
      <c r="A56" s="56" t="s">
        <v>2725</v>
      </c>
      <c r="B56" s="52">
        <f>B54/B55</f>
        <v>0.51461466755750429</v>
      </c>
    </row>
  </sheetData>
  <pageMargins left="0.7" right="0.7" top="0.75" bottom="0.75" header="0.3" footer="0.3"/>
  <pageSetup orientation="portrait" r:id="rId1"/>
  <ignoredErrors>
    <ignoredError sqref="B5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N56"/>
  <sheetViews>
    <sheetView zoomScale="70" zoomScaleNormal="70" workbookViewId="0">
      <selection activeCell="F23" sqref="A1:F23"/>
    </sheetView>
  </sheetViews>
  <sheetFormatPr defaultRowHeight="14.5" x14ac:dyDescent="0.35"/>
  <cols>
    <col min="1" max="1" width="12.26953125" bestFit="1" customWidth="1"/>
    <col min="2" max="2" width="50.26953125" customWidth="1"/>
    <col min="3" max="3" width="30" style="12" bestFit="1" customWidth="1"/>
    <col min="4" max="4" width="30" style="12" customWidth="1"/>
    <col min="5" max="5" width="14.26953125" style="7" bestFit="1" customWidth="1"/>
    <col min="6" max="6" width="8.54296875" bestFit="1" customWidth="1"/>
    <col min="7" max="7" width="5.54296875" customWidth="1"/>
    <col min="8" max="8" width="14.453125" customWidth="1"/>
    <col min="9" max="9" width="20" bestFit="1" customWidth="1"/>
    <col min="10" max="10" width="47.7265625" bestFit="1" customWidth="1"/>
    <col min="11" max="11" width="20.453125" bestFit="1" customWidth="1"/>
    <col min="12" max="12" width="40.453125" bestFit="1" customWidth="1"/>
    <col min="13" max="13" width="18.26953125" customWidth="1"/>
    <col min="14" max="14" width="38.7265625" bestFit="1" customWidth="1"/>
    <col min="15" max="15" width="37.54296875" bestFit="1" customWidth="1"/>
    <col min="16" max="16" width="56.81640625" bestFit="1" customWidth="1"/>
    <col min="17" max="17" width="48.54296875" bestFit="1" customWidth="1"/>
    <col min="18" max="18" width="57.1796875" bestFit="1" customWidth="1"/>
    <col min="19" max="19" width="59.7265625" bestFit="1" customWidth="1"/>
    <col min="20" max="20" width="29" customWidth="1"/>
    <col min="21" max="21" width="50.54296875" customWidth="1"/>
    <col min="22" max="22" width="7.26953125" customWidth="1"/>
    <col min="23" max="23" width="11.26953125" customWidth="1"/>
    <col min="24" max="24" width="30" bestFit="1" customWidth="1"/>
    <col min="25" max="25" width="32.453125" bestFit="1" customWidth="1"/>
    <col min="26" max="26" width="55.26953125" bestFit="1" customWidth="1"/>
    <col min="27" max="27" width="39.7265625" bestFit="1" customWidth="1"/>
    <col min="28" max="28" width="52" bestFit="1" customWidth="1"/>
    <col min="29" max="29" width="91" bestFit="1" customWidth="1"/>
    <col min="30" max="30" width="81.26953125" bestFit="1" customWidth="1"/>
    <col min="31" max="31" width="11.26953125" bestFit="1" customWidth="1"/>
  </cols>
  <sheetData>
    <row r="1" spans="1:14" x14ac:dyDescent="0.35">
      <c r="A1" t="s">
        <v>223</v>
      </c>
      <c r="B1" t="s">
        <v>229</v>
      </c>
      <c r="C1" t="s">
        <v>230</v>
      </c>
      <c r="D1" t="s">
        <v>232</v>
      </c>
      <c r="E1" t="s">
        <v>231</v>
      </c>
      <c r="F1" t="s">
        <v>2607</v>
      </c>
      <c r="I1" t="s">
        <v>2560</v>
      </c>
      <c r="J1" t="s">
        <v>2917</v>
      </c>
      <c r="K1" t="s">
        <v>235</v>
      </c>
      <c r="L1" t="s">
        <v>2916</v>
      </c>
      <c r="M1" t="s">
        <v>2608</v>
      </c>
      <c r="N1" t="s">
        <v>214</v>
      </c>
    </row>
    <row r="2" spans="1:14" x14ac:dyDescent="0.35">
      <c r="A2" s="48" t="s">
        <v>224</v>
      </c>
      <c r="B2" s="48" t="s">
        <v>2592</v>
      </c>
      <c r="C2" s="49">
        <v>1E-3</v>
      </c>
      <c r="D2" s="49">
        <f t="shared" ref="D2:D41" si="0">MIN(1,1-C2)</f>
        <v>0.999</v>
      </c>
      <c r="E2" s="50">
        <v>312358</v>
      </c>
      <c r="F2">
        <v>0</v>
      </c>
      <c r="H2" s="3" t="s">
        <v>227</v>
      </c>
      <c r="I2" s="1">
        <f>'County Climates'!L28</f>
        <v>0.45140543049506737</v>
      </c>
      <c r="J2" s="42">
        <f>'CBECS_Table C4'!C61*L2</f>
        <v>17220000</v>
      </c>
      <c r="K2" s="47" cm="1">
        <f t="array" ref="K2">SUMPRODUCT(IF(A2:A56=H2,C2:C56),IF(A2:A56=H2,F2:F56))</f>
        <v>0.23800000000000002</v>
      </c>
      <c r="L2" s="40">
        <v>200000</v>
      </c>
      <c r="M2" cm="1">
        <f t="array" ref="M2">SUMPRODUCT(IF(A2:A56=H2,E2:E56),IF(A2:A56=H2,F2:F56))</f>
        <v>1238255</v>
      </c>
      <c r="N2">
        <f>M2/(J2*10^3*K2)</f>
        <v>3.021342683414829E-4</v>
      </c>
    </row>
    <row r="3" spans="1:14" x14ac:dyDescent="0.35">
      <c r="A3" t="s">
        <v>225</v>
      </c>
      <c r="B3" t="s">
        <v>2592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225</v>
      </c>
      <c r="I3" s="1">
        <f>'County Climates'!L29+'County Climates'!L32</f>
        <v>6.1563024941687541E-2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 cm="1">
        <f t="array" ref="M3">SUMPRODUCT(IF(A3:A57=H3,E3:E57),IF(A3:A57=H3,F3:F57))</f>
        <v>1353942</v>
      </c>
      <c r="N3">
        <f t="shared" ref="N3:N6" si="1">M3/(J3*10^3*K3)</f>
        <v>2.6529571746559234E-4</v>
      </c>
    </row>
    <row r="4" spans="1:14" x14ac:dyDescent="0.35">
      <c r="A4" t="s">
        <v>226</v>
      </c>
      <c r="B4" t="s">
        <v>2592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224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 t="shared" ref="L4:L6" si="2">L3</f>
        <v>200000</v>
      </c>
      <c r="M4">
        <f t="array" ref="M4">SUMPRODUCT(IF(A4:A58=H4,E4:E58),IF(A4:A58=H4,F4:F58))</f>
        <v>857498</v>
      </c>
      <c r="N4">
        <f t="shared" si="1"/>
        <v>1.6504565471791078E-4</v>
      </c>
    </row>
    <row r="5" spans="1:14" x14ac:dyDescent="0.35">
      <c r="A5" t="s">
        <v>227</v>
      </c>
      <c r="B5" t="s">
        <v>2592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226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 t="shared" si="2"/>
        <v>200000</v>
      </c>
      <c r="M5">
        <f t="array" ref="M5">SUMPRODUCT(IF(A5:A59=H5,E5:E59),IF(A5:A59=H5,F5:F59))</f>
        <v>827853</v>
      </c>
      <c r="N5">
        <f t="shared" si="1"/>
        <v>2.00824058530716E-4</v>
      </c>
    </row>
    <row r="6" spans="1:14" x14ac:dyDescent="0.35">
      <c r="A6" t="s">
        <v>228</v>
      </c>
      <c r="B6" t="s">
        <v>2592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228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 t="shared" si="2"/>
        <v>200000</v>
      </c>
      <c r="M6">
        <f t="array" ref="M6">SUMPRODUCT(IF(A6:A60=H6,E6:E60),IF(A6:A60=H6,F6:F60))</f>
        <v>1225959</v>
      </c>
      <c r="N6">
        <f t="shared" si="1"/>
        <v>3.1782992160278746E-4</v>
      </c>
    </row>
    <row r="7" spans="1:14" ht="43.5" x14ac:dyDescent="0.35">
      <c r="A7" t="s">
        <v>224</v>
      </c>
      <c r="B7" s="25" t="s">
        <v>2593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L7" s="194" t="s">
        <v>2915</v>
      </c>
    </row>
    <row r="8" spans="1:14" ht="44" thickBot="1" x14ac:dyDescent="0.4">
      <c r="A8" t="s">
        <v>225</v>
      </c>
      <c r="B8" s="25" t="s">
        <v>2593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</row>
    <row r="9" spans="1:14" ht="44" thickBot="1" x14ac:dyDescent="0.4">
      <c r="A9" t="s">
        <v>226</v>
      </c>
      <c r="B9" s="25" t="s">
        <v>2593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H9" s="3"/>
      <c r="J9" s="2" t="s">
        <v>214</v>
      </c>
      <c r="K9" s="53">
        <f>SUMPRODUCT(I2:I6,N2:N6)</f>
        <v>2.4112379226373467E-4</v>
      </c>
      <c r="L9" s="41"/>
    </row>
    <row r="10" spans="1:14" ht="43.5" x14ac:dyDescent="0.35">
      <c r="A10" t="s">
        <v>227</v>
      </c>
      <c r="B10" s="25" t="s">
        <v>2593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2724</v>
      </c>
      <c r="K10" s="54">
        <f>SUMPRODUCT(I2:I6,K2:K6)</f>
        <v>0.29321471501293078</v>
      </c>
    </row>
    <row r="11" spans="1:14" ht="44" thickBot="1" x14ac:dyDescent="0.4">
      <c r="A11" t="s">
        <v>228</v>
      </c>
      <c r="B11" s="25" t="s">
        <v>2593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5" t="s">
        <v>2723</v>
      </c>
      <c r="K11" s="8">
        <f>SUM('AEO23 Table 5'!C61:C62,'AEO23 Table 5'!C64)/SUM('AEO23 Table 5'!C61:C67)</f>
        <v>0.5953942153226498</v>
      </c>
    </row>
    <row r="12" spans="1:14" ht="29.5" thickBot="1" x14ac:dyDescent="0.4">
      <c r="A12" t="s">
        <v>224</v>
      </c>
      <c r="B12" s="25" t="s">
        <v>2594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  <c r="J12" s="2" t="s">
        <v>2725</v>
      </c>
      <c r="K12" s="55">
        <f>K10/K11</f>
        <v>0.49247155492438727</v>
      </c>
    </row>
    <row r="13" spans="1:14" ht="29" x14ac:dyDescent="0.35">
      <c r="A13" t="s">
        <v>225</v>
      </c>
      <c r="B13" s="25" t="s">
        <v>2594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</row>
    <row r="14" spans="1:14" ht="29" x14ac:dyDescent="0.35">
      <c r="A14" t="s">
        <v>226</v>
      </c>
      <c r="B14" s="25" t="s">
        <v>2594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" x14ac:dyDescent="0.35">
      <c r="A15" t="s">
        <v>227</v>
      </c>
      <c r="B15" s="25" t="s">
        <v>2594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" x14ac:dyDescent="0.35">
      <c r="A16" t="s">
        <v>228</v>
      </c>
      <c r="B16" s="25" t="s">
        <v>2594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I16" s="190">
        <f>SUM(C5,C10,C15,C20,C25,C55)</f>
        <v>0.23800000000000002</v>
      </c>
      <c r="J16" s="191">
        <f>SUM(E5,E10,E15,E20,E25,E55)</f>
        <v>1238255</v>
      </c>
    </row>
    <row r="17" spans="1:11" x14ac:dyDescent="0.35">
      <c r="A17" t="s">
        <v>224</v>
      </c>
      <c r="B17" t="s">
        <v>2595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1" x14ac:dyDescent="0.35">
      <c r="A18" t="s">
        <v>225</v>
      </c>
      <c r="B18" t="s">
        <v>2595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1" x14ac:dyDescent="0.35">
      <c r="A19" t="s">
        <v>226</v>
      </c>
      <c r="B19" t="s">
        <v>2595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1" x14ac:dyDescent="0.35">
      <c r="A20" t="s">
        <v>227</v>
      </c>
      <c r="B20" t="s">
        <v>2595</v>
      </c>
      <c r="C20" s="12">
        <v>2E-3</v>
      </c>
      <c r="D20" s="12">
        <f t="shared" si="0"/>
        <v>0.998</v>
      </c>
      <c r="E20" s="7">
        <v>345387</v>
      </c>
      <c r="F20">
        <v>1</v>
      </c>
      <c r="J20" s="3"/>
    </row>
    <row r="21" spans="1:11" x14ac:dyDescent="0.35">
      <c r="A21" t="s">
        <v>228</v>
      </c>
      <c r="B21" t="s">
        <v>2595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1" x14ac:dyDescent="0.35">
      <c r="A22" t="s">
        <v>224</v>
      </c>
      <c r="B22" t="s">
        <v>2596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1" x14ac:dyDescent="0.35">
      <c r="A23" t="s">
        <v>225</v>
      </c>
      <c r="B23" t="s">
        <v>2596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1" x14ac:dyDescent="0.35">
      <c r="A24" t="s">
        <v>226</v>
      </c>
      <c r="B24" t="s">
        <v>2596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1" x14ac:dyDescent="0.35">
      <c r="A25" t="s">
        <v>227</v>
      </c>
      <c r="B25" t="s">
        <v>2596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1" x14ac:dyDescent="0.35">
      <c r="A26" t="s">
        <v>228</v>
      </c>
      <c r="B26" t="s">
        <v>2596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I26">
        <v>4186</v>
      </c>
      <c r="J26">
        <v>2829</v>
      </c>
      <c r="K26">
        <v>1.5</v>
      </c>
    </row>
    <row r="27" spans="1:11" x14ac:dyDescent="0.35">
      <c r="A27" t="s">
        <v>224</v>
      </c>
      <c r="B27" t="s">
        <v>2597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  <c r="I27">
        <v>3412.14</v>
      </c>
      <c r="J27" s="192">
        <v>99976.1</v>
      </c>
    </row>
    <row r="28" spans="1:11" x14ac:dyDescent="0.35">
      <c r="A28" t="s">
        <v>225</v>
      </c>
      <c r="B28" t="s">
        <v>2597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  <c r="I28">
        <f>I27/1000</f>
        <v>3.41214</v>
      </c>
      <c r="J28">
        <f>J27/1000</f>
        <v>99.976100000000002</v>
      </c>
    </row>
    <row r="29" spans="1:11" x14ac:dyDescent="0.35">
      <c r="A29" s="48" t="s">
        <v>226</v>
      </c>
      <c r="B29" s="48" t="s">
        <v>2597</v>
      </c>
      <c r="C29" s="49">
        <v>2E-3</v>
      </c>
      <c r="D29" s="49">
        <f t="shared" si="0"/>
        <v>0.998</v>
      </c>
      <c r="E29" s="50">
        <v>1920</v>
      </c>
      <c r="F29">
        <v>0</v>
      </c>
      <c r="I29">
        <f>I26*I28</f>
        <v>14283.21804</v>
      </c>
      <c r="J29">
        <f>J26*J28</f>
        <v>282832.38689999998</v>
      </c>
      <c r="K29">
        <f>I29+J29</f>
        <v>297115.60493999999</v>
      </c>
    </row>
    <row r="30" spans="1:11" x14ac:dyDescent="0.35">
      <c r="A30" s="48" t="s">
        <v>227</v>
      </c>
      <c r="B30" s="48" t="s">
        <v>2597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  <c r="K30">
        <f>K29/200000</f>
        <v>1.4855780246999999</v>
      </c>
    </row>
    <row r="31" spans="1:11" x14ac:dyDescent="0.35">
      <c r="A31" s="48" t="s">
        <v>228</v>
      </c>
      <c r="B31" s="48" t="s">
        <v>2597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1" x14ac:dyDescent="0.35">
      <c r="A32" s="48" t="s">
        <v>224</v>
      </c>
      <c r="B32" s="48" t="s">
        <v>2598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35">
      <c r="A33" t="s">
        <v>225</v>
      </c>
      <c r="B33" t="s">
        <v>2598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35">
      <c r="A34" s="48" t="s">
        <v>226</v>
      </c>
      <c r="B34" s="48" t="s">
        <v>2598</v>
      </c>
      <c r="C34" s="49">
        <v>5.0000000000000001E-3</v>
      </c>
      <c r="D34" s="49">
        <f t="shared" si="0"/>
        <v>0.995</v>
      </c>
      <c r="E34" s="50">
        <v>42298</v>
      </c>
      <c r="F34">
        <v>0</v>
      </c>
    </row>
    <row r="35" spans="1:6" x14ac:dyDescent="0.35">
      <c r="A35" s="48" t="s">
        <v>227</v>
      </c>
      <c r="B35" s="48" t="s">
        <v>2598</v>
      </c>
      <c r="C35" s="49">
        <v>5.0000000000000001E-3</v>
      </c>
      <c r="D35" s="49">
        <f t="shared" si="0"/>
        <v>0.995</v>
      </c>
      <c r="E35" s="50">
        <v>46189</v>
      </c>
      <c r="F35">
        <v>0</v>
      </c>
    </row>
    <row r="36" spans="1:6" x14ac:dyDescent="0.35">
      <c r="A36" s="48" t="s">
        <v>228</v>
      </c>
      <c r="B36" s="48" t="s">
        <v>2598</v>
      </c>
      <c r="C36" s="49">
        <v>3.0000000000000001E-3</v>
      </c>
      <c r="D36" s="49">
        <f t="shared" si="0"/>
        <v>0.997</v>
      </c>
      <c r="E36" s="50">
        <v>42414</v>
      </c>
      <c r="F36">
        <v>0</v>
      </c>
    </row>
    <row r="37" spans="1:6" x14ac:dyDescent="0.35">
      <c r="A37" t="s">
        <v>224</v>
      </c>
      <c r="B37" t="s">
        <v>2599</v>
      </c>
      <c r="C37" s="12">
        <v>8.0000000000000002E-3</v>
      </c>
      <c r="D37" s="12">
        <f t="shared" si="0"/>
        <v>0.99199999999999999</v>
      </c>
      <c r="E37" s="7">
        <v>24866</v>
      </c>
      <c r="F37">
        <v>1</v>
      </c>
    </row>
    <row r="38" spans="1:6" x14ac:dyDescent="0.35">
      <c r="A38" t="s">
        <v>225</v>
      </c>
      <c r="B38" t="s">
        <v>2599</v>
      </c>
      <c r="C38" s="12">
        <v>8.9999999999999993E-3</v>
      </c>
      <c r="D38" s="12">
        <f t="shared" si="0"/>
        <v>0.99099999999999999</v>
      </c>
      <c r="E38" s="7">
        <v>29300</v>
      </c>
      <c r="F38">
        <v>1</v>
      </c>
    </row>
    <row r="39" spans="1:6" x14ac:dyDescent="0.35">
      <c r="A39" s="48" t="s">
        <v>226</v>
      </c>
      <c r="B39" s="48" t="s">
        <v>2599</v>
      </c>
      <c r="C39" s="49">
        <v>3.0000000000000001E-3</v>
      </c>
      <c r="D39" s="49">
        <f t="shared" si="0"/>
        <v>0.997</v>
      </c>
      <c r="E39" s="50">
        <v>28326</v>
      </c>
      <c r="F39">
        <v>0</v>
      </c>
    </row>
    <row r="40" spans="1:6" x14ac:dyDescent="0.35">
      <c r="A40" s="48" t="s">
        <v>227</v>
      </c>
      <c r="B40" s="48" t="s">
        <v>2599</v>
      </c>
      <c r="C40" s="49">
        <v>3.0000000000000001E-3</v>
      </c>
      <c r="D40" s="49">
        <f t="shared" si="0"/>
        <v>0.997</v>
      </c>
      <c r="E40" s="50">
        <v>30960</v>
      </c>
      <c r="F40">
        <v>0</v>
      </c>
    </row>
    <row r="41" spans="1:6" x14ac:dyDescent="0.35">
      <c r="A41" s="48" t="s">
        <v>228</v>
      </c>
      <c r="B41" s="48" t="s">
        <v>2599</v>
      </c>
      <c r="C41" s="49">
        <v>2E-3</v>
      </c>
      <c r="D41" s="49">
        <f t="shared" si="0"/>
        <v>0.998</v>
      </c>
      <c r="E41" s="50">
        <v>28416</v>
      </c>
      <c r="F41">
        <v>0</v>
      </c>
    </row>
    <row r="42" spans="1:6" x14ac:dyDescent="0.35">
      <c r="A42" t="s">
        <v>224</v>
      </c>
      <c r="B42" t="s">
        <v>2600</v>
      </c>
      <c r="C42" s="12">
        <v>1.2999999999999999E-2</v>
      </c>
      <c r="D42" s="12">
        <f t="shared" ref="D42:D56" si="3">MIN(1,1-C42)</f>
        <v>0.98699999999999999</v>
      </c>
      <c r="E42" s="7">
        <v>64649</v>
      </c>
      <c r="F42">
        <v>1</v>
      </c>
    </row>
    <row r="43" spans="1:6" x14ac:dyDescent="0.35">
      <c r="A43" t="s">
        <v>225</v>
      </c>
      <c r="B43" t="s">
        <v>2600</v>
      </c>
      <c r="C43" s="12">
        <v>1.4E-2</v>
      </c>
      <c r="D43" s="12">
        <f t="shared" si="3"/>
        <v>0.98599999999999999</v>
      </c>
      <c r="E43" s="7">
        <v>85146</v>
      </c>
      <c r="F43">
        <v>1</v>
      </c>
    </row>
    <row r="44" spans="1:6" x14ac:dyDescent="0.35">
      <c r="A44" s="48" t="s">
        <v>226</v>
      </c>
      <c r="B44" s="48" t="s">
        <v>2600</v>
      </c>
      <c r="C44" s="49">
        <v>4.0000000000000001E-3</v>
      </c>
      <c r="D44" s="49">
        <f t="shared" si="3"/>
        <v>0.996</v>
      </c>
      <c r="E44" s="50">
        <v>74909</v>
      </c>
      <c r="F44">
        <v>0</v>
      </c>
    </row>
    <row r="45" spans="1:6" x14ac:dyDescent="0.35">
      <c r="A45" s="48" t="s">
        <v>227</v>
      </c>
      <c r="B45" s="48" t="s">
        <v>2600</v>
      </c>
      <c r="C45" s="49">
        <v>5.0000000000000001E-3</v>
      </c>
      <c r="D45" s="49">
        <f t="shared" si="3"/>
        <v>0.995</v>
      </c>
      <c r="E45" s="50">
        <v>83928</v>
      </c>
      <c r="F45">
        <v>0</v>
      </c>
    </row>
    <row r="46" spans="1:6" x14ac:dyDescent="0.35">
      <c r="A46" s="48" t="s">
        <v>228</v>
      </c>
      <c r="B46" s="48" t="s">
        <v>2600</v>
      </c>
      <c r="C46" s="49">
        <v>3.0000000000000001E-3</v>
      </c>
      <c r="D46" s="49">
        <f t="shared" si="3"/>
        <v>0.997</v>
      </c>
      <c r="E46" s="50">
        <v>75994</v>
      </c>
      <c r="F46">
        <v>0</v>
      </c>
    </row>
    <row r="47" spans="1:6" x14ac:dyDescent="0.35">
      <c r="A47" t="s">
        <v>224</v>
      </c>
      <c r="B47" t="s">
        <v>2601</v>
      </c>
      <c r="C47" s="12">
        <v>1.7000000000000001E-2</v>
      </c>
      <c r="D47" s="12">
        <f t="shared" si="3"/>
        <v>0.98299999999999998</v>
      </c>
      <c r="E47" s="7">
        <v>49925</v>
      </c>
      <c r="F47">
        <v>1</v>
      </c>
    </row>
    <row r="48" spans="1:6" x14ac:dyDescent="0.35">
      <c r="A48" t="s">
        <v>225</v>
      </c>
      <c r="B48" t="s">
        <v>2601</v>
      </c>
      <c r="C48" s="12">
        <v>1.4999999999999999E-2</v>
      </c>
      <c r="D48" s="12">
        <f t="shared" si="3"/>
        <v>0.98499999999999999</v>
      </c>
      <c r="E48" s="7">
        <v>55380</v>
      </c>
      <c r="F48">
        <v>1</v>
      </c>
    </row>
    <row r="49" spans="1:6" x14ac:dyDescent="0.35">
      <c r="A49" s="48" t="s">
        <v>226</v>
      </c>
      <c r="B49" s="48" t="s">
        <v>2601</v>
      </c>
      <c r="C49" s="49">
        <v>4.0000000000000001E-3</v>
      </c>
      <c r="D49" s="49">
        <f t="shared" si="3"/>
        <v>0.996</v>
      </c>
      <c r="E49" s="50">
        <v>55399</v>
      </c>
      <c r="F49">
        <v>0</v>
      </c>
    </row>
    <row r="50" spans="1:6" x14ac:dyDescent="0.35">
      <c r="A50" s="48" t="s">
        <v>227</v>
      </c>
      <c r="B50" s="48" t="s">
        <v>2601</v>
      </c>
      <c r="C50" s="49">
        <v>6.0000000000000001E-3</v>
      </c>
      <c r="D50" s="49">
        <f t="shared" si="3"/>
        <v>0.99399999999999999</v>
      </c>
      <c r="E50" s="50">
        <v>58155</v>
      </c>
      <c r="F50">
        <v>0</v>
      </c>
    </row>
    <row r="51" spans="1:6" x14ac:dyDescent="0.35">
      <c r="A51" s="48" t="s">
        <v>228</v>
      </c>
      <c r="B51" s="48" t="s">
        <v>2601</v>
      </c>
      <c r="C51" s="49">
        <v>3.0000000000000001E-3</v>
      </c>
      <c r="D51" s="49">
        <f t="shared" si="3"/>
        <v>0.997</v>
      </c>
      <c r="E51" s="50">
        <v>54585</v>
      </c>
      <c r="F51">
        <v>0</v>
      </c>
    </row>
    <row r="52" spans="1:6" x14ac:dyDescent="0.35">
      <c r="A52" s="48" t="s">
        <v>224</v>
      </c>
      <c r="B52" s="48" t="s">
        <v>2602</v>
      </c>
      <c r="C52" s="49">
        <v>2E-3</v>
      </c>
      <c r="D52" s="49">
        <f t="shared" si="3"/>
        <v>0.998</v>
      </c>
      <c r="E52" s="50">
        <v>33440</v>
      </c>
      <c r="F52">
        <v>0</v>
      </c>
    </row>
    <row r="53" spans="1:6" x14ac:dyDescent="0.35">
      <c r="A53" s="48" t="s">
        <v>225</v>
      </c>
      <c r="B53" s="48" t="s">
        <v>2602</v>
      </c>
      <c r="C53" s="49">
        <v>3.0000000000000001E-3</v>
      </c>
      <c r="D53" s="49">
        <f t="shared" si="3"/>
        <v>0.997</v>
      </c>
      <c r="E53" s="50">
        <v>46801</v>
      </c>
      <c r="F53">
        <v>0</v>
      </c>
    </row>
    <row r="54" spans="1:6" x14ac:dyDescent="0.35">
      <c r="A54" t="s">
        <v>226</v>
      </c>
      <c r="B54" t="s">
        <v>2602</v>
      </c>
      <c r="C54" s="12">
        <v>3.0000000000000001E-3</v>
      </c>
      <c r="D54" s="12">
        <f t="shared" si="3"/>
        <v>0.997</v>
      </c>
      <c r="E54" s="7">
        <v>44195</v>
      </c>
      <c r="F54">
        <v>1</v>
      </c>
    </row>
    <row r="55" spans="1:6" x14ac:dyDescent="0.35">
      <c r="A55" t="s">
        <v>227</v>
      </c>
      <c r="B55" t="s">
        <v>2602</v>
      </c>
      <c r="C55" s="12">
        <v>3.0000000000000001E-3</v>
      </c>
      <c r="D55" s="12">
        <f t="shared" si="3"/>
        <v>0.997</v>
      </c>
      <c r="E55" s="7">
        <v>57232</v>
      </c>
      <c r="F55">
        <v>1</v>
      </c>
    </row>
    <row r="56" spans="1:6" x14ac:dyDescent="0.35">
      <c r="A56" t="s">
        <v>228</v>
      </c>
      <c r="B56" t="s">
        <v>2602</v>
      </c>
      <c r="C56" s="12">
        <v>4.0000000000000001E-3</v>
      </c>
      <c r="D56" s="12">
        <f t="shared" si="3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141"/>
  <sheetViews>
    <sheetView topLeftCell="D1" workbookViewId="0">
      <selection activeCell="P19" sqref="P19"/>
    </sheetView>
  </sheetViews>
  <sheetFormatPr defaultRowHeight="14.5" x14ac:dyDescent="0.35"/>
  <cols>
    <col min="1" max="1" width="14.7265625" customWidth="1"/>
    <col min="2" max="2" width="15.26953125" customWidth="1"/>
    <col min="3" max="3" width="28.54296875" bestFit="1" customWidth="1"/>
    <col min="4" max="4" width="13.26953125" bestFit="1" customWidth="1"/>
    <col min="5" max="5" width="26.1796875" bestFit="1" customWidth="1"/>
    <col min="11" max="11" width="26.1796875" bestFit="1" customWidth="1"/>
    <col min="12" max="12" width="16.26953125" bestFit="1" customWidth="1"/>
    <col min="13" max="13" width="7.81640625" customWidth="1"/>
    <col min="14" max="14" width="10.7265625" customWidth="1"/>
    <col min="15" max="15" width="7.453125" customWidth="1"/>
    <col min="16" max="16" width="10.453125" customWidth="1"/>
    <col min="17" max="17" width="13.453125" bestFit="1" customWidth="1"/>
    <col min="18" max="18" width="9" customWidth="1"/>
    <col min="19" max="19" width="9.54296875" customWidth="1"/>
    <col min="20" max="21" width="11.26953125" bestFit="1" customWidth="1"/>
  </cols>
  <sheetData>
    <row r="1" spans="1:21" x14ac:dyDescent="0.35">
      <c r="A1" s="2" t="s">
        <v>236</v>
      </c>
      <c r="B1" s="2" t="s">
        <v>237</v>
      </c>
      <c r="C1" s="2" t="s">
        <v>238</v>
      </c>
      <c r="D1" s="2" t="s">
        <v>223</v>
      </c>
      <c r="E1" s="2" t="s">
        <v>2255</v>
      </c>
      <c r="F1" s="2" t="s">
        <v>2555</v>
      </c>
      <c r="K1" s="13" t="s">
        <v>2556</v>
      </c>
      <c r="L1" s="13" t="s">
        <v>234</v>
      </c>
    </row>
    <row r="2" spans="1:21" x14ac:dyDescent="0.35">
      <c r="A2" t="s">
        <v>239</v>
      </c>
      <c r="B2" t="s">
        <v>240</v>
      </c>
      <c r="C2" t="s">
        <v>241</v>
      </c>
      <c r="D2" t="s">
        <v>242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233</v>
      </c>
      <c r="L2" t="s">
        <v>227</v>
      </c>
      <c r="M2" t="s">
        <v>358</v>
      </c>
      <c r="N2" t="s">
        <v>242</v>
      </c>
      <c r="O2" t="s">
        <v>226</v>
      </c>
      <c r="P2" t="s">
        <v>356</v>
      </c>
      <c r="Q2" t="s">
        <v>246</v>
      </c>
      <c r="R2" t="s">
        <v>1385</v>
      </c>
      <c r="S2" t="s">
        <v>228</v>
      </c>
      <c r="U2" t="s">
        <v>2557</v>
      </c>
    </row>
    <row r="3" spans="1:21" x14ac:dyDescent="0.35">
      <c r="A3" t="s">
        <v>239</v>
      </c>
      <c r="B3" t="s">
        <v>240</v>
      </c>
      <c r="C3" t="s">
        <v>243</v>
      </c>
      <c r="D3" t="s">
        <v>242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2269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0.17620137299771166</v>
      </c>
      <c r="R3" s="34">
        <v>0</v>
      </c>
      <c r="S3" s="34">
        <v>5.7208237986270026E-2</v>
      </c>
      <c r="U3">
        <f>INDEX('CBECS_Table B5'!$C$6:$K$6,1,MATCH('County Climates'!K3,'CBECS_Table B5'!$C$1:$K$1,0))</f>
        <v>17642</v>
      </c>
    </row>
    <row r="4" spans="1:21" x14ac:dyDescent="0.35">
      <c r="A4" t="s">
        <v>239</v>
      </c>
      <c r="B4" t="s">
        <v>240</v>
      </c>
      <c r="C4" t="s">
        <v>244</v>
      </c>
      <c r="D4" t="s">
        <v>242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2278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35">
      <c r="A5" t="s">
        <v>239</v>
      </c>
      <c r="B5" t="s">
        <v>240</v>
      </c>
      <c r="C5" t="s">
        <v>245</v>
      </c>
      <c r="D5" t="s">
        <v>246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2265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35">
      <c r="A6" t="s">
        <v>239</v>
      </c>
      <c r="B6" t="s">
        <v>240</v>
      </c>
      <c r="C6" t="s">
        <v>247</v>
      </c>
      <c r="D6" t="s">
        <v>246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2283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6.0498220640569395E-2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35">
      <c r="A7" t="s">
        <v>239</v>
      </c>
      <c r="B7" t="s">
        <v>240</v>
      </c>
      <c r="C7" t="s">
        <v>248</v>
      </c>
      <c r="D7" t="s">
        <v>242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2260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1.4925373134328358E-2</v>
      </c>
      <c r="U7">
        <f>INDEX('CBECS_Table B5'!$C$6:$K$6,1,MATCH('County Climates'!K7,'CBECS_Table B5'!$C$1:$K$1,0))</f>
        <v>3748</v>
      </c>
    </row>
    <row r="8" spans="1:21" x14ac:dyDescent="0.35">
      <c r="A8" t="s">
        <v>239</v>
      </c>
      <c r="B8" t="s">
        <v>240</v>
      </c>
      <c r="C8" t="s">
        <v>249</v>
      </c>
      <c r="D8" t="s">
        <v>242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2285</v>
      </c>
      <c r="L8" s="34">
        <v>0.29878048780487804</v>
      </c>
      <c r="M8" s="34">
        <v>0.15853658536585366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5.4878048780487805E-2</v>
      </c>
      <c r="S8" s="34">
        <v>0.10365853658536585</v>
      </c>
      <c r="U8">
        <f>INDEX('CBECS_Table B5'!$C$6:$K$6,1,MATCH('County Climates'!K8,'CBECS_Table B5'!$C$1:$K$1,0))</f>
        <v>11956</v>
      </c>
    </row>
    <row r="9" spans="1:21" x14ac:dyDescent="0.35">
      <c r="A9" t="s">
        <v>239</v>
      </c>
      <c r="B9" t="s">
        <v>240</v>
      </c>
      <c r="C9" t="s">
        <v>250</v>
      </c>
      <c r="D9" t="s">
        <v>246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2274</v>
      </c>
      <c r="L9" s="34">
        <v>5.9422750424448216E-2</v>
      </c>
      <c r="M9" s="34">
        <v>0</v>
      </c>
      <c r="N9" s="34">
        <v>0.27504244482173174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35">
      <c r="A10" t="s">
        <v>239</v>
      </c>
      <c r="B10" t="s">
        <v>240</v>
      </c>
      <c r="C10" t="s">
        <v>251</v>
      </c>
      <c r="D10" t="s">
        <v>246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2271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0.26375404530744334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35">
      <c r="A11" t="s">
        <v>239</v>
      </c>
      <c r="B11" t="s">
        <v>240</v>
      </c>
      <c r="C11" t="s">
        <v>252</v>
      </c>
      <c r="D11" t="s">
        <v>246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2280</v>
      </c>
      <c r="L11" s="34">
        <v>0</v>
      </c>
      <c r="M11" s="34">
        <v>0.14893617021276595</v>
      </c>
      <c r="N11" s="34">
        <v>0.44468085106382976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35">
      <c r="A12" t="s">
        <v>239</v>
      </c>
      <c r="B12" t="s">
        <v>240</v>
      </c>
      <c r="C12" t="s">
        <v>253</v>
      </c>
      <c r="D12" t="s">
        <v>246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35">
      <c r="A13" t="s">
        <v>239</v>
      </c>
      <c r="B13" t="s">
        <v>240</v>
      </c>
      <c r="C13" t="s">
        <v>254</v>
      </c>
      <c r="D13" t="s">
        <v>242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35">
      <c r="A14" t="s">
        <v>239</v>
      </c>
      <c r="B14" t="s">
        <v>240</v>
      </c>
      <c r="C14" t="s">
        <v>255</v>
      </c>
      <c r="D14" t="s">
        <v>242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160" t="s">
        <v>2254</v>
      </c>
      <c r="L14" s="159" t="s">
        <v>2557</v>
      </c>
      <c r="M14" s="159"/>
      <c r="N14" s="159"/>
      <c r="O14" s="159"/>
      <c r="P14" s="159"/>
      <c r="Q14" s="159"/>
      <c r="R14" s="159"/>
      <c r="S14" s="159"/>
    </row>
    <row r="15" spans="1:21" x14ac:dyDescent="0.35">
      <c r="A15" t="s">
        <v>239</v>
      </c>
      <c r="B15" t="s">
        <v>240</v>
      </c>
      <c r="C15" t="s">
        <v>256</v>
      </c>
      <c r="D15" t="s">
        <v>246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160"/>
      <c r="L15" t="s">
        <v>227</v>
      </c>
      <c r="M15" t="s">
        <v>358</v>
      </c>
      <c r="N15" t="s">
        <v>242</v>
      </c>
      <c r="O15" t="s">
        <v>226</v>
      </c>
      <c r="P15" t="s">
        <v>356</v>
      </c>
      <c r="Q15" t="s">
        <v>246</v>
      </c>
      <c r="R15" t="s">
        <v>1385</v>
      </c>
      <c r="S15" t="s">
        <v>228</v>
      </c>
    </row>
    <row r="16" spans="1:21" x14ac:dyDescent="0.35">
      <c r="A16" t="s">
        <v>239</v>
      </c>
      <c r="B16" t="s">
        <v>240</v>
      </c>
      <c r="C16" t="s">
        <v>257</v>
      </c>
      <c r="D16" t="s">
        <v>246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2269</v>
      </c>
      <c r="L16" s="35">
        <f>L3*$U3*10^6</f>
        <v>13524187643.020594</v>
      </c>
      <c r="M16" s="35">
        <f t="shared" ref="M16:S16" si="0">M3*$U3*10^6</f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3108544622.4256287</v>
      </c>
      <c r="R16" s="35">
        <f t="shared" si="0"/>
        <v>0</v>
      </c>
      <c r="S16" s="35">
        <f t="shared" si="0"/>
        <v>1009267734.5537758</v>
      </c>
    </row>
    <row r="17" spans="1:19" x14ac:dyDescent="0.35">
      <c r="A17" t="s">
        <v>239</v>
      </c>
      <c r="B17" t="s">
        <v>240</v>
      </c>
      <c r="C17" t="s">
        <v>258</v>
      </c>
      <c r="D17" t="s">
        <v>242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2278</v>
      </c>
      <c r="L17" s="35">
        <f t="shared" ref="L17:S17" si="1">L4*$U4*10^6</f>
        <v>0</v>
      </c>
      <c r="M17" s="35">
        <f t="shared" si="1"/>
        <v>0</v>
      </c>
      <c r="N17" s="35">
        <f t="shared" si="1"/>
        <v>809739010.98901093</v>
      </c>
      <c r="O17" s="35">
        <f t="shared" si="1"/>
        <v>0</v>
      </c>
      <c r="P17" s="35">
        <f t="shared" si="1"/>
        <v>0</v>
      </c>
      <c r="Q17" s="35">
        <f t="shared" si="1"/>
        <v>4549260989.0109892</v>
      </c>
      <c r="R17" s="35">
        <f t="shared" si="1"/>
        <v>0</v>
      </c>
      <c r="S17" s="35">
        <f t="shared" si="1"/>
        <v>0</v>
      </c>
    </row>
    <row r="18" spans="1:19" x14ac:dyDescent="0.35">
      <c r="A18" t="s">
        <v>239</v>
      </c>
      <c r="B18" t="s">
        <v>240</v>
      </c>
      <c r="C18" t="s">
        <v>259</v>
      </c>
      <c r="D18" t="s">
        <v>246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2265</v>
      </c>
      <c r="L18" s="35">
        <f t="shared" ref="L18:S18" si="2">L5*$U5*10^6</f>
        <v>10063040000</v>
      </c>
      <c r="M18" s="35">
        <f t="shared" si="2"/>
        <v>0</v>
      </c>
      <c r="N18" s="35">
        <f t="shared" si="2"/>
        <v>0</v>
      </c>
      <c r="O18" s="35">
        <f t="shared" si="2"/>
        <v>0</v>
      </c>
      <c r="P18" s="35">
        <f t="shared" si="2"/>
        <v>0</v>
      </c>
      <c r="Q18" s="35">
        <f t="shared" si="2"/>
        <v>2208960000</v>
      </c>
      <c r="R18" s="35">
        <f t="shared" si="2"/>
        <v>0</v>
      </c>
      <c r="S18" s="35">
        <f t="shared" si="2"/>
        <v>0</v>
      </c>
    </row>
    <row r="19" spans="1:19" x14ac:dyDescent="0.35">
      <c r="A19" t="s">
        <v>239</v>
      </c>
      <c r="B19" t="s">
        <v>240</v>
      </c>
      <c r="C19" t="s">
        <v>260</v>
      </c>
      <c r="D19" t="s">
        <v>242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2283</v>
      </c>
      <c r="L19" s="35">
        <f t="shared" ref="L19:S19" si="3">L6*$U6*10^6</f>
        <v>6324800711.7437725</v>
      </c>
      <c r="M19" s="35">
        <f t="shared" si="3"/>
        <v>524765124.55516011</v>
      </c>
      <c r="N19" s="35">
        <f t="shared" si="3"/>
        <v>0</v>
      </c>
      <c r="O19" s="35">
        <f t="shared" si="3"/>
        <v>0</v>
      </c>
      <c r="P19" s="35">
        <f t="shared" si="3"/>
        <v>469526690.39145905</v>
      </c>
      <c r="Q19" s="35">
        <f t="shared" si="3"/>
        <v>0</v>
      </c>
      <c r="R19" s="35">
        <f t="shared" si="3"/>
        <v>0</v>
      </c>
      <c r="S19" s="35">
        <f t="shared" si="3"/>
        <v>441907473.30960852</v>
      </c>
    </row>
    <row r="20" spans="1:19" x14ac:dyDescent="0.35">
      <c r="A20" t="s">
        <v>239</v>
      </c>
      <c r="B20" t="s">
        <v>240</v>
      </c>
      <c r="C20" t="s">
        <v>261</v>
      </c>
      <c r="D20" t="s">
        <v>246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2260</v>
      </c>
      <c r="L20" s="35">
        <f t="shared" ref="L20:S20" si="4">L7*$U7*10^6</f>
        <v>3692059701.492537</v>
      </c>
      <c r="M20" s="35">
        <f t="shared" si="4"/>
        <v>0</v>
      </c>
      <c r="N20" s="35">
        <f t="shared" si="4"/>
        <v>0</v>
      </c>
      <c r="O20" s="35">
        <f t="shared" si="4"/>
        <v>0</v>
      </c>
      <c r="P20" s="35">
        <f t="shared" si="4"/>
        <v>0</v>
      </c>
      <c r="Q20" s="35">
        <f t="shared" si="4"/>
        <v>0</v>
      </c>
      <c r="R20" s="35">
        <f t="shared" si="4"/>
        <v>0</v>
      </c>
      <c r="S20" s="35">
        <f t="shared" si="4"/>
        <v>55940298.507462688</v>
      </c>
    </row>
    <row r="21" spans="1:19" x14ac:dyDescent="0.35">
      <c r="A21" t="s">
        <v>239</v>
      </c>
      <c r="B21" t="s">
        <v>240</v>
      </c>
      <c r="C21" t="s">
        <v>262</v>
      </c>
      <c r="D21" t="s">
        <v>242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2285</v>
      </c>
      <c r="L21" s="35">
        <f t="shared" ref="L21:S21" si="5">L8*$U8*10^6</f>
        <v>3572219512.1951218</v>
      </c>
      <c r="M21" s="35">
        <f t="shared" si="5"/>
        <v>1895463414.6341465</v>
      </c>
      <c r="N21" s="35">
        <f t="shared" si="5"/>
        <v>364512195.12195122</v>
      </c>
      <c r="O21" s="35">
        <f t="shared" si="5"/>
        <v>3645121951.219512</v>
      </c>
      <c r="P21" s="35">
        <f t="shared" si="5"/>
        <v>583219512.195122</v>
      </c>
      <c r="Q21" s="35">
        <f t="shared" si="5"/>
        <v>0</v>
      </c>
      <c r="R21" s="35">
        <f t="shared" si="5"/>
        <v>656121951.21951222</v>
      </c>
      <c r="S21" s="35">
        <f t="shared" si="5"/>
        <v>1239341463.414634</v>
      </c>
    </row>
    <row r="22" spans="1:19" x14ac:dyDescent="0.35">
      <c r="A22" t="s">
        <v>239</v>
      </c>
      <c r="B22" t="s">
        <v>240</v>
      </c>
      <c r="C22" t="s">
        <v>263</v>
      </c>
      <c r="D22" t="s">
        <v>242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2274</v>
      </c>
      <c r="L22" s="35">
        <f t="shared" ref="L22:S22" si="6">L9*$U9*10^6</f>
        <v>1067292020.3735143</v>
      </c>
      <c r="M22" s="35">
        <f t="shared" si="6"/>
        <v>0</v>
      </c>
      <c r="N22" s="35">
        <f t="shared" si="6"/>
        <v>4940037351.4431238</v>
      </c>
      <c r="O22" s="35">
        <f t="shared" si="6"/>
        <v>0</v>
      </c>
      <c r="P22" s="35">
        <f t="shared" si="6"/>
        <v>0</v>
      </c>
      <c r="Q22" s="35">
        <f t="shared" si="6"/>
        <v>11953670628.183361</v>
      </c>
      <c r="R22" s="35">
        <f t="shared" si="6"/>
        <v>0</v>
      </c>
      <c r="S22" s="35">
        <f t="shared" si="6"/>
        <v>0</v>
      </c>
    </row>
    <row r="23" spans="1:19" x14ac:dyDescent="0.35">
      <c r="A23" t="s">
        <v>239</v>
      </c>
      <c r="B23" t="s">
        <v>240</v>
      </c>
      <c r="C23" t="s">
        <v>264</v>
      </c>
      <c r="D23" t="s">
        <v>246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2271</v>
      </c>
      <c r="L23" s="35">
        <f t="shared" ref="L23:S23" si="7">L10*$U10*10^6</f>
        <v>5433487055.016181</v>
      </c>
      <c r="M23" s="35">
        <f t="shared" si="7"/>
        <v>0</v>
      </c>
      <c r="N23" s="35">
        <f t="shared" si="7"/>
        <v>0</v>
      </c>
      <c r="O23" s="35">
        <f t="shared" si="7"/>
        <v>0</v>
      </c>
      <c r="P23" s="35">
        <f t="shared" si="7"/>
        <v>0</v>
      </c>
      <c r="Q23" s="35">
        <f t="shared" si="7"/>
        <v>2242173139.158576</v>
      </c>
      <c r="R23" s="35">
        <f t="shared" si="7"/>
        <v>0</v>
      </c>
      <c r="S23" s="35">
        <f t="shared" si="7"/>
        <v>825339805.82524276</v>
      </c>
    </row>
    <row r="24" spans="1:19" x14ac:dyDescent="0.35">
      <c r="A24" t="s">
        <v>239</v>
      </c>
      <c r="B24" t="s">
        <v>240</v>
      </c>
      <c r="C24" t="s">
        <v>265</v>
      </c>
      <c r="D24" t="s">
        <v>242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2280</v>
      </c>
      <c r="L24" s="35">
        <f t="shared" ref="L24:S24" si="8">L11*$U11*10^6</f>
        <v>0</v>
      </c>
      <c r="M24" s="35">
        <f t="shared" si="8"/>
        <v>1721404255.3191488</v>
      </c>
      <c r="N24" s="35">
        <f t="shared" si="8"/>
        <v>5139621276.5957441</v>
      </c>
      <c r="O24" s="35">
        <f t="shared" si="8"/>
        <v>0</v>
      </c>
      <c r="P24" s="35">
        <f t="shared" si="8"/>
        <v>762336170.21276593</v>
      </c>
      <c r="Q24" s="35">
        <f t="shared" si="8"/>
        <v>3934638297.8723407</v>
      </c>
      <c r="R24" s="35">
        <f t="shared" si="8"/>
        <v>0</v>
      </c>
      <c r="S24" s="35">
        <f t="shared" si="8"/>
        <v>0</v>
      </c>
    </row>
    <row r="25" spans="1:19" x14ac:dyDescent="0.35">
      <c r="A25" t="s">
        <v>239</v>
      </c>
      <c r="B25" t="s">
        <v>240</v>
      </c>
      <c r="C25" t="s">
        <v>266</v>
      </c>
      <c r="D25" t="s">
        <v>242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2559</v>
      </c>
      <c r="L25" s="35">
        <f>SUM(L16:L24)</f>
        <v>43677086643.841721</v>
      </c>
      <c r="M25" s="35">
        <f t="shared" ref="M25:S25" si="9">SUM(M16:M24)</f>
        <v>4141632794.5084553</v>
      </c>
      <c r="N25" s="35">
        <f t="shared" si="9"/>
        <v>11253909834.14983</v>
      </c>
      <c r="O25" s="35">
        <f t="shared" si="9"/>
        <v>3645121951.219512</v>
      </c>
      <c r="P25" s="35">
        <f t="shared" si="9"/>
        <v>1815082372.7993469</v>
      </c>
      <c r="Q25" s="35">
        <f t="shared" si="9"/>
        <v>27997247676.650898</v>
      </c>
      <c r="R25" s="35">
        <f t="shared" si="9"/>
        <v>656121951.21951222</v>
      </c>
      <c r="S25" s="35">
        <f t="shared" si="9"/>
        <v>3571796775.6107235</v>
      </c>
    </row>
    <row r="26" spans="1:19" x14ac:dyDescent="0.35">
      <c r="A26" t="s">
        <v>239</v>
      </c>
      <c r="B26" t="s">
        <v>240</v>
      </c>
      <c r="C26" t="s">
        <v>267</v>
      </c>
      <c r="D26" t="s">
        <v>246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35">
      <c r="A27" t="s">
        <v>239</v>
      </c>
      <c r="B27" t="s">
        <v>240</v>
      </c>
      <c r="C27" t="s">
        <v>268</v>
      </c>
      <c r="D27" t="s">
        <v>242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2558</v>
      </c>
    </row>
    <row r="28" spans="1:19" x14ac:dyDescent="0.35">
      <c r="A28" t="s">
        <v>239</v>
      </c>
      <c r="B28" t="s">
        <v>240</v>
      </c>
      <c r="C28" t="s">
        <v>269</v>
      </c>
      <c r="D28" t="s">
        <v>242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227</v>
      </c>
      <c r="L28" s="8">
        <f>SUMIF($L$15:$S$15,K28,$L$25:$S$25)/SUM($L$25:$S$25)</f>
        <v>0.45140543049506737</v>
      </c>
    </row>
    <row r="29" spans="1:19" x14ac:dyDescent="0.35">
      <c r="A29" t="s">
        <v>239</v>
      </c>
      <c r="B29" t="s">
        <v>240</v>
      </c>
      <c r="C29" t="s">
        <v>270</v>
      </c>
      <c r="D29" t="s">
        <v>246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358</v>
      </c>
      <c r="L29" s="8">
        <f t="shared" ref="L29:L35" si="10">SUMIF($L$15:$S$15,K29,$L$25:$S$25)/SUM($L$25:$S$25)</f>
        <v>4.2804034751735838E-2</v>
      </c>
    </row>
    <row r="30" spans="1:19" x14ac:dyDescent="0.35">
      <c r="A30" t="s">
        <v>239</v>
      </c>
      <c r="B30" t="s">
        <v>240</v>
      </c>
      <c r="C30" t="s">
        <v>271</v>
      </c>
      <c r="D30" t="s">
        <v>246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242</v>
      </c>
      <c r="L30" s="8">
        <f t="shared" si="10"/>
        <v>0.11630986413681382</v>
      </c>
    </row>
    <row r="31" spans="1:19" x14ac:dyDescent="0.35">
      <c r="A31" t="s">
        <v>239</v>
      </c>
      <c r="B31" t="s">
        <v>240</v>
      </c>
      <c r="C31" t="s">
        <v>272</v>
      </c>
      <c r="D31" t="s">
        <v>246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226</v>
      </c>
      <c r="L31" s="8">
        <f t="shared" si="10"/>
        <v>3.7672564038317376E-2</v>
      </c>
    </row>
    <row r="32" spans="1:19" x14ac:dyDescent="0.35">
      <c r="A32" t="s">
        <v>239</v>
      </c>
      <c r="B32" t="s">
        <v>240</v>
      </c>
      <c r="C32" t="s">
        <v>273</v>
      </c>
      <c r="D32" t="s">
        <v>242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356</v>
      </c>
      <c r="L32" s="8">
        <f t="shared" si="10"/>
        <v>1.8758990189951707E-2</v>
      </c>
    </row>
    <row r="33" spans="1:12" x14ac:dyDescent="0.35">
      <c r="A33" t="s">
        <v>239</v>
      </c>
      <c r="B33" t="s">
        <v>240</v>
      </c>
      <c r="C33" t="s">
        <v>274</v>
      </c>
      <c r="D33" t="s">
        <v>246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246</v>
      </c>
      <c r="L33" s="8">
        <f t="shared" si="10"/>
        <v>0.28935331111278551</v>
      </c>
    </row>
    <row r="34" spans="1:12" x14ac:dyDescent="0.35">
      <c r="A34" t="s">
        <v>239</v>
      </c>
      <c r="B34" t="s">
        <v>240</v>
      </c>
      <c r="C34" t="s">
        <v>275</v>
      </c>
      <c r="D34" t="s">
        <v>246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1385</v>
      </c>
      <c r="L34" s="8">
        <f t="shared" si="10"/>
        <v>6.781061526897128E-3</v>
      </c>
    </row>
    <row r="35" spans="1:12" x14ac:dyDescent="0.35">
      <c r="A35" t="s">
        <v>239</v>
      </c>
      <c r="B35" t="s">
        <v>240</v>
      </c>
      <c r="C35" t="s">
        <v>276</v>
      </c>
      <c r="D35" t="s">
        <v>242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228</v>
      </c>
      <c r="L35" s="8">
        <f t="shared" si="10"/>
        <v>3.6914743748431386E-2</v>
      </c>
    </row>
    <row r="36" spans="1:12" x14ac:dyDescent="0.35">
      <c r="A36" t="s">
        <v>239</v>
      </c>
      <c r="B36" t="s">
        <v>240</v>
      </c>
      <c r="C36" t="s">
        <v>277</v>
      </c>
      <c r="D36" t="s">
        <v>242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35">
      <c r="A37" t="s">
        <v>239</v>
      </c>
      <c r="B37" t="s">
        <v>240</v>
      </c>
      <c r="C37" t="s">
        <v>278</v>
      </c>
      <c r="D37" t="s">
        <v>246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35">
      <c r="A38" t="s">
        <v>239</v>
      </c>
      <c r="B38" t="s">
        <v>240</v>
      </c>
      <c r="C38" t="s">
        <v>279</v>
      </c>
      <c r="D38" t="s">
        <v>246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35">
      <c r="A39" t="s">
        <v>239</v>
      </c>
      <c r="B39" t="s">
        <v>240</v>
      </c>
      <c r="C39" t="s">
        <v>280</v>
      </c>
      <c r="D39" t="s">
        <v>246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35">
      <c r="A40" t="s">
        <v>239</v>
      </c>
      <c r="B40" t="s">
        <v>240</v>
      </c>
      <c r="C40" t="s">
        <v>281</v>
      </c>
      <c r="D40" t="s">
        <v>246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35">
      <c r="A41" t="s">
        <v>239</v>
      </c>
      <c r="B41" t="s">
        <v>240</v>
      </c>
      <c r="C41" t="s">
        <v>282</v>
      </c>
      <c r="D41" t="s">
        <v>246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35">
      <c r="A42" t="s">
        <v>239</v>
      </c>
      <c r="B42" t="s">
        <v>240</v>
      </c>
      <c r="C42" t="s">
        <v>283</v>
      </c>
      <c r="D42" t="s">
        <v>246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35">
      <c r="A43" t="s">
        <v>239</v>
      </c>
      <c r="B43" t="s">
        <v>240</v>
      </c>
      <c r="C43" t="s">
        <v>284</v>
      </c>
      <c r="D43" t="s">
        <v>246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35">
      <c r="A44" t="s">
        <v>239</v>
      </c>
      <c r="B44" t="s">
        <v>240</v>
      </c>
      <c r="C44" t="s">
        <v>285</v>
      </c>
      <c r="D44" t="s">
        <v>242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35">
      <c r="A45" t="s">
        <v>239</v>
      </c>
      <c r="B45" t="s">
        <v>240</v>
      </c>
      <c r="C45" t="s">
        <v>286</v>
      </c>
      <c r="D45" t="s">
        <v>242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35">
      <c r="A46" t="s">
        <v>239</v>
      </c>
      <c r="B46" t="s">
        <v>240</v>
      </c>
      <c r="C46" t="s">
        <v>287</v>
      </c>
      <c r="D46" t="s">
        <v>246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35">
      <c r="A47" t="s">
        <v>239</v>
      </c>
      <c r="B47" t="s">
        <v>240</v>
      </c>
      <c r="C47" t="s">
        <v>288</v>
      </c>
      <c r="D47" t="s">
        <v>242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35">
      <c r="A48" t="s">
        <v>239</v>
      </c>
      <c r="B48" t="s">
        <v>240</v>
      </c>
      <c r="C48" t="s">
        <v>289</v>
      </c>
      <c r="D48" t="s">
        <v>246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35">
      <c r="A49" t="s">
        <v>239</v>
      </c>
      <c r="B49" t="s">
        <v>240</v>
      </c>
      <c r="C49" t="s">
        <v>290</v>
      </c>
      <c r="D49" t="s">
        <v>246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35">
      <c r="A50" t="s">
        <v>239</v>
      </c>
      <c r="B50" t="s">
        <v>240</v>
      </c>
      <c r="C50" t="s">
        <v>291</v>
      </c>
      <c r="D50" t="s">
        <v>242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35">
      <c r="A51" t="s">
        <v>239</v>
      </c>
      <c r="B51" t="s">
        <v>240</v>
      </c>
      <c r="C51" t="s">
        <v>292</v>
      </c>
      <c r="D51" t="s">
        <v>242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35">
      <c r="A52" t="s">
        <v>239</v>
      </c>
      <c r="B52" t="s">
        <v>240</v>
      </c>
      <c r="C52" t="s">
        <v>293</v>
      </c>
      <c r="D52" t="s">
        <v>242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35">
      <c r="A53" t="s">
        <v>239</v>
      </c>
      <c r="B53" t="s">
        <v>240</v>
      </c>
      <c r="C53" t="s">
        <v>294</v>
      </c>
      <c r="D53" t="s">
        <v>246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35">
      <c r="A54" t="s">
        <v>239</v>
      </c>
      <c r="B54" t="s">
        <v>240</v>
      </c>
      <c r="C54" t="s">
        <v>295</v>
      </c>
      <c r="D54" t="s">
        <v>242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35">
      <c r="A55" t="s">
        <v>239</v>
      </c>
      <c r="B55" t="s">
        <v>240</v>
      </c>
      <c r="C55" t="s">
        <v>296</v>
      </c>
      <c r="D55" t="s">
        <v>246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35">
      <c r="A56" t="s">
        <v>239</v>
      </c>
      <c r="B56" t="s">
        <v>240</v>
      </c>
      <c r="C56" t="s">
        <v>297</v>
      </c>
      <c r="D56" t="s">
        <v>242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35">
      <c r="A57" t="s">
        <v>239</v>
      </c>
      <c r="B57" t="s">
        <v>240</v>
      </c>
      <c r="C57" t="s">
        <v>298</v>
      </c>
      <c r="D57" t="s">
        <v>246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35">
      <c r="A58" t="s">
        <v>239</v>
      </c>
      <c r="B58" t="s">
        <v>240</v>
      </c>
      <c r="C58" t="s">
        <v>299</v>
      </c>
      <c r="D58" t="s">
        <v>242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35">
      <c r="A59" t="s">
        <v>239</v>
      </c>
      <c r="B59" t="s">
        <v>240</v>
      </c>
      <c r="C59" t="s">
        <v>300</v>
      </c>
      <c r="D59" t="s">
        <v>246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35">
      <c r="A60" t="s">
        <v>239</v>
      </c>
      <c r="B60" t="s">
        <v>240</v>
      </c>
      <c r="C60" t="s">
        <v>301</v>
      </c>
      <c r="D60" t="s">
        <v>246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35">
      <c r="A61" t="s">
        <v>239</v>
      </c>
      <c r="B61" t="s">
        <v>240</v>
      </c>
      <c r="C61" t="s">
        <v>302</v>
      </c>
      <c r="D61" t="s">
        <v>246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35">
      <c r="A62" t="s">
        <v>239</v>
      </c>
      <c r="B62" t="s">
        <v>240</v>
      </c>
      <c r="C62" t="s">
        <v>303</v>
      </c>
      <c r="D62" t="s">
        <v>246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35">
      <c r="A63" t="s">
        <v>239</v>
      </c>
      <c r="B63" t="s">
        <v>240</v>
      </c>
      <c r="C63" t="s">
        <v>304</v>
      </c>
      <c r="D63" t="s">
        <v>246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35">
      <c r="A64" t="s">
        <v>239</v>
      </c>
      <c r="B64" t="s">
        <v>240</v>
      </c>
      <c r="C64" t="s">
        <v>305</v>
      </c>
      <c r="D64" t="s">
        <v>246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35">
      <c r="A65" t="s">
        <v>239</v>
      </c>
      <c r="B65" t="s">
        <v>240</v>
      </c>
      <c r="C65" t="s">
        <v>306</v>
      </c>
      <c r="D65" t="s">
        <v>246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35">
      <c r="A66" t="s">
        <v>239</v>
      </c>
      <c r="B66" t="s">
        <v>240</v>
      </c>
      <c r="C66" t="s">
        <v>307</v>
      </c>
      <c r="D66" t="s">
        <v>242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35">
      <c r="A67" t="s">
        <v>308</v>
      </c>
      <c r="B67" t="s">
        <v>309</v>
      </c>
      <c r="C67" t="s">
        <v>310</v>
      </c>
      <c r="D67" t="s">
        <v>246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35">
      <c r="A68" t="s">
        <v>308</v>
      </c>
      <c r="B68" t="s">
        <v>309</v>
      </c>
      <c r="C68" t="s">
        <v>311</v>
      </c>
      <c r="D68" t="s">
        <v>246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35">
      <c r="A69" t="s">
        <v>308</v>
      </c>
      <c r="B69" t="s">
        <v>309</v>
      </c>
      <c r="C69" t="s">
        <v>312</v>
      </c>
      <c r="D69" t="s">
        <v>246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35">
      <c r="A70" t="s">
        <v>308</v>
      </c>
      <c r="B70" t="s">
        <v>309</v>
      </c>
      <c r="C70" t="s">
        <v>272</v>
      </c>
      <c r="D70" t="s">
        <v>246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35">
      <c r="A71" t="s">
        <v>308</v>
      </c>
      <c r="B71" t="s">
        <v>309</v>
      </c>
      <c r="C71" t="s">
        <v>313</v>
      </c>
      <c r="D71" t="s">
        <v>246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35">
      <c r="A72" t="s">
        <v>308</v>
      </c>
      <c r="B72" t="s">
        <v>309</v>
      </c>
      <c r="C72" t="s">
        <v>314</v>
      </c>
      <c r="D72" t="s">
        <v>246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35">
      <c r="A73" t="s">
        <v>308</v>
      </c>
      <c r="B73" t="s">
        <v>309</v>
      </c>
      <c r="C73" t="s">
        <v>315</v>
      </c>
      <c r="D73" t="s">
        <v>246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35">
      <c r="A74" t="s">
        <v>308</v>
      </c>
      <c r="B74" t="s">
        <v>309</v>
      </c>
      <c r="C74" t="s">
        <v>274</v>
      </c>
      <c r="D74" t="s">
        <v>246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35">
      <c r="A75" t="s">
        <v>308</v>
      </c>
      <c r="B75" t="s">
        <v>309</v>
      </c>
      <c r="C75" t="s">
        <v>316</v>
      </c>
      <c r="D75" t="s">
        <v>246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35">
      <c r="A76" t="s">
        <v>308</v>
      </c>
      <c r="B76" t="s">
        <v>309</v>
      </c>
      <c r="C76" t="s">
        <v>317</v>
      </c>
      <c r="D76" t="s">
        <v>246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35">
      <c r="A77" t="s">
        <v>308</v>
      </c>
      <c r="B77" t="s">
        <v>309</v>
      </c>
      <c r="C77" t="s">
        <v>318</v>
      </c>
      <c r="D77" t="s">
        <v>246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35">
      <c r="A78" t="s">
        <v>308</v>
      </c>
      <c r="B78" t="s">
        <v>309</v>
      </c>
      <c r="C78" t="s">
        <v>319</v>
      </c>
      <c r="D78" t="s">
        <v>246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35">
      <c r="A79" t="s">
        <v>308</v>
      </c>
      <c r="B79" t="s">
        <v>309</v>
      </c>
      <c r="C79" t="s">
        <v>320</v>
      </c>
      <c r="D79" t="s">
        <v>246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35">
      <c r="A80" t="s">
        <v>308</v>
      </c>
      <c r="B80" t="s">
        <v>309</v>
      </c>
      <c r="C80" t="s">
        <v>278</v>
      </c>
      <c r="D80" t="s">
        <v>246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35">
      <c r="A81" t="s">
        <v>308</v>
      </c>
      <c r="B81" t="s">
        <v>309</v>
      </c>
      <c r="C81" t="s">
        <v>279</v>
      </c>
      <c r="D81" t="s">
        <v>246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35">
      <c r="A82" t="s">
        <v>308</v>
      </c>
      <c r="B82" t="s">
        <v>309</v>
      </c>
      <c r="C82" t="s">
        <v>321</v>
      </c>
      <c r="D82" t="s">
        <v>246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35">
      <c r="A83" t="s">
        <v>308</v>
      </c>
      <c r="B83" t="s">
        <v>309</v>
      </c>
      <c r="C83" t="s">
        <v>322</v>
      </c>
      <c r="D83" t="s">
        <v>242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35">
      <c r="A84" t="s">
        <v>308</v>
      </c>
      <c r="B84" t="s">
        <v>309</v>
      </c>
      <c r="C84" t="s">
        <v>282</v>
      </c>
      <c r="D84" t="s">
        <v>246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35">
      <c r="A85" t="s">
        <v>308</v>
      </c>
      <c r="B85" t="s">
        <v>309</v>
      </c>
      <c r="C85" t="s">
        <v>283</v>
      </c>
      <c r="D85" t="s">
        <v>246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35">
      <c r="A86" t="s">
        <v>308</v>
      </c>
      <c r="B86" t="s">
        <v>309</v>
      </c>
      <c r="C86" t="s">
        <v>323</v>
      </c>
      <c r="D86" t="s">
        <v>246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35">
      <c r="A87" t="s">
        <v>308</v>
      </c>
      <c r="B87" t="s">
        <v>309</v>
      </c>
      <c r="C87" t="s">
        <v>324</v>
      </c>
      <c r="D87" t="s">
        <v>242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35">
      <c r="A88" t="s">
        <v>308</v>
      </c>
      <c r="B88" t="s">
        <v>309</v>
      </c>
      <c r="C88" t="s">
        <v>325</v>
      </c>
      <c r="D88" t="s">
        <v>246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35">
      <c r="A89" t="s">
        <v>308</v>
      </c>
      <c r="B89" t="s">
        <v>309</v>
      </c>
      <c r="C89" t="s">
        <v>326</v>
      </c>
      <c r="D89" t="s">
        <v>246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35">
      <c r="A90" t="s">
        <v>308</v>
      </c>
      <c r="B90" t="s">
        <v>309</v>
      </c>
      <c r="C90" t="s">
        <v>287</v>
      </c>
      <c r="D90" t="s">
        <v>246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35">
      <c r="A91" t="s">
        <v>308</v>
      </c>
      <c r="B91" t="s">
        <v>309</v>
      </c>
      <c r="C91" t="s">
        <v>289</v>
      </c>
      <c r="D91" t="s">
        <v>246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35">
      <c r="A92" t="s">
        <v>308</v>
      </c>
      <c r="B92" t="s">
        <v>309</v>
      </c>
      <c r="C92" t="s">
        <v>327</v>
      </c>
      <c r="D92" t="s">
        <v>242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35">
      <c r="A93" t="s">
        <v>308</v>
      </c>
      <c r="B93" t="s">
        <v>309</v>
      </c>
      <c r="C93" t="s">
        <v>328</v>
      </c>
      <c r="D93" t="s">
        <v>246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35">
      <c r="A94" t="s">
        <v>308</v>
      </c>
      <c r="B94" t="s">
        <v>309</v>
      </c>
      <c r="C94" t="s">
        <v>292</v>
      </c>
      <c r="D94" t="s">
        <v>246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35">
      <c r="A95" t="s">
        <v>308</v>
      </c>
      <c r="B95" t="s">
        <v>309</v>
      </c>
      <c r="C95" t="s">
        <v>293</v>
      </c>
      <c r="D95" t="s">
        <v>246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35">
      <c r="A96" t="s">
        <v>308</v>
      </c>
      <c r="B96" t="s">
        <v>309</v>
      </c>
      <c r="C96" t="s">
        <v>329</v>
      </c>
      <c r="D96" t="s">
        <v>246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35">
      <c r="A97" t="s">
        <v>308</v>
      </c>
      <c r="B97" t="s">
        <v>309</v>
      </c>
      <c r="C97" t="s">
        <v>330</v>
      </c>
      <c r="D97" t="s">
        <v>246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35">
      <c r="A98" t="s">
        <v>308</v>
      </c>
      <c r="B98" t="s">
        <v>309</v>
      </c>
      <c r="C98" t="s">
        <v>331</v>
      </c>
      <c r="D98" t="s">
        <v>246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35">
      <c r="A99" t="s">
        <v>308</v>
      </c>
      <c r="B99" t="s">
        <v>309</v>
      </c>
      <c r="C99" t="s">
        <v>295</v>
      </c>
      <c r="D99" t="s">
        <v>246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35">
      <c r="A100" t="s">
        <v>308</v>
      </c>
      <c r="B100" t="s">
        <v>309</v>
      </c>
      <c r="C100" t="s">
        <v>332</v>
      </c>
      <c r="D100" t="s">
        <v>246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35">
      <c r="A101" t="s">
        <v>308</v>
      </c>
      <c r="B101" t="s">
        <v>309</v>
      </c>
      <c r="C101" t="s">
        <v>297</v>
      </c>
      <c r="D101" t="s">
        <v>246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35">
      <c r="A102" t="s">
        <v>308</v>
      </c>
      <c r="B102" t="s">
        <v>309</v>
      </c>
      <c r="C102" t="s">
        <v>333</v>
      </c>
      <c r="D102" t="s">
        <v>246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35">
      <c r="A103" t="s">
        <v>308</v>
      </c>
      <c r="B103" t="s">
        <v>309</v>
      </c>
      <c r="C103" t="s">
        <v>334</v>
      </c>
      <c r="D103" t="s">
        <v>246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35">
      <c r="A104" t="s">
        <v>308</v>
      </c>
      <c r="B104" t="s">
        <v>309</v>
      </c>
      <c r="C104" t="s">
        <v>335</v>
      </c>
      <c r="D104" t="s">
        <v>246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35">
      <c r="A105" t="s">
        <v>308</v>
      </c>
      <c r="B105" t="s">
        <v>309</v>
      </c>
      <c r="C105" t="s">
        <v>336</v>
      </c>
      <c r="D105" t="s">
        <v>246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35">
      <c r="A106" t="s">
        <v>308</v>
      </c>
      <c r="B106" t="s">
        <v>309</v>
      </c>
      <c r="C106" t="s">
        <v>337</v>
      </c>
      <c r="D106" t="s">
        <v>246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35">
      <c r="A107" t="s">
        <v>308</v>
      </c>
      <c r="B107" t="s">
        <v>309</v>
      </c>
      <c r="C107" t="s">
        <v>298</v>
      </c>
      <c r="D107" t="s">
        <v>246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35">
      <c r="A108" t="s">
        <v>308</v>
      </c>
      <c r="B108" t="s">
        <v>309</v>
      </c>
      <c r="C108" t="s">
        <v>338</v>
      </c>
      <c r="D108" t="s">
        <v>246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35">
      <c r="A109" t="s">
        <v>308</v>
      </c>
      <c r="B109" t="s">
        <v>309</v>
      </c>
      <c r="C109" t="s">
        <v>339</v>
      </c>
      <c r="D109" t="s">
        <v>246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35">
      <c r="A110" t="s">
        <v>308</v>
      </c>
      <c r="B110" t="s">
        <v>309</v>
      </c>
      <c r="C110" t="s">
        <v>340</v>
      </c>
      <c r="D110" t="s">
        <v>246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35">
      <c r="A111" t="s">
        <v>308</v>
      </c>
      <c r="B111" t="s">
        <v>309</v>
      </c>
      <c r="C111" t="s">
        <v>341</v>
      </c>
      <c r="D111" t="s">
        <v>246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35">
      <c r="A112" t="s">
        <v>308</v>
      </c>
      <c r="B112" t="s">
        <v>309</v>
      </c>
      <c r="C112" t="s">
        <v>342</v>
      </c>
      <c r="D112" t="s">
        <v>246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35">
      <c r="A113" t="s">
        <v>308</v>
      </c>
      <c r="B113" t="s">
        <v>309</v>
      </c>
      <c r="C113" t="s">
        <v>343</v>
      </c>
      <c r="D113" t="s">
        <v>246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35">
      <c r="A114" t="s">
        <v>308</v>
      </c>
      <c r="B114" t="s">
        <v>309</v>
      </c>
      <c r="C114" t="s">
        <v>344</v>
      </c>
      <c r="D114" t="s">
        <v>246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35">
      <c r="A115" t="s">
        <v>308</v>
      </c>
      <c r="B115" t="s">
        <v>309</v>
      </c>
      <c r="C115" t="s">
        <v>345</v>
      </c>
      <c r="D115" t="s">
        <v>246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35">
      <c r="A116" t="s">
        <v>308</v>
      </c>
      <c r="B116" t="s">
        <v>309</v>
      </c>
      <c r="C116" t="s">
        <v>346</v>
      </c>
      <c r="D116" t="s">
        <v>242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35">
      <c r="A117" t="s">
        <v>308</v>
      </c>
      <c r="B117" t="s">
        <v>309</v>
      </c>
      <c r="C117" t="s">
        <v>347</v>
      </c>
      <c r="D117" t="s">
        <v>246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35">
      <c r="A118" t="s">
        <v>308</v>
      </c>
      <c r="B118" t="s">
        <v>309</v>
      </c>
      <c r="C118" t="s">
        <v>307</v>
      </c>
      <c r="D118" t="s">
        <v>246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35">
      <c r="A119" t="s">
        <v>308</v>
      </c>
      <c r="B119" t="s">
        <v>309</v>
      </c>
      <c r="C119" t="s">
        <v>348</v>
      </c>
      <c r="D119" t="s">
        <v>246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35">
      <c r="A120" t="s">
        <v>308</v>
      </c>
      <c r="B120" t="s">
        <v>309</v>
      </c>
      <c r="C120" t="s">
        <v>349</v>
      </c>
      <c r="D120" t="s">
        <v>246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35">
      <c r="A121" t="s">
        <v>308</v>
      </c>
      <c r="B121" t="s">
        <v>309</v>
      </c>
      <c r="C121" t="s">
        <v>350</v>
      </c>
      <c r="D121" t="s">
        <v>246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35">
      <c r="A122" t="s">
        <v>351</v>
      </c>
      <c r="B122" t="s">
        <v>352</v>
      </c>
      <c r="C122" t="s">
        <v>353</v>
      </c>
      <c r="D122" t="s">
        <v>226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35">
      <c r="A123" t="s">
        <v>351</v>
      </c>
      <c r="B123" t="s">
        <v>352</v>
      </c>
      <c r="C123" t="s">
        <v>354</v>
      </c>
      <c r="D123" t="s">
        <v>227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35">
      <c r="A124" t="s">
        <v>351</v>
      </c>
      <c r="B124" t="s">
        <v>352</v>
      </c>
      <c r="C124" t="s">
        <v>355</v>
      </c>
      <c r="D124" t="s">
        <v>356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35">
      <c r="A125" t="s">
        <v>351</v>
      </c>
      <c r="B125" t="s">
        <v>352</v>
      </c>
      <c r="C125" t="s">
        <v>357</v>
      </c>
      <c r="D125" t="s">
        <v>358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35">
      <c r="A126" t="s">
        <v>351</v>
      </c>
      <c r="B126" t="s">
        <v>352</v>
      </c>
      <c r="C126" t="s">
        <v>359</v>
      </c>
      <c r="D126" t="s">
        <v>356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35">
      <c r="A127" t="s">
        <v>351</v>
      </c>
      <c r="B127" t="s">
        <v>352</v>
      </c>
      <c r="C127" t="s">
        <v>360</v>
      </c>
      <c r="D127" t="s">
        <v>358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35">
      <c r="A128" t="s">
        <v>351</v>
      </c>
      <c r="B128" t="s">
        <v>352</v>
      </c>
      <c r="C128" t="s">
        <v>361</v>
      </c>
      <c r="D128" t="s">
        <v>358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35">
      <c r="A129" t="s">
        <v>351</v>
      </c>
      <c r="B129" t="s">
        <v>352</v>
      </c>
      <c r="C129" t="s">
        <v>362</v>
      </c>
      <c r="D129" t="s">
        <v>226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35">
      <c r="A130" t="s">
        <v>351</v>
      </c>
      <c r="B130" t="s">
        <v>352</v>
      </c>
      <c r="C130" t="s">
        <v>363</v>
      </c>
      <c r="D130" t="s">
        <v>356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35">
      <c r="A131" t="s">
        <v>351</v>
      </c>
      <c r="B131" t="s">
        <v>352</v>
      </c>
      <c r="C131" t="s">
        <v>364</v>
      </c>
      <c r="D131" t="s">
        <v>358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35">
      <c r="A132" t="s">
        <v>365</v>
      </c>
      <c r="B132" t="s">
        <v>366</v>
      </c>
      <c r="C132" t="s">
        <v>367</v>
      </c>
      <c r="D132" t="s">
        <v>227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35">
      <c r="A133" t="s">
        <v>365</v>
      </c>
      <c r="B133" t="s">
        <v>366</v>
      </c>
      <c r="C133" t="s">
        <v>368</v>
      </c>
      <c r="D133" t="s">
        <v>227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35">
      <c r="A134" t="s">
        <v>365</v>
      </c>
      <c r="B134" t="s">
        <v>366</v>
      </c>
      <c r="C134" t="s">
        <v>369</v>
      </c>
      <c r="D134" t="s">
        <v>227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35">
      <c r="A135" t="s">
        <v>365</v>
      </c>
      <c r="B135" t="s">
        <v>366</v>
      </c>
      <c r="C135" t="s">
        <v>370</v>
      </c>
      <c r="D135" t="s">
        <v>227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35">
      <c r="A136" t="s">
        <v>365</v>
      </c>
      <c r="B136" t="s">
        <v>366</v>
      </c>
      <c r="C136" t="s">
        <v>371</v>
      </c>
      <c r="D136" t="s">
        <v>227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35">
      <c r="A137" t="s">
        <v>365</v>
      </c>
      <c r="B137" t="s">
        <v>366</v>
      </c>
      <c r="C137" t="s">
        <v>372</v>
      </c>
      <c r="D137" t="s">
        <v>227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35">
      <c r="A138" t="s">
        <v>365</v>
      </c>
      <c r="B138" t="s">
        <v>366</v>
      </c>
      <c r="C138" t="s">
        <v>373</v>
      </c>
      <c r="D138" t="s">
        <v>227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35">
      <c r="A139" t="s">
        <v>365</v>
      </c>
      <c r="B139" t="s">
        <v>366</v>
      </c>
      <c r="C139" t="s">
        <v>374</v>
      </c>
      <c r="D139" t="s">
        <v>227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35">
      <c r="A140" t="s">
        <v>365</v>
      </c>
      <c r="B140" t="s">
        <v>366</v>
      </c>
      <c r="C140" t="s">
        <v>375</v>
      </c>
      <c r="D140" t="s">
        <v>228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35">
      <c r="A141" t="s">
        <v>365</v>
      </c>
      <c r="B141" t="s">
        <v>366</v>
      </c>
      <c r="C141" t="s">
        <v>376</v>
      </c>
      <c r="D141" t="s">
        <v>228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35">
      <c r="A142" t="s">
        <v>365</v>
      </c>
      <c r="B142" t="s">
        <v>366</v>
      </c>
      <c r="C142" t="s">
        <v>377</v>
      </c>
      <c r="D142" t="s">
        <v>228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35">
      <c r="A143" t="s">
        <v>365</v>
      </c>
      <c r="B143" t="s">
        <v>366</v>
      </c>
      <c r="C143" t="s">
        <v>378</v>
      </c>
      <c r="D143" t="s">
        <v>227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35">
      <c r="A144" t="s">
        <v>365</v>
      </c>
      <c r="B144" t="s">
        <v>366</v>
      </c>
      <c r="C144" t="s">
        <v>278</v>
      </c>
      <c r="D144" t="s">
        <v>228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35">
      <c r="A145" t="s">
        <v>365</v>
      </c>
      <c r="B145" t="s">
        <v>366</v>
      </c>
      <c r="C145" t="s">
        <v>279</v>
      </c>
      <c r="D145" t="s">
        <v>227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35">
      <c r="A146" t="s">
        <v>365</v>
      </c>
      <c r="B146" t="s">
        <v>366</v>
      </c>
      <c r="C146" t="s">
        <v>379</v>
      </c>
      <c r="D146" t="s">
        <v>227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35">
      <c r="A147" t="s">
        <v>365</v>
      </c>
      <c r="B147" t="s">
        <v>366</v>
      </c>
      <c r="C147" t="s">
        <v>380</v>
      </c>
      <c r="D147" t="s">
        <v>227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35">
      <c r="A148" t="s">
        <v>365</v>
      </c>
      <c r="B148" t="s">
        <v>366</v>
      </c>
      <c r="C148" t="s">
        <v>381</v>
      </c>
      <c r="D148" t="s">
        <v>227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35">
      <c r="A149" t="s">
        <v>365</v>
      </c>
      <c r="B149" t="s">
        <v>366</v>
      </c>
      <c r="C149" t="s">
        <v>382</v>
      </c>
      <c r="D149" t="s">
        <v>228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35">
      <c r="A150" t="s">
        <v>365</v>
      </c>
      <c r="B150" t="s">
        <v>366</v>
      </c>
      <c r="C150" t="s">
        <v>383</v>
      </c>
      <c r="D150" t="s">
        <v>227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35">
      <c r="A151" t="s">
        <v>365</v>
      </c>
      <c r="B151" t="s">
        <v>366</v>
      </c>
      <c r="C151" t="s">
        <v>384</v>
      </c>
      <c r="D151" t="s">
        <v>356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35">
      <c r="A152" t="s">
        <v>365</v>
      </c>
      <c r="B152" t="s">
        <v>366</v>
      </c>
      <c r="C152" t="s">
        <v>323</v>
      </c>
      <c r="D152" t="s">
        <v>227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35">
      <c r="A153" t="s">
        <v>365</v>
      </c>
      <c r="B153" t="s">
        <v>366</v>
      </c>
      <c r="C153" t="s">
        <v>325</v>
      </c>
      <c r="D153" t="s">
        <v>227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35">
      <c r="A154" t="s">
        <v>365</v>
      </c>
      <c r="B154" t="s">
        <v>366</v>
      </c>
      <c r="C154" t="s">
        <v>385</v>
      </c>
      <c r="D154" t="s">
        <v>227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35">
      <c r="A155" t="s">
        <v>365</v>
      </c>
      <c r="B155" t="s">
        <v>366</v>
      </c>
      <c r="C155" t="s">
        <v>386</v>
      </c>
      <c r="D155" t="s">
        <v>228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35">
      <c r="A156" t="s">
        <v>365</v>
      </c>
      <c r="B156" t="s">
        <v>366</v>
      </c>
      <c r="C156" t="s">
        <v>387</v>
      </c>
      <c r="D156" t="s">
        <v>227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35">
      <c r="A157" t="s">
        <v>365</v>
      </c>
      <c r="B157" t="s">
        <v>366</v>
      </c>
      <c r="C157" t="s">
        <v>388</v>
      </c>
      <c r="D157" t="s">
        <v>227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35">
      <c r="A158" t="s">
        <v>365</v>
      </c>
      <c r="B158" t="s">
        <v>366</v>
      </c>
      <c r="C158" t="s">
        <v>389</v>
      </c>
      <c r="D158" t="s">
        <v>227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35">
      <c r="A159" t="s">
        <v>365</v>
      </c>
      <c r="B159" t="s">
        <v>366</v>
      </c>
      <c r="C159" t="s">
        <v>294</v>
      </c>
      <c r="D159" t="s">
        <v>227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35">
      <c r="A160" t="s">
        <v>365</v>
      </c>
      <c r="B160" t="s">
        <v>366</v>
      </c>
      <c r="C160" t="s">
        <v>390</v>
      </c>
      <c r="D160" t="s">
        <v>356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35">
      <c r="A161" t="s">
        <v>365</v>
      </c>
      <c r="B161" t="s">
        <v>366</v>
      </c>
      <c r="C161" t="s">
        <v>391</v>
      </c>
      <c r="D161" t="s">
        <v>227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35">
      <c r="A162" t="s">
        <v>365</v>
      </c>
      <c r="B162" t="s">
        <v>366</v>
      </c>
      <c r="C162" t="s">
        <v>392</v>
      </c>
      <c r="D162" t="s">
        <v>228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35">
      <c r="A163" t="s">
        <v>365</v>
      </c>
      <c r="B163" t="s">
        <v>366</v>
      </c>
      <c r="C163" t="s">
        <v>332</v>
      </c>
      <c r="D163" t="s">
        <v>227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35">
      <c r="A164" t="s">
        <v>365</v>
      </c>
      <c r="B164" t="s">
        <v>366</v>
      </c>
      <c r="C164" t="s">
        <v>393</v>
      </c>
      <c r="D164" t="s">
        <v>228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35">
      <c r="A165" t="s">
        <v>365</v>
      </c>
      <c r="B165" t="s">
        <v>366</v>
      </c>
      <c r="C165" t="s">
        <v>394</v>
      </c>
      <c r="D165" t="s">
        <v>227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35">
      <c r="A166" t="s">
        <v>365</v>
      </c>
      <c r="B166" t="s">
        <v>366</v>
      </c>
      <c r="C166" t="s">
        <v>395</v>
      </c>
      <c r="D166" t="s">
        <v>227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35">
      <c r="A167" t="s">
        <v>365</v>
      </c>
      <c r="B167" t="s">
        <v>366</v>
      </c>
      <c r="C167" t="s">
        <v>396</v>
      </c>
      <c r="D167" t="s">
        <v>227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35">
      <c r="A168" t="s">
        <v>365</v>
      </c>
      <c r="B168" t="s">
        <v>366</v>
      </c>
      <c r="C168" t="s">
        <v>397</v>
      </c>
      <c r="D168" t="s">
        <v>228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35">
      <c r="A169" t="s">
        <v>365</v>
      </c>
      <c r="B169" t="s">
        <v>366</v>
      </c>
      <c r="C169" t="s">
        <v>398</v>
      </c>
      <c r="D169" t="s">
        <v>228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35">
      <c r="A170" t="s">
        <v>365</v>
      </c>
      <c r="B170" t="s">
        <v>366</v>
      </c>
      <c r="C170" t="s">
        <v>399</v>
      </c>
      <c r="D170" t="s">
        <v>227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35">
      <c r="A171" t="s">
        <v>365</v>
      </c>
      <c r="B171" t="s">
        <v>366</v>
      </c>
      <c r="C171" t="s">
        <v>400</v>
      </c>
      <c r="D171" t="s">
        <v>228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35">
      <c r="A172" t="s">
        <v>365</v>
      </c>
      <c r="B172" t="s">
        <v>366</v>
      </c>
      <c r="C172" t="s">
        <v>401</v>
      </c>
      <c r="D172" t="s">
        <v>227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35">
      <c r="A173" t="s">
        <v>365</v>
      </c>
      <c r="B173" t="s">
        <v>366</v>
      </c>
      <c r="C173" t="s">
        <v>402</v>
      </c>
      <c r="D173" t="s">
        <v>227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35">
      <c r="A174" t="s">
        <v>365</v>
      </c>
      <c r="B174" t="s">
        <v>366</v>
      </c>
      <c r="C174" t="s">
        <v>403</v>
      </c>
      <c r="D174" t="s">
        <v>228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35">
      <c r="A175" t="s">
        <v>365</v>
      </c>
      <c r="B175" t="s">
        <v>366</v>
      </c>
      <c r="C175" t="s">
        <v>404</v>
      </c>
      <c r="D175" t="s">
        <v>227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35">
      <c r="A176" t="s">
        <v>365</v>
      </c>
      <c r="B176" t="s">
        <v>366</v>
      </c>
      <c r="C176" t="s">
        <v>307</v>
      </c>
      <c r="D176" t="s">
        <v>227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35">
      <c r="A177" t="s">
        <v>365</v>
      </c>
      <c r="B177" t="s">
        <v>366</v>
      </c>
      <c r="C177" t="s">
        <v>405</v>
      </c>
      <c r="D177" t="s">
        <v>227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35">
      <c r="A178" t="s">
        <v>365</v>
      </c>
      <c r="B178" t="s">
        <v>366</v>
      </c>
      <c r="C178" t="s">
        <v>406</v>
      </c>
      <c r="D178" t="s">
        <v>227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35">
      <c r="A179" t="s">
        <v>407</v>
      </c>
      <c r="B179" t="s">
        <v>408</v>
      </c>
      <c r="C179" t="s">
        <v>409</v>
      </c>
      <c r="D179" t="s">
        <v>227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35">
      <c r="A180" t="s">
        <v>407</v>
      </c>
      <c r="B180" t="s">
        <v>408</v>
      </c>
      <c r="C180" t="s">
        <v>410</v>
      </c>
      <c r="D180" t="s">
        <v>227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35">
      <c r="A181" t="s">
        <v>407</v>
      </c>
      <c r="B181" t="s">
        <v>408</v>
      </c>
      <c r="C181" t="s">
        <v>411</v>
      </c>
      <c r="D181" t="s">
        <v>227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35">
      <c r="A182" t="s">
        <v>407</v>
      </c>
      <c r="B182" t="s">
        <v>408</v>
      </c>
      <c r="C182" t="s">
        <v>412</v>
      </c>
      <c r="D182" t="s">
        <v>227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35">
      <c r="A183" t="s">
        <v>407</v>
      </c>
      <c r="B183" t="s">
        <v>408</v>
      </c>
      <c r="C183" t="s">
        <v>413</v>
      </c>
      <c r="D183" t="s">
        <v>227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35">
      <c r="A184" t="s">
        <v>407</v>
      </c>
      <c r="B184" t="s">
        <v>408</v>
      </c>
      <c r="C184" t="s">
        <v>414</v>
      </c>
      <c r="D184" t="s">
        <v>227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35">
      <c r="A185" t="s">
        <v>407</v>
      </c>
      <c r="B185" t="s">
        <v>408</v>
      </c>
      <c r="C185" t="s">
        <v>415</v>
      </c>
      <c r="D185" t="s">
        <v>227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35">
      <c r="A186" t="s">
        <v>407</v>
      </c>
      <c r="B186" t="s">
        <v>408</v>
      </c>
      <c r="C186" t="s">
        <v>416</v>
      </c>
      <c r="D186" t="s">
        <v>227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35">
      <c r="A187" t="s">
        <v>417</v>
      </c>
      <c r="B187" t="s">
        <v>418</v>
      </c>
      <c r="C187" t="s">
        <v>419</v>
      </c>
      <c r="D187" t="s">
        <v>246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35">
      <c r="A188" t="s">
        <v>417</v>
      </c>
      <c r="B188" t="s">
        <v>418</v>
      </c>
      <c r="C188" t="s">
        <v>420</v>
      </c>
      <c r="D188" t="s">
        <v>246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35">
      <c r="A189" t="s">
        <v>417</v>
      </c>
      <c r="B189" t="s">
        <v>418</v>
      </c>
      <c r="C189" t="s">
        <v>421</v>
      </c>
      <c r="D189" t="s">
        <v>246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35">
      <c r="A190" t="s">
        <v>423</v>
      </c>
      <c r="B190" t="s">
        <v>424</v>
      </c>
      <c r="C190" t="s">
        <v>425</v>
      </c>
      <c r="D190" t="s">
        <v>242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35">
      <c r="A191" t="s">
        <v>423</v>
      </c>
      <c r="B191" t="s">
        <v>424</v>
      </c>
      <c r="C191" t="s">
        <v>426</v>
      </c>
      <c r="D191" t="s">
        <v>242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35">
      <c r="A192" t="s">
        <v>423</v>
      </c>
      <c r="B192" t="s">
        <v>424</v>
      </c>
      <c r="C192" t="s">
        <v>427</v>
      </c>
      <c r="D192" t="s">
        <v>242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35">
      <c r="A193" t="s">
        <v>423</v>
      </c>
      <c r="B193" t="s">
        <v>424</v>
      </c>
      <c r="C193" t="s">
        <v>428</v>
      </c>
      <c r="D193" t="s">
        <v>242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35">
      <c r="A194" t="s">
        <v>423</v>
      </c>
      <c r="B194" t="s">
        <v>424</v>
      </c>
      <c r="C194" t="s">
        <v>429</v>
      </c>
      <c r="D194" t="s">
        <v>242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35">
      <c r="A195" t="s">
        <v>430</v>
      </c>
      <c r="B195" t="s">
        <v>431</v>
      </c>
      <c r="C195" t="s">
        <v>426</v>
      </c>
      <c r="D195" t="s">
        <v>242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35">
      <c r="A196" t="s">
        <v>430</v>
      </c>
      <c r="B196" t="s">
        <v>431</v>
      </c>
      <c r="C196" t="s">
        <v>243</v>
      </c>
      <c r="D196" t="s">
        <v>246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35">
      <c r="A197" t="s">
        <v>430</v>
      </c>
      <c r="B197" t="s">
        <v>431</v>
      </c>
      <c r="C197" t="s">
        <v>432</v>
      </c>
      <c r="D197" t="s">
        <v>246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35">
      <c r="A198" t="s">
        <v>430</v>
      </c>
      <c r="B198" t="s">
        <v>431</v>
      </c>
      <c r="C198" t="s">
        <v>433</v>
      </c>
      <c r="D198" t="s">
        <v>246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35">
      <c r="A199" t="s">
        <v>430</v>
      </c>
      <c r="B199" t="s">
        <v>431</v>
      </c>
      <c r="C199" t="s">
        <v>434</v>
      </c>
      <c r="D199" t="s">
        <v>246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35">
      <c r="A200" t="s">
        <v>430</v>
      </c>
      <c r="B200" t="s">
        <v>431</v>
      </c>
      <c r="C200" t="s">
        <v>435</v>
      </c>
      <c r="D200" t="s">
        <v>242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35">
      <c r="A201" t="s">
        <v>430</v>
      </c>
      <c r="B201" t="s">
        <v>431</v>
      </c>
      <c r="C201" t="s">
        <v>436</v>
      </c>
      <c r="D201" t="s">
        <v>242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35">
      <c r="A202" t="s">
        <v>430</v>
      </c>
      <c r="B202" t="s">
        <v>431</v>
      </c>
      <c r="C202" t="s">
        <v>245</v>
      </c>
      <c r="D202" t="s">
        <v>246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35">
      <c r="A203" t="s">
        <v>430</v>
      </c>
      <c r="B203" t="s">
        <v>431</v>
      </c>
      <c r="C203" t="s">
        <v>437</v>
      </c>
      <c r="D203" t="s">
        <v>242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35">
      <c r="A204" t="s">
        <v>430</v>
      </c>
      <c r="B204" t="s">
        <v>431</v>
      </c>
      <c r="C204" t="s">
        <v>438</v>
      </c>
      <c r="D204" t="s">
        <v>242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35">
      <c r="A205" t="s">
        <v>430</v>
      </c>
      <c r="B205" t="s">
        <v>431</v>
      </c>
      <c r="C205" t="s">
        <v>439</v>
      </c>
      <c r="D205" t="s">
        <v>242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35">
      <c r="A206" t="s">
        <v>430</v>
      </c>
      <c r="B206" t="s">
        <v>431</v>
      </c>
      <c r="C206" t="s">
        <v>440</v>
      </c>
      <c r="D206" t="s">
        <v>242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35">
      <c r="A207" t="s">
        <v>430</v>
      </c>
      <c r="B207" t="s">
        <v>431</v>
      </c>
      <c r="C207" t="s">
        <v>441</v>
      </c>
      <c r="D207" t="s">
        <v>242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35">
      <c r="A208" t="s">
        <v>430</v>
      </c>
      <c r="B208" t="s">
        <v>431</v>
      </c>
      <c r="C208" t="s">
        <v>442</v>
      </c>
      <c r="D208" t="s">
        <v>246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35">
      <c r="A209" t="s">
        <v>430</v>
      </c>
      <c r="B209" t="s">
        <v>431</v>
      </c>
      <c r="C209" t="s">
        <v>443</v>
      </c>
      <c r="D209" t="s">
        <v>246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35">
      <c r="A210" t="s">
        <v>430</v>
      </c>
      <c r="B210" t="s">
        <v>431</v>
      </c>
      <c r="C210" t="s">
        <v>250</v>
      </c>
      <c r="D210" t="s">
        <v>242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35">
      <c r="A211" t="s">
        <v>430</v>
      </c>
      <c r="B211" t="s">
        <v>431</v>
      </c>
      <c r="C211" t="s">
        <v>444</v>
      </c>
      <c r="D211" t="s">
        <v>242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35">
      <c r="A212" t="s">
        <v>430</v>
      </c>
      <c r="B212" t="s">
        <v>431</v>
      </c>
      <c r="C212" t="s">
        <v>445</v>
      </c>
      <c r="D212" t="s">
        <v>242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35">
      <c r="A213" t="s">
        <v>430</v>
      </c>
      <c r="B213" t="s">
        <v>431</v>
      </c>
      <c r="C213" t="s">
        <v>446</v>
      </c>
      <c r="D213" t="s">
        <v>246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35">
      <c r="A214" t="s">
        <v>430</v>
      </c>
      <c r="B214" t="s">
        <v>431</v>
      </c>
      <c r="C214" t="s">
        <v>447</v>
      </c>
      <c r="D214" t="s">
        <v>246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35">
      <c r="A215" t="s">
        <v>430</v>
      </c>
      <c r="B215" t="s">
        <v>431</v>
      </c>
      <c r="C215" t="s">
        <v>448</v>
      </c>
      <c r="D215" t="s">
        <v>242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35">
      <c r="A216" t="s">
        <v>430</v>
      </c>
      <c r="B216" t="s">
        <v>431</v>
      </c>
      <c r="C216" t="s">
        <v>449</v>
      </c>
      <c r="D216" t="s">
        <v>242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35">
      <c r="A217" t="s">
        <v>430</v>
      </c>
      <c r="B217" t="s">
        <v>431</v>
      </c>
      <c r="C217" t="s">
        <v>450</v>
      </c>
      <c r="D217" t="s">
        <v>242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35">
      <c r="A218" t="s">
        <v>430</v>
      </c>
      <c r="B218" t="s">
        <v>431</v>
      </c>
      <c r="C218" t="s">
        <v>451</v>
      </c>
      <c r="D218" t="s">
        <v>246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35">
      <c r="A219" t="s">
        <v>430</v>
      </c>
      <c r="B219" t="s">
        <v>431</v>
      </c>
      <c r="C219" t="s">
        <v>252</v>
      </c>
      <c r="D219" t="s">
        <v>246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35">
      <c r="A220" t="s">
        <v>430</v>
      </c>
      <c r="B220" t="s">
        <v>431</v>
      </c>
      <c r="C220" t="s">
        <v>255</v>
      </c>
      <c r="D220" t="s">
        <v>246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35">
      <c r="A221" t="s">
        <v>430</v>
      </c>
      <c r="B221" t="s">
        <v>431</v>
      </c>
      <c r="C221" t="s">
        <v>256</v>
      </c>
      <c r="D221" t="s">
        <v>242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35">
      <c r="A222" t="s">
        <v>430</v>
      </c>
      <c r="B222" t="s">
        <v>431</v>
      </c>
      <c r="C222" t="s">
        <v>452</v>
      </c>
      <c r="D222" t="s">
        <v>246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35">
      <c r="A223" t="s">
        <v>430</v>
      </c>
      <c r="B223" t="s">
        <v>431</v>
      </c>
      <c r="C223" t="s">
        <v>453</v>
      </c>
      <c r="D223" t="s">
        <v>242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35">
      <c r="A224" t="s">
        <v>430</v>
      </c>
      <c r="B224" t="s">
        <v>431</v>
      </c>
      <c r="C224" t="s">
        <v>454</v>
      </c>
      <c r="D224" t="s">
        <v>246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35">
      <c r="A225" t="s">
        <v>430</v>
      </c>
      <c r="B225" t="s">
        <v>431</v>
      </c>
      <c r="C225" t="s">
        <v>258</v>
      </c>
      <c r="D225" t="s">
        <v>242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35">
      <c r="A226" t="s">
        <v>430</v>
      </c>
      <c r="B226" t="s">
        <v>431</v>
      </c>
      <c r="C226" t="s">
        <v>455</v>
      </c>
      <c r="D226" t="s">
        <v>242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35">
      <c r="A227" t="s">
        <v>430</v>
      </c>
      <c r="B227" t="s">
        <v>431</v>
      </c>
      <c r="C227" t="s">
        <v>456</v>
      </c>
      <c r="D227" t="s">
        <v>246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35">
      <c r="A228" t="s">
        <v>430</v>
      </c>
      <c r="B228" t="s">
        <v>431</v>
      </c>
      <c r="C228" t="s">
        <v>457</v>
      </c>
      <c r="D228" t="s">
        <v>242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35">
      <c r="A229" t="s">
        <v>430</v>
      </c>
      <c r="B229" t="s">
        <v>431</v>
      </c>
      <c r="C229" t="s">
        <v>458</v>
      </c>
      <c r="D229" t="s">
        <v>246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35">
      <c r="A230" t="s">
        <v>430</v>
      </c>
      <c r="B230" t="s">
        <v>431</v>
      </c>
      <c r="C230" t="s">
        <v>459</v>
      </c>
      <c r="D230" t="s">
        <v>246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35">
      <c r="A231" t="s">
        <v>430</v>
      </c>
      <c r="B231" t="s">
        <v>431</v>
      </c>
      <c r="C231" t="s">
        <v>460</v>
      </c>
      <c r="D231" t="s">
        <v>242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35">
      <c r="A232" t="s">
        <v>430</v>
      </c>
      <c r="B232" t="s">
        <v>431</v>
      </c>
      <c r="C232" t="s">
        <v>461</v>
      </c>
      <c r="D232" t="s">
        <v>246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35">
      <c r="A233" t="s">
        <v>430</v>
      </c>
      <c r="B233" t="s">
        <v>431</v>
      </c>
      <c r="C233" t="s">
        <v>462</v>
      </c>
      <c r="D233" t="s">
        <v>246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35">
      <c r="A234" t="s">
        <v>430</v>
      </c>
      <c r="B234" t="s">
        <v>431</v>
      </c>
      <c r="C234" t="s">
        <v>463</v>
      </c>
      <c r="D234" t="s">
        <v>242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35">
      <c r="A235" t="s">
        <v>430</v>
      </c>
      <c r="B235" t="s">
        <v>431</v>
      </c>
      <c r="C235" t="s">
        <v>267</v>
      </c>
      <c r="D235" t="s">
        <v>246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35">
      <c r="A236" t="s">
        <v>430</v>
      </c>
      <c r="B236" t="s">
        <v>431</v>
      </c>
      <c r="C236" t="s">
        <v>464</v>
      </c>
      <c r="D236" t="s">
        <v>242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35">
      <c r="A237" t="s">
        <v>430</v>
      </c>
      <c r="B237" t="s">
        <v>431</v>
      </c>
      <c r="C237" t="s">
        <v>465</v>
      </c>
      <c r="D237" t="s">
        <v>242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35">
      <c r="A238" t="s">
        <v>430</v>
      </c>
      <c r="B238" t="s">
        <v>431</v>
      </c>
      <c r="C238" t="s">
        <v>466</v>
      </c>
      <c r="D238" t="s">
        <v>242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35">
      <c r="A239" t="s">
        <v>430</v>
      </c>
      <c r="B239" t="s">
        <v>431</v>
      </c>
      <c r="C239" t="s">
        <v>368</v>
      </c>
      <c r="D239" t="s">
        <v>246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35">
      <c r="A240" t="s">
        <v>430</v>
      </c>
      <c r="B240" t="s">
        <v>431</v>
      </c>
      <c r="C240" t="s">
        <v>467</v>
      </c>
      <c r="D240" t="s">
        <v>242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35">
      <c r="A241" t="s">
        <v>430</v>
      </c>
      <c r="B241" t="s">
        <v>431</v>
      </c>
      <c r="C241" t="s">
        <v>468</v>
      </c>
      <c r="D241" t="s">
        <v>242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35">
      <c r="A242" t="s">
        <v>430</v>
      </c>
      <c r="B242" t="s">
        <v>431</v>
      </c>
      <c r="C242" t="s">
        <v>469</v>
      </c>
      <c r="D242" t="s">
        <v>242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35">
      <c r="A243" t="s">
        <v>430</v>
      </c>
      <c r="B243" t="s">
        <v>431</v>
      </c>
      <c r="C243" t="s">
        <v>371</v>
      </c>
      <c r="D243" t="s">
        <v>246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35">
      <c r="A244" t="s">
        <v>430</v>
      </c>
      <c r="B244" t="s">
        <v>431</v>
      </c>
      <c r="C244" t="s">
        <v>470</v>
      </c>
      <c r="D244" t="s">
        <v>242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35">
      <c r="A245" t="s">
        <v>430</v>
      </c>
      <c r="B245" t="s">
        <v>431</v>
      </c>
      <c r="C245" t="s">
        <v>471</v>
      </c>
      <c r="D245" t="s">
        <v>242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35">
      <c r="A246" t="s">
        <v>430</v>
      </c>
      <c r="B246" t="s">
        <v>431</v>
      </c>
      <c r="C246" t="s">
        <v>472</v>
      </c>
      <c r="D246" t="s">
        <v>246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35">
      <c r="A247" t="s">
        <v>430</v>
      </c>
      <c r="B247" t="s">
        <v>431</v>
      </c>
      <c r="C247" t="s">
        <v>271</v>
      </c>
      <c r="D247" t="s">
        <v>246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35">
      <c r="A248" t="s">
        <v>430</v>
      </c>
      <c r="B248" t="s">
        <v>431</v>
      </c>
      <c r="C248" t="s">
        <v>473</v>
      </c>
      <c r="D248" t="s">
        <v>246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35">
      <c r="A249" t="s">
        <v>430</v>
      </c>
      <c r="B249" t="s">
        <v>431</v>
      </c>
      <c r="C249" t="s">
        <v>474</v>
      </c>
      <c r="D249" t="s">
        <v>246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35">
      <c r="A250" t="s">
        <v>430</v>
      </c>
      <c r="B250" t="s">
        <v>431</v>
      </c>
      <c r="C250" t="s">
        <v>272</v>
      </c>
      <c r="D250" t="s">
        <v>246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35">
      <c r="A251" t="s">
        <v>430</v>
      </c>
      <c r="B251" t="s">
        <v>431</v>
      </c>
      <c r="C251" t="s">
        <v>313</v>
      </c>
      <c r="D251" t="s">
        <v>246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35">
      <c r="A252" t="s">
        <v>430</v>
      </c>
      <c r="B252" t="s">
        <v>431</v>
      </c>
      <c r="C252" t="s">
        <v>475</v>
      </c>
      <c r="D252" t="s">
        <v>246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35">
      <c r="A253" t="s">
        <v>430</v>
      </c>
      <c r="B253" t="s">
        <v>431</v>
      </c>
      <c r="C253" t="s">
        <v>476</v>
      </c>
      <c r="D253" t="s">
        <v>246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35">
      <c r="A254" t="s">
        <v>430</v>
      </c>
      <c r="B254" t="s">
        <v>431</v>
      </c>
      <c r="C254" t="s">
        <v>477</v>
      </c>
      <c r="D254" t="s">
        <v>242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35">
      <c r="A255" t="s">
        <v>430</v>
      </c>
      <c r="B255" t="s">
        <v>431</v>
      </c>
      <c r="C255" t="s">
        <v>478</v>
      </c>
      <c r="D255" t="s">
        <v>246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35">
      <c r="A256" t="s">
        <v>430</v>
      </c>
      <c r="B256" t="s">
        <v>431</v>
      </c>
      <c r="C256" t="s">
        <v>479</v>
      </c>
      <c r="D256" t="s">
        <v>242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35">
      <c r="A257" t="s">
        <v>430</v>
      </c>
      <c r="B257" t="s">
        <v>431</v>
      </c>
      <c r="C257" t="s">
        <v>274</v>
      </c>
      <c r="D257" t="s">
        <v>246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35">
      <c r="A258" t="s">
        <v>430</v>
      </c>
      <c r="B258" t="s">
        <v>431</v>
      </c>
      <c r="C258" t="s">
        <v>480</v>
      </c>
      <c r="D258" t="s">
        <v>246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35">
      <c r="A259" t="s">
        <v>430</v>
      </c>
      <c r="B259" t="s">
        <v>431</v>
      </c>
      <c r="C259" t="s">
        <v>481</v>
      </c>
      <c r="D259" t="s">
        <v>246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35">
      <c r="A260" t="s">
        <v>430</v>
      </c>
      <c r="B260" t="s">
        <v>431</v>
      </c>
      <c r="C260" t="s">
        <v>482</v>
      </c>
      <c r="D260" t="s">
        <v>483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35">
      <c r="A261" t="s">
        <v>430</v>
      </c>
      <c r="B261" t="s">
        <v>431</v>
      </c>
      <c r="C261" t="s">
        <v>484</v>
      </c>
      <c r="D261" t="s">
        <v>483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35">
      <c r="A262" t="s">
        <v>430</v>
      </c>
      <c r="B262" t="s">
        <v>431</v>
      </c>
      <c r="C262" t="s">
        <v>485</v>
      </c>
      <c r="D262" t="s">
        <v>242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35">
      <c r="A263" t="s">
        <v>430</v>
      </c>
      <c r="B263" t="s">
        <v>431</v>
      </c>
      <c r="C263" t="s">
        <v>486</v>
      </c>
      <c r="D263" t="s">
        <v>483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35">
      <c r="A264" t="s">
        <v>430</v>
      </c>
      <c r="B264" t="s">
        <v>431</v>
      </c>
      <c r="C264" t="s">
        <v>487</v>
      </c>
      <c r="D264" t="s">
        <v>242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35">
      <c r="A265" t="s">
        <v>430</v>
      </c>
      <c r="B265" t="s">
        <v>431</v>
      </c>
      <c r="C265" t="s">
        <v>488</v>
      </c>
      <c r="D265" t="s">
        <v>246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35">
      <c r="A266" t="s">
        <v>430</v>
      </c>
      <c r="B266" t="s">
        <v>431</v>
      </c>
      <c r="C266" t="s">
        <v>489</v>
      </c>
      <c r="D266" t="s">
        <v>483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35">
      <c r="A267" t="s">
        <v>430</v>
      </c>
      <c r="B267" t="s">
        <v>431</v>
      </c>
      <c r="C267" t="s">
        <v>490</v>
      </c>
      <c r="D267" t="s">
        <v>246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35">
      <c r="A268" t="s">
        <v>430</v>
      </c>
      <c r="B268" t="s">
        <v>431</v>
      </c>
      <c r="C268" t="s">
        <v>491</v>
      </c>
      <c r="D268" t="s">
        <v>483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35">
      <c r="A269" t="s">
        <v>430</v>
      </c>
      <c r="B269" t="s">
        <v>431</v>
      </c>
      <c r="C269" t="s">
        <v>492</v>
      </c>
      <c r="D269" t="s">
        <v>483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35">
      <c r="A270" t="s">
        <v>430</v>
      </c>
      <c r="B270" t="s">
        <v>431</v>
      </c>
      <c r="C270" t="s">
        <v>346</v>
      </c>
      <c r="D270" t="s">
        <v>246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35">
      <c r="A271" t="s">
        <v>430</v>
      </c>
      <c r="B271" t="s">
        <v>431</v>
      </c>
      <c r="C271" t="s">
        <v>493</v>
      </c>
      <c r="D271" t="s">
        <v>246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35">
      <c r="A272" t="s">
        <v>430</v>
      </c>
      <c r="B272" t="s">
        <v>431</v>
      </c>
      <c r="C272" t="s">
        <v>306</v>
      </c>
      <c r="D272" t="s">
        <v>246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35">
      <c r="A273" t="s">
        <v>430</v>
      </c>
      <c r="B273" t="s">
        <v>431</v>
      </c>
      <c r="C273" t="s">
        <v>494</v>
      </c>
      <c r="D273" t="s">
        <v>246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35">
      <c r="A274" t="s">
        <v>430</v>
      </c>
      <c r="B274" t="s">
        <v>431</v>
      </c>
      <c r="C274" t="s">
        <v>495</v>
      </c>
      <c r="D274" t="s">
        <v>242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35">
      <c r="A275" t="s">
        <v>430</v>
      </c>
      <c r="B275" t="s">
        <v>431</v>
      </c>
      <c r="C275" t="s">
        <v>496</v>
      </c>
      <c r="D275" t="s">
        <v>246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35">
      <c r="A276" t="s">
        <v>430</v>
      </c>
      <c r="B276" t="s">
        <v>431</v>
      </c>
      <c r="C276" t="s">
        <v>307</v>
      </c>
      <c r="D276" t="s">
        <v>246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35">
      <c r="A277" t="s">
        <v>430</v>
      </c>
      <c r="B277" t="s">
        <v>431</v>
      </c>
      <c r="C277" t="s">
        <v>497</v>
      </c>
      <c r="D277" t="s">
        <v>242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35">
      <c r="A278" t="s">
        <v>430</v>
      </c>
      <c r="B278" t="s">
        <v>431</v>
      </c>
      <c r="C278" t="s">
        <v>498</v>
      </c>
      <c r="D278" t="s">
        <v>483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35">
      <c r="A279" t="s">
        <v>430</v>
      </c>
      <c r="B279" t="s">
        <v>431</v>
      </c>
      <c r="C279" t="s">
        <v>499</v>
      </c>
      <c r="D279" t="s">
        <v>483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35">
      <c r="A280" t="s">
        <v>430</v>
      </c>
      <c r="B280" t="s">
        <v>431</v>
      </c>
      <c r="C280" t="s">
        <v>348</v>
      </c>
      <c r="D280" t="s">
        <v>246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35">
      <c r="A281" t="s">
        <v>430</v>
      </c>
      <c r="B281" t="s">
        <v>431</v>
      </c>
      <c r="C281" t="s">
        <v>500</v>
      </c>
      <c r="D281" t="s">
        <v>246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35">
      <c r="A282" t="s">
        <v>430</v>
      </c>
      <c r="B282" t="s">
        <v>431</v>
      </c>
      <c r="C282" t="s">
        <v>501</v>
      </c>
      <c r="D282" t="s">
        <v>483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35">
      <c r="A283" t="s">
        <v>430</v>
      </c>
      <c r="B283" t="s">
        <v>431</v>
      </c>
      <c r="C283" t="s">
        <v>502</v>
      </c>
      <c r="D283" t="s">
        <v>246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35">
      <c r="A284" t="s">
        <v>430</v>
      </c>
      <c r="B284" t="s">
        <v>431</v>
      </c>
      <c r="C284" t="s">
        <v>503</v>
      </c>
      <c r="D284" t="s">
        <v>246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35">
      <c r="A285" t="s">
        <v>430</v>
      </c>
      <c r="B285" t="s">
        <v>431</v>
      </c>
      <c r="C285" t="s">
        <v>504</v>
      </c>
      <c r="D285" t="s">
        <v>483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35">
      <c r="A286" t="s">
        <v>505</v>
      </c>
      <c r="B286" t="s">
        <v>506</v>
      </c>
      <c r="C286" t="s">
        <v>507</v>
      </c>
      <c r="D286" t="s">
        <v>242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35">
      <c r="A287" t="s">
        <v>505</v>
      </c>
      <c r="B287" t="s">
        <v>506</v>
      </c>
      <c r="C287" t="s">
        <v>508</v>
      </c>
      <c r="D287" t="s">
        <v>242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35">
      <c r="A288" t="s">
        <v>505</v>
      </c>
      <c r="B288" t="s">
        <v>506</v>
      </c>
      <c r="C288" t="s">
        <v>509</v>
      </c>
      <c r="D288" t="s">
        <v>242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35">
      <c r="A289" t="s">
        <v>505</v>
      </c>
      <c r="B289" t="s">
        <v>506</v>
      </c>
      <c r="C289" t="s">
        <v>510</v>
      </c>
      <c r="D289" t="s">
        <v>242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35">
      <c r="A290" t="s">
        <v>505</v>
      </c>
      <c r="B290" t="s">
        <v>506</v>
      </c>
      <c r="C290" t="s">
        <v>511</v>
      </c>
      <c r="D290" t="s">
        <v>242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35">
      <c r="A291" t="s">
        <v>512</v>
      </c>
      <c r="B291" t="s">
        <v>513</v>
      </c>
      <c r="C291" t="s">
        <v>514</v>
      </c>
      <c r="D291" t="s">
        <v>227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35">
      <c r="A292" t="s">
        <v>512</v>
      </c>
      <c r="B292" t="s">
        <v>513</v>
      </c>
      <c r="C292" t="s">
        <v>515</v>
      </c>
      <c r="D292" t="s">
        <v>227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35">
      <c r="A293" t="s">
        <v>512</v>
      </c>
      <c r="B293" t="s">
        <v>513</v>
      </c>
      <c r="C293" t="s">
        <v>516</v>
      </c>
      <c r="D293" t="s">
        <v>227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35">
      <c r="A294" t="s">
        <v>512</v>
      </c>
      <c r="B294" t="s">
        <v>513</v>
      </c>
      <c r="C294" t="s">
        <v>517</v>
      </c>
      <c r="D294" t="s">
        <v>227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35">
      <c r="A295" t="s">
        <v>512</v>
      </c>
      <c r="B295" t="s">
        <v>513</v>
      </c>
      <c r="C295" t="s">
        <v>518</v>
      </c>
      <c r="D295" t="s">
        <v>227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35">
      <c r="A296" t="s">
        <v>512</v>
      </c>
      <c r="B296" t="s">
        <v>513</v>
      </c>
      <c r="C296" t="s">
        <v>519</v>
      </c>
      <c r="D296" t="s">
        <v>227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35">
      <c r="A297" t="s">
        <v>512</v>
      </c>
      <c r="B297" t="s">
        <v>513</v>
      </c>
      <c r="C297" t="s">
        <v>520</v>
      </c>
      <c r="D297" t="s">
        <v>227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35">
      <c r="A298" t="s">
        <v>512</v>
      </c>
      <c r="B298" t="s">
        <v>513</v>
      </c>
      <c r="C298" t="s">
        <v>521</v>
      </c>
      <c r="D298" t="s">
        <v>227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35">
      <c r="A299" t="s">
        <v>512</v>
      </c>
      <c r="B299" t="s">
        <v>513</v>
      </c>
      <c r="C299" t="s">
        <v>522</v>
      </c>
      <c r="D299" t="s">
        <v>227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35">
      <c r="A300" t="s">
        <v>512</v>
      </c>
      <c r="B300" t="s">
        <v>513</v>
      </c>
      <c r="C300" t="s">
        <v>523</v>
      </c>
      <c r="D300" t="s">
        <v>227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35">
      <c r="A301" t="s">
        <v>512</v>
      </c>
      <c r="B301" t="s">
        <v>513</v>
      </c>
      <c r="C301" t="s">
        <v>524</v>
      </c>
      <c r="D301" t="s">
        <v>227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35">
      <c r="A302" t="s">
        <v>512</v>
      </c>
      <c r="B302" t="s">
        <v>513</v>
      </c>
      <c r="C302" t="s">
        <v>357</v>
      </c>
      <c r="D302" t="s">
        <v>227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35">
      <c r="A303" t="s">
        <v>512</v>
      </c>
      <c r="B303" t="s">
        <v>513</v>
      </c>
      <c r="C303" t="s">
        <v>525</v>
      </c>
      <c r="D303" t="s">
        <v>227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35">
      <c r="A304" t="s">
        <v>512</v>
      </c>
      <c r="B304" t="s">
        <v>513</v>
      </c>
      <c r="C304" t="s">
        <v>526</v>
      </c>
      <c r="D304" t="s">
        <v>227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35">
      <c r="A305" t="s">
        <v>512</v>
      </c>
      <c r="B305" t="s">
        <v>513</v>
      </c>
      <c r="C305" t="s">
        <v>527</v>
      </c>
      <c r="D305" t="s">
        <v>227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35">
      <c r="A306" t="s">
        <v>512</v>
      </c>
      <c r="B306" t="s">
        <v>513</v>
      </c>
      <c r="C306" t="s">
        <v>528</v>
      </c>
      <c r="D306" t="s">
        <v>227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35">
      <c r="A307" t="s">
        <v>512</v>
      </c>
      <c r="B307" t="s">
        <v>513</v>
      </c>
      <c r="C307" t="s">
        <v>529</v>
      </c>
      <c r="D307" t="s">
        <v>227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35">
      <c r="A308" t="s">
        <v>512</v>
      </c>
      <c r="B308" t="s">
        <v>513</v>
      </c>
      <c r="C308" t="s">
        <v>530</v>
      </c>
      <c r="D308" t="s">
        <v>227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35">
      <c r="A309" t="s">
        <v>512</v>
      </c>
      <c r="B309" t="s">
        <v>513</v>
      </c>
      <c r="C309" t="s">
        <v>531</v>
      </c>
      <c r="D309" t="s">
        <v>227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35">
      <c r="A310" t="s">
        <v>512</v>
      </c>
      <c r="B310" t="s">
        <v>513</v>
      </c>
      <c r="C310" t="s">
        <v>268</v>
      </c>
      <c r="D310" t="s">
        <v>227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35">
      <c r="A311" t="s">
        <v>512</v>
      </c>
      <c r="B311" t="s">
        <v>513</v>
      </c>
      <c r="C311" t="s">
        <v>272</v>
      </c>
      <c r="D311" t="s">
        <v>227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35">
      <c r="A312" t="s">
        <v>512</v>
      </c>
      <c r="B312" t="s">
        <v>513</v>
      </c>
      <c r="C312" t="s">
        <v>372</v>
      </c>
      <c r="D312" t="s">
        <v>227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35">
      <c r="A313" t="s">
        <v>512</v>
      </c>
      <c r="B313" t="s">
        <v>513</v>
      </c>
      <c r="C313" t="s">
        <v>532</v>
      </c>
      <c r="D313" t="s">
        <v>227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35">
      <c r="A314" t="s">
        <v>512</v>
      </c>
      <c r="B314" t="s">
        <v>513</v>
      </c>
      <c r="C314" t="s">
        <v>533</v>
      </c>
      <c r="D314" t="s">
        <v>227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35">
      <c r="A315" t="s">
        <v>512</v>
      </c>
      <c r="B315" t="s">
        <v>513</v>
      </c>
      <c r="C315" t="s">
        <v>534</v>
      </c>
      <c r="D315" t="s">
        <v>227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35">
      <c r="A316" t="s">
        <v>512</v>
      </c>
      <c r="B316" t="s">
        <v>513</v>
      </c>
      <c r="C316" t="s">
        <v>279</v>
      </c>
      <c r="D316" t="s">
        <v>227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35">
      <c r="A317" t="s">
        <v>512</v>
      </c>
      <c r="B317" t="s">
        <v>513</v>
      </c>
      <c r="C317" t="s">
        <v>535</v>
      </c>
      <c r="D317" t="s">
        <v>227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35">
      <c r="A318" t="s">
        <v>512</v>
      </c>
      <c r="B318" t="s">
        <v>513</v>
      </c>
      <c r="C318" t="s">
        <v>536</v>
      </c>
      <c r="D318" t="s">
        <v>227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35">
      <c r="A319" t="s">
        <v>512</v>
      </c>
      <c r="B319" t="s">
        <v>513</v>
      </c>
      <c r="C319" t="s">
        <v>537</v>
      </c>
      <c r="D319" t="s">
        <v>227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35">
      <c r="A320" t="s">
        <v>512</v>
      </c>
      <c r="B320" t="s">
        <v>513</v>
      </c>
      <c r="C320" t="s">
        <v>538</v>
      </c>
      <c r="D320" t="s">
        <v>227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35">
      <c r="A321" t="s">
        <v>512</v>
      </c>
      <c r="B321" t="s">
        <v>513</v>
      </c>
      <c r="C321" t="s">
        <v>539</v>
      </c>
      <c r="D321" t="s">
        <v>227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35">
      <c r="A322" t="s">
        <v>512</v>
      </c>
      <c r="B322" t="s">
        <v>513</v>
      </c>
      <c r="C322" t="s">
        <v>323</v>
      </c>
      <c r="D322" t="s">
        <v>227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35">
      <c r="A323" t="s">
        <v>512</v>
      </c>
      <c r="B323" t="s">
        <v>513</v>
      </c>
      <c r="C323" t="s">
        <v>287</v>
      </c>
      <c r="D323" t="s">
        <v>227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35">
      <c r="A324" t="s">
        <v>512</v>
      </c>
      <c r="B324" t="s">
        <v>513</v>
      </c>
      <c r="C324" t="s">
        <v>540</v>
      </c>
      <c r="D324" t="s">
        <v>227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35">
      <c r="A325" t="s">
        <v>541</v>
      </c>
      <c r="B325" t="s">
        <v>542</v>
      </c>
      <c r="C325" t="s">
        <v>543</v>
      </c>
      <c r="D325" t="s">
        <v>246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35">
      <c r="A326" t="s">
        <v>541</v>
      </c>
      <c r="B326" t="s">
        <v>542</v>
      </c>
      <c r="C326" t="s">
        <v>287</v>
      </c>
      <c r="D326" t="s">
        <v>246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35">
      <c r="A327" t="s">
        <v>541</v>
      </c>
      <c r="B327" t="s">
        <v>542</v>
      </c>
      <c r="C327" t="s">
        <v>289</v>
      </c>
      <c r="D327" t="s">
        <v>246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35">
      <c r="A328" t="s">
        <v>541</v>
      </c>
      <c r="B328" t="s">
        <v>542</v>
      </c>
      <c r="C328" t="s">
        <v>290</v>
      </c>
      <c r="D328" t="s">
        <v>227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35">
      <c r="A329" t="s">
        <v>541</v>
      </c>
      <c r="B329" t="s">
        <v>542</v>
      </c>
      <c r="C329" t="s">
        <v>544</v>
      </c>
      <c r="D329" t="s">
        <v>227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35">
      <c r="A330" t="s">
        <v>541</v>
      </c>
      <c r="B330" t="s">
        <v>542</v>
      </c>
      <c r="C330" t="s">
        <v>545</v>
      </c>
      <c r="D330" t="s">
        <v>246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35">
      <c r="A331" t="s">
        <v>541</v>
      </c>
      <c r="B331" t="s">
        <v>542</v>
      </c>
      <c r="C331" t="s">
        <v>546</v>
      </c>
      <c r="D331" t="s">
        <v>227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35">
      <c r="A332" t="s">
        <v>541</v>
      </c>
      <c r="B332" t="s">
        <v>542</v>
      </c>
      <c r="C332" t="s">
        <v>547</v>
      </c>
      <c r="D332" t="s">
        <v>227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35">
      <c r="A333" t="s">
        <v>541</v>
      </c>
      <c r="B333" t="s">
        <v>542</v>
      </c>
      <c r="C333" t="s">
        <v>548</v>
      </c>
      <c r="D333" t="s">
        <v>227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35">
      <c r="A334" t="s">
        <v>541</v>
      </c>
      <c r="B334" t="s">
        <v>542</v>
      </c>
      <c r="C334" t="s">
        <v>549</v>
      </c>
      <c r="D334" t="s">
        <v>227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35">
      <c r="A335" t="s">
        <v>541</v>
      </c>
      <c r="B335" t="s">
        <v>542</v>
      </c>
      <c r="C335" t="s">
        <v>550</v>
      </c>
      <c r="D335" t="s">
        <v>227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35">
      <c r="A336" t="s">
        <v>541</v>
      </c>
      <c r="B336" t="s">
        <v>542</v>
      </c>
      <c r="C336" t="s">
        <v>292</v>
      </c>
      <c r="D336" t="s">
        <v>246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35">
      <c r="A337" t="s">
        <v>541</v>
      </c>
      <c r="B337" t="s">
        <v>542</v>
      </c>
      <c r="C337" t="s">
        <v>293</v>
      </c>
      <c r="D337" t="s">
        <v>246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35">
      <c r="A338" t="s">
        <v>541</v>
      </c>
      <c r="B338" t="s">
        <v>542</v>
      </c>
      <c r="C338" t="s">
        <v>294</v>
      </c>
      <c r="D338" t="s">
        <v>227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35">
      <c r="A339" t="s">
        <v>541</v>
      </c>
      <c r="B339" t="s">
        <v>542</v>
      </c>
      <c r="C339" t="s">
        <v>551</v>
      </c>
      <c r="D339" t="s">
        <v>227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35">
      <c r="A340" t="s">
        <v>541</v>
      </c>
      <c r="B340" t="s">
        <v>542</v>
      </c>
      <c r="C340" t="s">
        <v>552</v>
      </c>
      <c r="D340" t="s">
        <v>227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35">
      <c r="A341" t="s">
        <v>541</v>
      </c>
      <c r="B341" t="s">
        <v>542</v>
      </c>
      <c r="C341" t="s">
        <v>553</v>
      </c>
      <c r="D341" t="s">
        <v>227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35">
      <c r="A342" t="s">
        <v>541</v>
      </c>
      <c r="B342" t="s">
        <v>542</v>
      </c>
      <c r="C342" t="s">
        <v>295</v>
      </c>
      <c r="D342" t="s">
        <v>246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35">
      <c r="A343" t="s">
        <v>541</v>
      </c>
      <c r="B343" t="s">
        <v>542</v>
      </c>
      <c r="C343" t="s">
        <v>554</v>
      </c>
      <c r="D343" t="s">
        <v>227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35">
      <c r="A344" t="s">
        <v>541</v>
      </c>
      <c r="B344" t="s">
        <v>542</v>
      </c>
      <c r="C344" t="s">
        <v>297</v>
      </c>
      <c r="D344" t="s">
        <v>227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35">
      <c r="A345" t="s">
        <v>541</v>
      </c>
      <c r="B345" t="s">
        <v>542</v>
      </c>
      <c r="C345" t="s">
        <v>335</v>
      </c>
      <c r="D345" t="s">
        <v>246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35">
      <c r="A346" t="s">
        <v>541</v>
      </c>
      <c r="B346" t="s">
        <v>542</v>
      </c>
      <c r="C346" t="s">
        <v>337</v>
      </c>
      <c r="D346" t="s">
        <v>246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35">
      <c r="A347" t="s">
        <v>541</v>
      </c>
      <c r="B347" t="s">
        <v>542</v>
      </c>
      <c r="C347" t="s">
        <v>555</v>
      </c>
      <c r="D347" t="s">
        <v>227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35">
      <c r="A348" t="s">
        <v>541</v>
      </c>
      <c r="B348" t="s">
        <v>542</v>
      </c>
      <c r="C348" t="s">
        <v>298</v>
      </c>
      <c r="D348" t="s">
        <v>246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35">
      <c r="A349" t="s">
        <v>541</v>
      </c>
      <c r="B349" t="s">
        <v>542</v>
      </c>
      <c r="C349" t="s">
        <v>556</v>
      </c>
      <c r="D349" t="s">
        <v>246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35">
      <c r="A350" t="s">
        <v>541</v>
      </c>
      <c r="B350" t="s">
        <v>542</v>
      </c>
      <c r="C350" t="s">
        <v>557</v>
      </c>
      <c r="D350" t="s">
        <v>227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35">
      <c r="A351" t="s">
        <v>541</v>
      </c>
      <c r="B351" t="s">
        <v>542</v>
      </c>
      <c r="C351" t="s">
        <v>338</v>
      </c>
      <c r="D351" t="s">
        <v>246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35">
      <c r="A352" t="s">
        <v>541</v>
      </c>
      <c r="B352" t="s">
        <v>542</v>
      </c>
      <c r="C352" t="s">
        <v>558</v>
      </c>
      <c r="D352" t="s">
        <v>227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35">
      <c r="A353" t="s">
        <v>541</v>
      </c>
      <c r="B353" t="s">
        <v>542</v>
      </c>
      <c r="C353" t="s">
        <v>559</v>
      </c>
      <c r="D353" t="s">
        <v>227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35">
      <c r="A354" t="s">
        <v>541</v>
      </c>
      <c r="B354" t="s">
        <v>542</v>
      </c>
      <c r="C354" t="s">
        <v>339</v>
      </c>
      <c r="D354" t="s">
        <v>227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35">
      <c r="A355" t="s">
        <v>541</v>
      </c>
      <c r="B355" t="s">
        <v>542</v>
      </c>
      <c r="C355" t="s">
        <v>300</v>
      </c>
      <c r="D355" t="s">
        <v>246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35">
      <c r="A356" t="s">
        <v>541</v>
      </c>
      <c r="B356" t="s">
        <v>542</v>
      </c>
      <c r="C356" t="s">
        <v>301</v>
      </c>
      <c r="D356" t="s">
        <v>246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35">
      <c r="A357" t="s">
        <v>541</v>
      </c>
      <c r="B357" t="s">
        <v>542</v>
      </c>
      <c r="C357" t="s">
        <v>560</v>
      </c>
      <c r="D357" t="s">
        <v>227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35">
      <c r="A358" t="s">
        <v>541</v>
      </c>
      <c r="B358" t="s">
        <v>542</v>
      </c>
      <c r="C358" t="s">
        <v>561</v>
      </c>
      <c r="D358" t="s">
        <v>227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35">
      <c r="A359" t="s">
        <v>541</v>
      </c>
      <c r="B359" t="s">
        <v>542</v>
      </c>
      <c r="C359" t="s">
        <v>562</v>
      </c>
      <c r="D359" t="s">
        <v>227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35">
      <c r="A360" t="s">
        <v>541</v>
      </c>
      <c r="B360" t="s">
        <v>542</v>
      </c>
      <c r="C360" t="s">
        <v>346</v>
      </c>
      <c r="D360" t="s">
        <v>246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35">
      <c r="A361" t="s">
        <v>541</v>
      </c>
      <c r="B361" t="s">
        <v>542</v>
      </c>
      <c r="C361" t="s">
        <v>563</v>
      </c>
      <c r="D361" t="s">
        <v>227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35">
      <c r="A362" t="s">
        <v>541</v>
      </c>
      <c r="B362" t="s">
        <v>542</v>
      </c>
      <c r="C362" t="s">
        <v>564</v>
      </c>
      <c r="D362" t="s">
        <v>246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35">
      <c r="A363" t="s">
        <v>541</v>
      </c>
      <c r="B363" t="s">
        <v>542</v>
      </c>
      <c r="C363" t="s">
        <v>496</v>
      </c>
      <c r="D363" t="s">
        <v>227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35">
      <c r="A364" t="s">
        <v>541</v>
      </c>
      <c r="B364" t="s">
        <v>542</v>
      </c>
      <c r="C364" t="s">
        <v>307</v>
      </c>
      <c r="D364" t="s">
        <v>246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35">
      <c r="A365" t="s">
        <v>541</v>
      </c>
      <c r="B365" t="s">
        <v>542</v>
      </c>
      <c r="C365" t="s">
        <v>497</v>
      </c>
      <c r="D365" t="s">
        <v>246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35">
      <c r="A366" t="s">
        <v>541</v>
      </c>
      <c r="B366" t="s">
        <v>542</v>
      </c>
      <c r="C366" t="s">
        <v>348</v>
      </c>
      <c r="D366" t="s">
        <v>246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35">
      <c r="A367" t="s">
        <v>541</v>
      </c>
      <c r="B367" t="s">
        <v>542</v>
      </c>
      <c r="C367" t="s">
        <v>565</v>
      </c>
      <c r="D367" t="s">
        <v>227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35">
      <c r="A368" t="s">
        <v>541</v>
      </c>
      <c r="B368" t="s">
        <v>542</v>
      </c>
      <c r="C368" t="s">
        <v>566</v>
      </c>
      <c r="D368" t="s">
        <v>227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35">
      <c r="A369" t="s">
        <v>541</v>
      </c>
      <c r="B369" t="s">
        <v>542</v>
      </c>
      <c r="C369" t="s">
        <v>567</v>
      </c>
      <c r="D369" t="s">
        <v>246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35">
      <c r="A370" t="s">
        <v>541</v>
      </c>
      <c r="B370" t="s">
        <v>542</v>
      </c>
      <c r="C370" t="s">
        <v>568</v>
      </c>
      <c r="D370" t="s">
        <v>227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35">
      <c r="A371" t="s">
        <v>541</v>
      </c>
      <c r="B371" t="s">
        <v>542</v>
      </c>
      <c r="C371" t="s">
        <v>569</v>
      </c>
      <c r="D371" t="s">
        <v>227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35">
      <c r="A372" t="s">
        <v>570</v>
      </c>
      <c r="B372" t="s">
        <v>571</v>
      </c>
      <c r="C372" t="s">
        <v>515</v>
      </c>
      <c r="D372" t="s">
        <v>227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35">
      <c r="A373" t="s">
        <v>570</v>
      </c>
      <c r="B373" t="s">
        <v>571</v>
      </c>
      <c r="C373" t="s">
        <v>572</v>
      </c>
      <c r="D373" t="s">
        <v>227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35">
      <c r="A374" t="s">
        <v>570</v>
      </c>
      <c r="B374" t="s">
        <v>571</v>
      </c>
      <c r="C374" t="s">
        <v>573</v>
      </c>
      <c r="D374" t="s">
        <v>227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35">
      <c r="A375" t="s">
        <v>570</v>
      </c>
      <c r="B375" t="s">
        <v>571</v>
      </c>
      <c r="C375" t="s">
        <v>574</v>
      </c>
      <c r="D375" t="s">
        <v>227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35">
      <c r="A376" t="s">
        <v>570</v>
      </c>
      <c r="B376" t="s">
        <v>571</v>
      </c>
      <c r="C376" t="s">
        <v>575</v>
      </c>
      <c r="D376" t="s">
        <v>227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35">
      <c r="A377" t="s">
        <v>570</v>
      </c>
      <c r="B377" t="s">
        <v>571</v>
      </c>
      <c r="C377" t="s">
        <v>576</v>
      </c>
      <c r="D377" t="s">
        <v>227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35">
      <c r="A378" t="s">
        <v>570</v>
      </c>
      <c r="B378" t="s">
        <v>571</v>
      </c>
      <c r="C378" t="s">
        <v>577</v>
      </c>
      <c r="D378" t="s">
        <v>246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35">
      <c r="A379" t="s">
        <v>570</v>
      </c>
      <c r="B379" t="s">
        <v>571</v>
      </c>
      <c r="C379" t="s">
        <v>446</v>
      </c>
      <c r="D379" t="s">
        <v>227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35">
      <c r="A380" t="s">
        <v>570</v>
      </c>
      <c r="B380" t="s">
        <v>571</v>
      </c>
      <c r="C380" t="s">
        <v>578</v>
      </c>
      <c r="D380" t="s">
        <v>227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35">
      <c r="A381" t="s">
        <v>570</v>
      </c>
      <c r="B381" t="s">
        <v>571</v>
      </c>
      <c r="C381" t="s">
        <v>529</v>
      </c>
      <c r="D381" t="s">
        <v>246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35">
      <c r="A382" t="s">
        <v>570</v>
      </c>
      <c r="B382" t="s">
        <v>571</v>
      </c>
      <c r="C382" t="s">
        <v>256</v>
      </c>
      <c r="D382" t="s">
        <v>227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35">
      <c r="A383" t="s">
        <v>570</v>
      </c>
      <c r="B383" t="s">
        <v>571</v>
      </c>
      <c r="C383" t="s">
        <v>579</v>
      </c>
      <c r="D383" t="s">
        <v>227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35">
      <c r="A384" t="s">
        <v>570</v>
      </c>
      <c r="B384" t="s">
        <v>571</v>
      </c>
      <c r="C384" t="s">
        <v>459</v>
      </c>
      <c r="D384" t="s">
        <v>246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35">
      <c r="A385" t="s">
        <v>570</v>
      </c>
      <c r="B385" t="s">
        <v>571</v>
      </c>
      <c r="C385" t="s">
        <v>580</v>
      </c>
      <c r="D385" t="s">
        <v>246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35">
      <c r="A386" t="s">
        <v>570</v>
      </c>
      <c r="B386" t="s">
        <v>571</v>
      </c>
      <c r="C386" t="s">
        <v>581</v>
      </c>
      <c r="D386" t="s">
        <v>227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35">
      <c r="A387" t="s">
        <v>570</v>
      </c>
      <c r="B387" t="s">
        <v>571</v>
      </c>
      <c r="C387" t="s">
        <v>582</v>
      </c>
      <c r="D387" t="s">
        <v>246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35">
      <c r="A388" t="s">
        <v>570</v>
      </c>
      <c r="B388" t="s">
        <v>571</v>
      </c>
      <c r="C388" t="s">
        <v>463</v>
      </c>
      <c r="D388" t="s">
        <v>227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35">
      <c r="A389" t="s">
        <v>570</v>
      </c>
      <c r="B389" t="s">
        <v>571</v>
      </c>
      <c r="C389" t="s">
        <v>583</v>
      </c>
      <c r="D389" t="s">
        <v>227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35">
      <c r="A390" t="s">
        <v>570</v>
      </c>
      <c r="B390" t="s">
        <v>571</v>
      </c>
      <c r="C390" t="s">
        <v>584</v>
      </c>
      <c r="D390" t="s">
        <v>227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35">
      <c r="A391" t="s">
        <v>570</v>
      </c>
      <c r="B391" t="s">
        <v>571</v>
      </c>
      <c r="C391" t="s">
        <v>564</v>
      </c>
      <c r="D391" t="s">
        <v>227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35">
      <c r="A392" t="s">
        <v>570</v>
      </c>
      <c r="B392" t="s">
        <v>571</v>
      </c>
      <c r="C392" t="s">
        <v>496</v>
      </c>
      <c r="D392" t="s">
        <v>227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35">
      <c r="A393" t="s">
        <v>570</v>
      </c>
      <c r="B393" t="s">
        <v>571</v>
      </c>
      <c r="C393" t="s">
        <v>585</v>
      </c>
      <c r="D393" t="s">
        <v>246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35">
      <c r="A394" t="s">
        <v>570</v>
      </c>
      <c r="B394" t="s">
        <v>571</v>
      </c>
      <c r="C394" t="s">
        <v>307</v>
      </c>
      <c r="D394" t="s">
        <v>246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35">
      <c r="A395" t="s">
        <v>570</v>
      </c>
      <c r="B395" t="s">
        <v>571</v>
      </c>
      <c r="C395" t="s">
        <v>497</v>
      </c>
      <c r="D395" t="s">
        <v>227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35">
      <c r="A396" t="s">
        <v>570</v>
      </c>
      <c r="B396" t="s">
        <v>571</v>
      </c>
      <c r="C396" t="s">
        <v>586</v>
      </c>
      <c r="D396" t="s">
        <v>227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35">
      <c r="A397" t="s">
        <v>570</v>
      </c>
      <c r="B397" t="s">
        <v>571</v>
      </c>
      <c r="C397" t="s">
        <v>348</v>
      </c>
      <c r="D397" t="s">
        <v>227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35">
      <c r="A398" t="s">
        <v>570</v>
      </c>
      <c r="B398" t="s">
        <v>571</v>
      </c>
      <c r="C398" t="s">
        <v>587</v>
      </c>
      <c r="D398" t="s">
        <v>227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35">
      <c r="A399" t="s">
        <v>588</v>
      </c>
      <c r="B399" t="s">
        <v>589</v>
      </c>
      <c r="C399" t="s">
        <v>590</v>
      </c>
      <c r="D399" t="s">
        <v>227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35">
      <c r="A400" t="s">
        <v>588</v>
      </c>
      <c r="B400" t="s">
        <v>589</v>
      </c>
      <c r="C400" t="s">
        <v>515</v>
      </c>
      <c r="D400" t="s">
        <v>227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35">
      <c r="A401" t="s">
        <v>588</v>
      </c>
      <c r="B401" t="s">
        <v>589</v>
      </c>
      <c r="C401" t="s">
        <v>591</v>
      </c>
      <c r="D401" t="s">
        <v>227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35">
      <c r="A402" t="s">
        <v>588</v>
      </c>
      <c r="B402" t="s">
        <v>589</v>
      </c>
      <c r="C402" t="s">
        <v>592</v>
      </c>
      <c r="D402" t="s">
        <v>227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35">
      <c r="A403" t="s">
        <v>588</v>
      </c>
      <c r="B403" t="s">
        <v>589</v>
      </c>
      <c r="C403" t="s">
        <v>593</v>
      </c>
      <c r="D403" t="s">
        <v>227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35">
      <c r="A404" t="s">
        <v>588</v>
      </c>
      <c r="B404" t="s">
        <v>589</v>
      </c>
      <c r="C404" t="s">
        <v>574</v>
      </c>
      <c r="D404" t="s">
        <v>227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35">
      <c r="A405" t="s">
        <v>588</v>
      </c>
      <c r="B405" t="s">
        <v>589</v>
      </c>
      <c r="C405" t="s">
        <v>594</v>
      </c>
      <c r="D405" t="s">
        <v>227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35">
      <c r="A406" t="s">
        <v>588</v>
      </c>
      <c r="B406" t="s">
        <v>589</v>
      </c>
      <c r="C406" t="s">
        <v>576</v>
      </c>
      <c r="D406" t="s">
        <v>227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35">
      <c r="A407" t="s">
        <v>588</v>
      </c>
      <c r="B407" t="s">
        <v>589</v>
      </c>
      <c r="C407" t="s">
        <v>595</v>
      </c>
      <c r="D407" t="s">
        <v>227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35">
      <c r="A408" t="s">
        <v>588</v>
      </c>
      <c r="B408" t="s">
        <v>589</v>
      </c>
      <c r="C408" t="s">
        <v>596</v>
      </c>
      <c r="D408" t="s">
        <v>227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35">
      <c r="A409" t="s">
        <v>588</v>
      </c>
      <c r="B409" t="s">
        <v>589</v>
      </c>
      <c r="C409" t="s">
        <v>597</v>
      </c>
      <c r="D409" t="s">
        <v>227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35">
      <c r="A410" t="s">
        <v>588</v>
      </c>
      <c r="B410" t="s">
        <v>589</v>
      </c>
      <c r="C410" t="s">
        <v>249</v>
      </c>
      <c r="D410" t="s">
        <v>227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35">
      <c r="A411" t="s">
        <v>588</v>
      </c>
      <c r="B411" t="s">
        <v>589</v>
      </c>
      <c r="C411" t="s">
        <v>250</v>
      </c>
      <c r="D411" t="s">
        <v>227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35">
      <c r="A412" t="s">
        <v>588</v>
      </c>
      <c r="B412" t="s">
        <v>589</v>
      </c>
      <c r="C412" t="s">
        <v>446</v>
      </c>
      <c r="D412" t="s">
        <v>227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35">
      <c r="A413" t="s">
        <v>588</v>
      </c>
      <c r="B413" t="s">
        <v>589</v>
      </c>
      <c r="C413" t="s">
        <v>578</v>
      </c>
      <c r="D413" t="s">
        <v>227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35">
      <c r="A414" t="s">
        <v>588</v>
      </c>
      <c r="B414" t="s">
        <v>589</v>
      </c>
      <c r="C414" t="s">
        <v>598</v>
      </c>
      <c r="D414" t="s">
        <v>227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35">
      <c r="A415" t="s">
        <v>588</v>
      </c>
      <c r="B415" t="s">
        <v>589</v>
      </c>
      <c r="C415" t="s">
        <v>599</v>
      </c>
      <c r="D415" t="s">
        <v>227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35">
      <c r="A416" t="s">
        <v>588</v>
      </c>
      <c r="B416" t="s">
        <v>589</v>
      </c>
      <c r="C416" t="s">
        <v>252</v>
      </c>
      <c r="D416" t="s">
        <v>227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35">
      <c r="A417" t="s">
        <v>588</v>
      </c>
      <c r="B417" t="s">
        <v>589</v>
      </c>
      <c r="C417" t="s">
        <v>600</v>
      </c>
      <c r="D417" t="s">
        <v>227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35">
      <c r="A418" t="s">
        <v>588</v>
      </c>
      <c r="B418" t="s">
        <v>589</v>
      </c>
      <c r="C418" t="s">
        <v>255</v>
      </c>
      <c r="D418" t="s">
        <v>227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35">
      <c r="A419" t="s">
        <v>588</v>
      </c>
      <c r="B419" t="s">
        <v>589</v>
      </c>
      <c r="C419" t="s">
        <v>256</v>
      </c>
      <c r="D419" t="s">
        <v>227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35">
      <c r="A420" t="s">
        <v>588</v>
      </c>
      <c r="B420" t="s">
        <v>589</v>
      </c>
      <c r="C420" t="s">
        <v>452</v>
      </c>
      <c r="D420" t="s">
        <v>227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35">
      <c r="A421" t="s">
        <v>588</v>
      </c>
      <c r="B421" t="s">
        <v>589</v>
      </c>
      <c r="C421" t="s">
        <v>579</v>
      </c>
      <c r="D421" t="s">
        <v>227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35">
      <c r="A422" t="s">
        <v>588</v>
      </c>
      <c r="B422" t="s">
        <v>589</v>
      </c>
      <c r="C422" t="s">
        <v>459</v>
      </c>
      <c r="D422" t="s">
        <v>227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35">
      <c r="A423" t="s">
        <v>588</v>
      </c>
      <c r="B423" t="s">
        <v>589</v>
      </c>
      <c r="C423" t="s">
        <v>266</v>
      </c>
      <c r="D423" t="s">
        <v>227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35">
      <c r="A424" t="s">
        <v>588</v>
      </c>
      <c r="B424" t="s">
        <v>589</v>
      </c>
      <c r="C424" t="s">
        <v>601</v>
      </c>
      <c r="D424" t="s">
        <v>227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35">
      <c r="A425" t="s">
        <v>588</v>
      </c>
      <c r="B425" t="s">
        <v>589</v>
      </c>
      <c r="C425" t="s">
        <v>463</v>
      </c>
      <c r="D425" t="s">
        <v>227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35">
      <c r="A426" t="s">
        <v>588</v>
      </c>
      <c r="B426" t="s">
        <v>589</v>
      </c>
      <c r="C426" t="s">
        <v>583</v>
      </c>
      <c r="D426" t="s">
        <v>227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35">
      <c r="A427" t="s">
        <v>588</v>
      </c>
      <c r="B427" t="s">
        <v>589</v>
      </c>
      <c r="C427" t="s">
        <v>602</v>
      </c>
      <c r="D427" t="s">
        <v>227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35">
      <c r="A428" t="s">
        <v>588</v>
      </c>
      <c r="B428" t="s">
        <v>589</v>
      </c>
      <c r="C428" t="s">
        <v>603</v>
      </c>
      <c r="D428" t="s">
        <v>227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35">
      <c r="A429" t="s">
        <v>588</v>
      </c>
      <c r="B429" t="s">
        <v>589</v>
      </c>
      <c r="C429" t="s">
        <v>604</v>
      </c>
      <c r="D429" t="s">
        <v>227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35">
      <c r="A430" t="s">
        <v>588</v>
      </c>
      <c r="B430" t="s">
        <v>589</v>
      </c>
      <c r="C430" t="s">
        <v>605</v>
      </c>
      <c r="D430" t="s">
        <v>227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35">
      <c r="A431" t="s">
        <v>588</v>
      </c>
      <c r="B431" t="s">
        <v>589</v>
      </c>
      <c r="C431" t="s">
        <v>271</v>
      </c>
      <c r="D431" t="s">
        <v>227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35">
      <c r="A432" t="s">
        <v>588</v>
      </c>
      <c r="B432" t="s">
        <v>589</v>
      </c>
      <c r="C432" t="s">
        <v>473</v>
      </c>
      <c r="D432" t="s">
        <v>227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35">
      <c r="A433" t="s">
        <v>588</v>
      </c>
      <c r="B433" t="s">
        <v>589</v>
      </c>
      <c r="C433" t="s">
        <v>272</v>
      </c>
      <c r="D433" t="s">
        <v>227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35">
      <c r="A434" t="s">
        <v>588</v>
      </c>
      <c r="B434" t="s">
        <v>589</v>
      </c>
      <c r="C434" t="s">
        <v>372</v>
      </c>
      <c r="D434" t="s">
        <v>227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35">
      <c r="A435" t="s">
        <v>588</v>
      </c>
      <c r="B435" t="s">
        <v>589</v>
      </c>
      <c r="C435" t="s">
        <v>274</v>
      </c>
      <c r="D435" t="s">
        <v>227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35">
      <c r="A436" t="s">
        <v>588</v>
      </c>
      <c r="B436" t="s">
        <v>589</v>
      </c>
      <c r="C436" t="s">
        <v>606</v>
      </c>
      <c r="D436" t="s">
        <v>227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35">
      <c r="A437" t="s">
        <v>588</v>
      </c>
      <c r="B437" t="s">
        <v>589</v>
      </c>
      <c r="C437" t="s">
        <v>607</v>
      </c>
      <c r="D437" t="s">
        <v>227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35">
      <c r="A438" t="s">
        <v>588</v>
      </c>
      <c r="B438" t="s">
        <v>589</v>
      </c>
      <c r="C438" t="s">
        <v>608</v>
      </c>
      <c r="D438" t="s">
        <v>227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35">
      <c r="A439" t="s">
        <v>588</v>
      </c>
      <c r="B439" t="s">
        <v>589</v>
      </c>
      <c r="C439" t="s">
        <v>609</v>
      </c>
      <c r="D439" t="s">
        <v>227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35">
      <c r="A440" t="s">
        <v>588</v>
      </c>
      <c r="B440" t="s">
        <v>589</v>
      </c>
      <c r="C440" t="s">
        <v>610</v>
      </c>
      <c r="D440" t="s">
        <v>227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35">
      <c r="A441" t="s">
        <v>588</v>
      </c>
      <c r="B441" t="s">
        <v>589</v>
      </c>
      <c r="C441" t="s">
        <v>611</v>
      </c>
      <c r="D441" t="s">
        <v>227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35">
      <c r="A442" t="s">
        <v>588</v>
      </c>
      <c r="B442" t="s">
        <v>589</v>
      </c>
      <c r="C442" t="s">
        <v>276</v>
      </c>
      <c r="D442" t="s">
        <v>227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35">
      <c r="A443" t="s">
        <v>588</v>
      </c>
      <c r="B443" t="s">
        <v>589</v>
      </c>
      <c r="C443" t="s">
        <v>318</v>
      </c>
      <c r="D443" t="s">
        <v>227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35">
      <c r="A444" t="s">
        <v>588</v>
      </c>
      <c r="B444" t="s">
        <v>589</v>
      </c>
      <c r="C444" t="s">
        <v>612</v>
      </c>
      <c r="D444" t="s">
        <v>227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35">
      <c r="A445" t="s">
        <v>588</v>
      </c>
      <c r="B445" t="s">
        <v>589</v>
      </c>
      <c r="C445" t="s">
        <v>613</v>
      </c>
      <c r="D445" t="s">
        <v>227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35">
      <c r="A446" t="s">
        <v>588</v>
      </c>
      <c r="B446" t="s">
        <v>589</v>
      </c>
      <c r="C446" t="s">
        <v>614</v>
      </c>
      <c r="D446" t="s">
        <v>227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35">
      <c r="A447" t="s">
        <v>588</v>
      </c>
      <c r="B447" t="s">
        <v>589</v>
      </c>
      <c r="C447" t="s">
        <v>278</v>
      </c>
      <c r="D447" t="s">
        <v>227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35">
      <c r="A448" t="s">
        <v>588</v>
      </c>
      <c r="B448" t="s">
        <v>589</v>
      </c>
      <c r="C448" t="s">
        <v>615</v>
      </c>
      <c r="D448" t="s">
        <v>227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35">
      <c r="A449" t="s">
        <v>588</v>
      </c>
      <c r="B449" t="s">
        <v>589</v>
      </c>
      <c r="C449" t="s">
        <v>279</v>
      </c>
      <c r="D449" t="s">
        <v>227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35">
      <c r="A450" t="s">
        <v>588</v>
      </c>
      <c r="B450" t="s">
        <v>589</v>
      </c>
      <c r="C450" t="s">
        <v>321</v>
      </c>
      <c r="D450" t="s">
        <v>227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35">
      <c r="A451" t="s">
        <v>588</v>
      </c>
      <c r="B451" t="s">
        <v>589</v>
      </c>
      <c r="C451" t="s">
        <v>616</v>
      </c>
      <c r="D451" t="s">
        <v>227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35">
      <c r="A452" t="s">
        <v>588</v>
      </c>
      <c r="B452" t="s">
        <v>589</v>
      </c>
      <c r="C452" t="s">
        <v>617</v>
      </c>
      <c r="D452" t="s">
        <v>227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35">
      <c r="A453" t="s">
        <v>588</v>
      </c>
      <c r="B453" t="s">
        <v>589</v>
      </c>
      <c r="C453" t="s">
        <v>618</v>
      </c>
      <c r="D453" t="s">
        <v>227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35">
      <c r="A454" t="s">
        <v>588</v>
      </c>
      <c r="B454" t="s">
        <v>589</v>
      </c>
      <c r="C454" t="s">
        <v>283</v>
      </c>
      <c r="D454" t="s">
        <v>227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35">
      <c r="A455" t="s">
        <v>619</v>
      </c>
      <c r="B455" t="s">
        <v>620</v>
      </c>
      <c r="C455" t="s">
        <v>368</v>
      </c>
      <c r="D455" t="s">
        <v>246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35">
      <c r="A456" t="s">
        <v>619</v>
      </c>
      <c r="B456" t="s">
        <v>620</v>
      </c>
      <c r="C456" t="s">
        <v>621</v>
      </c>
      <c r="D456" t="s">
        <v>246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35">
      <c r="A457" t="s">
        <v>619</v>
      </c>
      <c r="B457" t="s">
        <v>620</v>
      </c>
      <c r="C457" t="s">
        <v>622</v>
      </c>
      <c r="D457" t="s">
        <v>246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35">
      <c r="A458" t="s">
        <v>619</v>
      </c>
      <c r="B458" t="s">
        <v>620</v>
      </c>
      <c r="C458" t="s">
        <v>623</v>
      </c>
      <c r="D458" t="s">
        <v>227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35">
      <c r="A459" t="s">
        <v>619</v>
      </c>
      <c r="B459" t="s">
        <v>620</v>
      </c>
      <c r="C459" t="s">
        <v>624</v>
      </c>
      <c r="D459" t="s">
        <v>246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35">
      <c r="A460" t="s">
        <v>619</v>
      </c>
      <c r="B460" t="s">
        <v>620</v>
      </c>
      <c r="C460" t="s">
        <v>625</v>
      </c>
      <c r="D460" t="s">
        <v>246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35">
      <c r="A461" t="s">
        <v>619</v>
      </c>
      <c r="B461" t="s">
        <v>620</v>
      </c>
      <c r="C461" t="s">
        <v>626</v>
      </c>
      <c r="D461" t="s">
        <v>246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35">
      <c r="A462" t="s">
        <v>619</v>
      </c>
      <c r="B462" t="s">
        <v>620</v>
      </c>
      <c r="C462" t="s">
        <v>272</v>
      </c>
      <c r="D462" t="s">
        <v>246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35">
      <c r="A463" t="s">
        <v>619</v>
      </c>
      <c r="B463" t="s">
        <v>620</v>
      </c>
      <c r="C463" t="s">
        <v>627</v>
      </c>
      <c r="D463" t="s">
        <v>246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35">
      <c r="A464" t="s">
        <v>619</v>
      </c>
      <c r="B464" t="s">
        <v>620</v>
      </c>
      <c r="C464" t="s">
        <v>628</v>
      </c>
      <c r="D464" t="s">
        <v>227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35">
      <c r="A465" t="s">
        <v>619</v>
      </c>
      <c r="B465" t="s">
        <v>620</v>
      </c>
      <c r="C465" t="s">
        <v>629</v>
      </c>
      <c r="D465" t="s">
        <v>227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35">
      <c r="A466" t="s">
        <v>619</v>
      </c>
      <c r="B466" t="s">
        <v>620</v>
      </c>
      <c r="C466" t="s">
        <v>315</v>
      </c>
      <c r="D466" t="s">
        <v>246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35">
      <c r="A467" t="s">
        <v>619</v>
      </c>
      <c r="B467" t="s">
        <v>620</v>
      </c>
      <c r="C467" t="s">
        <v>630</v>
      </c>
      <c r="D467" t="s">
        <v>246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35">
      <c r="A468" t="s">
        <v>619</v>
      </c>
      <c r="B468" t="s">
        <v>620</v>
      </c>
      <c r="C468" t="s">
        <v>631</v>
      </c>
      <c r="D468" t="s">
        <v>227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35">
      <c r="A469" t="s">
        <v>619</v>
      </c>
      <c r="B469" t="s">
        <v>620</v>
      </c>
      <c r="C469" t="s">
        <v>632</v>
      </c>
      <c r="D469" t="s">
        <v>246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35">
      <c r="A470" t="s">
        <v>619</v>
      </c>
      <c r="B470" t="s">
        <v>620</v>
      </c>
      <c r="C470" t="s">
        <v>608</v>
      </c>
      <c r="D470" t="s">
        <v>227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35">
      <c r="A471" t="s">
        <v>619</v>
      </c>
      <c r="B471" t="s">
        <v>620</v>
      </c>
      <c r="C471" t="s">
        <v>633</v>
      </c>
      <c r="D471" t="s">
        <v>246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35">
      <c r="A472" t="s">
        <v>619</v>
      </c>
      <c r="B472" t="s">
        <v>620</v>
      </c>
      <c r="C472" t="s">
        <v>634</v>
      </c>
      <c r="D472" t="s">
        <v>246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35">
      <c r="A473" t="s">
        <v>619</v>
      </c>
      <c r="B473" t="s">
        <v>620</v>
      </c>
      <c r="C473" t="s">
        <v>635</v>
      </c>
      <c r="D473" t="s">
        <v>246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35">
      <c r="A474" t="s">
        <v>619</v>
      </c>
      <c r="B474" t="s">
        <v>620</v>
      </c>
      <c r="C474" t="s">
        <v>636</v>
      </c>
      <c r="D474" t="s">
        <v>246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35">
      <c r="A475" t="s">
        <v>619</v>
      </c>
      <c r="B475" t="s">
        <v>620</v>
      </c>
      <c r="C475" t="s">
        <v>278</v>
      </c>
      <c r="D475" t="s">
        <v>246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35">
      <c r="A476" t="s">
        <v>619</v>
      </c>
      <c r="B476" t="s">
        <v>620</v>
      </c>
      <c r="C476" t="s">
        <v>279</v>
      </c>
      <c r="D476" t="s">
        <v>246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35">
      <c r="A477" t="s">
        <v>619</v>
      </c>
      <c r="B477" t="s">
        <v>620</v>
      </c>
      <c r="C477" t="s">
        <v>637</v>
      </c>
      <c r="D477" t="s">
        <v>227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35">
      <c r="A478" t="s">
        <v>619</v>
      </c>
      <c r="B478" t="s">
        <v>620</v>
      </c>
      <c r="C478" t="s">
        <v>321</v>
      </c>
      <c r="D478" t="s">
        <v>246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35">
      <c r="A479" t="s">
        <v>619</v>
      </c>
      <c r="B479" t="s">
        <v>620</v>
      </c>
      <c r="C479" t="s">
        <v>638</v>
      </c>
      <c r="D479" t="s">
        <v>246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35">
      <c r="A480" t="s">
        <v>619</v>
      </c>
      <c r="B480" t="s">
        <v>620</v>
      </c>
      <c r="C480" t="s">
        <v>639</v>
      </c>
      <c r="D480" t="s">
        <v>246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35">
      <c r="A481" t="s">
        <v>619</v>
      </c>
      <c r="B481" t="s">
        <v>620</v>
      </c>
      <c r="C481" t="s">
        <v>379</v>
      </c>
      <c r="D481" t="s">
        <v>246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35">
      <c r="A482" t="s">
        <v>619</v>
      </c>
      <c r="B482" t="s">
        <v>620</v>
      </c>
      <c r="C482" t="s">
        <v>640</v>
      </c>
      <c r="D482" t="s">
        <v>246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35">
      <c r="A483" t="s">
        <v>619</v>
      </c>
      <c r="B483" t="s">
        <v>620</v>
      </c>
      <c r="C483" t="s">
        <v>641</v>
      </c>
      <c r="D483" t="s">
        <v>227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35">
      <c r="A484" t="s">
        <v>619</v>
      </c>
      <c r="B484" t="s">
        <v>620</v>
      </c>
      <c r="C484" t="s">
        <v>642</v>
      </c>
      <c r="D484" t="s">
        <v>246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35">
      <c r="A485" t="s">
        <v>619</v>
      </c>
      <c r="B485" t="s">
        <v>620</v>
      </c>
      <c r="C485" t="s">
        <v>323</v>
      </c>
      <c r="D485" t="s">
        <v>246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35">
      <c r="A486" t="s">
        <v>619</v>
      </c>
      <c r="B486" t="s">
        <v>620</v>
      </c>
      <c r="C486" t="s">
        <v>643</v>
      </c>
      <c r="D486" t="s">
        <v>246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35">
      <c r="A487" t="s">
        <v>619</v>
      </c>
      <c r="B487" t="s">
        <v>620</v>
      </c>
      <c r="C487" t="s">
        <v>325</v>
      </c>
      <c r="D487" t="s">
        <v>227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35">
      <c r="A488" t="s">
        <v>619</v>
      </c>
      <c r="B488" t="s">
        <v>620</v>
      </c>
      <c r="C488" t="s">
        <v>644</v>
      </c>
      <c r="D488" t="s">
        <v>246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35">
      <c r="A489" t="s">
        <v>619</v>
      </c>
      <c r="B489" t="s">
        <v>620</v>
      </c>
      <c r="C489" t="s">
        <v>289</v>
      </c>
      <c r="D489" t="s">
        <v>246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35">
      <c r="A490" t="s">
        <v>619</v>
      </c>
      <c r="B490" t="s">
        <v>620</v>
      </c>
      <c r="C490" t="s">
        <v>290</v>
      </c>
      <c r="D490" t="s">
        <v>246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35">
      <c r="A491" t="s">
        <v>619</v>
      </c>
      <c r="B491" t="s">
        <v>620</v>
      </c>
      <c r="C491" t="s">
        <v>645</v>
      </c>
      <c r="D491" t="s">
        <v>246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35">
      <c r="A492" t="s">
        <v>619</v>
      </c>
      <c r="B492" t="s">
        <v>620</v>
      </c>
      <c r="C492" t="s">
        <v>646</v>
      </c>
      <c r="D492" t="s">
        <v>246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35">
      <c r="A493" t="s">
        <v>619</v>
      </c>
      <c r="B493" t="s">
        <v>620</v>
      </c>
      <c r="C493" t="s">
        <v>647</v>
      </c>
      <c r="D493" t="s">
        <v>246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35">
      <c r="A494" t="s">
        <v>619</v>
      </c>
      <c r="B494" t="s">
        <v>620</v>
      </c>
      <c r="C494" t="s">
        <v>648</v>
      </c>
      <c r="D494" t="s">
        <v>227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35">
      <c r="A495" t="s">
        <v>619</v>
      </c>
      <c r="B495" t="s">
        <v>620</v>
      </c>
      <c r="C495" t="s">
        <v>293</v>
      </c>
      <c r="D495" t="s">
        <v>246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35">
      <c r="A496" t="s">
        <v>619</v>
      </c>
      <c r="B496" t="s">
        <v>620</v>
      </c>
      <c r="C496" t="s">
        <v>649</v>
      </c>
      <c r="D496" t="s">
        <v>246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35">
      <c r="A497" t="s">
        <v>619</v>
      </c>
      <c r="B497" t="s">
        <v>620</v>
      </c>
      <c r="C497" t="s">
        <v>650</v>
      </c>
      <c r="D497" t="s">
        <v>246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35">
      <c r="A498" t="s">
        <v>619</v>
      </c>
      <c r="B498" t="s">
        <v>620</v>
      </c>
      <c r="C498" t="s">
        <v>651</v>
      </c>
      <c r="D498" t="s">
        <v>246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35">
      <c r="A499" t="s">
        <v>619</v>
      </c>
      <c r="B499" t="s">
        <v>620</v>
      </c>
      <c r="C499" t="s">
        <v>652</v>
      </c>
      <c r="D499" t="s">
        <v>246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35">
      <c r="A500" t="s">
        <v>619</v>
      </c>
      <c r="B500" t="s">
        <v>620</v>
      </c>
      <c r="C500" t="s">
        <v>653</v>
      </c>
      <c r="D500" t="s">
        <v>227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35">
      <c r="A501" t="s">
        <v>619</v>
      </c>
      <c r="B501" t="s">
        <v>620</v>
      </c>
      <c r="C501" t="s">
        <v>654</v>
      </c>
      <c r="D501" t="s">
        <v>227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35">
      <c r="A502" t="s">
        <v>619</v>
      </c>
      <c r="B502" t="s">
        <v>620</v>
      </c>
      <c r="C502" t="s">
        <v>655</v>
      </c>
      <c r="D502" t="s">
        <v>246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35">
      <c r="A503" t="s">
        <v>619</v>
      </c>
      <c r="B503" t="s">
        <v>620</v>
      </c>
      <c r="C503" t="s">
        <v>656</v>
      </c>
      <c r="D503" t="s">
        <v>227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35">
      <c r="A504" t="s">
        <v>619</v>
      </c>
      <c r="B504" t="s">
        <v>620</v>
      </c>
      <c r="C504" t="s">
        <v>657</v>
      </c>
      <c r="D504" t="s">
        <v>246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35">
      <c r="A505" t="s">
        <v>619</v>
      </c>
      <c r="B505" t="s">
        <v>620</v>
      </c>
      <c r="C505" t="s">
        <v>658</v>
      </c>
      <c r="D505" t="s">
        <v>246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35">
      <c r="A506" t="s">
        <v>619</v>
      </c>
      <c r="B506" t="s">
        <v>620</v>
      </c>
      <c r="C506" t="s">
        <v>332</v>
      </c>
      <c r="D506" t="s">
        <v>227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35">
      <c r="A507" t="s">
        <v>619</v>
      </c>
      <c r="B507" t="s">
        <v>620</v>
      </c>
      <c r="C507" t="s">
        <v>659</v>
      </c>
      <c r="D507" t="s">
        <v>246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35">
      <c r="A508" t="s">
        <v>619</v>
      </c>
      <c r="B508" t="s">
        <v>620</v>
      </c>
      <c r="C508" t="s">
        <v>660</v>
      </c>
      <c r="D508" t="s">
        <v>246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35">
      <c r="A509" t="s">
        <v>619</v>
      </c>
      <c r="B509" t="s">
        <v>620</v>
      </c>
      <c r="C509" t="s">
        <v>661</v>
      </c>
      <c r="D509" t="s">
        <v>227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35">
      <c r="A510" t="s">
        <v>619</v>
      </c>
      <c r="B510" t="s">
        <v>620</v>
      </c>
      <c r="C510" t="s">
        <v>662</v>
      </c>
      <c r="D510" t="s">
        <v>246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35">
      <c r="A511" t="s">
        <v>619</v>
      </c>
      <c r="B511" t="s">
        <v>620</v>
      </c>
      <c r="C511" t="s">
        <v>663</v>
      </c>
      <c r="D511" t="s">
        <v>227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35">
      <c r="A512" t="s">
        <v>619</v>
      </c>
      <c r="B512" t="s">
        <v>620</v>
      </c>
      <c r="C512" t="s">
        <v>664</v>
      </c>
      <c r="D512" t="s">
        <v>246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35">
      <c r="A513" t="s">
        <v>619</v>
      </c>
      <c r="B513" t="s">
        <v>620</v>
      </c>
      <c r="C513" t="s">
        <v>665</v>
      </c>
      <c r="D513" t="s">
        <v>246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35">
      <c r="A514" t="s">
        <v>619</v>
      </c>
      <c r="B514" t="s">
        <v>620</v>
      </c>
      <c r="C514" t="s">
        <v>666</v>
      </c>
      <c r="D514" t="s">
        <v>227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35">
      <c r="A515" t="s">
        <v>619</v>
      </c>
      <c r="B515" t="s">
        <v>620</v>
      </c>
      <c r="C515" t="s">
        <v>667</v>
      </c>
      <c r="D515" t="s">
        <v>246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35">
      <c r="A516" t="s">
        <v>619</v>
      </c>
      <c r="B516" t="s">
        <v>620</v>
      </c>
      <c r="C516" t="s">
        <v>299</v>
      </c>
      <c r="D516" t="s">
        <v>246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35">
      <c r="A517" t="s">
        <v>619</v>
      </c>
      <c r="B517" t="s">
        <v>620</v>
      </c>
      <c r="C517" t="s">
        <v>338</v>
      </c>
      <c r="D517" t="s">
        <v>246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35">
      <c r="A518" t="s">
        <v>619</v>
      </c>
      <c r="B518" t="s">
        <v>620</v>
      </c>
      <c r="C518" t="s">
        <v>339</v>
      </c>
      <c r="D518" t="s">
        <v>227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35">
      <c r="A519" t="s">
        <v>619</v>
      </c>
      <c r="B519" t="s">
        <v>620</v>
      </c>
      <c r="C519" t="s">
        <v>402</v>
      </c>
      <c r="D519" t="s">
        <v>246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35">
      <c r="A520" t="s">
        <v>668</v>
      </c>
      <c r="B520" t="s">
        <v>669</v>
      </c>
      <c r="C520" t="s">
        <v>670</v>
      </c>
      <c r="D520" t="s">
        <v>246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35">
      <c r="A521" t="s">
        <v>668</v>
      </c>
      <c r="B521" t="s">
        <v>669</v>
      </c>
      <c r="C521" t="s">
        <v>611</v>
      </c>
      <c r="D521" t="s">
        <v>246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35">
      <c r="A522" t="s">
        <v>668</v>
      </c>
      <c r="B522" t="s">
        <v>669</v>
      </c>
      <c r="C522" t="s">
        <v>671</v>
      </c>
      <c r="D522" t="s">
        <v>246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35">
      <c r="A523" t="s">
        <v>668</v>
      </c>
      <c r="B523" t="s">
        <v>669</v>
      </c>
      <c r="C523" t="s">
        <v>672</v>
      </c>
      <c r="D523" t="s">
        <v>246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35">
      <c r="A524" t="s">
        <v>668</v>
      </c>
      <c r="B524" t="s">
        <v>669</v>
      </c>
      <c r="C524" t="s">
        <v>276</v>
      </c>
      <c r="D524" t="s">
        <v>246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35">
      <c r="A525" t="s">
        <v>668</v>
      </c>
      <c r="B525" t="s">
        <v>669</v>
      </c>
      <c r="C525" t="s">
        <v>673</v>
      </c>
      <c r="D525" t="s">
        <v>246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35">
      <c r="A526" t="s">
        <v>668</v>
      </c>
      <c r="B526" t="s">
        <v>669</v>
      </c>
      <c r="C526" t="s">
        <v>674</v>
      </c>
      <c r="D526" t="s">
        <v>246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35">
      <c r="A527" t="s">
        <v>668</v>
      </c>
      <c r="B527" t="s">
        <v>669</v>
      </c>
      <c r="C527" t="s">
        <v>278</v>
      </c>
      <c r="D527" t="s">
        <v>246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35">
      <c r="A528" t="s">
        <v>668</v>
      </c>
      <c r="B528" t="s">
        <v>669</v>
      </c>
      <c r="C528" t="s">
        <v>279</v>
      </c>
      <c r="D528" t="s">
        <v>246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35">
      <c r="A529" t="s">
        <v>668</v>
      </c>
      <c r="B529" t="s">
        <v>669</v>
      </c>
      <c r="C529" t="s">
        <v>675</v>
      </c>
      <c r="D529" t="s">
        <v>246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35">
      <c r="A530" t="s">
        <v>668</v>
      </c>
      <c r="B530" t="s">
        <v>669</v>
      </c>
      <c r="C530" t="s">
        <v>321</v>
      </c>
      <c r="D530" t="s">
        <v>246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35">
      <c r="A531" t="s">
        <v>668</v>
      </c>
      <c r="B531" t="s">
        <v>669</v>
      </c>
      <c r="C531" t="s">
        <v>676</v>
      </c>
      <c r="D531" t="s">
        <v>246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35">
      <c r="A532" t="s">
        <v>668</v>
      </c>
      <c r="B532" t="s">
        <v>669</v>
      </c>
      <c r="C532" t="s">
        <v>677</v>
      </c>
      <c r="D532" t="s">
        <v>246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35">
      <c r="A533" t="s">
        <v>668</v>
      </c>
      <c r="B533" t="s">
        <v>669</v>
      </c>
      <c r="C533" t="s">
        <v>678</v>
      </c>
      <c r="D533" t="s">
        <v>246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35">
      <c r="A534" t="s">
        <v>668</v>
      </c>
      <c r="B534" t="s">
        <v>669</v>
      </c>
      <c r="C534" t="s">
        <v>679</v>
      </c>
      <c r="D534" t="s">
        <v>246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35">
      <c r="A535" t="s">
        <v>668</v>
      </c>
      <c r="B535" t="s">
        <v>669</v>
      </c>
      <c r="C535" t="s">
        <v>680</v>
      </c>
      <c r="D535" t="s">
        <v>246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35">
      <c r="A536" t="s">
        <v>668</v>
      </c>
      <c r="B536" t="s">
        <v>669</v>
      </c>
      <c r="C536" t="s">
        <v>282</v>
      </c>
      <c r="D536" t="s">
        <v>246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35">
      <c r="A537" t="s">
        <v>668</v>
      </c>
      <c r="B537" t="s">
        <v>669</v>
      </c>
      <c r="C537" t="s">
        <v>283</v>
      </c>
      <c r="D537" t="s">
        <v>246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35">
      <c r="A538" t="s">
        <v>668</v>
      </c>
      <c r="B538" t="s">
        <v>669</v>
      </c>
      <c r="C538" t="s">
        <v>681</v>
      </c>
      <c r="D538" t="s">
        <v>246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35">
      <c r="A539" t="s">
        <v>668</v>
      </c>
      <c r="B539" t="s">
        <v>669</v>
      </c>
      <c r="C539" t="s">
        <v>682</v>
      </c>
      <c r="D539" t="s">
        <v>246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35">
      <c r="A540" t="s">
        <v>668</v>
      </c>
      <c r="B540" t="s">
        <v>669</v>
      </c>
      <c r="C540" t="s">
        <v>539</v>
      </c>
      <c r="D540" t="s">
        <v>246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35">
      <c r="A541" t="s">
        <v>668</v>
      </c>
      <c r="B541" t="s">
        <v>669</v>
      </c>
      <c r="C541" t="s">
        <v>323</v>
      </c>
      <c r="D541" t="s">
        <v>246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35">
      <c r="A542" t="s">
        <v>668</v>
      </c>
      <c r="B542" t="s">
        <v>669</v>
      </c>
      <c r="C542" t="s">
        <v>683</v>
      </c>
      <c r="D542" t="s">
        <v>246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35">
      <c r="A543" t="s">
        <v>668</v>
      </c>
      <c r="B543" t="s">
        <v>669</v>
      </c>
      <c r="C543" t="s">
        <v>325</v>
      </c>
      <c r="D543" t="s">
        <v>246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35">
      <c r="A544" t="s">
        <v>668</v>
      </c>
      <c r="B544" t="s">
        <v>669</v>
      </c>
      <c r="C544" t="s">
        <v>644</v>
      </c>
      <c r="D544" t="s">
        <v>246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35">
      <c r="A545" t="s">
        <v>668</v>
      </c>
      <c r="B545" t="s">
        <v>669</v>
      </c>
      <c r="C545" t="s">
        <v>287</v>
      </c>
      <c r="D545" t="s">
        <v>246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35">
      <c r="A546" t="s">
        <v>668</v>
      </c>
      <c r="B546" t="s">
        <v>669</v>
      </c>
      <c r="C546" t="s">
        <v>684</v>
      </c>
      <c r="D546" t="s">
        <v>246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35">
      <c r="A547" t="s">
        <v>668</v>
      </c>
      <c r="B547" t="s">
        <v>669</v>
      </c>
      <c r="C547" t="s">
        <v>289</v>
      </c>
      <c r="D547" t="s">
        <v>246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35">
      <c r="A548" t="s">
        <v>668</v>
      </c>
      <c r="B548" t="s">
        <v>669</v>
      </c>
      <c r="C548" t="s">
        <v>290</v>
      </c>
      <c r="D548" t="s">
        <v>246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35">
      <c r="A549" t="s">
        <v>668</v>
      </c>
      <c r="B549" t="s">
        <v>669</v>
      </c>
      <c r="C549" t="s">
        <v>685</v>
      </c>
      <c r="D549" t="s">
        <v>246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35">
      <c r="A550" t="s">
        <v>668</v>
      </c>
      <c r="B550" t="s">
        <v>669</v>
      </c>
      <c r="C550" t="s">
        <v>544</v>
      </c>
      <c r="D550" t="s">
        <v>246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35">
      <c r="A551" t="s">
        <v>668</v>
      </c>
      <c r="B551" t="s">
        <v>669</v>
      </c>
      <c r="C551" t="s">
        <v>686</v>
      </c>
      <c r="D551" t="s">
        <v>246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35">
      <c r="A552" t="s">
        <v>668</v>
      </c>
      <c r="B552" t="s">
        <v>669</v>
      </c>
      <c r="C552" t="s">
        <v>687</v>
      </c>
      <c r="D552" t="s">
        <v>246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35">
      <c r="A553" t="s">
        <v>668</v>
      </c>
      <c r="B553" t="s">
        <v>669</v>
      </c>
      <c r="C553" t="s">
        <v>548</v>
      </c>
      <c r="D553" t="s">
        <v>246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35">
      <c r="A554" t="s">
        <v>668</v>
      </c>
      <c r="B554" t="s">
        <v>669</v>
      </c>
      <c r="C554" t="s">
        <v>646</v>
      </c>
      <c r="D554" t="s">
        <v>246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35">
      <c r="A555" t="s">
        <v>668</v>
      </c>
      <c r="B555" t="s">
        <v>669</v>
      </c>
      <c r="C555" t="s">
        <v>688</v>
      </c>
      <c r="D555" t="s">
        <v>246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35">
      <c r="A556" t="s">
        <v>668</v>
      </c>
      <c r="B556" t="s">
        <v>669</v>
      </c>
      <c r="C556" t="s">
        <v>550</v>
      </c>
      <c r="D556" t="s">
        <v>246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35">
      <c r="A557" t="s">
        <v>668</v>
      </c>
      <c r="B557" t="s">
        <v>669</v>
      </c>
      <c r="C557" t="s">
        <v>689</v>
      </c>
      <c r="D557" t="s">
        <v>246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35">
      <c r="A558" t="s">
        <v>668</v>
      </c>
      <c r="B558" t="s">
        <v>669</v>
      </c>
      <c r="C558" t="s">
        <v>292</v>
      </c>
      <c r="D558" t="s">
        <v>246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35">
      <c r="A559" t="s">
        <v>668</v>
      </c>
      <c r="B559" t="s">
        <v>669</v>
      </c>
      <c r="C559" t="s">
        <v>293</v>
      </c>
      <c r="D559" t="s">
        <v>246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35">
      <c r="A560" t="s">
        <v>668</v>
      </c>
      <c r="B560" t="s">
        <v>669</v>
      </c>
      <c r="C560" t="s">
        <v>294</v>
      </c>
      <c r="D560" t="s">
        <v>246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35">
      <c r="A561" t="s">
        <v>668</v>
      </c>
      <c r="B561" t="s">
        <v>669</v>
      </c>
      <c r="C561" t="s">
        <v>690</v>
      </c>
      <c r="D561" t="s">
        <v>246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35">
      <c r="A562" t="s">
        <v>668</v>
      </c>
      <c r="B562" t="s">
        <v>669</v>
      </c>
      <c r="C562" t="s">
        <v>691</v>
      </c>
      <c r="D562" t="s">
        <v>246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35">
      <c r="A563" t="s">
        <v>668</v>
      </c>
      <c r="B563" t="s">
        <v>669</v>
      </c>
      <c r="C563" t="s">
        <v>692</v>
      </c>
      <c r="D563" t="s">
        <v>246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35">
      <c r="A564" t="s">
        <v>668</v>
      </c>
      <c r="B564" t="s">
        <v>669</v>
      </c>
      <c r="C564" t="s">
        <v>693</v>
      </c>
      <c r="D564" t="s">
        <v>246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35">
      <c r="A565" t="s">
        <v>668</v>
      </c>
      <c r="B565" t="s">
        <v>669</v>
      </c>
      <c r="C565" t="s">
        <v>694</v>
      </c>
      <c r="D565" t="s">
        <v>246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35">
      <c r="A566" t="s">
        <v>668</v>
      </c>
      <c r="B566" t="s">
        <v>669</v>
      </c>
      <c r="C566" t="s">
        <v>695</v>
      </c>
      <c r="D566" t="s">
        <v>246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35">
      <c r="A567" t="s">
        <v>668</v>
      </c>
      <c r="B567" t="s">
        <v>669</v>
      </c>
      <c r="C567" t="s">
        <v>696</v>
      </c>
      <c r="D567" t="s">
        <v>246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35">
      <c r="A568" t="s">
        <v>668</v>
      </c>
      <c r="B568" t="s">
        <v>669</v>
      </c>
      <c r="C568" t="s">
        <v>697</v>
      </c>
      <c r="D568" t="s">
        <v>246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35">
      <c r="A569" t="s">
        <v>668</v>
      </c>
      <c r="B569" t="s">
        <v>669</v>
      </c>
      <c r="C569" t="s">
        <v>295</v>
      </c>
      <c r="D569" t="s">
        <v>246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35">
      <c r="A570" t="s">
        <v>668</v>
      </c>
      <c r="B570" t="s">
        <v>669</v>
      </c>
      <c r="C570" t="s">
        <v>297</v>
      </c>
      <c r="D570" t="s">
        <v>246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35">
      <c r="A571" t="s">
        <v>668</v>
      </c>
      <c r="B571" t="s">
        <v>669</v>
      </c>
      <c r="C571" t="s">
        <v>698</v>
      </c>
      <c r="D571" t="s">
        <v>246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35">
      <c r="A572" t="s">
        <v>668</v>
      </c>
      <c r="B572" t="s">
        <v>669</v>
      </c>
      <c r="C572" t="s">
        <v>337</v>
      </c>
      <c r="D572" t="s">
        <v>246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35">
      <c r="A573" t="s">
        <v>668</v>
      </c>
      <c r="B573" t="s">
        <v>669</v>
      </c>
      <c r="C573" t="s">
        <v>699</v>
      </c>
      <c r="D573" t="s">
        <v>246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35">
      <c r="A574" t="s">
        <v>668</v>
      </c>
      <c r="B574" t="s">
        <v>669</v>
      </c>
      <c r="C574" t="s">
        <v>700</v>
      </c>
      <c r="D574" t="s">
        <v>246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35">
      <c r="A575" t="s">
        <v>668</v>
      </c>
      <c r="B575" t="s">
        <v>669</v>
      </c>
      <c r="C575" t="s">
        <v>701</v>
      </c>
      <c r="D575" t="s">
        <v>246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35">
      <c r="A576" t="s">
        <v>668</v>
      </c>
      <c r="B576" t="s">
        <v>669</v>
      </c>
      <c r="C576" t="s">
        <v>299</v>
      </c>
      <c r="D576" t="s">
        <v>246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35">
      <c r="A577" t="s">
        <v>668</v>
      </c>
      <c r="B577" t="s">
        <v>669</v>
      </c>
      <c r="C577" t="s">
        <v>339</v>
      </c>
      <c r="D577" t="s">
        <v>246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35">
      <c r="A578" t="s">
        <v>668</v>
      </c>
      <c r="B578" t="s">
        <v>669</v>
      </c>
      <c r="C578" t="s">
        <v>300</v>
      </c>
      <c r="D578" t="s">
        <v>246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35">
      <c r="A579" t="s">
        <v>668</v>
      </c>
      <c r="B579" t="s">
        <v>669</v>
      </c>
      <c r="C579" t="s">
        <v>702</v>
      </c>
      <c r="D579" t="s">
        <v>246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35">
      <c r="A580" t="s">
        <v>668</v>
      </c>
      <c r="B580" t="s">
        <v>669</v>
      </c>
      <c r="C580" t="s">
        <v>703</v>
      </c>
      <c r="D580" t="s">
        <v>246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35">
      <c r="A581" t="s">
        <v>668</v>
      </c>
      <c r="B581" t="s">
        <v>669</v>
      </c>
      <c r="C581" t="s">
        <v>704</v>
      </c>
      <c r="D581" t="s">
        <v>246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35">
      <c r="A582" t="s">
        <v>668</v>
      </c>
      <c r="B582" t="s">
        <v>669</v>
      </c>
      <c r="C582" t="s">
        <v>705</v>
      </c>
      <c r="D582" t="s">
        <v>246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35">
      <c r="A583" t="s">
        <v>668</v>
      </c>
      <c r="B583" t="s">
        <v>669</v>
      </c>
      <c r="C583" t="s">
        <v>706</v>
      </c>
      <c r="D583" t="s">
        <v>246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35">
      <c r="A584" t="s">
        <v>668</v>
      </c>
      <c r="B584" t="s">
        <v>669</v>
      </c>
      <c r="C584" t="s">
        <v>707</v>
      </c>
      <c r="D584" t="s">
        <v>246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35">
      <c r="A585" t="s">
        <v>708</v>
      </c>
      <c r="B585" t="s">
        <v>709</v>
      </c>
      <c r="C585" t="s">
        <v>710</v>
      </c>
      <c r="D585" t="s">
        <v>483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35">
      <c r="A586" t="s">
        <v>708</v>
      </c>
      <c r="B586" t="s">
        <v>709</v>
      </c>
      <c r="C586" t="s">
        <v>307</v>
      </c>
      <c r="D586" t="s">
        <v>242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35">
      <c r="A587" t="s">
        <v>708</v>
      </c>
      <c r="B587" t="s">
        <v>709</v>
      </c>
      <c r="C587" t="s">
        <v>498</v>
      </c>
      <c r="D587" t="s">
        <v>483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35">
      <c r="A588" t="s">
        <v>708</v>
      </c>
      <c r="B588" t="s">
        <v>709</v>
      </c>
      <c r="C588" t="s">
        <v>711</v>
      </c>
      <c r="D588" t="s">
        <v>242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35">
      <c r="A589" t="s">
        <v>708</v>
      </c>
      <c r="B589" t="s">
        <v>709</v>
      </c>
      <c r="C589" t="s">
        <v>712</v>
      </c>
      <c r="D589" t="s">
        <v>246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35">
      <c r="A590" t="s">
        <v>708</v>
      </c>
      <c r="B590" t="s">
        <v>709</v>
      </c>
      <c r="C590" t="s">
        <v>713</v>
      </c>
      <c r="D590" t="s">
        <v>242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35">
      <c r="A591" t="s">
        <v>708</v>
      </c>
      <c r="B591" t="s">
        <v>709</v>
      </c>
      <c r="C591" t="s">
        <v>714</v>
      </c>
      <c r="D591" t="s">
        <v>483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35">
      <c r="A592" t="s">
        <v>715</v>
      </c>
      <c r="B592" t="s">
        <v>716</v>
      </c>
      <c r="C592" t="s">
        <v>717</v>
      </c>
      <c r="D592" t="s">
        <v>227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35">
      <c r="A593" t="s">
        <v>715</v>
      </c>
      <c r="B593" t="s">
        <v>716</v>
      </c>
      <c r="C593" t="s">
        <v>718</v>
      </c>
      <c r="D593" t="s">
        <v>228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35">
      <c r="A594" t="s">
        <v>715</v>
      </c>
      <c r="B594" t="s">
        <v>716</v>
      </c>
      <c r="C594" t="s">
        <v>719</v>
      </c>
      <c r="D594" t="s">
        <v>227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35">
      <c r="A595" t="s">
        <v>715</v>
      </c>
      <c r="B595" t="s">
        <v>716</v>
      </c>
      <c r="C595" t="s">
        <v>272</v>
      </c>
      <c r="D595" t="s">
        <v>227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35">
      <c r="A596" t="s">
        <v>715</v>
      </c>
      <c r="B596" t="s">
        <v>716</v>
      </c>
      <c r="C596" t="s">
        <v>609</v>
      </c>
      <c r="D596" t="s">
        <v>227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35">
      <c r="A597" t="s">
        <v>715</v>
      </c>
      <c r="B597" t="s">
        <v>716</v>
      </c>
      <c r="C597" t="s">
        <v>720</v>
      </c>
      <c r="D597" t="s">
        <v>227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35">
      <c r="A598" t="s">
        <v>715</v>
      </c>
      <c r="B598" t="s">
        <v>716</v>
      </c>
      <c r="C598" t="s">
        <v>678</v>
      </c>
      <c r="D598" t="s">
        <v>227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35">
      <c r="A599" t="s">
        <v>715</v>
      </c>
      <c r="B599" t="s">
        <v>716</v>
      </c>
      <c r="C599" t="s">
        <v>323</v>
      </c>
      <c r="D599" t="s">
        <v>227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35">
      <c r="A600" t="s">
        <v>715</v>
      </c>
      <c r="B600" t="s">
        <v>716</v>
      </c>
      <c r="C600" t="s">
        <v>721</v>
      </c>
      <c r="D600" t="s">
        <v>227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35">
      <c r="A601" t="s">
        <v>715</v>
      </c>
      <c r="B601" t="s">
        <v>716</v>
      </c>
      <c r="C601" t="s">
        <v>722</v>
      </c>
      <c r="D601" t="s">
        <v>227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35">
      <c r="A602" t="s">
        <v>715</v>
      </c>
      <c r="B602" t="s">
        <v>716</v>
      </c>
      <c r="C602" t="s">
        <v>723</v>
      </c>
      <c r="D602" t="s">
        <v>227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35">
      <c r="A603" t="s">
        <v>715</v>
      </c>
      <c r="B603" t="s">
        <v>716</v>
      </c>
      <c r="C603" t="s">
        <v>724</v>
      </c>
      <c r="D603" t="s">
        <v>227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35">
      <c r="A604" t="s">
        <v>715</v>
      </c>
      <c r="B604" t="s">
        <v>716</v>
      </c>
      <c r="C604" t="s">
        <v>725</v>
      </c>
      <c r="D604" t="s">
        <v>227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35">
      <c r="A605" t="s">
        <v>715</v>
      </c>
      <c r="B605" t="s">
        <v>716</v>
      </c>
      <c r="C605" t="s">
        <v>726</v>
      </c>
      <c r="D605" t="s">
        <v>227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35">
      <c r="A606" t="s">
        <v>715</v>
      </c>
      <c r="B606" t="s">
        <v>716</v>
      </c>
      <c r="C606" t="s">
        <v>307</v>
      </c>
      <c r="D606" t="s">
        <v>227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35">
      <c r="A607" t="s">
        <v>715</v>
      </c>
      <c r="B607" t="s">
        <v>716</v>
      </c>
      <c r="C607" t="s">
        <v>727</v>
      </c>
      <c r="D607" t="s">
        <v>227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35">
      <c r="A608" t="s">
        <v>728</v>
      </c>
      <c r="B608" t="s">
        <v>729</v>
      </c>
      <c r="C608" t="s">
        <v>730</v>
      </c>
      <c r="D608" t="s">
        <v>246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35">
      <c r="A609" t="s">
        <v>728</v>
      </c>
      <c r="B609" t="s">
        <v>729</v>
      </c>
      <c r="C609" t="s">
        <v>731</v>
      </c>
      <c r="D609" t="s">
        <v>246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35">
      <c r="A610" t="s">
        <v>728</v>
      </c>
      <c r="B610" t="s">
        <v>729</v>
      </c>
      <c r="C610" t="s">
        <v>732</v>
      </c>
      <c r="D610" t="s">
        <v>246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35">
      <c r="A611" t="s">
        <v>728</v>
      </c>
      <c r="B611" t="s">
        <v>729</v>
      </c>
      <c r="C611" t="s">
        <v>733</v>
      </c>
      <c r="D611" t="s">
        <v>246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35">
      <c r="A612" t="s">
        <v>728</v>
      </c>
      <c r="B612" t="s">
        <v>729</v>
      </c>
      <c r="C612" t="s">
        <v>734</v>
      </c>
      <c r="D612" t="s">
        <v>246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35">
      <c r="A613" t="s">
        <v>728</v>
      </c>
      <c r="B613" t="s">
        <v>729</v>
      </c>
      <c r="C613" t="s">
        <v>735</v>
      </c>
      <c r="D613" t="s">
        <v>246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35">
      <c r="A614" t="s">
        <v>728</v>
      </c>
      <c r="B614" t="s">
        <v>729</v>
      </c>
      <c r="C614" t="s">
        <v>446</v>
      </c>
      <c r="D614" t="s">
        <v>246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35">
      <c r="A615" t="s">
        <v>728</v>
      </c>
      <c r="B615" t="s">
        <v>729</v>
      </c>
      <c r="C615" t="s">
        <v>736</v>
      </c>
      <c r="D615" t="s">
        <v>246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35">
      <c r="A616" t="s">
        <v>728</v>
      </c>
      <c r="B616" t="s">
        <v>729</v>
      </c>
      <c r="C616" t="s">
        <v>737</v>
      </c>
      <c r="D616" t="s">
        <v>246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35">
      <c r="A617" t="s">
        <v>728</v>
      </c>
      <c r="B617" t="s">
        <v>729</v>
      </c>
      <c r="C617" t="s">
        <v>738</v>
      </c>
      <c r="D617" t="s">
        <v>246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35">
      <c r="A618" t="s">
        <v>728</v>
      </c>
      <c r="B618" t="s">
        <v>729</v>
      </c>
      <c r="C618" t="s">
        <v>739</v>
      </c>
      <c r="D618" t="s">
        <v>246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35">
      <c r="A619" t="s">
        <v>728</v>
      </c>
      <c r="B619" t="s">
        <v>729</v>
      </c>
      <c r="C619" t="s">
        <v>740</v>
      </c>
      <c r="D619" t="s">
        <v>227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35">
      <c r="A620" t="s">
        <v>728</v>
      </c>
      <c r="B620" t="s">
        <v>729</v>
      </c>
      <c r="C620" t="s">
        <v>741</v>
      </c>
      <c r="D620" t="s">
        <v>246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35">
      <c r="A621" t="s">
        <v>728</v>
      </c>
      <c r="B621" t="s">
        <v>729</v>
      </c>
      <c r="C621" t="s">
        <v>318</v>
      </c>
      <c r="D621" t="s">
        <v>246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35">
      <c r="A622" t="s">
        <v>728</v>
      </c>
      <c r="B622" t="s">
        <v>729</v>
      </c>
      <c r="C622" t="s">
        <v>419</v>
      </c>
      <c r="D622" t="s">
        <v>246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35">
      <c r="A623" t="s">
        <v>728</v>
      </c>
      <c r="B623" t="s">
        <v>729</v>
      </c>
      <c r="C623" t="s">
        <v>293</v>
      </c>
      <c r="D623" t="s">
        <v>246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35">
      <c r="A624" t="s">
        <v>728</v>
      </c>
      <c r="B624" t="s">
        <v>729</v>
      </c>
      <c r="C624" t="s">
        <v>742</v>
      </c>
      <c r="D624" t="s">
        <v>246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35">
      <c r="A625" t="s">
        <v>728</v>
      </c>
      <c r="B625" t="s">
        <v>729</v>
      </c>
      <c r="C625" t="s">
        <v>743</v>
      </c>
      <c r="D625" t="s">
        <v>246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35">
      <c r="A626" t="s">
        <v>728</v>
      </c>
      <c r="B626" t="s">
        <v>729</v>
      </c>
      <c r="C626" t="s">
        <v>725</v>
      </c>
      <c r="D626" t="s">
        <v>246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35">
      <c r="A627" t="s">
        <v>728</v>
      </c>
      <c r="B627" t="s">
        <v>729</v>
      </c>
      <c r="C627" t="s">
        <v>744</v>
      </c>
      <c r="D627" t="s">
        <v>246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35">
      <c r="A628" t="s">
        <v>728</v>
      </c>
      <c r="B628" t="s">
        <v>729</v>
      </c>
      <c r="C628" t="s">
        <v>745</v>
      </c>
      <c r="D628" t="s">
        <v>246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35">
      <c r="A629" t="s">
        <v>728</v>
      </c>
      <c r="B629" t="s">
        <v>729</v>
      </c>
      <c r="C629" t="s">
        <v>307</v>
      </c>
      <c r="D629" t="s">
        <v>246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35">
      <c r="A630" t="s">
        <v>728</v>
      </c>
      <c r="B630" t="s">
        <v>729</v>
      </c>
      <c r="C630" t="s">
        <v>746</v>
      </c>
      <c r="D630" t="s">
        <v>246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35">
      <c r="A631" t="s">
        <v>728</v>
      </c>
      <c r="B631" t="s">
        <v>729</v>
      </c>
      <c r="C631" t="s">
        <v>747</v>
      </c>
      <c r="D631" t="s">
        <v>246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35">
      <c r="A632" t="s">
        <v>748</v>
      </c>
      <c r="B632" t="s">
        <v>749</v>
      </c>
      <c r="C632" t="s">
        <v>750</v>
      </c>
      <c r="D632" t="s">
        <v>227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35">
      <c r="A633" t="s">
        <v>748</v>
      </c>
      <c r="B633" t="s">
        <v>749</v>
      </c>
      <c r="C633" t="s">
        <v>751</v>
      </c>
      <c r="D633" t="s">
        <v>227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35">
      <c r="A634" t="s">
        <v>748</v>
      </c>
      <c r="B634" t="s">
        <v>749</v>
      </c>
      <c r="C634" t="s">
        <v>752</v>
      </c>
      <c r="D634" t="s">
        <v>227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35">
      <c r="A635" t="s">
        <v>748</v>
      </c>
      <c r="B635" t="s">
        <v>749</v>
      </c>
      <c r="C635" t="s">
        <v>753</v>
      </c>
      <c r="D635" t="s">
        <v>227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35">
      <c r="A636" t="s">
        <v>748</v>
      </c>
      <c r="B636" t="s">
        <v>749</v>
      </c>
      <c r="C636" t="s">
        <v>754</v>
      </c>
      <c r="D636" t="s">
        <v>227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35">
      <c r="A637" t="s">
        <v>748</v>
      </c>
      <c r="B637" t="s">
        <v>749</v>
      </c>
      <c r="C637" t="s">
        <v>272</v>
      </c>
      <c r="D637" t="s">
        <v>227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35">
      <c r="A638" t="s">
        <v>748</v>
      </c>
      <c r="B638" t="s">
        <v>749</v>
      </c>
      <c r="C638" t="s">
        <v>755</v>
      </c>
      <c r="D638" t="s">
        <v>227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35">
      <c r="A639" t="s">
        <v>748</v>
      </c>
      <c r="B639" t="s">
        <v>749</v>
      </c>
      <c r="C639" t="s">
        <v>756</v>
      </c>
      <c r="D639" t="s">
        <v>227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35">
      <c r="A640" t="s">
        <v>748</v>
      </c>
      <c r="B640" t="s">
        <v>749</v>
      </c>
      <c r="C640" t="s">
        <v>412</v>
      </c>
      <c r="D640" t="s">
        <v>227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35">
      <c r="A641" t="s">
        <v>748</v>
      </c>
      <c r="B641" t="s">
        <v>749</v>
      </c>
      <c r="C641" t="s">
        <v>757</v>
      </c>
      <c r="D641" t="s">
        <v>227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35">
      <c r="A642" t="s">
        <v>748</v>
      </c>
      <c r="B642" t="s">
        <v>749</v>
      </c>
      <c r="C642" t="s">
        <v>758</v>
      </c>
      <c r="D642" t="s">
        <v>227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35">
      <c r="A643" t="s">
        <v>748</v>
      </c>
      <c r="B643" t="s">
        <v>749</v>
      </c>
      <c r="C643" t="s">
        <v>759</v>
      </c>
      <c r="D643" t="s">
        <v>227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35">
      <c r="A644" t="s">
        <v>748</v>
      </c>
      <c r="B644" t="s">
        <v>749</v>
      </c>
      <c r="C644" t="s">
        <v>760</v>
      </c>
      <c r="D644" t="s">
        <v>227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35">
      <c r="A645" t="s">
        <v>748</v>
      </c>
      <c r="B645" t="s">
        <v>749</v>
      </c>
      <c r="C645" t="s">
        <v>747</v>
      </c>
      <c r="D645" t="s">
        <v>227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35">
      <c r="A646" t="s">
        <v>761</v>
      </c>
      <c r="B646" t="s">
        <v>762</v>
      </c>
      <c r="C646" t="s">
        <v>763</v>
      </c>
      <c r="D646" t="s">
        <v>227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35">
      <c r="A647" t="s">
        <v>761</v>
      </c>
      <c r="B647" t="s">
        <v>762</v>
      </c>
      <c r="C647" t="s">
        <v>764</v>
      </c>
      <c r="D647" t="s">
        <v>227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35">
      <c r="A648" t="s">
        <v>761</v>
      </c>
      <c r="B648" t="s">
        <v>762</v>
      </c>
      <c r="C648" t="s">
        <v>765</v>
      </c>
      <c r="D648" t="s">
        <v>227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35">
      <c r="A649" t="s">
        <v>761</v>
      </c>
      <c r="B649" t="s">
        <v>762</v>
      </c>
      <c r="C649" t="s">
        <v>766</v>
      </c>
      <c r="D649" t="s">
        <v>227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35">
      <c r="A650" t="s">
        <v>761</v>
      </c>
      <c r="B650" t="s">
        <v>762</v>
      </c>
      <c r="C650" t="s">
        <v>657</v>
      </c>
      <c r="D650" t="s">
        <v>227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35">
      <c r="A651" t="s">
        <v>761</v>
      </c>
      <c r="B651" t="s">
        <v>762</v>
      </c>
      <c r="C651" t="s">
        <v>767</v>
      </c>
      <c r="D651" t="s">
        <v>227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35">
      <c r="A652" t="s">
        <v>761</v>
      </c>
      <c r="B652" t="s">
        <v>762</v>
      </c>
      <c r="C652" t="s">
        <v>768</v>
      </c>
      <c r="D652" t="s">
        <v>227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35">
      <c r="A653" t="s">
        <v>761</v>
      </c>
      <c r="B653" t="s">
        <v>762</v>
      </c>
      <c r="C653" t="s">
        <v>769</v>
      </c>
      <c r="D653" t="s">
        <v>227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35">
      <c r="A654" t="s">
        <v>761</v>
      </c>
      <c r="B654" t="s">
        <v>762</v>
      </c>
      <c r="C654" t="s">
        <v>770</v>
      </c>
      <c r="D654" t="s">
        <v>227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35">
      <c r="A655" t="s">
        <v>761</v>
      </c>
      <c r="B655" t="s">
        <v>762</v>
      </c>
      <c r="C655" t="s">
        <v>771</v>
      </c>
      <c r="D655" t="s">
        <v>228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35">
      <c r="A656" t="s">
        <v>761</v>
      </c>
      <c r="B656" t="s">
        <v>762</v>
      </c>
      <c r="C656" t="s">
        <v>772</v>
      </c>
      <c r="D656" t="s">
        <v>227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35">
      <c r="A657" t="s">
        <v>761</v>
      </c>
      <c r="B657" t="s">
        <v>762</v>
      </c>
      <c r="C657" t="s">
        <v>301</v>
      </c>
      <c r="D657" t="s">
        <v>227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35">
      <c r="A658" t="s">
        <v>761</v>
      </c>
      <c r="B658" t="s">
        <v>762</v>
      </c>
      <c r="C658" t="s">
        <v>773</v>
      </c>
      <c r="D658" t="s">
        <v>227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35">
      <c r="A659" t="s">
        <v>761</v>
      </c>
      <c r="B659" t="s">
        <v>762</v>
      </c>
      <c r="C659" t="s">
        <v>774</v>
      </c>
      <c r="D659" t="s">
        <v>227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35">
      <c r="A660" t="s">
        <v>761</v>
      </c>
      <c r="B660" t="s">
        <v>762</v>
      </c>
      <c r="C660" t="s">
        <v>347</v>
      </c>
      <c r="D660" t="s">
        <v>227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35">
      <c r="A661" t="s">
        <v>761</v>
      </c>
      <c r="B661" t="s">
        <v>762</v>
      </c>
      <c r="C661" t="s">
        <v>775</v>
      </c>
      <c r="D661" t="s">
        <v>227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35">
      <c r="A662" t="s">
        <v>761</v>
      </c>
      <c r="B662" t="s">
        <v>762</v>
      </c>
      <c r="C662" t="s">
        <v>497</v>
      </c>
      <c r="D662" t="s">
        <v>227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35">
      <c r="A663" t="s">
        <v>761</v>
      </c>
      <c r="B663" t="s">
        <v>762</v>
      </c>
      <c r="C663" t="s">
        <v>776</v>
      </c>
      <c r="D663" t="s">
        <v>227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35">
      <c r="A664" t="s">
        <v>777</v>
      </c>
      <c r="B664" t="s">
        <v>778</v>
      </c>
      <c r="C664" t="s">
        <v>779</v>
      </c>
      <c r="D664" t="s">
        <v>228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35">
      <c r="A665" t="s">
        <v>777</v>
      </c>
      <c r="B665" t="s">
        <v>778</v>
      </c>
      <c r="C665" t="s">
        <v>780</v>
      </c>
      <c r="D665" t="s">
        <v>227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35">
      <c r="A666" t="s">
        <v>777</v>
      </c>
      <c r="B666" t="s">
        <v>778</v>
      </c>
      <c r="C666" t="s">
        <v>781</v>
      </c>
      <c r="D666" t="s">
        <v>228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35">
      <c r="A667" t="s">
        <v>777</v>
      </c>
      <c r="B667" t="s">
        <v>778</v>
      </c>
      <c r="C667" t="s">
        <v>782</v>
      </c>
      <c r="D667" t="s">
        <v>228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35">
      <c r="A668" t="s">
        <v>777</v>
      </c>
      <c r="B668" t="s">
        <v>778</v>
      </c>
      <c r="C668" t="s">
        <v>574</v>
      </c>
      <c r="D668" t="s">
        <v>227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35">
      <c r="A669" t="s">
        <v>777</v>
      </c>
      <c r="B669" t="s">
        <v>778</v>
      </c>
      <c r="C669" t="s">
        <v>783</v>
      </c>
      <c r="D669" t="s">
        <v>227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35">
      <c r="A670" t="s">
        <v>777</v>
      </c>
      <c r="B670" t="s">
        <v>778</v>
      </c>
      <c r="C670" t="s">
        <v>784</v>
      </c>
      <c r="D670" t="s">
        <v>227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35">
      <c r="A671" t="s">
        <v>777</v>
      </c>
      <c r="B671" t="s">
        <v>778</v>
      </c>
      <c r="C671" t="s">
        <v>577</v>
      </c>
      <c r="D671" t="s">
        <v>227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35">
      <c r="A672" t="s">
        <v>777</v>
      </c>
      <c r="B672" t="s">
        <v>778</v>
      </c>
      <c r="C672" t="s">
        <v>785</v>
      </c>
      <c r="D672" t="s">
        <v>228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35">
      <c r="A673" t="s">
        <v>777</v>
      </c>
      <c r="B673" t="s">
        <v>778</v>
      </c>
      <c r="C673" t="s">
        <v>786</v>
      </c>
      <c r="D673" t="s">
        <v>227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35">
      <c r="A674" t="s">
        <v>777</v>
      </c>
      <c r="B674" t="s">
        <v>778</v>
      </c>
      <c r="C674" t="s">
        <v>578</v>
      </c>
      <c r="D674" t="s">
        <v>228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35">
      <c r="A675" t="s">
        <v>777</v>
      </c>
      <c r="B675" t="s">
        <v>778</v>
      </c>
      <c r="C675" t="s">
        <v>787</v>
      </c>
      <c r="D675" t="s">
        <v>227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35">
      <c r="A676" t="s">
        <v>777</v>
      </c>
      <c r="B676" t="s">
        <v>778</v>
      </c>
      <c r="C676" t="s">
        <v>788</v>
      </c>
      <c r="D676" t="s">
        <v>227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35">
      <c r="A677" t="s">
        <v>777</v>
      </c>
      <c r="B677" t="s">
        <v>778</v>
      </c>
      <c r="C677" t="s">
        <v>256</v>
      </c>
      <c r="D677" t="s">
        <v>228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35">
      <c r="A678" t="s">
        <v>777</v>
      </c>
      <c r="B678" t="s">
        <v>778</v>
      </c>
      <c r="C678" t="s">
        <v>530</v>
      </c>
      <c r="D678" t="s">
        <v>228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35">
      <c r="A679" t="s">
        <v>777</v>
      </c>
      <c r="B679" t="s">
        <v>778</v>
      </c>
      <c r="C679" t="s">
        <v>457</v>
      </c>
      <c r="D679" t="s">
        <v>228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35">
      <c r="A680" t="s">
        <v>777</v>
      </c>
      <c r="B680" t="s">
        <v>778</v>
      </c>
      <c r="C680" t="s">
        <v>789</v>
      </c>
      <c r="D680" t="s">
        <v>227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35">
      <c r="A681" t="s">
        <v>777</v>
      </c>
      <c r="B681" t="s">
        <v>778</v>
      </c>
      <c r="C681" t="s">
        <v>790</v>
      </c>
      <c r="D681" t="s">
        <v>228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35">
      <c r="A682" t="s">
        <v>777</v>
      </c>
      <c r="B682" t="s">
        <v>778</v>
      </c>
      <c r="C682" t="s">
        <v>791</v>
      </c>
      <c r="D682" t="s">
        <v>227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35">
      <c r="A683" t="s">
        <v>777</v>
      </c>
      <c r="B683" t="s">
        <v>778</v>
      </c>
      <c r="C683" t="s">
        <v>464</v>
      </c>
      <c r="D683" t="s">
        <v>227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35">
      <c r="A684" t="s">
        <v>777</v>
      </c>
      <c r="B684" t="s">
        <v>778</v>
      </c>
      <c r="C684" t="s">
        <v>368</v>
      </c>
      <c r="D684" t="s">
        <v>227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35">
      <c r="A685" t="s">
        <v>777</v>
      </c>
      <c r="B685" t="s">
        <v>778</v>
      </c>
      <c r="C685" t="s">
        <v>792</v>
      </c>
      <c r="D685" t="s">
        <v>227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35">
      <c r="A686" t="s">
        <v>777</v>
      </c>
      <c r="B686" t="s">
        <v>778</v>
      </c>
      <c r="C686" t="s">
        <v>793</v>
      </c>
      <c r="D686" t="s">
        <v>227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35">
      <c r="A687" t="s">
        <v>777</v>
      </c>
      <c r="B687" t="s">
        <v>778</v>
      </c>
      <c r="C687" t="s">
        <v>794</v>
      </c>
      <c r="D687" t="s">
        <v>227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35">
      <c r="A688" t="s">
        <v>777</v>
      </c>
      <c r="B688" t="s">
        <v>778</v>
      </c>
      <c r="C688" t="s">
        <v>795</v>
      </c>
      <c r="D688" t="s">
        <v>227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35">
      <c r="A689" t="s">
        <v>777</v>
      </c>
      <c r="B689" t="s">
        <v>778</v>
      </c>
      <c r="C689" t="s">
        <v>315</v>
      </c>
      <c r="D689" t="s">
        <v>228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35">
      <c r="A690" t="s">
        <v>777</v>
      </c>
      <c r="B690" t="s">
        <v>778</v>
      </c>
      <c r="C690" t="s">
        <v>796</v>
      </c>
      <c r="D690" t="s">
        <v>227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35">
      <c r="A691" t="s">
        <v>777</v>
      </c>
      <c r="B691" t="s">
        <v>778</v>
      </c>
      <c r="C691" t="s">
        <v>277</v>
      </c>
      <c r="D691" t="s">
        <v>227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35">
      <c r="A692" t="s">
        <v>777</v>
      </c>
      <c r="B692" t="s">
        <v>778</v>
      </c>
      <c r="C692" t="s">
        <v>797</v>
      </c>
      <c r="D692" t="s">
        <v>228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35">
      <c r="A693" t="s">
        <v>777</v>
      </c>
      <c r="B693" t="s">
        <v>778</v>
      </c>
      <c r="C693" t="s">
        <v>798</v>
      </c>
      <c r="D693" t="s">
        <v>227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35">
      <c r="A694" t="s">
        <v>777</v>
      </c>
      <c r="B694" t="s">
        <v>778</v>
      </c>
      <c r="C694" t="s">
        <v>799</v>
      </c>
      <c r="D694" t="s">
        <v>228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35">
      <c r="A695" t="s">
        <v>777</v>
      </c>
      <c r="B695" t="s">
        <v>778</v>
      </c>
      <c r="C695" t="s">
        <v>278</v>
      </c>
      <c r="D695" t="s">
        <v>227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35">
      <c r="A696" t="s">
        <v>777</v>
      </c>
      <c r="B696" t="s">
        <v>778</v>
      </c>
      <c r="C696" t="s">
        <v>800</v>
      </c>
      <c r="D696" t="s">
        <v>228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35">
      <c r="A697" t="s">
        <v>777</v>
      </c>
      <c r="B697" t="s">
        <v>778</v>
      </c>
      <c r="C697" t="s">
        <v>801</v>
      </c>
      <c r="D697" t="s">
        <v>227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35">
      <c r="A698" t="s">
        <v>777</v>
      </c>
      <c r="B698" t="s">
        <v>778</v>
      </c>
      <c r="C698" t="s">
        <v>802</v>
      </c>
      <c r="D698" t="s">
        <v>228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35">
      <c r="A699" t="s">
        <v>777</v>
      </c>
      <c r="B699" t="s">
        <v>778</v>
      </c>
      <c r="C699" t="s">
        <v>803</v>
      </c>
      <c r="D699" t="s">
        <v>228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35">
      <c r="A700" t="s">
        <v>777</v>
      </c>
      <c r="B700" t="s">
        <v>778</v>
      </c>
      <c r="C700" t="s">
        <v>804</v>
      </c>
      <c r="D700" t="s">
        <v>227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35">
      <c r="A701" t="s">
        <v>777</v>
      </c>
      <c r="B701" t="s">
        <v>778</v>
      </c>
      <c r="C701" t="s">
        <v>382</v>
      </c>
      <c r="D701" t="s">
        <v>228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35">
      <c r="A702" t="s">
        <v>777</v>
      </c>
      <c r="B702" t="s">
        <v>778</v>
      </c>
      <c r="C702" t="s">
        <v>805</v>
      </c>
      <c r="D702" t="s">
        <v>228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35">
      <c r="A703" t="s">
        <v>777</v>
      </c>
      <c r="B703" t="s">
        <v>778</v>
      </c>
      <c r="C703" t="s">
        <v>806</v>
      </c>
      <c r="D703" t="s">
        <v>227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35">
      <c r="A704" t="s">
        <v>777</v>
      </c>
      <c r="B704" t="s">
        <v>778</v>
      </c>
      <c r="C704" t="s">
        <v>323</v>
      </c>
      <c r="D704" t="s">
        <v>227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35">
      <c r="A705" t="s">
        <v>777</v>
      </c>
      <c r="B705" t="s">
        <v>778</v>
      </c>
      <c r="C705" t="s">
        <v>644</v>
      </c>
      <c r="D705" t="s">
        <v>227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35">
      <c r="A706" t="s">
        <v>777</v>
      </c>
      <c r="B706" t="s">
        <v>778</v>
      </c>
      <c r="C706" t="s">
        <v>807</v>
      </c>
      <c r="D706" t="s">
        <v>228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35">
      <c r="A707" t="s">
        <v>777</v>
      </c>
      <c r="B707" t="s">
        <v>778</v>
      </c>
      <c r="C707" t="s">
        <v>290</v>
      </c>
      <c r="D707" t="s">
        <v>228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35">
      <c r="A708" t="s">
        <v>777</v>
      </c>
      <c r="B708" t="s">
        <v>778</v>
      </c>
      <c r="C708" t="s">
        <v>685</v>
      </c>
      <c r="D708" t="s">
        <v>227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35">
      <c r="A709" t="s">
        <v>777</v>
      </c>
      <c r="B709" t="s">
        <v>778</v>
      </c>
      <c r="C709" t="s">
        <v>808</v>
      </c>
      <c r="D709" t="s">
        <v>227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35">
      <c r="A710" t="s">
        <v>777</v>
      </c>
      <c r="B710" t="s">
        <v>778</v>
      </c>
      <c r="C710" t="s">
        <v>809</v>
      </c>
      <c r="D710" t="s">
        <v>227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35">
      <c r="A711" t="s">
        <v>777</v>
      </c>
      <c r="B711" t="s">
        <v>778</v>
      </c>
      <c r="C711" t="s">
        <v>810</v>
      </c>
      <c r="D711" t="s">
        <v>228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35">
      <c r="A712" t="s">
        <v>777</v>
      </c>
      <c r="B712" t="s">
        <v>778</v>
      </c>
      <c r="C712" t="s">
        <v>811</v>
      </c>
      <c r="D712" t="s">
        <v>227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35">
      <c r="A713" t="s">
        <v>777</v>
      </c>
      <c r="B713" t="s">
        <v>778</v>
      </c>
      <c r="C713" t="s">
        <v>812</v>
      </c>
      <c r="D713" t="s">
        <v>227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35">
      <c r="A714" t="s">
        <v>777</v>
      </c>
      <c r="B714" t="s">
        <v>778</v>
      </c>
      <c r="C714" t="s">
        <v>813</v>
      </c>
      <c r="D714" t="s">
        <v>227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35">
      <c r="A715" t="s">
        <v>814</v>
      </c>
      <c r="B715" t="s">
        <v>815</v>
      </c>
      <c r="C715" t="s">
        <v>278</v>
      </c>
      <c r="D715" t="s">
        <v>246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35">
      <c r="A716" t="s">
        <v>814</v>
      </c>
      <c r="B716" t="s">
        <v>815</v>
      </c>
      <c r="C716" t="s">
        <v>615</v>
      </c>
      <c r="D716" t="s">
        <v>246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35">
      <c r="A717" t="s">
        <v>814</v>
      </c>
      <c r="B717" t="s">
        <v>815</v>
      </c>
      <c r="C717" t="s">
        <v>279</v>
      </c>
      <c r="D717" t="s">
        <v>242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35">
      <c r="A718" t="s">
        <v>814</v>
      </c>
      <c r="B718" t="s">
        <v>815</v>
      </c>
      <c r="C718" t="s">
        <v>816</v>
      </c>
      <c r="D718" t="s">
        <v>242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35">
      <c r="A719" t="s">
        <v>814</v>
      </c>
      <c r="B719" t="s">
        <v>815</v>
      </c>
      <c r="C719" t="s">
        <v>616</v>
      </c>
      <c r="D719" t="s">
        <v>242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35">
      <c r="A720" t="s">
        <v>814</v>
      </c>
      <c r="B720" t="s">
        <v>815</v>
      </c>
      <c r="C720" t="s">
        <v>817</v>
      </c>
      <c r="D720" t="s">
        <v>246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35">
      <c r="A721" t="s">
        <v>814</v>
      </c>
      <c r="B721" t="s">
        <v>815</v>
      </c>
      <c r="C721" t="s">
        <v>322</v>
      </c>
      <c r="D721" t="s">
        <v>246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35">
      <c r="A722" t="s">
        <v>814</v>
      </c>
      <c r="B722" t="s">
        <v>815</v>
      </c>
      <c r="C722" t="s">
        <v>280</v>
      </c>
      <c r="D722" t="s">
        <v>242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35">
      <c r="A723" t="s">
        <v>814</v>
      </c>
      <c r="B723" t="s">
        <v>815</v>
      </c>
      <c r="C723" t="s">
        <v>281</v>
      </c>
      <c r="D723" t="s">
        <v>246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35">
      <c r="A724" t="s">
        <v>814</v>
      </c>
      <c r="B724" t="s">
        <v>815</v>
      </c>
      <c r="C724" t="s">
        <v>282</v>
      </c>
      <c r="D724" t="s">
        <v>242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35">
      <c r="A725" t="s">
        <v>814</v>
      </c>
      <c r="B725" t="s">
        <v>815</v>
      </c>
      <c r="C725" t="s">
        <v>818</v>
      </c>
      <c r="D725" t="s">
        <v>246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35">
      <c r="A726" t="s">
        <v>814</v>
      </c>
      <c r="B726" t="s">
        <v>815</v>
      </c>
      <c r="C726" t="s">
        <v>283</v>
      </c>
      <c r="D726" t="s">
        <v>246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35">
      <c r="A727" t="s">
        <v>814</v>
      </c>
      <c r="B727" t="s">
        <v>815</v>
      </c>
      <c r="C727" t="s">
        <v>819</v>
      </c>
      <c r="D727" t="s">
        <v>246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35">
      <c r="A728" t="s">
        <v>814</v>
      </c>
      <c r="B728" t="s">
        <v>815</v>
      </c>
      <c r="C728" t="s">
        <v>323</v>
      </c>
      <c r="D728" t="s">
        <v>242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35">
      <c r="A729" t="s">
        <v>814</v>
      </c>
      <c r="B729" t="s">
        <v>815</v>
      </c>
      <c r="C729" t="s">
        <v>285</v>
      </c>
      <c r="D729" t="s">
        <v>246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35">
      <c r="A730" t="s">
        <v>814</v>
      </c>
      <c r="B730" t="s">
        <v>815</v>
      </c>
      <c r="C730" t="s">
        <v>287</v>
      </c>
      <c r="D730" t="s">
        <v>246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35">
      <c r="A731" t="s">
        <v>814</v>
      </c>
      <c r="B731" t="s">
        <v>815</v>
      </c>
      <c r="C731" t="s">
        <v>289</v>
      </c>
      <c r="D731" t="s">
        <v>242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35">
      <c r="A732" t="s">
        <v>814</v>
      </c>
      <c r="B732" t="s">
        <v>815</v>
      </c>
      <c r="C732" t="s">
        <v>290</v>
      </c>
      <c r="D732" t="s">
        <v>246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35">
      <c r="A733" t="s">
        <v>814</v>
      </c>
      <c r="B733" t="s">
        <v>815</v>
      </c>
      <c r="C733" t="s">
        <v>292</v>
      </c>
      <c r="D733" t="s">
        <v>246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35">
      <c r="A734" t="s">
        <v>814</v>
      </c>
      <c r="B734" t="s">
        <v>815</v>
      </c>
      <c r="C734" t="s">
        <v>293</v>
      </c>
      <c r="D734" t="s">
        <v>246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35">
      <c r="A735" t="s">
        <v>814</v>
      </c>
      <c r="B735" t="s">
        <v>815</v>
      </c>
      <c r="C735" t="s">
        <v>820</v>
      </c>
      <c r="D735" t="s">
        <v>246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35">
      <c r="A736" t="s">
        <v>814</v>
      </c>
      <c r="B736" t="s">
        <v>815</v>
      </c>
      <c r="C736" t="s">
        <v>330</v>
      </c>
      <c r="D736" t="s">
        <v>246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35">
      <c r="A737" t="s">
        <v>814</v>
      </c>
      <c r="B737" t="s">
        <v>815</v>
      </c>
      <c r="C737" t="s">
        <v>821</v>
      </c>
      <c r="D737" t="s">
        <v>246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35">
      <c r="A738" t="s">
        <v>814</v>
      </c>
      <c r="B738" t="s">
        <v>815</v>
      </c>
      <c r="C738" t="s">
        <v>822</v>
      </c>
      <c r="D738" t="s">
        <v>246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35">
      <c r="A739" t="s">
        <v>814</v>
      </c>
      <c r="B739" t="s">
        <v>815</v>
      </c>
      <c r="C739" t="s">
        <v>823</v>
      </c>
      <c r="D739" t="s">
        <v>246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35">
      <c r="A740" t="s">
        <v>814</v>
      </c>
      <c r="B740" t="s">
        <v>815</v>
      </c>
      <c r="C740" t="s">
        <v>824</v>
      </c>
      <c r="D740" t="s">
        <v>246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35">
      <c r="A741" t="s">
        <v>814</v>
      </c>
      <c r="B741" t="s">
        <v>815</v>
      </c>
      <c r="C741" t="s">
        <v>295</v>
      </c>
      <c r="D741" t="s">
        <v>242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35">
      <c r="A742" t="s">
        <v>814</v>
      </c>
      <c r="B742" t="s">
        <v>815</v>
      </c>
      <c r="C742" t="s">
        <v>297</v>
      </c>
      <c r="D742" t="s">
        <v>242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35">
      <c r="A743" t="s">
        <v>814</v>
      </c>
      <c r="B743" t="s">
        <v>815</v>
      </c>
      <c r="C743" t="s">
        <v>825</v>
      </c>
      <c r="D743" t="s">
        <v>246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35">
      <c r="A744" t="s">
        <v>814</v>
      </c>
      <c r="B744" t="s">
        <v>815</v>
      </c>
      <c r="C744" t="s">
        <v>826</v>
      </c>
      <c r="D744" t="s">
        <v>246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35">
      <c r="A745" t="s">
        <v>814</v>
      </c>
      <c r="B745" t="s">
        <v>815</v>
      </c>
      <c r="C745" t="s">
        <v>827</v>
      </c>
      <c r="D745" t="s">
        <v>246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35">
      <c r="A746" t="s">
        <v>814</v>
      </c>
      <c r="B746" t="s">
        <v>815</v>
      </c>
      <c r="C746" t="s">
        <v>828</v>
      </c>
      <c r="D746" t="s">
        <v>242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35">
      <c r="A747" t="s">
        <v>814</v>
      </c>
      <c r="B747" t="s">
        <v>815</v>
      </c>
      <c r="C747" t="s">
        <v>339</v>
      </c>
      <c r="D747" t="s">
        <v>246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35">
      <c r="A748" t="s">
        <v>814</v>
      </c>
      <c r="B748" t="s">
        <v>815</v>
      </c>
      <c r="C748" t="s">
        <v>829</v>
      </c>
      <c r="D748" t="s">
        <v>246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35">
      <c r="A749" t="s">
        <v>814</v>
      </c>
      <c r="B749" t="s">
        <v>815</v>
      </c>
      <c r="C749" t="s">
        <v>702</v>
      </c>
      <c r="D749" t="s">
        <v>242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35">
      <c r="A750" t="s">
        <v>814</v>
      </c>
      <c r="B750" t="s">
        <v>815</v>
      </c>
      <c r="C750" t="s">
        <v>830</v>
      </c>
      <c r="D750" t="s">
        <v>242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35">
      <c r="A751" t="s">
        <v>814</v>
      </c>
      <c r="B751" t="s">
        <v>815</v>
      </c>
      <c r="C751" t="s">
        <v>345</v>
      </c>
      <c r="D751" t="s">
        <v>246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35">
      <c r="A752" t="s">
        <v>814</v>
      </c>
      <c r="B752" t="s">
        <v>815</v>
      </c>
      <c r="C752" t="s">
        <v>831</v>
      </c>
      <c r="D752" t="s">
        <v>246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35">
      <c r="A753" t="s">
        <v>814</v>
      </c>
      <c r="B753" t="s">
        <v>815</v>
      </c>
      <c r="C753" t="s">
        <v>832</v>
      </c>
      <c r="D753" t="s">
        <v>246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35">
      <c r="A754" t="s">
        <v>814</v>
      </c>
      <c r="B754" t="s">
        <v>815</v>
      </c>
      <c r="C754" t="s">
        <v>833</v>
      </c>
      <c r="D754" t="s">
        <v>246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35">
      <c r="A755" t="s">
        <v>814</v>
      </c>
      <c r="B755" t="s">
        <v>815</v>
      </c>
      <c r="C755" t="s">
        <v>834</v>
      </c>
      <c r="D755" t="s">
        <v>246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35">
      <c r="A756" t="s">
        <v>814</v>
      </c>
      <c r="B756" t="s">
        <v>815</v>
      </c>
      <c r="C756" t="s">
        <v>835</v>
      </c>
      <c r="D756" t="s">
        <v>246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35">
      <c r="A757" t="s">
        <v>814</v>
      </c>
      <c r="B757" t="s">
        <v>815</v>
      </c>
      <c r="C757" t="s">
        <v>836</v>
      </c>
      <c r="D757" t="s">
        <v>246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35">
      <c r="A758" t="s">
        <v>814</v>
      </c>
      <c r="B758" t="s">
        <v>815</v>
      </c>
      <c r="C758" t="s">
        <v>346</v>
      </c>
      <c r="D758" t="s">
        <v>246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35">
      <c r="A759" t="s">
        <v>814</v>
      </c>
      <c r="B759" t="s">
        <v>815</v>
      </c>
      <c r="C759" t="s">
        <v>837</v>
      </c>
      <c r="D759" t="s">
        <v>242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35">
      <c r="A760" t="s">
        <v>814</v>
      </c>
      <c r="B760" t="s">
        <v>815</v>
      </c>
      <c r="C760" t="s">
        <v>496</v>
      </c>
      <c r="D760" t="s">
        <v>242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35">
      <c r="A761" t="s">
        <v>814</v>
      </c>
      <c r="B761" t="s">
        <v>815</v>
      </c>
      <c r="C761" t="s">
        <v>307</v>
      </c>
      <c r="D761" t="s">
        <v>246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35">
      <c r="A762" t="s">
        <v>814</v>
      </c>
      <c r="B762" t="s">
        <v>815</v>
      </c>
      <c r="C762" t="s">
        <v>497</v>
      </c>
      <c r="D762" t="s">
        <v>242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35">
      <c r="A763" t="s">
        <v>814</v>
      </c>
      <c r="B763" t="s">
        <v>815</v>
      </c>
      <c r="C763" t="s">
        <v>498</v>
      </c>
      <c r="D763" t="s">
        <v>246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35">
      <c r="A764" t="s">
        <v>814</v>
      </c>
      <c r="B764" t="s">
        <v>815</v>
      </c>
      <c r="C764" t="s">
        <v>503</v>
      </c>
      <c r="D764" t="s">
        <v>242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35">
      <c r="A765" t="s">
        <v>814</v>
      </c>
      <c r="B765" t="s">
        <v>815</v>
      </c>
      <c r="C765" t="s">
        <v>838</v>
      </c>
      <c r="D765" t="s">
        <v>246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35">
      <c r="A766" t="s">
        <v>814</v>
      </c>
      <c r="B766" t="s">
        <v>815</v>
      </c>
      <c r="C766" t="s">
        <v>839</v>
      </c>
      <c r="D766" t="s">
        <v>246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35">
      <c r="A767" t="s">
        <v>814</v>
      </c>
      <c r="B767" t="s">
        <v>815</v>
      </c>
      <c r="C767" t="s">
        <v>840</v>
      </c>
      <c r="D767" t="s">
        <v>246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35">
      <c r="A768" t="s">
        <v>841</v>
      </c>
      <c r="B768" t="s">
        <v>842</v>
      </c>
      <c r="C768" t="s">
        <v>590</v>
      </c>
      <c r="D768" t="s">
        <v>227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35">
      <c r="A769" t="s">
        <v>841</v>
      </c>
      <c r="B769" t="s">
        <v>842</v>
      </c>
      <c r="C769" t="s">
        <v>843</v>
      </c>
      <c r="D769" t="s">
        <v>227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35">
      <c r="A770" t="s">
        <v>841</v>
      </c>
      <c r="B770" t="s">
        <v>842</v>
      </c>
      <c r="C770" t="s">
        <v>844</v>
      </c>
      <c r="D770" t="s">
        <v>227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35">
      <c r="A771" t="s">
        <v>841</v>
      </c>
      <c r="B771" t="s">
        <v>842</v>
      </c>
      <c r="C771" t="s">
        <v>845</v>
      </c>
      <c r="D771" t="s">
        <v>246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35">
      <c r="A772" t="s">
        <v>841</v>
      </c>
      <c r="B772" t="s">
        <v>842</v>
      </c>
      <c r="C772" t="s">
        <v>846</v>
      </c>
      <c r="D772" t="s">
        <v>246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35">
      <c r="A773" t="s">
        <v>841</v>
      </c>
      <c r="B773" t="s">
        <v>842</v>
      </c>
      <c r="C773" t="s">
        <v>847</v>
      </c>
      <c r="D773" t="s">
        <v>246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35">
      <c r="A774" t="s">
        <v>841</v>
      </c>
      <c r="B774" t="s">
        <v>842</v>
      </c>
      <c r="C774" t="s">
        <v>848</v>
      </c>
      <c r="D774" t="s">
        <v>246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35">
      <c r="A775" t="s">
        <v>841</v>
      </c>
      <c r="B775" t="s">
        <v>842</v>
      </c>
      <c r="C775" t="s">
        <v>574</v>
      </c>
      <c r="D775" t="s">
        <v>246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35">
      <c r="A776" t="s">
        <v>841</v>
      </c>
      <c r="B776" t="s">
        <v>842</v>
      </c>
      <c r="C776" t="s">
        <v>849</v>
      </c>
      <c r="D776" t="s">
        <v>246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35">
      <c r="A777" t="s">
        <v>841</v>
      </c>
      <c r="B777" t="s">
        <v>842</v>
      </c>
      <c r="C777" t="s">
        <v>576</v>
      </c>
      <c r="D777" t="s">
        <v>246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35">
      <c r="A778" t="s">
        <v>841</v>
      </c>
      <c r="B778" t="s">
        <v>842</v>
      </c>
      <c r="C778" t="s">
        <v>596</v>
      </c>
      <c r="D778" t="s">
        <v>227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35">
      <c r="A779" t="s">
        <v>841</v>
      </c>
      <c r="B779" t="s">
        <v>842</v>
      </c>
      <c r="C779" t="s">
        <v>249</v>
      </c>
      <c r="D779" t="s">
        <v>246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35">
      <c r="A780" t="s">
        <v>841</v>
      </c>
      <c r="B780" t="s">
        <v>842</v>
      </c>
      <c r="C780" t="s">
        <v>850</v>
      </c>
      <c r="D780" t="s">
        <v>246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35">
      <c r="A781" t="s">
        <v>841</v>
      </c>
      <c r="B781" t="s">
        <v>842</v>
      </c>
      <c r="C781" t="s">
        <v>295</v>
      </c>
      <c r="D781" t="s">
        <v>246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35">
      <c r="A782" t="s">
        <v>841</v>
      </c>
      <c r="B782" t="s">
        <v>842</v>
      </c>
      <c r="C782" t="s">
        <v>851</v>
      </c>
      <c r="D782" t="s">
        <v>246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35">
      <c r="A783" t="s">
        <v>841</v>
      </c>
      <c r="B783" t="s">
        <v>842</v>
      </c>
      <c r="C783" t="s">
        <v>852</v>
      </c>
      <c r="D783" t="s">
        <v>246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35">
      <c r="A784" t="s">
        <v>841</v>
      </c>
      <c r="B784" t="s">
        <v>842</v>
      </c>
      <c r="C784" t="s">
        <v>297</v>
      </c>
      <c r="D784" t="s">
        <v>227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35">
      <c r="A785" t="s">
        <v>841</v>
      </c>
      <c r="B785" t="s">
        <v>842</v>
      </c>
      <c r="C785" t="s">
        <v>853</v>
      </c>
      <c r="D785" t="s">
        <v>246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35">
      <c r="A786" t="s">
        <v>841</v>
      </c>
      <c r="B786" t="s">
        <v>842</v>
      </c>
      <c r="C786" t="s">
        <v>334</v>
      </c>
      <c r="D786" t="s">
        <v>246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35">
      <c r="A787" t="s">
        <v>841</v>
      </c>
      <c r="B787" t="s">
        <v>842</v>
      </c>
      <c r="C787" t="s">
        <v>337</v>
      </c>
      <c r="D787" t="s">
        <v>246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35">
      <c r="A788" t="s">
        <v>841</v>
      </c>
      <c r="B788" t="s">
        <v>842</v>
      </c>
      <c r="C788" t="s">
        <v>555</v>
      </c>
      <c r="D788" t="s">
        <v>227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35">
      <c r="A789" t="s">
        <v>841</v>
      </c>
      <c r="B789" t="s">
        <v>842</v>
      </c>
      <c r="C789" t="s">
        <v>854</v>
      </c>
      <c r="D789" t="s">
        <v>227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35">
      <c r="A790" t="s">
        <v>841</v>
      </c>
      <c r="B790" t="s">
        <v>842</v>
      </c>
      <c r="C790" t="s">
        <v>298</v>
      </c>
      <c r="D790" t="s">
        <v>246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35">
      <c r="A791" t="s">
        <v>841</v>
      </c>
      <c r="B791" t="s">
        <v>842</v>
      </c>
      <c r="C791" t="s">
        <v>855</v>
      </c>
      <c r="D791" t="s">
        <v>246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35">
      <c r="A792" t="s">
        <v>841</v>
      </c>
      <c r="B792" t="s">
        <v>842</v>
      </c>
      <c r="C792" t="s">
        <v>856</v>
      </c>
      <c r="D792" t="s">
        <v>246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35">
      <c r="A793" t="s">
        <v>841</v>
      </c>
      <c r="B793" t="s">
        <v>842</v>
      </c>
      <c r="C793" t="s">
        <v>857</v>
      </c>
      <c r="D793" t="s">
        <v>246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35">
      <c r="A794" t="s">
        <v>841</v>
      </c>
      <c r="B794" t="s">
        <v>842</v>
      </c>
      <c r="C794" t="s">
        <v>338</v>
      </c>
      <c r="D794" t="s">
        <v>246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35">
      <c r="A795" t="s">
        <v>841</v>
      </c>
      <c r="B795" t="s">
        <v>842</v>
      </c>
      <c r="C795" t="s">
        <v>559</v>
      </c>
      <c r="D795" t="s">
        <v>227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35">
      <c r="A796" t="s">
        <v>841</v>
      </c>
      <c r="B796" t="s">
        <v>842</v>
      </c>
      <c r="C796" t="s">
        <v>858</v>
      </c>
      <c r="D796" t="s">
        <v>227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35">
      <c r="A797" t="s">
        <v>841</v>
      </c>
      <c r="B797" t="s">
        <v>842</v>
      </c>
      <c r="C797" t="s">
        <v>339</v>
      </c>
      <c r="D797" t="s">
        <v>246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35">
      <c r="A798" t="s">
        <v>841</v>
      </c>
      <c r="B798" t="s">
        <v>842</v>
      </c>
      <c r="C798" t="s">
        <v>859</v>
      </c>
      <c r="D798" t="s">
        <v>246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35">
      <c r="A799" t="s">
        <v>841</v>
      </c>
      <c r="B799" t="s">
        <v>842</v>
      </c>
      <c r="C799" t="s">
        <v>300</v>
      </c>
      <c r="D799" t="s">
        <v>227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35">
      <c r="A800" t="s">
        <v>841</v>
      </c>
      <c r="B800" t="s">
        <v>842</v>
      </c>
      <c r="C800" t="s">
        <v>860</v>
      </c>
      <c r="D800" t="s">
        <v>246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35">
      <c r="A801" t="s">
        <v>841</v>
      </c>
      <c r="B801" t="s">
        <v>842</v>
      </c>
      <c r="C801" t="s">
        <v>301</v>
      </c>
      <c r="D801" t="s">
        <v>246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35">
      <c r="A802" t="s">
        <v>841</v>
      </c>
      <c r="B802" t="s">
        <v>842</v>
      </c>
      <c r="C802" t="s">
        <v>861</v>
      </c>
      <c r="D802" t="s">
        <v>246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35">
      <c r="A803" t="s">
        <v>841</v>
      </c>
      <c r="B803" t="s">
        <v>842</v>
      </c>
      <c r="C803" t="s">
        <v>862</v>
      </c>
      <c r="D803" t="s">
        <v>246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35">
      <c r="A804" t="s">
        <v>841</v>
      </c>
      <c r="B804" t="s">
        <v>842</v>
      </c>
      <c r="C804" t="s">
        <v>863</v>
      </c>
      <c r="D804" t="s">
        <v>246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35">
      <c r="A805" t="s">
        <v>841</v>
      </c>
      <c r="B805" t="s">
        <v>842</v>
      </c>
      <c r="C805" t="s">
        <v>864</v>
      </c>
      <c r="D805" t="s">
        <v>246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35">
      <c r="A806" t="s">
        <v>841</v>
      </c>
      <c r="B806" t="s">
        <v>842</v>
      </c>
      <c r="C806" t="s">
        <v>865</v>
      </c>
      <c r="D806" t="s">
        <v>246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35">
      <c r="A807" t="s">
        <v>841</v>
      </c>
      <c r="B807" t="s">
        <v>842</v>
      </c>
      <c r="C807" t="s">
        <v>345</v>
      </c>
      <c r="D807" t="s">
        <v>246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35">
      <c r="A808" t="s">
        <v>841</v>
      </c>
      <c r="B808" t="s">
        <v>842</v>
      </c>
      <c r="C808" t="s">
        <v>866</v>
      </c>
      <c r="D808" t="s">
        <v>227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35">
      <c r="A809" t="s">
        <v>841</v>
      </c>
      <c r="B809" t="s">
        <v>842</v>
      </c>
      <c r="C809" t="s">
        <v>867</v>
      </c>
      <c r="D809" t="s">
        <v>246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35">
      <c r="A810" t="s">
        <v>841</v>
      </c>
      <c r="B810" t="s">
        <v>842</v>
      </c>
      <c r="C810" t="s">
        <v>868</v>
      </c>
      <c r="D810" t="s">
        <v>246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35">
      <c r="A811" t="s">
        <v>841</v>
      </c>
      <c r="B811" t="s">
        <v>842</v>
      </c>
      <c r="C811" t="s">
        <v>710</v>
      </c>
      <c r="D811" t="s">
        <v>246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35">
      <c r="A812" t="s">
        <v>841</v>
      </c>
      <c r="B812" t="s">
        <v>842</v>
      </c>
      <c r="C812" t="s">
        <v>496</v>
      </c>
      <c r="D812" t="s">
        <v>246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35">
      <c r="A813" t="s">
        <v>841</v>
      </c>
      <c r="B813" t="s">
        <v>842</v>
      </c>
      <c r="C813" t="s">
        <v>307</v>
      </c>
      <c r="D813" t="s">
        <v>246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35">
      <c r="A814" t="s">
        <v>841</v>
      </c>
      <c r="B814" t="s">
        <v>842</v>
      </c>
      <c r="C814" t="s">
        <v>497</v>
      </c>
      <c r="D814" t="s">
        <v>246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35">
      <c r="A815" t="s">
        <v>841</v>
      </c>
      <c r="B815" t="s">
        <v>842</v>
      </c>
      <c r="C815" t="s">
        <v>498</v>
      </c>
      <c r="D815" t="s">
        <v>246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35">
      <c r="A816" t="s">
        <v>841</v>
      </c>
      <c r="B816" t="s">
        <v>842</v>
      </c>
      <c r="C816" t="s">
        <v>504</v>
      </c>
      <c r="D816" t="s">
        <v>227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35">
      <c r="A817" t="s">
        <v>841</v>
      </c>
      <c r="B817" t="s">
        <v>842</v>
      </c>
      <c r="C817" t="s">
        <v>869</v>
      </c>
      <c r="D817" t="s">
        <v>246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35">
      <c r="A818" t="s">
        <v>870</v>
      </c>
      <c r="B818" t="s">
        <v>871</v>
      </c>
      <c r="C818" t="s">
        <v>872</v>
      </c>
      <c r="D818" t="s">
        <v>227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35">
      <c r="A819" t="s">
        <v>870</v>
      </c>
      <c r="B819" t="s">
        <v>871</v>
      </c>
      <c r="C819" t="s">
        <v>873</v>
      </c>
      <c r="D819" t="s">
        <v>227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35">
      <c r="A820" t="s">
        <v>870</v>
      </c>
      <c r="B820" t="s">
        <v>871</v>
      </c>
      <c r="C820" t="s">
        <v>520</v>
      </c>
      <c r="D820" t="s">
        <v>227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35">
      <c r="A821" t="s">
        <v>870</v>
      </c>
      <c r="B821" t="s">
        <v>871</v>
      </c>
      <c r="C821" t="s">
        <v>874</v>
      </c>
      <c r="D821" t="s">
        <v>227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35">
      <c r="A822" t="s">
        <v>870</v>
      </c>
      <c r="B822" t="s">
        <v>871</v>
      </c>
      <c r="C822" t="s">
        <v>875</v>
      </c>
      <c r="D822" t="s">
        <v>227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35">
      <c r="A823" t="s">
        <v>870</v>
      </c>
      <c r="B823" t="s">
        <v>871</v>
      </c>
      <c r="C823" t="s">
        <v>876</v>
      </c>
      <c r="D823" t="s">
        <v>227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35">
      <c r="A824" t="s">
        <v>870</v>
      </c>
      <c r="B824" t="s">
        <v>871</v>
      </c>
      <c r="C824" t="s">
        <v>877</v>
      </c>
      <c r="D824" t="s">
        <v>227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35">
      <c r="A825" t="s">
        <v>870</v>
      </c>
      <c r="B825" t="s">
        <v>871</v>
      </c>
      <c r="C825" t="s">
        <v>878</v>
      </c>
      <c r="D825" t="s">
        <v>227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35">
      <c r="A826" t="s">
        <v>870</v>
      </c>
      <c r="B826" t="s">
        <v>871</v>
      </c>
      <c r="C826" t="s">
        <v>531</v>
      </c>
      <c r="D826" t="s">
        <v>227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35">
      <c r="A827" t="s">
        <v>870</v>
      </c>
      <c r="B827" t="s">
        <v>871</v>
      </c>
      <c r="C827" t="s">
        <v>879</v>
      </c>
      <c r="D827" t="s">
        <v>227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35">
      <c r="A828" t="s">
        <v>870</v>
      </c>
      <c r="B828" t="s">
        <v>871</v>
      </c>
      <c r="C828" t="s">
        <v>462</v>
      </c>
      <c r="D828" t="s">
        <v>227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35">
      <c r="A829" t="s">
        <v>870</v>
      </c>
      <c r="B829" t="s">
        <v>871</v>
      </c>
      <c r="C829" t="s">
        <v>880</v>
      </c>
      <c r="D829" t="s">
        <v>227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35">
      <c r="A830" t="s">
        <v>870</v>
      </c>
      <c r="B830" t="s">
        <v>871</v>
      </c>
      <c r="C830" t="s">
        <v>881</v>
      </c>
      <c r="D830" t="s">
        <v>227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35">
      <c r="A831" t="s">
        <v>870</v>
      </c>
      <c r="B831" t="s">
        <v>871</v>
      </c>
      <c r="C831" t="s">
        <v>882</v>
      </c>
      <c r="D831" t="s">
        <v>227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35">
      <c r="A832" t="s">
        <v>870</v>
      </c>
      <c r="B832" t="s">
        <v>871</v>
      </c>
      <c r="C832" t="s">
        <v>883</v>
      </c>
      <c r="D832" t="s">
        <v>227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35">
      <c r="A833" t="s">
        <v>870</v>
      </c>
      <c r="B833" t="s">
        <v>871</v>
      </c>
      <c r="C833" t="s">
        <v>884</v>
      </c>
      <c r="D833" t="s">
        <v>227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35">
      <c r="A834" t="s">
        <v>870</v>
      </c>
      <c r="B834" t="s">
        <v>871</v>
      </c>
      <c r="C834" t="s">
        <v>373</v>
      </c>
      <c r="D834" t="s">
        <v>227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35">
      <c r="A835" t="s">
        <v>870</v>
      </c>
      <c r="B835" t="s">
        <v>871</v>
      </c>
      <c r="C835" t="s">
        <v>885</v>
      </c>
      <c r="D835" t="s">
        <v>227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35">
      <c r="A836" t="s">
        <v>870</v>
      </c>
      <c r="B836" t="s">
        <v>871</v>
      </c>
      <c r="C836" t="s">
        <v>886</v>
      </c>
      <c r="D836" t="s">
        <v>227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35">
      <c r="A837" t="s">
        <v>870</v>
      </c>
      <c r="B837" t="s">
        <v>871</v>
      </c>
      <c r="C837" t="s">
        <v>887</v>
      </c>
      <c r="D837" t="s">
        <v>227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35">
      <c r="A838" t="s">
        <v>870</v>
      </c>
      <c r="B838" t="s">
        <v>871</v>
      </c>
      <c r="C838" t="s">
        <v>888</v>
      </c>
      <c r="D838" t="s">
        <v>227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35">
      <c r="A839" t="s">
        <v>870</v>
      </c>
      <c r="B839" t="s">
        <v>871</v>
      </c>
      <c r="C839" t="s">
        <v>279</v>
      </c>
      <c r="D839" t="s">
        <v>227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35">
      <c r="A840" t="s">
        <v>870</v>
      </c>
      <c r="B840" t="s">
        <v>871</v>
      </c>
      <c r="C840" t="s">
        <v>889</v>
      </c>
      <c r="D840" t="s">
        <v>227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35">
      <c r="A841" t="s">
        <v>870</v>
      </c>
      <c r="B841" t="s">
        <v>871</v>
      </c>
      <c r="C841" t="s">
        <v>382</v>
      </c>
      <c r="D841" t="s">
        <v>227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35">
      <c r="A842" t="s">
        <v>870</v>
      </c>
      <c r="B842" t="s">
        <v>871</v>
      </c>
      <c r="C842" t="s">
        <v>890</v>
      </c>
      <c r="D842" t="s">
        <v>227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35">
      <c r="A843" t="s">
        <v>870</v>
      </c>
      <c r="B843" t="s">
        <v>871</v>
      </c>
      <c r="C843" t="s">
        <v>891</v>
      </c>
      <c r="D843" t="s">
        <v>227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35">
      <c r="A844" t="s">
        <v>870</v>
      </c>
      <c r="B844" t="s">
        <v>871</v>
      </c>
      <c r="C844" t="s">
        <v>323</v>
      </c>
      <c r="D844" t="s">
        <v>227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35">
      <c r="A845" t="s">
        <v>892</v>
      </c>
      <c r="B845" t="s">
        <v>893</v>
      </c>
      <c r="C845" t="s">
        <v>894</v>
      </c>
      <c r="D845" t="s">
        <v>227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35">
      <c r="A846" t="s">
        <v>892</v>
      </c>
      <c r="B846" t="s">
        <v>893</v>
      </c>
      <c r="C846" t="s">
        <v>315</v>
      </c>
      <c r="D846" t="s">
        <v>227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35">
      <c r="A847" t="s">
        <v>892</v>
      </c>
      <c r="B847" t="s">
        <v>893</v>
      </c>
      <c r="C847" t="s">
        <v>631</v>
      </c>
      <c r="D847" t="s">
        <v>227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35">
      <c r="A848" t="s">
        <v>892</v>
      </c>
      <c r="B848" t="s">
        <v>893</v>
      </c>
      <c r="C848" t="s">
        <v>895</v>
      </c>
      <c r="D848" t="s">
        <v>227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35">
      <c r="A849" t="s">
        <v>892</v>
      </c>
      <c r="B849" t="s">
        <v>893</v>
      </c>
      <c r="C849" t="s">
        <v>608</v>
      </c>
      <c r="D849" t="s">
        <v>227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35">
      <c r="A850" t="s">
        <v>892</v>
      </c>
      <c r="B850" t="s">
        <v>893</v>
      </c>
      <c r="C850" t="s">
        <v>670</v>
      </c>
      <c r="D850" t="s">
        <v>227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35">
      <c r="A851" t="s">
        <v>892</v>
      </c>
      <c r="B851" t="s">
        <v>893</v>
      </c>
      <c r="C851" t="s">
        <v>896</v>
      </c>
      <c r="D851" t="s">
        <v>227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35">
      <c r="A852" t="s">
        <v>892</v>
      </c>
      <c r="B852" t="s">
        <v>893</v>
      </c>
      <c r="C852" t="s">
        <v>897</v>
      </c>
      <c r="D852" t="s">
        <v>227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35">
      <c r="A853" t="s">
        <v>892</v>
      </c>
      <c r="B853" t="s">
        <v>893</v>
      </c>
      <c r="C853" t="s">
        <v>898</v>
      </c>
      <c r="D853" t="s">
        <v>227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35">
      <c r="A854" t="s">
        <v>892</v>
      </c>
      <c r="B854" t="s">
        <v>893</v>
      </c>
      <c r="C854" t="s">
        <v>899</v>
      </c>
      <c r="D854" t="s">
        <v>227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35">
      <c r="A855" t="s">
        <v>892</v>
      </c>
      <c r="B855" t="s">
        <v>893</v>
      </c>
      <c r="C855" t="s">
        <v>318</v>
      </c>
      <c r="D855" t="s">
        <v>227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35">
      <c r="A856" t="s">
        <v>892</v>
      </c>
      <c r="B856" t="s">
        <v>893</v>
      </c>
      <c r="C856" t="s">
        <v>279</v>
      </c>
      <c r="D856" t="s">
        <v>227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35">
      <c r="A857" t="s">
        <v>892</v>
      </c>
      <c r="B857" t="s">
        <v>893</v>
      </c>
      <c r="C857" t="s">
        <v>321</v>
      </c>
      <c r="D857" t="s">
        <v>227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35">
      <c r="A858" t="s">
        <v>892</v>
      </c>
      <c r="B858" t="s">
        <v>893</v>
      </c>
      <c r="C858" t="s">
        <v>900</v>
      </c>
      <c r="D858" t="s">
        <v>227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35">
      <c r="A859" t="s">
        <v>892</v>
      </c>
      <c r="B859" t="s">
        <v>893</v>
      </c>
      <c r="C859" t="s">
        <v>901</v>
      </c>
      <c r="D859" t="s">
        <v>227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35">
      <c r="A860" t="s">
        <v>892</v>
      </c>
      <c r="B860" t="s">
        <v>893</v>
      </c>
      <c r="C860" t="s">
        <v>902</v>
      </c>
      <c r="D860" t="s">
        <v>227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35">
      <c r="A861" t="s">
        <v>892</v>
      </c>
      <c r="B861" t="s">
        <v>893</v>
      </c>
      <c r="C861" t="s">
        <v>903</v>
      </c>
      <c r="D861" t="s">
        <v>227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35">
      <c r="A862" t="s">
        <v>892</v>
      </c>
      <c r="B862" t="s">
        <v>893</v>
      </c>
      <c r="C862" t="s">
        <v>678</v>
      </c>
      <c r="D862" t="s">
        <v>227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35">
      <c r="A863" t="s">
        <v>892</v>
      </c>
      <c r="B863" t="s">
        <v>893</v>
      </c>
      <c r="C863" t="s">
        <v>904</v>
      </c>
      <c r="D863" t="s">
        <v>227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35">
      <c r="A864" t="s">
        <v>892</v>
      </c>
      <c r="B864" t="s">
        <v>893</v>
      </c>
      <c r="C864" t="s">
        <v>323</v>
      </c>
      <c r="D864" t="s">
        <v>227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35">
      <c r="A865" t="s">
        <v>892</v>
      </c>
      <c r="B865" t="s">
        <v>893</v>
      </c>
      <c r="C865" t="s">
        <v>325</v>
      </c>
      <c r="D865" t="s">
        <v>227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35">
      <c r="A866" t="s">
        <v>892</v>
      </c>
      <c r="B866" t="s">
        <v>893</v>
      </c>
      <c r="C866" t="s">
        <v>905</v>
      </c>
      <c r="D866" t="s">
        <v>227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35">
      <c r="A867" t="s">
        <v>892</v>
      </c>
      <c r="B867" t="s">
        <v>893</v>
      </c>
      <c r="C867" t="s">
        <v>287</v>
      </c>
      <c r="D867" t="s">
        <v>227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35">
      <c r="A868" t="s">
        <v>892</v>
      </c>
      <c r="B868" t="s">
        <v>893</v>
      </c>
      <c r="C868" t="s">
        <v>645</v>
      </c>
      <c r="D868" t="s">
        <v>227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35">
      <c r="A869" t="s">
        <v>892</v>
      </c>
      <c r="B869" t="s">
        <v>893</v>
      </c>
      <c r="C869" t="s">
        <v>906</v>
      </c>
      <c r="D869" t="s">
        <v>227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35">
      <c r="A870" t="s">
        <v>892</v>
      </c>
      <c r="B870" t="s">
        <v>893</v>
      </c>
      <c r="C870" t="s">
        <v>907</v>
      </c>
      <c r="D870" t="s">
        <v>227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35">
      <c r="A871" t="s">
        <v>892</v>
      </c>
      <c r="B871" t="s">
        <v>893</v>
      </c>
      <c r="C871" t="s">
        <v>908</v>
      </c>
      <c r="D871" t="s">
        <v>227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35">
      <c r="A872" t="s">
        <v>892</v>
      </c>
      <c r="B872" t="s">
        <v>893</v>
      </c>
      <c r="C872" t="s">
        <v>651</v>
      </c>
      <c r="D872" t="s">
        <v>227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35">
      <c r="A873" t="s">
        <v>892</v>
      </c>
      <c r="B873" t="s">
        <v>893</v>
      </c>
      <c r="C873" t="s">
        <v>909</v>
      </c>
      <c r="D873" t="s">
        <v>227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35">
      <c r="A874" t="s">
        <v>892</v>
      </c>
      <c r="B874" t="s">
        <v>893</v>
      </c>
      <c r="C874" t="s">
        <v>910</v>
      </c>
      <c r="D874" t="s">
        <v>227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35">
      <c r="A875" t="s">
        <v>892</v>
      </c>
      <c r="B875" t="s">
        <v>893</v>
      </c>
      <c r="C875" t="s">
        <v>658</v>
      </c>
      <c r="D875" t="s">
        <v>227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35">
      <c r="A876" t="s">
        <v>892</v>
      </c>
      <c r="B876" t="s">
        <v>893</v>
      </c>
      <c r="C876" t="s">
        <v>911</v>
      </c>
      <c r="D876" t="s">
        <v>227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35">
      <c r="A877" t="s">
        <v>892</v>
      </c>
      <c r="B877" t="s">
        <v>893</v>
      </c>
      <c r="C877" t="s">
        <v>852</v>
      </c>
      <c r="D877" t="s">
        <v>227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35">
      <c r="A878" t="s">
        <v>892</v>
      </c>
      <c r="B878" t="s">
        <v>893</v>
      </c>
      <c r="C878" t="s">
        <v>912</v>
      </c>
      <c r="D878" t="s">
        <v>227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35">
      <c r="A879" t="s">
        <v>892</v>
      </c>
      <c r="B879" t="s">
        <v>893</v>
      </c>
      <c r="C879" t="s">
        <v>853</v>
      </c>
      <c r="D879" t="s">
        <v>227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35">
      <c r="A880" t="s">
        <v>892</v>
      </c>
      <c r="B880" t="s">
        <v>893</v>
      </c>
      <c r="C880" t="s">
        <v>334</v>
      </c>
      <c r="D880" t="s">
        <v>227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35">
      <c r="A881" t="s">
        <v>892</v>
      </c>
      <c r="B881" t="s">
        <v>893</v>
      </c>
      <c r="C881" t="s">
        <v>913</v>
      </c>
      <c r="D881" t="s">
        <v>227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35">
      <c r="A882" t="s">
        <v>892</v>
      </c>
      <c r="B882" t="s">
        <v>893</v>
      </c>
      <c r="C882" t="s">
        <v>914</v>
      </c>
      <c r="D882" t="s">
        <v>227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35">
      <c r="A883" t="s">
        <v>892</v>
      </c>
      <c r="B883" t="s">
        <v>893</v>
      </c>
      <c r="C883" t="s">
        <v>915</v>
      </c>
      <c r="D883" t="s">
        <v>227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35">
      <c r="A884" t="s">
        <v>892</v>
      </c>
      <c r="B884" t="s">
        <v>893</v>
      </c>
      <c r="C884" t="s">
        <v>338</v>
      </c>
      <c r="D884" t="s">
        <v>227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35">
      <c r="A885" t="s">
        <v>892</v>
      </c>
      <c r="B885" t="s">
        <v>893</v>
      </c>
      <c r="C885" t="s">
        <v>916</v>
      </c>
      <c r="D885" t="s">
        <v>227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35">
      <c r="A886" t="s">
        <v>892</v>
      </c>
      <c r="B886" t="s">
        <v>893</v>
      </c>
      <c r="C886" t="s">
        <v>917</v>
      </c>
      <c r="D886" t="s">
        <v>227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35">
      <c r="A887" t="s">
        <v>892</v>
      </c>
      <c r="B887" t="s">
        <v>893</v>
      </c>
      <c r="C887" t="s">
        <v>918</v>
      </c>
      <c r="D887" t="s">
        <v>227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35">
      <c r="A888" t="s">
        <v>892</v>
      </c>
      <c r="B888" t="s">
        <v>893</v>
      </c>
      <c r="C888" t="s">
        <v>919</v>
      </c>
      <c r="D888" t="s">
        <v>227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35">
      <c r="A889" t="s">
        <v>892</v>
      </c>
      <c r="B889" t="s">
        <v>893</v>
      </c>
      <c r="C889" t="s">
        <v>920</v>
      </c>
      <c r="D889" t="s">
        <v>227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35">
      <c r="A890" t="s">
        <v>892</v>
      </c>
      <c r="B890" t="s">
        <v>893</v>
      </c>
      <c r="C890" t="s">
        <v>921</v>
      </c>
      <c r="D890" t="s">
        <v>227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35">
      <c r="A891" t="s">
        <v>892</v>
      </c>
      <c r="B891" t="s">
        <v>893</v>
      </c>
      <c r="C891" t="s">
        <v>922</v>
      </c>
      <c r="D891" t="s">
        <v>227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35">
      <c r="A892" t="s">
        <v>892</v>
      </c>
      <c r="B892" t="s">
        <v>893</v>
      </c>
      <c r="C892" t="s">
        <v>923</v>
      </c>
      <c r="D892" t="s">
        <v>227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35">
      <c r="A893" t="s">
        <v>892</v>
      </c>
      <c r="B893" t="s">
        <v>893</v>
      </c>
      <c r="C893" t="s">
        <v>924</v>
      </c>
      <c r="D893" t="s">
        <v>227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35">
      <c r="A894" t="s">
        <v>892</v>
      </c>
      <c r="B894" t="s">
        <v>893</v>
      </c>
      <c r="C894" t="s">
        <v>485</v>
      </c>
      <c r="D894" t="s">
        <v>227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35">
      <c r="A895" t="s">
        <v>892</v>
      </c>
      <c r="B895" t="s">
        <v>893</v>
      </c>
      <c r="C895" t="s">
        <v>925</v>
      </c>
      <c r="D895" t="s">
        <v>227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35">
      <c r="A896" t="s">
        <v>892</v>
      </c>
      <c r="B896" t="s">
        <v>893</v>
      </c>
      <c r="C896" t="s">
        <v>926</v>
      </c>
      <c r="D896" t="s">
        <v>227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35">
      <c r="A897" t="s">
        <v>892</v>
      </c>
      <c r="B897" t="s">
        <v>893</v>
      </c>
      <c r="C897" t="s">
        <v>307</v>
      </c>
      <c r="D897" t="s">
        <v>227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35">
      <c r="A898" t="s">
        <v>892</v>
      </c>
      <c r="B898" t="s">
        <v>893</v>
      </c>
      <c r="C898" t="s">
        <v>497</v>
      </c>
      <c r="D898" t="s">
        <v>227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35">
      <c r="A899" t="s">
        <v>892</v>
      </c>
      <c r="B899" t="s">
        <v>893</v>
      </c>
      <c r="C899" t="s">
        <v>498</v>
      </c>
      <c r="D899" t="s">
        <v>227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35">
      <c r="A900" t="s">
        <v>892</v>
      </c>
      <c r="B900" t="s">
        <v>893</v>
      </c>
      <c r="C900" t="s">
        <v>499</v>
      </c>
      <c r="D900" t="s">
        <v>227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35">
      <c r="A901" t="s">
        <v>892</v>
      </c>
      <c r="B901" t="s">
        <v>893</v>
      </c>
      <c r="C901" t="s">
        <v>727</v>
      </c>
      <c r="D901" t="s">
        <v>227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35">
      <c r="A902" t="s">
        <v>927</v>
      </c>
      <c r="B902" t="s">
        <v>928</v>
      </c>
      <c r="C902" t="s">
        <v>929</v>
      </c>
      <c r="D902" t="s">
        <v>227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35">
      <c r="A903" t="s">
        <v>927</v>
      </c>
      <c r="B903" t="s">
        <v>928</v>
      </c>
      <c r="C903" t="s">
        <v>930</v>
      </c>
      <c r="D903" t="s">
        <v>227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35">
      <c r="A904" t="s">
        <v>927</v>
      </c>
      <c r="B904" t="s">
        <v>928</v>
      </c>
      <c r="C904" t="s">
        <v>529</v>
      </c>
      <c r="D904" t="s">
        <v>358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35">
      <c r="A905" t="s">
        <v>927</v>
      </c>
      <c r="B905" t="s">
        <v>928</v>
      </c>
      <c r="C905" t="s">
        <v>368</v>
      </c>
      <c r="D905" t="s">
        <v>227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35">
      <c r="A906" t="s">
        <v>927</v>
      </c>
      <c r="B906" t="s">
        <v>928</v>
      </c>
      <c r="C906" t="s">
        <v>931</v>
      </c>
      <c r="D906" t="s">
        <v>227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35">
      <c r="A907" t="s">
        <v>927</v>
      </c>
      <c r="B907" t="s">
        <v>928</v>
      </c>
      <c r="C907" t="s">
        <v>932</v>
      </c>
      <c r="D907" t="s">
        <v>227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35">
      <c r="A908" t="s">
        <v>927</v>
      </c>
      <c r="B908" t="s">
        <v>928</v>
      </c>
      <c r="C908" t="s">
        <v>933</v>
      </c>
      <c r="D908" t="s">
        <v>227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35">
      <c r="A909" t="s">
        <v>927</v>
      </c>
      <c r="B909" t="s">
        <v>928</v>
      </c>
      <c r="C909" t="s">
        <v>612</v>
      </c>
      <c r="D909" t="s">
        <v>227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35">
      <c r="A910" t="s">
        <v>934</v>
      </c>
      <c r="B910" t="s">
        <v>935</v>
      </c>
      <c r="C910" t="s">
        <v>936</v>
      </c>
      <c r="D910" t="s">
        <v>227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35">
      <c r="A911" t="s">
        <v>934</v>
      </c>
      <c r="B911" t="s">
        <v>935</v>
      </c>
      <c r="C911" t="s">
        <v>937</v>
      </c>
      <c r="D911" t="s">
        <v>227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35">
      <c r="A912" t="s">
        <v>934</v>
      </c>
      <c r="B912" t="s">
        <v>935</v>
      </c>
      <c r="C912" t="s">
        <v>938</v>
      </c>
      <c r="D912" t="s">
        <v>356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35">
      <c r="A913" t="s">
        <v>934</v>
      </c>
      <c r="B913" t="s">
        <v>935</v>
      </c>
      <c r="C913" t="s">
        <v>939</v>
      </c>
      <c r="D913" t="s">
        <v>356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35">
      <c r="A914" t="s">
        <v>934</v>
      </c>
      <c r="B914" t="s">
        <v>935</v>
      </c>
      <c r="C914" t="s">
        <v>940</v>
      </c>
      <c r="D914" t="s">
        <v>227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35">
      <c r="A915" t="s">
        <v>934</v>
      </c>
      <c r="B915" t="s">
        <v>935</v>
      </c>
      <c r="C915" t="s">
        <v>941</v>
      </c>
      <c r="D915" t="s">
        <v>227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35">
      <c r="A916" t="s">
        <v>934</v>
      </c>
      <c r="B916" t="s">
        <v>935</v>
      </c>
      <c r="C916" t="s">
        <v>346</v>
      </c>
      <c r="D916" t="s">
        <v>356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35">
      <c r="A917" t="s">
        <v>934</v>
      </c>
      <c r="B917" t="s">
        <v>935</v>
      </c>
      <c r="C917" t="s">
        <v>942</v>
      </c>
      <c r="D917" t="s">
        <v>356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35">
      <c r="A918" t="s">
        <v>943</v>
      </c>
      <c r="B918" t="s">
        <v>944</v>
      </c>
      <c r="C918" t="s">
        <v>945</v>
      </c>
      <c r="D918" t="s">
        <v>227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35">
      <c r="A919" t="s">
        <v>943</v>
      </c>
      <c r="B919" t="s">
        <v>944</v>
      </c>
      <c r="C919" t="s">
        <v>730</v>
      </c>
      <c r="D919" t="s">
        <v>227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35">
      <c r="A920" t="s">
        <v>943</v>
      </c>
      <c r="B920" t="s">
        <v>944</v>
      </c>
      <c r="C920" t="s">
        <v>946</v>
      </c>
      <c r="D920" t="s">
        <v>246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35">
      <c r="A921" t="s">
        <v>943</v>
      </c>
      <c r="B921" t="s">
        <v>944</v>
      </c>
      <c r="C921" t="s">
        <v>947</v>
      </c>
      <c r="D921" t="s">
        <v>227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35">
      <c r="A922" t="s">
        <v>943</v>
      </c>
      <c r="B922" t="s">
        <v>944</v>
      </c>
      <c r="C922" t="s">
        <v>948</v>
      </c>
      <c r="D922" t="s">
        <v>227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35">
      <c r="A923" t="s">
        <v>943</v>
      </c>
      <c r="B923" t="s">
        <v>944</v>
      </c>
      <c r="C923" t="s">
        <v>949</v>
      </c>
      <c r="D923" t="s">
        <v>227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35">
      <c r="A924" t="s">
        <v>943</v>
      </c>
      <c r="B924" t="s">
        <v>944</v>
      </c>
      <c r="C924" t="s">
        <v>950</v>
      </c>
      <c r="D924" t="s">
        <v>227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35">
      <c r="A925" t="s">
        <v>943</v>
      </c>
      <c r="B925" t="s">
        <v>944</v>
      </c>
      <c r="C925" t="s">
        <v>951</v>
      </c>
      <c r="D925" t="s">
        <v>227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35">
      <c r="A926" t="s">
        <v>943</v>
      </c>
      <c r="B926" t="s">
        <v>944</v>
      </c>
      <c r="C926" t="s">
        <v>952</v>
      </c>
      <c r="D926" t="s">
        <v>227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35">
      <c r="A927" t="s">
        <v>943</v>
      </c>
      <c r="B927" t="s">
        <v>944</v>
      </c>
      <c r="C927" t="s">
        <v>579</v>
      </c>
      <c r="D927" t="s">
        <v>227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35">
      <c r="A928" t="s">
        <v>943</v>
      </c>
      <c r="B928" t="s">
        <v>944</v>
      </c>
      <c r="C928" t="s">
        <v>456</v>
      </c>
      <c r="D928" t="s">
        <v>227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35">
      <c r="A929" t="s">
        <v>943</v>
      </c>
      <c r="B929" t="s">
        <v>944</v>
      </c>
      <c r="C929" t="s">
        <v>953</v>
      </c>
      <c r="D929" t="s">
        <v>227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35">
      <c r="A930" t="s">
        <v>943</v>
      </c>
      <c r="B930" t="s">
        <v>944</v>
      </c>
      <c r="C930" t="s">
        <v>583</v>
      </c>
      <c r="D930" t="s">
        <v>227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35">
      <c r="A931" t="s">
        <v>943</v>
      </c>
      <c r="B931" t="s">
        <v>944</v>
      </c>
      <c r="C931" t="s">
        <v>954</v>
      </c>
      <c r="D931" t="s">
        <v>227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35">
      <c r="A932" t="s">
        <v>943</v>
      </c>
      <c r="B932" t="s">
        <v>944</v>
      </c>
      <c r="C932" t="s">
        <v>955</v>
      </c>
      <c r="D932" t="s">
        <v>227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35">
      <c r="A933" t="s">
        <v>943</v>
      </c>
      <c r="B933" t="s">
        <v>944</v>
      </c>
      <c r="C933" t="s">
        <v>754</v>
      </c>
      <c r="D933" t="s">
        <v>227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35">
      <c r="A934" t="s">
        <v>943</v>
      </c>
      <c r="B934" t="s">
        <v>944</v>
      </c>
      <c r="C934" t="s">
        <v>272</v>
      </c>
      <c r="D934" t="s">
        <v>227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35">
      <c r="A935" t="s">
        <v>943</v>
      </c>
      <c r="B935" t="s">
        <v>944</v>
      </c>
      <c r="C935" t="s">
        <v>313</v>
      </c>
      <c r="D935" t="s">
        <v>227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35">
      <c r="A936" t="s">
        <v>943</v>
      </c>
      <c r="B936" t="s">
        <v>944</v>
      </c>
      <c r="C936" t="s">
        <v>956</v>
      </c>
      <c r="D936" t="s">
        <v>227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35">
      <c r="A937" t="s">
        <v>943</v>
      </c>
      <c r="B937" t="s">
        <v>944</v>
      </c>
      <c r="C937" t="s">
        <v>274</v>
      </c>
      <c r="D937" t="s">
        <v>227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35">
      <c r="A938" t="s">
        <v>943</v>
      </c>
      <c r="B938" t="s">
        <v>944</v>
      </c>
      <c r="C938" t="s">
        <v>608</v>
      </c>
      <c r="D938" t="s">
        <v>227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35">
      <c r="A939" t="s">
        <v>943</v>
      </c>
      <c r="B939" t="s">
        <v>944</v>
      </c>
      <c r="C939" t="s">
        <v>957</v>
      </c>
      <c r="D939" t="s">
        <v>227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35">
      <c r="A940" t="s">
        <v>943</v>
      </c>
      <c r="B940" t="s">
        <v>944</v>
      </c>
      <c r="C940" t="s">
        <v>279</v>
      </c>
      <c r="D940" t="s">
        <v>227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35">
      <c r="A941" t="s">
        <v>943</v>
      </c>
      <c r="B941" t="s">
        <v>944</v>
      </c>
      <c r="C941" t="s">
        <v>958</v>
      </c>
      <c r="D941" t="s">
        <v>246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35">
      <c r="A942" t="s">
        <v>943</v>
      </c>
      <c r="B942" t="s">
        <v>944</v>
      </c>
      <c r="C942" t="s">
        <v>539</v>
      </c>
      <c r="D942" t="s">
        <v>227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35">
      <c r="A943" t="s">
        <v>943</v>
      </c>
      <c r="B943" t="s">
        <v>944</v>
      </c>
      <c r="C943" t="s">
        <v>683</v>
      </c>
      <c r="D943" t="s">
        <v>227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35">
      <c r="A944" t="s">
        <v>943</v>
      </c>
      <c r="B944" t="s">
        <v>944</v>
      </c>
      <c r="C944" t="s">
        <v>287</v>
      </c>
      <c r="D944" t="s">
        <v>227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35">
      <c r="A945" t="s">
        <v>943</v>
      </c>
      <c r="B945" t="s">
        <v>944</v>
      </c>
      <c r="C945" t="s">
        <v>292</v>
      </c>
      <c r="D945" t="s">
        <v>227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35">
      <c r="A946" t="s">
        <v>943</v>
      </c>
      <c r="B946" t="s">
        <v>944</v>
      </c>
      <c r="C946" t="s">
        <v>293</v>
      </c>
      <c r="D946" t="s">
        <v>227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35">
      <c r="A947" t="s">
        <v>943</v>
      </c>
      <c r="B947" t="s">
        <v>944</v>
      </c>
      <c r="C947" t="s">
        <v>959</v>
      </c>
      <c r="D947" t="s">
        <v>246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35">
      <c r="A948" t="s">
        <v>943</v>
      </c>
      <c r="B948" t="s">
        <v>944</v>
      </c>
      <c r="C948" t="s">
        <v>960</v>
      </c>
      <c r="D948" t="s">
        <v>246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35">
      <c r="A949" t="s">
        <v>943</v>
      </c>
      <c r="B949" t="s">
        <v>944</v>
      </c>
      <c r="C949" t="s">
        <v>961</v>
      </c>
      <c r="D949" t="s">
        <v>227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35">
      <c r="A950" t="s">
        <v>943</v>
      </c>
      <c r="B950" t="s">
        <v>944</v>
      </c>
      <c r="C950" t="s">
        <v>962</v>
      </c>
      <c r="D950" t="s">
        <v>227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35">
      <c r="A951" t="s">
        <v>943</v>
      </c>
      <c r="B951" t="s">
        <v>944</v>
      </c>
      <c r="C951" t="s">
        <v>963</v>
      </c>
      <c r="D951" t="s">
        <v>227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35">
      <c r="A952" t="s">
        <v>943</v>
      </c>
      <c r="B952" t="s">
        <v>944</v>
      </c>
      <c r="C952" t="s">
        <v>964</v>
      </c>
      <c r="D952" t="s">
        <v>227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35">
      <c r="A953" t="s">
        <v>943</v>
      </c>
      <c r="B953" t="s">
        <v>944</v>
      </c>
      <c r="C953" t="s">
        <v>965</v>
      </c>
      <c r="D953" t="s">
        <v>227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35">
      <c r="A954" t="s">
        <v>943</v>
      </c>
      <c r="B954" t="s">
        <v>944</v>
      </c>
      <c r="C954" t="s">
        <v>966</v>
      </c>
      <c r="D954" t="s">
        <v>227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35">
      <c r="A955" t="s">
        <v>943</v>
      </c>
      <c r="B955" t="s">
        <v>944</v>
      </c>
      <c r="C955" t="s">
        <v>967</v>
      </c>
      <c r="D955" t="s">
        <v>227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35">
      <c r="A956" t="s">
        <v>943</v>
      </c>
      <c r="B956" t="s">
        <v>944</v>
      </c>
      <c r="C956" t="s">
        <v>968</v>
      </c>
      <c r="D956" t="s">
        <v>227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35">
      <c r="A957" t="s">
        <v>943</v>
      </c>
      <c r="B957" t="s">
        <v>944</v>
      </c>
      <c r="C957" t="s">
        <v>555</v>
      </c>
      <c r="D957" t="s">
        <v>227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35">
      <c r="A958" t="s">
        <v>943</v>
      </c>
      <c r="B958" t="s">
        <v>944</v>
      </c>
      <c r="C958" t="s">
        <v>969</v>
      </c>
      <c r="D958" t="s">
        <v>246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35">
      <c r="A959" t="s">
        <v>943</v>
      </c>
      <c r="B959" t="s">
        <v>944</v>
      </c>
      <c r="C959" t="s">
        <v>970</v>
      </c>
      <c r="D959" t="s">
        <v>227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35">
      <c r="A960" t="s">
        <v>943</v>
      </c>
      <c r="B960" t="s">
        <v>944</v>
      </c>
      <c r="C960" t="s">
        <v>971</v>
      </c>
      <c r="D960" t="s">
        <v>246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35">
      <c r="A961" t="s">
        <v>943</v>
      </c>
      <c r="B961" t="s">
        <v>944</v>
      </c>
      <c r="C961" t="s">
        <v>972</v>
      </c>
      <c r="D961" t="s">
        <v>227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35">
      <c r="A962" t="s">
        <v>943</v>
      </c>
      <c r="B962" t="s">
        <v>944</v>
      </c>
      <c r="C962" t="s">
        <v>973</v>
      </c>
      <c r="D962" t="s">
        <v>227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35">
      <c r="A963" t="s">
        <v>943</v>
      </c>
      <c r="B963" t="s">
        <v>944</v>
      </c>
      <c r="C963" t="s">
        <v>974</v>
      </c>
      <c r="D963" t="s">
        <v>227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35">
      <c r="A964" t="s">
        <v>943</v>
      </c>
      <c r="B964" t="s">
        <v>944</v>
      </c>
      <c r="C964" t="s">
        <v>975</v>
      </c>
      <c r="D964" t="s">
        <v>227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35">
      <c r="A965" t="s">
        <v>943</v>
      </c>
      <c r="B965" t="s">
        <v>944</v>
      </c>
      <c r="C965" t="s">
        <v>559</v>
      </c>
      <c r="D965" t="s">
        <v>227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35">
      <c r="A966" t="s">
        <v>943</v>
      </c>
      <c r="B966" t="s">
        <v>944</v>
      </c>
      <c r="C966" t="s">
        <v>976</v>
      </c>
      <c r="D966" t="s">
        <v>227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35">
      <c r="A967" t="s">
        <v>943</v>
      </c>
      <c r="B967" t="s">
        <v>944</v>
      </c>
      <c r="C967" t="s">
        <v>977</v>
      </c>
      <c r="D967" t="s">
        <v>227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35">
      <c r="A968" t="s">
        <v>943</v>
      </c>
      <c r="B968" t="s">
        <v>944</v>
      </c>
      <c r="C968" t="s">
        <v>978</v>
      </c>
      <c r="D968" t="s">
        <v>227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35">
      <c r="A969" t="s">
        <v>943</v>
      </c>
      <c r="B969" t="s">
        <v>944</v>
      </c>
      <c r="C969" t="s">
        <v>760</v>
      </c>
      <c r="D969" t="s">
        <v>246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35">
      <c r="A970" t="s">
        <v>943</v>
      </c>
      <c r="B970" t="s">
        <v>944</v>
      </c>
      <c r="C970" t="s">
        <v>866</v>
      </c>
      <c r="D970" t="s">
        <v>227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35">
      <c r="A971" t="s">
        <v>943</v>
      </c>
      <c r="B971" t="s">
        <v>944</v>
      </c>
      <c r="C971" t="s">
        <v>979</v>
      </c>
      <c r="D971" t="s">
        <v>227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35">
      <c r="A972" t="s">
        <v>943</v>
      </c>
      <c r="B972" t="s">
        <v>944</v>
      </c>
      <c r="C972" t="s">
        <v>980</v>
      </c>
      <c r="D972" t="s">
        <v>227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35">
      <c r="A973" t="s">
        <v>943</v>
      </c>
      <c r="B973" t="s">
        <v>944</v>
      </c>
      <c r="C973" t="s">
        <v>981</v>
      </c>
      <c r="D973" t="s">
        <v>227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35">
      <c r="A974" t="s">
        <v>943</v>
      </c>
      <c r="B974" t="s">
        <v>944</v>
      </c>
      <c r="C974" t="s">
        <v>496</v>
      </c>
      <c r="D974" t="s">
        <v>227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35">
      <c r="A975" t="s">
        <v>982</v>
      </c>
      <c r="B975" t="s">
        <v>983</v>
      </c>
      <c r="C975" t="s">
        <v>648</v>
      </c>
      <c r="D975" t="s">
        <v>227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35">
      <c r="A976" t="s">
        <v>982</v>
      </c>
      <c r="B976" t="s">
        <v>983</v>
      </c>
      <c r="C976" t="s">
        <v>293</v>
      </c>
      <c r="D976" t="s">
        <v>246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35">
      <c r="A977" t="s">
        <v>982</v>
      </c>
      <c r="B977" t="s">
        <v>983</v>
      </c>
      <c r="C977" t="s">
        <v>984</v>
      </c>
      <c r="D977" t="s">
        <v>246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35">
      <c r="A978" t="s">
        <v>982</v>
      </c>
      <c r="B978" t="s">
        <v>983</v>
      </c>
      <c r="C978" t="s">
        <v>985</v>
      </c>
      <c r="D978" t="s">
        <v>246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35">
      <c r="A979" t="s">
        <v>982</v>
      </c>
      <c r="B979" t="s">
        <v>983</v>
      </c>
      <c r="C979" t="s">
        <v>986</v>
      </c>
      <c r="D979" t="s">
        <v>242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35">
      <c r="A980" t="s">
        <v>982</v>
      </c>
      <c r="B980" t="s">
        <v>983</v>
      </c>
      <c r="C980" t="s">
        <v>987</v>
      </c>
      <c r="D980" t="s">
        <v>246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35">
      <c r="A981" t="s">
        <v>982</v>
      </c>
      <c r="B981" t="s">
        <v>983</v>
      </c>
      <c r="C981" t="s">
        <v>988</v>
      </c>
      <c r="D981" t="s">
        <v>242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35">
      <c r="A982" t="s">
        <v>982</v>
      </c>
      <c r="B982" t="s">
        <v>983</v>
      </c>
      <c r="C982" t="s">
        <v>965</v>
      </c>
      <c r="D982" t="s">
        <v>246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35">
      <c r="A983" t="s">
        <v>982</v>
      </c>
      <c r="B983" t="s">
        <v>983</v>
      </c>
      <c r="C983" t="s">
        <v>989</v>
      </c>
      <c r="D983" t="s">
        <v>246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35">
      <c r="A984" t="s">
        <v>982</v>
      </c>
      <c r="B984" t="s">
        <v>983</v>
      </c>
      <c r="C984" t="s">
        <v>990</v>
      </c>
      <c r="D984" t="s">
        <v>246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35">
      <c r="A985" t="s">
        <v>982</v>
      </c>
      <c r="B985" t="s">
        <v>983</v>
      </c>
      <c r="C985" t="s">
        <v>991</v>
      </c>
      <c r="D985" t="s">
        <v>242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35">
      <c r="A986" t="s">
        <v>982</v>
      </c>
      <c r="B986" t="s">
        <v>983</v>
      </c>
      <c r="C986" t="s">
        <v>992</v>
      </c>
      <c r="D986" t="s">
        <v>246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35">
      <c r="A987" t="s">
        <v>982</v>
      </c>
      <c r="B987" t="s">
        <v>983</v>
      </c>
      <c r="C987" t="s">
        <v>993</v>
      </c>
      <c r="D987" t="s">
        <v>246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35">
      <c r="A988" t="s">
        <v>982</v>
      </c>
      <c r="B988" t="s">
        <v>983</v>
      </c>
      <c r="C988" t="s">
        <v>994</v>
      </c>
      <c r="D988" t="s">
        <v>246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35">
      <c r="A989" t="s">
        <v>982</v>
      </c>
      <c r="B989" t="s">
        <v>983</v>
      </c>
      <c r="C989" t="s">
        <v>334</v>
      </c>
      <c r="D989" t="s">
        <v>246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35">
      <c r="A990" t="s">
        <v>982</v>
      </c>
      <c r="B990" t="s">
        <v>983</v>
      </c>
      <c r="C990" t="s">
        <v>298</v>
      </c>
      <c r="D990" t="s">
        <v>246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35">
      <c r="A991" t="s">
        <v>982</v>
      </c>
      <c r="B991" t="s">
        <v>983</v>
      </c>
      <c r="C991" t="s">
        <v>971</v>
      </c>
      <c r="D991" t="s">
        <v>246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35">
      <c r="A992" t="s">
        <v>982</v>
      </c>
      <c r="B992" t="s">
        <v>983</v>
      </c>
      <c r="C992" t="s">
        <v>995</v>
      </c>
      <c r="D992" t="s">
        <v>246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35">
      <c r="A993" t="s">
        <v>982</v>
      </c>
      <c r="B993" t="s">
        <v>983</v>
      </c>
      <c r="C993" t="s">
        <v>996</v>
      </c>
      <c r="D993" t="s">
        <v>246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35">
      <c r="A994" t="s">
        <v>982</v>
      </c>
      <c r="B994" t="s">
        <v>983</v>
      </c>
      <c r="C994" t="s">
        <v>701</v>
      </c>
      <c r="D994" t="s">
        <v>246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35">
      <c r="A995" t="s">
        <v>982</v>
      </c>
      <c r="B995" t="s">
        <v>983</v>
      </c>
      <c r="C995" t="s">
        <v>997</v>
      </c>
      <c r="D995" t="s">
        <v>246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35">
      <c r="A996" t="s">
        <v>982</v>
      </c>
      <c r="B996" t="s">
        <v>983</v>
      </c>
      <c r="C996" t="s">
        <v>998</v>
      </c>
      <c r="D996" t="s">
        <v>246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35">
      <c r="A997" t="s">
        <v>982</v>
      </c>
      <c r="B997" t="s">
        <v>983</v>
      </c>
      <c r="C997" t="s">
        <v>858</v>
      </c>
      <c r="D997" t="s">
        <v>246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35">
      <c r="A998" t="s">
        <v>982</v>
      </c>
      <c r="B998" t="s">
        <v>983</v>
      </c>
      <c r="C998" t="s">
        <v>999</v>
      </c>
      <c r="D998" t="s">
        <v>246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35">
      <c r="A999" t="s">
        <v>982</v>
      </c>
      <c r="B999" t="s">
        <v>983</v>
      </c>
      <c r="C999" t="s">
        <v>1000</v>
      </c>
      <c r="D999" t="s">
        <v>246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35">
      <c r="A1000" t="s">
        <v>982</v>
      </c>
      <c r="B1000" t="s">
        <v>983</v>
      </c>
      <c r="C1000" t="s">
        <v>1001</v>
      </c>
      <c r="D1000" t="s">
        <v>246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35">
      <c r="A1001" t="s">
        <v>982</v>
      </c>
      <c r="B1001" t="s">
        <v>983</v>
      </c>
      <c r="C1001" t="s">
        <v>1002</v>
      </c>
      <c r="D1001" t="s">
        <v>246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35">
      <c r="A1002" t="s">
        <v>982</v>
      </c>
      <c r="B1002" t="s">
        <v>983</v>
      </c>
      <c r="C1002" t="s">
        <v>1003</v>
      </c>
      <c r="D1002" t="s">
        <v>246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35">
      <c r="A1003" t="s">
        <v>982</v>
      </c>
      <c r="B1003" t="s">
        <v>983</v>
      </c>
      <c r="C1003" t="s">
        <v>1004</v>
      </c>
      <c r="D1003" t="s">
        <v>246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35">
      <c r="A1004" t="s">
        <v>982</v>
      </c>
      <c r="B1004" t="s">
        <v>983</v>
      </c>
      <c r="C1004" t="s">
        <v>346</v>
      </c>
      <c r="D1004" t="s">
        <v>246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35">
      <c r="A1005" t="s">
        <v>982</v>
      </c>
      <c r="B1005" t="s">
        <v>983</v>
      </c>
      <c r="C1005" t="s">
        <v>1005</v>
      </c>
      <c r="D1005" t="s">
        <v>246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35">
      <c r="A1006" t="s">
        <v>982</v>
      </c>
      <c r="B1006" t="s">
        <v>983</v>
      </c>
      <c r="C1006" t="s">
        <v>1006</v>
      </c>
      <c r="D1006" t="s">
        <v>246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35">
      <c r="A1007" t="s">
        <v>982</v>
      </c>
      <c r="B1007" t="s">
        <v>983</v>
      </c>
      <c r="C1007" t="s">
        <v>496</v>
      </c>
      <c r="D1007" t="s">
        <v>246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35">
      <c r="A1008" t="s">
        <v>982</v>
      </c>
      <c r="B1008" t="s">
        <v>983</v>
      </c>
      <c r="C1008" t="s">
        <v>307</v>
      </c>
      <c r="D1008" t="s">
        <v>246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35">
      <c r="A1009" t="s">
        <v>982</v>
      </c>
      <c r="B1009" t="s">
        <v>983</v>
      </c>
      <c r="C1009" t="s">
        <v>1007</v>
      </c>
      <c r="D1009" t="s">
        <v>227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35">
      <c r="A1010" t="s">
        <v>982</v>
      </c>
      <c r="B1010" t="s">
        <v>983</v>
      </c>
      <c r="C1010" t="s">
        <v>497</v>
      </c>
      <c r="D1010" t="s">
        <v>246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35">
      <c r="A1011" t="s">
        <v>982</v>
      </c>
      <c r="B1011" t="s">
        <v>983</v>
      </c>
      <c r="C1011" t="s">
        <v>502</v>
      </c>
      <c r="D1011" t="s">
        <v>246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35">
      <c r="A1012" t="s">
        <v>982</v>
      </c>
      <c r="B1012" t="s">
        <v>983</v>
      </c>
      <c r="C1012" t="s">
        <v>1008</v>
      </c>
      <c r="D1012" t="s">
        <v>246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35">
      <c r="A1013" t="s">
        <v>982</v>
      </c>
      <c r="B1013" t="s">
        <v>983</v>
      </c>
      <c r="C1013" t="s">
        <v>1009</v>
      </c>
      <c r="D1013" t="s">
        <v>246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35">
      <c r="A1014" t="s">
        <v>982</v>
      </c>
      <c r="B1014" t="s">
        <v>983</v>
      </c>
      <c r="C1014" t="s">
        <v>1010</v>
      </c>
      <c r="D1014" t="s">
        <v>227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35">
      <c r="A1015" t="s">
        <v>1011</v>
      </c>
      <c r="B1015" t="s">
        <v>1012</v>
      </c>
      <c r="C1015" t="s">
        <v>515</v>
      </c>
      <c r="D1015" t="s">
        <v>227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35">
      <c r="A1016" t="s">
        <v>1011</v>
      </c>
      <c r="B1016" t="s">
        <v>1012</v>
      </c>
      <c r="C1016" t="s">
        <v>1013</v>
      </c>
      <c r="D1016" t="s">
        <v>228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35">
      <c r="A1017" t="s">
        <v>1011</v>
      </c>
      <c r="B1017" t="s">
        <v>1012</v>
      </c>
      <c r="C1017" t="s">
        <v>1014</v>
      </c>
      <c r="D1017" t="s">
        <v>228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35">
      <c r="A1018" t="s">
        <v>1011</v>
      </c>
      <c r="B1018" t="s">
        <v>1012</v>
      </c>
      <c r="C1018" t="s">
        <v>1015</v>
      </c>
      <c r="D1018" t="s">
        <v>227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35">
      <c r="A1019" t="s">
        <v>1011</v>
      </c>
      <c r="B1019" t="s">
        <v>1012</v>
      </c>
      <c r="C1019" t="s">
        <v>1016</v>
      </c>
      <c r="D1019" t="s">
        <v>228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35">
      <c r="A1020" t="s">
        <v>1011</v>
      </c>
      <c r="B1020" t="s">
        <v>1012</v>
      </c>
      <c r="C1020" t="s">
        <v>1017</v>
      </c>
      <c r="D1020" t="s">
        <v>227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35">
      <c r="A1021" t="s">
        <v>1011</v>
      </c>
      <c r="B1021" t="s">
        <v>1012</v>
      </c>
      <c r="C1021" t="s">
        <v>442</v>
      </c>
      <c r="D1021" t="s">
        <v>228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35">
      <c r="A1022" t="s">
        <v>1011</v>
      </c>
      <c r="B1022" t="s">
        <v>1012</v>
      </c>
      <c r="C1022" t="s">
        <v>1018</v>
      </c>
      <c r="D1022" t="s">
        <v>227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35">
      <c r="A1023" t="s">
        <v>1011</v>
      </c>
      <c r="B1023" t="s">
        <v>1012</v>
      </c>
      <c r="C1023" t="s">
        <v>578</v>
      </c>
      <c r="D1023" t="s">
        <v>228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35">
      <c r="A1024" t="s">
        <v>1011</v>
      </c>
      <c r="B1024" t="s">
        <v>1012</v>
      </c>
      <c r="C1024" t="s">
        <v>1019</v>
      </c>
      <c r="D1024" t="s">
        <v>228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35">
      <c r="A1025" t="s">
        <v>1011</v>
      </c>
      <c r="B1025" t="s">
        <v>1012</v>
      </c>
      <c r="C1025" t="s">
        <v>1020</v>
      </c>
      <c r="D1025" t="s">
        <v>227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35">
      <c r="A1026" t="s">
        <v>1011</v>
      </c>
      <c r="B1026" t="s">
        <v>1012</v>
      </c>
      <c r="C1026" t="s">
        <v>1021</v>
      </c>
      <c r="D1026" t="s">
        <v>228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35">
      <c r="A1027" t="s">
        <v>1011</v>
      </c>
      <c r="B1027" t="s">
        <v>1012</v>
      </c>
      <c r="C1027" t="s">
        <v>1022</v>
      </c>
      <c r="D1027" t="s">
        <v>227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35">
      <c r="A1028" t="s">
        <v>1011</v>
      </c>
      <c r="B1028" t="s">
        <v>1012</v>
      </c>
      <c r="C1028" t="s">
        <v>1023</v>
      </c>
      <c r="D1028" t="s">
        <v>228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35">
      <c r="A1029" t="s">
        <v>1011</v>
      </c>
      <c r="B1029" t="s">
        <v>1012</v>
      </c>
      <c r="C1029" t="s">
        <v>1024</v>
      </c>
      <c r="D1029" t="s">
        <v>227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35">
      <c r="A1030" t="s">
        <v>1011</v>
      </c>
      <c r="B1030" t="s">
        <v>1012</v>
      </c>
      <c r="C1030" t="s">
        <v>1025</v>
      </c>
      <c r="D1030" t="s">
        <v>228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35">
      <c r="A1031" t="s">
        <v>1011</v>
      </c>
      <c r="B1031" t="s">
        <v>1012</v>
      </c>
      <c r="C1031" t="s">
        <v>886</v>
      </c>
      <c r="D1031" t="s">
        <v>227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35">
      <c r="A1032" t="s">
        <v>1011</v>
      </c>
      <c r="B1032" t="s">
        <v>1012</v>
      </c>
      <c r="C1032" t="s">
        <v>1026</v>
      </c>
      <c r="D1032" t="s">
        <v>228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35">
      <c r="A1033" t="s">
        <v>1011</v>
      </c>
      <c r="B1033" t="s">
        <v>1012</v>
      </c>
      <c r="C1033" t="s">
        <v>315</v>
      </c>
      <c r="D1033" t="s">
        <v>227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35">
      <c r="A1034" t="s">
        <v>1011</v>
      </c>
      <c r="B1034" t="s">
        <v>1012</v>
      </c>
      <c r="C1034" t="s">
        <v>1027</v>
      </c>
      <c r="D1034" t="s">
        <v>228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35">
      <c r="A1035" t="s">
        <v>1011</v>
      </c>
      <c r="B1035" t="s">
        <v>1012</v>
      </c>
      <c r="C1035" t="s">
        <v>1028</v>
      </c>
      <c r="D1035" t="s">
        <v>227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35">
      <c r="A1036" t="s">
        <v>1011</v>
      </c>
      <c r="B1036" t="s">
        <v>1012</v>
      </c>
      <c r="C1036" t="s">
        <v>1029</v>
      </c>
      <c r="D1036" t="s">
        <v>228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35">
      <c r="A1037" t="s">
        <v>1011</v>
      </c>
      <c r="B1037" t="s">
        <v>1012</v>
      </c>
      <c r="C1037" t="s">
        <v>1030</v>
      </c>
      <c r="D1037" t="s">
        <v>227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35">
      <c r="A1038" t="s">
        <v>1011</v>
      </c>
      <c r="B1038" t="s">
        <v>1012</v>
      </c>
      <c r="C1038" t="s">
        <v>325</v>
      </c>
      <c r="D1038" t="s">
        <v>227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35">
      <c r="A1039" t="s">
        <v>1011</v>
      </c>
      <c r="B1039" t="s">
        <v>1012</v>
      </c>
      <c r="C1039" t="s">
        <v>547</v>
      </c>
      <c r="D1039" t="s">
        <v>228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35">
      <c r="A1040" t="s">
        <v>1031</v>
      </c>
      <c r="B1040" t="s">
        <v>1032</v>
      </c>
      <c r="C1040" t="s">
        <v>1033</v>
      </c>
      <c r="D1040" t="s">
        <v>227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35">
      <c r="A1041" t="s">
        <v>1031</v>
      </c>
      <c r="B1041" t="s">
        <v>1032</v>
      </c>
      <c r="C1041" t="s">
        <v>1034</v>
      </c>
      <c r="D1041" t="s">
        <v>227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35">
      <c r="A1042" t="s">
        <v>1031</v>
      </c>
      <c r="B1042" t="s">
        <v>1032</v>
      </c>
      <c r="C1042" t="s">
        <v>278</v>
      </c>
      <c r="D1042" t="s">
        <v>227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35">
      <c r="A1043" t="s">
        <v>1031</v>
      </c>
      <c r="B1043" t="s">
        <v>1032</v>
      </c>
      <c r="C1043" t="s">
        <v>279</v>
      </c>
      <c r="D1043" t="s">
        <v>227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35">
      <c r="A1044" t="s">
        <v>1031</v>
      </c>
      <c r="B1044" t="s">
        <v>1032</v>
      </c>
      <c r="C1044" t="s">
        <v>678</v>
      </c>
      <c r="D1044" t="s">
        <v>227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35">
      <c r="A1045" t="s">
        <v>1031</v>
      </c>
      <c r="B1045" t="s">
        <v>1032</v>
      </c>
      <c r="C1045" t="s">
        <v>382</v>
      </c>
      <c r="D1045" t="s">
        <v>227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35">
      <c r="A1046" t="s">
        <v>1031</v>
      </c>
      <c r="B1046" t="s">
        <v>1032</v>
      </c>
      <c r="C1046" t="s">
        <v>282</v>
      </c>
      <c r="D1046" t="s">
        <v>246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35">
      <c r="A1047" t="s">
        <v>1031</v>
      </c>
      <c r="B1047" t="s">
        <v>1032</v>
      </c>
      <c r="C1047" t="s">
        <v>1035</v>
      </c>
      <c r="D1047" t="s">
        <v>227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35">
      <c r="A1048" t="s">
        <v>1031</v>
      </c>
      <c r="B1048" t="s">
        <v>1032</v>
      </c>
      <c r="C1048" t="s">
        <v>325</v>
      </c>
      <c r="D1048" t="s">
        <v>227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35">
      <c r="A1049" t="s">
        <v>1031</v>
      </c>
      <c r="B1049" t="s">
        <v>1032</v>
      </c>
      <c r="C1049" t="s">
        <v>1036</v>
      </c>
      <c r="D1049" t="s">
        <v>227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35">
      <c r="A1050" t="s">
        <v>1031</v>
      </c>
      <c r="B1050" t="s">
        <v>1032</v>
      </c>
      <c r="C1050" t="s">
        <v>1037</v>
      </c>
      <c r="D1050" t="s">
        <v>227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35">
      <c r="A1051" t="s">
        <v>1031</v>
      </c>
      <c r="B1051" t="s">
        <v>1032</v>
      </c>
      <c r="C1051" t="s">
        <v>287</v>
      </c>
      <c r="D1051" t="s">
        <v>227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35">
      <c r="A1052" t="s">
        <v>1031</v>
      </c>
      <c r="B1052" t="s">
        <v>1032</v>
      </c>
      <c r="C1052" t="s">
        <v>1038</v>
      </c>
      <c r="D1052" t="s">
        <v>227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35">
      <c r="A1053" t="s">
        <v>1031</v>
      </c>
      <c r="B1053" t="s">
        <v>1032</v>
      </c>
      <c r="C1053" t="s">
        <v>289</v>
      </c>
      <c r="D1053" t="s">
        <v>227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35">
      <c r="A1054" t="s">
        <v>1031</v>
      </c>
      <c r="B1054" t="s">
        <v>1032</v>
      </c>
      <c r="C1054" t="s">
        <v>1039</v>
      </c>
      <c r="D1054" t="s">
        <v>227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35">
      <c r="A1055" t="s">
        <v>1031</v>
      </c>
      <c r="B1055" t="s">
        <v>1032</v>
      </c>
      <c r="C1055" t="s">
        <v>1040</v>
      </c>
      <c r="D1055" t="s">
        <v>227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35">
      <c r="A1056" t="s">
        <v>1031</v>
      </c>
      <c r="B1056" t="s">
        <v>1032</v>
      </c>
      <c r="C1056" t="s">
        <v>550</v>
      </c>
      <c r="D1056" t="s">
        <v>227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35">
      <c r="A1057" t="s">
        <v>1031</v>
      </c>
      <c r="B1057" t="s">
        <v>1032</v>
      </c>
      <c r="C1057" t="s">
        <v>647</v>
      </c>
      <c r="D1057" t="s">
        <v>227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35">
      <c r="A1058" t="s">
        <v>1031</v>
      </c>
      <c r="B1058" t="s">
        <v>1032</v>
      </c>
      <c r="C1058" t="s">
        <v>292</v>
      </c>
      <c r="D1058" t="s">
        <v>227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35">
      <c r="A1059" t="s">
        <v>1031</v>
      </c>
      <c r="B1059" t="s">
        <v>1032</v>
      </c>
      <c r="C1059" t="s">
        <v>293</v>
      </c>
      <c r="D1059" t="s">
        <v>227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35">
      <c r="A1060" t="s">
        <v>1031</v>
      </c>
      <c r="B1060" t="s">
        <v>1032</v>
      </c>
      <c r="C1060" t="s">
        <v>294</v>
      </c>
      <c r="D1060" t="s">
        <v>227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35">
      <c r="A1061" t="s">
        <v>1031</v>
      </c>
      <c r="B1061" t="s">
        <v>1032</v>
      </c>
      <c r="C1061" t="s">
        <v>1041</v>
      </c>
      <c r="D1061" t="s">
        <v>227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35">
      <c r="A1062" t="s">
        <v>1031</v>
      </c>
      <c r="B1062" t="s">
        <v>1032</v>
      </c>
      <c r="C1062" t="s">
        <v>1042</v>
      </c>
      <c r="D1062" t="s">
        <v>227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35">
      <c r="A1063" t="s">
        <v>1031</v>
      </c>
      <c r="B1063" t="s">
        <v>1032</v>
      </c>
      <c r="C1063" t="s">
        <v>1043</v>
      </c>
      <c r="D1063" t="s">
        <v>227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35">
      <c r="A1064" t="s">
        <v>1031</v>
      </c>
      <c r="B1064" t="s">
        <v>1032</v>
      </c>
      <c r="C1064" t="s">
        <v>657</v>
      </c>
      <c r="D1064" t="s">
        <v>227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35">
      <c r="A1065" t="s">
        <v>1031</v>
      </c>
      <c r="B1065" t="s">
        <v>1032</v>
      </c>
      <c r="C1065" t="s">
        <v>1044</v>
      </c>
      <c r="D1065" t="s">
        <v>227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35">
      <c r="A1066" t="s">
        <v>1031</v>
      </c>
      <c r="B1066" t="s">
        <v>1032</v>
      </c>
      <c r="C1066" t="s">
        <v>295</v>
      </c>
      <c r="D1066" t="s">
        <v>227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35">
      <c r="A1067" t="s">
        <v>1031</v>
      </c>
      <c r="B1067" t="s">
        <v>1032</v>
      </c>
      <c r="C1067" t="s">
        <v>1045</v>
      </c>
      <c r="D1067" t="s">
        <v>227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35">
      <c r="A1068" t="s">
        <v>1031</v>
      </c>
      <c r="B1068" t="s">
        <v>1032</v>
      </c>
      <c r="C1068" t="s">
        <v>297</v>
      </c>
      <c r="D1068" t="s">
        <v>246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35">
      <c r="A1069" t="s">
        <v>1031</v>
      </c>
      <c r="B1069" t="s">
        <v>1032</v>
      </c>
      <c r="C1069" t="s">
        <v>1046</v>
      </c>
      <c r="D1069" t="s">
        <v>227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35">
      <c r="A1070" t="s">
        <v>1031</v>
      </c>
      <c r="B1070" t="s">
        <v>1032</v>
      </c>
      <c r="C1070" t="s">
        <v>1047</v>
      </c>
      <c r="D1070" t="s">
        <v>227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35">
      <c r="A1071" t="s">
        <v>1031</v>
      </c>
      <c r="B1071" t="s">
        <v>1032</v>
      </c>
      <c r="C1071" t="s">
        <v>555</v>
      </c>
      <c r="D1071" t="s">
        <v>227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35">
      <c r="A1072" t="s">
        <v>1031</v>
      </c>
      <c r="B1072" t="s">
        <v>1032</v>
      </c>
      <c r="C1072" t="s">
        <v>556</v>
      </c>
      <c r="D1072" t="s">
        <v>227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35">
      <c r="A1073" t="s">
        <v>1031</v>
      </c>
      <c r="B1073" t="s">
        <v>1032</v>
      </c>
      <c r="C1073" t="s">
        <v>1048</v>
      </c>
      <c r="D1073" t="s">
        <v>227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35">
      <c r="A1074" t="s">
        <v>1031</v>
      </c>
      <c r="B1074" t="s">
        <v>1032</v>
      </c>
      <c r="C1074" t="s">
        <v>1049</v>
      </c>
      <c r="D1074" t="s">
        <v>227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35">
      <c r="A1075" t="s">
        <v>1031</v>
      </c>
      <c r="B1075" t="s">
        <v>1032</v>
      </c>
      <c r="C1075" t="s">
        <v>1050</v>
      </c>
      <c r="D1075" t="s">
        <v>246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35">
      <c r="A1076" t="s">
        <v>1031</v>
      </c>
      <c r="B1076" t="s">
        <v>1032</v>
      </c>
      <c r="C1076" t="s">
        <v>976</v>
      </c>
      <c r="D1076" t="s">
        <v>227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35">
      <c r="A1077" t="s">
        <v>1031</v>
      </c>
      <c r="B1077" t="s">
        <v>1032</v>
      </c>
      <c r="C1077" t="s">
        <v>300</v>
      </c>
      <c r="D1077" t="s">
        <v>227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35">
      <c r="A1078" t="s">
        <v>1031</v>
      </c>
      <c r="B1078" t="s">
        <v>1032</v>
      </c>
      <c r="C1078" t="s">
        <v>560</v>
      </c>
      <c r="D1078" t="s">
        <v>227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35">
      <c r="A1079" t="s">
        <v>1031</v>
      </c>
      <c r="B1079" t="s">
        <v>1032</v>
      </c>
      <c r="C1079" t="s">
        <v>403</v>
      </c>
      <c r="D1079" t="s">
        <v>227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35">
      <c r="A1080" t="s">
        <v>1031</v>
      </c>
      <c r="B1080" t="s">
        <v>1032</v>
      </c>
      <c r="C1080" t="s">
        <v>1051</v>
      </c>
      <c r="D1080" t="s">
        <v>227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35">
      <c r="A1081" t="s">
        <v>1031</v>
      </c>
      <c r="B1081" t="s">
        <v>1032</v>
      </c>
      <c r="C1081" t="s">
        <v>1052</v>
      </c>
      <c r="D1081" t="s">
        <v>227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35">
      <c r="A1082" t="s">
        <v>1031</v>
      </c>
      <c r="B1082" t="s">
        <v>1032</v>
      </c>
      <c r="C1082" t="s">
        <v>346</v>
      </c>
      <c r="D1082" t="s">
        <v>227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35">
      <c r="A1083" t="s">
        <v>1031</v>
      </c>
      <c r="B1083" t="s">
        <v>1032</v>
      </c>
      <c r="C1083" t="s">
        <v>1053</v>
      </c>
      <c r="D1083" t="s">
        <v>227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35">
      <c r="A1084" t="s">
        <v>1031</v>
      </c>
      <c r="B1084" t="s">
        <v>1032</v>
      </c>
      <c r="C1084" t="s">
        <v>1054</v>
      </c>
      <c r="D1084" t="s">
        <v>227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35">
      <c r="A1085" t="s">
        <v>1031</v>
      </c>
      <c r="B1085" t="s">
        <v>1032</v>
      </c>
      <c r="C1085" t="s">
        <v>496</v>
      </c>
      <c r="D1085" t="s">
        <v>227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35">
      <c r="A1086" t="s">
        <v>1031</v>
      </c>
      <c r="B1086" t="s">
        <v>1032</v>
      </c>
      <c r="C1086" t="s">
        <v>307</v>
      </c>
      <c r="D1086" t="s">
        <v>246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35">
      <c r="A1087" t="s">
        <v>1031</v>
      </c>
      <c r="B1087" t="s">
        <v>1032</v>
      </c>
      <c r="C1087" t="s">
        <v>497</v>
      </c>
      <c r="D1087" t="s">
        <v>227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35">
      <c r="A1088" t="s">
        <v>1031</v>
      </c>
      <c r="B1088" t="s">
        <v>1032</v>
      </c>
      <c r="C1088" t="s">
        <v>1055</v>
      </c>
      <c r="D1088" t="s">
        <v>227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35">
      <c r="A1089" t="s">
        <v>1031</v>
      </c>
      <c r="B1089" t="s">
        <v>1032</v>
      </c>
      <c r="C1089" t="s">
        <v>1056</v>
      </c>
      <c r="D1089" t="s">
        <v>227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35">
      <c r="A1090" t="s">
        <v>1031</v>
      </c>
      <c r="B1090" t="s">
        <v>1032</v>
      </c>
      <c r="C1090" t="s">
        <v>1057</v>
      </c>
      <c r="D1090" t="s">
        <v>227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35">
      <c r="A1091" t="s">
        <v>1058</v>
      </c>
      <c r="B1091" t="s">
        <v>1059</v>
      </c>
      <c r="C1091" t="s">
        <v>590</v>
      </c>
      <c r="D1091" t="s">
        <v>246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35">
      <c r="A1092" t="s">
        <v>1058</v>
      </c>
      <c r="B1092" t="s">
        <v>1059</v>
      </c>
      <c r="C1092" t="s">
        <v>1060</v>
      </c>
      <c r="D1092" t="s">
        <v>246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35">
      <c r="A1093" t="s">
        <v>1058</v>
      </c>
      <c r="B1093" t="s">
        <v>1059</v>
      </c>
      <c r="C1093" t="s">
        <v>1061</v>
      </c>
      <c r="D1093" t="s">
        <v>246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35">
      <c r="A1094" t="s">
        <v>1058</v>
      </c>
      <c r="B1094" t="s">
        <v>1059</v>
      </c>
      <c r="C1094" t="s">
        <v>1062</v>
      </c>
      <c r="D1094" t="s">
        <v>356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35">
      <c r="A1095" t="s">
        <v>1058</v>
      </c>
      <c r="B1095" t="s">
        <v>1059</v>
      </c>
      <c r="C1095" t="s">
        <v>1063</v>
      </c>
      <c r="D1095" t="s">
        <v>246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35">
      <c r="A1096" t="s">
        <v>1058</v>
      </c>
      <c r="B1096" t="s">
        <v>1059</v>
      </c>
      <c r="C1096" t="s">
        <v>520</v>
      </c>
      <c r="D1096" t="s">
        <v>246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35">
      <c r="A1097" t="s">
        <v>1058</v>
      </c>
      <c r="B1097" t="s">
        <v>1059</v>
      </c>
      <c r="C1097" t="s">
        <v>440</v>
      </c>
      <c r="D1097" t="s">
        <v>246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35">
      <c r="A1098" t="s">
        <v>1058</v>
      </c>
      <c r="B1098" t="s">
        <v>1059</v>
      </c>
      <c r="C1098" t="s">
        <v>1064</v>
      </c>
      <c r="D1098" t="s">
        <v>246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35">
      <c r="A1099" t="s">
        <v>1058</v>
      </c>
      <c r="B1099" t="s">
        <v>1059</v>
      </c>
      <c r="C1099" t="s">
        <v>1065</v>
      </c>
      <c r="D1099" t="s">
        <v>246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35">
      <c r="A1100" t="s">
        <v>1058</v>
      </c>
      <c r="B1100" t="s">
        <v>1059</v>
      </c>
      <c r="C1100" t="s">
        <v>876</v>
      </c>
      <c r="D1100" t="s">
        <v>246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35">
      <c r="A1101" t="s">
        <v>1058</v>
      </c>
      <c r="B1101" t="s">
        <v>1059</v>
      </c>
      <c r="C1101" t="s">
        <v>252</v>
      </c>
      <c r="D1101" t="s">
        <v>246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35">
      <c r="A1102" t="s">
        <v>1058</v>
      </c>
      <c r="B1102" t="s">
        <v>1059</v>
      </c>
      <c r="C1102" t="s">
        <v>254</v>
      </c>
      <c r="D1102" t="s">
        <v>246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35">
      <c r="A1103" t="s">
        <v>1058</v>
      </c>
      <c r="B1103" t="s">
        <v>1059</v>
      </c>
      <c r="C1103" t="s">
        <v>1066</v>
      </c>
      <c r="D1103" t="s">
        <v>356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35">
      <c r="A1104" t="s">
        <v>1058</v>
      </c>
      <c r="B1104" t="s">
        <v>1059</v>
      </c>
      <c r="C1104" t="s">
        <v>1067</v>
      </c>
      <c r="D1104" t="s">
        <v>246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35">
      <c r="A1105" t="s">
        <v>1068</v>
      </c>
      <c r="B1105" t="s">
        <v>1069</v>
      </c>
      <c r="C1105" t="s">
        <v>1070</v>
      </c>
      <c r="D1105" t="s">
        <v>226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35">
      <c r="A1106" t="s">
        <v>1068</v>
      </c>
      <c r="B1106" t="s">
        <v>1069</v>
      </c>
      <c r="C1106" t="s">
        <v>1071</v>
      </c>
      <c r="D1106" t="s">
        <v>226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35">
      <c r="A1107" t="s">
        <v>1068</v>
      </c>
      <c r="B1107" t="s">
        <v>1069</v>
      </c>
      <c r="C1107" t="s">
        <v>456</v>
      </c>
      <c r="D1107" t="s">
        <v>226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35">
      <c r="A1108" t="s">
        <v>1068</v>
      </c>
      <c r="B1108" t="s">
        <v>1069</v>
      </c>
      <c r="C1108" t="s">
        <v>1072</v>
      </c>
      <c r="D1108" t="s">
        <v>226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35">
      <c r="A1109" t="s">
        <v>1068</v>
      </c>
      <c r="B1109" t="s">
        <v>1069</v>
      </c>
      <c r="C1109" t="s">
        <v>1073</v>
      </c>
      <c r="D1109" t="s">
        <v>227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35">
      <c r="A1110" t="s">
        <v>1068</v>
      </c>
      <c r="B1110" t="s">
        <v>1069</v>
      </c>
      <c r="C1110" t="s">
        <v>1074</v>
      </c>
      <c r="D1110" t="s">
        <v>226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35">
      <c r="A1111" t="s">
        <v>1068</v>
      </c>
      <c r="B1111" t="s">
        <v>1069</v>
      </c>
      <c r="C1111" t="s">
        <v>1075</v>
      </c>
      <c r="D1111" t="s">
        <v>227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35">
      <c r="A1112" t="s">
        <v>1068</v>
      </c>
      <c r="B1112" t="s">
        <v>1069</v>
      </c>
      <c r="C1112" t="s">
        <v>368</v>
      </c>
      <c r="D1112" t="s">
        <v>226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35">
      <c r="A1113" t="s">
        <v>1068</v>
      </c>
      <c r="B1113" t="s">
        <v>1069</v>
      </c>
      <c r="C1113" t="s">
        <v>1076</v>
      </c>
      <c r="D1113" t="s">
        <v>227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35">
      <c r="A1114" t="s">
        <v>1068</v>
      </c>
      <c r="B1114" t="s">
        <v>1069</v>
      </c>
      <c r="C1114" t="s">
        <v>315</v>
      </c>
      <c r="D1114" t="s">
        <v>227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35">
      <c r="A1115" t="s">
        <v>1068</v>
      </c>
      <c r="B1115" t="s">
        <v>1069</v>
      </c>
      <c r="C1115" t="s">
        <v>1077</v>
      </c>
      <c r="D1115" t="s">
        <v>227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35">
      <c r="A1116" t="s">
        <v>1068</v>
      </c>
      <c r="B1116" t="s">
        <v>1069</v>
      </c>
      <c r="C1116" t="s">
        <v>1078</v>
      </c>
      <c r="D1116" t="s">
        <v>227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35">
      <c r="A1117" t="s">
        <v>1068</v>
      </c>
      <c r="B1117" t="s">
        <v>1069</v>
      </c>
      <c r="C1117" t="s">
        <v>278</v>
      </c>
      <c r="D1117" t="s">
        <v>226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35">
      <c r="A1118" t="s">
        <v>1068</v>
      </c>
      <c r="B1118" t="s">
        <v>1069</v>
      </c>
      <c r="C1118" t="s">
        <v>279</v>
      </c>
      <c r="D1118" t="s">
        <v>227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35">
      <c r="A1119" t="s">
        <v>1068</v>
      </c>
      <c r="B1119" t="s">
        <v>1069</v>
      </c>
      <c r="C1119" t="s">
        <v>1079</v>
      </c>
      <c r="D1119" t="s">
        <v>226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35">
      <c r="A1120" t="s">
        <v>1068</v>
      </c>
      <c r="B1120" t="s">
        <v>1069</v>
      </c>
      <c r="C1120" t="s">
        <v>1080</v>
      </c>
      <c r="D1120" t="s">
        <v>227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35">
      <c r="A1121" t="s">
        <v>1068</v>
      </c>
      <c r="B1121" t="s">
        <v>1069</v>
      </c>
      <c r="C1121" t="s">
        <v>382</v>
      </c>
      <c r="D1121" t="s">
        <v>227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35">
      <c r="A1122" t="s">
        <v>1068</v>
      </c>
      <c r="B1122" t="s">
        <v>1069</v>
      </c>
      <c r="C1122" t="s">
        <v>641</v>
      </c>
      <c r="D1122" t="s">
        <v>226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35">
      <c r="A1123" t="s">
        <v>1068</v>
      </c>
      <c r="B1123" t="s">
        <v>1069</v>
      </c>
      <c r="C1123" t="s">
        <v>323</v>
      </c>
      <c r="D1123" t="s">
        <v>226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35">
      <c r="A1124" t="s">
        <v>1068</v>
      </c>
      <c r="B1124" t="s">
        <v>1069</v>
      </c>
      <c r="C1124" t="s">
        <v>643</v>
      </c>
      <c r="D1124" t="s">
        <v>226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35">
      <c r="A1125" t="s">
        <v>1068</v>
      </c>
      <c r="B1125" t="s">
        <v>1069</v>
      </c>
      <c r="C1125" t="s">
        <v>1081</v>
      </c>
      <c r="D1125" t="s">
        <v>227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35">
      <c r="A1126" t="s">
        <v>1068</v>
      </c>
      <c r="B1126" t="s">
        <v>1069</v>
      </c>
      <c r="C1126" t="s">
        <v>289</v>
      </c>
      <c r="D1126" t="s">
        <v>226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35">
      <c r="A1127" t="s">
        <v>1068</v>
      </c>
      <c r="B1127" t="s">
        <v>1069</v>
      </c>
      <c r="C1127" t="s">
        <v>1041</v>
      </c>
      <c r="D1127" t="s">
        <v>227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35">
      <c r="A1128" t="s">
        <v>1068</v>
      </c>
      <c r="B1128" t="s">
        <v>1069</v>
      </c>
      <c r="C1128" t="s">
        <v>1082</v>
      </c>
      <c r="D1128" t="s">
        <v>226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35">
      <c r="A1129" t="s">
        <v>1068</v>
      </c>
      <c r="B1129" t="s">
        <v>1069</v>
      </c>
      <c r="C1129" t="s">
        <v>334</v>
      </c>
      <c r="D1129" t="s">
        <v>226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35">
      <c r="A1130" t="s">
        <v>1068</v>
      </c>
      <c r="B1130" t="s">
        <v>1069</v>
      </c>
      <c r="C1130" t="s">
        <v>921</v>
      </c>
      <c r="D1130" t="s">
        <v>227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35">
      <c r="A1131" t="s">
        <v>1068</v>
      </c>
      <c r="B1131" t="s">
        <v>1069</v>
      </c>
      <c r="C1131" t="s">
        <v>1083</v>
      </c>
      <c r="D1131" t="s">
        <v>226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35">
      <c r="A1132" t="s">
        <v>1068</v>
      </c>
      <c r="B1132" t="s">
        <v>1069</v>
      </c>
      <c r="C1132" t="s">
        <v>1084</v>
      </c>
      <c r="D1132" t="s">
        <v>227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35">
      <c r="A1133" t="s">
        <v>1068</v>
      </c>
      <c r="B1133" t="s">
        <v>1069</v>
      </c>
      <c r="C1133" t="s">
        <v>346</v>
      </c>
      <c r="D1133" t="s">
        <v>227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35">
      <c r="A1134" t="s">
        <v>1068</v>
      </c>
      <c r="B1134" t="s">
        <v>1069</v>
      </c>
      <c r="C1134" t="s">
        <v>1085</v>
      </c>
      <c r="D1134" t="s">
        <v>227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35">
      <c r="A1135" t="s">
        <v>1068</v>
      </c>
      <c r="B1135" t="s">
        <v>1069</v>
      </c>
      <c r="C1135" t="s">
        <v>1086</v>
      </c>
      <c r="D1135" t="s">
        <v>227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35">
      <c r="A1136" t="s">
        <v>1068</v>
      </c>
      <c r="B1136" t="s">
        <v>1069</v>
      </c>
      <c r="C1136" t="s">
        <v>307</v>
      </c>
      <c r="D1136" t="s">
        <v>226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35">
      <c r="A1137" t="s">
        <v>1068</v>
      </c>
      <c r="B1137" t="s">
        <v>1069</v>
      </c>
      <c r="C1137" t="s">
        <v>499</v>
      </c>
      <c r="D1137" t="s">
        <v>227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35">
      <c r="A1138" t="s">
        <v>1068</v>
      </c>
      <c r="B1138" t="s">
        <v>1069</v>
      </c>
      <c r="C1138" t="s">
        <v>1087</v>
      </c>
      <c r="D1138" t="s">
        <v>226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35">
      <c r="A1139" t="s">
        <v>1088</v>
      </c>
      <c r="B1139" t="s">
        <v>1089</v>
      </c>
      <c r="C1139" t="s">
        <v>515</v>
      </c>
      <c r="D1139" t="s">
        <v>227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35">
      <c r="A1140" t="s">
        <v>1088</v>
      </c>
      <c r="B1140" t="s">
        <v>1089</v>
      </c>
      <c r="C1140" t="s">
        <v>1090</v>
      </c>
      <c r="D1140" t="s">
        <v>227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35">
      <c r="A1141" t="s">
        <v>1088</v>
      </c>
      <c r="B1141" t="s">
        <v>1089</v>
      </c>
      <c r="C1141" t="s">
        <v>1091</v>
      </c>
      <c r="D1141" t="s">
        <v>227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35">
      <c r="A1142" t="s">
        <v>1088</v>
      </c>
      <c r="B1142" t="s">
        <v>1089</v>
      </c>
      <c r="C1142" t="s">
        <v>1062</v>
      </c>
      <c r="D1142" t="s">
        <v>227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35">
      <c r="A1143" t="s">
        <v>1088</v>
      </c>
      <c r="B1143" t="s">
        <v>1089</v>
      </c>
      <c r="C1143" t="s">
        <v>1092</v>
      </c>
      <c r="D1143" t="s">
        <v>227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35">
      <c r="A1144" t="s">
        <v>1088</v>
      </c>
      <c r="B1144" t="s">
        <v>1089</v>
      </c>
      <c r="C1144" t="s">
        <v>1093</v>
      </c>
      <c r="D1144" t="s">
        <v>227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35">
      <c r="A1145" t="s">
        <v>1088</v>
      </c>
      <c r="B1145" t="s">
        <v>1089</v>
      </c>
      <c r="C1145" t="s">
        <v>1094</v>
      </c>
      <c r="D1145" t="s">
        <v>227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35">
      <c r="A1146" t="s">
        <v>1088</v>
      </c>
      <c r="B1146" t="s">
        <v>1089</v>
      </c>
      <c r="C1146" t="s">
        <v>428</v>
      </c>
      <c r="D1146" t="s">
        <v>227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35">
      <c r="A1147" t="s">
        <v>1088</v>
      </c>
      <c r="B1147" t="s">
        <v>1089</v>
      </c>
      <c r="C1147" t="s">
        <v>1095</v>
      </c>
      <c r="D1147" t="s">
        <v>246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35">
      <c r="A1148" t="s">
        <v>1088</v>
      </c>
      <c r="B1148" t="s">
        <v>1089</v>
      </c>
      <c r="C1148" t="s">
        <v>249</v>
      </c>
      <c r="D1148" t="s">
        <v>227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35">
      <c r="A1149" t="s">
        <v>1088</v>
      </c>
      <c r="B1149" t="s">
        <v>1089</v>
      </c>
      <c r="C1149" t="s">
        <v>1096</v>
      </c>
      <c r="D1149" t="s">
        <v>227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35">
      <c r="A1150" t="s">
        <v>1088</v>
      </c>
      <c r="B1150" t="s">
        <v>1089</v>
      </c>
      <c r="C1150" t="s">
        <v>1097</v>
      </c>
      <c r="D1150" t="s">
        <v>227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35">
      <c r="A1151" t="s">
        <v>1088</v>
      </c>
      <c r="B1151" t="s">
        <v>1089</v>
      </c>
      <c r="C1151" t="s">
        <v>875</v>
      </c>
      <c r="D1151" t="s">
        <v>227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35">
      <c r="A1152" t="s">
        <v>1088</v>
      </c>
      <c r="B1152" t="s">
        <v>1089</v>
      </c>
      <c r="C1152" t="s">
        <v>1098</v>
      </c>
      <c r="D1152" t="s">
        <v>227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35">
      <c r="A1153" t="s">
        <v>1088</v>
      </c>
      <c r="B1153" t="s">
        <v>1089</v>
      </c>
      <c r="C1153" t="s">
        <v>1099</v>
      </c>
      <c r="D1153" t="s">
        <v>246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35">
      <c r="A1154" t="s">
        <v>1088</v>
      </c>
      <c r="B1154" t="s">
        <v>1089</v>
      </c>
      <c r="C1154" t="s">
        <v>1100</v>
      </c>
      <c r="D1154" t="s">
        <v>227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35">
      <c r="A1155" t="s">
        <v>1088</v>
      </c>
      <c r="B1155" t="s">
        <v>1089</v>
      </c>
      <c r="C1155" t="s">
        <v>1101</v>
      </c>
      <c r="D1155" t="s">
        <v>227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35">
      <c r="A1156" t="s">
        <v>1088</v>
      </c>
      <c r="B1156" t="s">
        <v>1089</v>
      </c>
      <c r="C1156" t="s">
        <v>579</v>
      </c>
      <c r="D1156" t="s">
        <v>227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35">
      <c r="A1157" t="s">
        <v>1088</v>
      </c>
      <c r="B1157" t="s">
        <v>1089</v>
      </c>
      <c r="C1157" t="s">
        <v>456</v>
      </c>
      <c r="D1157" t="s">
        <v>227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35">
      <c r="A1158" t="s">
        <v>1088</v>
      </c>
      <c r="B1158" t="s">
        <v>1089</v>
      </c>
      <c r="C1158" t="s">
        <v>459</v>
      </c>
      <c r="D1158" t="s">
        <v>227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35">
      <c r="A1159" t="s">
        <v>1088</v>
      </c>
      <c r="B1159" t="s">
        <v>1089</v>
      </c>
      <c r="C1159" t="s">
        <v>719</v>
      </c>
      <c r="D1159" t="s">
        <v>227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35">
      <c r="A1160" t="s">
        <v>1088</v>
      </c>
      <c r="B1160" t="s">
        <v>1089</v>
      </c>
      <c r="C1160" t="s">
        <v>1102</v>
      </c>
      <c r="D1160" t="s">
        <v>227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35">
      <c r="A1161" t="s">
        <v>1088</v>
      </c>
      <c r="B1161" t="s">
        <v>1089</v>
      </c>
      <c r="C1161" t="s">
        <v>583</v>
      </c>
      <c r="D1161" t="s">
        <v>246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35">
      <c r="A1162" t="s">
        <v>1088</v>
      </c>
      <c r="B1162" t="s">
        <v>1089</v>
      </c>
      <c r="C1162" t="s">
        <v>622</v>
      </c>
      <c r="D1162" t="s">
        <v>227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35">
      <c r="A1163" t="s">
        <v>1088</v>
      </c>
      <c r="B1163" t="s">
        <v>1089</v>
      </c>
      <c r="C1163" t="s">
        <v>955</v>
      </c>
      <c r="D1163" t="s">
        <v>227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35">
      <c r="A1164" t="s">
        <v>1088</v>
      </c>
      <c r="B1164" t="s">
        <v>1089</v>
      </c>
      <c r="C1164" t="s">
        <v>271</v>
      </c>
      <c r="D1164" t="s">
        <v>227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35">
      <c r="A1165" t="s">
        <v>1088</v>
      </c>
      <c r="B1165" t="s">
        <v>1089</v>
      </c>
      <c r="C1165" t="s">
        <v>1103</v>
      </c>
      <c r="D1165" t="s">
        <v>227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35">
      <c r="A1166" t="s">
        <v>1088</v>
      </c>
      <c r="B1166" t="s">
        <v>1089</v>
      </c>
      <c r="C1166" t="s">
        <v>272</v>
      </c>
      <c r="D1166" t="s">
        <v>227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35">
      <c r="A1167" t="s">
        <v>1088</v>
      </c>
      <c r="B1167" t="s">
        <v>1089</v>
      </c>
      <c r="C1167" t="s">
        <v>313</v>
      </c>
      <c r="D1167" t="s">
        <v>227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35">
      <c r="A1168" t="s">
        <v>1088</v>
      </c>
      <c r="B1168" t="s">
        <v>1089</v>
      </c>
      <c r="C1168" t="s">
        <v>274</v>
      </c>
      <c r="D1168" t="s">
        <v>227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35">
      <c r="A1169" t="s">
        <v>1088</v>
      </c>
      <c r="B1169" t="s">
        <v>1089</v>
      </c>
      <c r="C1169" t="s">
        <v>1104</v>
      </c>
      <c r="D1169" t="s">
        <v>227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35">
      <c r="A1170" t="s">
        <v>1105</v>
      </c>
      <c r="B1170" t="s">
        <v>1106</v>
      </c>
      <c r="C1170" t="s">
        <v>1107</v>
      </c>
      <c r="D1170" t="s">
        <v>242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35">
      <c r="A1171" t="s">
        <v>1105</v>
      </c>
      <c r="B1171" t="s">
        <v>1106</v>
      </c>
      <c r="C1171" t="s">
        <v>1108</v>
      </c>
      <c r="D1171" t="s">
        <v>242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35">
      <c r="A1172" t="s">
        <v>1105</v>
      </c>
      <c r="B1172" t="s">
        <v>1106</v>
      </c>
      <c r="C1172" t="s">
        <v>615</v>
      </c>
      <c r="D1172" t="s">
        <v>242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35">
      <c r="A1173" t="s">
        <v>1105</v>
      </c>
      <c r="B1173" t="s">
        <v>1106</v>
      </c>
      <c r="C1173" t="s">
        <v>1109</v>
      </c>
      <c r="D1173" t="s">
        <v>246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35">
      <c r="A1174" t="s">
        <v>1105</v>
      </c>
      <c r="B1174" t="s">
        <v>1106</v>
      </c>
      <c r="C1174" t="s">
        <v>904</v>
      </c>
      <c r="D1174" t="s">
        <v>246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35">
      <c r="A1175" t="s">
        <v>1105</v>
      </c>
      <c r="B1175" t="s">
        <v>1106</v>
      </c>
      <c r="C1175" t="s">
        <v>1110</v>
      </c>
      <c r="D1175" t="s">
        <v>246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35">
      <c r="A1176" t="s">
        <v>1105</v>
      </c>
      <c r="B1176" t="s">
        <v>1106</v>
      </c>
      <c r="C1176" t="s">
        <v>283</v>
      </c>
      <c r="D1176" t="s">
        <v>246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35">
      <c r="A1177" t="s">
        <v>1105</v>
      </c>
      <c r="B1177" t="s">
        <v>1106</v>
      </c>
      <c r="C1177" t="s">
        <v>1111</v>
      </c>
      <c r="D1177" t="s">
        <v>246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35">
      <c r="A1178" t="s">
        <v>1105</v>
      </c>
      <c r="B1178" t="s">
        <v>1106</v>
      </c>
      <c r="C1178" t="s">
        <v>289</v>
      </c>
      <c r="D1178" t="s">
        <v>246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35">
      <c r="A1179" t="s">
        <v>1105</v>
      </c>
      <c r="B1179" t="s">
        <v>1106</v>
      </c>
      <c r="C1179" t="s">
        <v>1112</v>
      </c>
      <c r="D1179" t="s">
        <v>246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35">
      <c r="A1180" t="s">
        <v>1105</v>
      </c>
      <c r="B1180" t="s">
        <v>1106</v>
      </c>
      <c r="C1180" t="s">
        <v>1113</v>
      </c>
      <c r="D1180" t="s">
        <v>246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35">
      <c r="A1181" t="s">
        <v>1105</v>
      </c>
      <c r="B1181" t="s">
        <v>1106</v>
      </c>
      <c r="C1181" t="s">
        <v>1114</v>
      </c>
      <c r="D1181" t="s">
        <v>246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35">
      <c r="A1182" t="s">
        <v>1105</v>
      </c>
      <c r="B1182" t="s">
        <v>1106</v>
      </c>
      <c r="C1182" t="s">
        <v>1115</v>
      </c>
      <c r="D1182" t="s">
        <v>246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35">
      <c r="A1183" t="s">
        <v>1105</v>
      </c>
      <c r="B1183" t="s">
        <v>1106</v>
      </c>
      <c r="C1183" t="s">
        <v>1116</v>
      </c>
      <c r="D1183" t="s">
        <v>246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35">
      <c r="A1184" t="s">
        <v>1105</v>
      </c>
      <c r="B1184" t="s">
        <v>1106</v>
      </c>
      <c r="C1184" t="s">
        <v>296</v>
      </c>
      <c r="D1184" t="s">
        <v>246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35">
      <c r="A1185" t="s">
        <v>1105</v>
      </c>
      <c r="B1185" t="s">
        <v>1106</v>
      </c>
      <c r="C1185" t="s">
        <v>556</v>
      </c>
      <c r="D1185" t="s">
        <v>246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35">
      <c r="A1186" t="s">
        <v>1105</v>
      </c>
      <c r="B1186" t="s">
        <v>1106</v>
      </c>
      <c r="C1186" t="s">
        <v>1117</v>
      </c>
      <c r="D1186" t="s">
        <v>246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35">
      <c r="A1187" t="s">
        <v>1105</v>
      </c>
      <c r="B1187" t="s">
        <v>1106</v>
      </c>
      <c r="C1187" t="s">
        <v>1118</v>
      </c>
      <c r="D1187" t="s">
        <v>246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35">
      <c r="A1188" t="s">
        <v>1105</v>
      </c>
      <c r="B1188" t="s">
        <v>1106</v>
      </c>
      <c r="C1188" t="s">
        <v>302</v>
      </c>
      <c r="D1188" t="s">
        <v>246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35">
      <c r="A1189" t="s">
        <v>1105</v>
      </c>
      <c r="B1189" t="s">
        <v>1106</v>
      </c>
      <c r="C1189" t="s">
        <v>346</v>
      </c>
      <c r="D1189" t="s">
        <v>246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35">
      <c r="A1190" t="s">
        <v>1105</v>
      </c>
      <c r="B1190" t="s">
        <v>1106</v>
      </c>
      <c r="C1190" t="s">
        <v>1119</v>
      </c>
      <c r="D1190" t="s">
        <v>246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35">
      <c r="A1191" t="s">
        <v>1105</v>
      </c>
      <c r="B1191" t="s">
        <v>1106</v>
      </c>
      <c r="C1191" t="s">
        <v>727</v>
      </c>
      <c r="D1191" t="s">
        <v>246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35">
      <c r="A1192" t="s">
        <v>1120</v>
      </c>
      <c r="B1192" t="s">
        <v>1121</v>
      </c>
      <c r="C1192" t="s">
        <v>1122</v>
      </c>
      <c r="D1192" t="s">
        <v>227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35">
      <c r="A1193" t="s">
        <v>1120</v>
      </c>
      <c r="B1193" t="s">
        <v>1121</v>
      </c>
      <c r="C1193" t="s">
        <v>1123</v>
      </c>
      <c r="D1193" t="s">
        <v>227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35">
      <c r="A1194" t="s">
        <v>1120</v>
      </c>
      <c r="B1194" t="s">
        <v>1121</v>
      </c>
      <c r="C1194" t="s">
        <v>1124</v>
      </c>
      <c r="D1194" t="s">
        <v>227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35">
      <c r="A1195" t="s">
        <v>1120</v>
      </c>
      <c r="B1195" t="s">
        <v>1121</v>
      </c>
      <c r="C1195" t="s">
        <v>1125</v>
      </c>
      <c r="D1195" t="s">
        <v>227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35">
      <c r="A1196" t="s">
        <v>1120</v>
      </c>
      <c r="B1196" t="s">
        <v>1121</v>
      </c>
      <c r="C1196" t="s">
        <v>1126</v>
      </c>
      <c r="D1196" t="s">
        <v>227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35">
      <c r="A1197" t="s">
        <v>1120</v>
      </c>
      <c r="B1197" t="s">
        <v>1121</v>
      </c>
      <c r="C1197" t="s">
        <v>577</v>
      </c>
      <c r="D1197" t="s">
        <v>227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35">
      <c r="A1198" t="s">
        <v>1120</v>
      </c>
      <c r="B1198" t="s">
        <v>1121</v>
      </c>
      <c r="C1198" t="s">
        <v>1127</v>
      </c>
      <c r="D1198" t="s">
        <v>227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35">
      <c r="A1199" t="s">
        <v>1120</v>
      </c>
      <c r="B1199" t="s">
        <v>1121</v>
      </c>
      <c r="C1199" t="s">
        <v>1128</v>
      </c>
      <c r="D1199" t="s">
        <v>227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35">
      <c r="A1200" t="s">
        <v>1120</v>
      </c>
      <c r="B1200" t="s">
        <v>1121</v>
      </c>
      <c r="C1200" t="s">
        <v>357</v>
      </c>
      <c r="D1200" t="s">
        <v>227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35">
      <c r="A1201" t="s">
        <v>1120</v>
      </c>
      <c r="B1201" t="s">
        <v>1121</v>
      </c>
      <c r="C1201" t="s">
        <v>1129</v>
      </c>
      <c r="D1201" t="s">
        <v>227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35">
      <c r="A1202" t="s">
        <v>1120</v>
      </c>
      <c r="B1202" t="s">
        <v>1121</v>
      </c>
      <c r="C1202" t="s">
        <v>1130</v>
      </c>
      <c r="D1202" t="s">
        <v>227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35">
      <c r="A1203" t="s">
        <v>1120</v>
      </c>
      <c r="B1203" t="s">
        <v>1121</v>
      </c>
      <c r="C1203" t="s">
        <v>529</v>
      </c>
      <c r="D1203" t="s">
        <v>227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35">
      <c r="A1204" t="s">
        <v>1120</v>
      </c>
      <c r="B1204" t="s">
        <v>1121</v>
      </c>
      <c r="C1204" t="s">
        <v>256</v>
      </c>
      <c r="D1204" t="s">
        <v>227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35">
      <c r="A1205" t="s">
        <v>1120</v>
      </c>
      <c r="B1205" t="s">
        <v>1121</v>
      </c>
      <c r="C1205" t="s">
        <v>1131</v>
      </c>
      <c r="D1205" t="s">
        <v>227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35">
      <c r="A1206" t="s">
        <v>1120</v>
      </c>
      <c r="B1206" t="s">
        <v>1121</v>
      </c>
      <c r="C1206" t="s">
        <v>1132</v>
      </c>
      <c r="D1206" t="s">
        <v>227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35">
      <c r="A1207" t="s">
        <v>1120</v>
      </c>
      <c r="B1207" t="s">
        <v>1121</v>
      </c>
      <c r="C1207" t="s">
        <v>531</v>
      </c>
      <c r="D1207" t="s">
        <v>227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35">
      <c r="A1208" t="s">
        <v>1120</v>
      </c>
      <c r="B1208" t="s">
        <v>1121</v>
      </c>
      <c r="C1208" t="s">
        <v>1133</v>
      </c>
      <c r="D1208" t="s">
        <v>227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35">
      <c r="A1209" t="s">
        <v>1120</v>
      </c>
      <c r="B1209" t="s">
        <v>1121</v>
      </c>
      <c r="C1209" t="s">
        <v>1134</v>
      </c>
      <c r="D1209" t="s">
        <v>227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35">
      <c r="A1210" t="s">
        <v>1120</v>
      </c>
      <c r="B1210" t="s">
        <v>1121</v>
      </c>
      <c r="C1210" t="s">
        <v>1135</v>
      </c>
      <c r="D1210" t="s">
        <v>227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35">
      <c r="A1211" t="s">
        <v>1120</v>
      </c>
      <c r="B1211" t="s">
        <v>1121</v>
      </c>
      <c r="C1211" t="s">
        <v>1136</v>
      </c>
      <c r="D1211" t="s">
        <v>227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35">
      <c r="A1212" t="s">
        <v>1120</v>
      </c>
      <c r="B1212" t="s">
        <v>1121</v>
      </c>
      <c r="C1212" t="s">
        <v>368</v>
      </c>
      <c r="D1212" t="s">
        <v>227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35">
      <c r="A1213" t="s">
        <v>1120</v>
      </c>
      <c r="B1213" t="s">
        <v>1121</v>
      </c>
      <c r="C1213" t="s">
        <v>1137</v>
      </c>
      <c r="D1213" t="s">
        <v>227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35">
      <c r="A1214" t="s">
        <v>1120</v>
      </c>
      <c r="B1214" t="s">
        <v>1121</v>
      </c>
      <c r="C1214" t="s">
        <v>1138</v>
      </c>
      <c r="D1214" t="s">
        <v>227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35">
      <c r="A1215" t="s">
        <v>1120</v>
      </c>
      <c r="B1215" t="s">
        <v>1121</v>
      </c>
      <c r="C1215" t="s">
        <v>1139</v>
      </c>
      <c r="D1215" t="s">
        <v>227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35">
      <c r="A1216" t="s">
        <v>1120</v>
      </c>
      <c r="B1216" t="s">
        <v>1121</v>
      </c>
      <c r="C1216" t="s">
        <v>315</v>
      </c>
      <c r="D1216" t="s">
        <v>227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35">
      <c r="A1217" t="s">
        <v>1120</v>
      </c>
      <c r="B1217" t="s">
        <v>1121</v>
      </c>
      <c r="C1217" t="s">
        <v>1140</v>
      </c>
      <c r="D1217" t="s">
        <v>227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35">
      <c r="A1218" t="s">
        <v>1120</v>
      </c>
      <c r="B1218" t="s">
        <v>1121</v>
      </c>
      <c r="C1218" t="s">
        <v>1141</v>
      </c>
      <c r="D1218" t="s">
        <v>227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35">
      <c r="A1219" t="s">
        <v>1120</v>
      </c>
      <c r="B1219" t="s">
        <v>1121</v>
      </c>
      <c r="C1219" t="s">
        <v>1142</v>
      </c>
      <c r="D1219" t="s">
        <v>227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35">
      <c r="A1220" t="s">
        <v>1120</v>
      </c>
      <c r="B1220" t="s">
        <v>1121</v>
      </c>
      <c r="C1220" t="s">
        <v>1143</v>
      </c>
      <c r="D1220" t="s">
        <v>227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35">
      <c r="A1221" t="s">
        <v>1120</v>
      </c>
      <c r="B1221" t="s">
        <v>1121</v>
      </c>
      <c r="C1221" t="s">
        <v>1144</v>
      </c>
      <c r="D1221" t="s">
        <v>227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35">
      <c r="A1222" t="s">
        <v>1120</v>
      </c>
      <c r="B1222" t="s">
        <v>1121</v>
      </c>
      <c r="C1222" t="s">
        <v>1145</v>
      </c>
      <c r="D1222" t="s">
        <v>227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35">
      <c r="A1223" t="s">
        <v>1120</v>
      </c>
      <c r="B1223" t="s">
        <v>1121</v>
      </c>
      <c r="C1223" t="s">
        <v>1146</v>
      </c>
      <c r="D1223" t="s">
        <v>227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35">
      <c r="A1224" t="s">
        <v>1120</v>
      </c>
      <c r="B1224" t="s">
        <v>1121</v>
      </c>
      <c r="C1224" t="s">
        <v>1147</v>
      </c>
      <c r="D1224" t="s">
        <v>227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35">
      <c r="A1225" t="s">
        <v>1120</v>
      </c>
      <c r="B1225" t="s">
        <v>1121</v>
      </c>
      <c r="C1225" t="s">
        <v>1148</v>
      </c>
      <c r="D1225" t="s">
        <v>227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35">
      <c r="A1226" t="s">
        <v>1120</v>
      </c>
      <c r="B1226" t="s">
        <v>1121</v>
      </c>
      <c r="C1226" t="s">
        <v>278</v>
      </c>
      <c r="D1226" t="s">
        <v>227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35">
      <c r="A1227" t="s">
        <v>1120</v>
      </c>
      <c r="B1227" t="s">
        <v>1121</v>
      </c>
      <c r="C1227" t="s">
        <v>1149</v>
      </c>
      <c r="D1227" t="s">
        <v>227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35">
      <c r="A1228" t="s">
        <v>1120</v>
      </c>
      <c r="B1228" t="s">
        <v>1121</v>
      </c>
      <c r="C1228" t="s">
        <v>616</v>
      </c>
      <c r="D1228" t="s">
        <v>227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35">
      <c r="A1229" t="s">
        <v>1120</v>
      </c>
      <c r="B1229" t="s">
        <v>1121</v>
      </c>
      <c r="C1229" t="s">
        <v>1150</v>
      </c>
      <c r="D1229" t="s">
        <v>227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35">
      <c r="A1230" t="s">
        <v>1120</v>
      </c>
      <c r="B1230" t="s">
        <v>1121</v>
      </c>
      <c r="C1230" t="s">
        <v>382</v>
      </c>
      <c r="D1230" t="s">
        <v>227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35">
      <c r="A1231" t="s">
        <v>1120</v>
      </c>
      <c r="B1231" t="s">
        <v>1121</v>
      </c>
      <c r="C1231" t="s">
        <v>282</v>
      </c>
      <c r="D1231" t="s">
        <v>227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35">
      <c r="A1232" t="s">
        <v>1120</v>
      </c>
      <c r="B1232" t="s">
        <v>1121</v>
      </c>
      <c r="C1232" t="s">
        <v>323</v>
      </c>
      <c r="D1232" t="s">
        <v>227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35">
      <c r="A1233" t="s">
        <v>1120</v>
      </c>
      <c r="B1233" t="s">
        <v>1121</v>
      </c>
      <c r="C1233" t="s">
        <v>1151</v>
      </c>
      <c r="D1233" t="s">
        <v>227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35">
      <c r="A1234" t="s">
        <v>1120</v>
      </c>
      <c r="B1234" t="s">
        <v>1121</v>
      </c>
      <c r="C1234" t="s">
        <v>290</v>
      </c>
      <c r="D1234" t="s">
        <v>227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35">
      <c r="A1235" t="s">
        <v>1152</v>
      </c>
      <c r="B1235" t="s">
        <v>1153</v>
      </c>
      <c r="C1235" t="s">
        <v>1154</v>
      </c>
      <c r="D1235" t="s">
        <v>246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35">
      <c r="A1236" t="s">
        <v>1152</v>
      </c>
      <c r="B1236" t="s">
        <v>1153</v>
      </c>
      <c r="C1236" t="s">
        <v>278</v>
      </c>
      <c r="D1236" t="s">
        <v>246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35">
      <c r="A1237" t="s">
        <v>1152</v>
      </c>
      <c r="B1237" t="s">
        <v>1153</v>
      </c>
      <c r="C1237" t="s">
        <v>279</v>
      </c>
      <c r="D1237" t="s">
        <v>246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35">
      <c r="A1238" t="s">
        <v>1152</v>
      </c>
      <c r="B1238" t="s">
        <v>1153</v>
      </c>
      <c r="C1238" t="s">
        <v>321</v>
      </c>
      <c r="D1238" t="s">
        <v>246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35">
      <c r="A1239" t="s">
        <v>1152</v>
      </c>
      <c r="B1239" t="s">
        <v>1153</v>
      </c>
      <c r="C1239" t="s">
        <v>678</v>
      </c>
      <c r="D1239" t="s">
        <v>246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35">
      <c r="A1240" t="s">
        <v>1152</v>
      </c>
      <c r="B1240" t="s">
        <v>1153</v>
      </c>
      <c r="C1240" t="s">
        <v>382</v>
      </c>
      <c r="D1240" t="s">
        <v>246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35">
      <c r="A1241" t="s">
        <v>1152</v>
      </c>
      <c r="B1241" t="s">
        <v>1153</v>
      </c>
      <c r="C1241" t="s">
        <v>281</v>
      </c>
      <c r="D1241" t="s">
        <v>246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35">
      <c r="A1242" t="s">
        <v>1152</v>
      </c>
      <c r="B1242" t="s">
        <v>1153</v>
      </c>
      <c r="C1242" t="s">
        <v>282</v>
      </c>
      <c r="D1242" t="s">
        <v>246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35">
      <c r="A1243" t="s">
        <v>1152</v>
      </c>
      <c r="B1243" t="s">
        <v>1153</v>
      </c>
      <c r="C1243" t="s">
        <v>539</v>
      </c>
      <c r="D1243" t="s">
        <v>246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35">
      <c r="A1244" t="s">
        <v>1152</v>
      </c>
      <c r="B1244" t="s">
        <v>1153</v>
      </c>
      <c r="C1244" t="s">
        <v>323</v>
      </c>
      <c r="D1244" t="s">
        <v>246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35">
      <c r="A1245" t="s">
        <v>1152</v>
      </c>
      <c r="B1245" t="s">
        <v>1153</v>
      </c>
      <c r="C1245" t="s">
        <v>1155</v>
      </c>
      <c r="D1245" t="s">
        <v>246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35">
      <c r="A1246" t="s">
        <v>1152</v>
      </c>
      <c r="B1246" t="s">
        <v>1153</v>
      </c>
      <c r="C1246" t="s">
        <v>286</v>
      </c>
      <c r="D1246" t="s">
        <v>246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35">
      <c r="A1247" t="s">
        <v>1152</v>
      </c>
      <c r="B1247" t="s">
        <v>1153</v>
      </c>
      <c r="C1247" t="s">
        <v>287</v>
      </c>
      <c r="D1247" t="s">
        <v>246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35">
      <c r="A1248" t="s">
        <v>1152</v>
      </c>
      <c r="B1248" t="s">
        <v>1153</v>
      </c>
      <c r="C1248" t="s">
        <v>289</v>
      </c>
      <c r="D1248" t="s">
        <v>246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35">
      <c r="A1249" t="s">
        <v>1152</v>
      </c>
      <c r="B1249" t="s">
        <v>1153</v>
      </c>
      <c r="C1249" t="s">
        <v>290</v>
      </c>
      <c r="D1249" t="s">
        <v>246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35">
      <c r="A1250" t="s">
        <v>1152</v>
      </c>
      <c r="B1250" t="s">
        <v>1153</v>
      </c>
      <c r="C1250" t="s">
        <v>1156</v>
      </c>
      <c r="D1250" t="s">
        <v>246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35">
      <c r="A1251" t="s">
        <v>1152</v>
      </c>
      <c r="B1251" t="s">
        <v>1153</v>
      </c>
      <c r="C1251" t="s">
        <v>1157</v>
      </c>
      <c r="D1251" t="s">
        <v>246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35">
      <c r="A1252" t="s">
        <v>1152</v>
      </c>
      <c r="B1252" t="s">
        <v>1153</v>
      </c>
      <c r="C1252" t="s">
        <v>1158</v>
      </c>
      <c r="D1252" t="s">
        <v>246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35">
      <c r="A1253" t="s">
        <v>1152</v>
      </c>
      <c r="B1253" t="s">
        <v>1153</v>
      </c>
      <c r="C1253" t="s">
        <v>1040</v>
      </c>
      <c r="D1253" t="s">
        <v>246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35">
      <c r="A1254" t="s">
        <v>1152</v>
      </c>
      <c r="B1254" t="s">
        <v>1153</v>
      </c>
      <c r="C1254" t="s">
        <v>292</v>
      </c>
      <c r="D1254" t="s">
        <v>246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35">
      <c r="A1255" t="s">
        <v>1152</v>
      </c>
      <c r="B1255" t="s">
        <v>1153</v>
      </c>
      <c r="C1255" t="s">
        <v>293</v>
      </c>
      <c r="D1255" t="s">
        <v>246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35">
      <c r="A1256" t="s">
        <v>1152</v>
      </c>
      <c r="B1256" t="s">
        <v>1153</v>
      </c>
      <c r="C1256" t="s">
        <v>984</v>
      </c>
      <c r="D1256" t="s">
        <v>246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35">
      <c r="A1257" t="s">
        <v>1152</v>
      </c>
      <c r="B1257" t="s">
        <v>1153</v>
      </c>
      <c r="C1257" t="s">
        <v>294</v>
      </c>
      <c r="D1257" t="s">
        <v>246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35">
      <c r="A1258" t="s">
        <v>1152</v>
      </c>
      <c r="B1258" t="s">
        <v>1153</v>
      </c>
      <c r="C1258" t="s">
        <v>1159</v>
      </c>
      <c r="D1258" t="s">
        <v>246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35">
      <c r="A1259" t="s">
        <v>1152</v>
      </c>
      <c r="B1259" t="s">
        <v>1153</v>
      </c>
      <c r="C1259" t="s">
        <v>1160</v>
      </c>
      <c r="D1259" t="s">
        <v>246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35">
      <c r="A1260" t="s">
        <v>1152</v>
      </c>
      <c r="B1260" t="s">
        <v>1153</v>
      </c>
      <c r="C1260" t="s">
        <v>295</v>
      </c>
      <c r="D1260" t="s">
        <v>246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35">
      <c r="A1261" t="s">
        <v>1152</v>
      </c>
      <c r="B1261" t="s">
        <v>1153</v>
      </c>
      <c r="C1261" t="s">
        <v>1161</v>
      </c>
      <c r="D1261" t="s">
        <v>246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35">
      <c r="A1262" t="s">
        <v>1152</v>
      </c>
      <c r="B1262" t="s">
        <v>1153</v>
      </c>
      <c r="C1262" t="s">
        <v>334</v>
      </c>
      <c r="D1262" t="s">
        <v>246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35">
      <c r="A1263" t="s">
        <v>1152</v>
      </c>
      <c r="B1263" t="s">
        <v>1153</v>
      </c>
      <c r="C1263" t="s">
        <v>555</v>
      </c>
      <c r="D1263" t="s">
        <v>246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35">
      <c r="A1264" t="s">
        <v>1152</v>
      </c>
      <c r="B1264" t="s">
        <v>1153</v>
      </c>
      <c r="C1264" t="s">
        <v>1162</v>
      </c>
      <c r="D1264" t="s">
        <v>246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35">
      <c r="A1265" t="s">
        <v>1152</v>
      </c>
      <c r="B1265" t="s">
        <v>1153</v>
      </c>
      <c r="C1265" t="s">
        <v>1163</v>
      </c>
      <c r="D1265" t="s">
        <v>246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35">
      <c r="A1266" t="s">
        <v>1152</v>
      </c>
      <c r="B1266" t="s">
        <v>1153</v>
      </c>
      <c r="C1266" t="s">
        <v>699</v>
      </c>
      <c r="D1266" t="s">
        <v>246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35">
      <c r="A1267" t="s">
        <v>1152</v>
      </c>
      <c r="B1267" t="s">
        <v>1153</v>
      </c>
      <c r="C1267" t="s">
        <v>997</v>
      </c>
      <c r="D1267" t="s">
        <v>246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35">
      <c r="A1268" t="s">
        <v>1152</v>
      </c>
      <c r="B1268" t="s">
        <v>1153</v>
      </c>
      <c r="C1268" t="s">
        <v>339</v>
      </c>
      <c r="D1268" t="s">
        <v>246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35">
      <c r="A1269" t="s">
        <v>1152</v>
      </c>
      <c r="B1269" t="s">
        <v>1153</v>
      </c>
      <c r="C1269" t="s">
        <v>1164</v>
      </c>
      <c r="D1269" t="s">
        <v>246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35">
      <c r="A1270" t="s">
        <v>1152</v>
      </c>
      <c r="B1270" t="s">
        <v>1153</v>
      </c>
      <c r="C1270" t="s">
        <v>342</v>
      </c>
      <c r="D1270" t="s">
        <v>246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35">
      <c r="A1271" t="s">
        <v>1152</v>
      </c>
      <c r="B1271" t="s">
        <v>1153</v>
      </c>
      <c r="C1271" t="s">
        <v>300</v>
      </c>
      <c r="D1271" t="s">
        <v>246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35">
      <c r="A1272" t="s">
        <v>1152</v>
      </c>
      <c r="B1272" t="s">
        <v>1153</v>
      </c>
      <c r="C1272" t="s">
        <v>830</v>
      </c>
      <c r="D1272" t="s">
        <v>246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35">
      <c r="A1273" t="s">
        <v>1152</v>
      </c>
      <c r="B1273" t="s">
        <v>1153</v>
      </c>
      <c r="C1273" t="s">
        <v>1165</v>
      </c>
      <c r="D1273" t="s">
        <v>246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35">
      <c r="A1274" t="s">
        <v>1152</v>
      </c>
      <c r="B1274" t="s">
        <v>1153</v>
      </c>
      <c r="C1274" t="s">
        <v>866</v>
      </c>
      <c r="D1274" t="s">
        <v>246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35">
      <c r="A1275" t="s">
        <v>1152</v>
      </c>
      <c r="B1275" t="s">
        <v>1153</v>
      </c>
      <c r="C1275" t="s">
        <v>1166</v>
      </c>
      <c r="D1275" t="s">
        <v>246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35">
      <c r="A1276" t="s">
        <v>1152</v>
      </c>
      <c r="B1276" t="s">
        <v>1153</v>
      </c>
      <c r="C1276" t="s">
        <v>1167</v>
      </c>
      <c r="D1276" t="s">
        <v>246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35">
      <c r="A1277" t="s">
        <v>1152</v>
      </c>
      <c r="B1277" t="s">
        <v>1153</v>
      </c>
      <c r="C1277" t="s">
        <v>1168</v>
      </c>
      <c r="D1277" t="s">
        <v>246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35">
      <c r="A1278" t="s">
        <v>1152</v>
      </c>
      <c r="B1278" t="s">
        <v>1153</v>
      </c>
      <c r="C1278" t="s">
        <v>1169</v>
      </c>
      <c r="D1278" t="s">
        <v>246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35">
      <c r="A1279" t="s">
        <v>1152</v>
      </c>
      <c r="B1279" t="s">
        <v>1153</v>
      </c>
      <c r="C1279" t="s">
        <v>346</v>
      </c>
      <c r="D1279" t="s">
        <v>246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35">
      <c r="A1280" t="s">
        <v>1152</v>
      </c>
      <c r="B1280" t="s">
        <v>1153</v>
      </c>
      <c r="C1280" t="s">
        <v>347</v>
      </c>
      <c r="D1280" t="s">
        <v>246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35">
      <c r="A1281" t="s">
        <v>1152</v>
      </c>
      <c r="B1281" t="s">
        <v>1153</v>
      </c>
      <c r="C1281" t="s">
        <v>496</v>
      </c>
      <c r="D1281" t="s">
        <v>246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35">
      <c r="A1282" t="s">
        <v>1152</v>
      </c>
      <c r="B1282" t="s">
        <v>1153</v>
      </c>
      <c r="C1282" t="s">
        <v>307</v>
      </c>
      <c r="D1282" t="s">
        <v>246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35">
      <c r="A1283" t="s">
        <v>1152</v>
      </c>
      <c r="B1283" t="s">
        <v>1153</v>
      </c>
      <c r="C1283" t="s">
        <v>497</v>
      </c>
      <c r="D1283" t="s">
        <v>246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35">
      <c r="A1284" t="s">
        <v>1152</v>
      </c>
      <c r="B1284" t="s">
        <v>1153</v>
      </c>
      <c r="C1284" t="s">
        <v>1170</v>
      </c>
      <c r="D1284" t="s">
        <v>246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35">
      <c r="A1285" t="s">
        <v>1152</v>
      </c>
      <c r="B1285" t="s">
        <v>1153</v>
      </c>
      <c r="C1285" t="s">
        <v>348</v>
      </c>
      <c r="D1285" t="s">
        <v>246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35">
      <c r="A1286" t="s">
        <v>1152</v>
      </c>
      <c r="B1286" t="s">
        <v>1153</v>
      </c>
      <c r="C1286" t="s">
        <v>567</v>
      </c>
      <c r="D1286" t="s">
        <v>246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35">
      <c r="A1287" t="s">
        <v>1152</v>
      </c>
      <c r="B1287" t="s">
        <v>1153</v>
      </c>
      <c r="C1287" t="s">
        <v>1008</v>
      </c>
      <c r="D1287" t="s">
        <v>246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35">
      <c r="A1288" t="s">
        <v>1171</v>
      </c>
      <c r="B1288" t="s">
        <v>1172</v>
      </c>
      <c r="C1288" t="s">
        <v>1173</v>
      </c>
      <c r="D1288" t="s">
        <v>242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35">
      <c r="A1289" t="s">
        <v>1171</v>
      </c>
      <c r="B1289" t="s">
        <v>1172</v>
      </c>
      <c r="C1289" t="s">
        <v>1174</v>
      </c>
      <c r="D1289" t="s">
        <v>358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35">
      <c r="A1290" t="s">
        <v>1171</v>
      </c>
      <c r="B1290" t="s">
        <v>1172</v>
      </c>
      <c r="C1290" t="s">
        <v>1175</v>
      </c>
      <c r="D1290" t="s">
        <v>242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35">
      <c r="A1291" t="s">
        <v>1171</v>
      </c>
      <c r="B1291" t="s">
        <v>1172</v>
      </c>
      <c r="C1291" t="s">
        <v>1176</v>
      </c>
      <c r="D1291" t="s">
        <v>242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35">
      <c r="A1292" t="s">
        <v>1171</v>
      </c>
      <c r="B1292" t="s">
        <v>1172</v>
      </c>
      <c r="C1292" t="s">
        <v>1177</v>
      </c>
      <c r="D1292" t="s">
        <v>246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35">
      <c r="A1293" t="s">
        <v>1171</v>
      </c>
      <c r="B1293" t="s">
        <v>1172</v>
      </c>
      <c r="C1293" t="s">
        <v>1091</v>
      </c>
      <c r="D1293" t="s">
        <v>356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35">
      <c r="A1294" t="s">
        <v>1171</v>
      </c>
      <c r="B1294" t="s">
        <v>1172</v>
      </c>
      <c r="C1294" t="s">
        <v>1178</v>
      </c>
      <c r="D1294" t="s">
        <v>242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35">
      <c r="A1295" t="s">
        <v>1171</v>
      </c>
      <c r="B1295" t="s">
        <v>1172</v>
      </c>
      <c r="C1295" t="s">
        <v>1179</v>
      </c>
      <c r="D1295" t="s">
        <v>242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35">
      <c r="A1296" t="s">
        <v>1171</v>
      </c>
      <c r="B1296" t="s">
        <v>1172</v>
      </c>
      <c r="C1296" t="s">
        <v>1180</v>
      </c>
      <c r="D1296" t="s">
        <v>356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35">
      <c r="A1297" t="s">
        <v>1171</v>
      </c>
      <c r="B1297" t="s">
        <v>1172</v>
      </c>
      <c r="C1297" t="s">
        <v>1181</v>
      </c>
      <c r="D1297" t="s">
        <v>242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35">
      <c r="A1298" t="s">
        <v>1171</v>
      </c>
      <c r="B1298" t="s">
        <v>1172</v>
      </c>
      <c r="C1298" t="s">
        <v>1182</v>
      </c>
      <c r="D1298" t="s">
        <v>242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35">
      <c r="A1299" t="s">
        <v>1171</v>
      </c>
      <c r="B1299" t="s">
        <v>1172</v>
      </c>
      <c r="C1299" t="s">
        <v>1183</v>
      </c>
      <c r="D1299" t="s">
        <v>358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35">
      <c r="A1300" t="s">
        <v>1171</v>
      </c>
      <c r="B1300" t="s">
        <v>1172</v>
      </c>
      <c r="C1300" t="s">
        <v>1184</v>
      </c>
      <c r="D1300" t="s">
        <v>358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35">
      <c r="A1301" t="s">
        <v>1171</v>
      </c>
      <c r="B1301" t="s">
        <v>1172</v>
      </c>
      <c r="C1301" t="s">
        <v>1185</v>
      </c>
      <c r="D1301" t="s">
        <v>242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35">
      <c r="A1302" t="s">
        <v>1171</v>
      </c>
      <c r="B1302" t="s">
        <v>1172</v>
      </c>
      <c r="C1302" t="s">
        <v>272</v>
      </c>
      <c r="D1302" t="s">
        <v>242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35">
      <c r="A1303" t="s">
        <v>1171</v>
      </c>
      <c r="B1303" t="s">
        <v>1172</v>
      </c>
      <c r="C1303" t="s">
        <v>1186</v>
      </c>
      <c r="D1303" t="s">
        <v>242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35">
      <c r="A1304" t="s">
        <v>1171</v>
      </c>
      <c r="B1304" t="s">
        <v>1172</v>
      </c>
      <c r="C1304" t="s">
        <v>1187</v>
      </c>
      <c r="D1304" t="s">
        <v>242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35">
      <c r="A1305" t="s">
        <v>1171</v>
      </c>
      <c r="B1305" t="s">
        <v>1172</v>
      </c>
      <c r="C1305" t="s">
        <v>1188</v>
      </c>
      <c r="D1305" t="s">
        <v>358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35">
      <c r="A1306" t="s">
        <v>1171</v>
      </c>
      <c r="B1306" t="s">
        <v>1172</v>
      </c>
      <c r="C1306" t="s">
        <v>1189</v>
      </c>
      <c r="D1306" t="s">
        <v>242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35">
      <c r="A1307" t="s">
        <v>1171</v>
      </c>
      <c r="B1307" t="s">
        <v>1172</v>
      </c>
      <c r="C1307" t="s">
        <v>1190</v>
      </c>
      <c r="D1307" t="s">
        <v>358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35">
      <c r="A1308" t="s">
        <v>1171</v>
      </c>
      <c r="B1308" t="s">
        <v>1172</v>
      </c>
      <c r="C1308" t="s">
        <v>1191</v>
      </c>
      <c r="D1308" t="s">
        <v>242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35">
      <c r="A1309" t="s">
        <v>1171</v>
      </c>
      <c r="B1309" t="s">
        <v>1172</v>
      </c>
      <c r="C1309" t="s">
        <v>1192</v>
      </c>
      <c r="D1309" t="s">
        <v>358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35">
      <c r="A1310" t="s">
        <v>1171</v>
      </c>
      <c r="B1310" t="s">
        <v>1172</v>
      </c>
      <c r="C1310" t="s">
        <v>1193</v>
      </c>
      <c r="D1310" t="s">
        <v>242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35">
      <c r="A1311" t="s">
        <v>1171</v>
      </c>
      <c r="B1311" t="s">
        <v>1172</v>
      </c>
      <c r="C1311" t="s">
        <v>1194</v>
      </c>
      <c r="D1311" t="s">
        <v>242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35">
      <c r="A1312" t="s">
        <v>1171</v>
      </c>
      <c r="B1312" t="s">
        <v>1172</v>
      </c>
      <c r="C1312" t="s">
        <v>630</v>
      </c>
      <c r="D1312" t="s">
        <v>356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35">
      <c r="A1313" t="s">
        <v>1171</v>
      </c>
      <c r="B1313" t="s">
        <v>1172</v>
      </c>
      <c r="C1313" t="s">
        <v>1195</v>
      </c>
      <c r="D1313" t="s">
        <v>246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35">
      <c r="A1314" t="s">
        <v>1171</v>
      </c>
      <c r="B1314" t="s">
        <v>1172</v>
      </c>
      <c r="C1314" t="s">
        <v>1196</v>
      </c>
      <c r="D1314" t="s">
        <v>242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35">
      <c r="A1315" t="s">
        <v>1171</v>
      </c>
      <c r="B1315" t="s">
        <v>1172</v>
      </c>
      <c r="C1315" t="s">
        <v>1197</v>
      </c>
      <c r="D1315" t="s">
        <v>242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35">
      <c r="A1316" t="s">
        <v>1171</v>
      </c>
      <c r="B1316" t="s">
        <v>1172</v>
      </c>
      <c r="C1316" t="s">
        <v>1198</v>
      </c>
      <c r="D1316" t="s">
        <v>242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35">
      <c r="A1317" t="s">
        <v>1171</v>
      </c>
      <c r="B1317" t="s">
        <v>1172</v>
      </c>
      <c r="C1317" t="s">
        <v>275</v>
      </c>
      <c r="D1317" t="s">
        <v>356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35">
      <c r="A1318" t="s">
        <v>1171</v>
      </c>
      <c r="B1318" t="s">
        <v>1172</v>
      </c>
      <c r="C1318" t="s">
        <v>895</v>
      </c>
      <c r="D1318" t="s">
        <v>358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35">
      <c r="A1319" t="s">
        <v>1171</v>
      </c>
      <c r="B1319" t="s">
        <v>1172</v>
      </c>
      <c r="C1319" t="s">
        <v>608</v>
      </c>
      <c r="D1319" t="s">
        <v>242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35">
      <c r="A1320" t="s">
        <v>1171</v>
      </c>
      <c r="B1320" t="s">
        <v>1172</v>
      </c>
      <c r="C1320" t="s">
        <v>1199</v>
      </c>
      <c r="D1320" t="s">
        <v>356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35">
      <c r="A1321" t="s">
        <v>1171</v>
      </c>
      <c r="B1321" t="s">
        <v>1172</v>
      </c>
      <c r="C1321" t="s">
        <v>1200</v>
      </c>
      <c r="D1321" t="s">
        <v>358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35">
      <c r="A1322" t="s">
        <v>1171</v>
      </c>
      <c r="B1322" t="s">
        <v>1172</v>
      </c>
      <c r="C1322" t="s">
        <v>610</v>
      </c>
      <c r="D1322" t="s">
        <v>242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35">
      <c r="A1323" t="s">
        <v>1171</v>
      </c>
      <c r="B1323" t="s">
        <v>1172</v>
      </c>
      <c r="C1323" t="s">
        <v>1201</v>
      </c>
      <c r="D1323" t="s">
        <v>242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35">
      <c r="A1324" t="s">
        <v>1171</v>
      </c>
      <c r="B1324" t="s">
        <v>1172</v>
      </c>
      <c r="C1324" t="s">
        <v>611</v>
      </c>
      <c r="D1324" t="s">
        <v>242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35">
      <c r="A1325" t="s">
        <v>1171</v>
      </c>
      <c r="B1325" t="s">
        <v>1172</v>
      </c>
      <c r="C1325" t="s">
        <v>1202</v>
      </c>
      <c r="D1325" t="s">
        <v>356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35">
      <c r="A1326" t="s">
        <v>1171</v>
      </c>
      <c r="B1326" t="s">
        <v>1172</v>
      </c>
      <c r="C1326" t="s">
        <v>635</v>
      </c>
      <c r="D1326" t="s">
        <v>358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35">
      <c r="A1327" t="s">
        <v>1171</v>
      </c>
      <c r="B1327" t="s">
        <v>1172</v>
      </c>
      <c r="C1327" t="s">
        <v>1203</v>
      </c>
      <c r="D1327" t="s">
        <v>242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35">
      <c r="A1328" t="s">
        <v>1171</v>
      </c>
      <c r="B1328" t="s">
        <v>1172</v>
      </c>
      <c r="C1328" t="s">
        <v>1204</v>
      </c>
      <c r="D1328" t="s">
        <v>358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35">
      <c r="A1329" t="s">
        <v>1171</v>
      </c>
      <c r="B1329" t="s">
        <v>1172</v>
      </c>
      <c r="C1329" t="s">
        <v>672</v>
      </c>
      <c r="D1329" t="s">
        <v>242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35">
      <c r="A1330" t="s">
        <v>1171</v>
      </c>
      <c r="B1330" t="s">
        <v>1172</v>
      </c>
      <c r="C1330" t="s">
        <v>1205</v>
      </c>
      <c r="D1330" t="s">
        <v>242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35">
      <c r="A1331" t="s">
        <v>1171</v>
      </c>
      <c r="B1331" t="s">
        <v>1172</v>
      </c>
      <c r="C1331" t="s">
        <v>888</v>
      </c>
      <c r="D1331" t="s">
        <v>242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35">
      <c r="A1332" t="s">
        <v>1171</v>
      </c>
      <c r="B1332" t="s">
        <v>1172</v>
      </c>
      <c r="C1332" t="s">
        <v>1206</v>
      </c>
      <c r="D1332" t="s">
        <v>356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35">
      <c r="A1333" t="s">
        <v>1171</v>
      </c>
      <c r="B1333" t="s">
        <v>1172</v>
      </c>
      <c r="C1333" t="s">
        <v>1207</v>
      </c>
      <c r="D1333" t="s">
        <v>242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35">
      <c r="A1334" t="s">
        <v>1171</v>
      </c>
      <c r="B1334" t="s">
        <v>1172</v>
      </c>
      <c r="C1334" t="s">
        <v>674</v>
      </c>
      <c r="D1334" t="s">
        <v>242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35">
      <c r="A1335" t="s">
        <v>1171</v>
      </c>
      <c r="B1335" t="s">
        <v>1172</v>
      </c>
      <c r="C1335" t="s">
        <v>277</v>
      </c>
      <c r="D1335" t="s">
        <v>242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35">
      <c r="A1336" t="s">
        <v>1171</v>
      </c>
      <c r="B1336" t="s">
        <v>1172</v>
      </c>
      <c r="C1336" t="s">
        <v>318</v>
      </c>
      <c r="D1336" t="s">
        <v>358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35">
      <c r="A1337" t="s">
        <v>1171</v>
      </c>
      <c r="B1337" t="s">
        <v>1172</v>
      </c>
      <c r="C1337" t="s">
        <v>1208</v>
      </c>
      <c r="D1337" t="s">
        <v>358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35">
      <c r="A1338" t="s">
        <v>1171</v>
      </c>
      <c r="B1338" t="s">
        <v>1172</v>
      </c>
      <c r="C1338" t="s">
        <v>1209</v>
      </c>
      <c r="D1338" t="s">
        <v>242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35">
      <c r="A1339" t="s">
        <v>1171</v>
      </c>
      <c r="B1339" t="s">
        <v>1172</v>
      </c>
      <c r="C1339" t="s">
        <v>1147</v>
      </c>
      <c r="D1339" t="s">
        <v>356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35">
      <c r="A1340" t="s">
        <v>1171</v>
      </c>
      <c r="B1340" t="s">
        <v>1172</v>
      </c>
      <c r="C1340" t="s">
        <v>1210</v>
      </c>
      <c r="D1340" t="s">
        <v>358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35">
      <c r="A1341" t="s">
        <v>1171</v>
      </c>
      <c r="B1341" t="s">
        <v>1172</v>
      </c>
      <c r="C1341" t="s">
        <v>1211</v>
      </c>
      <c r="D1341" t="s">
        <v>246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35">
      <c r="A1342" t="s">
        <v>1171</v>
      </c>
      <c r="B1342" t="s">
        <v>1172</v>
      </c>
      <c r="C1342" t="s">
        <v>278</v>
      </c>
      <c r="D1342" t="s">
        <v>242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35">
      <c r="A1343" t="s">
        <v>1171</v>
      </c>
      <c r="B1343" t="s">
        <v>1172</v>
      </c>
      <c r="C1343" t="s">
        <v>615</v>
      </c>
      <c r="D1343" t="s">
        <v>242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35">
      <c r="A1344" t="s">
        <v>1171</v>
      </c>
      <c r="B1344" t="s">
        <v>1172</v>
      </c>
      <c r="C1344" t="s">
        <v>1212</v>
      </c>
      <c r="D1344" t="s">
        <v>358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35">
      <c r="A1345" t="s">
        <v>1171</v>
      </c>
      <c r="B1345" t="s">
        <v>1172</v>
      </c>
      <c r="C1345" t="s">
        <v>279</v>
      </c>
      <c r="D1345" t="s">
        <v>242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35">
      <c r="A1346" t="s">
        <v>1171</v>
      </c>
      <c r="B1346" t="s">
        <v>1172</v>
      </c>
      <c r="C1346" t="s">
        <v>1213</v>
      </c>
      <c r="D1346" t="s">
        <v>242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35">
      <c r="A1347" t="s">
        <v>1171</v>
      </c>
      <c r="B1347" t="s">
        <v>1172</v>
      </c>
      <c r="C1347" t="s">
        <v>1214</v>
      </c>
      <c r="D1347" t="s">
        <v>242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35">
      <c r="A1348" t="s">
        <v>1171</v>
      </c>
      <c r="B1348" t="s">
        <v>1172</v>
      </c>
      <c r="C1348" t="s">
        <v>321</v>
      </c>
      <c r="D1348" t="s">
        <v>242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35">
      <c r="A1349" t="s">
        <v>1171</v>
      </c>
      <c r="B1349" t="s">
        <v>1172</v>
      </c>
      <c r="C1349" t="s">
        <v>616</v>
      </c>
      <c r="D1349" t="s">
        <v>358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35">
      <c r="A1350" t="s">
        <v>1171</v>
      </c>
      <c r="B1350" t="s">
        <v>1172</v>
      </c>
      <c r="C1350" t="s">
        <v>1215</v>
      </c>
      <c r="D1350" t="s">
        <v>242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35">
      <c r="A1351" t="s">
        <v>1171</v>
      </c>
      <c r="B1351" t="s">
        <v>1172</v>
      </c>
      <c r="C1351" t="s">
        <v>1216</v>
      </c>
      <c r="D1351" t="s">
        <v>242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35">
      <c r="A1352" t="s">
        <v>1171</v>
      </c>
      <c r="B1352" t="s">
        <v>1172</v>
      </c>
      <c r="C1352" t="s">
        <v>1217</v>
      </c>
      <c r="D1352" t="s">
        <v>242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35">
      <c r="A1353" t="s">
        <v>1171</v>
      </c>
      <c r="B1353" t="s">
        <v>1172</v>
      </c>
      <c r="C1353" t="s">
        <v>1218</v>
      </c>
      <c r="D1353" t="s">
        <v>242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35">
      <c r="A1354" t="s">
        <v>1171</v>
      </c>
      <c r="B1354" t="s">
        <v>1172</v>
      </c>
      <c r="C1354" t="s">
        <v>419</v>
      </c>
      <c r="D1354" t="s">
        <v>358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35">
      <c r="A1355" t="s">
        <v>1171</v>
      </c>
      <c r="B1355" t="s">
        <v>1172</v>
      </c>
      <c r="C1355" t="s">
        <v>1219</v>
      </c>
      <c r="D1355" t="s">
        <v>358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35">
      <c r="A1356" t="s">
        <v>1171</v>
      </c>
      <c r="B1356" t="s">
        <v>1172</v>
      </c>
      <c r="C1356" t="s">
        <v>1220</v>
      </c>
      <c r="D1356" t="s">
        <v>358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35">
      <c r="A1357" t="s">
        <v>1171</v>
      </c>
      <c r="B1357" t="s">
        <v>1172</v>
      </c>
      <c r="C1357" t="s">
        <v>1221</v>
      </c>
      <c r="D1357" t="s">
        <v>358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35">
      <c r="A1358" t="s">
        <v>1171</v>
      </c>
      <c r="B1358" t="s">
        <v>1172</v>
      </c>
      <c r="C1358" t="s">
        <v>1222</v>
      </c>
      <c r="D1358" t="s">
        <v>242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35">
      <c r="A1359" t="s">
        <v>1171</v>
      </c>
      <c r="B1359" t="s">
        <v>1172</v>
      </c>
      <c r="C1359" t="s">
        <v>1223</v>
      </c>
      <c r="D1359" t="s">
        <v>242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35">
      <c r="A1360" t="s">
        <v>1171</v>
      </c>
      <c r="B1360" t="s">
        <v>1172</v>
      </c>
      <c r="C1360" t="s">
        <v>678</v>
      </c>
      <c r="D1360" t="s">
        <v>358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35">
      <c r="A1361" t="s">
        <v>1171</v>
      </c>
      <c r="B1361" t="s">
        <v>1172</v>
      </c>
      <c r="C1361" t="s">
        <v>1224</v>
      </c>
      <c r="D1361" t="s">
        <v>242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35">
      <c r="A1362" t="s">
        <v>1171</v>
      </c>
      <c r="B1362" t="s">
        <v>1172</v>
      </c>
      <c r="C1362" t="s">
        <v>280</v>
      </c>
      <c r="D1362" t="s">
        <v>242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35">
      <c r="A1363" t="s">
        <v>1171</v>
      </c>
      <c r="B1363" t="s">
        <v>1172</v>
      </c>
      <c r="C1363" t="s">
        <v>1225</v>
      </c>
      <c r="D1363" t="s">
        <v>356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35">
      <c r="A1364" t="s">
        <v>1171</v>
      </c>
      <c r="B1364" t="s">
        <v>1172</v>
      </c>
      <c r="C1364" t="s">
        <v>1226</v>
      </c>
      <c r="D1364" t="s">
        <v>242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35">
      <c r="A1365" t="s">
        <v>1171</v>
      </c>
      <c r="B1365" t="s">
        <v>1172</v>
      </c>
      <c r="C1365" t="s">
        <v>1227</v>
      </c>
      <c r="D1365" t="s">
        <v>358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35">
      <c r="A1366" t="s">
        <v>1171</v>
      </c>
      <c r="B1366" t="s">
        <v>1172</v>
      </c>
      <c r="C1366" t="s">
        <v>1228</v>
      </c>
      <c r="D1366" t="s">
        <v>358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35">
      <c r="A1367" t="s">
        <v>1171</v>
      </c>
      <c r="B1367" t="s">
        <v>1172</v>
      </c>
      <c r="C1367" t="s">
        <v>300</v>
      </c>
      <c r="D1367" t="s">
        <v>242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35">
      <c r="A1368" t="s">
        <v>1171</v>
      </c>
      <c r="B1368" t="s">
        <v>1172</v>
      </c>
      <c r="C1368" t="s">
        <v>921</v>
      </c>
      <c r="D1368" t="s">
        <v>356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35">
      <c r="A1369" t="s">
        <v>1171</v>
      </c>
      <c r="B1369" t="s">
        <v>1172</v>
      </c>
      <c r="C1369" t="s">
        <v>830</v>
      </c>
      <c r="D1369" t="s">
        <v>242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35">
      <c r="A1370" t="s">
        <v>1171</v>
      </c>
      <c r="B1370" t="s">
        <v>1172</v>
      </c>
      <c r="C1370" t="s">
        <v>1229</v>
      </c>
      <c r="D1370" t="s">
        <v>242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35">
      <c r="A1371" t="s">
        <v>1171</v>
      </c>
      <c r="B1371" t="s">
        <v>1172</v>
      </c>
      <c r="C1371" t="s">
        <v>1230</v>
      </c>
      <c r="D1371" t="s">
        <v>242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35">
      <c r="A1372" t="s">
        <v>1171</v>
      </c>
      <c r="B1372" t="s">
        <v>1172</v>
      </c>
      <c r="C1372" t="s">
        <v>1231</v>
      </c>
      <c r="D1372" t="s">
        <v>246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35">
      <c r="A1373" t="s">
        <v>1171</v>
      </c>
      <c r="B1373" t="s">
        <v>1172</v>
      </c>
      <c r="C1373" t="s">
        <v>1232</v>
      </c>
      <c r="D1373" t="s">
        <v>358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35">
      <c r="A1374" t="s">
        <v>1171</v>
      </c>
      <c r="B1374" t="s">
        <v>1172</v>
      </c>
      <c r="C1374" t="s">
        <v>1233</v>
      </c>
      <c r="D1374" t="s">
        <v>358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35">
      <c r="A1375" t="s">
        <v>1171</v>
      </c>
      <c r="B1375" t="s">
        <v>1172</v>
      </c>
      <c r="C1375" t="s">
        <v>1234</v>
      </c>
      <c r="D1375" t="s">
        <v>358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35">
      <c r="A1376" t="s">
        <v>1171</v>
      </c>
      <c r="B1376" t="s">
        <v>1172</v>
      </c>
      <c r="C1376" t="s">
        <v>1235</v>
      </c>
      <c r="D1376" t="s">
        <v>356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35">
      <c r="A1377" t="s">
        <v>1171</v>
      </c>
      <c r="B1377" t="s">
        <v>1172</v>
      </c>
      <c r="C1377" t="s">
        <v>1236</v>
      </c>
      <c r="D1377" t="s">
        <v>242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35">
      <c r="A1378" t="s">
        <v>1171</v>
      </c>
      <c r="B1378" t="s">
        <v>1172</v>
      </c>
      <c r="C1378" t="s">
        <v>704</v>
      </c>
      <c r="D1378" t="s">
        <v>358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35">
      <c r="A1379" t="s">
        <v>1171</v>
      </c>
      <c r="B1379" t="s">
        <v>1172</v>
      </c>
      <c r="C1379" t="s">
        <v>484</v>
      </c>
      <c r="D1379" t="s">
        <v>358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35">
      <c r="A1380" t="s">
        <v>1171</v>
      </c>
      <c r="B1380" t="s">
        <v>1172</v>
      </c>
      <c r="C1380" t="s">
        <v>1237</v>
      </c>
      <c r="D1380" t="s">
        <v>358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35">
      <c r="A1381" t="s">
        <v>1171</v>
      </c>
      <c r="B1381" t="s">
        <v>1172</v>
      </c>
      <c r="C1381" t="s">
        <v>1238</v>
      </c>
      <c r="D1381" t="s">
        <v>358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35">
      <c r="A1382" t="s">
        <v>1171</v>
      </c>
      <c r="B1382" t="s">
        <v>1172</v>
      </c>
      <c r="C1382" t="s">
        <v>1239</v>
      </c>
      <c r="D1382" t="s">
        <v>242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35">
      <c r="A1383" t="s">
        <v>1171</v>
      </c>
      <c r="B1383" t="s">
        <v>1172</v>
      </c>
      <c r="C1383" t="s">
        <v>1240</v>
      </c>
      <c r="D1383" t="s">
        <v>358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35">
      <c r="A1384" t="s">
        <v>1171</v>
      </c>
      <c r="B1384" t="s">
        <v>1172</v>
      </c>
      <c r="C1384" t="s">
        <v>1241</v>
      </c>
      <c r="D1384" t="s">
        <v>242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35">
      <c r="A1385" t="s">
        <v>1171</v>
      </c>
      <c r="B1385" t="s">
        <v>1172</v>
      </c>
      <c r="C1385" t="s">
        <v>1242</v>
      </c>
      <c r="D1385" t="s">
        <v>242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35">
      <c r="A1386" t="s">
        <v>1171</v>
      </c>
      <c r="B1386" t="s">
        <v>1172</v>
      </c>
      <c r="C1386" t="s">
        <v>1243</v>
      </c>
      <c r="D1386" t="s">
        <v>242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35">
      <c r="A1387" t="s">
        <v>1171</v>
      </c>
      <c r="B1387" t="s">
        <v>1172</v>
      </c>
      <c r="C1387" t="s">
        <v>1244</v>
      </c>
      <c r="D1387" t="s">
        <v>242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35">
      <c r="A1388" t="s">
        <v>1171</v>
      </c>
      <c r="B1388" t="s">
        <v>1172</v>
      </c>
      <c r="C1388" t="s">
        <v>1245</v>
      </c>
      <c r="D1388" t="s">
        <v>358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35">
      <c r="A1389" t="s">
        <v>1171</v>
      </c>
      <c r="B1389" t="s">
        <v>1172</v>
      </c>
      <c r="C1389" t="s">
        <v>1246</v>
      </c>
      <c r="D1389" t="s">
        <v>242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35">
      <c r="A1390" t="s">
        <v>1171</v>
      </c>
      <c r="B1390" t="s">
        <v>1172</v>
      </c>
      <c r="C1390" t="s">
        <v>1247</v>
      </c>
      <c r="D1390" t="s">
        <v>242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35">
      <c r="A1391" t="s">
        <v>1171</v>
      </c>
      <c r="B1391" t="s">
        <v>1172</v>
      </c>
      <c r="C1391" t="s">
        <v>1248</v>
      </c>
      <c r="D1391" t="s">
        <v>242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35">
      <c r="A1392" t="s">
        <v>1171</v>
      </c>
      <c r="B1392" t="s">
        <v>1172</v>
      </c>
      <c r="C1392" t="s">
        <v>1249</v>
      </c>
      <c r="D1392" t="s">
        <v>242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35">
      <c r="A1393" t="s">
        <v>1171</v>
      </c>
      <c r="B1393" t="s">
        <v>1172</v>
      </c>
      <c r="C1393" t="s">
        <v>306</v>
      </c>
      <c r="D1393" t="s">
        <v>242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35">
      <c r="A1394" t="s">
        <v>1171</v>
      </c>
      <c r="B1394" t="s">
        <v>1172</v>
      </c>
      <c r="C1394" t="s">
        <v>1250</v>
      </c>
      <c r="D1394" t="s">
        <v>242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35">
      <c r="A1395" t="s">
        <v>1171</v>
      </c>
      <c r="B1395" t="s">
        <v>1172</v>
      </c>
      <c r="C1395" t="s">
        <v>1251</v>
      </c>
      <c r="D1395" t="s">
        <v>358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35">
      <c r="A1396" t="s">
        <v>1171</v>
      </c>
      <c r="B1396" t="s">
        <v>1172</v>
      </c>
      <c r="C1396" t="s">
        <v>307</v>
      </c>
      <c r="D1396" t="s">
        <v>242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35">
      <c r="A1397" t="s">
        <v>1171</v>
      </c>
      <c r="B1397" t="s">
        <v>1172</v>
      </c>
      <c r="C1397" t="s">
        <v>1252</v>
      </c>
      <c r="D1397" t="s">
        <v>242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35">
      <c r="A1398" t="s">
        <v>1171</v>
      </c>
      <c r="B1398" t="s">
        <v>1172</v>
      </c>
      <c r="C1398" t="s">
        <v>1253</v>
      </c>
      <c r="D1398" t="s">
        <v>242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35">
      <c r="A1399" t="s">
        <v>1171</v>
      </c>
      <c r="B1399" t="s">
        <v>1172</v>
      </c>
      <c r="C1399" t="s">
        <v>499</v>
      </c>
      <c r="D1399" t="s">
        <v>358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35">
      <c r="A1400" t="s">
        <v>1171</v>
      </c>
      <c r="B1400" t="s">
        <v>1172</v>
      </c>
      <c r="C1400" t="s">
        <v>1254</v>
      </c>
      <c r="D1400" t="s">
        <v>246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35">
      <c r="A1401" t="s">
        <v>1171</v>
      </c>
      <c r="B1401" t="s">
        <v>1172</v>
      </c>
      <c r="C1401" t="s">
        <v>1255</v>
      </c>
      <c r="D1401" t="s">
        <v>358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35">
      <c r="A1402" t="s">
        <v>1171</v>
      </c>
      <c r="B1402" t="s">
        <v>1172</v>
      </c>
      <c r="C1402" t="s">
        <v>1256</v>
      </c>
      <c r="D1402" t="s">
        <v>242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35">
      <c r="A1403" t="s">
        <v>1171</v>
      </c>
      <c r="B1403" t="s">
        <v>1172</v>
      </c>
      <c r="C1403" t="s">
        <v>567</v>
      </c>
      <c r="D1403" t="s">
        <v>242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35">
      <c r="A1404" t="s">
        <v>1171</v>
      </c>
      <c r="B1404" t="s">
        <v>1172</v>
      </c>
      <c r="C1404" t="s">
        <v>1008</v>
      </c>
      <c r="D1404" t="s">
        <v>242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35">
      <c r="A1405" t="s">
        <v>1171</v>
      </c>
      <c r="B1405" t="s">
        <v>1172</v>
      </c>
      <c r="C1405" t="s">
        <v>1257</v>
      </c>
      <c r="D1405" t="s">
        <v>358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35">
      <c r="A1406" t="s">
        <v>1171</v>
      </c>
      <c r="B1406" t="s">
        <v>1172</v>
      </c>
      <c r="C1406" t="s">
        <v>1258</v>
      </c>
      <c r="D1406" t="s">
        <v>246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35">
      <c r="A1407" t="s">
        <v>1171</v>
      </c>
      <c r="B1407" t="s">
        <v>1172</v>
      </c>
      <c r="C1407" t="s">
        <v>1056</v>
      </c>
      <c r="D1407" t="s">
        <v>242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35">
      <c r="A1408" t="s">
        <v>1171</v>
      </c>
      <c r="B1408" t="s">
        <v>1172</v>
      </c>
      <c r="C1408" t="s">
        <v>1259</v>
      </c>
      <c r="D1408" t="s">
        <v>356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35">
      <c r="A1409" t="s">
        <v>1171</v>
      </c>
      <c r="B1409" t="s">
        <v>1172</v>
      </c>
      <c r="C1409" t="s">
        <v>1260</v>
      </c>
      <c r="D1409" t="s">
        <v>246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35">
      <c r="A1410" t="s">
        <v>1171</v>
      </c>
      <c r="B1410" t="s">
        <v>1172</v>
      </c>
      <c r="C1410" t="s">
        <v>1261</v>
      </c>
      <c r="D1410" t="s">
        <v>242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35">
      <c r="A1411" t="s">
        <v>1171</v>
      </c>
      <c r="B1411" t="s">
        <v>1172</v>
      </c>
      <c r="C1411" t="s">
        <v>1262</v>
      </c>
      <c r="D1411" t="s">
        <v>242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35">
      <c r="A1412" t="s">
        <v>1263</v>
      </c>
      <c r="B1412" t="s">
        <v>1264</v>
      </c>
      <c r="C1412" t="s">
        <v>1062</v>
      </c>
      <c r="D1412" t="s">
        <v>227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35">
      <c r="A1413" t="s">
        <v>1263</v>
      </c>
      <c r="B1413" t="s">
        <v>1264</v>
      </c>
      <c r="C1413" t="s">
        <v>1265</v>
      </c>
      <c r="D1413" t="s">
        <v>227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35">
      <c r="A1414" t="s">
        <v>1263</v>
      </c>
      <c r="B1414" t="s">
        <v>1264</v>
      </c>
      <c r="C1414" t="s">
        <v>1266</v>
      </c>
      <c r="D1414" t="s">
        <v>227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35">
      <c r="A1415" t="s">
        <v>1263</v>
      </c>
      <c r="B1415" t="s">
        <v>1264</v>
      </c>
      <c r="C1415" t="s">
        <v>875</v>
      </c>
      <c r="D1415" t="s">
        <v>227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35">
      <c r="A1416" t="s">
        <v>1263</v>
      </c>
      <c r="B1416" t="s">
        <v>1264</v>
      </c>
      <c r="C1416" t="s">
        <v>1267</v>
      </c>
      <c r="D1416" t="s">
        <v>227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35">
      <c r="A1417" t="s">
        <v>1263</v>
      </c>
      <c r="B1417" t="s">
        <v>1264</v>
      </c>
      <c r="C1417" t="s">
        <v>601</v>
      </c>
      <c r="D1417" t="s">
        <v>227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35">
      <c r="A1418" t="s">
        <v>1263</v>
      </c>
      <c r="B1418" t="s">
        <v>1264</v>
      </c>
      <c r="C1418" t="s">
        <v>1268</v>
      </c>
      <c r="D1418" t="s">
        <v>227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35">
      <c r="A1419" t="s">
        <v>1263</v>
      </c>
      <c r="B1419" t="s">
        <v>1264</v>
      </c>
      <c r="C1419" t="s">
        <v>1269</v>
      </c>
      <c r="D1419" t="s">
        <v>227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35">
      <c r="A1420" t="s">
        <v>1263</v>
      </c>
      <c r="B1420" t="s">
        <v>1264</v>
      </c>
      <c r="C1420" t="s">
        <v>373</v>
      </c>
      <c r="D1420" t="s">
        <v>227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35">
      <c r="A1421" t="s">
        <v>1263</v>
      </c>
      <c r="B1421" t="s">
        <v>1264</v>
      </c>
      <c r="C1421" t="s">
        <v>375</v>
      </c>
      <c r="D1421" t="s">
        <v>227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35">
      <c r="A1422" t="s">
        <v>1263</v>
      </c>
      <c r="B1422" t="s">
        <v>1264</v>
      </c>
      <c r="C1422" t="s">
        <v>1270</v>
      </c>
      <c r="D1422" t="s">
        <v>227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35">
      <c r="A1423" t="s">
        <v>1263</v>
      </c>
      <c r="B1423" t="s">
        <v>1264</v>
      </c>
      <c r="C1423" t="s">
        <v>1271</v>
      </c>
      <c r="D1423" t="s">
        <v>227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35">
      <c r="A1424" t="s">
        <v>1263</v>
      </c>
      <c r="B1424" t="s">
        <v>1264</v>
      </c>
      <c r="C1424" t="s">
        <v>1272</v>
      </c>
      <c r="D1424" t="s">
        <v>227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35">
      <c r="A1425" t="s">
        <v>1263</v>
      </c>
      <c r="B1425" t="s">
        <v>1264</v>
      </c>
      <c r="C1425" t="s">
        <v>1273</v>
      </c>
      <c r="D1425" t="s">
        <v>227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35">
      <c r="A1426" t="s">
        <v>1263</v>
      </c>
      <c r="B1426" t="s">
        <v>1264</v>
      </c>
      <c r="C1426" t="s">
        <v>294</v>
      </c>
      <c r="D1426" t="s">
        <v>227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35">
      <c r="A1427" t="s">
        <v>1263</v>
      </c>
      <c r="B1427" t="s">
        <v>1264</v>
      </c>
      <c r="C1427" t="s">
        <v>1274</v>
      </c>
      <c r="D1427" t="s">
        <v>227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35">
      <c r="A1428" t="s">
        <v>1263</v>
      </c>
      <c r="B1428" t="s">
        <v>1264</v>
      </c>
      <c r="C1428" t="s">
        <v>1275</v>
      </c>
      <c r="D1428" t="s">
        <v>227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35">
      <c r="A1429" t="s">
        <v>1263</v>
      </c>
      <c r="B1429" t="s">
        <v>1264</v>
      </c>
      <c r="C1429" t="s">
        <v>1276</v>
      </c>
      <c r="D1429" t="s">
        <v>227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35">
      <c r="A1430" t="s">
        <v>1277</v>
      </c>
      <c r="B1430" t="s">
        <v>1278</v>
      </c>
      <c r="C1430" t="s">
        <v>1279</v>
      </c>
      <c r="D1430" t="s">
        <v>246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35">
      <c r="A1431" t="s">
        <v>1277</v>
      </c>
      <c r="B1431" t="s">
        <v>1278</v>
      </c>
      <c r="C1431" t="s">
        <v>1280</v>
      </c>
      <c r="D1431" t="s">
        <v>246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35">
      <c r="A1432" t="s">
        <v>1277</v>
      </c>
      <c r="B1432" t="s">
        <v>1278</v>
      </c>
      <c r="C1432" t="s">
        <v>1281</v>
      </c>
      <c r="D1432" t="s">
        <v>246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35">
      <c r="A1433" t="s">
        <v>1277</v>
      </c>
      <c r="B1433" t="s">
        <v>1278</v>
      </c>
      <c r="C1433" t="s">
        <v>473</v>
      </c>
      <c r="D1433" t="s">
        <v>246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35">
      <c r="A1434" t="s">
        <v>1277</v>
      </c>
      <c r="B1434" t="s">
        <v>1278</v>
      </c>
      <c r="C1434" t="s">
        <v>1282</v>
      </c>
      <c r="D1434" t="s">
        <v>246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35">
      <c r="A1435" t="s">
        <v>1277</v>
      </c>
      <c r="B1435" t="s">
        <v>1278</v>
      </c>
      <c r="C1435" t="s">
        <v>272</v>
      </c>
      <c r="D1435" t="s">
        <v>246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35">
      <c r="A1436" t="s">
        <v>1277</v>
      </c>
      <c r="B1436" t="s">
        <v>1278</v>
      </c>
      <c r="C1436" t="s">
        <v>1283</v>
      </c>
      <c r="D1436" t="s">
        <v>246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35">
      <c r="A1437" t="s">
        <v>1277</v>
      </c>
      <c r="B1437" t="s">
        <v>1278</v>
      </c>
      <c r="C1437" t="s">
        <v>739</v>
      </c>
      <c r="D1437" t="s">
        <v>246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35">
      <c r="A1438" t="s">
        <v>1277</v>
      </c>
      <c r="B1438" t="s">
        <v>1278</v>
      </c>
      <c r="C1438" t="s">
        <v>1284</v>
      </c>
      <c r="D1438" t="s">
        <v>246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35">
      <c r="A1439" t="s">
        <v>1277</v>
      </c>
      <c r="B1439" t="s">
        <v>1278</v>
      </c>
      <c r="C1439" t="s">
        <v>1285</v>
      </c>
      <c r="D1439" t="s">
        <v>246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35">
      <c r="A1440" t="s">
        <v>1277</v>
      </c>
      <c r="B1440" t="s">
        <v>1278</v>
      </c>
      <c r="C1440" t="s">
        <v>1286</v>
      </c>
      <c r="D1440" t="s">
        <v>246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35">
      <c r="A1441" t="s">
        <v>1277</v>
      </c>
      <c r="B1441" t="s">
        <v>1278</v>
      </c>
      <c r="C1441" t="s">
        <v>1287</v>
      </c>
      <c r="D1441" t="s">
        <v>246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35">
      <c r="A1442" t="s">
        <v>1277</v>
      </c>
      <c r="B1442" t="s">
        <v>1278</v>
      </c>
      <c r="C1442" t="s">
        <v>1288</v>
      </c>
      <c r="D1442" t="s">
        <v>246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35">
      <c r="A1443" t="s">
        <v>1277</v>
      </c>
      <c r="B1443" t="s">
        <v>1278</v>
      </c>
      <c r="C1443" t="s">
        <v>1195</v>
      </c>
      <c r="D1443" t="s">
        <v>246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35">
      <c r="A1444" t="s">
        <v>1277</v>
      </c>
      <c r="B1444" t="s">
        <v>1278</v>
      </c>
      <c r="C1444" t="s">
        <v>274</v>
      </c>
      <c r="D1444" t="s">
        <v>246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35">
      <c r="A1445" t="s">
        <v>1277</v>
      </c>
      <c r="B1445" t="s">
        <v>1278</v>
      </c>
      <c r="C1445" t="s">
        <v>1289</v>
      </c>
      <c r="D1445" t="s">
        <v>246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35">
      <c r="A1446" t="s">
        <v>1277</v>
      </c>
      <c r="B1446" t="s">
        <v>1278</v>
      </c>
      <c r="C1446" t="s">
        <v>1290</v>
      </c>
      <c r="D1446" t="s">
        <v>246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35">
      <c r="A1447" t="s">
        <v>1277</v>
      </c>
      <c r="B1447" t="s">
        <v>1278</v>
      </c>
      <c r="C1447" t="s">
        <v>1291</v>
      </c>
      <c r="D1447" t="s">
        <v>246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35">
      <c r="A1448" t="s">
        <v>1277</v>
      </c>
      <c r="B1448" t="s">
        <v>1278</v>
      </c>
      <c r="C1448" t="s">
        <v>1292</v>
      </c>
      <c r="D1448" t="s">
        <v>246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35">
      <c r="A1449" t="s">
        <v>1277</v>
      </c>
      <c r="B1449" t="s">
        <v>1278</v>
      </c>
      <c r="C1449" t="s">
        <v>1293</v>
      </c>
      <c r="D1449" t="s">
        <v>246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35">
      <c r="A1450" t="s">
        <v>1277</v>
      </c>
      <c r="B1450" t="s">
        <v>1278</v>
      </c>
      <c r="C1450" t="s">
        <v>1294</v>
      </c>
      <c r="D1450" t="s">
        <v>246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35">
      <c r="A1451" t="s">
        <v>1277</v>
      </c>
      <c r="B1451" t="s">
        <v>1278</v>
      </c>
      <c r="C1451" t="s">
        <v>276</v>
      </c>
      <c r="D1451" t="s">
        <v>246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35">
      <c r="A1452" t="s">
        <v>1277</v>
      </c>
      <c r="B1452" t="s">
        <v>1278</v>
      </c>
      <c r="C1452" t="s">
        <v>1295</v>
      </c>
      <c r="D1452" t="s">
        <v>246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35">
      <c r="A1453" t="s">
        <v>1277</v>
      </c>
      <c r="B1453" t="s">
        <v>1278</v>
      </c>
      <c r="C1453" t="s">
        <v>1296</v>
      </c>
      <c r="D1453" t="s">
        <v>246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35">
      <c r="A1454" t="s">
        <v>1277</v>
      </c>
      <c r="B1454" t="s">
        <v>1278</v>
      </c>
      <c r="C1454" t="s">
        <v>1297</v>
      </c>
      <c r="D1454" t="s">
        <v>246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35">
      <c r="A1455" t="s">
        <v>1277</v>
      </c>
      <c r="B1455" t="s">
        <v>1278</v>
      </c>
      <c r="C1455" t="s">
        <v>1298</v>
      </c>
      <c r="D1455" t="s">
        <v>246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35">
      <c r="A1456" t="s">
        <v>1277</v>
      </c>
      <c r="B1456" t="s">
        <v>1278</v>
      </c>
      <c r="C1456" t="s">
        <v>1299</v>
      </c>
      <c r="D1456" t="s">
        <v>246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35">
      <c r="A1457" t="s">
        <v>1277</v>
      </c>
      <c r="B1457" t="s">
        <v>1278</v>
      </c>
      <c r="C1457" t="s">
        <v>1300</v>
      </c>
      <c r="D1457" t="s">
        <v>246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35">
      <c r="A1458" t="s">
        <v>1277</v>
      </c>
      <c r="B1458" t="s">
        <v>1278</v>
      </c>
      <c r="C1458" t="s">
        <v>1301</v>
      </c>
      <c r="D1458" t="s">
        <v>246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35">
      <c r="A1459" t="s">
        <v>1277</v>
      </c>
      <c r="B1459" t="s">
        <v>1278</v>
      </c>
      <c r="C1459" t="s">
        <v>904</v>
      </c>
      <c r="D1459" t="s">
        <v>246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35">
      <c r="A1460" t="s">
        <v>1277</v>
      </c>
      <c r="B1460" t="s">
        <v>1278</v>
      </c>
      <c r="C1460" t="s">
        <v>283</v>
      </c>
      <c r="D1460" t="s">
        <v>246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35">
      <c r="A1461" t="s">
        <v>1277</v>
      </c>
      <c r="B1461" t="s">
        <v>1278</v>
      </c>
      <c r="C1461" t="s">
        <v>1302</v>
      </c>
      <c r="D1461" t="s">
        <v>246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35">
      <c r="A1462" t="s">
        <v>1277</v>
      </c>
      <c r="B1462" t="s">
        <v>1278</v>
      </c>
      <c r="C1462" t="s">
        <v>1303</v>
      </c>
      <c r="D1462" t="s">
        <v>246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35">
      <c r="A1463" t="s">
        <v>1277</v>
      </c>
      <c r="B1463" t="s">
        <v>1278</v>
      </c>
      <c r="C1463" t="s">
        <v>1304</v>
      </c>
      <c r="D1463" t="s">
        <v>246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35">
      <c r="A1464" t="s">
        <v>1277</v>
      </c>
      <c r="B1464" t="s">
        <v>1278</v>
      </c>
      <c r="C1464" t="s">
        <v>1305</v>
      </c>
      <c r="D1464" t="s">
        <v>246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35">
      <c r="A1465" t="s">
        <v>1277</v>
      </c>
      <c r="B1465" t="s">
        <v>1278</v>
      </c>
      <c r="C1465" t="s">
        <v>1306</v>
      </c>
      <c r="D1465" t="s">
        <v>246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35">
      <c r="A1466" t="s">
        <v>1277</v>
      </c>
      <c r="B1466" t="s">
        <v>1278</v>
      </c>
      <c r="C1466" t="s">
        <v>287</v>
      </c>
      <c r="D1466" t="s">
        <v>246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35">
      <c r="A1467" t="s">
        <v>1277</v>
      </c>
      <c r="B1467" t="s">
        <v>1278</v>
      </c>
      <c r="C1467" t="s">
        <v>1307</v>
      </c>
      <c r="D1467" t="s">
        <v>246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35">
      <c r="A1468" t="s">
        <v>1277</v>
      </c>
      <c r="B1468" t="s">
        <v>1278</v>
      </c>
      <c r="C1468" t="s">
        <v>1308</v>
      </c>
      <c r="D1468" t="s">
        <v>246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35">
      <c r="A1469" t="s">
        <v>1277</v>
      </c>
      <c r="B1469" t="s">
        <v>1278</v>
      </c>
      <c r="C1469" t="s">
        <v>1309</v>
      </c>
      <c r="D1469" t="s">
        <v>246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35">
      <c r="A1470" t="s">
        <v>1277</v>
      </c>
      <c r="B1470" t="s">
        <v>1278</v>
      </c>
      <c r="C1470" t="s">
        <v>1310</v>
      </c>
      <c r="D1470" t="s">
        <v>246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35">
      <c r="A1471" t="s">
        <v>1277</v>
      </c>
      <c r="B1471" t="s">
        <v>1278</v>
      </c>
      <c r="C1471" t="s">
        <v>1311</v>
      </c>
      <c r="D1471" t="s">
        <v>246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35">
      <c r="A1472" t="s">
        <v>1277</v>
      </c>
      <c r="B1472" t="s">
        <v>1278</v>
      </c>
      <c r="C1472" t="s">
        <v>412</v>
      </c>
      <c r="D1472" t="s">
        <v>246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35">
      <c r="A1473" t="s">
        <v>1277</v>
      </c>
      <c r="B1473" t="s">
        <v>1278</v>
      </c>
      <c r="C1473" t="s">
        <v>293</v>
      </c>
      <c r="D1473" t="s">
        <v>246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35">
      <c r="A1474" t="s">
        <v>1277</v>
      </c>
      <c r="B1474" t="s">
        <v>1278</v>
      </c>
      <c r="C1474" t="s">
        <v>691</v>
      </c>
      <c r="D1474" t="s">
        <v>246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35">
      <c r="A1475" t="s">
        <v>1277</v>
      </c>
      <c r="B1475" t="s">
        <v>1278</v>
      </c>
      <c r="C1475" t="s">
        <v>1312</v>
      </c>
      <c r="D1475" t="s">
        <v>246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35">
      <c r="A1476" t="s">
        <v>1277</v>
      </c>
      <c r="B1476" t="s">
        <v>1278</v>
      </c>
      <c r="C1476" t="s">
        <v>1313</v>
      </c>
      <c r="D1476" t="s">
        <v>246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35">
      <c r="A1477" t="s">
        <v>1277</v>
      </c>
      <c r="B1477" t="s">
        <v>1278</v>
      </c>
      <c r="C1477" t="s">
        <v>1314</v>
      </c>
      <c r="D1477" t="s">
        <v>246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35">
      <c r="A1478" t="s">
        <v>1277</v>
      </c>
      <c r="B1478" t="s">
        <v>1278</v>
      </c>
      <c r="C1478" t="s">
        <v>987</v>
      </c>
      <c r="D1478" t="s">
        <v>246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35">
      <c r="A1479" t="s">
        <v>1277</v>
      </c>
      <c r="B1479" t="s">
        <v>1278</v>
      </c>
      <c r="C1479" t="s">
        <v>1315</v>
      </c>
      <c r="D1479" t="s">
        <v>246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35">
      <c r="A1480" t="s">
        <v>1277</v>
      </c>
      <c r="B1480" t="s">
        <v>1278</v>
      </c>
      <c r="C1480" t="s">
        <v>1316</v>
      </c>
      <c r="D1480" t="s">
        <v>246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35">
      <c r="A1481" t="s">
        <v>1277</v>
      </c>
      <c r="B1481" t="s">
        <v>1278</v>
      </c>
      <c r="C1481" t="s">
        <v>1317</v>
      </c>
      <c r="D1481" t="s">
        <v>246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35">
      <c r="A1482" t="s">
        <v>1277</v>
      </c>
      <c r="B1482" t="s">
        <v>1278</v>
      </c>
      <c r="C1482" t="s">
        <v>965</v>
      </c>
      <c r="D1482" t="s">
        <v>246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35">
      <c r="A1483" t="s">
        <v>1277</v>
      </c>
      <c r="B1483" t="s">
        <v>1278</v>
      </c>
      <c r="C1483" t="s">
        <v>1318</v>
      </c>
      <c r="D1483" t="s">
        <v>246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35">
      <c r="A1484" t="s">
        <v>1277</v>
      </c>
      <c r="B1484" t="s">
        <v>1278</v>
      </c>
      <c r="C1484" t="s">
        <v>1319</v>
      </c>
      <c r="D1484" t="s">
        <v>246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35">
      <c r="A1485" t="s">
        <v>1277</v>
      </c>
      <c r="B1485" t="s">
        <v>1278</v>
      </c>
      <c r="C1485" t="s">
        <v>1320</v>
      </c>
      <c r="D1485" t="s">
        <v>246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35">
      <c r="A1486" t="s">
        <v>1277</v>
      </c>
      <c r="B1486" t="s">
        <v>1278</v>
      </c>
      <c r="C1486" t="s">
        <v>1321</v>
      </c>
      <c r="D1486" t="s">
        <v>246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35">
      <c r="A1487" t="s">
        <v>1277</v>
      </c>
      <c r="B1487" t="s">
        <v>1278</v>
      </c>
      <c r="C1487" t="s">
        <v>1322</v>
      </c>
      <c r="D1487" t="s">
        <v>246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35">
      <c r="A1488" t="s">
        <v>1277</v>
      </c>
      <c r="B1488" t="s">
        <v>1278</v>
      </c>
      <c r="C1488" t="s">
        <v>1323</v>
      </c>
      <c r="D1488" t="s">
        <v>246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35">
      <c r="A1489" t="s">
        <v>1277</v>
      </c>
      <c r="B1489" t="s">
        <v>1278</v>
      </c>
      <c r="C1489" t="s">
        <v>1324</v>
      </c>
      <c r="D1489" t="s">
        <v>246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35">
      <c r="A1490" t="s">
        <v>1277</v>
      </c>
      <c r="B1490" t="s">
        <v>1278</v>
      </c>
      <c r="C1490" t="s">
        <v>1325</v>
      </c>
      <c r="D1490" t="s">
        <v>246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35">
      <c r="A1491" t="s">
        <v>1277</v>
      </c>
      <c r="B1491" t="s">
        <v>1278</v>
      </c>
      <c r="C1491" t="s">
        <v>1326</v>
      </c>
      <c r="D1491" t="s">
        <v>246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35">
      <c r="A1492" t="s">
        <v>1277</v>
      </c>
      <c r="B1492" t="s">
        <v>1278</v>
      </c>
      <c r="C1492" t="s">
        <v>1327</v>
      </c>
      <c r="D1492" t="s">
        <v>246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35">
      <c r="A1493" t="s">
        <v>1277</v>
      </c>
      <c r="B1493" t="s">
        <v>1278</v>
      </c>
      <c r="C1493" t="s">
        <v>337</v>
      </c>
      <c r="D1493" t="s">
        <v>246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35">
      <c r="A1494" t="s">
        <v>1277</v>
      </c>
      <c r="B1494" t="s">
        <v>1278</v>
      </c>
      <c r="C1494" t="s">
        <v>1328</v>
      </c>
      <c r="D1494" t="s">
        <v>246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35">
      <c r="A1495" t="s">
        <v>1329</v>
      </c>
      <c r="B1495" t="s">
        <v>1330</v>
      </c>
      <c r="C1495" t="s">
        <v>1331</v>
      </c>
      <c r="D1495" t="s">
        <v>227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35">
      <c r="A1496" t="s">
        <v>1329</v>
      </c>
      <c r="B1496" t="s">
        <v>1330</v>
      </c>
      <c r="C1496" t="s">
        <v>1332</v>
      </c>
      <c r="D1496" t="s">
        <v>226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35">
      <c r="A1497" t="s">
        <v>1329</v>
      </c>
      <c r="B1497" t="s">
        <v>1330</v>
      </c>
      <c r="C1497" t="s">
        <v>1333</v>
      </c>
      <c r="D1497" t="s">
        <v>227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35">
      <c r="A1498" t="s">
        <v>1329</v>
      </c>
      <c r="B1498" t="s">
        <v>1330</v>
      </c>
      <c r="C1498" t="s">
        <v>1334</v>
      </c>
      <c r="D1498" t="s">
        <v>227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35">
      <c r="A1499" t="s">
        <v>1335</v>
      </c>
      <c r="B1499" t="s">
        <v>1336</v>
      </c>
      <c r="C1499" t="s">
        <v>244</v>
      </c>
      <c r="D1499" t="s">
        <v>227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35">
      <c r="A1500" t="s">
        <v>1335</v>
      </c>
      <c r="B1500" t="s">
        <v>1336</v>
      </c>
      <c r="C1500" t="s">
        <v>1337</v>
      </c>
      <c r="D1500" t="s">
        <v>246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35">
      <c r="A1501" t="s">
        <v>1335</v>
      </c>
      <c r="B1501" t="s">
        <v>1336</v>
      </c>
      <c r="C1501" t="s">
        <v>576</v>
      </c>
      <c r="D1501" t="s">
        <v>246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35">
      <c r="A1502" t="s">
        <v>1335</v>
      </c>
      <c r="B1502" t="s">
        <v>1336</v>
      </c>
      <c r="C1502" t="s">
        <v>1338</v>
      </c>
      <c r="D1502" t="s">
        <v>246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35">
      <c r="A1503" t="s">
        <v>1335</v>
      </c>
      <c r="B1503" t="s">
        <v>1336</v>
      </c>
      <c r="C1503" t="s">
        <v>1339</v>
      </c>
      <c r="D1503" t="s">
        <v>227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35">
      <c r="A1504" t="s">
        <v>1335</v>
      </c>
      <c r="B1504" t="s">
        <v>1336</v>
      </c>
      <c r="C1504" t="s">
        <v>1340</v>
      </c>
      <c r="D1504" t="s">
        <v>246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35">
      <c r="A1505" t="s">
        <v>1335</v>
      </c>
      <c r="B1505" t="s">
        <v>1336</v>
      </c>
      <c r="C1505" t="s">
        <v>250</v>
      </c>
      <c r="D1505" t="s">
        <v>246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35">
      <c r="A1506" t="s">
        <v>1335</v>
      </c>
      <c r="B1506" t="s">
        <v>1336</v>
      </c>
      <c r="C1506" t="s">
        <v>256</v>
      </c>
      <c r="D1506" t="s">
        <v>246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35">
      <c r="A1507" t="s">
        <v>1335</v>
      </c>
      <c r="B1507" t="s">
        <v>1336</v>
      </c>
      <c r="C1507" t="s">
        <v>1341</v>
      </c>
      <c r="D1507" t="s">
        <v>227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35">
      <c r="A1508" t="s">
        <v>1335</v>
      </c>
      <c r="B1508" t="s">
        <v>1336</v>
      </c>
      <c r="C1508" t="s">
        <v>271</v>
      </c>
      <c r="D1508" t="s">
        <v>227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35">
      <c r="A1509" t="s">
        <v>1335</v>
      </c>
      <c r="B1509" t="s">
        <v>1336</v>
      </c>
      <c r="C1509" t="s">
        <v>475</v>
      </c>
      <c r="D1509" t="s">
        <v>246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35">
      <c r="A1510" t="s">
        <v>1335</v>
      </c>
      <c r="B1510" t="s">
        <v>1336</v>
      </c>
      <c r="C1510" t="s">
        <v>315</v>
      </c>
      <c r="D1510" t="s">
        <v>227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35">
      <c r="A1511" t="s">
        <v>1335</v>
      </c>
      <c r="B1511" t="s">
        <v>1336</v>
      </c>
      <c r="C1511" t="s">
        <v>1342</v>
      </c>
      <c r="D1511" t="s">
        <v>227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35">
      <c r="A1512" t="s">
        <v>1335</v>
      </c>
      <c r="B1512" t="s">
        <v>1336</v>
      </c>
      <c r="C1512" t="s">
        <v>756</v>
      </c>
      <c r="D1512" t="s">
        <v>227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35">
      <c r="A1513" t="s">
        <v>1335</v>
      </c>
      <c r="B1513" t="s">
        <v>1336</v>
      </c>
      <c r="C1513" t="s">
        <v>609</v>
      </c>
      <c r="D1513" t="s">
        <v>227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35">
      <c r="A1514" t="s">
        <v>1335</v>
      </c>
      <c r="B1514" t="s">
        <v>1336</v>
      </c>
      <c r="C1514" t="s">
        <v>1343</v>
      </c>
      <c r="D1514" t="s">
        <v>227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35">
      <c r="A1515" t="s">
        <v>1335</v>
      </c>
      <c r="B1515" t="s">
        <v>1336</v>
      </c>
      <c r="C1515" t="s">
        <v>611</v>
      </c>
      <c r="D1515" t="s">
        <v>227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35">
      <c r="A1516" t="s">
        <v>1335</v>
      </c>
      <c r="B1516" t="s">
        <v>1336</v>
      </c>
      <c r="C1516" t="s">
        <v>278</v>
      </c>
      <c r="D1516" t="s">
        <v>246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35">
      <c r="A1517" t="s">
        <v>1335</v>
      </c>
      <c r="B1517" t="s">
        <v>1336</v>
      </c>
      <c r="C1517" t="s">
        <v>279</v>
      </c>
      <c r="D1517" t="s">
        <v>246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35">
      <c r="A1518" t="s">
        <v>1335</v>
      </c>
      <c r="B1518" t="s">
        <v>1336</v>
      </c>
      <c r="C1518" t="s">
        <v>1344</v>
      </c>
      <c r="D1518" t="s">
        <v>246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35">
      <c r="A1519" t="s">
        <v>1335</v>
      </c>
      <c r="B1519" t="s">
        <v>1336</v>
      </c>
      <c r="C1519" t="s">
        <v>539</v>
      </c>
      <c r="D1519" t="s">
        <v>227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35">
      <c r="A1520" t="s">
        <v>1335</v>
      </c>
      <c r="B1520" t="s">
        <v>1336</v>
      </c>
      <c r="C1520" t="s">
        <v>323</v>
      </c>
      <c r="D1520" t="s">
        <v>246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35">
      <c r="A1521" t="s">
        <v>1335</v>
      </c>
      <c r="B1521" t="s">
        <v>1336</v>
      </c>
      <c r="C1521" t="s">
        <v>325</v>
      </c>
      <c r="D1521" t="s">
        <v>246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35">
      <c r="A1522" t="s">
        <v>1335</v>
      </c>
      <c r="B1522" t="s">
        <v>1336</v>
      </c>
      <c r="C1522" t="s">
        <v>289</v>
      </c>
      <c r="D1522" t="s">
        <v>227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35">
      <c r="A1523" t="s">
        <v>1335</v>
      </c>
      <c r="B1523" t="s">
        <v>1336</v>
      </c>
      <c r="C1523" t="s">
        <v>290</v>
      </c>
      <c r="D1523" t="s">
        <v>227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35">
      <c r="A1524" t="s">
        <v>1335</v>
      </c>
      <c r="B1524" t="s">
        <v>1336</v>
      </c>
      <c r="C1524" t="s">
        <v>544</v>
      </c>
      <c r="D1524" t="s">
        <v>246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35">
      <c r="A1525" t="s">
        <v>1335</v>
      </c>
      <c r="B1525" t="s">
        <v>1336</v>
      </c>
      <c r="C1525" t="s">
        <v>1345</v>
      </c>
      <c r="D1525" t="s">
        <v>246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35">
      <c r="A1526" t="s">
        <v>1335</v>
      </c>
      <c r="B1526" t="s">
        <v>1336</v>
      </c>
      <c r="C1526" t="s">
        <v>550</v>
      </c>
      <c r="D1526" t="s">
        <v>246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35">
      <c r="A1527" t="s">
        <v>1335</v>
      </c>
      <c r="B1527" t="s">
        <v>1336</v>
      </c>
      <c r="C1527" t="s">
        <v>386</v>
      </c>
      <c r="D1527" t="s">
        <v>227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35">
      <c r="A1528" t="s">
        <v>1335</v>
      </c>
      <c r="B1528" t="s">
        <v>1336</v>
      </c>
      <c r="C1528" t="s">
        <v>1346</v>
      </c>
      <c r="D1528" t="s">
        <v>246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35">
      <c r="A1529" t="s">
        <v>1335</v>
      </c>
      <c r="B1529" t="s">
        <v>1336</v>
      </c>
      <c r="C1529" t="s">
        <v>1347</v>
      </c>
      <c r="D1529" t="s">
        <v>227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35">
      <c r="A1530" t="s">
        <v>1335</v>
      </c>
      <c r="B1530" t="s">
        <v>1336</v>
      </c>
      <c r="C1530" t="s">
        <v>292</v>
      </c>
      <c r="D1530" t="s">
        <v>246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35">
      <c r="A1531" t="s">
        <v>1335</v>
      </c>
      <c r="B1531" t="s">
        <v>1336</v>
      </c>
      <c r="C1531" t="s">
        <v>294</v>
      </c>
      <c r="D1531" t="s">
        <v>246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35">
      <c r="A1532" t="s">
        <v>1335</v>
      </c>
      <c r="B1532" t="s">
        <v>1336</v>
      </c>
      <c r="C1532" t="s">
        <v>692</v>
      </c>
      <c r="D1532" t="s">
        <v>227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35">
      <c r="A1533" t="s">
        <v>1335</v>
      </c>
      <c r="B1533" t="s">
        <v>1336</v>
      </c>
      <c r="C1533" t="s">
        <v>693</v>
      </c>
      <c r="D1533" t="s">
        <v>227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35">
      <c r="A1534" t="s">
        <v>1335</v>
      </c>
      <c r="B1534" t="s">
        <v>1336</v>
      </c>
      <c r="C1534" t="s">
        <v>697</v>
      </c>
      <c r="D1534" t="s">
        <v>227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35">
      <c r="A1535" t="s">
        <v>1335</v>
      </c>
      <c r="B1535" t="s">
        <v>1336</v>
      </c>
      <c r="C1535" t="s">
        <v>1348</v>
      </c>
      <c r="D1535" t="s">
        <v>246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35">
      <c r="A1536" t="s">
        <v>1335</v>
      </c>
      <c r="B1536" t="s">
        <v>1336</v>
      </c>
      <c r="C1536" t="s">
        <v>1349</v>
      </c>
      <c r="D1536" t="s">
        <v>227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35">
      <c r="A1537" t="s">
        <v>1335</v>
      </c>
      <c r="B1537" t="s">
        <v>1336</v>
      </c>
      <c r="C1537" t="s">
        <v>1350</v>
      </c>
      <c r="D1537" t="s">
        <v>227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35">
      <c r="A1538" t="s">
        <v>1335</v>
      </c>
      <c r="B1538" t="s">
        <v>1336</v>
      </c>
      <c r="C1538" t="s">
        <v>555</v>
      </c>
      <c r="D1538" t="s">
        <v>246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35">
      <c r="A1539" t="s">
        <v>1335</v>
      </c>
      <c r="B1539" t="s">
        <v>1336</v>
      </c>
      <c r="C1539" t="s">
        <v>1351</v>
      </c>
      <c r="D1539" t="s">
        <v>227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35">
      <c r="A1540" t="s">
        <v>1335</v>
      </c>
      <c r="B1540" t="s">
        <v>1336</v>
      </c>
      <c r="C1540" t="s">
        <v>298</v>
      </c>
      <c r="D1540" t="s">
        <v>227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35">
      <c r="A1541" t="s">
        <v>1335</v>
      </c>
      <c r="B1541" t="s">
        <v>1336</v>
      </c>
      <c r="C1541" t="s">
        <v>1352</v>
      </c>
      <c r="D1541" t="s">
        <v>246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35">
      <c r="A1542" t="s">
        <v>1335</v>
      </c>
      <c r="B1542" t="s">
        <v>1336</v>
      </c>
      <c r="C1542" t="s">
        <v>1163</v>
      </c>
      <c r="D1542" t="s">
        <v>246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35">
      <c r="A1543" t="s">
        <v>1335</v>
      </c>
      <c r="B1543" t="s">
        <v>1336</v>
      </c>
      <c r="C1543" t="s">
        <v>1353</v>
      </c>
      <c r="D1543" t="s">
        <v>227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35">
      <c r="A1544" t="s">
        <v>1335</v>
      </c>
      <c r="B1544" t="s">
        <v>1336</v>
      </c>
      <c r="C1544" t="s">
        <v>704</v>
      </c>
      <c r="D1544" t="s">
        <v>227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35">
      <c r="A1545" t="s">
        <v>1335</v>
      </c>
      <c r="B1545" t="s">
        <v>1336</v>
      </c>
      <c r="C1545" t="s">
        <v>1354</v>
      </c>
      <c r="D1545" t="s">
        <v>227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35">
      <c r="A1546" t="s">
        <v>1335</v>
      </c>
      <c r="B1546" t="s">
        <v>1336</v>
      </c>
      <c r="C1546" t="s">
        <v>1243</v>
      </c>
      <c r="D1546" t="s">
        <v>246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35">
      <c r="A1547" t="s">
        <v>1335</v>
      </c>
      <c r="B1547" t="s">
        <v>1336</v>
      </c>
      <c r="C1547" t="s">
        <v>1244</v>
      </c>
      <c r="D1547" t="s">
        <v>227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35">
      <c r="A1548" t="s">
        <v>1335</v>
      </c>
      <c r="B1548" t="s">
        <v>1336</v>
      </c>
      <c r="C1548" t="s">
        <v>497</v>
      </c>
      <c r="D1548" t="s">
        <v>246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35">
      <c r="A1549" t="s">
        <v>1335</v>
      </c>
      <c r="B1549" t="s">
        <v>1336</v>
      </c>
      <c r="C1549" t="s">
        <v>498</v>
      </c>
      <c r="D1549" t="s">
        <v>227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35">
      <c r="A1550" t="s">
        <v>1335</v>
      </c>
      <c r="B1550" t="s">
        <v>1336</v>
      </c>
      <c r="C1550" t="s">
        <v>1355</v>
      </c>
      <c r="D1550" t="s">
        <v>227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35">
      <c r="A1551" t="s">
        <v>1335</v>
      </c>
      <c r="B1551" t="s">
        <v>1336</v>
      </c>
      <c r="C1551" t="s">
        <v>1356</v>
      </c>
      <c r="D1551" t="s">
        <v>246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35">
      <c r="A1552" t="s">
        <v>1335</v>
      </c>
      <c r="B1552" t="s">
        <v>1336</v>
      </c>
      <c r="C1552" t="s">
        <v>1056</v>
      </c>
      <c r="D1552" t="s">
        <v>246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35">
      <c r="A1553" t="s">
        <v>1335</v>
      </c>
      <c r="B1553" t="s">
        <v>1336</v>
      </c>
      <c r="C1553" t="s">
        <v>1357</v>
      </c>
      <c r="D1553" t="s">
        <v>246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35">
      <c r="A1554" t="s">
        <v>1358</v>
      </c>
      <c r="B1554" t="s">
        <v>1359</v>
      </c>
      <c r="C1554" t="s">
        <v>515</v>
      </c>
      <c r="D1554" t="s">
        <v>227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35">
      <c r="A1555" t="s">
        <v>1358</v>
      </c>
      <c r="B1555" t="s">
        <v>1359</v>
      </c>
      <c r="C1555" t="s">
        <v>1360</v>
      </c>
      <c r="D1555" t="s">
        <v>228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35">
      <c r="A1556" t="s">
        <v>1358</v>
      </c>
      <c r="B1556" t="s">
        <v>1359</v>
      </c>
      <c r="C1556" t="s">
        <v>1361</v>
      </c>
      <c r="D1556" t="s">
        <v>227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35">
      <c r="A1557" t="s">
        <v>1358</v>
      </c>
      <c r="B1557" t="s">
        <v>1359</v>
      </c>
      <c r="C1557" t="s">
        <v>1362</v>
      </c>
      <c r="D1557" t="s">
        <v>228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35">
      <c r="A1558" t="s">
        <v>1358</v>
      </c>
      <c r="B1558" t="s">
        <v>1359</v>
      </c>
      <c r="C1558" t="s">
        <v>577</v>
      </c>
      <c r="D1558" t="s">
        <v>227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35">
      <c r="A1559" t="s">
        <v>1358</v>
      </c>
      <c r="B1559" t="s">
        <v>1359</v>
      </c>
      <c r="C1559" t="s">
        <v>1128</v>
      </c>
      <c r="D1559" t="s">
        <v>227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35">
      <c r="A1560" t="s">
        <v>1358</v>
      </c>
      <c r="B1560" t="s">
        <v>1359</v>
      </c>
      <c r="C1560" t="s">
        <v>1056</v>
      </c>
      <c r="D1560" t="s">
        <v>227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35">
      <c r="A1561" t="s">
        <v>1363</v>
      </c>
      <c r="B1561" t="s">
        <v>1364</v>
      </c>
      <c r="C1561" t="s">
        <v>945</v>
      </c>
      <c r="D1561" t="s">
        <v>227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35">
      <c r="A1562" t="s">
        <v>1363</v>
      </c>
      <c r="B1562" t="s">
        <v>1364</v>
      </c>
      <c r="C1562" t="s">
        <v>873</v>
      </c>
      <c r="D1562" t="s">
        <v>227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35">
      <c r="A1563" t="s">
        <v>1363</v>
      </c>
      <c r="B1563" t="s">
        <v>1364</v>
      </c>
      <c r="C1563" t="s">
        <v>1129</v>
      </c>
      <c r="D1563" t="s">
        <v>227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35">
      <c r="A1564" t="s">
        <v>1363</v>
      </c>
      <c r="B1564" t="s">
        <v>1364</v>
      </c>
      <c r="C1564" t="s">
        <v>875</v>
      </c>
      <c r="D1564" t="s">
        <v>227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35">
      <c r="A1565" t="s">
        <v>1363</v>
      </c>
      <c r="B1565" t="s">
        <v>1364</v>
      </c>
      <c r="C1565" t="s">
        <v>1365</v>
      </c>
      <c r="D1565" t="s">
        <v>227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35">
      <c r="A1566" t="s">
        <v>1363</v>
      </c>
      <c r="B1566" t="s">
        <v>1364</v>
      </c>
      <c r="C1566" t="s">
        <v>1073</v>
      </c>
      <c r="D1566" t="s">
        <v>227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35">
      <c r="A1567" t="s">
        <v>1363</v>
      </c>
      <c r="B1567" t="s">
        <v>1364</v>
      </c>
      <c r="C1567" t="s">
        <v>372</v>
      </c>
      <c r="D1567" t="s">
        <v>227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35">
      <c r="A1568" t="s">
        <v>1363</v>
      </c>
      <c r="B1568" t="s">
        <v>1364</v>
      </c>
      <c r="C1568" t="s">
        <v>1366</v>
      </c>
      <c r="D1568" t="s">
        <v>227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35">
      <c r="A1569" t="s">
        <v>1363</v>
      </c>
      <c r="B1569" t="s">
        <v>1364</v>
      </c>
      <c r="C1569" t="s">
        <v>1367</v>
      </c>
      <c r="D1569" t="s">
        <v>227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35">
      <c r="A1570" t="s">
        <v>1363</v>
      </c>
      <c r="B1570" t="s">
        <v>1364</v>
      </c>
      <c r="C1570" t="s">
        <v>321</v>
      </c>
      <c r="D1570" t="s">
        <v>227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35">
      <c r="A1571" t="s">
        <v>1363</v>
      </c>
      <c r="B1571" t="s">
        <v>1364</v>
      </c>
      <c r="C1571" t="s">
        <v>1368</v>
      </c>
      <c r="D1571" t="s">
        <v>227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35">
      <c r="A1572" t="s">
        <v>1363</v>
      </c>
      <c r="B1572" t="s">
        <v>1364</v>
      </c>
      <c r="C1572" t="s">
        <v>323</v>
      </c>
      <c r="D1572" t="s">
        <v>228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35">
      <c r="A1573" t="s">
        <v>1363</v>
      </c>
      <c r="B1573" t="s">
        <v>1364</v>
      </c>
      <c r="C1573" t="s">
        <v>1369</v>
      </c>
      <c r="D1573" t="s">
        <v>227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35">
      <c r="A1574" t="s">
        <v>1363</v>
      </c>
      <c r="B1574" t="s">
        <v>1364</v>
      </c>
      <c r="C1574" t="s">
        <v>1370</v>
      </c>
      <c r="D1574" t="s">
        <v>227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35">
      <c r="A1575" t="s">
        <v>1363</v>
      </c>
      <c r="B1575" t="s">
        <v>1364</v>
      </c>
      <c r="C1575" t="s">
        <v>392</v>
      </c>
      <c r="D1575" t="s">
        <v>227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35">
      <c r="A1576" t="s">
        <v>1363</v>
      </c>
      <c r="B1576" t="s">
        <v>1364</v>
      </c>
      <c r="C1576" t="s">
        <v>853</v>
      </c>
      <c r="D1576" t="s">
        <v>227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35">
      <c r="A1577" t="s">
        <v>1363</v>
      </c>
      <c r="B1577" t="s">
        <v>1364</v>
      </c>
      <c r="C1577" t="s">
        <v>920</v>
      </c>
      <c r="D1577" t="s">
        <v>227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35">
      <c r="A1578" t="s">
        <v>1363</v>
      </c>
      <c r="B1578" t="s">
        <v>1364</v>
      </c>
      <c r="C1578" t="s">
        <v>1371</v>
      </c>
      <c r="D1578" t="s">
        <v>228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35">
      <c r="A1579" t="s">
        <v>1363</v>
      </c>
      <c r="B1579" t="s">
        <v>1364</v>
      </c>
      <c r="C1579" t="s">
        <v>1372</v>
      </c>
      <c r="D1579" t="s">
        <v>227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35">
      <c r="A1580" t="s">
        <v>1363</v>
      </c>
      <c r="B1580" t="s">
        <v>1364</v>
      </c>
      <c r="C1580" t="s">
        <v>1373</v>
      </c>
      <c r="D1580" t="s">
        <v>228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35">
      <c r="A1581" t="s">
        <v>1363</v>
      </c>
      <c r="B1581" t="s">
        <v>1364</v>
      </c>
      <c r="C1581" t="s">
        <v>1374</v>
      </c>
      <c r="D1581" t="s">
        <v>227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35">
      <c r="A1582" t="s">
        <v>1363</v>
      </c>
      <c r="B1582" t="s">
        <v>1364</v>
      </c>
      <c r="C1582" t="s">
        <v>1375</v>
      </c>
      <c r="D1582" t="s">
        <v>227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35">
      <c r="A1583" t="s">
        <v>1363</v>
      </c>
      <c r="B1583" t="s">
        <v>1364</v>
      </c>
      <c r="C1583" t="s">
        <v>1376</v>
      </c>
      <c r="D1583" t="s">
        <v>227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35">
      <c r="A1584" t="s">
        <v>1377</v>
      </c>
      <c r="B1584" t="s">
        <v>1378</v>
      </c>
      <c r="C1584" t="s">
        <v>501</v>
      </c>
      <c r="D1584" t="s">
        <v>242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35">
      <c r="A1585" t="s">
        <v>1377</v>
      </c>
      <c r="B1585" t="s">
        <v>1378</v>
      </c>
      <c r="C1585" t="s">
        <v>838</v>
      </c>
      <c r="D1585" t="s">
        <v>246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35">
      <c r="A1586" t="s">
        <v>1379</v>
      </c>
      <c r="B1586" t="s">
        <v>1380</v>
      </c>
      <c r="C1586" t="s">
        <v>1381</v>
      </c>
      <c r="D1586" t="s">
        <v>228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35">
      <c r="A1587" t="s">
        <v>1379</v>
      </c>
      <c r="B1587" t="s">
        <v>1380</v>
      </c>
      <c r="C1587" t="s">
        <v>1382</v>
      </c>
      <c r="D1587" t="s">
        <v>228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35">
      <c r="A1588" t="s">
        <v>1379</v>
      </c>
      <c r="B1588" t="s">
        <v>1380</v>
      </c>
      <c r="C1588" t="s">
        <v>1383</v>
      </c>
      <c r="D1588" t="s">
        <v>228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35">
      <c r="A1589" t="s">
        <v>1379</v>
      </c>
      <c r="B1589" t="s">
        <v>1380</v>
      </c>
      <c r="C1589" t="s">
        <v>1384</v>
      </c>
      <c r="D1589" t="s">
        <v>1385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35">
      <c r="A1590" t="s">
        <v>1379</v>
      </c>
      <c r="B1590" t="s">
        <v>1380</v>
      </c>
      <c r="C1590" t="s">
        <v>1386</v>
      </c>
      <c r="D1590" t="s">
        <v>228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35">
      <c r="A1591" t="s">
        <v>1379</v>
      </c>
      <c r="B1591" t="s">
        <v>1380</v>
      </c>
      <c r="C1591" t="s">
        <v>1387</v>
      </c>
      <c r="D1591" t="s">
        <v>228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35">
      <c r="A1592" t="s">
        <v>1379</v>
      </c>
      <c r="B1592" t="s">
        <v>1380</v>
      </c>
      <c r="C1592" t="s">
        <v>1388</v>
      </c>
      <c r="D1592" t="s">
        <v>1385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35">
      <c r="A1593" t="s">
        <v>1379</v>
      </c>
      <c r="B1593" t="s">
        <v>1380</v>
      </c>
      <c r="C1593" t="s">
        <v>1389</v>
      </c>
      <c r="D1593" t="s">
        <v>1385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35">
      <c r="A1594" t="s">
        <v>1379</v>
      </c>
      <c r="B1594" t="s">
        <v>1380</v>
      </c>
      <c r="C1594" t="s">
        <v>1390</v>
      </c>
      <c r="D1594" t="s">
        <v>228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35">
      <c r="A1595" t="s">
        <v>1379</v>
      </c>
      <c r="B1595" t="s">
        <v>1380</v>
      </c>
      <c r="C1595" t="s">
        <v>1391</v>
      </c>
      <c r="D1595" t="s">
        <v>228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35">
      <c r="A1596" t="s">
        <v>1379</v>
      </c>
      <c r="B1596" t="s">
        <v>1380</v>
      </c>
      <c r="C1596" t="s">
        <v>1392</v>
      </c>
      <c r="D1596" t="s">
        <v>228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35">
      <c r="A1597" t="s">
        <v>1379</v>
      </c>
      <c r="B1597" t="s">
        <v>1380</v>
      </c>
      <c r="C1597" t="s">
        <v>1393</v>
      </c>
      <c r="D1597" t="s">
        <v>228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35">
      <c r="A1598" t="s">
        <v>1379</v>
      </c>
      <c r="B1598" t="s">
        <v>1380</v>
      </c>
      <c r="C1598" t="s">
        <v>1394</v>
      </c>
      <c r="D1598" t="s">
        <v>228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35">
      <c r="A1599" t="s">
        <v>1379</v>
      </c>
      <c r="B1599" t="s">
        <v>1380</v>
      </c>
      <c r="C1599" t="s">
        <v>1395</v>
      </c>
      <c r="D1599" t="s">
        <v>228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35">
      <c r="A1600" t="s">
        <v>1379</v>
      </c>
      <c r="B1600" t="s">
        <v>1380</v>
      </c>
      <c r="C1600" t="s">
        <v>1396</v>
      </c>
      <c r="D1600" t="s">
        <v>228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35">
      <c r="A1601" t="s">
        <v>1379</v>
      </c>
      <c r="B1601" t="s">
        <v>1380</v>
      </c>
      <c r="C1601" t="s">
        <v>1397</v>
      </c>
      <c r="D1601" t="s">
        <v>1385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35">
      <c r="A1602" t="s">
        <v>1379</v>
      </c>
      <c r="B1602" t="s">
        <v>1380</v>
      </c>
      <c r="C1602" t="s">
        <v>1398</v>
      </c>
      <c r="D1602" t="s">
        <v>1385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35">
      <c r="A1603" t="s">
        <v>1379</v>
      </c>
      <c r="B1603" t="s">
        <v>1380</v>
      </c>
      <c r="C1603" t="s">
        <v>1399</v>
      </c>
      <c r="D1603" t="s">
        <v>1385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35">
      <c r="A1604" t="s">
        <v>1379</v>
      </c>
      <c r="B1604" t="s">
        <v>1380</v>
      </c>
      <c r="C1604" t="s">
        <v>1400</v>
      </c>
      <c r="D1604" t="s">
        <v>228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35">
      <c r="A1605" t="s">
        <v>1379</v>
      </c>
      <c r="B1605" t="s">
        <v>1380</v>
      </c>
      <c r="C1605" t="s">
        <v>1401</v>
      </c>
      <c r="D1605" t="s">
        <v>228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35">
      <c r="A1606" t="s">
        <v>1379</v>
      </c>
      <c r="B1606" t="s">
        <v>1380</v>
      </c>
      <c r="C1606" t="s">
        <v>1402</v>
      </c>
      <c r="D1606" t="s">
        <v>1385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35">
      <c r="A1607" t="s">
        <v>1379</v>
      </c>
      <c r="B1607" t="s">
        <v>1380</v>
      </c>
      <c r="C1607" t="s">
        <v>1403</v>
      </c>
      <c r="D1607" t="s">
        <v>228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35">
      <c r="A1608" t="s">
        <v>1379</v>
      </c>
      <c r="B1608" t="s">
        <v>1380</v>
      </c>
      <c r="C1608" t="s">
        <v>1404</v>
      </c>
      <c r="D1608" t="s">
        <v>1385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35">
      <c r="A1609" t="s">
        <v>1379</v>
      </c>
      <c r="B1609" t="s">
        <v>1380</v>
      </c>
      <c r="C1609" t="s">
        <v>1405</v>
      </c>
      <c r="D1609" t="s">
        <v>228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35">
      <c r="A1610" t="s">
        <v>1379</v>
      </c>
      <c r="B1610" t="s">
        <v>1380</v>
      </c>
      <c r="C1610" t="s">
        <v>1406</v>
      </c>
      <c r="D1610" t="s">
        <v>228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35">
      <c r="A1611" t="s">
        <v>1379</v>
      </c>
      <c r="B1611" t="s">
        <v>1380</v>
      </c>
      <c r="C1611" t="s">
        <v>1407</v>
      </c>
      <c r="D1611" t="s">
        <v>1385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35">
      <c r="A1612" t="s">
        <v>1408</v>
      </c>
      <c r="B1612" t="s">
        <v>1409</v>
      </c>
      <c r="C1612" t="s">
        <v>1410</v>
      </c>
      <c r="D1612" t="s">
        <v>227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35">
      <c r="A1613" t="s">
        <v>1408</v>
      </c>
      <c r="B1613" t="s">
        <v>1409</v>
      </c>
      <c r="C1613" t="s">
        <v>1411</v>
      </c>
      <c r="D1613" t="s">
        <v>358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35">
      <c r="A1614" t="s">
        <v>1408</v>
      </c>
      <c r="B1614" t="s">
        <v>1409</v>
      </c>
      <c r="C1614" t="s">
        <v>1412</v>
      </c>
      <c r="D1614" t="s">
        <v>227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35">
      <c r="A1615" t="s">
        <v>1408</v>
      </c>
      <c r="B1615" t="s">
        <v>1409</v>
      </c>
      <c r="C1615" t="s">
        <v>1413</v>
      </c>
      <c r="D1615" t="s">
        <v>356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35">
      <c r="A1616" t="s">
        <v>1408</v>
      </c>
      <c r="B1616" t="s">
        <v>1409</v>
      </c>
      <c r="C1616" t="s">
        <v>629</v>
      </c>
      <c r="D1616" t="s">
        <v>358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35">
      <c r="A1617" t="s">
        <v>1408</v>
      </c>
      <c r="B1617" t="s">
        <v>1409</v>
      </c>
      <c r="C1617" t="s">
        <v>1414</v>
      </c>
      <c r="D1617" t="s">
        <v>358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35">
      <c r="A1618" t="s">
        <v>1408</v>
      </c>
      <c r="B1618" t="s">
        <v>1409</v>
      </c>
      <c r="C1618" t="s">
        <v>1415</v>
      </c>
      <c r="D1618" t="s">
        <v>358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35">
      <c r="A1619" t="s">
        <v>1408</v>
      </c>
      <c r="B1619" t="s">
        <v>1409</v>
      </c>
      <c r="C1619" t="s">
        <v>1416</v>
      </c>
      <c r="D1619" t="s">
        <v>358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35">
      <c r="A1620" t="s">
        <v>1408</v>
      </c>
      <c r="B1620" t="s">
        <v>1409</v>
      </c>
      <c r="C1620" t="s">
        <v>1417</v>
      </c>
      <c r="D1620" t="s">
        <v>358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35">
      <c r="A1621" t="s">
        <v>1408</v>
      </c>
      <c r="B1621" t="s">
        <v>1409</v>
      </c>
      <c r="C1621" t="s">
        <v>1418</v>
      </c>
      <c r="D1621" t="s">
        <v>227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35">
      <c r="A1622" t="s">
        <v>1408</v>
      </c>
      <c r="B1622" t="s">
        <v>1409</v>
      </c>
      <c r="C1622" t="s">
        <v>1419</v>
      </c>
      <c r="D1622" t="s">
        <v>358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35">
      <c r="A1623" t="s">
        <v>1408</v>
      </c>
      <c r="B1623" t="s">
        <v>1409</v>
      </c>
      <c r="C1623" t="s">
        <v>1420</v>
      </c>
      <c r="D1623" t="s">
        <v>358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35">
      <c r="A1624" t="s">
        <v>1408</v>
      </c>
      <c r="B1624" t="s">
        <v>1409</v>
      </c>
      <c r="C1624" t="s">
        <v>1421</v>
      </c>
      <c r="D1624" t="s">
        <v>358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35">
      <c r="A1625" t="s">
        <v>1408</v>
      </c>
      <c r="B1625" t="s">
        <v>1409</v>
      </c>
      <c r="C1625" t="s">
        <v>1422</v>
      </c>
      <c r="D1625" t="s">
        <v>356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35">
      <c r="A1626" t="s">
        <v>1408</v>
      </c>
      <c r="B1626" t="s">
        <v>1409</v>
      </c>
      <c r="C1626" t="s">
        <v>406</v>
      </c>
      <c r="D1626" t="s">
        <v>358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35">
      <c r="A1627" t="s">
        <v>1423</v>
      </c>
      <c r="B1627" t="s">
        <v>1424</v>
      </c>
      <c r="C1627" t="s">
        <v>1424</v>
      </c>
      <c r="D1627" t="s">
        <v>246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35">
      <c r="A1628" t="s">
        <v>1423</v>
      </c>
      <c r="B1628" t="s">
        <v>1424</v>
      </c>
      <c r="C1628" t="s">
        <v>1425</v>
      </c>
      <c r="D1628" t="s">
        <v>246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35">
      <c r="A1629" t="s">
        <v>1423</v>
      </c>
      <c r="B1629" t="s">
        <v>1424</v>
      </c>
      <c r="C1629" t="s">
        <v>1426</v>
      </c>
      <c r="D1629" t="s">
        <v>246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35">
      <c r="A1630" t="s">
        <v>1423</v>
      </c>
      <c r="B1630" t="s">
        <v>1424</v>
      </c>
      <c r="C1630" t="s">
        <v>574</v>
      </c>
      <c r="D1630" t="s">
        <v>246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35">
      <c r="A1631" t="s">
        <v>1423</v>
      </c>
      <c r="B1631" t="s">
        <v>1424</v>
      </c>
      <c r="C1631" t="s">
        <v>576</v>
      </c>
      <c r="D1631" t="s">
        <v>246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35">
      <c r="A1632" t="s">
        <v>1423</v>
      </c>
      <c r="B1632" t="s">
        <v>1424</v>
      </c>
      <c r="C1632" t="s">
        <v>1427</v>
      </c>
      <c r="D1632" t="s">
        <v>246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35">
      <c r="A1633" t="s">
        <v>1423</v>
      </c>
      <c r="B1633" t="s">
        <v>1424</v>
      </c>
      <c r="C1633" t="s">
        <v>250</v>
      </c>
      <c r="D1633" t="s">
        <v>246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35">
      <c r="A1634" t="s">
        <v>1423</v>
      </c>
      <c r="B1634" t="s">
        <v>1424</v>
      </c>
      <c r="C1634" t="s">
        <v>446</v>
      </c>
      <c r="D1634" t="s">
        <v>246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35">
      <c r="A1635" t="s">
        <v>1423</v>
      </c>
      <c r="B1635" t="s">
        <v>1424</v>
      </c>
      <c r="C1635" t="s">
        <v>1428</v>
      </c>
      <c r="D1635" t="s">
        <v>246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35">
      <c r="A1636" t="s">
        <v>1423</v>
      </c>
      <c r="B1636" t="s">
        <v>1424</v>
      </c>
      <c r="C1636" t="s">
        <v>529</v>
      </c>
      <c r="D1636" t="s">
        <v>246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35">
      <c r="A1637" t="s">
        <v>1423</v>
      </c>
      <c r="B1637" t="s">
        <v>1424</v>
      </c>
      <c r="C1637" t="s">
        <v>256</v>
      </c>
      <c r="D1637" t="s">
        <v>246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35">
      <c r="A1638" t="s">
        <v>1423</v>
      </c>
      <c r="B1638" t="s">
        <v>1424</v>
      </c>
      <c r="C1638" t="s">
        <v>257</v>
      </c>
      <c r="D1638" t="s">
        <v>246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35">
      <c r="A1639" t="s">
        <v>1423</v>
      </c>
      <c r="B1639" t="s">
        <v>1424</v>
      </c>
      <c r="C1639" t="s">
        <v>1067</v>
      </c>
      <c r="D1639" t="s">
        <v>246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35">
      <c r="A1640" t="s">
        <v>1423</v>
      </c>
      <c r="B1640" t="s">
        <v>1424</v>
      </c>
      <c r="C1640" t="s">
        <v>456</v>
      </c>
      <c r="D1640" t="s">
        <v>242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35">
      <c r="A1641" t="s">
        <v>1423</v>
      </c>
      <c r="B1641" t="s">
        <v>1424</v>
      </c>
      <c r="C1641" t="s">
        <v>1429</v>
      </c>
      <c r="D1641" t="s">
        <v>246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35">
      <c r="A1642" t="s">
        <v>1423</v>
      </c>
      <c r="B1642" t="s">
        <v>1424</v>
      </c>
      <c r="C1642" t="s">
        <v>1430</v>
      </c>
      <c r="D1642" t="s">
        <v>246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35">
      <c r="A1643" t="s">
        <v>1423</v>
      </c>
      <c r="B1643" t="s">
        <v>1424</v>
      </c>
      <c r="C1643" t="s">
        <v>459</v>
      </c>
      <c r="D1643" t="s">
        <v>246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35">
      <c r="A1644" t="s">
        <v>1423</v>
      </c>
      <c r="B1644" t="s">
        <v>1424</v>
      </c>
      <c r="C1644" t="s">
        <v>1431</v>
      </c>
      <c r="D1644" t="s">
        <v>246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35">
      <c r="A1645" t="s">
        <v>1423</v>
      </c>
      <c r="B1645" t="s">
        <v>1424</v>
      </c>
      <c r="C1645" t="s">
        <v>1432</v>
      </c>
      <c r="D1645" t="s">
        <v>246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35">
      <c r="A1646" t="s">
        <v>1423</v>
      </c>
      <c r="B1646" t="s">
        <v>1424</v>
      </c>
      <c r="C1646" t="s">
        <v>266</v>
      </c>
      <c r="D1646" t="s">
        <v>246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35">
      <c r="A1647" t="s">
        <v>1433</v>
      </c>
      <c r="B1647" t="s">
        <v>1434</v>
      </c>
      <c r="C1647" t="s">
        <v>1435</v>
      </c>
      <c r="D1647" t="s">
        <v>358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35">
      <c r="A1648" t="s">
        <v>1433</v>
      </c>
      <c r="B1648" t="s">
        <v>1434</v>
      </c>
      <c r="C1648" t="s">
        <v>612</v>
      </c>
      <c r="D1648" t="s">
        <v>226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35">
      <c r="A1649" t="s">
        <v>1433</v>
      </c>
      <c r="B1649" t="s">
        <v>1434</v>
      </c>
      <c r="C1649" t="s">
        <v>1436</v>
      </c>
      <c r="D1649" t="s">
        <v>358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35">
      <c r="A1650" t="s">
        <v>1433</v>
      </c>
      <c r="B1650" t="s">
        <v>1434</v>
      </c>
      <c r="C1650" t="s">
        <v>1437</v>
      </c>
      <c r="D1650" t="s">
        <v>356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35">
      <c r="A1651" t="s">
        <v>1433</v>
      </c>
      <c r="B1651" t="s">
        <v>1434</v>
      </c>
      <c r="C1651" t="s">
        <v>1438</v>
      </c>
      <c r="D1651" t="s">
        <v>358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35">
      <c r="A1652" t="s">
        <v>1433</v>
      </c>
      <c r="B1652" t="s">
        <v>1434</v>
      </c>
      <c r="C1652" t="s">
        <v>958</v>
      </c>
      <c r="D1652" t="s">
        <v>358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35">
      <c r="A1653" t="s">
        <v>1433</v>
      </c>
      <c r="B1653" t="s">
        <v>1434</v>
      </c>
      <c r="C1653" t="s">
        <v>382</v>
      </c>
      <c r="D1653" t="s">
        <v>356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35">
      <c r="A1654" t="s">
        <v>1433</v>
      </c>
      <c r="B1654" t="s">
        <v>1434</v>
      </c>
      <c r="C1654" t="s">
        <v>1439</v>
      </c>
      <c r="D1654" t="s">
        <v>227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35">
      <c r="A1655" t="s">
        <v>1433</v>
      </c>
      <c r="B1655" t="s">
        <v>1434</v>
      </c>
      <c r="C1655" t="s">
        <v>1440</v>
      </c>
      <c r="D1655" t="s">
        <v>358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35">
      <c r="A1656" t="s">
        <v>1433</v>
      </c>
      <c r="B1656" t="s">
        <v>1434</v>
      </c>
      <c r="C1656" t="s">
        <v>1441</v>
      </c>
      <c r="D1656" t="s">
        <v>358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35">
      <c r="A1657" t="s">
        <v>1433</v>
      </c>
      <c r="B1657" t="s">
        <v>1434</v>
      </c>
      <c r="C1657" t="s">
        <v>1442</v>
      </c>
      <c r="D1657" t="s">
        <v>226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35">
      <c r="A1658" t="s">
        <v>1433</v>
      </c>
      <c r="B1658" t="s">
        <v>1434</v>
      </c>
      <c r="C1658" t="s">
        <v>1443</v>
      </c>
      <c r="D1658" t="s">
        <v>356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35">
      <c r="A1659" t="s">
        <v>1433</v>
      </c>
      <c r="B1659" t="s">
        <v>1434</v>
      </c>
      <c r="C1659" t="s">
        <v>1444</v>
      </c>
      <c r="D1659" t="s">
        <v>226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35">
      <c r="A1660" t="s">
        <v>1433</v>
      </c>
      <c r="B1660" t="s">
        <v>1434</v>
      </c>
      <c r="C1660" t="s">
        <v>1445</v>
      </c>
      <c r="D1660" t="s">
        <v>358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35">
      <c r="A1661" t="s">
        <v>1433</v>
      </c>
      <c r="B1661" t="s">
        <v>1434</v>
      </c>
      <c r="C1661" t="s">
        <v>1446</v>
      </c>
      <c r="D1661" t="s">
        <v>227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35">
      <c r="A1662" t="s">
        <v>1433</v>
      </c>
      <c r="B1662" t="s">
        <v>1434</v>
      </c>
      <c r="C1662" t="s">
        <v>1447</v>
      </c>
      <c r="D1662" t="s">
        <v>227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35">
      <c r="A1663" t="s">
        <v>1433</v>
      </c>
      <c r="B1663" t="s">
        <v>1434</v>
      </c>
      <c r="C1663" t="s">
        <v>1448</v>
      </c>
      <c r="D1663" t="s">
        <v>226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35">
      <c r="A1664" t="s">
        <v>1433</v>
      </c>
      <c r="B1664" t="s">
        <v>1434</v>
      </c>
      <c r="C1664" t="s">
        <v>1449</v>
      </c>
      <c r="D1664" t="s">
        <v>226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35">
      <c r="A1665" t="s">
        <v>1433</v>
      </c>
      <c r="B1665" t="s">
        <v>1434</v>
      </c>
      <c r="C1665" t="s">
        <v>329</v>
      </c>
      <c r="D1665" t="s">
        <v>227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35">
      <c r="A1666" t="s">
        <v>1433</v>
      </c>
      <c r="B1666" t="s">
        <v>1434</v>
      </c>
      <c r="C1666" t="s">
        <v>965</v>
      </c>
      <c r="D1666" t="s">
        <v>358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35">
      <c r="A1667" t="s">
        <v>1433</v>
      </c>
      <c r="B1667" t="s">
        <v>1434</v>
      </c>
      <c r="C1667" t="s">
        <v>1450</v>
      </c>
      <c r="D1667" t="s">
        <v>358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35">
      <c r="A1668" t="s">
        <v>1433</v>
      </c>
      <c r="B1668" t="s">
        <v>1434</v>
      </c>
      <c r="C1668" t="s">
        <v>1451</v>
      </c>
      <c r="D1668" t="s">
        <v>227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35">
      <c r="A1669" t="s">
        <v>1433</v>
      </c>
      <c r="B1669" t="s">
        <v>1434</v>
      </c>
      <c r="C1669" t="s">
        <v>1452</v>
      </c>
      <c r="D1669" t="s">
        <v>358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35">
      <c r="A1670" t="s">
        <v>1433</v>
      </c>
      <c r="B1670" t="s">
        <v>1434</v>
      </c>
      <c r="C1670" t="s">
        <v>1453</v>
      </c>
      <c r="D1670" t="s">
        <v>358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35">
      <c r="A1671" t="s">
        <v>1433</v>
      </c>
      <c r="B1671" t="s">
        <v>1434</v>
      </c>
      <c r="C1671" t="s">
        <v>1454</v>
      </c>
      <c r="D1671" t="s">
        <v>226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35">
      <c r="A1672" t="s">
        <v>1433</v>
      </c>
      <c r="B1672" t="s">
        <v>1434</v>
      </c>
      <c r="C1672" t="s">
        <v>1455</v>
      </c>
      <c r="D1672" t="s">
        <v>358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35">
      <c r="A1673" t="s">
        <v>1433</v>
      </c>
      <c r="B1673" t="s">
        <v>1434</v>
      </c>
      <c r="C1673" t="s">
        <v>1456</v>
      </c>
      <c r="D1673" t="s">
        <v>358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35">
      <c r="A1674" t="s">
        <v>1433</v>
      </c>
      <c r="B1674" t="s">
        <v>1434</v>
      </c>
      <c r="C1674" t="s">
        <v>1457</v>
      </c>
      <c r="D1674" t="s">
        <v>226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35">
      <c r="A1675" t="s">
        <v>1433</v>
      </c>
      <c r="B1675" t="s">
        <v>1434</v>
      </c>
      <c r="C1675" t="s">
        <v>1458</v>
      </c>
      <c r="D1675" t="s">
        <v>358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35">
      <c r="A1676" t="s">
        <v>1433</v>
      </c>
      <c r="B1676" t="s">
        <v>1434</v>
      </c>
      <c r="C1676" t="s">
        <v>1459</v>
      </c>
      <c r="D1676" t="s">
        <v>226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35">
      <c r="A1677" t="s">
        <v>1433</v>
      </c>
      <c r="B1677" t="s">
        <v>1434</v>
      </c>
      <c r="C1677" t="s">
        <v>1460</v>
      </c>
      <c r="D1677" t="s">
        <v>226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35">
      <c r="A1678" t="s">
        <v>1433</v>
      </c>
      <c r="B1678" t="s">
        <v>1434</v>
      </c>
      <c r="C1678" t="s">
        <v>1461</v>
      </c>
      <c r="D1678" t="s">
        <v>226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35">
      <c r="A1679" t="s">
        <v>1433</v>
      </c>
      <c r="B1679" t="s">
        <v>1434</v>
      </c>
      <c r="C1679" t="s">
        <v>1462</v>
      </c>
      <c r="D1679" t="s">
        <v>226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35">
      <c r="A1680" t="s">
        <v>1433</v>
      </c>
      <c r="B1680" t="s">
        <v>1434</v>
      </c>
      <c r="C1680" t="s">
        <v>1421</v>
      </c>
      <c r="D1680" t="s">
        <v>226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35">
      <c r="A1681" t="s">
        <v>1433</v>
      </c>
      <c r="B1681" t="s">
        <v>1434</v>
      </c>
      <c r="C1681" t="s">
        <v>1463</v>
      </c>
      <c r="D1681" t="s">
        <v>358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35">
      <c r="A1682" t="s">
        <v>1433</v>
      </c>
      <c r="B1682" t="s">
        <v>1434</v>
      </c>
      <c r="C1682" t="s">
        <v>938</v>
      </c>
      <c r="D1682" t="s">
        <v>227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35">
      <c r="A1683" t="s">
        <v>1433</v>
      </c>
      <c r="B1683" t="s">
        <v>1434</v>
      </c>
      <c r="C1683" t="s">
        <v>1464</v>
      </c>
      <c r="D1683" t="s">
        <v>227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35">
      <c r="A1684" t="s">
        <v>1433</v>
      </c>
      <c r="B1684" t="s">
        <v>1434</v>
      </c>
      <c r="C1684" t="s">
        <v>1465</v>
      </c>
      <c r="D1684" t="s">
        <v>358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35">
      <c r="A1685" t="s">
        <v>1433</v>
      </c>
      <c r="B1685" t="s">
        <v>1434</v>
      </c>
      <c r="C1685" t="s">
        <v>1466</v>
      </c>
      <c r="D1685" t="s">
        <v>226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35">
      <c r="A1686" t="s">
        <v>1433</v>
      </c>
      <c r="B1686" t="s">
        <v>1434</v>
      </c>
      <c r="C1686" t="s">
        <v>1467</v>
      </c>
      <c r="D1686" t="s">
        <v>358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35">
      <c r="A1687" t="s">
        <v>1433</v>
      </c>
      <c r="B1687" t="s">
        <v>1434</v>
      </c>
      <c r="C1687" t="s">
        <v>1468</v>
      </c>
      <c r="D1687" t="s">
        <v>358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35">
      <c r="A1688" t="s">
        <v>1433</v>
      </c>
      <c r="B1688" t="s">
        <v>1434</v>
      </c>
      <c r="C1688" t="s">
        <v>1469</v>
      </c>
      <c r="D1688" t="s">
        <v>358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35">
      <c r="A1689" t="s">
        <v>1433</v>
      </c>
      <c r="B1689" t="s">
        <v>1434</v>
      </c>
      <c r="C1689" t="s">
        <v>1242</v>
      </c>
      <c r="D1689" t="s">
        <v>356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35">
      <c r="A1690" t="s">
        <v>1433</v>
      </c>
      <c r="B1690" t="s">
        <v>1434</v>
      </c>
      <c r="C1690" t="s">
        <v>1470</v>
      </c>
      <c r="D1690" t="s">
        <v>358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35">
      <c r="A1691" t="s">
        <v>1433</v>
      </c>
      <c r="B1691" t="s">
        <v>1434</v>
      </c>
      <c r="C1691" t="s">
        <v>1471</v>
      </c>
      <c r="D1691" t="s">
        <v>356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35">
      <c r="A1692" t="s">
        <v>1433</v>
      </c>
      <c r="B1692" t="s">
        <v>1434</v>
      </c>
      <c r="C1692" t="s">
        <v>1472</v>
      </c>
      <c r="D1692" t="s">
        <v>226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35">
      <c r="A1693" t="s">
        <v>1433</v>
      </c>
      <c r="B1693" t="s">
        <v>1434</v>
      </c>
      <c r="C1693" t="s">
        <v>1473</v>
      </c>
      <c r="D1693" t="s">
        <v>358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35">
      <c r="A1694" t="s">
        <v>1433</v>
      </c>
      <c r="B1694" t="s">
        <v>1434</v>
      </c>
      <c r="C1694" t="s">
        <v>1474</v>
      </c>
      <c r="D1694" t="s">
        <v>358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35">
      <c r="A1695" t="s">
        <v>1475</v>
      </c>
      <c r="B1695" t="s">
        <v>1476</v>
      </c>
      <c r="C1695" t="s">
        <v>515</v>
      </c>
      <c r="D1695" t="s">
        <v>227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35">
      <c r="A1696" t="s">
        <v>1475</v>
      </c>
      <c r="B1696" t="s">
        <v>1476</v>
      </c>
      <c r="C1696" t="s">
        <v>1477</v>
      </c>
      <c r="D1696" t="s">
        <v>227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35">
      <c r="A1697" t="s">
        <v>1475</v>
      </c>
      <c r="B1697" t="s">
        <v>1476</v>
      </c>
      <c r="C1697" t="s">
        <v>1478</v>
      </c>
      <c r="D1697" t="s">
        <v>227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35">
      <c r="A1698" t="s">
        <v>1475</v>
      </c>
      <c r="B1698" t="s">
        <v>1476</v>
      </c>
      <c r="C1698" t="s">
        <v>1479</v>
      </c>
      <c r="D1698" t="s">
        <v>227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35">
      <c r="A1699" t="s">
        <v>1475</v>
      </c>
      <c r="B1699" t="s">
        <v>1476</v>
      </c>
      <c r="C1699" t="s">
        <v>1480</v>
      </c>
      <c r="D1699" t="s">
        <v>356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35">
      <c r="A1700" t="s">
        <v>1475</v>
      </c>
      <c r="B1700" t="s">
        <v>1476</v>
      </c>
      <c r="C1700" t="s">
        <v>1481</v>
      </c>
      <c r="D1700" t="s">
        <v>227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35">
      <c r="A1701" t="s">
        <v>1475</v>
      </c>
      <c r="B1701" t="s">
        <v>1476</v>
      </c>
      <c r="C1701" t="s">
        <v>1482</v>
      </c>
      <c r="D1701" t="s">
        <v>227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35">
      <c r="A1702" t="s">
        <v>1475</v>
      </c>
      <c r="B1702" t="s">
        <v>1476</v>
      </c>
      <c r="C1702" t="s">
        <v>1483</v>
      </c>
      <c r="D1702" t="s">
        <v>227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35">
      <c r="A1703" t="s">
        <v>1475</v>
      </c>
      <c r="B1703" t="s">
        <v>1476</v>
      </c>
      <c r="C1703" t="s">
        <v>1484</v>
      </c>
      <c r="D1703" t="s">
        <v>227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35">
      <c r="A1704" t="s">
        <v>1475</v>
      </c>
      <c r="B1704" t="s">
        <v>1476</v>
      </c>
      <c r="C1704" t="s">
        <v>1485</v>
      </c>
      <c r="D1704" t="s">
        <v>227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35">
      <c r="A1705" t="s">
        <v>1475</v>
      </c>
      <c r="B1705" t="s">
        <v>1476</v>
      </c>
      <c r="C1705" t="s">
        <v>1486</v>
      </c>
      <c r="D1705" t="s">
        <v>228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35">
      <c r="A1706" t="s">
        <v>1475</v>
      </c>
      <c r="B1706" t="s">
        <v>1476</v>
      </c>
      <c r="C1706" t="s">
        <v>1487</v>
      </c>
      <c r="D1706" t="s">
        <v>227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35">
      <c r="A1707" t="s">
        <v>1475</v>
      </c>
      <c r="B1707" t="s">
        <v>1476</v>
      </c>
      <c r="C1707" t="s">
        <v>1488</v>
      </c>
      <c r="D1707" t="s">
        <v>227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35">
      <c r="A1708" t="s">
        <v>1475</v>
      </c>
      <c r="B1708" t="s">
        <v>1476</v>
      </c>
      <c r="C1708" t="s">
        <v>1489</v>
      </c>
      <c r="D1708" t="s">
        <v>227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35">
      <c r="A1709" t="s">
        <v>1475</v>
      </c>
      <c r="B1709" t="s">
        <v>1476</v>
      </c>
      <c r="C1709" t="s">
        <v>531</v>
      </c>
      <c r="D1709" t="s">
        <v>227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35">
      <c r="A1710" t="s">
        <v>1475</v>
      </c>
      <c r="B1710" t="s">
        <v>1476</v>
      </c>
      <c r="C1710" t="s">
        <v>1490</v>
      </c>
      <c r="D1710" t="s">
        <v>227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35">
      <c r="A1711" t="s">
        <v>1475</v>
      </c>
      <c r="B1711" t="s">
        <v>1476</v>
      </c>
      <c r="C1711" t="s">
        <v>1491</v>
      </c>
      <c r="D1711" t="s">
        <v>227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35">
      <c r="A1712" t="s">
        <v>1492</v>
      </c>
      <c r="B1712" t="s">
        <v>1493</v>
      </c>
      <c r="C1712" t="s">
        <v>1494</v>
      </c>
      <c r="D1712" t="s">
        <v>242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35">
      <c r="A1713" t="s">
        <v>1492</v>
      </c>
      <c r="B1713" t="s">
        <v>1493</v>
      </c>
      <c r="C1713" t="s">
        <v>250</v>
      </c>
      <c r="D1713" t="s">
        <v>242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35">
      <c r="A1714" t="s">
        <v>1492</v>
      </c>
      <c r="B1714" t="s">
        <v>1493</v>
      </c>
      <c r="C1714" t="s">
        <v>1495</v>
      </c>
      <c r="D1714" t="s">
        <v>242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35">
      <c r="A1715" t="s">
        <v>1492</v>
      </c>
      <c r="B1715" t="s">
        <v>1493</v>
      </c>
      <c r="C1715" t="s">
        <v>1496</v>
      </c>
      <c r="D1715" t="s">
        <v>242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35">
      <c r="A1716" t="s">
        <v>1492</v>
      </c>
      <c r="B1716" t="s">
        <v>1493</v>
      </c>
      <c r="C1716" t="s">
        <v>256</v>
      </c>
      <c r="D1716" t="s">
        <v>242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35">
      <c r="A1717" t="s">
        <v>1492</v>
      </c>
      <c r="B1717" t="s">
        <v>1493</v>
      </c>
      <c r="C1717" t="s">
        <v>1497</v>
      </c>
      <c r="D1717" t="s">
        <v>242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35">
      <c r="A1718" t="s">
        <v>1492</v>
      </c>
      <c r="B1718" t="s">
        <v>1493</v>
      </c>
      <c r="C1718" t="s">
        <v>456</v>
      </c>
      <c r="D1718" t="s">
        <v>242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35">
      <c r="A1719" t="s">
        <v>1492</v>
      </c>
      <c r="B1719" t="s">
        <v>1493</v>
      </c>
      <c r="C1719" t="s">
        <v>1498</v>
      </c>
      <c r="D1719" t="s">
        <v>242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35">
      <c r="A1720" t="s">
        <v>1492</v>
      </c>
      <c r="B1720" t="s">
        <v>1493</v>
      </c>
      <c r="C1720" t="s">
        <v>1499</v>
      </c>
      <c r="D1720" t="s">
        <v>242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35">
      <c r="A1721" t="s">
        <v>1492</v>
      </c>
      <c r="B1721" t="s">
        <v>1493</v>
      </c>
      <c r="C1721" t="s">
        <v>1500</v>
      </c>
      <c r="D1721" t="s">
        <v>242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35">
      <c r="A1722" t="s">
        <v>1492</v>
      </c>
      <c r="B1722" t="s">
        <v>1493</v>
      </c>
      <c r="C1722" t="s">
        <v>269</v>
      </c>
      <c r="D1722" t="s">
        <v>242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35">
      <c r="A1723" t="s">
        <v>1492</v>
      </c>
      <c r="B1723" t="s">
        <v>1493</v>
      </c>
      <c r="C1723" t="s">
        <v>1501</v>
      </c>
      <c r="D1723" t="s">
        <v>242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35">
      <c r="A1724" t="s">
        <v>1492</v>
      </c>
      <c r="B1724" t="s">
        <v>1493</v>
      </c>
      <c r="C1724" t="s">
        <v>272</v>
      </c>
      <c r="D1724" t="s">
        <v>242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35">
      <c r="A1725" t="s">
        <v>1492</v>
      </c>
      <c r="B1725" t="s">
        <v>1493</v>
      </c>
      <c r="C1725" t="s">
        <v>1502</v>
      </c>
      <c r="D1725" t="s">
        <v>242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35">
      <c r="A1726" t="s">
        <v>1492</v>
      </c>
      <c r="B1726" t="s">
        <v>1493</v>
      </c>
      <c r="C1726" t="s">
        <v>1503</v>
      </c>
      <c r="D1726" t="s">
        <v>242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35">
      <c r="A1727" t="s">
        <v>1492</v>
      </c>
      <c r="B1727" t="s">
        <v>1493</v>
      </c>
      <c r="C1727" t="s">
        <v>1504</v>
      </c>
      <c r="D1727" t="s">
        <v>242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35">
      <c r="A1728" t="s">
        <v>1492</v>
      </c>
      <c r="B1728" t="s">
        <v>1493</v>
      </c>
      <c r="C1728" t="s">
        <v>1505</v>
      </c>
      <c r="D1728" t="s">
        <v>242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35">
      <c r="A1729" t="s">
        <v>1492</v>
      </c>
      <c r="B1729" t="s">
        <v>1493</v>
      </c>
      <c r="C1729" t="s">
        <v>608</v>
      </c>
      <c r="D1729" t="s">
        <v>242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35">
      <c r="A1730" t="s">
        <v>1492</v>
      </c>
      <c r="B1730" t="s">
        <v>1493</v>
      </c>
      <c r="C1730" t="s">
        <v>1506</v>
      </c>
      <c r="D1730" t="s">
        <v>242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35">
      <c r="A1731" t="s">
        <v>1492</v>
      </c>
      <c r="B1731" t="s">
        <v>1493</v>
      </c>
      <c r="C1731" t="s">
        <v>1507</v>
      </c>
      <c r="D1731" t="s">
        <v>242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35">
      <c r="A1732" t="s">
        <v>1492</v>
      </c>
      <c r="B1732" t="s">
        <v>1493</v>
      </c>
      <c r="C1732" t="s">
        <v>1508</v>
      </c>
      <c r="D1732" t="s">
        <v>242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35">
      <c r="A1733" t="s">
        <v>1492</v>
      </c>
      <c r="B1733" t="s">
        <v>1493</v>
      </c>
      <c r="C1733" t="s">
        <v>1509</v>
      </c>
      <c r="D1733" t="s">
        <v>242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35">
      <c r="A1734" t="s">
        <v>1492</v>
      </c>
      <c r="B1734" t="s">
        <v>1493</v>
      </c>
      <c r="C1734" t="s">
        <v>1510</v>
      </c>
      <c r="D1734" t="s">
        <v>242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35">
      <c r="A1735" t="s">
        <v>1492</v>
      </c>
      <c r="B1735" t="s">
        <v>1493</v>
      </c>
      <c r="C1735" t="s">
        <v>1033</v>
      </c>
      <c r="D1735" t="s">
        <v>242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35">
      <c r="A1736" t="s">
        <v>1492</v>
      </c>
      <c r="B1736" t="s">
        <v>1493</v>
      </c>
      <c r="C1736" t="s">
        <v>1511</v>
      </c>
      <c r="D1736" t="s">
        <v>242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35">
      <c r="A1737" t="s">
        <v>1492</v>
      </c>
      <c r="B1737" t="s">
        <v>1493</v>
      </c>
      <c r="C1737" t="s">
        <v>278</v>
      </c>
      <c r="D1737" t="s">
        <v>242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35">
      <c r="A1738" t="s">
        <v>1492</v>
      </c>
      <c r="B1738" t="s">
        <v>1493</v>
      </c>
      <c r="C1738" t="s">
        <v>279</v>
      </c>
      <c r="D1738" t="s">
        <v>242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35">
      <c r="A1739" t="s">
        <v>1492</v>
      </c>
      <c r="B1739" t="s">
        <v>1493</v>
      </c>
      <c r="C1739" t="s">
        <v>322</v>
      </c>
      <c r="D1739" t="s">
        <v>242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35">
      <c r="A1740" t="s">
        <v>1492</v>
      </c>
      <c r="B1740" t="s">
        <v>1493</v>
      </c>
      <c r="C1740" t="s">
        <v>382</v>
      </c>
      <c r="D1740" t="s">
        <v>242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35">
      <c r="A1741" t="s">
        <v>1492</v>
      </c>
      <c r="B1741" t="s">
        <v>1493</v>
      </c>
      <c r="C1741" t="s">
        <v>283</v>
      </c>
      <c r="D1741" t="s">
        <v>242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35">
      <c r="A1742" t="s">
        <v>1492</v>
      </c>
      <c r="B1742" t="s">
        <v>1493</v>
      </c>
      <c r="C1742" t="s">
        <v>1512</v>
      </c>
      <c r="D1742" t="s">
        <v>242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35">
      <c r="A1743" t="s">
        <v>1492</v>
      </c>
      <c r="B1743" t="s">
        <v>1493</v>
      </c>
      <c r="C1743" t="s">
        <v>1513</v>
      </c>
      <c r="D1743" t="s">
        <v>242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35">
      <c r="A1744" t="s">
        <v>1492</v>
      </c>
      <c r="B1744" t="s">
        <v>1493</v>
      </c>
      <c r="C1744" t="s">
        <v>891</v>
      </c>
      <c r="D1744" t="s">
        <v>242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35">
      <c r="A1745" t="s">
        <v>1492</v>
      </c>
      <c r="B1745" t="s">
        <v>1493</v>
      </c>
      <c r="C1745" t="s">
        <v>287</v>
      </c>
      <c r="D1745" t="s">
        <v>242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35">
      <c r="A1746" t="s">
        <v>1492</v>
      </c>
      <c r="B1746" t="s">
        <v>1493</v>
      </c>
      <c r="C1746" t="s">
        <v>1514</v>
      </c>
      <c r="D1746" t="s">
        <v>242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35">
      <c r="A1747" t="s">
        <v>1492</v>
      </c>
      <c r="B1747" t="s">
        <v>1493</v>
      </c>
      <c r="C1747" t="s">
        <v>289</v>
      </c>
      <c r="D1747" t="s">
        <v>242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35">
      <c r="A1748" t="s">
        <v>1492</v>
      </c>
      <c r="B1748" t="s">
        <v>1493</v>
      </c>
      <c r="C1748" t="s">
        <v>685</v>
      </c>
      <c r="D1748" t="s">
        <v>242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35">
      <c r="A1749" t="s">
        <v>1492</v>
      </c>
      <c r="B1749" t="s">
        <v>1493</v>
      </c>
      <c r="C1749" t="s">
        <v>1515</v>
      </c>
      <c r="D1749" t="s">
        <v>242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35">
      <c r="A1750" t="s">
        <v>1492</v>
      </c>
      <c r="B1750" t="s">
        <v>1493</v>
      </c>
      <c r="C1750" t="s">
        <v>292</v>
      </c>
      <c r="D1750" t="s">
        <v>242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35">
      <c r="A1751" t="s">
        <v>1492</v>
      </c>
      <c r="B1751" t="s">
        <v>1493</v>
      </c>
      <c r="C1751" t="s">
        <v>959</v>
      </c>
      <c r="D1751" t="s">
        <v>242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35">
      <c r="A1752" t="s">
        <v>1492</v>
      </c>
      <c r="B1752" t="s">
        <v>1493</v>
      </c>
      <c r="C1752" t="s">
        <v>1516</v>
      </c>
      <c r="D1752" t="s">
        <v>242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35">
      <c r="A1753" t="s">
        <v>1492</v>
      </c>
      <c r="B1753" t="s">
        <v>1493</v>
      </c>
      <c r="C1753" t="s">
        <v>1517</v>
      </c>
      <c r="D1753" t="s">
        <v>242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35">
      <c r="A1754" t="s">
        <v>1492</v>
      </c>
      <c r="B1754" t="s">
        <v>1493</v>
      </c>
      <c r="C1754" t="s">
        <v>965</v>
      </c>
      <c r="D1754" t="s">
        <v>242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35">
      <c r="A1755" t="s">
        <v>1492</v>
      </c>
      <c r="B1755" t="s">
        <v>1493</v>
      </c>
      <c r="C1755" t="s">
        <v>1518</v>
      </c>
      <c r="D1755" t="s">
        <v>242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35">
      <c r="A1756" t="s">
        <v>1492</v>
      </c>
      <c r="B1756" t="s">
        <v>1493</v>
      </c>
      <c r="C1756" t="s">
        <v>1519</v>
      </c>
      <c r="D1756" t="s">
        <v>242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35">
      <c r="A1757" t="s">
        <v>1492</v>
      </c>
      <c r="B1757" t="s">
        <v>1493</v>
      </c>
      <c r="C1757" t="s">
        <v>1520</v>
      </c>
      <c r="D1757" t="s">
        <v>242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35">
      <c r="A1758" t="s">
        <v>1492</v>
      </c>
      <c r="B1758" t="s">
        <v>1493</v>
      </c>
      <c r="C1758" t="s">
        <v>1521</v>
      </c>
      <c r="D1758" t="s">
        <v>242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35">
      <c r="A1759" t="s">
        <v>1492</v>
      </c>
      <c r="B1759" t="s">
        <v>1493</v>
      </c>
      <c r="C1759" t="s">
        <v>334</v>
      </c>
      <c r="D1759" t="s">
        <v>242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35">
      <c r="A1760" t="s">
        <v>1492</v>
      </c>
      <c r="B1760" t="s">
        <v>1493</v>
      </c>
      <c r="C1760" t="s">
        <v>555</v>
      </c>
      <c r="D1760" t="s">
        <v>242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35">
      <c r="A1761" t="s">
        <v>1492</v>
      </c>
      <c r="B1761" t="s">
        <v>1493</v>
      </c>
      <c r="C1761" t="s">
        <v>1522</v>
      </c>
      <c r="D1761" t="s">
        <v>242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35">
      <c r="A1762" t="s">
        <v>1492</v>
      </c>
      <c r="B1762" t="s">
        <v>1493</v>
      </c>
      <c r="C1762" t="s">
        <v>1523</v>
      </c>
      <c r="D1762" t="s">
        <v>242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35">
      <c r="A1763" t="s">
        <v>1492</v>
      </c>
      <c r="B1763" t="s">
        <v>1493</v>
      </c>
      <c r="C1763" t="s">
        <v>1524</v>
      </c>
      <c r="D1763" t="s">
        <v>242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35">
      <c r="A1764" t="s">
        <v>1492</v>
      </c>
      <c r="B1764" t="s">
        <v>1493</v>
      </c>
      <c r="C1764" t="s">
        <v>1525</v>
      </c>
      <c r="D1764" t="s">
        <v>242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35">
      <c r="A1765" t="s">
        <v>1492</v>
      </c>
      <c r="B1765" t="s">
        <v>1493</v>
      </c>
      <c r="C1765" t="s">
        <v>1526</v>
      </c>
      <c r="D1765" t="s">
        <v>242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35">
      <c r="A1766" t="s">
        <v>1492</v>
      </c>
      <c r="B1766" t="s">
        <v>1493</v>
      </c>
      <c r="C1766" t="s">
        <v>302</v>
      </c>
      <c r="D1766" t="s">
        <v>242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35">
      <c r="A1767" t="s">
        <v>1492</v>
      </c>
      <c r="B1767" t="s">
        <v>1493</v>
      </c>
      <c r="C1767" t="s">
        <v>1527</v>
      </c>
      <c r="D1767" t="s">
        <v>242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35">
      <c r="A1768" t="s">
        <v>1492</v>
      </c>
      <c r="B1768" t="s">
        <v>1493</v>
      </c>
      <c r="C1768" t="s">
        <v>704</v>
      </c>
      <c r="D1768" t="s">
        <v>242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35">
      <c r="A1769" t="s">
        <v>1492</v>
      </c>
      <c r="B1769" t="s">
        <v>1493</v>
      </c>
      <c r="C1769" t="s">
        <v>346</v>
      </c>
      <c r="D1769" t="s">
        <v>242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35">
      <c r="A1770" t="s">
        <v>1492</v>
      </c>
      <c r="B1770" t="s">
        <v>1493</v>
      </c>
      <c r="C1770" t="s">
        <v>1528</v>
      </c>
      <c r="D1770" t="s">
        <v>242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35">
      <c r="A1771" t="s">
        <v>1492</v>
      </c>
      <c r="B1771" t="s">
        <v>1493</v>
      </c>
      <c r="C1771" t="s">
        <v>1529</v>
      </c>
      <c r="D1771" t="s">
        <v>242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35">
      <c r="A1772" t="s">
        <v>1492</v>
      </c>
      <c r="B1772" t="s">
        <v>1493</v>
      </c>
      <c r="C1772" t="s">
        <v>494</v>
      </c>
      <c r="D1772" t="s">
        <v>242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35">
      <c r="A1773" t="s">
        <v>1492</v>
      </c>
      <c r="B1773" t="s">
        <v>1493</v>
      </c>
      <c r="C1773" t="s">
        <v>307</v>
      </c>
      <c r="D1773" t="s">
        <v>242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35">
      <c r="A1774" t="s">
        <v>1530</v>
      </c>
      <c r="B1774" t="s">
        <v>1531</v>
      </c>
      <c r="C1774" t="s">
        <v>1532</v>
      </c>
      <c r="D1774" t="s">
        <v>242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35">
      <c r="A1775" t="s">
        <v>1530</v>
      </c>
      <c r="B1775" t="s">
        <v>1531</v>
      </c>
      <c r="C1775" t="s">
        <v>1533</v>
      </c>
      <c r="D1775" t="s">
        <v>242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35">
      <c r="A1776" t="s">
        <v>1530</v>
      </c>
      <c r="B1776" t="s">
        <v>1531</v>
      </c>
      <c r="C1776" t="s">
        <v>1534</v>
      </c>
      <c r="D1776" t="s">
        <v>242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35">
      <c r="A1777" t="s">
        <v>1530</v>
      </c>
      <c r="B1777" t="s">
        <v>1531</v>
      </c>
      <c r="C1777" t="s">
        <v>895</v>
      </c>
      <c r="D1777" t="s">
        <v>246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35">
      <c r="A1778" t="s">
        <v>1530</v>
      </c>
      <c r="B1778" t="s">
        <v>1531</v>
      </c>
      <c r="C1778" t="s">
        <v>609</v>
      </c>
      <c r="D1778" t="s">
        <v>246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35">
      <c r="A1779" t="s">
        <v>1530</v>
      </c>
      <c r="B1779" t="s">
        <v>1531</v>
      </c>
      <c r="C1779" t="s">
        <v>1535</v>
      </c>
      <c r="D1779" t="s">
        <v>246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35">
      <c r="A1780" t="s">
        <v>1530</v>
      </c>
      <c r="B1780" t="s">
        <v>1531</v>
      </c>
      <c r="C1780" t="s">
        <v>1201</v>
      </c>
      <c r="D1780" t="s">
        <v>246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35">
      <c r="A1781" t="s">
        <v>1530</v>
      </c>
      <c r="B1781" t="s">
        <v>1531</v>
      </c>
      <c r="C1781" t="s">
        <v>671</v>
      </c>
      <c r="D1781" t="s">
        <v>246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35">
      <c r="A1782" t="s">
        <v>1530</v>
      </c>
      <c r="B1782" t="s">
        <v>1531</v>
      </c>
      <c r="C1782" t="s">
        <v>1536</v>
      </c>
      <c r="D1782" t="s">
        <v>246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35">
      <c r="A1783" t="s">
        <v>1530</v>
      </c>
      <c r="B1783" t="s">
        <v>1531</v>
      </c>
      <c r="C1783" t="s">
        <v>276</v>
      </c>
      <c r="D1783" t="s">
        <v>246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35">
      <c r="A1784" t="s">
        <v>1530</v>
      </c>
      <c r="B1784" t="s">
        <v>1531</v>
      </c>
      <c r="C1784" t="s">
        <v>277</v>
      </c>
      <c r="D1784" t="s">
        <v>242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35">
      <c r="A1785" t="s">
        <v>1530</v>
      </c>
      <c r="B1785" t="s">
        <v>1531</v>
      </c>
      <c r="C1785" t="s">
        <v>1537</v>
      </c>
      <c r="D1785" t="s">
        <v>242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35">
      <c r="A1786" t="s">
        <v>1530</v>
      </c>
      <c r="B1786" t="s">
        <v>1531</v>
      </c>
      <c r="C1786" t="s">
        <v>278</v>
      </c>
      <c r="D1786" t="s">
        <v>246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35">
      <c r="A1787" t="s">
        <v>1530</v>
      </c>
      <c r="B1787" t="s">
        <v>1531</v>
      </c>
      <c r="C1787" t="s">
        <v>615</v>
      </c>
      <c r="D1787" t="s">
        <v>246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35">
      <c r="A1788" t="s">
        <v>1530</v>
      </c>
      <c r="B1788" t="s">
        <v>1531</v>
      </c>
      <c r="C1788" t="s">
        <v>1212</v>
      </c>
      <c r="D1788" t="s">
        <v>242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35">
      <c r="A1789" t="s">
        <v>1530</v>
      </c>
      <c r="B1789" t="s">
        <v>1531</v>
      </c>
      <c r="C1789" t="s">
        <v>279</v>
      </c>
      <c r="D1789" t="s">
        <v>246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35">
      <c r="A1790" t="s">
        <v>1530</v>
      </c>
      <c r="B1790" t="s">
        <v>1531</v>
      </c>
      <c r="C1790" t="s">
        <v>1538</v>
      </c>
      <c r="D1790" t="s">
        <v>242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35">
      <c r="A1791" t="s">
        <v>1530</v>
      </c>
      <c r="B1791" t="s">
        <v>1531</v>
      </c>
      <c r="C1791" t="s">
        <v>321</v>
      </c>
      <c r="D1791" t="s">
        <v>242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35">
      <c r="A1792" t="s">
        <v>1530</v>
      </c>
      <c r="B1792" t="s">
        <v>1531</v>
      </c>
      <c r="C1792" t="s">
        <v>616</v>
      </c>
      <c r="D1792" t="s">
        <v>246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35">
      <c r="A1793" t="s">
        <v>1530</v>
      </c>
      <c r="B1793" t="s">
        <v>1531</v>
      </c>
      <c r="C1793" t="s">
        <v>280</v>
      </c>
      <c r="D1793" t="s">
        <v>246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35">
      <c r="A1794" t="s">
        <v>1530</v>
      </c>
      <c r="B1794" t="s">
        <v>1531</v>
      </c>
      <c r="C1794" t="s">
        <v>1539</v>
      </c>
      <c r="D1794" t="s">
        <v>242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35">
      <c r="A1795" t="s">
        <v>1530</v>
      </c>
      <c r="B1795" t="s">
        <v>1531</v>
      </c>
      <c r="C1795" t="s">
        <v>1110</v>
      </c>
      <c r="D1795" t="s">
        <v>242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35">
      <c r="A1796" t="s">
        <v>1530</v>
      </c>
      <c r="B1796" t="s">
        <v>1531</v>
      </c>
      <c r="C1796" t="s">
        <v>283</v>
      </c>
      <c r="D1796" t="s">
        <v>242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35">
      <c r="A1797" t="s">
        <v>1530</v>
      </c>
      <c r="B1797" t="s">
        <v>1531</v>
      </c>
      <c r="C1797" t="s">
        <v>891</v>
      </c>
      <c r="D1797" t="s">
        <v>242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35">
      <c r="A1798" t="s">
        <v>1530</v>
      </c>
      <c r="B1798" t="s">
        <v>1531</v>
      </c>
      <c r="C1798" t="s">
        <v>323</v>
      </c>
      <c r="D1798" t="s">
        <v>246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35">
      <c r="A1799" t="s">
        <v>1530</v>
      </c>
      <c r="B1799" t="s">
        <v>1531</v>
      </c>
      <c r="C1799" t="s">
        <v>1540</v>
      </c>
      <c r="D1799" t="s">
        <v>242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35">
      <c r="A1800" t="s">
        <v>1530</v>
      </c>
      <c r="B1800" t="s">
        <v>1531</v>
      </c>
      <c r="C1800" t="s">
        <v>285</v>
      </c>
      <c r="D1800" t="s">
        <v>242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35">
      <c r="A1801" t="s">
        <v>1530</v>
      </c>
      <c r="B1801" t="s">
        <v>1531</v>
      </c>
      <c r="C1801" t="s">
        <v>1541</v>
      </c>
      <c r="D1801" t="s">
        <v>246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35">
      <c r="A1802" t="s">
        <v>1530</v>
      </c>
      <c r="B1802" t="s">
        <v>1531</v>
      </c>
      <c r="C1802" t="s">
        <v>286</v>
      </c>
      <c r="D1802" t="s">
        <v>483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35">
      <c r="A1803" t="s">
        <v>1530</v>
      </c>
      <c r="B1803" t="s">
        <v>1531</v>
      </c>
      <c r="C1803" t="s">
        <v>287</v>
      </c>
      <c r="D1803" t="s">
        <v>246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35">
      <c r="A1804" t="s">
        <v>1530</v>
      </c>
      <c r="B1804" t="s">
        <v>1531</v>
      </c>
      <c r="C1804" t="s">
        <v>289</v>
      </c>
      <c r="D1804" t="s">
        <v>483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35">
      <c r="A1805" t="s">
        <v>1530</v>
      </c>
      <c r="B1805" t="s">
        <v>1531</v>
      </c>
      <c r="C1805" t="s">
        <v>1542</v>
      </c>
      <c r="D1805" t="s">
        <v>246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35">
      <c r="A1806" t="s">
        <v>1530</v>
      </c>
      <c r="B1806" t="s">
        <v>1531</v>
      </c>
      <c r="C1806" t="s">
        <v>1543</v>
      </c>
      <c r="D1806" t="s">
        <v>242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35">
      <c r="A1807" t="s">
        <v>1530</v>
      </c>
      <c r="B1807" t="s">
        <v>1531</v>
      </c>
      <c r="C1807" t="s">
        <v>1544</v>
      </c>
      <c r="D1807" t="s">
        <v>246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35">
      <c r="A1808" t="s">
        <v>1530</v>
      </c>
      <c r="B1808" t="s">
        <v>1531</v>
      </c>
      <c r="C1808" t="s">
        <v>327</v>
      </c>
      <c r="D1808" t="s">
        <v>242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35">
      <c r="A1809" t="s">
        <v>1530</v>
      </c>
      <c r="B1809" t="s">
        <v>1531</v>
      </c>
      <c r="C1809" t="s">
        <v>648</v>
      </c>
      <c r="D1809" t="s">
        <v>242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35">
      <c r="A1810" t="s">
        <v>1530</v>
      </c>
      <c r="B1810" t="s">
        <v>1531</v>
      </c>
      <c r="C1810" t="s">
        <v>292</v>
      </c>
      <c r="D1810" t="s">
        <v>246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35">
      <c r="A1811" t="s">
        <v>1530</v>
      </c>
      <c r="B1811" t="s">
        <v>1531</v>
      </c>
      <c r="C1811" t="s">
        <v>293</v>
      </c>
      <c r="D1811" t="s">
        <v>483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35">
      <c r="A1812" t="s">
        <v>1530</v>
      </c>
      <c r="B1812" t="s">
        <v>1531</v>
      </c>
      <c r="C1812" t="s">
        <v>294</v>
      </c>
      <c r="D1812" t="s">
        <v>246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35">
      <c r="A1813" t="s">
        <v>1530</v>
      </c>
      <c r="B1813" t="s">
        <v>1531</v>
      </c>
      <c r="C1813" t="s">
        <v>813</v>
      </c>
      <c r="D1813" t="s">
        <v>246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35">
      <c r="A1814" t="s">
        <v>1530</v>
      </c>
      <c r="B1814" t="s">
        <v>1531</v>
      </c>
      <c r="C1814" t="s">
        <v>1545</v>
      </c>
      <c r="D1814" t="s">
        <v>246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35">
      <c r="A1815" t="s">
        <v>1530</v>
      </c>
      <c r="B1815" t="s">
        <v>1531</v>
      </c>
      <c r="C1815" t="s">
        <v>330</v>
      </c>
      <c r="D1815" t="s">
        <v>246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35">
      <c r="A1816" t="s">
        <v>1530</v>
      </c>
      <c r="B1816" t="s">
        <v>1531</v>
      </c>
      <c r="C1816" t="s">
        <v>1115</v>
      </c>
      <c r="D1816" t="s">
        <v>246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35">
      <c r="A1817" t="s">
        <v>1530</v>
      </c>
      <c r="B1817" t="s">
        <v>1531</v>
      </c>
      <c r="C1817" t="s">
        <v>1546</v>
      </c>
      <c r="D1817" t="s">
        <v>246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35">
      <c r="A1818" t="s">
        <v>1530</v>
      </c>
      <c r="B1818" t="s">
        <v>1531</v>
      </c>
      <c r="C1818" t="s">
        <v>1044</v>
      </c>
      <c r="D1818" t="s">
        <v>246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35">
      <c r="A1819" t="s">
        <v>1530</v>
      </c>
      <c r="B1819" t="s">
        <v>1531</v>
      </c>
      <c r="C1819" t="s">
        <v>1547</v>
      </c>
      <c r="D1819" t="s">
        <v>483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35">
      <c r="A1820" t="s">
        <v>1530</v>
      </c>
      <c r="B1820" t="s">
        <v>1531</v>
      </c>
      <c r="C1820" t="s">
        <v>296</v>
      </c>
      <c r="D1820" t="s">
        <v>246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35">
      <c r="A1821" t="s">
        <v>1530</v>
      </c>
      <c r="B1821" t="s">
        <v>1531</v>
      </c>
      <c r="C1821" t="s">
        <v>912</v>
      </c>
      <c r="D1821" t="s">
        <v>242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35">
      <c r="A1822" t="s">
        <v>1530</v>
      </c>
      <c r="B1822" t="s">
        <v>1531</v>
      </c>
      <c r="C1822" t="s">
        <v>297</v>
      </c>
      <c r="D1822" t="s">
        <v>246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35">
      <c r="A1823" t="s">
        <v>1530</v>
      </c>
      <c r="B1823" t="s">
        <v>1531</v>
      </c>
      <c r="C1823" t="s">
        <v>334</v>
      </c>
      <c r="D1823" t="s">
        <v>246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35">
      <c r="A1824" t="s">
        <v>1530</v>
      </c>
      <c r="B1824" t="s">
        <v>1531</v>
      </c>
      <c r="C1824" t="s">
        <v>337</v>
      </c>
      <c r="D1824" t="s">
        <v>483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35">
      <c r="A1825" t="s">
        <v>1530</v>
      </c>
      <c r="B1825" t="s">
        <v>1531</v>
      </c>
      <c r="C1825" t="s">
        <v>555</v>
      </c>
      <c r="D1825" t="s">
        <v>246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35">
      <c r="A1826" t="s">
        <v>1530</v>
      </c>
      <c r="B1826" t="s">
        <v>1531</v>
      </c>
      <c r="C1826" t="s">
        <v>827</v>
      </c>
      <c r="D1826" t="s">
        <v>483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35">
      <c r="A1827" t="s">
        <v>1530</v>
      </c>
      <c r="B1827" t="s">
        <v>1531</v>
      </c>
      <c r="C1827" t="s">
        <v>1548</v>
      </c>
      <c r="D1827" t="s">
        <v>246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35">
      <c r="A1828" t="s">
        <v>1530</v>
      </c>
      <c r="B1828" t="s">
        <v>1531</v>
      </c>
      <c r="C1828" t="s">
        <v>298</v>
      </c>
      <c r="D1828" t="s">
        <v>483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35">
      <c r="A1829" t="s">
        <v>1530</v>
      </c>
      <c r="B1829" t="s">
        <v>1531</v>
      </c>
      <c r="C1829" t="s">
        <v>971</v>
      </c>
      <c r="D1829" t="s">
        <v>246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35">
      <c r="A1830" t="s">
        <v>1530</v>
      </c>
      <c r="B1830" t="s">
        <v>1531</v>
      </c>
      <c r="C1830" t="s">
        <v>1549</v>
      </c>
      <c r="D1830" t="s">
        <v>246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35">
      <c r="A1831" t="s">
        <v>1530</v>
      </c>
      <c r="B1831" t="s">
        <v>1531</v>
      </c>
      <c r="C1831" t="s">
        <v>1550</v>
      </c>
      <c r="D1831" t="s">
        <v>483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35">
      <c r="A1832" t="s">
        <v>1530</v>
      </c>
      <c r="B1832" t="s">
        <v>1531</v>
      </c>
      <c r="C1832" t="s">
        <v>1551</v>
      </c>
      <c r="D1832" t="s">
        <v>483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35">
      <c r="A1833" t="s">
        <v>1530</v>
      </c>
      <c r="B1833" t="s">
        <v>1531</v>
      </c>
      <c r="C1833" t="s">
        <v>1524</v>
      </c>
      <c r="D1833" t="s">
        <v>242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35">
      <c r="A1834" t="s">
        <v>1530</v>
      </c>
      <c r="B1834" t="s">
        <v>1531</v>
      </c>
      <c r="C1834" t="s">
        <v>1552</v>
      </c>
      <c r="D1834" t="s">
        <v>246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35">
      <c r="A1835" t="s">
        <v>1530</v>
      </c>
      <c r="B1835" t="s">
        <v>1531</v>
      </c>
      <c r="C1835" t="s">
        <v>1231</v>
      </c>
      <c r="D1835" t="s">
        <v>246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35">
      <c r="A1836" t="s">
        <v>1530</v>
      </c>
      <c r="B1836" t="s">
        <v>1531</v>
      </c>
      <c r="C1836" t="s">
        <v>1165</v>
      </c>
      <c r="D1836" t="s">
        <v>483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35">
      <c r="A1837" t="s">
        <v>1530</v>
      </c>
      <c r="B1837" t="s">
        <v>1531</v>
      </c>
      <c r="C1837" t="s">
        <v>302</v>
      </c>
      <c r="D1837" t="s">
        <v>483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35">
      <c r="A1838" t="s">
        <v>1530</v>
      </c>
      <c r="B1838" t="s">
        <v>1531</v>
      </c>
      <c r="C1838" t="s">
        <v>745</v>
      </c>
      <c r="D1838" t="s">
        <v>246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35">
      <c r="A1839" t="s">
        <v>1530</v>
      </c>
      <c r="B1839" t="s">
        <v>1531</v>
      </c>
      <c r="C1839" t="s">
        <v>1553</v>
      </c>
      <c r="D1839" t="s">
        <v>246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35">
      <c r="A1840" t="s">
        <v>1530</v>
      </c>
      <c r="B1840" t="s">
        <v>1531</v>
      </c>
      <c r="C1840" t="s">
        <v>1554</v>
      </c>
      <c r="D1840" t="s">
        <v>242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35">
      <c r="A1841" t="s">
        <v>1530</v>
      </c>
      <c r="B1841" t="s">
        <v>1531</v>
      </c>
      <c r="C1841" t="s">
        <v>704</v>
      </c>
      <c r="D1841" t="s">
        <v>483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35">
      <c r="A1842" t="s">
        <v>1555</v>
      </c>
      <c r="B1842" t="s">
        <v>534</v>
      </c>
      <c r="C1842" t="s">
        <v>1556</v>
      </c>
      <c r="D1842" t="s">
        <v>227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35">
      <c r="A1843" t="s">
        <v>1555</v>
      </c>
      <c r="B1843" t="s">
        <v>534</v>
      </c>
      <c r="C1843" t="s">
        <v>962</v>
      </c>
      <c r="D1843" t="s">
        <v>227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35">
      <c r="A1844" t="s">
        <v>1555</v>
      </c>
      <c r="B1844" t="s">
        <v>534</v>
      </c>
      <c r="C1844" t="s">
        <v>1557</v>
      </c>
      <c r="D1844" t="s">
        <v>227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35">
      <c r="A1845" t="s">
        <v>1555</v>
      </c>
      <c r="B1845" t="s">
        <v>534</v>
      </c>
      <c r="C1845" t="s">
        <v>1558</v>
      </c>
      <c r="D1845" t="s">
        <v>227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35">
      <c r="A1846" t="s">
        <v>1555</v>
      </c>
      <c r="B1846" t="s">
        <v>534</v>
      </c>
      <c r="C1846" t="s">
        <v>1559</v>
      </c>
      <c r="D1846" t="s">
        <v>227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35">
      <c r="A1847" t="s">
        <v>1555</v>
      </c>
      <c r="B1847" t="s">
        <v>534</v>
      </c>
      <c r="C1847" t="s">
        <v>1560</v>
      </c>
      <c r="D1847" t="s">
        <v>227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35">
      <c r="A1848" t="s">
        <v>1555</v>
      </c>
      <c r="B1848" t="s">
        <v>534</v>
      </c>
      <c r="C1848" t="s">
        <v>1373</v>
      </c>
      <c r="D1848" t="s">
        <v>227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35">
      <c r="A1849" t="s">
        <v>1555</v>
      </c>
      <c r="B1849" t="s">
        <v>534</v>
      </c>
      <c r="C1849" t="s">
        <v>1561</v>
      </c>
      <c r="D1849" t="s">
        <v>227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35">
      <c r="A1850" t="s">
        <v>1555</v>
      </c>
      <c r="B1850" t="s">
        <v>534</v>
      </c>
      <c r="C1850" t="s">
        <v>926</v>
      </c>
      <c r="D1850" t="s">
        <v>227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35">
      <c r="A1851" t="s">
        <v>1555</v>
      </c>
      <c r="B1851" t="s">
        <v>534</v>
      </c>
      <c r="C1851" t="s">
        <v>307</v>
      </c>
      <c r="D1851" t="s">
        <v>227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35">
      <c r="A1852" t="s">
        <v>1562</v>
      </c>
      <c r="B1852" t="s">
        <v>1563</v>
      </c>
      <c r="C1852" t="s">
        <v>515</v>
      </c>
      <c r="D1852" t="s">
        <v>227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35">
      <c r="A1853" t="s">
        <v>1562</v>
      </c>
      <c r="B1853" t="s">
        <v>1563</v>
      </c>
      <c r="C1853" t="s">
        <v>1564</v>
      </c>
      <c r="D1853" t="s">
        <v>246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35">
      <c r="A1854" t="s">
        <v>1562</v>
      </c>
      <c r="B1854" t="s">
        <v>1563</v>
      </c>
      <c r="C1854" t="s">
        <v>1565</v>
      </c>
      <c r="D1854" t="s">
        <v>246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35">
      <c r="A1855" t="s">
        <v>1562</v>
      </c>
      <c r="B1855" t="s">
        <v>1563</v>
      </c>
      <c r="C1855" t="s">
        <v>576</v>
      </c>
      <c r="D1855" t="s">
        <v>227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35">
      <c r="A1856" t="s">
        <v>1562</v>
      </c>
      <c r="B1856" t="s">
        <v>1563</v>
      </c>
      <c r="C1856" t="s">
        <v>577</v>
      </c>
      <c r="D1856" t="s">
        <v>227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35">
      <c r="A1857" t="s">
        <v>1562</v>
      </c>
      <c r="B1857" t="s">
        <v>1563</v>
      </c>
      <c r="C1857" t="s">
        <v>1566</v>
      </c>
      <c r="D1857" t="s">
        <v>227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35">
      <c r="A1858" t="s">
        <v>1562</v>
      </c>
      <c r="B1858" t="s">
        <v>1563</v>
      </c>
      <c r="C1858" t="s">
        <v>250</v>
      </c>
      <c r="D1858" t="s">
        <v>227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35">
      <c r="A1859" t="s">
        <v>1562</v>
      </c>
      <c r="B1859" t="s">
        <v>1563</v>
      </c>
      <c r="C1859" t="s">
        <v>446</v>
      </c>
      <c r="D1859" t="s">
        <v>227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35">
      <c r="A1860" t="s">
        <v>1562</v>
      </c>
      <c r="B1860" t="s">
        <v>1563</v>
      </c>
      <c r="C1860" t="s">
        <v>578</v>
      </c>
      <c r="D1860" t="s">
        <v>227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35">
      <c r="A1861" t="s">
        <v>1562</v>
      </c>
      <c r="B1861" t="s">
        <v>1563</v>
      </c>
      <c r="C1861" t="s">
        <v>1567</v>
      </c>
      <c r="D1861" t="s">
        <v>227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35">
      <c r="A1862" t="s">
        <v>1562</v>
      </c>
      <c r="B1862" t="s">
        <v>1563</v>
      </c>
      <c r="C1862" t="s">
        <v>1568</v>
      </c>
      <c r="D1862" t="s">
        <v>246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35">
      <c r="A1863" t="s">
        <v>1562</v>
      </c>
      <c r="B1863" t="s">
        <v>1563</v>
      </c>
      <c r="C1863" t="s">
        <v>529</v>
      </c>
      <c r="D1863" t="s">
        <v>227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35">
      <c r="A1864" t="s">
        <v>1562</v>
      </c>
      <c r="B1864" t="s">
        <v>1563</v>
      </c>
      <c r="C1864" t="s">
        <v>256</v>
      </c>
      <c r="D1864" t="s">
        <v>246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35">
      <c r="A1865" t="s">
        <v>1562</v>
      </c>
      <c r="B1865" t="s">
        <v>1563</v>
      </c>
      <c r="C1865" t="s">
        <v>579</v>
      </c>
      <c r="D1865" t="s">
        <v>246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35">
      <c r="A1866" t="s">
        <v>1562</v>
      </c>
      <c r="B1866" t="s">
        <v>1563</v>
      </c>
      <c r="C1866" t="s">
        <v>1569</v>
      </c>
      <c r="D1866" t="s">
        <v>227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35">
      <c r="A1867" t="s">
        <v>1562</v>
      </c>
      <c r="B1867" t="s">
        <v>1563</v>
      </c>
      <c r="C1867" t="s">
        <v>457</v>
      </c>
      <c r="D1867" t="s">
        <v>227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35">
      <c r="A1868" t="s">
        <v>1562</v>
      </c>
      <c r="B1868" t="s">
        <v>1563</v>
      </c>
      <c r="C1868" t="s">
        <v>459</v>
      </c>
      <c r="D1868" t="s">
        <v>246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35">
      <c r="A1869" t="s">
        <v>1562</v>
      </c>
      <c r="B1869" t="s">
        <v>1563</v>
      </c>
      <c r="C1869" t="s">
        <v>719</v>
      </c>
      <c r="D1869" t="s">
        <v>227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35">
      <c r="A1870" t="s">
        <v>1562</v>
      </c>
      <c r="B1870" t="s">
        <v>1563</v>
      </c>
      <c r="C1870" t="s">
        <v>1570</v>
      </c>
      <c r="D1870" t="s">
        <v>227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35">
      <c r="A1871" t="s">
        <v>1562</v>
      </c>
      <c r="B1871" t="s">
        <v>1563</v>
      </c>
      <c r="C1871" t="s">
        <v>267</v>
      </c>
      <c r="D1871" t="s">
        <v>227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35">
      <c r="A1872" t="s">
        <v>1562</v>
      </c>
      <c r="B1872" t="s">
        <v>1563</v>
      </c>
      <c r="C1872" t="s">
        <v>368</v>
      </c>
      <c r="D1872" t="s">
        <v>227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35">
      <c r="A1873" t="s">
        <v>1562</v>
      </c>
      <c r="B1873" t="s">
        <v>1563</v>
      </c>
      <c r="C1873" t="s">
        <v>1571</v>
      </c>
      <c r="D1873" t="s">
        <v>227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35">
      <c r="A1874" t="s">
        <v>1562</v>
      </c>
      <c r="B1874" t="s">
        <v>1563</v>
      </c>
      <c r="C1874" t="s">
        <v>1572</v>
      </c>
      <c r="D1874" t="s">
        <v>227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35">
      <c r="A1875" t="s">
        <v>1562</v>
      </c>
      <c r="B1875" t="s">
        <v>1563</v>
      </c>
      <c r="C1875" t="s">
        <v>621</v>
      </c>
      <c r="D1875" t="s">
        <v>246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35">
      <c r="A1876" t="s">
        <v>1562</v>
      </c>
      <c r="B1876" t="s">
        <v>1563</v>
      </c>
      <c r="C1876" t="s">
        <v>469</v>
      </c>
      <c r="D1876" t="s">
        <v>246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35">
      <c r="A1877" t="s">
        <v>1562</v>
      </c>
      <c r="B1877" t="s">
        <v>1563</v>
      </c>
      <c r="C1877" t="s">
        <v>271</v>
      </c>
      <c r="D1877" t="s">
        <v>246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35">
      <c r="A1878" t="s">
        <v>1562</v>
      </c>
      <c r="B1878" t="s">
        <v>1563</v>
      </c>
      <c r="C1878" t="s">
        <v>626</v>
      </c>
      <c r="D1878" t="s">
        <v>227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35">
      <c r="A1879" t="s">
        <v>1562</v>
      </c>
      <c r="B1879" t="s">
        <v>1563</v>
      </c>
      <c r="C1879" t="s">
        <v>272</v>
      </c>
      <c r="D1879" t="s">
        <v>246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35">
      <c r="A1880" t="s">
        <v>1562</v>
      </c>
      <c r="B1880" t="s">
        <v>1563</v>
      </c>
      <c r="C1880" t="s">
        <v>313</v>
      </c>
      <c r="D1880" t="s">
        <v>227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35">
      <c r="A1881" t="s">
        <v>1562</v>
      </c>
      <c r="B1881" t="s">
        <v>1563</v>
      </c>
      <c r="C1881" t="s">
        <v>884</v>
      </c>
      <c r="D1881" t="s">
        <v>246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35">
      <c r="A1882" t="s">
        <v>1562</v>
      </c>
      <c r="B1882" t="s">
        <v>1563</v>
      </c>
      <c r="C1882" t="s">
        <v>274</v>
      </c>
      <c r="D1882" t="s">
        <v>227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35">
      <c r="A1883" t="s">
        <v>1562</v>
      </c>
      <c r="B1883" t="s">
        <v>1563</v>
      </c>
      <c r="C1883" t="s">
        <v>606</v>
      </c>
      <c r="D1883" t="s">
        <v>227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35">
      <c r="A1884" t="s">
        <v>1562</v>
      </c>
      <c r="B1884" t="s">
        <v>1563</v>
      </c>
      <c r="C1884" t="s">
        <v>608</v>
      </c>
      <c r="D1884" t="s">
        <v>246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35">
      <c r="A1885" t="s">
        <v>1562</v>
      </c>
      <c r="B1885" t="s">
        <v>1563</v>
      </c>
      <c r="C1885" t="s">
        <v>609</v>
      </c>
      <c r="D1885" t="s">
        <v>227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35">
      <c r="A1886" t="s">
        <v>1562</v>
      </c>
      <c r="B1886" t="s">
        <v>1563</v>
      </c>
      <c r="C1886" t="s">
        <v>610</v>
      </c>
      <c r="D1886" t="s">
        <v>246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35">
      <c r="A1887" t="s">
        <v>1562</v>
      </c>
      <c r="B1887" t="s">
        <v>1563</v>
      </c>
      <c r="C1887" t="s">
        <v>672</v>
      </c>
      <c r="D1887" t="s">
        <v>227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35">
      <c r="A1888" t="s">
        <v>1562</v>
      </c>
      <c r="B1888" t="s">
        <v>1563</v>
      </c>
      <c r="C1888" t="s">
        <v>276</v>
      </c>
      <c r="D1888" t="s">
        <v>227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35">
      <c r="A1889" t="s">
        <v>1562</v>
      </c>
      <c r="B1889" t="s">
        <v>1563</v>
      </c>
      <c r="C1889" t="s">
        <v>1573</v>
      </c>
      <c r="D1889" t="s">
        <v>227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35">
      <c r="A1890" t="s">
        <v>1562</v>
      </c>
      <c r="B1890" t="s">
        <v>1563</v>
      </c>
      <c r="C1890" t="s">
        <v>278</v>
      </c>
      <c r="D1890" t="s">
        <v>246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35">
      <c r="A1891" t="s">
        <v>1562</v>
      </c>
      <c r="B1891" t="s">
        <v>1563</v>
      </c>
      <c r="C1891" t="s">
        <v>615</v>
      </c>
      <c r="D1891" t="s">
        <v>246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35">
      <c r="A1892" t="s">
        <v>1562</v>
      </c>
      <c r="B1892" t="s">
        <v>1563</v>
      </c>
      <c r="C1892" t="s">
        <v>279</v>
      </c>
      <c r="D1892" t="s">
        <v>246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35">
      <c r="A1893" t="s">
        <v>1562</v>
      </c>
      <c r="B1893" t="s">
        <v>1563</v>
      </c>
      <c r="C1893" t="s">
        <v>1574</v>
      </c>
      <c r="D1893" t="s">
        <v>227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35">
      <c r="A1894" t="s">
        <v>1562</v>
      </c>
      <c r="B1894" t="s">
        <v>1563</v>
      </c>
      <c r="C1894" t="s">
        <v>1575</v>
      </c>
      <c r="D1894" t="s">
        <v>227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35">
      <c r="A1895" t="s">
        <v>1562</v>
      </c>
      <c r="B1895" t="s">
        <v>1563</v>
      </c>
      <c r="C1895" t="s">
        <v>321</v>
      </c>
      <c r="D1895" t="s">
        <v>246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35">
      <c r="A1896" t="s">
        <v>1562</v>
      </c>
      <c r="B1896" t="s">
        <v>1563</v>
      </c>
      <c r="C1896" t="s">
        <v>1272</v>
      </c>
      <c r="D1896" t="s">
        <v>227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35">
      <c r="A1897" t="s">
        <v>1562</v>
      </c>
      <c r="B1897" t="s">
        <v>1563</v>
      </c>
      <c r="C1897" t="s">
        <v>1576</v>
      </c>
      <c r="D1897" t="s">
        <v>227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35">
      <c r="A1898" t="s">
        <v>1562</v>
      </c>
      <c r="B1898" t="s">
        <v>1563</v>
      </c>
      <c r="C1898" t="s">
        <v>1217</v>
      </c>
      <c r="D1898" t="s">
        <v>227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35">
      <c r="A1899" t="s">
        <v>1562</v>
      </c>
      <c r="B1899" t="s">
        <v>1563</v>
      </c>
      <c r="C1899" t="s">
        <v>678</v>
      </c>
      <c r="D1899" t="s">
        <v>227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35">
      <c r="A1900" t="s">
        <v>1562</v>
      </c>
      <c r="B1900" t="s">
        <v>1563</v>
      </c>
      <c r="C1900" t="s">
        <v>1224</v>
      </c>
      <c r="D1900" t="s">
        <v>227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35">
      <c r="A1901" t="s">
        <v>1562</v>
      </c>
      <c r="B1901" t="s">
        <v>1563</v>
      </c>
      <c r="C1901" t="s">
        <v>382</v>
      </c>
      <c r="D1901" t="s">
        <v>227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35">
      <c r="A1902" t="s">
        <v>1562</v>
      </c>
      <c r="B1902" t="s">
        <v>1563</v>
      </c>
      <c r="C1902" t="s">
        <v>282</v>
      </c>
      <c r="D1902" t="s">
        <v>246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35">
      <c r="A1903" t="s">
        <v>1562</v>
      </c>
      <c r="B1903" t="s">
        <v>1563</v>
      </c>
      <c r="C1903" t="s">
        <v>283</v>
      </c>
      <c r="D1903" t="s">
        <v>227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35">
      <c r="A1904" t="s">
        <v>1562</v>
      </c>
      <c r="B1904" t="s">
        <v>1563</v>
      </c>
      <c r="C1904" t="s">
        <v>683</v>
      </c>
      <c r="D1904" t="s">
        <v>227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35">
      <c r="A1905" t="s">
        <v>1562</v>
      </c>
      <c r="B1905" t="s">
        <v>1563</v>
      </c>
      <c r="C1905" t="s">
        <v>325</v>
      </c>
      <c r="D1905" t="s">
        <v>227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35">
      <c r="A1906" t="s">
        <v>1562</v>
      </c>
      <c r="B1906" t="s">
        <v>1563</v>
      </c>
      <c r="C1906" t="s">
        <v>286</v>
      </c>
      <c r="D1906" t="s">
        <v>227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35">
      <c r="A1907" t="s">
        <v>1577</v>
      </c>
      <c r="B1907" t="s">
        <v>1578</v>
      </c>
      <c r="C1907" t="s">
        <v>1579</v>
      </c>
      <c r="D1907" t="s">
        <v>246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35">
      <c r="A1908" t="s">
        <v>1577</v>
      </c>
      <c r="B1908" t="s">
        <v>1578</v>
      </c>
      <c r="C1908" t="s">
        <v>1580</v>
      </c>
      <c r="D1908" t="s">
        <v>227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35">
      <c r="A1909" t="s">
        <v>1577</v>
      </c>
      <c r="B1909" t="s">
        <v>1578</v>
      </c>
      <c r="C1909" t="s">
        <v>271</v>
      </c>
      <c r="D1909" t="s">
        <v>227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35">
      <c r="A1910" t="s">
        <v>1577</v>
      </c>
      <c r="B1910" t="s">
        <v>1578</v>
      </c>
      <c r="C1910" t="s">
        <v>473</v>
      </c>
      <c r="D1910" t="s">
        <v>246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35">
      <c r="A1911" t="s">
        <v>1577</v>
      </c>
      <c r="B1911" t="s">
        <v>1578</v>
      </c>
      <c r="C1911" t="s">
        <v>1581</v>
      </c>
      <c r="D1911" t="s">
        <v>227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35">
      <c r="A1912" t="s">
        <v>1577</v>
      </c>
      <c r="B1912" t="s">
        <v>1578</v>
      </c>
      <c r="C1912" t="s">
        <v>272</v>
      </c>
      <c r="D1912" t="s">
        <v>227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35">
      <c r="A1913" t="s">
        <v>1577</v>
      </c>
      <c r="B1913" t="s">
        <v>1578</v>
      </c>
      <c r="C1913" t="s">
        <v>313</v>
      </c>
      <c r="D1913" t="s">
        <v>227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35">
      <c r="A1914" t="s">
        <v>1577</v>
      </c>
      <c r="B1914" t="s">
        <v>1578</v>
      </c>
      <c r="C1914" t="s">
        <v>1582</v>
      </c>
      <c r="D1914" t="s">
        <v>246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35">
      <c r="A1915" t="s">
        <v>1577</v>
      </c>
      <c r="B1915" t="s">
        <v>1578</v>
      </c>
      <c r="C1915" t="s">
        <v>315</v>
      </c>
      <c r="D1915" t="s">
        <v>227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35">
      <c r="A1916" t="s">
        <v>1577</v>
      </c>
      <c r="B1916" t="s">
        <v>1578</v>
      </c>
      <c r="C1916" t="s">
        <v>274</v>
      </c>
      <c r="D1916" t="s">
        <v>246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35">
      <c r="A1917" t="s">
        <v>1577</v>
      </c>
      <c r="B1917" t="s">
        <v>1578</v>
      </c>
      <c r="C1917" t="s">
        <v>608</v>
      </c>
      <c r="D1917" t="s">
        <v>227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35">
      <c r="A1918" t="s">
        <v>1577</v>
      </c>
      <c r="B1918" t="s">
        <v>1578</v>
      </c>
      <c r="C1918" t="s">
        <v>609</v>
      </c>
      <c r="D1918" t="s">
        <v>227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35">
      <c r="A1919" t="s">
        <v>1577</v>
      </c>
      <c r="B1919" t="s">
        <v>1578</v>
      </c>
      <c r="C1919" t="s">
        <v>611</v>
      </c>
      <c r="D1919" t="s">
        <v>246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35">
      <c r="A1920" t="s">
        <v>1577</v>
      </c>
      <c r="B1920" t="s">
        <v>1578</v>
      </c>
      <c r="C1920" t="s">
        <v>1583</v>
      </c>
      <c r="D1920" t="s">
        <v>227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35">
      <c r="A1921" t="s">
        <v>1577</v>
      </c>
      <c r="B1921" t="s">
        <v>1578</v>
      </c>
      <c r="C1921" t="s">
        <v>276</v>
      </c>
      <c r="D1921" t="s">
        <v>227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35">
      <c r="A1922" t="s">
        <v>1577</v>
      </c>
      <c r="B1922" t="s">
        <v>1578</v>
      </c>
      <c r="C1922" t="s">
        <v>318</v>
      </c>
      <c r="D1922" t="s">
        <v>227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35">
      <c r="A1923" t="s">
        <v>1577</v>
      </c>
      <c r="B1923" t="s">
        <v>1578</v>
      </c>
      <c r="C1923" t="s">
        <v>1584</v>
      </c>
      <c r="D1923" t="s">
        <v>227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35">
      <c r="A1924" t="s">
        <v>1577</v>
      </c>
      <c r="B1924" t="s">
        <v>1578</v>
      </c>
      <c r="C1924" t="s">
        <v>278</v>
      </c>
      <c r="D1924" t="s">
        <v>246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35">
      <c r="A1925" t="s">
        <v>1577</v>
      </c>
      <c r="B1925" t="s">
        <v>1578</v>
      </c>
      <c r="C1925" t="s">
        <v>615</v>
      </c>
      <c r="D1925" t="s">
        <v>227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35">
      <c r="A1926" t="s">
        <v>1577</v>
      </c>
      <c r="B1926" t="s">
        <v>1578</v>
      </c>
      <c r="C1926" t="s">
        <v>1585</v>
      </c>
      <c r="D1926" t="s">
        <v>227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35">
      <c r="A1927" t="s">
        <v>1577</v>
      </c>
      <c r="B1927" t="s">
        <v>1578</v>
      </c>
      <c r="C1927" t="s">
        <v>279</v>
      </c>
      <c r="D1927" t="s">
        <v>246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35">
      <c r="A1928" t="s">
        <v>1577</v>
      </c>
      <c r="B1928" t="s">
        <v>1578</v>
      </c>
      <c r="C1928" t="s">
        <v>1586</v>
      </c>
      <c r="D1928" t="s">
        <v>246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35">
      <c r="A1929" t="s">
        <v>1577</v>
      </c>
      <c r="B1929" t="s">
        <v>1578</v>
      </c>
      <c r="C1929" t="s">
        <v>321</v>
      </c>
      <c r="D1929" t="s">
        <v>227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35">
      <c r="A1930" t="s">
        <v>1577</v>
      </c>
      <c r="B1930" t="s">
        <v>1578</v>
      </c>
      <c r="C1930" t="s">
        <v>678</v>
      </c>
      <c r="D1930" t="s">
        <v>246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35">
      <c r="A1931" t="s">
        <v>1577</v>
      </c>
      <c r="B1931" t="s">
        <v>1578</v>
      </c>
      <c r="C1931" t="s">
        <v>1587</v>
      </c>
      <c r="D1931" t="s">
        <v>227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35">
      <c r="A1932" t="s">
        <v>1577</v>
      </c>
      <c r="B1932" t="s">
        <v>1578</v>
      </c>
      <c r="C1932" t="s">
        <v>1588</v>
      </c>
      <c r="D1932" t="s">
        <v>227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35">
      <c r="A1933" t="s">
        <v>1577</v>
      </c>
      <c r="B1933" t="s">
        <v>1578</v>
      </c>
      <c r="C1933" t="s">
        <v>1589</v>
      </c>
      <c r="D1933" t="s">
        <v>227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35">
      <c r="A1934" t="s">
        <v>1577</v>
      </c>
      <c r="B1934" t="s">
        <v>1578</v>
      </c>
      <c r="C1934" t="s">
        <v>382</v>
      </c>
      <c r="D1934" t="s">
        <v>227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35">
      <c r="A1935" t="s">
        <v>1577</v>
      </c>
      <c r="B1935" t="s">
        <v>1578</v>
      </c>
      <c r="C1935" t="s">
        <v>282</v>
      </c>
      <c r="D1935" t="s">
        <v>246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35">
      <c r="A1936" t="s">
        <v>1577</v>
      </c>
      <c r="B1936" t="s">
        <v>1578</v>
      </c>
      <c r="C1936" t="s">
        <v>287</v>
      </c>
      <c r="D1936" t="s">
        <v>227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35">
      <c r="A1937" t="s">
        <v>1577</v>
      </c>
      <c r="B1937" t="s">
        <v>1578</v>
      </c>
      <c r="C1937" t="s">
        <v>289</v>
      </c>
      <c r="D1937" t="s">
        <v>227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35">
      <c r="A1938" t="s">
        <v>1577</v>
      </c>
      <c r="B1938" t="s">
        <v>1578</v>
      </c>
      <c r="C1938" t="s">
        <v>290</v>
      </c>
      <c r="D1938" t="s">
        <v>227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35">
      <c r="A1939" t="s">
        <v>1577</v>
      </c>
      <c r="B1939" t="s">
        <v>1578</v>
      </c>
      <c r="C1939" t="s">
        <v>685</v>
      </c>
      <c r="D1939" t="s">
        <v>246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35">
      <c r="A1940" t="s">
        <v>1577</v>
      </c>
      <c r="B1940" t="s">
        <v>1578</v>
      </c>
      <c r="C1940" t="s">
        <v>647</v>
      </c>
      <c r="D1940" t="s">
        <v>227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35">
      <c r="A1941" t="s">
        <v>1577</v>
      </c>
      <c r="B1941" t="s">
        <v>1578</v>
      </c>
      <c r="C1941" t="s">
        <v>292</v>
      </c>
      <c r="D1941" t="s">
        <v>246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35">
      <c r="A1942" t="s">
        <v>1577</v>
      </c>
      <c r="B1942" t="s">
        <v>1578</v>
      </c>
      <c r="C1942" t="s">
        <v>293</v>
      </c>
      <c r="D1942" t="s">
        <v>227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35">
      <c r="A1943" t="s">
        <v>1577</v>
      </c>
      <c r="B1943" t="s">
        <v>1578</v>
      </c>
      <c r="C1943" t="s">
        <v>294</v>
      </c>
      <c r="D1943" t="s">
        <v>227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35">
      <c r="A1944" t="s">
        <v>1577</v>
      </c>
      <c r="B1944" t="s">
        <v>1578</v>
      </c>
      <c r="C1944" t="s">
        <v>330</v>
      </c>
      <c r="D1944" t="s">
        <v>227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35">
      <c r="A1945" t="s">
        <v>1577</v>
      </c>
      <c r="B1945" t="s">
        <v>1578</v>
      </c>
      <c r="C1945" t="s">
        <v>1043</v>
      </c>
      <c r="D1945" t="s">
        <v>227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35">
      <c r="A1946" t="s">
        <v>1577</v>
      </c>
      <c r="B1946" t="s">
        <v>1578</v>
      </c>
      <c r="C1946" t="s">
        <v>693</v>
      </c>
      <c r="D1946" t="s">
        <v>246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35">
      <c r="A1947" t="s">
        <v>1577</v>
      </c>
      <c r="B1947" t="s">
        <v>1578</v>
      </c>
      <c r="C1947" t="s">
        <v>965</v>
      </c>
      <c r="D1947" t="s">
        <v>246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35">
      <c r="A1948" t="s">
        <v>1577</v>
      </c>
      <c r="B1948" t="s">
        <v>1578</v>
      </c>
      <c r="C1948" t="s">
        <v>695</v>
      </c>
      <c r="D1948" t="s">
        <v>227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35">
      <c r="A1949" t="s">
        <v>1577</v>
      </c>
      <c r="B1949" t="s">
        <v>1578</v>
      </c>
      <c r="C1949" t="s">
        <v>1590</v>
      </c>
      <c r="D1949" t="s">
        <v>227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35">
      <c r="A1950" t="s">
        <v>1577</v>
      </c>
      <c r="B1950" t="s">
        <v>1578</v>
      </c>
      <c r="C1950" t="s">
        <v>295</v>
      </c>
      <c r="D1950" t="s">
        <v>246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35">
      <c r="A1951" t="s">
        <v>1577</v>
      </c>
      <c r="B1951" t="s">
        <v>1578</v>
      </c>
      <c r="C1951" t="s">
        <v>297</v>
      </c>
      <c r="D1951" t="s">
        <v>246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35">
      <c r="A1952" t="s">
        <v>1577</v>
      </c>
      <c r="B1952" t="s">
        <v>1578</v>
      </c>
      <c r="C1952" t="s">
        <v>1591</v>
      </c>
      <c r="D1952" t="s">
        <v>227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35">
      <c r="A1953" t="s">
        <v>1577</v>
      </c>
      <c r="B1953" t="s">
        <v>1578</v>
      </c>
      <c r="C1953" t="s">
        <v>1592</v>
      </c>
      <c r="D1953" t="s">
        <v>246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35">
      <c r="A1954" t="s">
        <v>1577</v>
      </c>
      <c r="B1954" t="s">
        <v>1578</v>
      </c>
      <c r="C1954" t="s">
        <v>337</v>
      </c>
      <c r="D1954" t="s">
        <v>227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35">
      <c r="A1955" t="s">
        <v>1577</v>
      </c>
      <c r="B1955" t="s">
        <v>1578</v>
      </c>
      <c r="C1955" t="s">
        <v>555</v>
      </c>
      <c r="D1955" t="s">
        <v>227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35">
      <c r="A1956" t="s">
        <v>1577</v>
      </c>
      <c r="B1956" t="s">
        <v>1578</v>
      </c>
      <c r="C1956" t="s">
        <v>298</v>
      </c>
      <c r="D1956" t="s">
        <v>227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35">
      <c r="A1957" t="s">
        <v>1577</v>
      </c>
      <c r="B1957" t="s">
        <v>1578</v>
      </c>
      <c r="C1957" t="s">
        <v>857</v>
      </c>
      <c r="D1957" t="s">
        <v>246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35">
      <c r="A1958" t="s">
        <v>1577</v>
      </c>
      <c r="B1958" t="s">
        <v>1578</v>
      </c>
      <c r="C1958" t="s">
        <v>667</v>
      </c>
      <c r="D1958" t="s">
        <v>227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35">
      <c r="A1959" t="s">
        <v>1577</v>
      </c>
      <c r="B1959" t="s">
        <v>1578</v>
      </c>
      <c r="C1959" t="s">
        <v>339</v>
      </c>
      <c r="D1959" t="s">
        <v>246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35">
      <c r="A1960" t="s">
        <v>1577</v>
      </c>
      <c r="B1960" t="s">
        <v>1578</v>
      </c>
      <c r="C1960" t="s">
        <v>300</v>
      </c>
      <c r="D1960" t="s">
        <v>227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35">
      <c r="A1961" t="s">
        <v>1577</v>
      </c>
      <c r="B1961" t="s">
        <v>1578</v>
      </c>
      <c r="C1961" t="s">
        <v>703</v>
      </c>
      <c r="D1961" t="s">
        <v>246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35">
      <c r="A1962" t="s">
        <v>1577</v>
      </c>
      <c r="B1962" t="s">
        <v>1578</v>
      </c>
      <c r="C1962" t="s">
        <v>773</v>
      </c>
      <c r="D1962" t="s">
        <v>227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35">
      <c r="A1963" t="s">
        <v>1577</v>
      </c>
      <c r="B1963" t="s">
        <v>1578</v>
      </c>
      <c r="C1963" t="s">
        <v>1593</v>
      </c>
      <c r="D1963" t="s">
        <v>227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35">
      <c r="A1964" t="s">
        <v>1577</v>
      </c>
      <c r="B1964" t="s">
        <v>1578</v>
      </c>
      <c r="C1964" t="s">
        <v>978</v>
      </c>
      <c r="D1964" t="s">
        <v>227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35">
      <c r="A1965" t="s">
        <v>1577</v>
      </c>
      <c r="B1965" t="s">
        <v>1578</v>
      </c>
      <c r="C1965" t="s">
        <v>866</v>
      </c>
      <c r="D1965" t="s">
        <v>246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35">
      <c r="A1966" t="s">
        <v>1577</v>
      </c>
      <c r="B1966" t="s">
        <v>1578</v>
      </c>
      <c r="C1966" t="s">
        <v>1594</v>
      </c>
      <c r="D1966" t="s">
        <v>246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35">
      <c r="A1967" t="s">
        <v>1577</v>
      </c>
      <c r="B1967" t="s">
        <v>1578</v>
      </c>
      <c r="C1967" t="s">
        <v>1595</v>
      </c>
      <c r="D1967" t="s">
        <v>227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35">
      <c r="A1968" t="s">
        <v>1577</v>
      </c>
      <c r="B1968" t="s">
        <v>1578</v>
      </c>
      <c r="C1968" t="s">
        <v>1167</v>
      </c>
      <c r="D1968" t="s">
        <v>227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35">
      <c r="A1969" t="s">
        <v>1577</v>
      </c>
      <c r="B1969" t="s">
        <v>1578</v>
      </c>
      <c r="C1969" t="s">
        <v>346</v>
      </c>
      <c r="D1969" t="s">
        <v>227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35">
      <c r="A1970" t="s">
        <v>1577</v>
      </c>
      <c r="B1970" t="s">
        <v>1578</v>
      </c>
      <c r="C1970" t="s">
        <v>1596</v>
      </c>
      <c r="D1970" t="s">
        <v>246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35">
      <c r="A1971" t="s">
        <v>1577</v>
      </c>
      <c r="B1971" t="s">
        <v>1578</v>
      </c>
      <c r="C1971" t="s">
        <v>1597</v>
      </c>
      <c r="D1971" t="s">
        <v>227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35">
      <c r="A1972" t="s">
        <v>1598</v>
      </c>
      <c r="B1972" t="s">
        <v>614</v>
      </c>
      <c r="C1972" t="s">
        <v>643</v>
      </c>
      <c r="D1972" t="s">
        <v>227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35">
      <c r="A1973" t="s">
        <v>1598</v>
      </c>
      <c r="B1973" t="s">
        <v>614</v>
      </c>
      <c r="C1973" t="s">
        <v>1304</v>
      </c>
      <c r="D1973" t="s">
        <v>227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35">
      <c r="A1974" t="s">
        <v>1598</v>
      </c>
      <c r="B1974" t="s">
        <v>614</v>
      </c>
      <c r="C1974" t="s">
        <v>1037</v>
      </c>
      <c r="D1974" t="s">
        <v>227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35">
      <c r="A1975" t="s">
        <v>1598</v>
      </c>
      <c r="B1975" t="s">
        <v>614</v>
      </c>
      <c r="C1975" t="s">
        <v>644</v>
      </c>
      <c r="D1975" t="s">
        <v>227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35">
      <c r="A1976" t="s">
        <v>1598</v>
      </c>
      <c r="B1976" t="s">
        <v>614</v>
      </c>
      <c r="C1976" t="s">
        <v>287</v>
      </c>
      <c r="D1976" t="s">
        <v>227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35">
      <c r="A1977" t="s">
        <v>1598</v>
      </c>
      <c r="B1977" t="s">
        <v>614</v>
      </c>
      <c r="C1977" t="s">
        <v>1599</v>
      </c>
      <c r="D1977" t="s">
        <v>227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35">
      <c r="A1978" t="s">
        <v>1598</v>
      </c>
      <c r="B1978" t="s">
        <v>614</v>
      </c>
      <c r="C1978" t="s">
        <v>289</v>
      </c>
      <c r="D1978" t="s">
        <v>227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35">
      <c r="A1979" t="s">
        <v>1598</v>
      </c>
      <c r="B1979" t="s">
        <v>614</v>
      </c>
      <c r="C1979" t="s">
        <v>290</v>
      </c>
      <c r="D1979" t="s">
        <v>227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35">
      <c r="A1980" t="s">
        <v>1598</v>
      </c>
      <c r="B1980" t="s">
        <v>614</v>
      </c>
      <c r="C1980" t="s">
        <v>1600</v>
      </c>
      <c r="D1980" t="s">
        <v>227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35">
      <c r="A1981" t="s">
        <v>1598</v>
      </c>
      <c r="B1981" t="s">
        <v>614</v>
      </c>
      <c r="C1981" t="s">
        <v>648</v>
      </c>
      <c r="D1981" t="s">
        <v>227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35">
      <c r="A1982" t="s">
        <v>1598</v>
      </c>
      <c r="B1982" t="s">
        <v>614</v>
      </c>
      <c r="C1982" t="s">
        <v>1601</v>
      </c>
      <c r="D1982" t="s">
        <v>227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35">
      <c r="A1983" t="s">
        <v>1598</v>
      </c>
      <c r="B1983" t="s">
        <v>614</v>
      </c>
      <c r="C1983" t="s">
        <v>292</v>
      </c>
      <c r="D1983" t="s">
        <v>227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35">
      <c r="A1984" t="s">
        <v>1598</v>
      </c>
      <c r="B1984" t="s">
        <v>614</v>
      </c>
      <c r="C1984" t="s">
        <v>293</v>
      </c>
      <c r="D1984" t="s">
        <v>227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35">
      <c r="A1985" t="s">
        <v>1598</v>
      </c>
      <c r="B1985" t="s">
        <v>614</v>
      </c>
      <c r="C1985" t="s">
        <v>1602</v>
      </c>
      <c r="D1985" t="s">
        <v>227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35">
      <c r="A1986" t="s">
        <v>1598</v>
      </c>
      <c r="B1986" t="s">
        <v>614</v>
      </c>
      <c r="C1986" t="s">
        <v>1603</v>
      </c>
      <c r="D1986" t="s">
        <v>227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35">
      <c r="A1987" t="s">
        <v>1598</v>
      </c>
      <c r="B1987" t="s">
        <v>614</v>
      </c>
      <c r="C1987" t="s">
        <v>1518</v>
      </c>
      <c r="D1987" t="s">
        <v>227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35">
      <c r="A1988" t="s">
        <v>1598</v>
      </c>
      <c r="B1988" t="s">
        <v>614</v>
      </c>
      <c r="C1988" t="s">
        <v>1318</v>
      </c>
      <c r="D1988" t="s">
        <v>227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35">
      <c r="A1989" t="s">
        <v>1598</v>
      </c>
      <c r="B1989" t="s">
        <v>614</v>
      </c>
      <c r="C1989" t="s">
        <v>1604</v>
      </c>
      <c r="D1989" t="s">
        <v>227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35">
      <c r="A1990" t="s">
        <v>1598</v>
      </c>
      <c r="B1990" t="s">
        <v>614</v>
      </c>
      <c r="C1990" t="s">
        <v>759</v>
      </c>
      <c r="D1990" t="s">
        <v>227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35">
      <c r="A1991" t="s">
        <v>1598</v>
      </c>
      <c r="B1991" t="s">
        <v>614</v>
      </c>
      <c r="C1991" t="s">
        <v>1349</v>
      </c>
      <c r="D1991" t="s">
        <v>227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35">
      <c r="A1992" t="s">
        <v>1598</v>
      </c>
      <c r="B1992" t="s">
        <v>614</v>
      </c>
      <c r="C1992" t="s">
        <v>334</v>
      </c>
      <c r="D1992" t="s">
        <v>227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35">
      <c r="A1993" t="s">
        <v>1598</v>
      </c>
      <c r="B1993" t="s">
        <v>614</v>
      </c>
      <c r="C1993" t="s">
        <v>1605</v>
      </c>
      <c r="D1993" t="s">
        <v>227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35">
      <c r="A1994" t="s">
        <v>1598</v>
      </c>
      <c r="B1994" t="s">
        <v>614</v>
      </c>
      <c r="C1994" t="s">
        <v>1606</v>
      </c>
      <c r="D1994" t="s">
        <v>227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35">
      <c r="A1995" t="s">
        <v>1598</v>
      </c>
      <c r="B1995" t="s">
        <v>614</v>
      </c>
      <c r="C1995" t="s">
        <v>1607</v>
      </c>
      <c r="D1995" t="s">
        <v>227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35">
      <c r="A1996" t="s">
        <v>1598</v>
      </c>
      <c r="B1996" t="s">
        <v>614</v>
      </c>
      <c r="C1996" t="s">
        <v>1608</v>
      </c>
      <c r="D1996" t="s">
        <v>227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35">
      <c r="A1997" t="s">
        <v>1598</v>
      </c>
      <c r="B1997" t="s">
        <v>614</v>
      </c>
      <c r="C1997" t="s">
        <v>339</v>
      </c>
      <c r="D1997" t="s">
        <v>227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35">
      <c r="A1998" t="s">
        <v>1598</v>
      </c>
      <c r="B1998" t="s">
        <v>614</v>
      </c>
      <c r="C1998" t="s">
        <v>300</v>
      </c>
      <c r="D1998" t="s">
        <v>227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35">
      <c r="A1999" t="s">
        <v>1598</v>
      </c>
      <c r="B1999" t="s">
        <v>614</v>
      </c>
      <c r="C1999" t="s">
        <v>922</v>
      </c>
      <c r="D1999" t="s">
        <v>227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35">
      <c r="A2000" t="s">
        <v>1598</v>
      </c>
      <c r="B2000" t="s">
        <v>614</v>
      </c>
      <c r="C2000" t="s">
        <v>1609</v>
      </c>
      <c r="D2000" t="s">
        <v>227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35">
      <c r="A2001" t="s">
        <v>1598</v>
      </c>
      <c r="B2001" t="s">
        <v>614</v>
      </c>
      <c r="C2001" t="s">
        <v>1610</v>
      </c>
      <c r="D2001" t="s">
        <v>227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35">
      <c r="A2002" t="s">
        <v>1598</v>
      </c>
      <c r="B2002" t="s">
        <v>614</v>
      </c>
      <c r="C2002" t="s">
        <v>704</v>
      </c>
      <c r="D2002" t="s">
        <v>227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35">
      <c r="A2003" t="s">
        <v>1598</v>
      </c>
      <c r="B2003" t="s">
        <v>614</v>
      </c>
      <c r="C2003" t="s">
        <v>346</v>
      </c>
      <c r="D2003" t="s">
        <v>227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35">
      <c r="A2004" t="s">
        <v>1598</v>
      </c>
      <c r="B2004" t="s">
        <v>614</v>
      </c>
      <c r="C2004" t="s">
        <v>347</v>
      </c>
      <c r="D2004" t="s">
        <v>227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35">
      <c r="A2005" t="s">
        <v>1598</v>
      </c>
      <c r="B2005" t="s">
        <v>614</v>
      </c>
      <c r="C2005" t="s">
        <v>1611</v>
      </c>
      <c r="D2005" t="s">
        <v>227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35">
      <c r="A2006" t="s">
        <v>1598</v>
      </c>
      <c r="B2006" t="s">
        <v>614</v>
      </c>
      <c r="C2006" t="s">
        <v>496</v>
      </c>
      <c r="D2006" t="s">
        <v>227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35">
      <c r="A2007" t="s">
        <v>1598</v>
      </c>
      <c r="B2007" t="s">
        <v>614</v>
      </c>
      <c r="C2007" t="s">
        <v>307</v>
      </c>
      <c r="D2007" t="s">
        <v>227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35">
      <c r="A2008" t="s">
        <v>1598</v>
      </c>
      <c r="B2008" t="s">
        <v>614</v>
      </c>
      <c r="C2008" t="s">
        <v>497</v>
      </c>
      <c r="D2008" t="s">
        <v>227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35">
      <c r="A2009" t="s">
        <v>1598</v>
      </c>
      <c r="B2009" t="s">
        <v>614</v>
      </c>
      <c r="C2009" t="s">
        <v>498</v>
      </c>
      <c r="D2009" t="s">
        <v>227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35">
      <c r="A2010" t="s">
        <v>1598</v>
      </c>
      <c r="B2010" t="s">
        <v>614</v>
      </c>
      <c r="C2010" t="s">
        <v>568</v>
      </c>
      <c r="D2010" t="s">
        <v>227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35">
      <c r="A2011" t="s">
        <v>1598</v>
      </c>
      <c r="B2011" t="s">
        <v>614</v>
      </c>
      <c r="C2011" t="s">
        <v>1612</v>
      </c>
      <c r="D2011" t="s">
        <v>227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35">
      <c r="A2012" t="s">
        <v>1598</v>
      </c>
      <c r="B2012" t="s">
        <v>614</v>
      </c>
      <c r="C2012" t="s">
        <v>1613</v>
      </c>
      <c r="D2012" t="s">
        <v>227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35">
      <c r="A2013" t="s">
        <v>1598</v>
      </c>
      <c r="B2013" t="s">
        <v>614</v>
      </c>
      <c r="C2013" t="s">
        <v>504</v>
      </c>
      <c r="D2013" t="s">
        <v>227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35">
      <c r="A2014" t="s">
        <v>1598</v>
      </c>
      <c r="B2014" t="s">
        <v>614</v>
      </c>
      <c r="C2014" t="s">
        <v>869</v>
      </c>
      <c r="D2014" t="s">
        <v>227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35">
      <c r="A2015" t="s">
        <v>1614</v>
      </c>
      <c r="B2015" t="s">
        <v>1615</v>
      </c>
      <c r="C2015" t="s">
        <v>572</v>
      </c>
      <c r="D2015" t="s">
        <v>246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35">
      <c r="A2016" t="s">
        <v>1614</v>
      </c>
      <c r="B2016" t="s">
        <v>1615</v>
      </c>
      <c r="C2016" t="s">
        <v>1173</v>
      </c>
      <c r="D2016" t="s">
        <v>246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35">
      <c r="A2017" t="s">
        <v>1614</v>
      </c>
      <c r="B2017" t="s">
        <v>1615</v>
      </c>
      <c r="C2017" t="s">
        <v>844</v>
      </c>
      <c r="D2017" t="s">
        <v>246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35">
      <c r="A2018" t="s">
        <v>1614</v>
      </c>
      <c r="B2018" t="s">
        <v>1615</v>
      </c>
      <c r="C2018" t="s">
        <v>1616</v>
      </c>
      <c r="D2018" t="s">
        <v>246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35">
      <c r="A2019" t="s">
        <v>1614</v>
      </c>
      <c r="B2019" t="s">
        <v>1615</v>
      </c>
      <c r="C2019" t="s">
        <v>847</v>
      </c>
      <c r="D2019" t="s">
        <v>246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35">
      <c r="A2020" t="s">
        <v>1614</v>
      </c>
      <c r="B2020" t="s">
        <v>1615</v>
      </c>
      <c r="C2020" t="s">
        <v>1617</v>
      </c>
      <c r="D2020" t="s">
        <v>246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35">
      <c r="A2021" t="s">
        <v>1614</v>
      </c>
      <c r="B2021" t="s">
        <v>1615</v>
      </c>
      <c r="C2021" t="s">
        <v>577</v>
      </c>
      <c r="D2021" t="s">
        <v>246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35">
      <c r="A2022" t="s">
        <v>1614</v>
      </c>
      <c r="B2022" t="s">
        <v>1615</v>
      </c>
      <c r="C2022" t="s">
        <v>249</v>
      </c>
      <c r="D2022" t="s">
        <v>246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35">
      <c r="A2023" t="s">
        <v>1614</v>
      </c>
      <c r="B2023" t="s">
        <v>1615</v>
      </c>
      <c r="C2023" t="s">
        <v>1618</v>
      </c>
      <c r="D2023" t="s">
        <v>246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35">
      <c r="A2024" t="s">
        <v>1614</v>
      </c>
      <c r="B2024" t="s">
        <v>1615</v>
      </c>
      <c r="C2024" t="s">
        <v>950</v>
      </c>
      <c r="D2024" t="s">
        <v>246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35">
      <c r="A2025" t="s">
        <v>1614</v>
      </c>
      <c r="B2025" t="s">
        <v>1615</v>
      </c>
      <c r="C2025" t="s">
        <v>252</v>
      </c>
      <c r="D2025" t="s">
        <v>246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35">
      <c r="A2026" t="s">
        <v>1614</v>
      </c>
      <c r="B2026" t="s">
        <v>1615</v>
      </c>
      <c r="C2026" t="s">
        <v>1485</v>
      </c>
      <c r="D2026" t="s">
        <v>227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35">
      <c r="A2027" t="s">
        <v>1614</v>
      </c>
      <c r="B2027" t="s">
        <v>1615</v>
      </c>
      <c r="C2027" t="s">
        <v>529</v>
      </c>
      <c r="D2027" t="s">
        <v>246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35">
      <c r="A2028" t="s">
        <v>1614</v>
      </c>
      <c r="B2028" t="s">
        <v>1615</v>
      </c>
      <c r="C2028" t="s">
        <v>256</v>
      </c>
      <c r="D2028" t="s">
        <v>246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35">
      <c r="A2029" t="s">
        <v>1614</v>
      </c>
      <c r="B2029" t="s">
        <v>1615</v>
      </c>
      <c r="C2029" t="s">
        <v>1619</v>
      </c>
      <c r="D2029" t="s">
        <v>227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35">
      <c r="A2030" t="s">
        <v>1614</v>
      </c>
      <c r="B2030" t="s">
        <v>1615</v>
      </c>
      <c r="C2030" t="s">
        <v>1620</v>
      </c>
      <c r="D2030" t="s">
        <v>246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35">
      <c r="A2031" t="s">
        <v>1614</v>
      </c>
      <c r="B2031" t="s">
        <v>1615</v>
      </c>
      <c r="C2031" t="s">
        <v>1621</v>
      </c>
      <c r="D2031" t="s">
        <v>246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35">
      <c r="A2032" t="s">
        <v>1614</v>
      </c>
      <c r="B2032" t="s">
        <v>1615</v>
      </c>
      <c r="C2032" t="s">
        <v>1622</v>
      </c>
      <c r="D2032" t="s">
        <v>246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35">
      <c r="A2033" t="s">
        <v>1614</v>
      </c>
      <c r="B2033" t="s">
        <v>1615</v>
      </c>
      <c r="C2033" t="s">
        <v>459</v>
      </c>
      <c r="D2033" t="s">
        <v>246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35">
      <c r="A2034" t="s">
        <v>1614</v>
      </c>
      <c r="B2034" t="s">
        <v>1615</v>
      </c>
      <c r="C2034" t="s">
        <v>463</v>
      </c>
      <c r="D2034" t="s">
        <v>227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35">
      <c r="A2035" t="s">
        <v>1614</v>
      </c>
      <c r="B2035" t="s">
        <v>1615</v>
      </c>
      <c r="C2035" t="s">
        <v>603</v>
      </c>
      <c r="D2035" t="s">
        <v>246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35">
      <c r="A2036" t="s">
        <v>1614</v>
      </c>
      <c r="B2036" t="s">
        <v>1615</v>
      </c>
      <c r="C2036" t="s">
        <v>1623</v>
      </c>
      <c r="D2036" t="s">
        <v>246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35">
      <c r="A2037" t="s">
        <v>1614</v>
      </c>
      <c r="B2037" t="s">
        <v>1615</v>
      </c>
      <c r="C2037" t="s">
        <v>919</v>
      </c>
      <c r="D2037" t="s">
        <v>246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35">
      <c r="A2038" t="s">
        <v>1614</v>
      </c>
      <c r="B2038" t="s">
        <v>1615</v>
      </c>
      <c r="C2038" t="s">
        <v>1624</v>
      </c>
      <c r="D2038" t="s">
        <v>246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35">
      <c r="A2039" t="s">
        <v>1614</v>
      </c>
      <c r="B2039" t="s">
        <v>1615</v>
      </c>
      <c r="C2039" t="s">
        <v>920</v>
      </c>
      <c r="D2039" t="s">
        <v>227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35">
      <c r="A2040" t="s">
        <v>1614</v>
      </c>
      <c r="B2040" t="s">
        <v>1615</v>
      </c>
      <c r="C2040" t="s">
        <v>921</v>
      </c>
      <c r="D2040" t="s">
        <v>227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35">
      <c r="A2041" t="s">
        <v>1614</v>
      </c>
      <c r="B2041" t="s">
        <v>1615</v>
      </c>
      <c r="C2041" t="s">
        <v>830</v>
      </c>
      <c r="D2041" t="s">
        <v>227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35">
      <c r="A2042" t="s">
        <v>1614</v>
      </c>
      <c r="B2042" t="s">
        <v>1615</v>
      </c>
      <c r="C2042" t="s">
        <v>1625</v>
      </c>
      <c r="D2042" t="s">
        <v>246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35">
      <c r="A2043" t="s">
        <v>1614</v>
      </c>
      <c r="B2043" t="s">
        <v>1615</v>
      </c>
      <c r="C2043" t="s">
        <v>923</v>
      </c>
      <c r="D2043" t="s">
        <v>246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35">
      <c r="A2044" t="s">
        <v>1614</v>
      </c>
      <c r="B2044" t="s">
        <v>1615</v>
      </c>
      <c r="C2044" t="s">
        <v>1626</v>
      </c>
      <c r="D2044" t="s">
        <v>246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35">
      <c r="A2045" t="s">
        <v>1614</v>
      </c>
      <c r="B2045" t="s">
        <v>1615</v>
      </c>
      <c r="C2045" t="s">
        <v>1166</v>
      </c>
      <c r="D2045" t="s">
        <v>246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35">
      <c r="A2046" t="s">
        <v>1614</v>
      </c>
      <c r="B2046" t="s">
        <v>1615</v>
      </c>
      <c r="C2046" t="s">
        <v>485</v>
      </c>
      <c r="D2046" t="s">
        <v>227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35">
      <c r="A2047" t="s">
        <v>1614</v>
      </c>
      <c r="B2047" t="s">
        <v>1615</v>
      </c>
      <c r="C2047" t="s">
        <v>1627</v>
      </c>
      <c r="D2047" t="s">
        <v>227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35">
      <c r="A2048" t="s">
        <v>1614</v>
      </c>
      <c r="B2048" t="s">
        <v>1615</v>
      </c>
      <c r="C2048" t="s">
        <v>1628</v>
      </c>
      <c r="D2048" t="s">
        <v>246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35">
      <c r="A2049" t="s">
        <v>1614</v>
      </c>
      <c r="B2049" t="s">
        <v>1615</v>
      </c>
      <c r="C2049" t="s">
        <v>1629</v>
      </c>
      <c r="D2049" t="s">
        <v>227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35">
      <c r="A2050" t="s">
        <v>1614</v>
      </c>
      <c r="B2050" t="s">
        <v>1615</v>
      </c>
      <c r="C2050" t="s">
        <v>307</v>
      </c>
      <c r="D2050" t="s">
        <v>246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35">
      <c r="A2051" t="s">
        <v>1614</v>
      </c>
      <c r="B2051" t="s">
        <v>1615</v>
      </c>
      <c r="C2051" t="s">
        <v>1254</v>
      </c>
      <c r="D2051" t="s">
        <v>227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35">
      <c r="A2052" t="s">
        <v>1614</v>
      </c>
      <c r="B2052" t="s">
        <v>1615</v>
      </c>
      <c r="C2052" t="s">
        <v>1008</v>
      </c>
      <c r="D2052" t="s">
        <v>246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35">
      <c r="A2053" t="s">
        <v>1614</v>
      </c>
      <c r="B2053" t="s">
        <v>1615</v>
      </c>
      <c r="C2053" t="s">
        <v>1630</v>
      </c>
      <c r="D2053" t="s">
        <v>246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35">
      <c r="A2054" t="s">
        <v>1614</v>
      </c>
      <c r="B2054" t="s">
        <v>1615</v>
      </c>
      <c r="C2054" t="s">
        <v>1631</v>
      </c>
      <c r="D2054" t="s">
        <v>246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35">
      <c r="A2055" t="s">
        <v>1632</v>
      </c>
      <c r="B2055" t="s">
        <v>1633</v>
      </c>
      <c r="C2055" t="s">
        <v>590</v>
      </c>
      <c r="D2055" t="s">
        <v>246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35">
      <c r="A2056" t="s">
        <v>1632</v>
      </c>
      <c r="B2056" t="s">
        <v>1633</v>
      </c>
      <c r="C2056" t="s">
        <v>572</v>
      </c>
      <c r="D2056" t="s">
        <v>246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35">
      <c r="A2057" t="s">
        <v>1632</v>
      </c>
      <c r="B2057" t="s">
        <v>1633</v>
      </c>
      <c r="C2057" t="s">
        <v>1173</v>
      </c>
      <c r="D2057" t="s">
        <v>246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35">
      <c r="A2058" t="s">
        <v>1632</v>
      </c>
      <c r="B2058" t="s">
        <v>1633</v>
      </c>
      <c r="C2058" t="s">
        <v>1634</v>
      </c>
      <c r="D2058" t="s">
        <v>246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35">
      <c r="A2059" t="s">
        <v>1632</v>
      </c>
      <c r="B2059" t="s">
        <v>1633</v>
      </c>
      <c r="C2059" t="s">
        <v>1635</v>
      </c>
      <c r="D2059" t="s">
        <v>246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35">
      <c r="A2060" t="s">
        <v>1632</v>
      </c>
      <c r="B2060" t="s">
        <v>1633</v>
      </c>
      <c r="C2060" t="s">
        <v>1636</v>
      </c>
      <c r="D2060" t="s">
        <v>246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35">
      <c r="A2061" t="s">
        <v>1632</v>
      </c>
      <c r="B2061" t="s">
        <v>1633</v>
      </c>
      <c r="C2061" t="s">
        <v>1637</v>
      </c>
      <c r="D2061" t="s">
        <v>246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35">
      <c r="A2062" t="s">
        <v>1632</v>
      </c>
      <c r="B2062" t="s">
        <v>1633</v>
      </c>
      <c r="C2062" t="s">
        <v>576</v>
      </c>
      <c r="D2062" t="s">
        <v>246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35">
      <c r="A2063" t="s">
        <v>1632</v>
      </c>
      <c r="B2063" t="s">
        <v>1633</v>
      </c>
      <c r="C2063" t="s">
        <v>1617</v>
      </c>
      <c r="D2063" t="s">
        <v>246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35">
      <c r="A2064" t="s">
        <v>1632</v>
      </c>
      <c r="B2064" t="s">
        <v>1633</v>
      </c>
      <c r="C2064" t="s">
        <v>1638</v>
      </c>
      <c r="D2064" t="s">
        <v>246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35">
      <c r="A2065" t="s">
        <v>1632</v>
      </c>
      <c r="B2065" t="s">
        <v>1633</v>
      </c>
      <c r="C2065" t="s">
        <v>1639</v>
      </c>
      <c r="D2065" t="s">
        <v>246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35">
      <c r="A2066" t="s">
        <v>1632</v>
      </c>
      <c r="B2066" t="s">
        <v>1633</v>
      </c>
      <c r="C2066" t="s">
        <v>1640</v>
      </c>
      <c r="D2066" t="s">
        <v>246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35">
      <c r="A2067" t="s">
        <v>1632</v>
      </c>
      <c r="B2067" t="s">
        <v>1633</v>
      </c>
      <c r="C2067" t="s">
        <v>1641</v>
      </c>
      <c r="D2067" t="s">
        <v>246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35">
      <c r="A2068" t="s">
        <v>1632</v>
      </c>
      <c r="B2068" t="s">
        <v>1633</v>
      </c>
      <c r="C2068" t="s">
        <v>1642</v>
      </c>
      <c r="D2068" t="s">
        <v>246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35">
      <c r="A2069" t="s">
        <v>1632</v>
      </c>
      <c r="B2069" t="s">
        <v>1633</v>
      </c>
      <c r="C2069" t="s">
        <v>1643</v>
      </c>
      <c r="D2069" t="s">
        <v>246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35">
      <c r="A2070" t="s">
        <v>1632</v>
      </c>
      <c r="B2070" t="s">
        <v>1633</v>
      </c>
      <c r="C2070" t="s">
        <v>249</v>
      </c>
      <c r="D2070" t="s">
        <v>246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35">
      <c r="A2071" t="s">
        <v>1632</v>
      </c>
      <c r="B2071" t="s">
        <v>1633</v>
      </c>
      <c r="C2071" t="s">
        <v>1644</v>
      </c>
      <c r="D2071" t="s">
        <v>246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35">
      <c r="A2072" t="s">
        <v>1632</v>
      </c>
      <c r="B2072" t="s">
        <v>1633</v>
      </c>
      <c r="C2072" t="s">
        <v>1645</v>
      </c>
      <c r="D2072" t="s">
        <v>246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35">
      <c r="A2073" t="s">
        <v>1632</v>
      </c>
      <c r="B2073" t="s">
        <v>1633</v>
      </c>
      <c r="C2073" t="s">
        <v>1129</v>
      </c>
      <c r="D2073" t="s">
        <v>246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35">
      <c r="A2074" t="s">
        <v>1632</v>
      </c>
      <c r="B2074" t="s">
        <v>1633</v>
      </c>
      <c r="C2074" t="s">
        <v>1646</v>
      </c>
      <c r="D2074" t="s">
        <v>246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35">
      <c r="A2075" t="s">
        <v>1632</v>
      </c>
      <c r="B2075" t="s">
        <v>1633</v>
      </c>
      <c r="C2075" t="s">
        <v>446</v>
      </c>
      <c r="D2075" t="s">
        <v>246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35">
      <c r="A2076" t="s">
        <v>1632</v>
      </c>
      <c r="B2076" t="s">
        <v>1633</v>
      </c>
      <c r="C2076" t="s">
        <v>876</v>
      </c>
      <c r="D2076" t="s">
        <v>246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35">
      <c r="A2077" t="s">
        <v>1632</v>
      </c>
      <c r="B2077" t="s">
        <v>1633</v>
      </c>
      <c r="C2077" t="s">
        <v>1647</v>
      </c>
      <c r="D2077" t="s">
        <v>246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35">
      <c r="A2078" t="s">
        <v>1632</v>
      </c>
      <c r="B2078" t="s">
        <v>1633</v>
      </c>
      <c r="C2078" t="s">
        <v>1568</v>
      </c>
      <c r="D2078" t="s">
        <v>246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35">
      <c r="A2079" t="s">
        <v>1632</v>
      </c>
      <c r="B2079" t="s">
        <v>1633</v>
      </c>
      <c r="C2079" t="s">
        <v>529</v>
      </c>
      <c r="D2079" t="s">
        <v>246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35">
      <c r="A2080" t="s">
        <v>1632</v>
      </c>
      <c r="B2080" t="s">
        <v>1633</v>
      </c>
      <c r="C2080" t="s">
        <v>256</v>
      </c>
      <c r="D2080" t="s">
        <v>246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35">
      <c r="A2081" t="s">
        <v>1632</v>
      </c>
      <c r="B2081" t="s">
        <v>1633</v>
      </c>
      <c r="C2081" t="s">
        <v>579</v>
      </c>
      <c r="D2081" t="s">
        <v>246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35">
      <c r="A2082" t="s">
        <v>1632</v>
      </c>
      <c r="B2082" t="s">
        <v>1633</v>
      </c>
      <c r="C2082" t="s">
        <v>1431</v>
      </c>
      <c r="D2082" t="s">
        <v>246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35">
      <c r="A2083" t="s">
        <v>1632</v>
      </c>
      <c r="B2083" t="s">
        <v>1633</v>
      </c>
      <c r="C2083" t="s">
        <v>719</v>
      </c>
      <c r="D2083" t="s">
        <v>246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35">
      <c r="A2084" t="s">
        <v>1632</v>
      </c>
      <c r="B2084" t="s">
        <v>1633</v>
      </c>
      <c r="C2084" t="s">
        <v>580</v>
      </c>
      <c r="D2084" t="s">
        <v>246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35">
      <c r="A2085" t="s">
        <v>1632</v>
      </c>
      <c r="B2085" t="s">
        <v>1633</v>
      </c>
      <c r="C2085" t="s">
        <v>1648</v>
      </c>
      <c r="D2085" t="s">
        <v>246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35">
      <c r="A2086" t="s">
        <v>1632</v>
      </c>
      <c r="B2086" t="s">
        <v>1633</v>
      </c>
      <c r="C2086" t="s">
        <v>1649</v>
      </c>
      <c r="D2086" t="s">
        <v>246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35">
      <c r="A2087" t="s">
        <v>1632</v>
      </c>
      <c r="B2087" t="s">
        <v>1633</v>
      </c>
      <c r="C2087" t="s">
        <v>1650</v>
      </c>
      <c r="D2087" t="s">
        <v>246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35">
      <c r="A2088" t="s">
        <v>1632</v>
      </c>
      <c r="B2088" t="s">
        <v>1633</v>
      </c>
      <c r="C2088" t="s">
        <v>271</v>
      </c>
      <c r="D2088" t="s">
        <v>246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35">
      <c r="A2089" t="s">
        <v>1632</v>
      </c>
      <c r="B2089" t="s">
        <v>1633</v>
      </c>
      <c r="C2089" t="s">
        <v>1651</v>
      </c>
      <c r="D2089" t="s">
        <v>246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35">
      <c r="A2090" t="s">
        <v>1632</v>
      </c>
      <c r="B2090" t="s">
        <v>1633</v>
      </c>
      <c r="C2090" t="s">
        <v>473</v>
      </c>
      <c r="D2090" t="s">
        <v>246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35">
      <c r="A2091" t="s">
        <v>1632</v>
      </c>
      <c r="B2091" t="s">
        <v>1633</v>
      </c>
      <c r="C2091" t="s">
        <v>272</v>
      </c>
      <c r="D2091" t="s">
        <v>246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35">
      <c r="A2092" t="s">
        <v>1632</v>
      </c>
      <c r="B2092" t="s">
        <v>1633</v>
      </c>
      <c r="C2092" t="s">
        <v>313</v>
      </c>
      <c r="D2092" t="s">
        <v>246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35">
      <c r="A2093" t="s">
        <v>1632</v>
      </c>
      <c r="B2093" t="s">
        <v>1633</v>
      </c>
      <c r="C2093" t="s">
        <v>884</v>
      </c>
      <c r="D2093" t="s">
        <v>246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35">
      <c r="A2094" t="s">
        <v>1632</v>
      </c>
      <c r="B2094" t="s">
        <v>1633</v>
      </c>
      <c r="C2094" t="s">
        <v>1652</v>
      </c>
      <c r="D2094" t="s">
        <v>246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35">
      <c r="A2095" t="s">
        <v>1632</v>
      </c>
      <c r="B2095" t="s">
        <v>1633</v>
      </c>
      <c r="C2095" t="s">
        <v>315</v>
      </c>
      <c r="D2095" t="s">
        <v>246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35">
      <c r="A2096" t="s">
        <v>1632</v>
      </c>
      <c r="B2096" t="s">
        <v>1633</v>
      </c>
      <c r="C2096" t="s">
        <v>1653</v>
      </c>
      <c r="D2096" t="s">
        <v>246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35">
      <c r="A2097" t="s">
        <v>1632</v>
      </c>
      <c r="B2097" t="s">
        <v>1633</v>
      </c>
      <c r="C2097" t="s">
        <v>1195</v>
      </c>
      <c r="D2097" t="s">
        <v>246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35">
      <c r="A2098" t="s">
        <v>1632</v>
      </c>
      <c r="B2098" t="s">
        <v>1633</v>
      </c>
      <c r="C2098" t="s">
        <v>1654</v>
      </c>
      <c r="D2098" t="s">
        <v>246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35">
      <c r="A2099" t="s">
        <v>1632</v>
      </c>
      <c r="B2099" t="s">
        <v>1633</v>
      </c>
      <c r="C2099" t="s">
        <v>1655</v>
      </c>
      <c r="D2099" t="s">
        <v>246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35">
      <c r="A2100" t="s">
        <v>1632</v>
      </c>
      <c r="B2100" t="s">
        <v>1633</v>
      </c>
      <c r="C2100" t="s">
        <v>609</v>
      </c>
      <c r="D2100" t="s">
        <v>246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35">
      <c r="A2101" t="s">
        <v>1632</v>
      </c>
      <c r="B2101" t="s">
        <v>1633</v>
      </c>
      <c r="C2101" t="s">
        <v>610</v>
      </c>
      <c r="D2101" t="s">
        <v>246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35">
      <c r="A2102" t="s">
        <v>1632</v>
      </c>
      <c r="B2102" t="s">
        <v>1633</v>
      </c>
      <c r="C2102" t="s">
        <v>346</v>
      </c>
      <c r="D2102" t="s">
        <v>246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35">
      <c r="A2103" t="s">
        <v>1632</v>
      </c>
      <c r="B2103" t="s">
        <v>1633</v>
      </c>
      <c r="C2103" t="s">
        <v>496</v>
      </c>
      <c r="D2103" t="s">
        <v>246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35">
      <c r="A2104" t="s">
        <v>1632</v>
      </c>
      <c r="B2104" t="s">
        <v>1633</v>
      </c>
      <c r="C2104" t="s">
        <v>307</v>
      </c>
      <c r="D2104" t="s">
        <v>246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35">
      <c r="A2105" t="s">
        <v>1632</v>
      </c>
      <c r="B2105" t="s">
        <v>1633</v>
      </c>
      <c r="C2105" t="s">
        <v>497</v>
      </c>
      <c r="D2105" t="s">
        <v>246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35">
      <c r="A2106" t="s">
        <v>1632</v>
      </c>
      <c r="B2106" t="s">
        <v>1633</v>
      </c>
      <c r="C2106" t="s">
        <v>498</v>
      </c>
      <c r="D2106" t="s">
        <v>246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35">
      <c r="A2107" t="s">
        <v>1632</v>
      </c>
      <c r="B2107" t="s">
        <v>1633</v>
      </c>
      <c r="C2107" t="s">
        <v>587</v>
      </c>
      <c r="D2107" t="s">
        <v>246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35">
      <c r="A2108" t="s">
        <v>1632</v>
      </c>
      <c r="B2108" t="s">
        <v>1633</v>
      </c>
      <c r="C2108" t="s">
        <v>1656</v>
      </c>
      <c r="D2108" t="s">
        <v>246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35">
      <c r="A2109" t="s">
        <v>1632</v>
      </c>
      <c r="B2109" t="s">
        <v>1633</v>
      </c>
      <c r="C2109" t="s">
        <v>569</v>
      </c>
      <c r="D2109" t="s">
        <v>246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35">
      <c r="A2110" t="s">
        <v>1657</v>
      </c>
      <c r="B2110" t="s">
        <v>1658</v>
      </c>
      <c r="C2110" t="s">
        <v>1659</v>
      </c>
      <c r="D2110" t="s">
        <v>242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35">
      <c r="A2111" t="s">
        <v>1657</v>
      </c>
      <c r="B2111" t="s">
        <v>1658</v>
      </c>
      <c r="C2111" t="s">
        <v>572</v>
      </c>
      <c r="D2111" t="s">
        <v>242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35">
      <c r="A2112" t="s">
        <v>1657</v>
      </c>
      <c r="B2112" t="s">
        <v>1658</v>
      </c>
      <c r="C2112" t="s">
        <v>1660</v>
      </c>
      <c r="D2112" t="s">
        <v>242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35">
      <c r="A2113" t="s">
        <v>1657</v>
      </c>
      <c r="B2113" t="s">
        <v>1658</v>
      </c>
      <c r="C2113" t="s">
        <v>1661</v>
      </c>
      <c r="D2113" t="s">
        <v>242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35">
      <c r="A2114" t="s">
        <v>1657</v>
      </c>
      <c r="B2114" t="s">
        <v>1658</v>
      </c>
      <c r="C2114" t="s">
        <v>1662</v>
      </c>
      <c r="D2114" t="s">
        <v>242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35">
      <c r="A2115" t="s">
        <v>1657</v>
      </c>
      <c r="B2115" t="s">
        <v>1658</v>
      </c>
      <c r="C2115" t="s">
        <v>1663</v>
      </c>
      <c r="D2115" t="s">
        <v>242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35">
      <c r="A2116" t="s">
        <v>1657</v>
      </c>
      <c r="B2116" t="s">
        <v>1658</v>
      </c>
      <c r="C2116" t="s">
        <v>1664</v>
      </c>
      <c r="D2116" t="s">
        <v>483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35">
      <c r="A2117" t="s">
        <v>1657</v>
      </c>
      <c r="B2117" t="s">
        <v>1658</v>
      </c>
      <c r="C2117" t="s">
        <v>1665</v>
      </c>
      <c r="D2117" t="s">
        <v>483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35">
      <c r="A2118" t="s">
        <v>1657</v>
      </c>
      <c r="B2118" t="s">
        <v>1658</v>
      </c>
      <c r="C2118" t="s">
        <v>1064</v>
      </c>
      <c r="D2118" t="s">
        <v>483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35">
      <c r="A2119" t="s">
        <v>1657</v>
      </c>
      <c r="B2119" t="s">
        <v>1658</v>
      </c>
      <c r="C2119" t="s">
        <v>1666</v>
      </c>
      <c r="D2119" t="s">
        <v>242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35">
      <c r="A2120" t="s">
        <v>1657</v>
      </c>
      <c r="B2120" t="s">
        <v>1658</v>
      </c>
      <c r="C2120" t="s">
        <v>1644</v>
      </c>
      <c r="D2120" t="s">
        <v>483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35">
      <c r="A2121" t="s">
        <v>1657</v>
      </c>
      <c r="B2121" t="s">
        <v>1658</v>
      </c>
      <c r="C2121" t="s">
        <v>1097</v>
      </c>
      <c r="D2121" t="s">
        <v>242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35">
      <c r="A2122" t="s">
        <v>1657</v>
      </c>
      <c r="B2122" t="s">
        <v>1658</v>
      </c>
      <c r="C2122" t="s">
        <v>1667</v>
      </c>
      <c r="D2122" t="s">
        <v>483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35">
      <c r="A2123" t="s">
        <v>1657</v>
      </c>
      <c r="B2123" t="s">
        <v>1658</v>
      </c>
      <c r="C2123" t="s">
        <v>1668</v>
      </c>
      <c r="D2123" t="s">
        <v>483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35">
      <c r="A2124" t="s">
        <v>1657</v>
      </c>
      <c r="B2124" t="s">
        <v>1658</v>
      </c>
      <c r="C2124" t="s">
        <v>1669</v>
      </c>
      <c r="D2124" t="s">
        <v>483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35">
      <c r="A2125" t="s">
        <v>1657</v>
      </c>
      <c r="B2125" t="s">
        <v>1658</v>
      </c>
      <c r="C2125" t="s">
        <v>1670</v>
      </c>
      <c r="D2125" t="s">
        <v>483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35">
      <c r="A2126" t="s">
        <v>1657</v>
      </c>
      <c r="B2126" t="s">
        <v>1658</v>
      </c>
      <c r="C2126" t="s">
        <v>1671</v>
      </c>
      <c r="D2126" t="s">
        <v>242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35">
      <c r="A2127" t="s">
        <v>1657</v>
      </c>
      <c r="B2127" t="s">
        <v>1658</v>
      </c>
      <c r="C2127" t="s">
        <v>1672</v>
      </c>
      <c r="D2127" t="s">
        <v>246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35">
      <c r="A2128" t="s">
        <v>1657</v>
      </c>
      <c r="B2128" t="s">
        <v>1658</v>
      </c>
      <c r="C2128" t="s">
        <v>1673</v>
      </c>
      <c r="D2128" t="s">
        <v>242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35">
      <c r="A2129" t="s">
        <v>1657</v>
      </c>
      <c r="B2129" t="s">
        <v>1658</v>
      </c>
      <c r="C2129" t="s">
        <v>1674</v>
      </c>
      <c r="D2129" t="s">
        <v>242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35">
      <c r="A2130" t="s">
        <v>1657</v>
      </c>
      <c r="B2130" t="s">
        <v>1658</v>
      </c>
      <c r="C2130" t="s">
        <v>272</v>
      </c>
      <c r="D2130" t="s">
        <v>483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35">
      <c r="A2131" t="s">
        <v>1657</v>
      </c>
      <c r="B2131" t="s">
        <v>1658</v>
      </c>
      <c r="C2131" t="s">
        <v>315</v>
      </c>
      <c r="D2131" t="s">
        <v>483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35">
      <c r="A2132" t="s">
        <v>1657</v>
      </c>
      <c r="B2132" t="s">
        <v>1658</v>
      </c>
      <c r="C2132" t="s">
        <v>1675</v>
      </c>
      <c r="D2132" t="s">
        <v>242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35">
      <c r="A2133" t="s">
        <v>1657</v>
      </c>
      <c r="B2133" t="s">
        <v>1658</v>
      </c>
      <c r="C2133" t="s">
        <v>1676</v>
      </c>
      <c r="D2133" t="s">
        <v>242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35">
      <c r="A2134" t="s">
        <v>1657</v>
      </c>
      <c r="B2134" t="s">
        <v>1658</v>
      </c>
      <c r="C2134" t="s">
        <v>278</v>
      </c>
      <c r="D2134" t="s">
        <v>483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35">
      <c r="A2135" t="s">
        <v>1657</v>
      </c>
      <c r="B2135" t="s">
        <v>1658</v>
      </c>
      <c r="C2135" t="s">
        <v>279</v>
      </c>
      <c r="D2135" t="s">
        <v>242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35">
      <c r="A2136" t="s">
        <v>1657</v>
      </c>
      <c r="B2136" t="s">
        <v>1658</v>
      </c>
      <c r="C2136" t="s">
        <v>816</v>
      </c>
      <c r="D2136" t="s">
        <v>242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35">
      <c r="A2137" t="s">
        <v>1657</v>
      </c>
      <c r="B2137" t="s">
        <v>1658</v>
      </c>
      <c r="C2137" t="s">
        <v>1224</v>
      </c>
      <c r="D2137" t="s">
        <v>483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35">
      <c r="A2138" t="s">
        <v>1657</v>
      </c>
      <c r="B2138" t="s">
        <v>1658</v>
      </c>
      <c r="C2138" t="s">
        <v>322</v>
      </c>
      <c r="D2138" t="s">
        <v>242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35">
      <c r="A2139" t="s">
        <v>1657</v>
      </c>
      <c r="B2139" t="s">
        <v>1658</v>
      </c>
      <c r="C2139" t="s">
        <v>1677</v>
      </c>
      <c r="D2139" t="s">
        <v>242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35">
      <c r="A2140" t="s">
        <v>1657</v>
      </c>
      <c r="B2140" t="s">
        <v>1658</v>
      </c>
      <c r="C2140" t="s">
        <v>323</v>
      </c>
      <c r="D2140" t="s">
        <v>483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35">
      <c r="A2141" t="s">
        <v>1657</v>
      </c>
      <c r="B2141" t="s">
        <v>1658</v>
      </c>
      <c r="C2141" t="s">
        <v>683</v>
      </c>
      <c r="D2141" t="s">
        <v>242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35">
      <c r="A2142" t="s">
        <v>1657</v>
      </c>
      <c r="B2142" t="s">
        <v>1658</v>
      </c>
      <c r="C2142" t="s">
        <v>287</v>
      </c>
      <c r="D2142" t="s">
        <v>483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35">
      <c r="A2143" t="s">
        <v>1657</v>
      </c>
      <c r="B2143" t="s">
        <v>1658</v>
      </c>
      <c r="C2143" t="s">
        <v>1678</v>
      </c>
      <c r="D2143" t="s">
        <v>246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35">
      <c r="A2144" t="s">
        <v>1657</v>
      </c>
      <c r="B2144" t="s">
        <v>1658</v>
      </c>
      <c r="C2144" t="s">
        <v>1679</v>
      </c>
      <c r="D2144" t="s">
        <v>483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35">
      <c r="A2145" t="s">
        <v>1657</v>
      </c>
      <c r="B2145" t="s">
        <v>1658</v>
      </c>
      <c r="C2145" t="s">
        <v>966</v>
      </c>
      <c r="D2145" t="s">
        <v>242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35">
      <c r="A2146" t="s">
        <v>1657</v>
      </c>
      <c r="B2146" t="s">
        <v>1658</v>
      </c>
      <c r="C2146" t="s">
        <v>331</v>
      </c>
      <c r="D2146" t="s">
        <v>483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35">
      <c r="A2147" t="s">
        <v>1657</v>
      </c>
      <c r="B2147" t="s">
        <v>1658</v>
      </c>
      <c r="C2147" t="s">
        <v>1680</v>
      </c>
      <c r="D2147" t="s">
        <v>242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35">
      <c r="A2148" t="s">
        <v>1657</v>
      </c>
      <c r="B2148" t="s">
        <v>1658</v>
      </c>
      <c r="C2148" t="s">
        <v>1681</v>
      </c>
      <c r="D2148" t="s">
        <v>242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35">
      <c r="A2149" t="s">
        <v>1657</v>
      </c>
      <c r="B2149" t="s">
        <v>1658</v>
      </c>
      <c r="C2149" t="s">
        <v>1682</v>
      </c>
      <c r="D2149" t="s">
        <v>242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35">
      <c r="A2150" t="s">
        <v>1657</v>
      </c>
      <c r="B2150" t="s">
        <v>1658</v>
      </c>
      <c r="C2150" t="s">
        <v>1683</v>
      </c>
      <c r="D2150" t="s">
        <v>483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35">
      <c r="A2151" t="s">
        <v>1657</v>
      </c>
      <c r="B2151" t="s">
        <v>1658</v>
      </c>
      <c r="C2151" t="s">
        <v>556</v>
      </c>
      <c r="D2151" t="s">
        <v>483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35">
      <c r="A2152" t="s">
        <v>1657</v>
      </c>
      <c r="B2152" t="s">
        <v>1658</v>
      </c>
      <c r="C2152" t="s">
        <v>1684</v>
      </c>
      <c r="D2152" t="s">
        <v>483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35">
      <c r="A2153" t="s">
        <v>1657</v>
      </c>
      <c r="B2153" t="s">
        <v>1658</v>
      </c>
      <c r="C2153" t="s">
        <v>1685</v>
      </c>
      <c r="D2153" t="s">
        <v>242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35">
      <c r="A2154" t="s">
        <v>1657</v>
      </c>
      <c r="B2154" t="s">
        <v>1658</v>
      </c>
      <c r="C2154" t="s">
        <v>860</v>
      </c>
      <c r="D2154" t="s">
        <v>242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35">
      <c r="A2155" t="s">
        <v>1657</v>
      </c>
      <c r="B2155" t="s">
        <v>1658</v>
      </c>
      <c r="C2155" t="s">
        <v>1686</v>
      </c>
      <c r="D2155" t="s">
        <v>242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35">
      <c r="A2156" t="s">
        <v>1657</v>
      </c>
      <c r="B2156" t="s">
        <v>1658</v>
      </c>
      <c r="C2156" t="s">
        <v>1687</v>
      </c>
      <c r="D2156" t="s">
        <v>242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35">
      <c r="A2157" t="s">
        <v>1657</v>
      </c>
      <c r="B2157" t="s">
        <v>1658</v>
      </c>
      <c r="C2157" t="s">
        <v>1688</v>
      </c>
      <c r="D2157" t="s">
        <v>242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35">
      <c r="A2158" t="s">
        <v>1657</v>
      </c>
      <c r="B2158" t="s">
        <v>1658</v>
      </c>
      <c r="C2158" t="s">
        <v>1689</v>
      </c>
      <c r="D2158" t="s">
        <v>242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35">
      <c r="A2159" t="s">
        <v>1657</v>
      </c>
      <c r="B2159" t="s">
        <v>1658</v>
      </c>
      <c r="C2159" t="s">
        <v>1690</v>
      </c>
      <c r="D2159" t="s">
        <v>242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35">
      <c r="A2160" t="s">
        <v>1657</v>
      </c>
      <c r="B2160" t="s">
        <v>1658</v>
      </c>
      <c r="C2160" t="s">
        <v>1691</v>
      </c>
      <c r="D2160" t="s">
        <v>242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35">
      <c r="A2161" t="s">
        <v>1657</v>
      </c>
      <c r="B2161" t="s">
        <v>1658</v>
      </c>
      <c r="C2161" t="s">
        <v>1692</v>
      </c>
      <c r="D2161" t="s">
        <v>242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35">
      <c r="A2162" t="s">
        <v>1657</v>
      </c>
      <c r="B2162" t="s">
        <v>1658</v>
      </c>
      <c r="C2162" t="s">
        <v>1693</v>
      </c>
      <c r="D2162" t="s">
        <v>242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35">
      <c r="A2163" t="s">
        <v>1657</v>
      </c>
      <c r="B2163" t="s">
        <v>1658</v>
      </c>
      <c r="C2163" t="s">
        <v>1694</v>
      </c>
      <c r="D2163" t="s">
        <v>483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35">
      <c r="A2164" t="s">
        <v>1657</v>
      </c>
      <c r="B2164" t="s">
        <v>1658</v>
      </c>
      <c r="C2164" t="s">
        <v>1695</v>
      </c>
      <c r="D2164" t="s">
        <v>242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35">
      <c r="A2165" t="s">
        <v>1657</v>
      </c>
      <c r="B2165" t="s">
        <v>1658</v>
      </c>
      <c r="C2165" t="s">
        <v>346</v>
      </c>
      <c r="D2165" t="s">
        <v>483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35">
      <c r="A2166" t="s">
        <v>1657</v>
      </c>
      <c r="B2166" t="s">
        <v>1658</v>
      </c>
      <c r="C2166" t="s">
        <v>563</v>
      </c>
      <c r="D2166" t="s">
        <v>242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35">
      <c r="A2167" t="s">
        <v>1696</v>
      </c>
      <c r="B2167" t="s">
        <v>1697</v>
      </c>
      <c r="C2167" t="s">
        <v>1698</v>
      </c>
      <c r="D2167" t="s">
        <v>227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35">
      <c r="A2168" t="s">
        <v>1696</v>
      </c>
      <c r="B2168" t="s">
        <v>1697</v>
      </c>
      <c r="C2168" t="s">
        <v>1699</v>
      </c>
      <c r="D2168" t="s">
        <v>227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35">
      <c r="A2169" t="s">
        <v>1696</v>
      </c>
      <c r="B2169" t="s">
        <v>1697</v>
      </c>
      <c r="C2169" t="s">
        <v>1700</v>
      </c>
      <c r="D2169" t="s">
        <v>228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35">
      <c r="A2170" t="s">
        <v>1696</v>
      </c>
      <c r="B2170" t="s">
        <v>1697</v>
      </c>
      <c r="C2170" t="s">
        <v>846</v>
      </c>
      <c r="D2170" t="s">
        <v>227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35">
      <c r="A2171" t="s">
        <v>1696</v>
      </c>
      <c r="B2171" t="s">
        <v>1697</v>
      </c>
      <c r="C2171" t="s">
        <v>427</v>
      </c>
      <c r="D2171" t="s">
        <v>227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35">
      <c r="A2172" t="s">
        <v>1696</v>
      </c>
      <c r="B2172" t="s">
        <v>1697</v>
      </c>
      <c r="C2172" t="s">
        <v>1701</v>
      </c>
      <c r="D2172" t="s">
        <v>227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35">
      <c r="A2173" t="s">
        <v>1696</v>
      </c>
      <c r="B2173" t="s">
        <v>1697</v>
      </c>
      <c r="C2173" t="s">
        <v>436</v>
      </c>
      <c r="D2173" t="s">
        <v>227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35">
      <c r="A2174" t="s">
        <v>1696</v>
      </c>
      <c r="B2174" t="s">
        <v>1697</v>
      </c>
      <c r="C2174" t="s">
        <v>1702</v>
      </c>
      <c r="D2174" t="s">
        <v>227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35">
      <c r="A2175" t="s">
        <v>1696</v>
      </c>
      <c r="B2175" t="s">
        <v>1697</v>
      </c>
      <c r="C2175" t="s">
        <v>250</v>
      </c>
      <c r="D2175" t="s">
        <v>227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35">
      <c r="A2176" t="s">
        <v>1696</v>
      </c>
      <c r="B2176" t="s">
        <v>1697</v>
      </c>
      <c r="C2176" t="s">
        <v>578</v>
      </c>
      <c r="D2176" t="s">
        <v>227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35">
      <c r="A2177" t="s">
        <v>1696</v>
      </c>
      <c r="B2177" t="s">
        <v>1697</v>
      </c>
      <c r="C2177" t="s">
        <v>1703</v>
      </c>
      <c r="D2177" t="s">
        <v>227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35">
      <c r="A2178" t="s">
        <v>1696</v>
      </c>
      <c r="B2178" t="s">
        <v>1697</v>
      </c>
      <c r="C2178" t="s">
        <v>1704</v>
      </c>
      <c r="D2178" t="s">
        <v>227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35">
      <c r="A2179" t="s">
        <v>1696</v>
      </c>
      <c r="B2179" t="s">
        <v>1697</v>
      </c>
      <c r="C2179" t="s">
        <v>787</v>
      </c>
      <c r="D2179" t="s">
        <v>228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35">
      <c r="A2180" t="s">
        <v>1696</v>
      </c>
      <c r="B2180" t="s">
        <v>1697</v>
      </c>
      <c r="C2180" t="s">
        <v>1705</v>
      </c>
      <c r="D2180" t="s">
        <v>227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35">
      <c r="A2181" t="s">
        <v>1696</v>
      </c>
      <c r="B2181" t="s">
        <v>1697</v>
      </c>
      <c r="C2181" t="s">
        <v>579</v>
      </c>
      <c r="D2181" t="s">
        <v>227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35">
      <c r="A2182" t="s">
        <v>1696</v>
      </c>
      <c r="B2182" t="s">
        <v>1697</v>
      </c>
      <c r="C2182" t="s">
        <v>459</v>
      </c>
      <c r="D2182" t="s">
        <v>227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35">
      <c r="A2183" t="s">
        <v>1696</v>
      </c>
      <c r="B2183" t="s">
        <v>1697</v>
      </c>
      <c r="C2183" t="s">
        <v>1490</v>
      </c>
      <c r="D2183" t="s">
        <v>227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35">
      <c r="A2184" t="s">
        <v>1696</v>
      </c>
      <c r="B2184" t="s">
        <v>1697</v>
      </c>
      <c r="C2184" t="s">
        <v>603</v>
      </c>
      <c r="D2184" t="s">
        <v>227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35">
      <c r="A2185" t="s">
        <v>1696</v>
      </c>
      <c r="B2185" t="s">
        <v>1697</v>
      </c>
      <c r="C2185" t="s">
        <v>1706</v>
      </c>
      <c r="D2185" t="s">
        <v>227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35">
      <c r="A2186" t="s">
        <v>1696</v>
      </c>
      <c r="B2186" t="s">
        <v>1697</v>
      </c>
      <c r="C2186" t="s">
        <v>605</v>
      </c>
      <c r="D2186" t="s">
        <v>227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35">
      <c r="A2187" t="s">
        <v>1696</v>
      </c>
      <c r="B2187" t="s">
        <v>1697</v>
      </c>
      <c r="C2187" t="s">
        <v>956</v>
      </c>
      <c r="D2187" t="s">
        <v>227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35">
      <c r="A2188" t="s">
        <v>1696</v>
      </c>
      <c r="B2188" t="s">
        <v>1697</v>
      </c>
      <c r="C2188" t="s">
        <v>1707</v>
      </c>
      <c r="D2188" t="s">
        <v>227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35">
      <c r="A2189" t="s">
        <v>1696</v>
      </c>
      <c r="B2189" t="s">
        <v>1697</v>
      </c>
      <c r="C2189" t="s">
        <v>1708</v>
      </c>
      <c r="D2189" t="s">
        <v>228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35">
      <c r="A2190" t="s">
        <v>1696</v>
      </c>
      <c r="B2190" t="s">
        <v>1697</v>
      </c>
      <c r="C2190" t="s">
        <v>1709</v>
      </c>
      <c r="D2190" t="s">
        <v>227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35">
      <c r="A2191" t="s">
        <v>1696</v>
      </c>
      <c r="B2191" t="s">
        <v>1697</v>
      </c>
      <c r="C2191" t="s">
        <v>1710</v>
      </c>
      <c r="D2191" t="s">
        <v>227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35">
      <c r="A2192" t="s">
        <v>1696</v>
      </c>
      <c r="B2192" t="s">
        <v>1697</v>
      </c>
      <c r="C2192" t="s">
        <v>1711</v>
      </c>
      <c r="D2192" t="s">
        <v>227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35">
      <c r="A2193" t="s">
        <v>1696</v>
      </c>
      <c r="B2193" t="s">
        <v>1697</v>
      </c>
      <c r="C2193" t="s">
        <v>1712</v>
      </c>
      <c r="D2193" t="s">
        <v>228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35">
      <c r="A2194" t="s">
        <v>1696</v>
      </c>
      <c r="B2194" t="s">
        <v>1697</v>
      </c>
      <c r="C2194" t="s">
        <v>1034</v>
      </c>
      <c r="D2194" t="s">
        <v>227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35">
      <c r="A2195" t="s">
        <v>1696</v>
      </c>
      <c r="B2195" t="s">
        <v>1697</v>
      </c>
      <c r="C2195" t="s">
        <v>1713</v>
      </c>
      <c r="D2195" t="s">
        <v>227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35">
      <c r="A2196" t="s">
        <v>1696</v>
      </c>
      <c r="B2196" t="s">
        <v>1697</v>
      </c>
      <c r="C2196" t="s">
        <v>1714</v>
      </c>
      <c r="D2196" t="s">
        <v>227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35">
      <c r="A2197" t="s">
        <v>1696</v>
      </c>
      <c r="B2197" t="s">
        <v>1697</v>
      </c>
      <c r="C2197" t="s">
        <v>1715</v>
      </c>
      <c r="D2197" t="s">
        <v>227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35">
      <c r="A2198" t="s">
        <v>1696</v>
      </c>
      <c r="B2198" t="s">
        <v>1697</v>
      </c>
      <c r="C2198" t="s">
        <v>1270</v>
      </c>
      <c r="D2198" t="s">
        <v>228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35">
      <c r="A2199" t="s">
        <v>1696</v>
      </c>
      <c r="B2199" t="s">
        <v>1697</v>
      </c>
      <c r="C2199" t="s">
        <v>1716</v>
      </c>
      <c r="D2199" t="s">
        <v>227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35">
      <c r="A2200" t="s">
        <v>1696</v>
      </c>
      <c r="B2200" t="s">
        <v>1697</v>
      </c>
      <c r="C2200" t="s">
        <v>278</v>
      </c>
      <c r="D2200" t="s">
        <v>227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35">
      <c r="A2201" t="s">
        <v>1696</v>
      </c>
      <c r="B2201" t="s">
        <v>1697</v>
      </c>
      <c r="C2201" t="s">
        <v>1717</v>
      </c>
      <c r="D2201" t="s">
        <v>227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35">
      <c r="A2202" t="s">
        <v>1696</v>
      </c>
      <c r="B2202" t="s">
        <v>1697</v>
      </c>
      <c r="C2202" t="s">
        <v>1718</v>
      </c>
      <c r="D2202" t="s">
        <v>227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35">
      <c r="A2203" t="s">
        <v>1696</v>
      </c>
      <c r="B2203" t="s">
        <v>1697</v>
      </c>
      <c r="C2203" t="s">
        <v>419</v>
      </c>
      <c r="D2203" t="s">
        <v>227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35">
      <c r="A2204" t="s">
        <v>1696</v>
      </c>
      <c r="B2204" t="s">
        <v>1697</v>
      </c>
      <c r="C2204" t="s">
        <v>1719</v>
      </c>
      <c r="D2204" t="s">
        <v>228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35">
      <c r="A2205" t="s">
        <v>1696</v>
      </c>
      <c r="B2205" t="s">
        <v>1697</v>
      </c>
      <c r="C2205" t="s">
        <v>382</v>
      </c>
      <c r="D2205" t="s">
        <v>227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35">
      <c r="A2206" t="s">
        <v>1696</v>
      </c>
      <c r="B2206" t="s">
        <v>1697</v>
      </c>
      <c r="C2206" t="s">
        <v>1720</v>
      </c>
      <c r="D2206" t="s">
        <v>227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35">
      <c r="A2207" t="s">
        <v>1696</v>
      </c>
      <c r="B2207" t="s">
        <v>1697</v>
      </c>
      <c r="C2207" t="s">
        <v>1721</v>
      </c>
      <c r="D2207" t="s">
        <v>227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35">
      <c r="A2208" t="s">
        <v>1696</v>
      </c>
      <c r="B2208" t="s">
        <v>1697</v>
      </c>
      <c r="C2208" t="s">
        <v>1722</v>
      </c>
      <c r="D2208" t="s">
        <v>227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35">
      <c r="A2209" t="s">
        <v>1696</v>
      </c>
      <c r="B2209" t="s">
        <v>1697</v>
      </c>
      <c r="C2209" t="s">
        <v>683</v>
      </c>
      <c r="D2209" t="s">
        <v>227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35">
      <c r="A2210" t="s">
        <v>1696</v>
      </c>
      <c r="B2210" t="s">
        <v>1697</v>
      </c>
      <c r="C2210" t="s">
        <v>1723</v>
      </c>
      <c r="D2210" t="s">
        <v>228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35">
      <c r="A2211" t="s">
        <v>1696</v>
      </c>
      <c r="B2211" t="s">
        <v>1697</v>
      </c>
      <c r="C2211" t="s">
        <v>1724</v>
      </c>
      <c r="D2211" t="s">
        <v>228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35">
      <c r="A2212" t="s">
        <v>1696</v>
      </c>
      <c r="B2212" t="s">
        <v>1697</v>
      </c>
      <c r="C2212" t="s">
        <v>1725</v>
      </c>
      <c r="D2212" t="s">
        <v>227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35">
      <c r="A2213" t="s">
        <v>1696</v>
      </c>
      <c r="B2213" t="s">
        <v>1697</v>
      </c>
      <c r="C2213" t="s">
        <v>1726</v>
      </c>
      <c r="D2213" t="s">
        <v>227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35">
      <c r="A2214" t="s">
        <v>1696</v>
      </c>
      <c r="B2214" t="s">
        <v>1697</v>
      </c>
      <c r="C2214" t="s">
        <v>1727</v>
      </c>
      <c r="D2214" t="s">
        <v>227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35">
      <c r="A2215" t="s">
        <v>1696</v>
      </c>
      <c r="B2215" t="s">
        <v>1697</v>
      </c>
      <c r="C2215" t="s">
        <v>544</v>
      </c>
      <c r="D2215" t="s">
        <v>227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35">
      <c r="A2216" t="s">
        <v>1696</v>
      </c>
      <c r="B2216" t="s">
        <v>1697</v>
      </c>
      <c r="C2216" t="s">
        <v>1728</v>
      </c>
      <c r="D2216" t="s">
        <v>227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35">
      <c r="A2217" t="s">
        <v>1696</v>
      </c>
      <c r="B2217" t="s">
        <v>1697</v>
      </c>
      <c r="C2217" t="s">
        <v>1729</v>
      </c>
      <c r="D2217" t="s">
        <v>227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35">
      <c r="A2218" t="s">
        <v>1696</v>
      </c>
      <c r="B2218" t="s">
        <v>1697</v>
      </c>
      <c r="C2218" t="s">
        <v>1730</v>
      </c>
      <c r="D2218" t="s">
        <v>227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35">
      <c r="A2219" t="s">
        <v>1696</v>
      </c>
      <c r="B2219" t="s">
        <v>1697</v>
      </c>
      <c r="C2219" t="s">
        <v>1731</v>
      </c>
      <c r="D2219" t="s">
        <v>227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35">
      <c r="A2220" t="s">
        <v>1696</v>
      </c>
      <c r="B2220" t="s">
        <v>1697</v>
      </c>
      <c r="C2220" t="s">
        <v>292</v>
      </c>
      <c r="D2220" t="s">
        <v>227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35">
      <c r="A2221" t="s">
        <v>1696</v>
      </c>
      <c r="B2221" t="s">
        <v>1697</v>
      </c>
      <c r="C2221" t="s">
        <v>1732</v>
      </c>
      <c r="D2221" t="s">
        <v>227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35">
      <c r="A2222" t="s">
        <v>1696</v>
      </c>
      <c r="B2222" t="s">
        <v>1697</v>
      </c>
      <c r="C2222" t="s">
        <v>1733</v>
      </c>
      <c r="D2222" t="s">
        <v>227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35">
      <c r="A2223" t="s">
        <v>1696</v>
      </c>
      <c r="B2223" t="s">
        <v>1697</v>
      </c>
      <c r="C2223" t="s">
        <v>1734</v>
      </c>
      <c r="D2223" t="s">
        <v>227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35">
      <c r="A2224" t="s">
        <v>1696</v>
      </c>
      <c r="B2224" t="s">
        <v>1697</v>
      </c>
      <c r="C2224" t="s">
        <v>1735</v>
      </c>
      <c r="D2224" t="s">
        <v>227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35">
      <c r="A2225" t="s">
        <v>1696</v>
      </c>
      <c r="B2225" t="s">
        <v>1697</v>
      </c>
      <c r="C2225" t="s">
        <v>1736</v>
      </c>
      <c r="D2225" t="s">
        <v>227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35">
      <c r="A2226" t="s">
        <v>1696</v>
      </c>
      <c r="B2226" t="s">
        <v>1697</v>
      </c>
      <c r="C2226" t="s">
        <v>1737</v>
      </c>
      <c r="D2226" t="s">
        <v>227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35">
      <c r="A2227" t="s">
        <v>1696</v>
      </c>
      <c r="B2227" t="s">
        <v>1697</v>
      </c>
      <c r="C2227" t="s">
        <v>1738</v>
      </c>
      <c r="D2227" t="s">
        <v>227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35">
      <c r="A2228" t="s">
        <v>1696</v>
      </c>
      <c r="B2228" t="s">
        <v>1697</v>
      </c>
      <c r="C2228" t="s">
        <v>1739</v>
      </c>
      <c r="D2228" t="s">
        <v>228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35">
      <c r="A2229" t="s">
        <v>1696</v>
      </c>
      <c r="B2229" t="s">
        <v>1697</v>
      </c>
      <c r="C2229" t="s">
        <v>1518</v>
      </c>
      <c r="D2229" t="s">
        <v>227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35">
      <c r="A2230" t="s">
        <v>1696</v>
      </c>
      <c r="B2230" t="s">
        <v>1697</v>
      </c>
      <c r="C2230" t="s">
        <v>1740</v>
      </c>
      <c r="D2230" t="s">
        <v>227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35">
      <c r="A2231" t="s">
        <v>1696</v>
      </c>
      <c r="B2231" t="s">
        <v>1697</v>
      </c>
      <c r="C2231" t="s">
        <v>968</v>
      </c>
      <c r="D2231" t="s">
        <v>227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35">
      <c r="A2232" t="s">
        <v>1741</v>
      </c>
      <c r="B2232" t="s">
        <v>1742</v>
      </c>
      <c r="C2232" t="s">
        <v>1743</v>
      </c>
      <c r="D2232" t="s">
        <v>227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35">
      <c r="A2233" t="s">
        <v>1741</v>
      </c>
      <c r="B2233" t="s">
        <v>1742</v>
      </c>
      <c r="C2233" t="s">
        <v>1744</v>
      </c>
      <c r="D2233" t="s">
        <v>227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35">
      <c r="A2234" t="s">
        <v>1741</v>
      </c>
      <c r="B2234" t="s">
        <v>1742</v>
      </c>
      <c r="C2234" t="s">
        <v>1745</v>
      </c>
      <c r="D2234" t="s">
        <v>228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35">
      <c r="A2235" t="s">
        <v>1741</v>
      </c>
      <c r="B2235" t="s">
        <v>1742</v>
      </c>
      <c r="C2235" t="s">
        <v>1746</v>
      </c>
      <c r="D2235" t="s">
        <v>227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35">
      <c r="A2236" t="s">
        <v>1741</v>
      </c>
      <c r="B2236" t="s">
        <v>1742</v>
      </c>
      <c r="C2236" t="s">
        <v>1747</v>
      </c>
      <c r="D2236" t="s">
        <v>228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35">
      <c r="A2237" t="s">
        <v>1741</v>
      </c>
      <c r="B2237" t="s">
        <v>1742</v>
      </c>
      <c r="C2237" t="s">
        <v>1748</v>
      </c>
      <c r="D2237" t="s">
        <v>228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35">
      <c r="A2238" t="s">
        <v>1741</v>
      </c>
      <c r="B2238" t="s">
        <v>1742</v>
      </c>
      <c r="C2238" t="s">
        <v>1749</v>
      </c>
      <c r="D2238" t="s">
        <v>228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35">
      <c r="A2239" t="s">
        <v>1741</v>
      </c>
      <c r="B2239" t="s">
        <v>1742</v>
      </c>
      <c r="C2239" t="s">
        <v>1750</v>
      </c>
      <c r="D2239" t="s">
        <v>227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35">
      <c r="A2240" t="s">
        <v>1741</v>
      </c>
      <c r="B2240" t="s">
        <v>1742</v>
      </c>
      <c r="C2240" t="s">
        <v>334</v>
      </c>
      <c r="D2240" t="s">
        <v>228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35">
      <c r="A2241" t="s">
        <v>1741</v>
      </c>
      <c r="B2241" t="s">
        <v>1742</v>
      </c>
      <c r="C2241" t="s">
        <v>335</v>
      </c>
      <c r="D2241" t="s">
        <v>227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35">
      <c r="A2242" t="s">
        <v>1741</v>
      </c>
      <c r="B2242" t="s">
        <v>1742</v>
      </c>
      <c r="C2242" t="s">
        <v>1751</v>
      </c>
      <c r="D2242" t="s">
        <v>227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35">
      <c r="A2243" t="s">
        <v>1741</v>
      </c>
      <c r="B2243" t="s">
        <v>1742</v>
      </c>
      <c r="C2243" t="s">
        <v>1752</v>
      </c>
      <c r="D2243" t="s">
        <v>228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35">
      <c r="A2244" t="s">
        <v>1741</v>
      </c>
      <c r="B2244" t="s">
        <v>1742</v>
      </c>
      <c r="C2244" t="s">
        <v>1753</v>
      </c>
      <c r="D2244" t="s">
        <v>227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35">
      <c r="A2245" t="s">
        <v>1741</v>
      </c>
      <c r="B2245" t="s">
        <v>1742</v>
      </c>
      <c r="C2245" t="s">
        <v>1754</v>
      </c>
      <c r="D2245" t="s">
        <v>227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35">
      <c r="A2246" t="s">
        <v>1741</v>
      </c>
      <c r="B2246" t="s">
        <v>1742</v>
      </c>
      <c r="C2246" t="s">
        <v>664</v>
      </c>
      <c r="D2246" t="s">
        <v>227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35">
      <c r="A2247" t="s">
        <v>1741</v>
      </c>
      <c r="B2247" t="s">
        <v>1742</v>
      </c>
      <c r="C2247" t="s">
        <v>915</v>
      </c>
      <c r="D2247" t="s">
        <v>227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35">
      <c r="A2248" t="s">
        <v>1741</v>
      </c>
      <c r="B2248" t="s">
        <v>1742</v>
      </c>
      <c r="C2248" t="s">
        <v>1755</v>
      </c>
      <c r="D2248" t="s">
        <v>228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35">
      <c r="A2249" t="s">
        <v>1741</v>
      </c>
      <c r="B2249" t="s">
        <v>1742</v>
      </c>
      <c r="C2249" t="s">
        <v>339</v>
      </c>
      <c r="D2249" t="s">
        <v>227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35">
      <c r="A2250" t="s">
        <v>1741</v>
      </c>
      <c r="B2250" t="s">
        <v>1742</v>
      </c>
      <c r="C2250" t="s">
        <v>1756</v>
      </c>
      <c r="D2250" t="s">
        <v>227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35">
      <c r="A2251" t="s">
        <v>1741</v>
      </c>
      <c r="B2251" t="s">
        <v>1742</v>
      </c>
      <c r="C2251" t="s">
        <v>1757</v>
      </c>
      <c r="D2251" t="s">
        <v>227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35">
      <c r="A2252" t="s">
        <v>1741</v>
      </c>
      <c r="B2252" t="s">
        <v>1742</v>
      </c>
      <c r="C2252" t="s">
        <v>862</v>
      </c>
      <c r="D2252" t="s">
        <v>228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35">
      <c r="A2253" t="s">
        <v>1741</v>
      </c>
      <c r="B2253" t="s">
        <v>1742</v>
      </c>
      <c r="C2253" t="s">
        <v>1758</v>
      </c>
      <c r="D2253" t="s">
        <v>227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35">
      <c r="A2254" t="s">
        <v>1741</v>
      </c>
      <c r="B2254" t="s">
        <v>1742</v>
      </c>
      <c r="C2254" t="s">
        <v>1759</v>
      </c>
      <c r="D2254" t="s">
        <v>227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35">
      <c r="A2255" t="s">
        <v>1741</v>
      </c>
      <c r="B2255" t="s">
        <v>1742</v>
      </c>
      <c r="C2255" t="s">
        <v>1626</v>
      </c>
      <c r="D2255" t="s">
        <v>227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35">
      <c r="A2256" t="s">
        <v>1741</v>
      </c>
      <c r="B2256" t="s">
        <v>1742</v>
      </c>
      <c r="C2256" t="s">
        <v>1760</v>
      </c>
      <c r="D2256" t="s">
        <v>227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35">
      <c r="A2257" t="s">
        <v>1741</v>
      </c>
      <c r="B2257" t="s">
        <v>1742</v>
      </c>
      <c r="C2257" t="s">
        <v>705</v>
      </c>
      <c r="D2257" t="s">
        <v>227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35">
      <c r="A2258" t="s">
        <v>1741</v>
      </c>
      <c r="B2258" t="s">
        <v>1742</v>
      </c>
      <c r="C2258" t="s">
        <v>1761</v>
      </c>
      <c r="D2258" t="s">
        <v>227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35">
      <c r="A2259" t="s">
        <v>1741</v>
      </c>
      <c r="B2259" t="s">
        <v>1742</v>
      </c>
      <c r="C2259" t="s">
        <v>1762</v>
      </c>
      <c r="D2259" t="s">
        <v>227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35">
      <c r="A2260" t="s">
        <v>1741</v>
      </c>
      <c r="B2260" t="s">
        <v>1742</v>
      </c>
      <c r="C2260" t="s">
        <v>1763</v>
      </c>
      <c r="D2260" t="s">
        <v>228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35">
      <c r="A2261" t="s">
        <v>1741</v>
      </c>
      <c r="B2261" t="s">
        <v>1742</v>
      </c>
      <c r="C2261" t="s">
        <v>1764</v>
      </c>
      <c r="D2261" t="s">
        <v>227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35">
      <c r="A2262" t="s">
        <v>1741</v>
      </c>
      <c r="B2262" t="s">
        <v>1742</v>
      </c>
      <c r="C2262" t="s">
        <v>307</v>
      </c>
      <c r="D2262" t="s">
        <v>227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35">
      <c r="A2263" t="s">
        <v>1741</v>
      </c>
      <c r="B2263" t="s">
        <v>1742</v>
      </c>
      <c r="C2263" t="s">
        <v>1765</v>
      </c>
      <c r="D2263" t="s">
        <v>227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35">
      <c r="A2264" t="s">
        <v>1741</v>
      </c>
      <c r="B2264" t="s">
        <v>1742</v>
      </c>
      <c r="C2264" t="s">
        <v>1766</v>
      </c>
      <c r="D2264" t="s">
        <v>228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35">
      <c r="A2265" t="s">
        <v>1741</v>
      </c>
      <c r="B2265" t="s">
        <v>1742</v>
      </c>
      <c r="C2265" t="s">
        <v>1767</v>
      </c>
      <c r="D2265" t="s">
        <v>227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35">
      <c r="A2266" t="s">
        <v>1741</v>
      </c>
      <c r="B2266" t="s">
        <v>1742</v>
      </c>
      <c r="C2266" t="s">
        <v>869</v>
      </c>
      <c r="D2266" t="s">
        <v>227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35">
      <c r="A2267" t="s">
        <v>1741</v>
      </c>
      <c r="B2267" t="s">
        <v>1742</v>
      </c>
      <c r="C2267" t="s">
        <v>1768</v>
      </c>
      <c r="D2267" t="s">
        <v>227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35">
      <c r="A2268" t="s">
        <v>1769</v>
      </c>
      <c r="B2268" t="s">
        <v>328</v>
      </c>
      <c r="C2268" t="s">
        <v>515</v>
      </c>
      <c r="D2268" t="s">
        <v>242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35">
      <c r="A2269" t="s">
        <v>1769</v>
      </c>
      <c r="B2269" t="s">
        <v>328</v>
      </c>
      <c r="C2269" t="s">
        <v>1770</v>
      </c>
      <c r="D2269" t="s">
        <v>246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35">
      <c r="A2270" t="s">
        <v>1769</v>
      </c>
      <c r="B2270" t="s">
        <v>328</v>
      </c>
      <c r="C2270" t="s">
        <v>1771</v>
      </c>
      <c r="D2270" t="s">
        <v>242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35">
      <c r="A2271" t="s">
        <v>1769</v>
      </c>
      <c r="B2271" t="s">
        <v>328</v>
      </c>
      <c r="C2271" t="s">
        <v>1772</v>
      </c>
      <c r="D2271" t="s">
        <v>246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35">
      <c r="A2272" t="s">
        <v>1769</v>
      </c>
      <c r="B2272" t="s">
        <v>328</v>
      </c>
      <c r="C2272" t="s">
        <v>574</v>
      </c>
      <c r="D2272" t="s">
        <v>246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35">
      <c r="A2273" t="s">
        <v>1769</v>
      </c>
      <c r="B2273" t="s">
        <v>328</v>
      </c>
      <c r="C2273" t="s">
        <v>1773</v>
      </c>
      <c r="D2273" t="s">
        <v>246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35">
      <c r="A2274" t="s">
        <v>1769</v>
      </c>
      <c r="B2274" t="s">
        <v>328</v>
      </c>
      <c r="C2274" t="s">
        <v>250</v>
      </c>
      <c r="D2274" t="s">
        <v>246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35">
      <c r="A2275" t="s">
        <v>1769</v>
      </c>
      <c r="B2275" t="s">
        <v>328</v>
      </c>
      <c r="C2275" t="s">
        <v>446</v>
      </c>
      <c r="D2275" t="s">
        <v>246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35">
      <c r="A2276" t="s">
        <v>1769</v>
      </c>
      <c r="B2276" t="s">
        <v>328</v>
      </c>
      <c r="C2276" t="s">
        <v>600</v>
      </c>
      <c r="D2276" t="s">
        <v>246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35">
      <c r="A2277" t="s">
        <v>1769</v>
      </c>
      <c r="B2277" t="s">
        <v>328</v>
      </c>
      <c r="C2277" t="s">
        <v>254</v>
      </c>
      <c r="D2277" t="s">
        <v>246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35">
      <c r="A2278" t="s">
        <v>1769</v>
      </c>
      <c r="B2278" t="s">
        <v>328</v>
      </c>
      <c r="C2278" t="s">
        <v>1668</v>
      </c>
      <c r="D2278" t="s">
        <v>242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35">
      <c r="A2279" t="s">
        <v>1769</v>
      </c>
      <c r="B2279" t="s">
        <v>328</v>
      </c>
      <c r="C2279" t="s">
        <v>255</v>
      </c>
      <c r="D2279" t="s">
        <v>246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35">
      <c r="A2280" t="s">
        <v>1769</v>
      </c>
      <c r="B2280" t="s">
        <v>328</v>
      </c>
      <c r="C2280" t="s">
        <v>256</v>
      </c>
      <c r="D2280" t="s">
        <v>246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35">
      <c r="A2281" t="s">
        <v>1769</v>
      </c>
      <c r="B2281" t="s">
        <v>328</v>
      </c>
      <c r="C2281" t="s">
        <v>1774</v>
      </c>
      <c r="D2281" t="s">
        <v>246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35">
      <c r="A2282" t="s">
        <v>1769</v>
      </c>
      <c r="B2282" t="s">
        <v>328</v>
      </c>
      <c r="C2282" t="s">
        <v>1775</v>
      </c>
      <c r="D2282" t="s">
        <v>242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35">
      <c r="A2283" t="s">
        <v>1769</v>
      </c>
      <c r="B2283" t="s">
        <v>328</v>
      </c>
      <c r="C2283" t="s">
        <v>262</v>
      </c>
      <c r="D2283" t="s">
        <v>242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35">
      <c r="A2284" t="s">
        <v>1769</v>
      </c>
      <c r="B2284" t="s">
        <v>328</v>
      </c>
      <c r="C2284" t="s">
        <v>1498</v>
      </c>
      <c r="D2284" t="s">
        <v>246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35">
      <c r="A2285" t="s">
        <v>1769</v>
      </c>
      <c r="B2285" t="s">
        <v>328</v>
      </c>
      <c r="C2285" t="s">
        <v>1776</v>
      </c>
      <c r="D2285" t="s">
        <v>242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35">
      <c r="A2286" t="s">
        <v>1769</v>
      </c>
      <c r="B2286" t="s">
        <v>328</v>
      </c>
      <c r="C2286" t="s">
        <v>272</v>
      </c>
      <c r="D2286" t="s">
        <v>242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35">
      <c r="A2287" t="s">
        <v>1769</v>
      </c>
      <c r="B2287" t="s">
        <v>328</v>
      </c>
      <c r="C2287" t="s">
        <v>1777</v>
      </c>
      <c r="D2287" t="s">
        <v>242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35">
      <c r="A2288" t="s">
        <v>1769</v>
      </c>
      <c r="B2288" t="s">
        <v>328</v>
      </c>
      <c r="C2288" t="s">
        <v>274</v>
      </c>
      <c r="D2288" t="s">
        <v>242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35">
      <c r="A2289" t="s">
        <v>1769</v>
      </c>
      <c r="B2289" t="s">
        <v>328</v>
      </c>
      <c r="C2289" t="s">
        <v>1778</v>
      </c>
      <c r="D2289" t="s">
        <v>246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35">
      <c r="A2290" t="s">
        <v>1769</v>
      </c>
      <c r="B2290" t="s">
        <v>328</v>
      </c>
      <c r="C2290" t="s">
        <v>609</v>
      </c>
      <c r="D2290" t="s">
        <v>246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35">
      <c r="A2291" t="s">
        <v>1769</v>
      </c>
      <c r="B2291" t="s">
        <v>328</v>
      </c>
      <c r="C2291" t="s">
        <v>611</v>
      </c>
      <c r="D2291" t="s">
        <v>246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35">
      <c r="A2292" t="s">
        <v>1769</v>
      </c>
      <c r="B2292" t="s">
        <v>328</v>
      </c>
      <c r="C2292" t="s">
        <v>1779</v>
      </c>
      <c r="D2292" t="s">
        <v>242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35">
      <c r="A2293" t="s">
        <v>1769</v>
      </c>
      <c r="B2293" t="s">
        <v>328</v>
      </c>
      <c r="C2293" t="s">
        <v>1033</v>
      </c>
      <c r="D2293" t="s">
        <v>246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35">
      <c r="A2294" t="s">
        <v>1769</v>
      </c>
      <c r="B2294" t="s">
        <v>328</v>
      </c>
      <c r="C2294" t="s">
        <v>1154</v>
      </c>
      <c r="D2294" t="s">
        <v>246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35">
      <c r="A2295" t="s">
        <v>1769</v>
      </c>
      <c r="B2295" t="s">
        <v>328</v>
      </c>
      <c r="C2295" t="s">
        <v>1780</v>
      </c>
      <c r="D2295" t="s">
        <v>246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35">
      <c r="A2296" t="s">
        <v>1769</v>
      </c>
      <c r="B2296" t="s">
        <v>328</v>
      </c>
      <c r="C2296" t="s">
        <v>1781</v>
      </c>
      <c r="D2296" t="s">
        <v>246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35">
      <c r="A2297" t="s">
        <v>1782</v>
      </c>
      <c r="B2297" t="s">
        <v>1783</v>
      </c>
      <c r="C2297" t="s">
        <v>1644</v>
      </c>
      <c r="D2297" t="s">
        <v>227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35">
      <c r="A2298" t="s">
        <v>1782</v>
      </c>
      <c r="B2298" t="s">
        <v>1783</v>
      </c>
      <c r="C2298" t="s">
        <v>1784</v>
      </c>
      <c r="D2298" t="s">
        <v>246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35">
      <c r="A2299" t="s">
        <v>1782</v>
      </c>
      <c r="B2299" t="s">
        <v>1783</v>
      </c>
      <c r="C2299" t="s">
        <v>444</v>
      </c>
      <c r="D2299" t="s">
        <v>246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35">
      <c r="A2300" t="s">
        <v>1782</v>
      </c>
      <c r="B2300" t="s">
        <v>1783</v>
      </c>
      <c r="C2300" t="s">
        <v>1785</v>
      </c>
      <c r="D2300" t="s">
        <v>246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35">
      <c r="A2301" t="s">
        <v>1782</v>
      </c>
      <c r="B2301" t="s">
        <v>1783</v>
      </c>
      <c r="C2301" t="s">
        <v>446</v>
      </c>
      <c r="D2301" t="s">
        <v>246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35">
      <c r="A2302" t="s">
        <v>1782</v>
      </c>
      <c r="B2302" t="s">
        <v>1783</v>
      </c>
      <c r="C2302" t="s">
        <v>876</v>
      </c>
      <c r="D2302" t="s">
        <v>246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35">
      <c r="A2303" t="s">
        <v>1782</v>
      </c>
      <c r="B2303" t="s">
        <v>1783</v>
      </c>
      <c r="C2303" t="s">
        <v>578</v>
      </c>
      <c r="D2303" t="s">
        <v>246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35">
      <c r="A2304" t="s">
        <v>1782</v>
      </c>
      <c r="B2304" t="s">
        <v>1783</v>
      </c>
      <c r="C2304" t="s">
        <v>598</v>
      </c>
      <c r="D2304" t="s">
        <v>246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35">
      <c r="A2305" t="s">
        <v>1782</v>
      </c>
      <c r="B2305" t="s">
        <v>1783</v>
      </c>
      <c r="C2305" t="s">
        <v>1786</v>
      </c>
      <c r="D2305" t="s">
        <v>227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35">
      <c r="A2306" t="s">
        <v>1782</v>
      </c>
      <c r="B2306" t="s">
        <v>1783</v>
      </c>
      <c r="C2306" t="s">
        <v>1568</v>
      </c>
      <c r="D2306" t="s">
        <v>246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35">
      <c r="A2307" t="s">
        <v>1782</v>
      </c>
      <c r="B2307" t="s">
        <v>1783</v>
      </c>
      <c r="C2307" t="s">
        <v>529</v>
      </c>
      <c r="D2307" t="s">
        <v>227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35">
      <c r="A2308" t="s">
        <v>1782</v>
      </c>
      <c r="B2308" t="s">
        <v>1783</v>
      </c>
      <c r="C2308" t="s">
        <v>256</v>
      </c>
      <c r="D2308" t="s">
        <v>246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35">
      <c r="A2309" t="s">
        <v>1782</v>
      </c>
      <c r="B2309" t="s">
        <v>1783</v>
      </c>
      <c r="C2309" t="s">
        <v>579</v>
      </c>
      <c r="D2309" t="s">
        <v>227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35">
      <c r="A2310" t="s">
        <v>1782</v>
      </c>
      <c r="B2310" t="s">
        <v>1783</v>
      </c>
      <c r="C2310" t="s">
        <v>1787</v>
      </c>
      <c r="D2310" t="s">
        <v>246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35">
      <c r="A2311" t="s">
        <v>1782</v>
      </c>
      <c r="B2311" t="s">
        <v>1783</v>
      </c>
      <c r="C2311" t="s">
        <v>1788</v>
      </c>
      <c r="D2311" t="s">
        <v>246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35">
      <c r="A2312" t="s">
        <v>1782</v>
      </c>
      <c r="B2312" t="s">
        <v>1783</v>
      </c>
      <c r="C2312" t="s">
        <v>459</v>
      </c>
      <c r="D2312" t="s">
        <v>246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35">
      <c r="A2313" t="s">
        <v>1782</v>
      </c>
      <c r="B2313" t="s">
        <v>1783</v>
      </c>
      <c r="C2313" t="s">
        <v>461</v>
      </c>
      <c r="D2313" t="s">
        <v>246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35">
      <c r="A2314" t="s">
        <v>1782</v>
      </c>
      <c r="B2314" t="s">
        <v>1783</v>
      </c>
      <c r="C2314" t="s">
        <v>266</v>
      </c>
      <c r="D2314" t="s">
        <v>246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35">
      <c r="A2315" t="s">
        <v>1782</v>
      </c>
      <c r="B2315" t="s">
        <v>1783</v>
      </c>
      <c r="C2315" t="s">
        <v>580</v>
      </c>
      <c r="D2315" t="s">
        <v>227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35">
      <c r="A2316" t="s">
        <v>1782</v>
      </c>
      <c r="B2316" t="s">
        <v>1783</v>
      </c>
      <c r="C2316" t="s">
        <v>267</v>
      </c>
      <c r="D2316" t="s">
        <v>227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35">
      <c r="A2317" t="s">
        <v>1782</v>
      </c>
      <c r="B2317" t="s">
        <v>1783</v>
      </c>
      <c r="C2317" t="s">
        <v>1789</v>
      </c>
      <c r="D2317" t="s">
        <v>246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35">
      <c r="A2318" t="s">
        <v>1782</v>
      </c>
      <c r="B2318" t="s">
        <v>1783</v>
      </c>
      <c r="C2318" t="s">
        <v>368</v>
      </c>
      <c r="D2318" t="s">
        <v>246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35">
      <c r="A2319" t="s">
        <v>1782</v>
      </c>
      <c r="B2319" t="s">
        <v>1783</v>
      </c>
      <c r="C2319" t="s">
        <v>1790</v>
      </c>
      <c r="D2319" t="s">
        <v>246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35">
      <c r="A2320" t="s">
        <v>1782</v>
      </c>
      <c r="B2320" t="s">
        <v>1783</v>
      </c>
      <c r="C2320" t="s">
        <v>272</v>
      </c>
      <c r="D2320" t="s">
        <v>246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35">
      <c r="A2321" t="s">
        <v>1782</v>
      </c>
      <c r="B2321" t="s">
        <v>1783</v>
      </c>
      <c r="C2321" t="s">
        <v>1791</v>
      </c>
      <c r="D2321" t="s">
        <v>246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35">
      <c r="A2322" t="s">
        <v>1782</v>
      </c>
      <c r="B2322" t="s">
        <v>1783</v>
      </c>
      <c r="C2322" t="s">
        <v>1792</v>
      </c>
      <c r="D2322" t="s">
        <v>227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35">
      <c r="A2323" t="s">
        <v>1782</v>
      </c>
      <c r="B2323" t="s">
        <v>1783</v>
      </c>
      <c r="C2323" t="s">
        <v>274</v>
      </c>
      <c r="D2323" t="s">
        <v>246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35">
      <c r="A2324" t="s">
        <v>1782</v>
      </c>
      <c r="B2324" t="s">
        <v>1783</v>
      </c>
      <c r="C2324" t="s">
        <v>606</v>
      </c>
      <c r="D2324" t="s">
        <v>227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35">
      <c r="A2325" t="s">
        <v>1782</v>
      </c>
      <c r="B2325" t="s">
        <v>1783</v>
      </c>
      <c r="C2325" t="s">
        <v>611</v>
      </c>
      <c r="D2325" t="s">
        <v>227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35">
      <c r="A2326" t="s">
        <v>1782</v>
      </c>
      <c r="B2326" t="s">
        <v>1783</v>
      </c>
      <c r="C2326" t="s">
        <v>276</v>
      </c>
      <c r="D2326" t="s">
        <v>246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35">
      <c r="A2327" t="s">
        <v>1782</v>
      </c>
      <c r="B2327" t="s">
        <v>1783</v>
      </c>
      <c r="C2327" t="s">
        <v>1793</v>
      </c>
      <c r="D2327" t="s">
        <v>246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35">
      <c r="A2328" t="s">
        <v>1782</v>
      </c>
      <c r="B2328" t="s">
        <v>1783</v>
      </c>
      <c r="C2328" t="s">
        <v>898</v>
      </c>
      <c r="D2328" t="s">
        <v>227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35">
      <c r="A2329" t="s">
        <v>1782</v>
      </c>
      <c r="B2329" t="s">
        <v>1783</v>
      </c>
      <c r="C2329" t="s">
        <v>318</v>
      </c>
      <c r="D2329" t="s">
        <v>246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35">
      <c r="A2330" t="s">
        <v>1782</v>
      </c>
      <c r="B2330" t="s">
        <v>1783</v>
      </c>
      <c r="C2330" t="s">
        <v>1794</v>
      </c>
      <c r="D2330" t="s">
        <v>246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35">
      <c r="A2331" t="s">
        <v>1782</v>
      </c>
      <c r="B2331" t="s">
        <v>1783</v>
      </c>
      <c r="C2331" t="s">
        <v>1270</v>
      </c>
      <c r="D2331" t="s">
        <v>246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35">
      <c r="A2332" t="s">
        <v>1782</v>
      </c>
      <c r="B2332" t="s">
        <v>1783</v>
      </c>
      <c r="C2332" t="s">
        <v>278</v>
      </c>
      <c r="D2332" t="s">
        <v>246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35">
      <c r="A2333" t="s">
        <v>1782</v>
      </c>
      <c r="B2333" t="s">
        <v>1783</v>
      </c>
      <c r="C2333" t="s">
        <v>615</v>
      </c>
      <c r="D2333" t="s">
        <v>246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35">
      <c r="A2334" t="s">
        <v>1782</v>
      </c>
      <c r="B2334" t="s">
        <v>1783</v>
      </c>
      <c r="C2334" t="s">
        <v>279</v>
      </c>
      <c r="D2334" t="s">
        <v>246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35">
      <c r="A2335" t="s">
        <v>1782</v>
      </c>
      <c r="B2335" t="s">
        <v>1783</v>
      </c>
      <c r="C2335" t="s">
        <v>321</v>
      </c>
      <c r="D2335" t="s">
        <v>246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35">
      <c r="A2336" t="s">
        <v>1782</v>
      </c>
      <c r="B2336" t="s">
        <v>1783</v>
      </c>
      <c r="C2336" t="s">
        <v>678</v>
      </c>
      <c r="D2336" t="s">
        <v>227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35">
      <c r="A2337" t="s">
        <v>1782</v>
      </c>
      <c r="B2337" t="s">
        <v>1783</v>
      </c>
      <c r="C2337" t="s">
        <v>1795</v>
      </c>
      <c r="D2337" t="s">
        <v>246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35">
      <c r="A2338" t="s">
        <v>1782</v>
      </c>
      <c r="B2338" t="s">
        <v>1783</v>
      </c>
      <c r="C2338" t="s">
        <v>322</v>
      </c>
      <c r="D2338" t="s">
        <v>246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35">
      <c r="A2339" t="s">
        <v>1782</v>
      </c>
      <c r="B2339" t="s">
        <v>1783</v>
      </c>
      <c r="C2339" t="s">
        <v>282</v>
      </c>
      <c r="D2339" t="s">
        <v>246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35">
      <c r="A2340" t="s">
        <v>1782</v>
      </c>
      <c r="B2340" t="s">
        <v>1783</v>
      </c>
      <c r="C2340" t="s">
        <v>539</v>
      </c>
      <c r="D2340" t="s">
        <v>227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35">
      <c r="A2341" t="s">
        <v>1782</v>
      </c>
      <c r="B2341" t="s">
        <v>1783</v>
      </c>
      <c r="C2341" t="s">
        <v>323</v>
      </c>
      <c r="D2341" t="s">
        <v>246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35">
      <c r="A2342" t="s">
        <v>1782</v>
      </c>
      <c r="B2342" t="s">
        <v>1783</v>
      </c>
      <c r="C2342" t="s">
        <v>643</v>
      </c>
      <c r="D2342" t="s">
        <v>227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35">
      <c r="A2343" t="s">
        <v>1782</v>
      </c>
      <c r="B2343" t="s">
        <v>1783</v>
      </c>
      <c r="C2343" t="s">
        <v>683</v>
      </c>
      <c r="D2343" t="s">
        <v>227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35">
      <c r="A2344" t="s">
        <v>1782</v>
      </c>
      <c r="B2344" t="s">
        <v>1783</v>
      </c>
      <c r="C2344" t="s">
        <v>286</v>
      </c>
      <c r="D2344" t="s">
        <v>227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35">
      <c r="A2345" t="s">
        <v>1782</v>
      </c>
      <c r="B2345" t="s">
        <v>1783</v>
      </c>
      <c r="C2345" t="s">
        <v>287</v>
      </c>
      <c r="D2345" t="s">
        <v>246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35">
      <c r="A2346" t="s">
        <v>1782</v>
      </c>
      <c r="B2346" t="s">
        <v>1783</v>
      </c>
      <c r="C2346" t="s">
        <v>1796</v>
      </c>
      <c r="D2346" t="s">
        <v>246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35">
      <c r="A2347" t="s">
        <v>1782</v>
      </c>
      <c r="B2347" t="s">
        <v>1783</v>
      </c>
      <c r="C2347" t="s">
        <v>289</v>
      </c>
      <c r="D2347" t="s">
        <v>227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35">
      <c r="A2348" t="s">
        <v>1782</v>
      </c>
      <c r="B2348" t="s">
        <v>1783</v>
      </c>
      <c r="C2348" t="s">
        <v>1797</v>
      </c>
      <c r="D2348" t="s">
        <v>246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35">
      <c r="A2349" t="s">
        <v>1782</v>
      </c>
      <c r="B2349" t="s">
        <v>1783</v>
      </c>
      <c r="C2349" t="s">
        <v>550</v>
      </c>
      <c r="D2349" t="s">
        <v>227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35">
      <c r="A2350" t="s">
        <v>1782</v>
      </c>
      <c r="B2350" t="s">
        <v>1783</v>
      </c>
      <c r="C2350" t="s">
        <v>327</v>
      </c>
      <c r="D2350" t="s">
        <v>246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35">
      <c r="A2351" t="s">
        <v>1782</v>
      </c>
      <c r="B2351" t="s">
        <v>1783</v>
      </c>
      <c r="C2351" t="s">
        <v>328</v>
      </c>
      <c r="D2351" t="s">
        <v>246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35">
      <c r="A2352" t="s">
        <v>1782</v>
      </c>
      <c r="B2352" t="s">
        <v>1783</v>
      </c>
      <c r="C2352" t="s">
        <v>1798</v>
      </c>
      <c r="D2352" t="s">
        <v>246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35">
      <c r="A2353" t="s">
        <v>1782</v>
      </c>
      <c r="B2353" t="s">
        <v>1783</v>
      </c>
      <c r="C2353" t="s">
        <v>292</v>
      </c>
      <c r="D2353" t="s">
        <v>246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35">
      <c r="A2354" t="s">
        <v>1782</v>
      </c>
      <c r="B2354" t="s">
        <v>1783</v>
      </c>
      <c r="C2354" t="s">
        <v>293</v>
      </c>
      <c r="D2354" t="s">
        <v>246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35">
      <c r="A2355" t="s">
        <v>1782</v>
      </c>
      <c r="B2355" t="s">
        <v>1783</v>
      </c>
      <c r="C2355" t="s">
        <v>294</v>
      </c>
      <c r="D2355" t="s">
        <v>246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35">
      <c r="A2356" t="s">
        <v>1782</v>
      </c>
      <c r="B2356" t="s">
        <v>1783</v>
      </c>
      <c r="C2356" t="s">
        <v>1799</v>
      </c>
      <c r="D2356" t="s">
        <v>246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35">
      <c r="A2357" t="s">
        <v>1782</v>
      </c>
      <c r="B2357" t="s">
        <v>1783</v>
      </c>
      <c r="C2357" t="s">
        <v>330</v>
      </c>
      <c r="D2357" t="s">
        <v>246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35">
      <c r="A2358" t="s">
        <v>1782</v>
      </c>
      <c r="B2358" t="s">
        <v>1783</v>
      </c>
      <c r="C2358" t="s">
        <v>1800</v>
      </c>
      <c r="D2358" t="s">
        <v>227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35">
      <c r="A2359" t="s">
        <v>1782</v>
      </c>
      <c r="B2359" t="s">
        <v>1783</v>
      </c>
      <c r="C2359" t="s">
        <v>1801</v>
      </c>
      <c r="D2359" t="s">
        <v>246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35">
      <c r="A2360" t="s">
        <v>1782</v>
      </c>
      <c r="B2360" t="s">
        <v>1783</v>
      </c>
      <c r="C2360" t="s">
        <v>655</v>
      </c>
      <c r="D2360" t="s">
        <v>246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35">
      <c r="A2361" t="s">
        <v>1782</v>
      </c>
      <c r="B2361" t="s">
        <v>1783</v>
      </c>
      <c r="C2361" t="s">
        <v>1802</v>
      </c>
      <c r="D2361" t="s">
        <v>246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35">
      <c r="A2362" t="s">
        <v>1803</v>
      </c>
      <c r="B2362" t="s">
        <v>1804</v>
      </c>
      <c r="C2362" t="s">
        <v>287</v>
      </c>
      <c r="D2362" t="s">
        <v>227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35">
      <c r="A2363" t="s">
        <v>1803</v>
      </c>
      <c r="B2363" t="s">
        <v>1804</v>
      </c>
      <c r="C2363" t="s">
        <v>1805</v>
      </c>
      <c r="D2363" t="s">
        <v>227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35">
      <c r="A2364" t="s">
        <v>1803</v>
      </c>
      <c r="B2364" t="s">
        <v>1804</v>
      </c>
      <c r="C2364" t="s">
        <v>1806</v>
      </c>
      <c r="D2364" t="s">
        <v>227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35">
      <c r="A2365" t="s">
        <v>1803</v>
      </c>
      <c r="B2365" t="s">
        <v>1804</v>
      </c>
      <c r="C2365" t="s">
        <v>386</v>
      </c>
      <c r="D2365" t="s">
        <v>227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35">
      <c r="A2366" t="s">
        <v>1803</v>
      </c>
      <c r="B2366" t="s">
        <v>1804</v>
      </c>
      <c r="C2366" t="s">
        <v>1807</v>
      </c>
      <c r="D2366" t="s">
        <v>227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35">
      <c r="A2367" t="s">
        <v>1803</v>
      </c>
      <c r="B2367" t="s">
        <v>1804</v>
      </c>
      <c r="C2367" t="s">
        <v>1808</v>
      </c>
      <c r="D2367" t="s">
        <v>227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35">
      <c r="A2368" t="s">
        <v>1803</v>
      </c>
      <c r="B2368" t="s">
        <v>1804</v>
      </c>
      <c r="C2368" t="s">
        <v>392</v>
      </c>
      <c r="D2368" t="s">
        <v>227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35">
      <c r="A2369" t="s">
        <v>1803</v>
      </c>
      <c r="B2369" t="s">
        <v>1804</v>
      </c>
      <c r="C2369" t="s">
        <v>1809</v>
      </c>
      <c r="D2369" t="s">
        <v>227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35">
      <c r="A2370" t="s">
        <v>1803</v>
      </c>
      <c r="B2370" t="s">
        <v>1804</v>
      </c>
      <c r="C2370" t="s">
        <v>332</v>
      </c>
      <c r="D2370" t="s">
        <v>227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35">
      <c r="A2371" t="s">
        <v>1803</v>
      </c>
      <c r="B2371" t="s">
        <v>1804</v>
      </c>
      <c r="C2371" t="s">
        <v>1810</v>
      </c>
      <c r="D2371" t="s">
        <v>227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35">
      <c r="A2372" t="s">
        <v>1803</v>
      </c>
      <c r="B2372" t="s">
        <v>1804</v>
      </c>
      <c r="C2372" t="s">
        <v>1811</v>
      </c>
      <c r="D2372" t="s">
        <v>227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35">
      <c r="A2373" t="s">
        <v>1803</v>
      </c>
      <c r="B2373" t="s">
        <v>1804</v>
      </c>
      <c r="C2373" t="s">
        <v>698</v>
      </c>
      <c r="D2373" t="s">
        <v>227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35">
      <c r="A2374" t="s">
        <v>1803</v>
      </c>
      <c r="B2374" t="s">
        <v>1804</v>
      </c>
      <c r="C2374" t="s">
        <v>336</v>
      </c>
      <c r="D2374" t="s">
        <v>227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35">
      <c r="A2375" t="s">
        <v>1803</v>
      </c>
      <c r="B2375" t="s">
        <v>1804</v>
      </c>
      <c r="C2375" t="s">
        <v>1812</v>
      </c>
      <c r="D2375" t="s">
        <v>227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35">
      <c r="A2376" t="s">
        <v>1803</v>
      </c>
      <c r="B2376" t="s">
        <v>1804</v>
      </c>
      <c r="C2376" t="s">
        <v>556</v>
      </c>
      <c r="D2376" t="s">
        <v>227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35">
      <c r="A2377" t="s">
        <v>1803</v>
      </c>
      <c r="B2377" t="s">
        <v>1804</v>
      </c>
      <c r="C2377" t="s">
        <v>1813</v>
      </c>
      <c r="D2377" t="s">
        <v>227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35">
      <c r="A2378" t="s">
        <v>1803</v>
      </c>
      <c r="B2378" t="s">
        <v>1804</v>
      </c>
      <c r="C2378" t="s">
        <v>1814</v>
      </c>
      <c r="D2378" t="s">
        <v>227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35">
      <c r="A2379" t="s">
        <v>1803</v>
      </c>
      <c r="B2379" t="s">
        <v>1804</v>
      </c>
      <c r="C2379" t="s">
        <v>1815</v>
      </c>
      <c r="D2379" t="s">
        <v>227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35">
      <c r="A2380" t="s">
        <v>1803</v>
      </c>
      <c r="B2380" t="s">
        <v>1804</v>
      </c>
      <c r="C2380" t="s">
        <v>920</v>
      </c>
      <c r="D2380" t="s">
        <v>227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35">
      <c r="A2381" t="s">
        <v>1803</v>
      </c>
      <c r="B2381" t="s">
        <v>1804</v>
      </c>
      <c r="C2381" t="s">
        <v>1816</v>
      </c>
      <c r="D2381" t="s">
        <v>227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35">
      <c r="A2382" t="s">
        <v>1803</v>
      </c>
      <c r="B2382" t="s">
        <v>1804</v>
      </c>
      <c r="C2382" t="s">
        <v>1817</v>
      </c>
      <c r="D2382" t="s">
        <v>227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35">
      <c r="A2383" t="s">
        <v>1803</v>
      </c>
      <c r="B2383" t="s">
        <v>1804</v>
      </c>
      <c r="C2383" t="s">
        <v>1818</v>
      </c>
      <c r="D2383" t="s">
        <v>227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35">
      <c r="A2384" t="s">
        <v>1803</v>
      </c>
      <c r="B2384" t="s">
        <v>1804</v>
      </c>
      <c r="C2384" t="s">
        <v>1373</v>
      </c>
      <c r="D2384" t="s">
        <v>227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35">
      <c r="A2385" t="s">
        <v>1803</v>
      </c>
      <c r="B2385" t="s">
        <v>1804</v>
      </c>
      <c r="C2385" t="s">
        <v>1819</v>
      </c>
      <c r="D2385" t="s">
        <v>227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35">
      <c r="A2386" t="s">
        <v>1803</v>
      </c>
      <c r="B2386" t="s">
        <v>1804</v>
      </c>
      <c r="C2386" t="s">
        <v>1820</v>
      </c>
      <c r="D2386" t="s">
        <v>227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35">
      <c r="A2387" t="s">
        <v>1803</v>
      </c>
      <c r="B2387" t="s">
        <v>1804</v>
      </c>
      <c r="C2387" t="s">
        <v>926</v>
      </c>
      <c r="D2387" t="s">
        <v>227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35">
      <c r="A2388" t="s">
        <v>1803</v>
      </c>
      <c r="B2388" t="s">
        <v>1804</v>
      </c>
      <c r="C2388" t="s">
        <v>1821</v>
      </c>
      <c r="D2388" t="s">
        <v>227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35">
      <c r="A2389" t="s">
        <v>1803</v>
      </c>
      <c r="B2389" t="s">
        <v>1804</v>
      </c>
      <c r="C2389" t="s">
        <v>1822</v>
      </c>
      <c r="D2389" t="s">
        <v>227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35">
      <c r="A2390" t="s">
        <v>1803</v>
      </c>
      <c r="B2390" t="s">
        <v>1804</v>
      </c>
      <c r="C2390" t="s">
        <v>1823</v>
      </c>
      <c r="D2390" t="s">
        <v>227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35">
      <c r="A2391" t="s">
        <v>1824</v>
      </c>
      <c r="B2391" t="s">
        <v>1825</v>
      </c>
      <c r="C2391" t="s">
        <v>515</v>
      </c>
      <c r="D2391" t="s">
        <v>227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35">
      <c r="A2392" t="s">
        <v>1824</v>
      </c>
      <c r="B2392" t="s">
        <v>1825</v>
      </c>
      <c r="C2392" t="s">
        <v>1826</v>
      </c>
      <c r="D2392" t="s">
        <v>227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35">
      <c r="A2393" t="s">
        <v>1824</v>
      </c>
      <c r="B2393" t="s">
        <v>1825</v>
      </c>
      <c r="C2393" t="s">
        <v>1827</v>
      </c>
      <c r="D2393" t="s">
        <v>227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35">
      <c r="A2394" t="s">
        <v>1824</v>
      </c>
      <c r="B2394" t="s">
        <v>1825</v>
      </c>
      <c r="C2394" t="s">
        <v>1828</v>
      </c>
      <c r="D2394" t="s">
        <v>227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35">
      <c r="A2395" t="s">
        <v>1824</v>
      </c>
      <c r="B2395" t="s">
        <v>1825</v>
      </c>
      <c r="C2395" t="s">
        <v>520</v>
      </c>
      <c r="D2395" t="s">
        <v>227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35">
      <c r="A2396" t="s">
        <v>1824</v>
      </c>
      <c r="B2396" t="s">
        <v>1825</v>
      </c>
      <c r="C2396" t="s">
        <v>576</v>
      </c>
      <c r="D2396" t="s">
        <v>227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35">
      <c r="A2397" t="s">
        <v>1824</v>
      </c>
      <c r="B2397" t="s">
        <v>1825</v>
      </c>
      <c r="C2397" t="s">
        <v>1829</v>
      </c>
      <c r="D2397" t="s">
        <v>227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35">
      <c r="A2398" t="s">
        <v>1824</v>
      </c>
      <c r="B2398" t="s">
        <v>1825</v>
      </c>
      <c r="C2398" t="s">
        <v>1638</v>
      </c>
      <c r="D2398" t="s">
        <v>227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35">
      <c r="A2399" t="s">
        <v>1824</v>
      </c>
      <c r="B2399" t="s">
        <v>1825</v>
      </c>
      <c r="C2399" t="s">
        <v>577</v>
      </c>
      <c r="D2399" t="s">
        <v>227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35">
      <c r="A2400" t="s">
        <v>1824</v>
      </c>
      <c r="B2400" t="s">
        <v>1825</v>
      </c>
      <c r="C2400" t="s">
        <v>1128</v>
      </c>
      <c r="D2400" t="s">
        <v>227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35">
      <c r="A2401" t="s">
        <v>1824</v>
      </c>
      <c r="B2401" t="s">
        <v>1825</v>
      </c>
      <c r="C2401" t="s">
        <v>1830</v>
      </c>
      <c r="D2401" t="s">
        <v>227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35">
      <c r="A2402" t="s">
        <v>1824</v>
      </c>
      <c r="B2402" t="s">
        <v>1825</v>
      </c>
      <c r="C2402" t="s">
        <v>249</v>
      </c>
      <c r="D2402" t="s">
        <v>227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35">
      <c r="A2403" t="s">
        <v>1824</v>
      </c>
      <c r="B2403" t="s">
        <v>1825</v>
      </c>
      <c r="C2403" t="s">
        <v>578</v>
      </c>
      <c r="D2403" t="s">
        <v>227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35">
      <c r="A2404" t="s">
        <v>1824</v>
      </c>
      <c r="B2404" t="s">
        <v>1825</v>
      </c>
      <c r="C2404" t="s">
        <v>598</v>
      </c>
      <c r="D2404" t="s">
        <v>227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35">
      <c r="A2405" t="s">
        <v>1824</v>
      </c>
      <c r="B2405" t="s">
        <v>1825</v>
      </c>
      <c r="C2405" t="s">
        <v>1618</v>
      </c>
      <c r="D2405" t="s">
        <v>227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35">
      <c r="A2406" t="s">
        <v>1824</v>
      </c>
      <c r="B2406" t="s">
        <v>1825</v>
      </c>
      <c r="C2406" t="s">
        <v>1831</v>
      </c>
      <c r="D2406" t="s">
        <v>227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35">
      <c r="A2407" t="s">
        <v>1824</v>
      </c>
      <c r="B2407" t="s">
        <v>1825</v>
      </c>
      <c r="C2407" t="s">
        <v>1485</v>
      </c>
      <c r="D2407" t="s">
        <v>227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35">
      <c r="A2408" t="s">
        <v>1824</v>
      </c>
      <c r="B2408" t="s">
        <v>1825</v>
      </c>
      <c r="C2408" t="s">
        <v>256</v>
      </c>
      <c r="D2408" t="s">
        <v>227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35">
      <c r="A2409" t="s">
        <v>1824</v>
      </c>
      <c r="B2409" t="s">
        <v>1825</v>
      </c>
      <c r="C2409" t="s">
        <v>1832</v>
      </c>
      <c r="D2409" t="s">
        <v>227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35">
      <c r="A2410" t="s">
        <v>1824</v>
      </c>
      <c r="B2410" t="s">
        <v>1825</v>
      </c>
      <c r="C2410" t="s">
        <v>1833</v>
      </c>
      <c r="D2410" t="s">
        <v>227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35">
      <c r="A2411" t="s">
        <v>1824</v>
      </c>
      <c r="B2411" t="s">
        <v>1825</v>
      </c>
      <c r="C2411" t="s">
        <v>531</v>
      </c>
      <c r="D2411" t="s">
        <v>227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35">
      <c r="A2412" t="s">
        <v>1824</v>
      </c>
      <c r="B2412" t="s">
        <v>1825</v>
      </c>
      <c r="C2412" t="s">
        <v>791</v>
      </c>
      <c r="D2412" t="s">
        <v>227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35">
      <c r="A2413" t="s">
        <v>1824</v>
      </c>
      <c r="B2413" t="s">
        <v>1825</v>
      </c>
      <c r="C2413" t="s">
        <v>1834</v>
      </c>
      <c r="D2413" t="s">
        <v>227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35">
      <c r="A2414" t="s">
        <v>1824</v>
      </c>
      <c r="B2414" t="s">
        <v>1825</v>
      </c>
      <c r="C2414" t="s">
        <v>462</v>
      </c>
      <c r="D2414" t="s">
        <v>227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35">
      <c r="A2415" t="s">
        <v>1824</v>
      </c>
      <c r="B2415" t="s">
        <v>1825</v>
      </c>
      <c r="C2415" t="s">
        <v>1135</v>
      </c>
      <c r="D2415" t="s">
        <v>227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35">
      <c r="A2416" t="s">
        <v>1824</v>
      </c>
      <c r="B2416" t="s">
        <v>1825</v>
      </c>
      <c r="C2416" t="s">
        <v>1835</v>
      </c>
      <c r="D2416" t="s">
        <v>227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35">
      <c r="A2417" t="s">
        <v>1824</v>
      </c>
      <c r="B2417" t="s">
        <v>1825</v>
      </c>
      <c r="C2417" t="s">
        <v>464</v>
      </c>
      <c r="D2417" t="s">
        <v>227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35">
      <c r="A2418" t="s">
        <v>1824</v>
      </c>
      <c r="B2418" t="s">
        <v>1825</v>
      </c>
      <c r="C2418" t="s">
        <v>368</v>
      </c>
      <c r="D2418" t="s">
        <v>227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35">
      <c r="A2419" t="s">
        <v>1824</v>
      </c>
      <c r="B2419" t="s">
        <v>1825</v>
      </c>
      <c r="C2419" t="s">
        <v>1836</v>
      </c>
      <c r="D2419" t="s">
        <v>227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35">
      <c r="A2420" t="s">
        <v>1824</v>
      </c>
      <c r="B2420" t="s">
        <v>1825</v>
      </c>
      <c r="C2420" t="s">
        <v>793</v>
      </c>
      <c r="D2420" t="s">
        <v>227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35">
      <c r="A2421" t="s">
        <v>1824</v>
      </c>
      <c r="B2421" t="s">
        <v>1825</v>
      </c>
      <c r="C2421" t="s">
        <v>272</v>
      </c>
      <c r="D2421" t="s">
        <v>227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35">
      <c r="A2422" t="s">
        <v>1824</v>
      </c>
      <c r="B2422" t="s">
        <v>1825</v>
      </c>
      <c r="C2422" t="s">
        <v>1837</v>
      </c>
      <c r="D2422" t="s">
        <v>227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35">
      <c r="A2423" t="s">
        <v>1824</v>
      </c>
      <c r="B2423" t="s">
        <v>1825</v>
      </c>
      <c r="C2423" t="s">
        <v>1838</v>
      </c>
      <c r="D2423" t="s">
        <v>227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35">
      <c r="A2424" t="s">
        <v>1824</v>
      </c>
      <c r="B2424" t="s">
        <v>1825</v>
      </c>
      <c r="C2424" t="s">
        <v>1839</v>
      </c>
      <c r="D2424" t="s">
        <v>227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35">
      <c r="A2425" t="s">
        <v>1824</v>
      </c>
      <c r="B2425" t="s">
        <v>1825</v>
      </c>
      <c r="C2425" t="s">
        <v>1840</v>
      </c>
      <c r="D2425" t="s">
        <v>227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35">
      <c r="A2426" t="s">
        <v>1824</v>
      </c>
      <c r="B2426" t="s">
        <v>1825</v>
      </c>
      <c r="C2426" t="s">
        <v>373</v>
      </c>
      <c r="D2426" t="s">
        <v>227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35">
      <c r="A2427" t="s">
        <v>1841</v>
      </c>
      <c r="B2427" t="s">
        <v>329</v>
      </c>
      <c r="C2427" t="s">
        <v>1842</v>
      </c>
      <c r="D2427" t="s">
        <v>227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35">
      <c r="A2428" t="s">
        <v>1841</v>
      </c>
      <c r="B2428" t="s">
        <v>329</v>
      </c>
      <c r="C2428" t="s">
        <v>323</v>
      </c>
      <c r="D2428" t="s">
        <v>227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35">
      <c r="A2429" t="s">
        <v>1841</v>
      </c>
      <c r="B2429" t="s">
        <v>329</v>
      </c>
      <c r="C2429" t="s">
        <v>644</v>
      </c>
      <c r="D2429" t="s">
        <v>227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35">
      <c r="A2430" t="s">
        <v>1841</v>
      </c>
      <c r="B2430" t="s">
        <v>329</v>
      </c>
      <c r="C2430" t="s">
        <v>386</v>
      </c>
      <c r="D2430" t="s">
        <v>227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35">
      <c r="A2431" t="s">
        <v>1841</v>
      </c>
      <c r="B2431" t="s">
        <v>329</v>
      </c>
      <c r="C2431" t="s">
        <v>1843</v>
      </c>
      <c r="D2431" t="s">
        <v>227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35">
      <c r="A2432" t="s">
        <v>1841</v>
      </c>
      <c r="B2432" t="s">
        <v>329</v>
      </c>
      <c r="C2432" t="s">
        <v>1844</v>
      </c>
      <c r="D2432" t="s">
        <v>227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35">
      <c r="A2433" t="s">
        <v>1841</v>
      </c>
      <c r="B2433" t="s">
        <v>329</v>
      </c>
      <c r="C2433" t="s">
        <v>1845</v>
      </c>
      <c r="D2433" t="s">
        <v>227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35">
      <c r="A2434" t="s">
        <v>1841</v>
      </c>
      <c r="B2434" t="s">
        <v>329</v>
      </c>
      <c r="C2434" t="s">
        <v>1846</v>
      </c>
      <c r="D2434" t="s">
        <v>227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35">
      <c r="A2435" t="s">
        <v>1841</v>
      </c>
      <c r="B2435" t="s">
        <v>329</v>
      </c>
      <c r="C2435" t="s">
        <v>1847</v>
      </c>
      <c r="D2435" t="s">
        <v>227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35">
      <c r="A2436" t="s">
        <v>1848</v>
      </c>
      <c r="B2436" t="s">
        <v>1849</v>
      </c>
      <c r="C2436" t="s">
        <v>1850</v>
      </c>
      <c r="D2436" t="s">
        <v>227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35">
      <c r="A2437" t="s">
        <v>1848</v>
      </c>
      <c r="B2437" t="s">
        <v>1849</v>
      </c>
      <c r="C2437" t="s">
        <v>446</v>
      </c>
      <c r="D2437" t="s">
        <v>227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35">
      <c r="A2438" t="s">
        <v>1848</v>
      </c>
      <c r="B2438" t="s">
        <v>1849</v>
      </c>
      <c r="C2438" t="s">
        <v>1851</v>
      </c>
      <c r="D2438" t="s">
        <v>227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35">
      <c r="A2439" t="s">
        <v>1848</v>
      </c>
      <c r="B2439" t="s">
        <v>1849</v>
      </c>
      <c r="C2439" t="s">
        <v>1072</v>
      </c>
      <c r="D2439" t="s">
        <v>227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35">
      <c r="A2440" t="s">
        <v>1848</v>
      </c>
      <c r="B2440" t="s">
        <v>1849</v>
      </c>
      <c r="C2440" t="s">
        <v>1852</v>
      </c>
      <c r="D2440" t="s">
        <v>227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35">
      <c r="A2441" t="s">
        <v>1848</v>
      </c>
      <c r="B2441" t="s">
        <v>1849</v>
      </c>
      <c r="C2441" t="s">
        <v>1510</v>
      </c>
      <c r="D2441" t="s">
        <v>227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35">
      <c r="A2442" t="s">
        <v>1848</v>
      </c>
      <c r="B2442" t="s">
        <v>1849</v>
      </c>
      <c r="C2442" t="s">
        <v>1853</v>
      </c>
      <c r="D2442" t="s">
        <v>227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35">
      <c r="A2443" t="s">
        <v>1848</v>
      </c>
      <c r="B2443" t="s">
        <v>1849</v>
      </c>
      <c r="C2443" t="s">
        <v>996</v>
      </c>
      <c r="D2443" t="s">
        <v>227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35">
      <c r="A2444" t="s">
        <v>1848</v>
      </c>
      <c r="B2444" t="s">
        <v>1849</v>
      </c>
      <c r="C2444" t="s">
        <v>1854</v>
      </c>
      <c r="D2444" t="s">
        <v>227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35">
      <c r="A2445" t="s">
        <v>1848</v>
      </c>
      <c r="B2445" t="s">
        <v>1849</v>
      </c>
      <c r="C2445" t="s">
        <v>866</v>
      </c>
      <c r="D2445" t="s">
        <v>227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35">
      <c r="A2446" t="s">
        <v>1855</v>
      </c>
      <c r="B2446" t="s">
        <v>1856</v>
      </c>
      <c r="C2446" t="s">
        <v>1857</v>
      </c>
      <c r="D2446" t="s">
        <v>246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35">
      <c r="A2447" t="s">
        <v>1855</v>
      </c>
      <c r="B2447" t="s">
        <v>1856</v>
      </c>
      <c r="C2447" t="s">
        <v>1858</v>
      </c>
      <c r="D2447" t="s">
        <v>227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35">
      <c r="A2448" t="s">
        <v>1855</v>
      </c>
      <c r="B2448" t="s">
        <v>1856</v>
      </c>
      <c r="C2448" t="s">
        <v>1859</v>
      </c>
      <c r="D2448" t="s">
        <v>246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35">
      <c r="A2449" t="s">
        <v>1855</v>
      </c>
      <c r="B2449" t="s">
        <v>1856</v>
      </c>
      <c r="C2449" t="s">
        <v>444</v>
      </c>
      <c r="D2449" t="s">
        <v>246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35">
      <c r="A2450" t="s">
        <v>1855</v>
      </c>
      <c r="B2450" t="s">
        <v>1856</v>
      </c>
      <c r="C2450" t="s">
        <v>1860</v>
      </c>
      <c r="D2450" t="s">
        <v>246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35">
      <c r="A2451" t="s">
        <v>1855</v>
      </c>
      <c r="B2451" t="s">
        <v>1856</v>
      </c>
      <c r="C2451" t="s">
        <v>719</v>
      </c>
      <c r="D2451" t="s">
        <v>246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35">
      <c r="A2452" t="s">
        <v>1855</v>
      </c>
      <c r="B2452" t="s">
        <v>1856</v>
      </c>
      <c r="C2452" t="s">
        <v>754</v>
      </c>
      <c r="D2452" t="s">
        <v>246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35">
      <c r="A2453" t="s">
        <v>1855</v>
      </c>
      <c r="B2453" t="s">
        <v>1856</v>
      </c>
      <c r="C2453" t="s">
        <v>1287</v>
      </c>
      <c r="D2453" t="s">
        <v>246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35">
      <c r="A2454" t="s">
        <v>1855</v>
      </c>
      <c r="B2454" t="s">
        <v>1856</v>
      </c>
      <c r="C2454" t="s">
        <v>1861</v>
      </c>
      <c r="D2454" t="s">
        <v>246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35">
      <c r="A2455" t="s">
        <v>1855</v>
      </c>
      <c r="B2455" t="s">
        <v>1856</v>
      </c>
      <c r="C2455" t="s">
        <v>1862</v>
      </c>
      <c r="D2455" t="s">
        <v>227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35">
      <c r="A2456" t="s">
        <v>1855</v>
      </c>
      <c r="B2456" t="s">
        <v>1856</v>
      </c>
      <c r="C2456" t="s">
        <v>550</v>
      </c>
      <c r="D2456" t="s">
        <v>227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35">
      <c r="A2457" t="s">
        <v>1855</v>
      </c>
      <c r="B2457" t="s">
        <v>1856</v>
      </c>
      <c r="C2457" t="s">
        <v>412</v>
      </c>
      <c r="D2457" t="s">
        <v>246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35">
      <c r="A2458" t="s">
        <v>1855</v>
      </c>
      <c r="B2458" t="s">
        <v>1856</v>
      </c>
      <c r="C2458" t="s">
        <v>1863</v>
      </c>
      <c r="D2458" t="s">
        <v>246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35">
      <c r="A2459" t="s">
        <v>1855</v>
      </c>
      <c r="B2459" t="s">
        <v>1856</v>
      </c>
      <c r="C2459" t="s">
        <v>649</v>
      </c>
      <c r="D2459" t="s">
        <v>227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35">
      <c r="A2460" t="s">
        <v>1855</v>
      </c>
      <c r="B2460" t="s">
        <v>1856</v>
      </c>
      <c r="C2460" t="s">
        <v>1864</v>
      </c>
      <c r="D2460" t="s">
        <v>246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35">
      <c r="A2461" t="s">
        <v>1855</v>
      </c>
      <c r="B2461" t="s">
        <v>1856</v>
      </c>
      <c r="C2461" t="s">
        <v>1865</v>
      </c>
      <c r="D2461" t="s">
        <v>227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35">
      <c r="A2462" t="s">
        <v>1855</v>
      </c>
      <c r="B2462" t="s">
        <v>1856</v>
      </c>
      <c r="C2462" t="s">
        <v>1866</v>
      </c>
      <c r="D2462" t="s">
        <v>246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35">
      <c r="A2463" t="s">
        <v>1855</v>
      </c>
      <c r="B2463" t="s">
        <v>1856</v>
      </c>
      <c r="C2463" t="s">
        <v>725</v>
      </c>
      <c r="D2463" t="s">
        <v>227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35">
      <c r="A2464" t="s">
        <v>1855</v>
      </c>
      <c r="B2464" t="s">
        <v>1856</v>
      </c>
      <c r="C2464" t="s">
        <v>421</v>
      </c>
      <c r="D2464" t="s">
        <v>227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35">
      <c r="A2465" t="s">
        <v>1855</v>
      </c>
      <c r="B2465" t="s">
        <v>1856</v>
      </c>
      <c r="C2465" t="s">
        <v>346</v>
      </c>
      <c r="D2465" t="s">
        <v>246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35">
      <c r="A2466" t="s">
        <v>1855</v>
      </c>
      <c r="B2466" t="s">
        <v>1856</v>
      </c>
      <c r="C2466" t="s">
        <v>496</v>
      </c>
      <c r="D2466" t="s">
        <v>227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35">
      <c r="A2467" t="s">
        <v>1867</v>
      </c>
      <c r="B2467" t="s">
        <v>1868</v>
      </c>
      <c r="C2467" t="s">
        <v>1869</v>
      </c>
      <c r="D2467" t="s">
        <v>356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35">
      <c r="A2468" t="s">
        <v>1867</v>
      </c>
      <c r="B2468" t="s">
        <v>1868</v>
      </c>
      <c r="C2468" t="s">
        <v>1870</v>
      </c>
      <c r="D2468" t="s">
        <v>227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35">
      <c r="A2469" t="s">
        <v>1867</v>
      </c>
      <c r="B2469" t="s">
        <v>1868</v>
      </c>
      <c r="C2469" t="s">
        <v>1871</v>
      </c>
      <c r="D2469" t="s">
        <v>358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35">
      <c r="A2470" t="s">
        <v>1867</v>
      </c>
      <c r="B2470" t="s">
        <v>1868</v>
      </c>
      <c r="C2470" t="s">
        <v>1872</v>
      </c>
      <c r="D2470" t="s">
        <v>227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35">
      <c r="A2471" t="s">
        <v>1867</v>
      </c>
      <c r="B2471" t="s">
        <v>1868</v>
      </c>
      <c r="C2471" t="s">
        <v>1832</v>
      </c>
      <c r="D2471" t="s">
        <v>227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35">
      <c r="A2472" t="s">
        <v>1867</v>
      </c>
      <c r="B2472" t="s">
        <v>1868</v>
      </c>
      <c r="C2472" t="s">
        <v>1074</v>
      </c>
      <c r="D2472" t="s">
        <v>356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35">
      <c r="A2473" t="s">
        <v>1867</v>
      </c>
      <c r="B2473" t="s">
        <v>1868</v>
      </c>
      <c r="C2473" t="s">
        <v>1873</v>
      </c>
      <c r="D2473" t="s">
        <v>356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35">
      <c r="A2474" t="s">
        <v>1867</v>
      </c>
      <c r="B2474" t="s">
        <v>1868</v>
      </c>
      <c r="C2474" t="s">
        <v>1874</v>
      </c>
      <c r="D2474" t="s">
        <v>358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35">
      <c r="A2475" t="s">
        <v>1867</v>
      </c>
      <c r="B2475" t="s">
        <v>1868</v>
      </c>
      <c r="C2475" t="s">
        <v>1023</v>
      </c>
      <c r="D2475" t="s">
        <v>358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35">
      <c r="A2476" t="s">
        <v>1867</v>
      </c>
      <c r="B2476" t="s">
        <v>1868</v>
      </c>
      <c r="C2476" t="s">
        <v>315</v>
      </c>
      <c r="D2476" t="s">
        <v>356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35">
      <c r="A2477" t="s">
        <v>1867</v>
      </c>
      <c r="B2477" t="s">
        <v>1868</v>
      </c>
      <c r="C2477" t="s">
        <v>1198</v>
      </c>
      <c r="D2477" t="s">
        <v>356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35">
      <c r="A2478" t="s">
        <v>1867</v>
      </c>
      <c r="B2478" t="s">
        <v>1868</v>
      </c>
      <c r="C2478" t="s">
        <v>1145</v>
      </c>
      <c r="D2478" t="s">
        <v>227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35">
      <c r="A2479" t="s">
        <v>1867</v>
      </c>
      <c r="B2479" t="s">
        <v>1868</v>
      </c>
      <c r="C2479" t="s">
        <v>1205</v>
      </c>
      <c r="D2479" t="s">
        <v>358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35">
      <c r="A2480" t="s">
        <v>1867</v>
      </c>
      <c r="B2480" t="s">
        <v>1868</v>
      </c>
      <c r="C2480" t="s">
        <v>1875</v>
      </c>
      <c r="D2480" t="s">
        <v>358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35">
      <c r="A2481" t="s">
        <v>1867</v>
      </c>
      <c r="B2481" t="s">
        <v>1868</v>
      </c>
      <c r="C2481" t="s">
        <v>323</v>
      </c>
      <c r="D2481" t="s">
        <v>356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35">
      <c r="A2482" t="s">
        <v>1867</v>
      </c>
      <c r="B2482" t="s">
        <v>1868</v>
      </c>
      <c r="C2482" t="s">
        <v>1876</v>
      </c>
      <c r="D2482" t="s">
        <v>227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35">
      <c r="A2483" t="s">
        <v>1867</v>
      </c>
      <c r="B2483" t="s">
        <v>1868</v>
      </c>
      <c r="C2483" t="s">
        <v>1877</v>
      </c>
      <c r="D2483" t="s">
        <v>358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35">
      <c r="A2484" t="s">
        <v>1867</v>
      </c>
      <c r="B2484" t="s">
        <v>1868</v>
      </c>
      <c r="C2484" t="s">
        <v>1878</v>
      </c>
      <c r="D2484" t="s">
        <v>227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35">
      <c r="A2485" t="s">
        <v>1867</v>
      </c>
      <c r="B2485" t="s">
        <v>1868</v>
      </c>
      <c r="C2485" t="s">
        <v>1879</v>
      </c>
      <c r="D2485" t="s">
        <v>227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35">
      <c r="A2486" t="s">
        <v>1867</v>
      </c>
      <c r="B2486" t="s">
        <v>1868</v>
      </c>
      <c r="C2486" t="s">
        <v>390</v>
      </c>
      <c r="D2486" t="s">
        <v>358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35">
      <c r="A2487" t="s">
        <v>1867</v>
      </c>
      <c r="B2487" t="s">
        <v>1868</v>
      </c>
      <c r="C2487" t="s">
        <v>1880</v>
      </c>
      <c r="D2487" t="s">
        <v>356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35">
      <c r="A2488" t="s">
        <v>1867</v>
      </c>
      <c r="B2488" t="s">
        <v>1868</v>
      </c>
      <c r="C2488" t="s">
        <v>1881</v>
      </c>
      <c r="D2488" t="s">
        <v>227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35">
      <c r="A2489" t="s">
        <v>1867</v>
      </c>
      <c r="B2489" t="s">
        <v>1868</v>
      </c>
      <c r="C2489" t="s">
        <v>1813</v>
      </c>
      <c r="D2489" t="s">
        <v>356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35">
      <c r="A2490" t="s">
        <v>1867</v>
      </c>
      <c r="B2490" t="s">
        <v>1868</v>
      </c>
      <c r="C2490" t="s">
        <v>400</v>
      </c>
      <c r="D2490" t="s">
        <v>227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35">
      <c r="A2491" t="s">
        <v>1867</v>
      </c>
      <c r="B2491" t="s">
        <v>1868</v>
      </c>
      <c r="C2491" t="s">
        <v>401</v>
      </c>
      <c r="D2491" t="s">
        <v>227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35">
      <c r="A2492" t="s">
        <v>1882</v>
      </c>
      <c r="B2492" t="s">
        <v>960</v>
      </c>
      <c r="C2492" t="s">
        <v>307</v>
      </c>
      <c r="D2492" t="s">
        <v>227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35">
      <c r="A2493" t="s">
        <v>1882</v>
      </c>
      <c r="B2493" t="s">
        <v>960</v>
      </c>
      <c r="C2493" t="s">
        <v>497</v>
      </c>
      <c r="D2493" t="s">
        <v>227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35">
      <c r="A2494" t="s">
        <v>1882</v>
      </c>
      <c r="B2494" t="s">
        <v>960</v>
      </c>
      <c r="C2494" t="s">
        <v>1883</v>
      </c>
      <c r="D2494" t="s">
        <v>246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35">
      <c r="A2495" t="s">
        <v>1882</v>
      </c>
      <c r="B2495" t="s">
        <v>960</v>
      </c>
      <c r="C2495" t="s">
        <v>1357</v>
      </c>
      <c r="D2495" t="s">
        <v>227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35">
      <c r="A2496" t="s">
        <v>1882</v>
      </c>
      <c r="B2496" t="s">
        <v>960</v>
      </c>
      <c r="C2496" t="s">
        <v>1884</v>
      </c>
      <c r="D2496" t="s">
        <v>227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35">
      <c r="A2497" t="s">
        <v>1885</v>
      </c>
      <c r="B2497" t="s">
        <v>1886</v>
      </c>
      <c r="C2497" t="s">
        <v>1887</v>
      </c>
      <c r="D2497" t="s">
        <v>246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35">
      <c r="A2498" t="s">
        <v>1885</v>
      </c>
      <c r="B2498" t="s">
        <v>1886</v>
      </c>
      <c r="C2498" t="s">
        <v>1564</v>
      </c>
      <c r="D2498" t="s">
        <v>246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35">
      <c r="A2499" t="s">
        <v>1885</v>
      </c>
      <c r="B2499" t="s">
        <v>1886</v>
      </c>
      <c r="C2499" t="s">
        <v>1888</v>
      </c>
      <c r="D2499" t="s">
        <v>227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35">
      <c r="A2500" t="s">
        <v>1885</v>
      </c>
      <c r="B2500" t="s">
        <v>1886</v>
      </c>
      <c r="C2500" t="s">
        <v>1889</v>
      </c>
      <c r="D2500" t="s">
        <v>246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35">
      <c r="A2501" t="s">
        <v>1885</v>
      </c>
      <c r="B2501" t="s">
        <v>1886</v>
      </c>
      <c r="C2501" t="s">
        <v>1890</v>
      </c>
      <c r="D2501" t="s">
        <v>227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35">
      <c r="A2502" t="s">
        <v>1885</v>
      </c>
      <c r="B2502" t="s">
        <v>1886</v>
      </c>
      <c r="C2502" t="s">
        <v>1891</v>
      </c>
      <c r="D2502" t="s">
        <v>227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35">
      <c r="A2503" t="s">
        <v>1885</v>
      </c>
      <c r="B2503" t="s">
        <v>1886</v>
      </c>
      <c r="C2503" t="s">
        <v>1892</v>
      </c>
      <c r="D2503" t="s">
        <v>246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35">
      <c r="A2504" t="s">
        <v>1885</v>
      </c>
      <c r="B2504" t="s">
        <v>1886</v>
      </c>
      <c r="C2504" t="s">
        <v>1893</v>
      </c>
      <c r="D2504" t="s">
        <v>246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35">
      <c r="A2505" t="s">
        <v>1885</v>
      </c>
      <c r="B2505" t="s">
        <v>1886</v>
      </c>
      <c r="C2505" t="s">
        <v>1894</v>
      </c>
      <c r="D2505" t="s">
        <v>246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35">
      <c r="A2506" t="s">
        <v>1885</v>
      </c>
      <c r="B2506" t="s">
        <v>1886</v>
      </c>
      <c r="C2506" t="s">
        <v>1895</v>
      </c>
      <c r="D2506" t="s">
        <v>242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35">
      <c r="A2507" t="s">
        <v>1885</v>
      </c>
      <c r="B2507" t="s">
        <v>1886</v>
      </c>
      <c r="C2507" t="s">
        <v>1896</v>
      </c>
      <c r="D2507" t="s">
        <v>246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35">
      <c r="A2508" t="s">
        <v>1885</v>
      </c>
      <c r="B2508" t="s">
        <v>1886</v>
      </c>
      <c r="C2508" t="s">
        <v>442</v>
      </c>
      <c r="D2508" t="s">
        <v>246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35">
      <c r="A2509" t="s">
        <v>1885</v>
      </c>
      <c r="B2509" t="s">
        <v>1886</v>
      </c>
      <c r="C2509" t="s">
        <v>1897</v>
      </c>
      <c r="D2509" t="s">
        <v>246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35">
      <c r="A2510" t="s">
        <v>1885</v>
      </c>
      <c r="B2510" t="s">
        <v>1886</v>
      </c>
      <c r="C2510" t="s">
        <v>1644</v>
      </c>
      <c r="D2510" t="s">
        <v>246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35">
      <c r="A2511" t="s">
        <v>1885</v>
      </c>
      <c r="B2511" t="s">
        <v>1886</v>
      </c>
      <c r="C2511" t="s">
        <v>444</v>
      </c>
      <c r="D2511" t="s">
        <v>246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35">
      <c r="A2512" t="s">
        <v>1885</v>
      </c>
      <c r="B2512" t="s">
        <v>1886</v>
      </c>
      <c r="C2512" t="s">
        <v>1898</v>
      </c>
      <c r="D2512" t="s">
        <v>242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35">
      <c r="A2513" t="s">
        <v>1885</v>
      </c>
      <c r="B2513" t="s">
        <v>1886</v>
      </c>
      <c r="C2513" t="s">
        <v>1899</v>
      </c>
      <c r="D2513" t="s">
        <v>246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35">
      <c r="A2514" t="s">
        <v>1885</v>
      </c>
      <c r="B2514" t="s">
        <v>1886</v>
      </c>
      <c r="C2514" t="s">
        <v>1900</v>
      </c>
      <c r="D2514" t="s">
        <v>246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35">
      <c r="A2515" t="s">
        <v>1885</v>
      </c>
      <c r="B2515" t="s">
        <v>1886</v>
      </c>
      <c r="C2515" t="s">
        <v>449</v>
      </c>
      <c r="D2515" t="s">
        <v>246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35">
      <c r="A2516" t="s">
        <v>1885</v>
      </c>
      <c r="B2516" t="s">
        <v>1886</v>
      </c>
      <c r="C2516" t="s">
        <v>252</v>
      </c>
      <c r="D2516" t="s">
        <v>246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35">
      <c r="A2517" t="s">
        <v>1885</v>
      </c>
      <c r="B2517" t="s">
        <v>1886</v>
      </c>
      <c r="C2517" t="s">
        <v>1901</v>
      </c>
      <c r="D2517" t="s">
        <v>246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35">
      <c r="A2518" t="s">
        <v>1885</v>
      </c>
      <c r="B2518" t="s">
        <v>1886</v>
      </c>
      <c r="C2518" t="s">
        <v>256</v>
      </c>
      <c r="D2518" t="s">
        <v>246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35">
      <c r="A2519" t="s">
        <v>1885</v>
      </c>
      <c r="B2519" t="s">
        <v>1886</v>
      </c>
      <c r="C2519" t="s">
        <v>1067</v>
      </c>
      <c r="D2519" t="s">
        <v>246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35">
      <c r="A2520" t="s">
        <v>1885</v>
      </c>
      <c r="B2520" t="s">
        <v>1886</v>
      </c>
      <c r="C2520" t="s">
        <v>1902</v>
      </c>
      <c r="D2520" t="s">
        <v>242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35">
      <c r="A2521" t="s">
        <v>1885</v>
      </c>
      <c r="B2521" t="s">
        <v>1886</v>
      </c>
      <c r="C2521" t="s">
        <v>1903</v>
      </c>
      <c r="D2521" t="s">
        <v>246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35">
      <c r="A2522" t="s">
        <v>1885</v>
      </c>
      <c r="B2522" t="s">
        <v>1886</v>
      </c>
      <c r="C2522" t="s">
        <v>719</v>
      </c>
      <c r="D2522" t="s">
        <v>246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35">
      <c r="A2523" t="s">
        <v>1885</v>
      </c>
      <c r="B2523" t="s">
        <v>1886</v>
      </c>
      <c r="C2523" t="s">
        <v>1904</v>
      </c>
      <c r="D2523" t="s">
        <v>246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35">
      <c r="A2524" t="s">
        <v>1885</v>
      </c>
      <c r="B2524" t="s">
        <v>1886</v>
      </c>
      <c r="C2524" t="s">
        <v>1905</v>
      </c>
      <c r="D2524" t="s">
        <v>246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35">
      <c r="A2525" t="s">
        <v>1885</v>
      </c>
      <c r="B2525" t="s">
        <v>1886</v>
      </c>
      <c r="C2525" t="s">
        <v>1906</v>
      </c>
      <c r="D2525" t="s">
        <v>246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35">
      <c r="A2526" t="s">
        <v>1885</v>
      </c>
      <c r="B2526" t="s">
        <v>1886</v>
      </c>
      <c r="C2526" t="s">
        <v>1907</v>
      </c>
      <c r="D2526" t="s">
        <v>246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35">
      <c r="A2527" t="s">
        <v>1885</v>
      </c>
      <c r="B2527" t="s">
        <v>1886</v>
      </c>
      <c r="C2527" t="s">
        <v>1908</v>
      </c>
      <c r="D2527" t="s">
        <v>246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35">
      <c r="A2528" t="s">
        <v>1885</v>
      </c>
      <c r="B2528" t="s">
        <v>1886</v>
      </c>
      <c r="C2528" t="s">
        <v>1909</v>
      </c>
      <c r="D2528" t="s">
        <v>246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35">
      <c r="A2529" t="s">
        <v>1885</v>
      </c>
      <c r="B2529" t="s">
        <v>1886</v>
      </c>
      <c r="C2529" t="s">
        <v>1910</v>
      </c>
      <c r="D2529" t="s">
        <v>246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35">
      <c r="A2530" t="s">
        <v>1885</v>
      </c>
      <c r="B2530" t="s">
        <v>1886</v>
      </c>
      <c r="C2530" t="s">
        <v>474</v>
      </c>
      <c r="D2530" t="s">
        <v>246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35">
      <c r="A2531" t="s">
        <v>1885</v>
      </c>
      <c r="B2531" t="s">
        <v>1886</v>
      </c>
      <c r="C2531" t="s">
        <v>272</v>
      </c>
      <c r="D2531" t="s">
        <v>246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35">
      <c r="A2532" t="s">
        <v>1885</v>
      </c>
      <c r="B2532" t="s">
        <v>1886</v>
      </c>
      <c r="C2532" t="s">
        <v>1911</v>
      </c>
      <c r="D2532" t="s">
        <v>246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35">
      <c r="A2533" t="s">
        <v>1885</v>
      </c>
      <c r="B2533" t="s">
        <v>1886</v>
      </c>
      <c r="C2533" t="s">
        <v>1912</v>
      </c>
      <c r="D2533" t="s">
        <v>246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35">
      <c r="A2534" t="s">
        <v>1885</v>
      </c>
      <c r="B2534" t="s">
        <v>1886</v>
      </c>
      <c r="C2534" t="s">
        <v>629</v>
      </c>
      <c r="D2534" t="s">
        <v>246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35">
      <c r="A2535" t="s">
        <v>1885</v>
      </c>
      <c r="B2535" t="s">
        <v>1886</v>
      </c>
      <c r="C2535" t="s">
        <v>1913</v>
      </c>
      <c r="D2535" t="s">
        <v>246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35">
      <c r="A2536" t="s">
        <v>1885</v>
      </c>
      <c r="B2536" t="s">
        <v>1886</v>
      </c>
      <c r="C2536" t="s">
        <v>274</v>
      </c>
      <c r="D2536" t="s">
        <v>246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35">
      <c r="A2537" t="s">
        <v>1885</v>
      </c>
      <c r="B2537" t="s">
        <v>1886</v>
      </c>
      <c r="C2537" t="s">
        <v>1914</v>
      </c>
      <c r="D2537" t="s">
        <v>246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35">
      <c r="A2538" t="s">
        <v>1885</v>
      </c>
      <c r="B2538" t="s">
        <v>1886</v>
      </c>
      <c r="C2538" t="s">
        <v>1290</v>
      </c>
      <c r="D2538" t="s">
        <v>246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35">
      <c r="A2539" t="s">
        <v>1885</v>
      </c>
      <c r="B2539" t="s">
        <v>1886</v>
      </c>
      <c r="C2539" t="s">
        <v>1915</v>
      </c>
      <c r="D2539" t="s">
        <v>246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35">
      <c r="A2540" t="s">
        <v>1885</v>
      </c>
      <c r="B2540" t="s">
        <v>1886</v>
      </c>
      <c r="C2540" t="s">
        <v>1916</v>
      </c>
      <c r="D2540" t="s">
        <v>246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35">
      <c r="A2541" t="s">
        <v>1885</v>
      </c>
      <c r="B2541" t="s">
        <v>1886</v>
      </c>
      <c r="C2541" t="s">
        <v>672</v>
      </c>
      <c r="D2541" t="s">
        <v>246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35">
      <c r="A2542" t="s">
        <v>1885</v>
      </c>
      <c r="B2542" t="s">
        <v>1886</v>
      </c>
      <c r="C2542" t="s">
        <v>1917</v>
      </c>
      <c r="D2542" t="s">
        <v>246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35">
      <c r="A2543" t="s">
        <v>1885</v>
      </c>
      <c r="B2543" t="s">
        <v>1886</v>
      </c>
      <c r="C2543" t="s">
        <v>1918</v>
      </c>
      <c r="D2543" t="s">
        <v>246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35">
      <c r="A2544" t="s">
        <v>1885</v>
      </c>
      <c r="B2544" t="s">
        <v>1886</v>
      </c>
      <c r="C2544" t="s">
        <v>1148</v>
      </c>
      <c r="D2544" t="s">
        <v>246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35">
      <c r="A2545" t="s">
        <v>1885</v>
      </c>
      <c r="B2545" t="s">
        <v>1886</v>
      </c>
      <c r="C2545" t="s">
        <v>1919</v>
      </c>
      <c r="D2545" t="s">
        <v>246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35">
      <c r="A2546" t="s">
        <v>1885</v>
      </c>
      <c r="B2546" t="s">
        <v>1886</v>
      </c>
      <c r="C2546" t="s">
        <v>278</v>
      </c>
      <c r="D2546" t="s">
        <v>246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35">
      <c r="A2547" t="s">
        <v>1885</v>
      </c>
      <c r="B2547" t="s">
        <v>1886</v>
      </c>
      <c r="C2547" t="s">
        <v>1920</v>
      </c>
      <c r="D2547" t="s">
        <v>246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35">
      <c r="A2548" t="s">
        <v>1885</v>
      </c>
      <c r="B2548" t="s">
        <v>1886</v>
      </c>
      <c r="C2548" t="s">
        <v>616</v>
      </c>
      <c r="D2548" t="s">
        <v>246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35">
      <c r="A2549" t="s">
        <v>1885</v>
      </c>
      <c r="B2549" t="s">
        <v>1886</v>
      </c>
      <c r="C2549" t="s">
        <v>283</v>
      </c>
      <c r="D2549" t="s">
        <v>246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35">
      <c r="A2550" t="s">
        <v>1885</v>
      </c>
      <c r="B2550" t="s">
        <v>1886</v>
      </c>
      <c r="C2550" t="s">
        <v>1921</v>
      </c>
      <c r="D2550" t="s">
        <v>246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35">
      <c r="A2551" t="s">
        <v>1885</v>
      </c>
      <c r="B2551" t="s">
        <v>1886</v>
      </c>
      <c r="C2551" t="s">
        <v>323</v>
      </c>
      <c r="D2551" t="s">
        <v>246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35">
      <c r="A2552" t="s">
        <v>1885</v>
      </c>
      <c r="B2552" t="s">
        <v>1886</v>
      </c>
      <c r="C2552" t="s">
        <v>286</v>
      </c>
      <c r="D2552" t="s">
        <v>246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35">
      <c r="A2553" t="s">
        <v>1885</v>
      </c>
      <c r="B2553" t="s">
        <v>1886</v>
      </c>
      <c r="C2553" t="s">
        <v>287</v>
      </c>
      <c r="D2553" t="s">
        <v>246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35">
      <c r="A2554" t="s">
        <v>1885</v>
      </c>
      <c r="B2554" t="s">
        <v>1886</v>
      </c>
      <c r="C2554" t="s">
        <v>685</v>
      </c>
      <c r="D2554" t="s">
        <v>246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35">
      <c r="A2555" t="s">
        <v>1885</v>
      </c>
      <c r="B2555" t="s">
        <v>1886</v>
      </c>
      <c r="C2555" t="s">
        <v>1345</v>
      </c>
      <c r="D2555" t="s">
        <v>246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35">
      <c r="A2556" t="s">
        <v>1885</v>
      </c>
      <c r="B2556" t="s">
        <v>1886</v>
      </c>
      <c r="C2556" t="s">
        <v>1311</v>
      </c>
      <c r="D2556" t="s">
        <v>246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35">
      <c r="A2557" t="s">
        <v>1922</v>
      </c>
      <c r="B2557" t="s">
        <v>1923</v>
      </c>
      <c r="C2557" t="s">
        <v>1543</v>
      </c>
      <c r="D2557" t="s">
        <v>227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35">
      <c r="A2558" t="s">
        <v>1922</v>
      </c>
      <c r="B2558" t="s">
        <v>1923</v>
      </c>
      <c r="C2558" t="s">
        <v>1924</v>
      </c>
      <c r="D2558" t="s">
        <v>227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35">
      <c r="A2559" t="s">
        <v>1922</v>
      </c>
      <c r="B2559" t="s">
        <v>1923</v>
      </c>
      <c r="C2559" t="s">
        <v>548</v>
      </c>
      <c r="D2559" t="s">
        <v>228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35">
      <c r="A2560" t="s">
        <v>1922</v>
      </c>
      <c r="B2560" t="s">
        <v>1923</v>
      </c>
      <c r="C2560" t="s">
        <v>550</v>
      </c>
      <c r="D2560" t="s">
        <v>227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35">
      <c r="A2561" t="s">
        <v>1922</v>
      </c>
      <c r="B2561" t="s">
        <v>1923</v>
      </c>
      <c r="C2561" t="s">
        <v>650</v>
      </c>
      <c r="D2561" t="s">
        <v>227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35">
      <c r="A2562" t="s">
        <v>1922</v>
      </c>
      <c r="B2562" t="s">
        <v>1923</v>
      </c>
      <c r="C2562" t="s">
        <v>1925</v>
      </c>
      <c r="D2562" t="s">
        <v>228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35">
      <c r="A2563" t="s">
        <v>1922</v>
      </c>
      <c r="B2563" t="s">
        <v>1923</v>
      </c>
      <c r="C2563" t="s">
        <v>691</v>
      </c>
      <c r="D2563" t="s">
        <v>228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35">
      <c r="A2564" t="s">
        <v>1922</v>
      </c>
      <c r="B2564" t="s">
        <v>1923</v>
      </c>
      <c r="C2564" t="s">
        <v>1926</v>
      </c>
      <c r="D2564" t="s">
        <v>227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35">
      <c r="A2565" t="s">
        <v>1922</v>
      </c>
      <c r="B2565" t="s">
        <v>1923</v>
      </c>
      <c r="C2565" t="s">
        <v>1927</v>
      </c>
      <c r="D2565" t="s">
        <v>228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35">
      <c r="A2566" t="s">
        <v>1922</v>
      </c>
      <c r="B2566" t="s">
        <v>1923</v>
      </c>
      <c r="C2566" t="s">
        <v>912</v>
      </c>
      <c r="D2566" t="s">
        <v>228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35">
      <c r="A2567" t="s">
        <v>1922</v>
      </c>
      <c r="B2567" t="s">
        <v>1923</v>
      </c>
      <c r="C2567" t="s">
        <v>1751</v>
      </c>
      <c r="D2567" t="s">
        <v>228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35">
      <c r="A2568" t="s">
        <v>1922</v>
      </c>
      <c r="B2568" t="s">
        <v>1923</v>
      </c>
      <c r="C2568" t="s">
        <v>1928</v>
      </c>
      <c r="D2568" t="s">
        <v>227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35">
      <c r="A2569" t="s">
        <v>1922</v>
      </c>
      <c r="B2569" t="s">
        <v>1923</v>
      </c>
      <c r="C2569" t="s">
        <v>1754</v>
      </c>
      <c r="D2569" t="s">
        <v>228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35">
      <c r="A2570" t="s">
        <v>1922</v>
      </c>
      <c r="B2570" t="s">
        <v>1923</v>
      </c>
      <c r="C2570" t="s">
        <v>556</v>
      </c>
      <c r="D2570" t="s">
        <v>227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35">
      <c r="A2571" t="s">
        <v>1922</v>
      </c>
      <c r="B2571" t="s">
        <v>1923</v>
      </c>
      <c r="C2571" t="s">
        <v>1929</v>
      </c>
      <c r="D2571" t="s">
        <v>228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35">
      <c r="A2572" t="s">
        <v>1922</v>
      </c>
      <c r="B2572" t="s">
        <v>1923</v>
      </c>
      <c r="C2572" t="s">
        <v>1930</v>
      </c>
      <c r="D2572" t="s">
        <v>227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35">
      <c r="A2573" t="s">
        <v>1922</v>
      </c>
      <c r="B2573" t="s">
        <v>1923</v>
      </c>
      <c r="C2573" t="s">
        <v>920</v>
      </c>
      <c r="D2573" t="s">
        <v>228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35">
      <c r="A2574" t="s">
        <v>1922</v>
      </c>
      <c r="B2574" t="s">
        <v>1923</v>
      </c>
      <c r="C2574" t="s">
        <v>922</v>
      </c>
      <c r="D2574" t="s">
        <v>227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35">
      <c r="A2575" t="s">
        <v>1922</v>
      </c>
      <c r="B2575" t="s">
        <v>1923</v>
      </c>
      <c r="C2575" t="s">
        <v>1931</v>
      </c>
      <c r="D2575" t="s">
        <v>227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35">
      <c r="A2576" t="s">
        <v>1922</v>
      </c>
      <c r="B2576" t="s">
        <v>1923</v>
      </c>
      <c r="C2576" t="s">
        <v>560</v>
      </c>
      <c r="D2576" t="s">
        <v>227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35">
      <c r="A2577" t="s">
        <v>1922</v>
      </c>
      <c r="B2577" t="s">
        <v>1923</v>
      </c>
      <c r="C2577" t="s">
        <v>1759</v>
      </c>
      <c r="D2577" t="s">
        <v>228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35">
      <c r="A2578" t="s">
        <v>1922</v>
      </c>
      <c r="B2578" t="s">
        <v>1923</v>
      </c>
      <c r="C2578" t="s">
        <v>1932</v>
      </c>
      <c r="D2578" t="s">
        <v>228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35">
      <c r="A2579" t="s">
        <v>1922</v>
      </c>
      <c r="B2579" t="s">
        <v>1923</v>
      </c>
      <c r="C2579" t="s">
        <v>1933</v>
      </c>
      <c r="D2579" t="s">
        <v>228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35">
      <c r="A2580" t="s">
        <v>1922</v>
      </c>
      <c r="B2580" t="s">
        <v>1923</v>
      </c>
      <c r="C2580" t="s">
        <v>1934</v>
      </c>
      <c r="D2580" t="s">
        <v>228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35">
      <c r="A2581" t="s">
        <v>1922</v>
      </c>
      <c r="B2581" t="s">
        <v>1923</v>
      </c>
      <c r="C2581" t="s">
        <v>1935</v>
      </c>
      <c r="D2581" t="s">
        <v>228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35">
      <c r="A2582" t="s">
        <v>1922</v>
      </c>
      <c r="B2582" t="s">
        <v>1923</v>
      </c>
      <c r="C2582" t="s">
        <v>1251</v>
      </c>
      <c r="D2582" t="s">
        <v>228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35">
      <c r="A2583" t="s">
        <v>1922</v>
      </c>
      <c r="B2583" t="s">
        <v>1923</v>
      </c>
      <c r="C2583" t="s">
        <v>586</v>
      </c>
      <c r="D2583" t="s">
        <v>228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35">
      <c r="A2584" t="s">
        <v>1922</v>
      </c>
      <c r="B2584" t="s">
        <v>1923</v>
      </c>
      <c r="C2584" t="s">
        <v>1055</v>
      </c>
      <c r="D2584" t="s">
        <v>228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35">
      <c r="A2585" t="s">
        <v>1936</v>
      </c>
      <c r="B2585" t="s">
        <v>693</v>
      </c>
      <c r="C2585" t="s">
        <v>515</v>
      </c>
      <c r="D2585" t="s">
        <v>246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35">
      <c r="A2586" t="s">
        <v>1936</v>
      </c>
      <c r="B2586" t="s">
        <v>693</v>
      </c>
      <c r="C2586" t="s">
        <v>572</v>
      </c>
      <c r="D2586" t="s">
        <v>227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35">
      <c r="A2587" t="s">
        <v>1936</v>
      </c>
      <c r="B2587" t="s">
        <v>693</v>
      </c>
      <c r="C2587" t="s">
        <v>1360</v>
      </c>
      <c r="D2587" t="s">
        <v>227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35">
      <c r="A2588" t="s">
        <v>1936</v>
      </c>
      <c r="B2588" t="s">
        <v>693</v>
      </c>
      <c r="C2588" t="s">
        <v>1937</v>
      </c>
      <c r="D2588" t="s">
        <v>227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35">
      <c r="A2589" t="s">
        <v>1936</v>
      </c>
      <c r="B2589" t="s">
        <v>693</v>
      </c>
      <c r="C2589" t="s">
        <v>1938</v>
      </c>
      <c r="D2589" t="s">
        <v>227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35">
      <c r="A2590" t="s">
        <v>1936</v>
      </c>
      <c r="B2590" t="s">
        <v>693</v>
      </c>
      <c r="C2590" t="s">
        <v>1939</v>
      </c>
      <c r="D2590" t="s">
        <v>227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35">
      <c r="A2591" t="s">
        <v>1936</v>
      </c>
      <c r="B2591" t="s">
        <v>693</v>
      </c>
      <c r="C2591" t="s">
        <v>1940</v>
      </c>
      <c r="D2591" t="s">
        <v>227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35">
      <c r="A2592" t="s">
        <v>1936</v>
      </c>
      <c r="B2592" t="s">
        <v>693</v>
      </c>
      <c r="C2592" t="s">
        <v>577</v>
      </c>
      <c r="D2592" t="s">
        <v>246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35">
      <c r="A2593" t="s">
        <v>1936</v>
      </c>
      <c r="B2593" t="s">
        <v>693</v>
      </c>
      <c r="C2593" t="s">
        <v>249</v>
      </c>
      <c r="D2593" t="s">
        <v>227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35">
      <c r="A2594" t="s">
        <v>1936</v>
      </c>
      <c r="B2594" t="s">
        <v>693</v>
      </c>
      <c r="C2594" t="s">
        <v>446</v>
      </c>
      <c r="D2594" t="s">
        <v>227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35">
      <c r="A2595" t="s">
        <v>1936</v>
      </c>
      <c r="B2595" t="s">
        <v>693</v>
      </c>
      <c r="C2595" t="s">
        <v>1567</v>
      </c>
      <c r="D2595" t="s">
        <v>227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35">
      <c r="A2596" t="s">
        <v>1936</v>
      </c>
      <c r="B2596" t="s">
        <v>693</v>
      </c>
      <c r="C2596" t="s">
        <v>529</v>
      </c>
      <c r="D2596" t="s">
        <v>227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35">
      <c r="A2597" t="s">
        <v>1936</v>
      </c>
      <c r="B2597" t="s">
        <v>693</v>
      </c>
      <c r="C2597" t="s">
        <v>1941</v>
      </c>
      <c r="D2597" t="s">
        <v>246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35">
      <c r="A2598" t="s">
        <v>1936</v>
      </c>
      <c r="B2598" t="s">
        <v>693</v>
      </c>
      <c r="C2598" t="s">
        <v>579</v>
      </c>
      <c r="D2598" t="s">
        <v>227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35">
      <c r="A2599" t="s">
        <v>1936</v>
      </c>
      <c r="B2599" t="s">
        <v>693</v>
      </c>
      <c r="C2599" t="s">
        <v>1942</v>
      </c>
      <c r="D2599" t="s">
        <v>227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35">
      <c r="A2600" t="s">
        <v>1936</v>
      </c>
      <c r="B2600" t="s">
        <v>693</v>
      </c>
      <c r="C2600" t="s">
        <v>1943</v>
      </c>
      <c r="D2600" t="s">
        <v>227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35">
      <c r="A2601" t="s">
        <v>1936</v>
      </c>
      <c r="B2601" t="s">
        <v>693</v>
      </c>
      <c r="C2601" t="s">
        <v>459</v>
      </c>
      <c r="D2601" t="s">
        <v>227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35">
      <c r="A2602" t="s">
        <v>1936</v>
      </c>
      <c r="B2602" t="s">
        <v>693</v>
      </c>
      <c r="C2602" t="s">
        <v>1944</v>
      </c>
      <c r="D2602" t="s">
        <v>227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35">
      <c r="A2603" t="s">
        <v>1936</v>
      </c>
      <c r="B2603" t="s">
        <v>693</v>
      </c>
      <c r="C2603" t="s">
        <v>1945</v>
      </c>
      <c r="D2603" t="s">
        <v>227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35">
      <c r="A2604" t="s">
        <v>1936</v>
      </c>
      <c r="B2604" t="s">
        <v>693</v>
      </c>
      <c r="C2604" t="s">
        <v>1946</v>
      </c>
      <c r="D2604" t="s">
        <v>227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35">
      <c r="A2605" t="s">
        <v>1936</v>
      </c>
      <c r="B2605" t="s">
        <v>693</v>
      </c>
      <c r="C2605" t="s">
        <v>583</v>
      </c>
      <c r="D2605" t="s">
        <v>227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35">
      <c r="A2606" t="s">
        <v>1936</v>
      </c>
      <c r="B2606" t="s">
        <v>693</v>
      </c>
      <c r="C2606" t="s">
        <v>955</v>
      </c>
      <c r="D2606" t="s">
        <v>227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35">
      <c r="A2607" t="s">
        <v>1936</v>
      </c>
      <c r="B2607" t="s">
        <v>693</v>
      </c>
      <c r="C2607" t="s">
        <v>409</v>
      </c>
      <c r="D2607" t="s">
        <v>227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35">
      <c r="A2608" t="s">
        <v>1936</v>
      </c>
      <c r="B2608" t="s">
        <v>693</v>
      </c>
      <c r="C2608" t="s">
        <v>271</v>
      </c>
      <c r="D2608" t="s">
        <v>227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35">
      <c r="A2609" t="s">
        <v>1936</v>
      </c>
      <c r="B2609" t="s">
        <v>693</v>
      </c>
      <c r="C2609" t="s">
        <v>272</v>
      </c>
      <c r="D2609" t="s">
        <v>227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35">
      <c r="A2610" t="s">
        <v>1936</v>
      </c>
      <c r="B2610" t="s">
        <v>693</v>
      </c>
      <c r="C2610" t="s">
        <v>313</v>
      </c>
      <c r="D2610" t="s">
        <v>227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35">
      <c r="A2611" t="s">
        <v>1936</v>
      </c>
      <c r="B2611" t="s">
        <v>693</v>
      </c>
      <c r="C2611" t="s">
        <v>1947</v>
      </c>
      <c r="D2611" t="s">
        <v>246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35">
      <c r="A2612" t="s">
        <v>1936</v>
      </c>
      <c r="B2612" t="s">
        <v>693</v>
      </c>
      <c r="C2612" t="s">
        <v>1948</v>
      </c>
      <c r="D2612" t="s">
        <v>227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35">
      <c r="A2613" t="s">
        <v>1936</v>
      </c>
      <c r="B2613" t="s">
        <v>693</v>
      </c>
      <c r="C2613" t="s">
        <v>274</v>
      </c>
      <c r="D2613" t="s">
        <v>227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35">
      <c r="A2614" t="s">
        <v>1936</v>
      </c>
      <c r="B2614" t="s">
        <v>693</v>
      </c>
      <c r="C2614" t="s">
        <v>1949</v>
      </c>
      <c r="D2614" t="s">
        <v>227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35">
      <c r="A2615" t="s">
        <v>1936</v>
      </c>
      <c r="B2615" t="s">
        <v>693</v>
      </c>
      <c r="C2615" t="s">
        <v>608</v>
      </c>
      <c r="D2615" t="s">
        <v>246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35">
      <c r="A2616" t="s">
        <v>1936</v>
      </c>
      <c r="B2616" t="s">
        <v>693</v>
      </c>
      <c r="C2616" t="s">
        <v>609</v>
      </c>
      <c r="D2616" t="s">
        <v>227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35">
      <c r="A2617" t="s">
        <v>1936</v>
      </c>
      <c r="B2617" t="s">
        <v>693</v>
      </c>
      <c r="C2617" t="s">
        <v>610</v>
      </c>
      <c r="D2617" t="s">
        <v>227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35">
      <c r="A2618" t="s">
        <v>1936</v>
      </c>
      <c r="B2618" t="s">
        <v>693</v>
      </c>
      <c r="C2618" t="s">
        <v>611</v>
      </c>
      <c r="D2618" t="s">
        <v>227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35">
      <c r="A2619" t="s">
        <v>1936</v>
      </c>
      <c r="B2619" t="s">
        <v>693</v>
      </c>
      <c r="C2619" t="s">
        <v>276</v>
      </c>
      <c r="D2619" t="s">
        <v>227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35">
      <c r="A2620" t="s">
        <v>1936</v>
      </c>
      <c r="B2620" t="s">
        <v>693</v>
      </c>
      <c r="C2620" t="s">
        <v>1295</v>
      </c>
      <c r="D2620" t="s">
        <v>227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35">
      <c r="A2621" t="s">
        <v>1936</v>
      </c>
      <c r="B2621" t="s">
        <v>693</v>
      </c>
      <c r="C2621" t="s">
        <v>1950</v>
      </c>
      <c r="D2621" t="s">
        <v>227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35">
      <c r="A2622" t="s">
        <v>1951</v>
      </c>
      <c r="B2622" t="s">
        <v>1952</v>
      </c>
      <c r="C2622" t="s">
        <v>1953</v>
      </c>
      <c r="D2622" t="s">
        <v>246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35">
      <c r="A2623" t="s">
        <v>1951</v>
      </c>
      <c r="B2623" t="s">
        <v>1952</v>
      </c>
      <c r="C2623" t="s">
        <v>1621</v>
      </c>
      <c r="D2623" t="s">
        <v>246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35">
      <c r="A2624" t="s">
        <v>1951</v>
      </c>
      <c r="B2624" t="s">
        <v>1952</v>
      </c>
      <c r="C2624" t="s">
        <v>1954</v>
      </c>
      <c r="D2624" t="s">
        <v>246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35">
      <c r="A2625" t="s">
        <v>1951</v>
      </c>
      <c r="B2625" t="s">
        <v>1952</v>
      </c>
      <c r="C2625" t="s">
        <v>1955</v>
      </c>
      <c r="D2625" t="s">
        <v>246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35">
      <c r="A2626" t="s">
        <v>1951</v>
      </c>
      <c r="B2626" t="s">
        <v>1952</v>
      </c>
      <c r="C2626" t="s">
        <v>1956</v>
      </c>
      <c r="D2626" t="s">
        <v>246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35">
      <c r="A2627" t="s">
        <v>1951</v>
      </c>
      <c r="B2627" t="s">
        <v>1952</v>
      </c>
      <c r="C2627" t="s">
        <v>531</v>
      </c>
      <c r="D2627" t="s">
        <v>246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35">
      <c r="A2628" t="s">
        <v>1951</v>
      </c>
      <c r="B2628" t="s">
        <v>1952</v>
      </c>
      <c r="C2628" t="s">
        <v>583</v>
      </c>
      <c r="D2628" t="s">
        <v>246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35">
      <c r="A2629" t="s">
        <v>1951</v>
      </c>
      <c r="B2629" t="s">
        <v>1952</v>
      </c>
      <c r="C2629" t="s">
        <v>1136</v>
      </c>
      <c r="D2629" t="s">
        <v>246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35">
      <c r="A2630" t="s">
        <v>1951</v>
      </c>
      <c r="B2630" t="s">
        <v>1952</v>
      </c>
      <c r="C2630" t="s">
        <v>623</v>
      </c>
      <c r="D2630" t="s">
        <v>246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35">
      <c r="A2631" t="s">
        <v>1951</v>
      </c>
      <c r="B2631" t="s">
        <v>1952</v>
      </c>
      <c r="C2631" t="s">
        <v>373</v>
      </c>
      <c r="D2631" t="s">
        <v>246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35">
      <c r="A2632" t="s">
        <v>1951</v>
      </c>
      <c r="B2632" t="s">
        <v>1952</v>
      </c>
      <c r="C2632" t="s">
        <v>1957</v>
      </c>
      <c r="D2632" t="s">
        <v>246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35">
      <c r="A2633" t="s">
        <v>1951</v>
      </c>
      <c r="B2633" t="s">
        <v>1952</v>
      </c>
      <c r="C2633" t="s">
        <v>479</v>
      </c>
      <c r="D2633" t="s">
        <v>246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35">
      <c r="A2634" t="s">
        <v>1951</v>
      </c>
      <c r="B2634" t="s">
        <v>1952</v>
      </c>
      <c r="C2634" t="s">
        <v>315</v>
      </c>
      <c r="D2634" t="s">
        <v>246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35">
      <c r="A2635" t="s">
        <v>1951</v>
      </c>
      <c r="B2635" t="s">
        <v>1952</v>
      </c>
      <c r="C2635" t="s">
        <v>1958</v>
      </c>
      <c r="D2635" t="s">
        <v>246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35">
      <c r="A2636" t="s">
        <v>1951</v>
      </c>
      <c r="B2636" t="s">
        <v>1952</v>
      </c>
      <c r="C2636" t="s">
        <v>1959</v>
      </c>
      <c r="D2636" t="s">
        <v>246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35">
      <c r="A2637" t="s">
        <v>1951</v>
      </c>
      <c r="B2637" t="s">
        <v>1952</v>
      </c>
      <c r="C2637" t="s">
        <v>633</v>
      </c>
      <c r="D2637" t="s">
        <v>246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35">
      <c r="A2638" t="s">
        <v>1951</v>
      </c>
      <c r="B2638" t="s">
        <v>1952</v>
      </c>
      <c r="C2638" t="s">
        <v>635</v>
      </c>
      <c r="D2638" t="s">
        <v>246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35">
      <c r="A2639" t="s">
        <v>1951</v>
      </c>
      <c r="B2639" t="s">
        <v>1952</v>
      </c>
      <c r="C2639" t="s">
        <v>1146</v>
      </c>
      <c r="D2639" t="s">
        <v>246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35">
      <c r="A2640" t="s">
        <v>1951</v>
      </c>
      <c r="B2640" t="s">
        <v>1952</v>
      </c>
      <c r="C2640" t="s">
        <v>278</v>
      </c>
      <c r="D2640" t="s">
        <v>246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35">
      <c r="A2641" t="s">
        <v>1951</v>
      </c>
      <c r="B2641" t="s">
        <v>1952</v>
      </c>
      <c r="C2641" t="s">
        <v>279</v>
      </c>
      <c r="D2641" t="s">
        <v>246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35">
      <c r="A2642" t="s">
        <v>1951</v>
      </c>
      <c r="B2642" t="s">
        <v>1952</v>
      </c>
      <c r="C2642" t="s">
        <v>1920</v>
      </c>
      <c r="D2642" t="s">
        <v>246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35">
      <c r="A2643" t="s">
        <v>1951</v>
      </c>
      <c r="B2643" t="s">
        <v>1952</v>
      </c>
      <c r="C2643" t="s">
        <v>1960</v>
      </c>
      <c r="D2643" t="s">
        <v>246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35">
      <c r="A2644" t="s">
        <v>1951</v>
      </c>
      <c r="B2644" t="s">
        <v>1952</v>
      </c>
      <c r="C2644" t="s">
        <v>1961</v>
      </c>
      <c r="D2644" t="s">
        <v>246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35">
      <c r="A2645" t="s">
        <v>1951</v>
      </c>
      <c r="B2645" t="s">
        <v>1952</v>
      </c>
      <c r="C2645" t="s">
        <v>379</v>
      </c>
      <c r="D2645" t="s">
        <v>246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35">
      <c r="A2646" t="s">
        <v>1951</v>
      </c>
      <c r="B2646" t="s">
        <v>1952</v>
      </c>
      <c r="C2646" t="s">
        <v>1962</v>
      </c>
      <c r="D2646" t="s">
        <v>246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35">
      <c r="A2647" t="s">
        <v>1951</v>
      </c>
      <c r="B2647" t="s">
        <v>1952</v>
      </c>
      <c r="C2647" t="s">
        <v>1963</v>
      </c>
      <c r="D2647" t="s">
        <v>246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35">
      <c r="A2648" t="s">
        <v>1951</v>
      </c>
      <c r="B2648" t="s">
        <v>1952</v>
      </c>
      <c r="C2648" t="s">
        <v>323</v>
      </c>
      <c r="D2648" t="s">
        <v>246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35">
      <c r="A2649" t="s">
        <v>1951</v>
      </c>
      <c r="B2649" t="s">
        <v>1952</v>
      </c>
      <c r="C2649" t="s">
        <v>325</v>
      </c>
      <c r="D2649" t="s">
        <v>246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35">
      <c r="A2650" t="s">
        <v>1951</v>
      </c>
      <c r="B2650" t="s">
        <v>1952</v>
      </c>
      <c r="C2650" t="s">
        <v>1964</v>
      </c>
      <c r="D2650" t="s">
        <v>246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35">
      <c r="A2651" t="s">
        <v>1951</v>
      </c>
      <c r="B2651" t="s">
        <v>1952</v>
      </c>
      <c r="C2651" t="s">
        <v>1965</v>
      </c>
      <c r="D2651" t="s">
        <v>246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35">
      <c r="A2652" t="s">
        <v>1951</v>
      </c>
      <c r="B2652" t="s">
        <v>1952</v>
      </c>
      <c r="C2652" t="s">
        <v>290</v>
      </c>
      <c r="D2652" t="s">
        <v>246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35">
      <c r="A2653" t="s">
        <v>1951</v>
      </c>
      <c r="B2653" t="s">
        <v>1952</v>
      </c>
      <c r="C2653" t="s">
        <v>1966</v>
      </c>
      <c r="D2653" t="s">
        <v>246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35">
      <c r="A2654" t="s">
        <v>1951</v>
      </c>
      <c r="B2654" t="s">
        <v>1952</v>
      </c>
      <c r="C2654" t="s">
        <v>1967</v>
      </c>
      <c r="D2654" t="s">
        <v>246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35">
      <c r="A2655" t="s">
        <v>1951</v>
      </c>
      <c r="B2655" t="s">
        <v>1952</v>
      </c>
      <c r="C2655" t="s">
        <v>1968</v>
      </c>
      <c r="D2655" t="s">
        <v>246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35">
      <c r="A2656" t="s">
        <v>1951</v>
      </c>
      <c r="B2656" t="s">
        <v>1952</v>
      </c>
      <c r="C2656" t="s">
        <v>1543</v>
      </c>
      <c r="D2656" t="s">
        <v>246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35">
      <c r="A2657" t="s">
        <v>1951</v>
      </c>
      <c r="B2657" t="s">
        <v>1952</v>
      </c>
      <c r="C2657" t="s">
        <v>813</v>
      </c>
      <c r="D2657" t="s">
        <v>246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35">
      <c r="A2658" t="s">
        <v>1951</v>
      </c>
      <c r="B2658" t="s">
        <v>1952</v>
      </c>
      <c r="C2658" t="s">
        <v>1969</v>
      </c>
      <c r="D2658" t="s">
        <v>246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35">
      <c r="A2659" t="s">
        <v>1951</v>
      </c>
      <c r="B2659" t="s">
        <v>1952</v>
      </c>
      <c r="C2659" t="s">
        <v>1043</v>
      </c>
      <c r="D2659" t="s">
        <v>246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35">
      <c r="A2660" t="s">
        <v>1951</v>
      </c>
      <c r="B2660" t="s">
        <v>1952</v>
      </c>
      <c r="C2660" t="s">
        <v>1970</v>
      </c>
      <c r="D2660" t="s">
        <v>246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35">
      <c r="A2661" t="s">
        <v>1951</v>
      </c>
      <c r="B2661" t="s">
        <v>1952</v>
      </c>
      <c r="C2661" t="s">
        <v>1971</v>
      </c>
      <c r="D2661" t="s">
        <v>246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35">
      <c r="A2662" t="s">
        <v>1951</v>
      </c>
      <c r="B2662" t="s">
        <v>1952</v>
      </c>
      <c r="C2662" t="s">
        <v>1952</v>
      </c>
      <c r="D2662" t="s">
        <v>246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35">
      <c r="A2663" t="s">
        <v>1951</v>
      </c>
      <c r="B2663" t="s">
        <v>1952</v>
      </c>
      <c r="C2663" t="s">
        <v>1972</v>
      </c>
      <c r="D2663" t="s">
        <v>246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35">
      <c r="A2664" t="s">
        <v>1951</v>
      </c>
      <c r="B2664" t="s">
        <v>1952</v>
      </c>
      <c r="C2664" t="s">
        <v>655</v>
      </c>
      <c r="D2664" t="s">
        <v>246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35">
      <c r="A2665" t="s">
        <v>1951</v>
      </c>
      <c r="B2665" t="s">
        <v>1952</v>
      </c>
      <c r="C2665" t="s">
        <v>657</v>
      </c>
      <c r="D2665" t="s">
        <v>246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35">
      <c r="A2666" t="s">
        <v>1951</v>
      </c>
      <c r="B2666" t="s">
        <v>1952</v>
      </c>
      <c r="C2666" t="s">
        <v>658</v>
      </c>
      <c r="D2666" t="s">
        <v>246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35">
      <c r="A2667" t="s">
        <v>1951</v>
      </c>
      <c r="B2667" t="s">
        <v>1952</v>
      </c>
      <c r="C2667" t="s">
        <v>1973</v>
      </c>
      <c r="D2667" t="s">
        <v>246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35">
      <c r="A2668" t="s">
        <v>1951</v>
      </c>
      <c r="B2668" t="s">
        <v>1952</v>
      </c>
      <c r="C2668" t="s">
        <v>1974</v>
      </c>
      <c r="D2668" t="s">
        <v>246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35">
      <c r="A2669" t="s">
        <v>1951</v>
      </c>
      <c r="B2669" t="s">
        <v>1952</v>
      </c>
      <c r="C2669" t="s">
        <v>825</v>
      </c>
      <c r="D2669" t="s">
        <v>246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35">
      <c r="A2670" t="s">
        <v>1951</v>
      </c>
      <c r="B2670" t="s">
        <v>1952</v>
      </c>
      <c r="C2670" t="s">
        <v>659</v>
      </c>
      <c r="D2670" t="s">
        <v>246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35">
      <c r="A2671" t="s">
        <v>1951</v>
      </c>
      <c r="B2671" t="s">
        <v>1952</v>
      </c>
      <c r="C2671" t="s">
        <v>1975</v>
      </c>
      <c r="D2671" t="s">
        <v>246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35">
      <c r="A2672" t="s">
        <v>1951</v>
      </c>
      <c r="B2672" t="s">
        <v>1952</v>
      </c>
      <c r="C2672" t="s">
        <v>1976</v>
      </c>
      <c r="D2672" t="s">
        <v>246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35">
      <c r="A2673" t="s">
        <v>1951</v>
      </c>
      <c r="B2673" t="s">
        <v>1952</v>
      </c>
      <c r="C2673" t="s">
        <v>1977</v>
      </c>
      <c r="D2673" t="s">
        <v>246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35">
      <c r="A2674" t="s">
        <v>1951</v>
      </c>
      <c r="B2674" t="s">
        <v>1952</v>
      </c>
      <c r="C2674" t="s">
        <v>1524</v>
      </c>
      <c r="D2674" t="s">
        <v>246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35">
      <c r="A2675" t="s">
        <v>1951</v>
      </c>
      <c r="B2675" t="s">
        <v>1952</v>
      </c>
      <c r="C2675" t="s">
        <v>1978</v>
      </c>
      <c r="D2675" t="s">
        <v>246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35">
      <c r="A2676" t="s">
        <v>1951</v>
      </c>
      <c r="B2676" t="s">
        <v>1952</v>
      </c>
      <c r="C2676" t="s">
        <v>1231</v>
      </c>
      <c r="D2676" t="s">
        <v>246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35">
      <c r="A2677" t="s">
        <v>1951</v>
      </c>
      <c r="B2677" t="s">
        <v>1952</v>
      </c>
      <c r="C2677" t="s">
        <v>868</v>
      </c>
      <c r="D2677" t="s">
        <v>356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35">
      <c r="A2678" t="s">
        <v>1951</v>
      </c>
      <c r="B2678" t="s">
        <v>1952</v>
      </c>
      <c r="C2678" t="s">
        <v>1979</v>
      </c>
      <c r="D2678" t="s">
        <v>246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35">
      <c r="A2679" t="s">
        <v>1951</v>
      </c>
      <c r="B2679" t="s">
        <v>1952</v>
      </c>
      <c r="C2679" t="s">
        <v>1980</v>
      </c>
      <c r="D2679" t="s">
        <v>246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35">
      <c r="A2680" t="s">
        <v>1951</v>
      </c>
      <c r="B2680" t="s">
        <v>1952</v>
      </c>
      <c r="C2680" t="s">
        <v>1981</v>
      </c>
      <c r="D2680" t="s">
        <v>246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35">
      <c r="A2681" t="s">
        <v>1951</v>
      </c>
      <c r="B2681" t="s">
        <v>1952</v>
      </c>
      <c r="C2681" t="s">
        <v>307</v>
      </c>
      <c r="D2681" t="s">
        <v>246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35">
      <c r="A2682" t="s">
        <v>1951</v>
      </c>
      <c r="B2682" t="s">
        <v>1952</v>
      </c>
      <c r="C2682" t="s">
        <v>1982</v>
      </c>
      <c r="D2682" t="s">
        <v>246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35">
      <c r="A2683" t="s">
        <v>1951</v>
      </c>
      <c r="B2683" t="s">
        <v>1952</v>
      </c>
      <c r="C2683" t="s">
        <v>1983</v>
      </c>
      <c r="D2683" t="s">
        <v>246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35">
      <c r="A2684" t="s">
        <v>1951</v>
      </c>
      <c r="B2684" t="s">
        <v>1952</v>
      </c>
      <c r="C2684" t="s">
        <v>1984</v>
      </c>
      <c r="D2684" t="s">
        <v>246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35">
      <c r="A2685" t="s">
        <v>1985</v>
      </c>
      <c r="B2685" t="s">
        <v>1801</v>
      </c>
      <c r="C2685" t="s">
        <v>426</v>
      </c>
      <c r="D2685" t="s">
        <v>227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35">
      <c r="A2686" t="s">
        <v>1985</v>
      </c>
      <c r="B2686" t="s">
        <v>1801</v>
      </c>
      <c r="C2686" t="s">
        <v>574</v>
      </c>
      <c r="D2686" t="s">
        <v>226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35">
      <c r="A2687" t="s">
        <v>1986</v>
      </c>
      <c r="B2687" t="s">
        <v>1987</v>
      </c>
      <c r="C2687" t="s">
        <v>1578</v>
      </c>
      <c r="D2687" t="s">
        <v>227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35">
      <c r="A2688" t="s">
        <v>1986</v>
      </c>
      <c r="B2688" t="s">
        <v>1987</v>
      </c>
      <c r="C2688" t="s">
        <v>279</v>
      </c>
      <c r="D2688" t="s">
        <v>227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35">
      <c r="A2689" t="s">
        <v>1986</v>
      </c>
      <c r="B2689" t="s">
        <v>1987</v>
      </c>
      <c r="C2689" t="s">
        <v>1988</v>
      </c>
      <c r="D2689" t="s">
        <v>227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35">
      <c r="A2690" t="s">
        <v>1986</v>
      </c>
      <c r="B2690" t="s">
        <v>1987</v>
      </c>
      <c r="C2690" t="s">
        <v>1989</v>
      </c>
      <c r="D2690" t="s">
        <v>227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35">
      <c r="A2691" t="s">
        <v>1986</v>
      </c>
      <c r="B2691" t="s">
        <v>1987</v>
      </c>
      <c r="C2691" t="s">
        <v>904</v>
      </c>
      <c r="D2691" t="s">
        <v>227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35">
      <c r="A2692" t="s">
        <v>1986</v>
      </c>
      <c r="B2692" t="s">
        <v>1987</v>
      </c>
      <c r="C2692" t="s">
        <v>282</v>
      </c>
      <c r="D2692" t="s">
        <v>227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35">
      <c r="A2693" t="s">
        <v>1986</v>
      </c>
      <c r="B2693" t="s">
        <v>1987</v>
      </c>
      <c r="C2693" t="s">
        <v>1990</v>
      </c>
      <c r="D2693" t="s">
        <v>227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35">
      <c r="A2694" t="s">
        <v>1986</v>
      </c>
      <c r="B2694" t="s">
        <v>1987</v>
      </c>
      <c r="C2694" t="s">
        <v>1991</v>
      </c>
      <c r="D2694" t="s">
        <v>227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35">
      <c r="A2695" t="s">
        <v>1986</v>
      </c>
      <c r="B2695" t="s">
        <v>1987</v>
      </c>
      <c r="C2695" t="s">
        <v>1992</v>
      </c>
      <c r="D2695" t="s">
        <v>227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35">
      <c r="A2696" t="s">
        <v>1986</v>
      </c>
      <c r="B2696" t="s">
        <v>1987</v>
      </c>
      <c r="C2696" t="s">
        <v>1993</v>
      </c>
      <c r="D2696" t="s">
        <v>227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35">
      <c r="A2697" t="s">
        <v>1986</v>
      </c>
      <c r="B2697" t="s">
        <v>1987</v>
      </c>
      <c r="C2697" t="s">
        <v>1994</v>
      </c>
      <c r="D2697" t="s">
        <v>227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35">
      <c r="A2698" t="s">
        <v>1986</v>
      </c>
      <c r="B2698" t="s">
        <v>1987</v>
      </c>
      <c r="C2698" t="s">
        <v>550</v>
      </c>
      <c r="D2698" t="s">
        <v>227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35">
      <c r="A2699" t="s">
        <v>1986</v>
      </c>
      <c r="B2699" t="s">
        <v>1987</v>
      </c>
      <c r="C2699" t="s">
        <v>1995</v>
      </c>
      <c r="D2699" t="s">
        <v>227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35">
      <c r="A2700" t="s">
        <v>1986</v>
      </c>
      <c r="B2700" t="s">
        <v>1987</v>
      </c>
      <c r="C2700" t="s">
        <v>292</v>
      </c>
      <c r="D2700" t="s">
        <v>227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35">
      <c r="A2701" t="s">
        <v>1986</v>
      </c>
      <c r="B2701" t="s">
        <v>1987</v>
      </c>
      <c r="C2701" t="s">
        <v>293</v>
      </c>
      <c r="D2701" t="s">
        <v>246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35">
      <c r="A2702" t="s">
        <v>1986</v>
      </c>
      <c r="B2702" t="s">
        <v>1987</v>
      </c>
      <c r="C2702" t="s">
        <v>1996</v>
      </c>
      <c r="D2702" t="s">
        <v>227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35">
      <c r="A2703" t="s">
        <v>1986</v>
      </c>
      <c r="B2703" t="s">
        <v>1987</v>
      </c>
      <c r="C2703" t="s">
        <v>987</v>
      </c>
      <c r="D2703" t="s">
        <v>227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35">
      <c r="A2704" t="s">
        <v>1986</v>
      </c>
      <c r="B2704" t="s">
        <v>1987</v>
      </c>
      <c r="C2704" t="s">
        <v>1315</v>
      </c>
      <c r="D2704" t="s">
        <v>227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35">
      <c r="A2705" t="s">
        <v>1986</v>
      </c>
      <c r="B2705" t="s">
        <v>1987</v>
      </c>
      <c r="C2705" t="s">
        <v>295</v>
      </c>
      <c r="D2705" t="s">
        <v>227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35">
      <c r="A2706" t="s">
        <v>1986</v>
      </c>
      <c r="B2706" t="s">
        <v>1987</v>
      </c>
      <c r="C2706" t="s">
        <v>1997</v>
      </c>
      <c r="D2706" t="s">
        <v>246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35">
      <c r="A2707" t="s">
        <v>1986</v>
      </c>
      <c r="B2707" t="s">
        <v>1987</v>
      </c>
      <c r="C2707" t="s">
        <v>297</v>
      </c>
      <c r="D2707" t="s">
        <v>227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35">
      <c r="A2708" t="s">
        <v>1986</v>
      </c>
      <c r="B2708" t="s">
        <v>1987</v>
      </c>
      <c r="C2708" t="s">
        <v>1998</v>
      </c>
      <c r="D2708" t="s">
        <v>227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35">
      <c r="A2709" t="s">
        <v>1986</v>
      </c>
      <c r="B2709" t="s">
        <v>1987</v>
      </c>
      <c r="C2709" t="s">
        <v>1999</v>
      </c>
      <c r="D2709" t="s">
        <v>227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35">
      <c r="A2710" t="s">
        <v>1986</v>
      </c>
      <c r="B2710" t="s">
        <v>1987</v>
      </c>
      <c r="C2710" t="s">
        <v>2000</v>
      </c>
      <c r="D2710" t="s">
        <v>227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35">
      <c r="A2711" t="s">
        <v>1986</v>
      </c>
      <c r="B2711" t="s">
        <v>1987</v>
      </c>
      <c r="C2711" t="s">
        <v>725</v>
      </c>
      <c r="D2711" t="s">
        <v>227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35">
      <c r="A2712" t="s">
        <v>1986</v>
      </c>
      <c r="B2712" t="s">
        <v>1987</v>
      </c>
      <c r="C2712" t="s">
        <v>866</v>
      </c>
      <c r="D2712" t="s">
        <v>227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35">
      <c r="A2713" t="s">
        <v>1986</v>
      </c>
      <c r="B2713" t="s">
        <v>1987</v>
      </c>
      <c r="C2713" t="s">
        <v>2001</v>
      </c>
      <c r="D2713" t="s">
        <v>227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35">
      <c r="A2714" t="s">
        <v>1986</v>
      </c>
      <c r="B2714" t="s">
        <v>1987</v>
      </c>
      <c r="C2714" t="s">
        <v>979</v>
      </c>
      <c r="D2714" t="s">
        <v>227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35">
      <c r="A2715" t="s">
        <v>1986</v>
      </c>
      <c r="B2715" t="s">
        <v>1987</v>
      </c>
      <c r="C2715" t="s">
        <v>346</v>
      </c>
      <c r="D2715" t="s">
        <v>227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35">
      <c r="A2716" t="s">
        <v>1986</v>
      </c>
      <c r="B2716" t="s">
        <v>1987</v>
      </c>
      <c r="C2716" t="s">
        <v>2002</v>
      </c>
      <c r="D2716" t="s">
        <v>227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35">
      <c r="A2717" t="s">
        <v>1986</v>
      </c>
      <c r="B2717" t="s">
        <v>1987</v>
      </c>
      <c r="C2717" t="s">
        <v>496</v>
      </c>
      <c r="D2717" t="s">
        <v>227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35">
      <c r="A2718" t="s">
        <v>1986</v>
      </c>
      <c r="B2718" t="s">
        <v>1987</v>
      </c>
      <c r="C2718" t="s">
        <v>307</v>
      </c>
      <c r="D2718" t="s">
        <v>227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35">
      <c r="A2719" t="s">
        <v>1986</v>
      </c>
      <c r="B2719" t="s">
        <v>1987</v>
      </c>
      <c r="C2719" t="s">
        <v>497</v>
      </c>
      <c r="D2719" t="s">
        <v>227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35">
      <c r="A2720" t="s">
        <v>1986</v>
      </c>
      <c r="B2720" t="s">
        <v>1987</v>
      </c>
      <c r="C2720" t="s">
        <v>2003</v>
      </c>
      <c r="D2720" t="s">
        <v>227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35">
      <c r="A2721" t="s">
        <v>1986</v>
      </c>
      <c r="B2721" t="s">
        <v>1987</v>
      </c>
      <c r="C2721" t="s">
        <v>1357</v>
      </c>
      <c r="D2721" t="s">
        <v>227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35">
      <c r="A2722" t="s">
        <v>1986</v>
      </c>
      <c r="B2722" t="s">
        <v>1987</v>
      </c>
      <c r="C2722" t="s">
        <v>727</v>
      </c>
      <c r="D2722" t="s">
        <v>246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35">
      <c r="A2723" t="s">
        <v>2004</v>
      </c>
      <c r="B2723" t="s">
        <v>2005</v>
      </c>
      <c r="C2723" t="s">
        <v>752</v>
      </c>
      <c r="D2723" t="s">
        <v>227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35">
      <c r="A2724" t="s">
        <v>2004</v>
      </c>
      <c r="B2724" t="s">
        <v>2005</v>
      </c>
      <c r="C2724" t="s">
        <v>419</v>
      </c>
      <c r="D2724" t="s">
        <v>227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35">
      <c r="A2725" t="s">
        <v>2004</v>
      </c>
      <c r="B2725" t="s">
        <v>2005</v>
      </c>
      <c r="C2725" t="s">
        <v>2006</v>
      </c>
      <c r="D2725" t="s">
        <v>227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35">
      <c r="A2726" t="s">
        <v>2004</v>
      </c>
      <c r="B2726" t="s">
        <v>2005</v>
      </c>
      <c r="C2726" t="s">
        <v>2007</v>
      </c>
      <c r="D2726" t="s">
        <v>227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35">
      <c r="A2727" t="s">
        <v>2004</v>
      </c>
      <c r="B2727" t="s">
        <v>2005</v>
      </c>
      <c r="C2727" t="s">
        <v>307</v>
      </c>
      <c r="D2727" t="s">
        <v>227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35">
      <c r="A2728" t="s">
        <v>2008</v>
      </c>
      <c r="B2728" t="s">
        <v>2009</v>
      </c>
      <c r="C2728" t="s">
        <v>2010</v>
      </c>
      <c r="D2728" t="s">
        <v>246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35">
      <c r="A2729" t="s">
        <v>2008</v>
      </c>
      <c r="B2729" t="s">
        <v>2009</v>
      </c>
      <c r="C2729" t="s">
        <v>2011</v>
      </c>
      <c r="D2729" t="s">
        <v>246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35">
      <c r="A2730" t="s">
        <v>2008</v>
      </c>
      <c r="B2730" t="s">
        <v>2009</v>
      </c>
      <c r="C2730" t="s">
        <v>2012</v>
      </c>
      <c r="D2730" t="s">
        <v>242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35">
      <c r="A2731" t="s">
        <v>2008</v>
      </c>
      <c r="B2731" t="s">
        <v>2009</v>
      </c>
      <c r="C2731" t="s">
        <v>1173</v>
      </c>
      <c r="D2731" t="s">
        <v>246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35">
      <c r="A2732" t="s">
        <v>2008</v>
      </c>
      <c r="B2732" t="s">
        <v>2009</v>
      </c>
      <c r="C2732" t="s">
        <v>2013</v>
      </c>
      <c r="D2732" t="s">
        <v>242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35">
      <c r="A2733" t="s">
        <v>2008</v>
      </c>
      <c r="B2733" t="s">
        <v>2009</v>
      </c>
      <c r="C2733" t="s">
        <v>2014</v>
      </c>
      <c r="D2733" t="s">
        <v>242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35">
      <c r="A2734" t="s">
        <v>2008</v>
      </c>
      <c r="B2734" t="s">
        <v>2009</v>
      </c>
      <c r="C2734" t="s">
        <v>1892</v>
      </c>
      <c r="D2734" t="s">
        <v>242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35">
      <c r="A2735" t="s">
        <v>2008</v>
      </c>
      <c r="B2735" t="s">
        <v>2009</v>
      </c>
      <c r="C2735" t="s">
        <v>1337</v>
      </c>
      <c r="D2735" t="s">
        <v>242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35">
      <c r="A2736" t="s">
        <v>2008</v>
      </c>
      <c r="B2736" t="s">
        <v>2009</v>
      </c>
      <c r="C2736" t="s">
        <v>250</v>
      </c>
      <c r="D2736" t="s">
        <v>246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35">
      <c r="A2737" t="s">
        <v>2008</v>
      </c>
      <c r="B2737" t="s">
        <v>2009</v>
      </c>
      <c r="C2737" t="s">
        <v>2015</v>
      </c>
      <c r="D2737" t="s">
        <v>242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35">
      <c r="A2738" t="s">
        <v>2008</v>
      </c>
      <c r="B2738" t="s">
        <v>2009</v>
      </c>
      <c r="C2738" t="s">
        <v>252</v>
      </c>
      <c r="D2738" t="s">
        <v>246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35">
      <c r="A2739" t="s">
        <v>2008</v>
      </c>
      <c r="B2739" t="s">
        <v>2009</v>
      </c>
      <c r="C2739" t="s">
        <v>1099</v>
      </c>
      <c r="D2739" t="s">
        <v>246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35">
      <c r="A2740" t="s">
        <v>2008</v>
      </c>
      <c r="B2740" t="s">
        <v>2009</v>
      </c>
      <c r="C2740" t="s">
        <v>2016</v>
      </c>
      <c r="D2740" t="s">
        <v>246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35">
      <c r="A2741" t="s">
        <v>2008</v>
      </c>
      <c r="B2741" t="s">
        <v>2009</v>
      </c>
      <c r="C2741" t="s">
        <v>2017</v>
      </c>
      <c r="D2741" t="s">
        <v>246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35">
      <c r="A2742" t="s">
        <v>2008</v>
      </c>
      <c r="B2742" t="s">
        <v>2009</v>
      </c>
      <c r="C2742" t="s">
        <v>2018</v>
      </c>
      <c r="D2742" t="s">
        <v>242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35">
      <c r="A2743" t="s">
        <v>2008</v>
      </c>
      <c r="B2743" t="s">
        <v>2009</v>
      </c>
      <c r="C2743" t="s">
        <v>2019</v>
      </c>
      <c r="D2743" t="s">
        <v>246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35">
      <c r="A2744" t="s">
        <v>2008</v>
      </c>
      <c r="B2744" t="s">
        <v>2009</v>
      </c>
      <c r="C2744" t="s">
        <v>2020</v>
      </c>
      <c r="D2744" t="s">
        <v>246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35">
      <c r="A2745" t="s">
        <v>2008</v>
      </c>
      <c r="B2745" t="s">
        <v>2009</v>
      </c>
      <c r="C2745" t="s">
        <v>738</v>
      </c>
      <c r="D2745" t="s">
        <v>242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35">
      <c r="A2746" t="s">
        <v>2008</v>
      </c>
      <c r="B2746" t="s">
        <v>2009</v>
      </c>
      <c r="C2746" t="s">
        <v>2021</v>
      </c>
      <c r="D2746" t="s">
        <v>246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35">
      <c r="A2747" t="s">
        <v>2008</v>
      </c>
      <c r="B2747" t="s">
        <v>2009</v>
      </c>
      <c r="C2747" t="s">
        <v>409</v>
      </c>
      <c r="D2747" t="s">
        <v>246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35">
      <c r="A2748" t="s">
        <v>2008</v>
      </c>
      <c r="B2748" t="s">
        <v>2009</v>
      </c>
      <c r="C2748" t="s">
        <v>2022</v>
      </c>
      <c r="D2748" t="s">
        <v>246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35">
      <c r="A2749" t="s">
        <v>2008</v>
      </c>
      <c r="B2749" t="s">
        <v>2009</v>
      </c>
      <c r="C2749" t="s">
        <v>2023</v>
      </c>
      <c r="D2749" t="s">
        <v>242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35">
      <c r="A2750" t="s">
        <v>2008</v>
      </c>
      <c r="B2750" t="s">
        <v>2009</v>
      </c>
      <c r="C2750" t="s">
        <v>2024</v>
      </c>
      <c r="D2750" t="s">
        <v>246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35">
      <c r="A2751" t="s">
        <v>2008</v>
      </c>
      <c r="B2751" t="s">
        <v>2009</v>
      </c>
      <c r="C2751" t="s">
        <v>632</v>
      </c>
      <c r="D2751" t="s">
        <v>246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35">
      <c r="A2752" t="s">
        <v>2025</v>
      </c>
      <c r="B2752" t="s">
        <v>2026</v>
      </c>
      <c r="C2752" t="s">
        <v>2027</v>
      </c>
      <c r="D2752" t="s">
        <v>227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35">
      <c r="A2753" t="s">
        <v>2025</v>
      </c>
      <c r="B2753" t="s">
        <v>2026</v>
      </c>
      <c r="C2753" t="s">
        <v>645</v>
      </c>
      <c r="D2753" t="s">
        <v>227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35">
      <c r="A2754" t="s">
        <v>2025</v>
      </c>
      <c r="B2754" t="s">
        <v>2026</v>
      </c>
      <c r="C2754" t="s">
        <v>646</v>
      </c>
      <c r="D2754" t="s">
        <v>227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35">
      <c r="A2755" t="s">
        <v>2025</v>
      </c>
      <c r="B2755" t="s">
        <v>2026</v>
      </c>
      <c r="C2755" t="s">
        <v>2028</v>
      </c>
      <c r="D2755" t="s">
        <v>227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35">
      <c r="A2756" t="s">
        <v>2025</v>
      </c>
      <c r="B2756" t="s">
        <v>2026</v>
      </c>
      <c r="C2756" t="s">
        <v>2029</v>
      </c>
      <c r="D2756" t="s">
        <v>227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35">
      <c r="A2757" t="s">
        <v>2025</v>
      </c>
      <c r="B2757" t="s">
        <v>2026</v>
      </c>
      <c r="C2757" t="s">
        <v>2030</v>
      </c>
      <c r="D2757" t="s">
        <v>227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35">
      <c r="A2758" t="s">
        <v>2025</v>
      </c>
      <c r="B2758" t="s">
        <v>2026</v>
      </c>
      <c r="C2758" t="s">
        <v>2031</v>
      </c>
      <c r="D2758" t="s">
        <v>227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35">
      <c r="A2759" t="s">
        <v>2025</v>
      </c>
      <c r="B2759" t="s">
        <v>2026</v>
      </c>
      <c r="C2759" t="s">
        <v>1748</v>
      </c>
      <c r="D2759" t="s">
        <v>227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35">
      <c r="A2760" t="s">
        <v>2025</v>
      </c>
      <c r="B2760" t="s">
        <v>2026</v>
      </c>
      <c r="C2760" t="s">
        <v>911</v>
      </c>
      <c r="D2760" t="s">
        <v>227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35">
      <c r="A2761" t="s">
        <v>2025</v>
      </c>
      <c r="B2761" t="s">
        <v>2026</v>
      </c>
      <c r="C2761" t="s">
        <v>1998</v>
      </c>
      <c r="D2761" t="s">
        <v>227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35">
      <c r="A2762" t="s">
        <v>2025</v>
      </c>
      <c r="B2762" t="s">
        <v>2026</v>
      </c>
      <c r="C2762" t="s">
        <v>2032</v>
      </c>
      <c r="D2762" t="s">
        <v>227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35">
      <c r="A2763" t="s">
        <v>2025</v>
      </c>
      <c r="B2763" t="s">
        <v>2026</v>
      </c>
      <c r="C2763" t="s">
        <v>2033</v>
      </c>
      <c r="D2763" t="s">
        <v>227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35">
      <c r="A2764" t="s">
        <v>2025</v>
      </c>
      <c r="B2764" t="s">
        <v>2026</v>
      </c>
      <c r="C2764" t="s">
        <v>859</v>
      </c>
      <c r="D2764" t="s">
        <v>227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35">
      <c r="A2765" t="s">
        <v>2025</v>
      </c>
      <c r="B2765" t="s">
        <v>2026</v>
      </c>
      <c r="C2765" t="s">
        <v>2034</v>
      </c>
      <c r="D2765" t="s">
        <v>227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35">
      <c r="A2766" t="s">
        <v>2025</v>
      </c>
      <c r="B2766" t="s">
        <v>2026</v>
      </c>
      <c r="C2766" t="s">
        <v>2035</v>
      </c>
      <c r="D2766" t="s">
        <v>227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35">
      <c r="A2767" t="s">
        <v>2025</v>
      </c>
      <c r="B2767" t="s">
        <v>2026</v>
      </c>
      <c r="C2767" t="s">
        <v>2036</v>
      </c>
      <c r="D2767" t="s">
        <v>227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35">
      <c r="A2768" t="s">
        <v>2025</v>
      </c>
      <c r="B2768" t="s">
        <v>2026</v>
      </c>
      <c r="C2768" t="s">
        <v>705</v>
      </c>
      <c r="D2768" t="s">
        <v>227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35">
      <c r="A2769" t="s">
        <v>2025</v>
      </c>
      <c r="B2769" t="s">
        <v>2026</v>
      </c>
      <c r="C2769" t="s">
        <v>2037</v>
      </c>
      <c r="D2769" t="s">
        <v>227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35">
      <c r="A2770" t="s">
        <v>2025</v>
      </c>
      <c r="B2770" t="s">
        <v>2026</v>
      </c>
      <c r="C2770" t="s">
        <v>491</v>
      </c>
      <c r="D2770" t="s">
        <v>227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35">
      <c r="A2771" t="s">
        <v>2025</v>
      </c>
      <c r="B2771" t="s">
        <v>2026</v>
      </c>
      <c r="C2771" t="s">
        <v>346</v>
      </c>
      <c r="D2771" t="s">
        <v>227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35">
      <c r="A2772" t="s">
        <v>2025</v>
      </c>
      <c r="B2772" t="s">
        <v>2026</v>
      </c>
      <c r="C2772" t="s">
        <v>2038</v>
      </c>
      <c r="D2772" t="s">
        <v>227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35">
      <c r="A2773" t="s">
        <v>2025</v>
      </c>
      <c r="B2773" t="s">
        <v>2026</v>
      </c>
      <c r="C2773" t="s">
        <v>2039</v>
      </c>
      <c r="D2773" t="s">
        <v>227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35">
      <c r="A2774" t="s">
        <v>2025</v>
      </c>
      <c r="B2774" t="s">
        <v>2026</v>
      </c>
      <c r="C2774" t="s">
        <v>2040</v>
      </c>
      <c r="D2774" t="s">
        <v>227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35">
      <c r="A2775" t="s">
        <v>2041</v>
      </c>
      <c r="B2775" t="s">
        <v>2042</v>
      </c>
      <c r="C2775" t="s">
        <v>1173</v>
      </c>
      <c r="D2775" t="s">
        <v>246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35">
      <c r="A2776" t="s">
        <v>2041</v>
      </c>
      <c r="B2776" t="s">
        <v>2042</v>
      </c>
      <c r="C2776" t="s">
        <v>1092</v>
      </c>
      <c r="D2776" t="s">
        <v>246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35">
      <c r="A2777" t="s">
        <v>2041</v>
      </c>
      <c r="B2777" t="s">
        <v>2042</v>
      </c>
      <c r="C2777" t="s">
        <v>574</v>
      </c>
      <c r="D2777" t="s">
        <v>246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35">
      <c r="A2778" t="s">
        <v>2041</v>
      </c>
      <c r="B2778" t="s">
        <v>2042</v>
      </c>
      <c r="C2778" t="s">
        <v>2043</v>
      </c>
      <c r="D2778" t="s">
        <v>246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35">
      <c r="A2779" t="s">
        <v>2041</v>
      </c>
      <c r="B2779" t="s">
        <v>2042</v>
      </c>
      <c r="C2779" t="s">
        <v>247</v>
      </c>
      <c r="D2779" t="s">
        <v>246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35">
      <c r="A2780" t="s">
        <v>2041</v>
      </c>
      <c r="B2780" t="s">
        <v>2042</v>
      </c>
      <c r="C2780" t="s">
        <v>1427</v>
      </c>
      <c r="D2780" t="s">
        <v>246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35">
      <c r="A2781" t="s">
        <v>2041</v>
      </c>
      <c r="B2781" t="s">
        <v>2042</v>
      </c>
      <c r="C2781" t="s">
        <v>1129</v>
      </c>
      <c r="D2781" t="s">
        <v>246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35">
      <c r="A2782" t="s">
        <v>2041</v>
      </c>
      <c r="B2782" t="s">
        <v>2042</v>
      </c>
      <c r="C2782" t="s">
        <v>2044</v>
      </c>
      <c r="D2782" t="s">
        <v>246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35">
      <c r="A2783" t="s">
        <v>2041</v>
      </c>
      <c r="B2783" t="s">
        <v>2042</v>
      </c>
      <c r="C2783" t="s">
        <v>446</v>
      </c>
      <c r="D2783" t="s">
        <v>246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35">
      <c r="A2784" t="s">
        <v>2041</v>
      </c>
      <c r="B2784" t="s">
        <v>2042</v>
      </c>
      <c r="C2784" t="s">
        <v>876</v>
      </c>
      <c r="D2784" t="s">
        <v>246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35">
      <c r="A2785" t="s">
        <v>2041</v>
      </c>
      <c r="B2785" t="s">
        <v>2042</v>
      </c>
      <c r="C2785" t="s">
        <v>2045</v>
      </c>
      <c r="D2785" t="s">
        <v>246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35">
      <c r="A2786" t="s">
        <v>2041</v>
      </c>
      <c r="B2786" t="s">
        <v>2042</v>
      </c>
      <c r="C2786" t="s">
        <v>1099</v>
      </c>
      <c r="D2786" t="s">
        <v>246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35">
      <c r="A2787" t="s">
        <v>2041</v>
      </c>
      <c r="B2787" t="s">
        <v>2042</v>
      </c>
      <c r="C2787" t="s">
        <v>1668</v>
      </c>
      <c r="D2787" t="s">
        <v>246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35">
      <c r="A2788" t="s">
        <v>2041</v>
      </c>
      <c r="B2788" t="s">
        <v>2042</v>
      </c>
      <c r="C2788" t="s">
        <v>256</v>
      </c>
      <c r="D2788" t="s">
        <v>246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35">
      <c r="A2789" t="s">
        <v>2041</v>
      </c>
      <c r="B2789" t="s">
        <v>2042</v>
      </c>
      <c r="C2789" t="s">
        <v>2046</v>
      </c>
      <c r="D2789" t="s">
        <v>246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35">
      <c r="A2790" t="s">
        <v>2041</v>
      </c>
      <c r="B2790" t="s">
        <v>2042</v>
      </c>
      <c r="C2790" t="s">
        <v>258</v>
      </c>
      <c r="D2790" t="s">
        <v>246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35">
      <c r="A2791" t="s">
        <v>2041</v>
      </c>
      <c r="B2791" t="s">
        <v>2042</v>
      </c>
      <c r="C2791" t="s">
        <v>2047</v>
      </c>
      <c r="D2791" t="s">
        <v>246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35">
      <c r="A2792" t="s">
        <v>2041</v>
      </c>
      <c r="B2792" t="s">
        <v>2042</v>
      </c>
      <c r="C2792" t="s">
        <v>719</v>
      </c>
      <c r="D2792" t="s">
        <v>246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35">
      <c r="A2793" t="s">
        <v>2041</v>
      </c>
      <c r="B2793" t="s">
        <v>2042</v>
      </c>
      <c r="C2793" t="s">
        <v>1906</v>
      </c>
      <c r="D2793" t="s">
        <v>246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35">
      <c r="A2794" t="s">
        <v>2041</v>
      </c>
      <c r="B2794" t="s">
        <v>2042</v>
      </c>
      <c r="C2794" t="s">
        <v>463</v>
      </c>
      <c r="D2794" t="s">
        <v>246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35">
      <c r="A2795" t="s">
        <v>2041</v>
      </c>
      <c r="B2795" t="s">
        <v>2042</v>
      </c>
      <c r="C2795" t="s">
        <v>267</v>
      </c>
      <c r="D2795" t="s">
        <v>246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35">
      <c r="A2796" t="s">
        <v>2041</v>
      </c>
      <c r="B2796" t="s">
        <v>2042</v>
      </c>
      <c r="C2796" t="s">
        <v>2048</v>
      </c>
      <c r="D2796" t="s">
        <v>246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35">
      <c r="A2797" t="s">
        <v>2041</v>
      </c>
      <c r="B2797" t="s">
        <v>2042</v>
      </c>
      <c r="C2797" t="s">
        <v>2049</v>
      </c>
      <c r="D2797" t="s">
        <v>246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35">
      <c r="A2798" t="s">
        <v>2041</v>
      </c>
      <c r="B2798" t="s">
        <v>2042</v>
      </c>
      <c r="C2798" t="s">
        <v>271</v>
      </c>
      <c r="D2798" t="s">
        <v>246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35">
      <c r="A2799" t="s">
        <v>2041</v>
      </c>
      <c r="B2799" t="s">
        <v>2042</v>
      </c>
      <c r="C2799" t="s">
        <v>2050</v>
      </c>
      <c r="D2799" t="s">
        <v>246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35">
      <c r="A2800" t="s">
        <v>2041</v>
      </c>
      <c r="B2800" t="s">
        <v>2042</v>
      </c>
      <c r="C2800" t="s">
        <v>272</v>
      </c>
      <c r="D2800" t="s">
        <v>246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35">
      <c r="A2801" t="s">
        <v>2041</v>
      </c>
      <c r="B2801" t="s">
        <v>2042</v>
      </c>
      <c r="C2801" t="s">
        <v>1582</v>
      </c>
      <c r="D2801" t="s">
        <v>246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35">
      <c r="A2802" t="s">
        <v>2041</v>
      </c>
      <c r="B2802" t="s">
        <v>2042</v>
      </c>
      <c r="C2802" t="s">
        <v>1286</v>
      </c>
      <c r="D2802" t="s">
        <v>246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35">
      <c r="A2803" t="s">
        <v>2041</v>
      </c>
      <c r="B2803" t="s">
        <v>2042</v>
      </c>
      <c r="C2803" t="s">
        <v>2051</v>
      </c>
      <c r="D2803" t="s">
        <v>246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35">
      <c r="A2804" t="s">
        <v>2041</v>
      </c>
      <c r="B2804" t="s">
        <v>2042</v>
      </c>
      <c r="C2804" t="s">
        <v>274</v>
      </c>
      <c r="D2804" t="s">
        <v>246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35">
      <c r="A2805" t="s">
        <v>2041</v>
      </c>
      <c r="B2805" t="s">
        <v>2042</v>
      </c>
      <c r="C2805" t="s">
        <v>606</v>
      </c>
      <c r="D2805" t="s">
        <v>246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35">
      <c r="A2806" t="s">
        <v>2041</v>
      </c>
      <c r="B2806" t="s">
        <v>2042</v>
      </c>
      <c r="C2806" t="s">
        <v>2052</v>
      </c>
      <c r="D2806" t="s">
        <v>246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35">
      <c r="A2807" t="s">
        <v>2041</v>
      </c>
      <c r="B2807" t="s">
        <v>2042</v>
      </c>
      <c r="C2807" t="s">
        <v>608</v>
      </c>
      <c r="D2807" t="s">
        <v>246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35">
      <c r="A2808" t="s">
        <v>2041</v>
      </c>
      <c r="B2808" t="s">
        <v>2042</v>
      </c>
      <c r="C2808" t="s">
        <v>609</v>
      </c>
      <c r="D2808" t="s">
        <v>246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35">
      <c r="A2809" t="s">
        <v>2041</v>
      </c>
      <c r="B2809" t="s">
        <v>2042</v>
      </c>
      <c r="C2809" t="s">
        <v>1200</v>
      </c>
      <c r="D2809" t="s">
        <v>246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35">
      <c r="A2810" t="s">
        <v>2041</v>
      </c>
      <c r="B2810" t="s">
        <v>2042</v>
      </c>
      <c r="C2810" t="s">
        <v>610</v>
      </c>
      <c r="D2810" t="s">
        <v>246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35">
      <c r="A2811" t="s">
        <v>2041</v>
      </c>
      <c r="B2811" t="s">
        <v>2042</v>
      </c>
      <c r="C2811" t="s">
        <v>2053</v>
      </c>
      <c r="D2811" t="s">
        <v>246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35">
      <c r="A2812" t="s">
        <v>2041</v>
      </c>
      <c r="B2812" t="s">
        <v>2042</v>
      </c>
      <c r="C2812" t="s">
        <v>1916</v>
      </c>
      <c r="D2812" t="s">
        <v>246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35">
      <c r="A2813" t="s">
        <v>2041</v>
      </c>
      <c r="B2813" t="s">
        <v>2042</v>
      </c>
      <c r="C2813" t="s">
        <v>672</v>
      </c>
      <c r="D2813" t="s">
        <v>246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35">
      <c r="A2814" t="s">
        <v>2041</v>
      </c>
      <c r="B2814" t="s">
        <v>2042</v>
      </c>
      <c r="C2814" t="s">
        <v>276</v>
      </c>
      <c r="D2814" t="s">
        <v>246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35">
      <c r="A2815" t="s">
        <v>2041</v>
      </c>
      <c r="B2815" t="s">
        <v>2042</v>
      </c>
      <c r="C2815" t="s">
        <v>673</v>
      </c>
      <c r="D2815" t="s">
        <v>246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35">
      <c r="A2816" t="s">
        <v>2041</v>
      </c>
      <c r="B2816" t="s">
        <v>2042</v>
      </c>
      <c r="C2816" t="s">
        <v>277</v>
      </c>
      <c r="D2816" t="s">
        <v>246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35">
      <c r="A2817" t="s">
        <v>2054</v>
      </c>
      <c r="B2817" t="s">
        <v>868</v>
      </c>
      <c r="C2817" t="s">
        <v>2055</v>
      </c>
      <c r="D2817" t="s">
        <v>242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35">
      <c r="A2818" t="s">
        <v>2054</v>
      </c>
      <c r="B2818" t="s">
        <v>868</v>
      </c>
      <c r="C2818" t="s">
        <v>1637</v>
      </c>
      <c r="D2818" t="s">
        <v>242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35">
      <c r="A2819" t="s">
        <v>2054</v>
      </c>
      <c r="B2819" t="s">
        <v>868</v>
      </c>
      <c r="C2819" t="s">
        <v>2056</v>
      </c>
      <c r="D2819" t="s">
        <v>242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35">
      <c r="A2820" t="s">
        <v>2054</v>
      </c>
      <c r="B2820" t="s">
        <v>868</v>
      </c>
      <c r="C2820" t="s">
        <v>2057</v>
      </c>
      <c r="D2820" t="s">
        <v>242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35">
      <c r="A2821" t="s">
        <v>2054</v>
      </c>
      <c r="B2821" t="s">
        <v>868</v>
      </c>
      <c r="C2821" t="s">
        <v>2058</v>
      </c>
      <c r="D2821" t="s">
        <v>358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35">
      <c r="A2822" t="s">
        <v>2054</v>
      </c>
      <c r="B2822" t="s">
        <v>868</v>
      </c>
      <c r="C2822" t="s">
        <v>2059</v>
      </c>
      <c r="D2822" t="s">
        <v>242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35">
      <c r="A2823" t="s">
        <v>2054</v>
      </c>
      <c r="B2823" t="s">
        <v>868</v>
      </c>
      <c r="C2823" t="s">
        <v>2060</v>
      </c>
      <c r="D2823" t="s">
        <v>242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35">
      <c r="A2824" t="s">
        <v>2054</v>
      </c>
      <c r="B2824" t="s">
        <v>868</v>
      </c>
      <c r="C2824" t="s">
        <v>2061</v>
      </c>
      <c r="D2824" t="s">
        <v>242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35">
      <c r="A2825" t="s">
        <v>2054</v>
      </c>
      <c r="B2825" t="s">
        <v>868</v>
      </c>
      <c r="C2825" t="s">
        <v>2062</v>
      </c>
      <c r="D2825" t="s">
        <v>242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35">
      <c r="A2826" t="s">
        <v>2054</v>
      </c>
      <c r="B2826" t="s">
        <v>868</v>
      </c>
      <c r="C2826" t="s">
        <v>2063</v>
      </c>
      <c r="D2826" t="s">
        <v>358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35">
      <c r="A2827" t="s">
        <v>2054</v>
      </c>
      <c r="B2827" t="s">
        <v>868</v>
      </c>
      <c r="C2827" t="s">
        <v>2064</v>
      </c>
      <c r="D2827" t="s">
        <v>356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35">
      <c r="A2828" t="s">
        <v>2054</v>
      </c>
      <c r="B2828" t="s">
        <v>868</v>
      </c>
      <c r="C2828" t="s">
        <v>439</v>
      </c>
      <c r="D2828" t="s">
        <v>242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35">
      <c r="A2829" t="s">
        <v>2054</v>
      </c>
      <c r="B2829" t="s">
        <v>868</v>
      </c>
      <c r="C2829" t="s">
        <v>577</v>
      </c>
      <c r="D2829" t="s">
        <v>242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35">
      <c r="A2830" t="s">
        <v>2054</v>
      </c>
      <c r="B2830" t="s">
        <v>868</v>
      </c>
      <c r="C2830" t="s">
        <v>2065</v>
      </c>
      <c r="D2830" t="s">
        <v>242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35">
      <c r="A2831" t="s">
        <v>2054</v>
      </c>
      <c r="B2831" t="s">
        <v>868</v>
      </c>
      <c r="C2831" t="s">
        <v>2066</v>
      </c>
      <c r="D2831" t="s">
        <v>242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35">
      <c r="A2832" t="s">
        <v>2054</v>
      </c>
      <c r="B2832" t="s">
        <v>868</v>
      </c>
      <c r="C2832" t="s">
        <v>1644</v>
      </c>
      <c r="D2832" t="s">
        <v>242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35">
      <c r="A2833" t="s">
        <v>2054</v>
      </c>
      <c r="B2833" t="s">
        <v>868</v>
      </c>
      <c r="C2833" t="s">
        <v>250</v>
      </c>
      <c r="D2833" t="s">
        <v>242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35">
      <c r="A2834" t="s">
        <v>2054</v>
      </c>
      <c r="B2834" t="s">
        <v>868</v>
      </c>
      <c r="C2834" t="s">
        <v>2067</v>
      </c>
      <c r="D2834" t="s">
        <v>358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35">
      <c r="A2835" t="s">
        <v>2054</v>
      </c>
      <c r="B2835" t="s">
        <v>868</v>
      </c>
      <c r="C2835" t="s">
        <v>1097</v>
      </c>
      <c r="D2835" t="s">
        <v>242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35">
      <c r="A2836" t="s">
        <v>2054</v>
      </c>
      <c r="B2836" t="s">
        <v>868</v>
      </c>
      <c r="C2836" t="s">
        <v>2068</v>
      </c>
      <c r="D2836" t="s">
        <v>242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35">
      <c r="A2837" t="s">
        <v>2054</v>
      </c>
      <c r="B2837" t="s">
        <v>868</v>
      </c>
      <c r="C2837" t="s">
        <v>2069</v>
      </c>
      <c r="D2837" t="s">
        <v>356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35">
      <c r="A2838" t="s">
        <v>2054</v>
      </c>
      <c r="B2838" t="s">
        <v>868</v>
      </c>
      <c r="C2838" t="s">
        <v>578</v>
      </c>
      <c r="D2838" t="s">
        <v>242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35">
      <c r="A2839" t="s">
        <v>2054</v>
      </c>
      <c r="B2839" t="s">
        <v>868</v>
      </c>
      <c r="C2839" t="s">
        <v>2070</v>
      </c>
      <c r="D2839" t="s">
        <v>356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35">
      <c r="A2840" t="s">
        <v>2054</v>
      </c>
      <c r="B2840" t="s">
        <v>868</v>
      </c>
      <c r="C2840" t="s">
        <v>251</v>
      </c>
      <c r="D2840" t="s">
        <v>242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35">
      <c r="A2841" t="s">
        <v>2054</v>
      </c>
      <c r="B2841" t="s">
        <v>868</v>
      </c>
      <c r="C2841" t="s">
        <v>252</v>
      </c>
      <c r="D2841" t="s">
        <v>242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35">
      <c r="A2842" t="s">
        <v>2054</v>
      </c>
      <c r="B2842" t="s">
        <v>868</v>
      </c>
      <c r="C2842" t="s">
        <v>2071</v>
      </c>
      <c r="D2842" t="s">
        <v>358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35">
      <c r="A2843" t="s">
        <v>2054</v>
      </c>
      <c r="B2843" t="s">
        <v>868</v>
      </c>
      <c r="C2843" t="s">
        <v>256</v>
      </c>
      <c r="D2843" t="s">
        <v>246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35">
      <c r="A2844" t="s">
        <v>2054</v>
      </c>
      <c r="B2844" t="s">
        <v>868</v>
      </c>
      <c r="C2844" t="s">
        <v>2072</v>
      </c>
      <c r="D2844" t="s">
        <v>356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35">
      <c r="A2845" t="s">
        <v>2054</v>
      </c>
      <c r="B2845" t="s">
        <v>868</v>
      </c>
      <c r="C2845" t="s">
        <v>2073</v>
      </c>
      <c r="D2845" t="s">
        <v>358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35">
      <c r="A2846" t="s">
        <v>2054</v>
      </c>
      <c r="B2846" t="s">
        <v>868</v>
      </c>
      <c r="C2846" t="s">
        <v>2074</v>
      </c>
      <c r="D2846" t="s">
        <v>358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35">
      <c r="A2847" t="s">
        <v>2054</v>
      </c>
      <c r="B2847" t="s">
        <v>868</v>
      </c>
      <c r="C2847" t="s">
        <v>2075</v>
      </c>
      <c r="D2847" t="s">
        <v>242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35">
      <c r="A2848" t="s">
        <v>2054</v>
      </c>
      <c r="B2848" t="s">
        <v>868</v>
      </c>
      <c r="C2848" t="s">
        <v>2076</v>
      </c>
      <c r="D2848" t="s">
        <v>358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35">
      <c r="A2849" t="s">
        <v>2054</v>
      </c>
      <c r="B2849" t="s">
        <v>868</v>
      </c>
      <c r="C2849" t="s">
        <v>1476</v>
      </c>
      <c r="D2849" t="s">
        <v>242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35">
      <c r="A2850" t="s">
        <v>2054</v>
      </c>
      <c r="B2850" t="s">
        <v>868</v>
      </c>
      <c r="C2850" t="s">
        <v>2077</v>
      </c>
      <c r="D2850" t="s">
        <v>242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35">
      <c r="A2851" t="s">
        <v>2054</v>
      </c>
      <c r="B2851" t="s">
        <v>868</v>
      </c>
      <c r="C2851" t="s">
        <v>1621</v>
      </c>
      <c r="D2851" t="s">
        <v>242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35">
      <c r="A2852" t="s">
        <v>2054</v>
      </c>
      <c r="B2852" t="s">
        <v>868</v>
      </c>
      <c r="C2852" t="s">
        <v>2078</v>
      </c>
      <c r="D2852" t="s">
        <v>358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35">
      <c r="A2853" t="s">
        <v>2054</v>
      </c>
      <c r="B2853" t="s">
        <v>868</v>
      </c>
      <c r="C2853" t="s">
        <v>2079</v>
      </c>
      <c r="D2853" t="s">
        <v>246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35">
      <c r="A2854" t="s">
        <v>2054</v>
      </c>
      <c r="B2854" t="s">
        <v>868</v>
      </c>
      <c r="C2854" t="s">
        <v>2080</v>
      </c>
      <c r="D2854" t="s">
        <v>242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35">
      <c r="A2855" t="s">
        <v>2054</v>
      </c>
      <c r="B2855" t="s">
        <v>868</v>
      </c>
      <c r="C2855" t="s">
        <v>2081</v>
      </c>
      <c r="D2855" t="s">
        <v>358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35">
      <c r="A2856" t="s">
        <v>2054</v>
      </c>
      <c r="B2856" t="s">
        <v>868</v>
      </c>
      <c r="C2856" t="s">
        <v>2082</v>
      </c>
      <c r="D2856" t="s">
        <v>358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35">
      <c r="A2857" t="s">
        <v>2054</v>
      </c>
      <c r="B2857" t="s">
        <v>868</v>
      </c>
      <c r="C2857" t="s">
        <v>2047</v>
      </c>
      <c r="D2857" t="s">
        <v>358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35">
      <c r="A2858" t="s">
        <v>2054</v>
      </c>
      <c r="B2858" t="s">
        <v>868</v>
      </c>
      <c r="C2858" t="s">
        <v>2083</v>
      </c>
      <c r="D2858" t="s">
        <v>358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35">
      <c r="A2859" t="s">
        <v>2054</v>
      </c>
      <c r="B2859" t="s">
        <v>868</v>
      </c>
      <c r="C2859" t="s">
        <v>2084</v>
      </c>
      <c r="D2859" t="s">
        <v>358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35">
      <c r="A2860" t="s">
        <v>2054</v>
      </c>
      <c r="B2860" t="s">
        <v>868</v>
      </c>
      <c r="C2860" t="s">
        <v>2085</v>
      </c>
      <c r="D2860" t="s">
        <v>356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35">
      <c r="A2861" t="s">
        <v>2054</v>
      </c>
      <c r="B2861" t="s">
        <v>868</v>
      </c>
      <c r="C2861" t="s">
        <v>266</v>
      </c>
      <c r="D2861" t="s">
        <v>242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35">
      <c r="A2862" t="s">
        <v>2054</v>
      </c>
      <c r="B2862" t="s">
        <v>868</v>
      </c>
      <c r="C2862" t="s">
        <v>462</v>
      </c>
      <c r="D2862" t="s">
        <v>358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35">
      <c r="A2863" t="s">
        <v>2054</v>
      </c>
      <c r="B2863" t="s">
        <v>868</v>
      </c>
      <c r="C2863" t="s">
        <v>2086</v>
      </c>
      <c r="D2863" t="s">
        <v>356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35">
      <c r="A2864" t="s">
        <v>2054</v>
      </c>
      <c r="B2864" t="s">
        <v>868</v>
      </c>
      <c r="C2864" t="s">
        <v>1490</v>
      </c>
      <c r="D2864" t="s">
        <v>242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35">
      <c r="A2865" t="s">
        <v>2054</v>
      </c>
      <c r="B2865" t="s">
        <v>868</v>
      </c>
      <c r="C2865" t="s">
        <v>2087</v>
      </c>
      <c r="D2865" t="s">
        <v>242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35">
      <c r="A2866" t="s">
        <v>2054</v>
      </c>
      <c r="B2866" t="s">
        <v>868</v>
      </c>
      <c r="C2866" t="s">
        <v>2088</v>
      </c>
      <c r="D2866" t="s">
        <v>242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35">
      <c r="A2867" t="s">
        <v>2054</v>
      </c>
      <c r="B2867" t="s">
        <v>868</v>
      </c>
      <c r="C2867" t="s">
        <v>2089</v>
      </c>
      <c r="D2867" t="s">
        <v>358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35">
      <c r="A2868" t="s">
        <v>2054</v>
      </c>
      <c r="B2868" t="s">
        <v>868</v>
      </c>
      <c r="C2868" t="s">
        <v>2090</v>
      </c>
      <c r="D2868" t="s">
        <v>242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35">
      <c r="A2869" t="s">
        <v>2054</v>
      </c>
      <c r="B2869" t="s">
        <v>868</v>
      </c>
      <c r="C2869" t="s">
        <v>2091</v>
      </c>
      <c r="D2869" t="s">
        <v>356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35">
      <c r="A2870" t="s">
        <v>2054</v>
      </c>
      <c r="B2870" t="s">
        <v>868</v>
      </c>
      <c r="C2870" t="s">
        <v>1500</v>
      </c>
      <c r="D2870" t="s">
        <v>242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35">
      <c r="A2871" t="s">
        <v>2054</v>
      </c>
      <c r="B2871" t="s">
        <v>868</v>
      </c>
      <c r="C2871" t="s">
        <v>2092</v>
      </c>
      <c r="D2871" t="s">
        <v>246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35">
      <c r="A2872" t="s">
        <v>2054</v>
      </c>
      <c r="B2872" t="s">
        <v>868</v>
      </c>
      <c r="C2872" t="s">
        <v>2093</v>
      </c>
      <c r="D2872" t="s">
        <v>358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35">
      <c r="A2873" t="s">
        <v>2054</v>
      </c>
      <c r="B2873" t="s">
        <v>868</v>
      </c>
      <c r="C2873" t="s">
        <v>621</v>
      </c>
      <c r="D2873" t="s">
        <v>242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35">
      <c r="A2874" t="s">
        <v>2054</v>
      </c>
      <c r="B2874" t="s">
        <v>868</v>
      </c>
      <c r="C2874" t="s">
        <v>370</v>
      </c>
      <c r="D2874" t="s">
        <v>358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35">
      <c r="A2875" t="s">
        <v>2054</v>
      </c>
      <c r="B2875" t="s">
        <v>868</v>
      </c>
      <c r="C2875" t="s">
        <v>623</v>
      </c>
      <c r="D2875" t="s">
        <v>242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35">
      <c r="A2876" t="s">
        <v>2054</v>
      </c>
      <c r="B2876" t="s">
        <v>868</v>
      </c>
      <c r="C2876" t="s">
        <v>2094</v>
      </c>
      <c r="D2876" t="s">
        <v>242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35">
      <c r="A2877" t="s">
        <v>2054</v>
      </c>
      <c r="B2877" t="s">
        <v>868</v>
      </c>
      <c r="C2877" t="s">
        <v>2095</v>
      </c>
      <c r="D2877" t="s">
        <v>242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35">
      <c r="A2878" t="s">
        <v>2054</v>
      </c>
      <c r="B2878" t="s">
        <v>868</v>
      </c>
      <c r="C2878" t="s">
        <v>472</v>
      </c>
      <c r="D2878" t="s">
        <v>246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35">
      <c r="A2879" t="s">
        <v>2054</v>
      </c>
      <c r="B2879" t="s">
        <v>868</v>
      </c>
      <c r="C2879" t="s">
        <v>271</v>
      </c>
      <c r="D2879" t="s">
        <v>242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35">
      <c r="A2880" t="s">
        <v>2054</v>
      </c>
      <c r="B2880" t="s">
        <v>868</v>
      </c>
      <c r="C2880" t="s">
        <v>2096</v>
      </c>
      <c r="D2880" t="s">
        <v>358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35">
      <c r="A2881" t="s">
        <v>2054</v>
      </c>
      <c r="B2881" t="s">
        <v>868</v>
      </c>
      <c r="C2881" t="s">
        <v>473</v>
      </c>
      <c r="D2881" t="s">
        <v>356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35">
      <c r="A2882" t="s">
        <v>2054</v>
      </c>
      <c r="B2882" t="s">
        <v>868</v>
      </c>
      <c r="C2882" t="s">
        <v>2097</v>
      </c>
      <c r="D2882" t="s">
        <v>242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35">
      <c r="A2883" t="s">
        <v>2054</v>
      </c>
      <c r="B2883" t="s">
        <v>868</v>
      </c>
      <c r="C2883" t="s">
        <v>283</v>
      </c>
      <c r="D2883" t="s">
        <v>242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35">
      <c r="A2884" t="s">
        <v>2054</v>
      </c>
      <c r="B2884" t="s">
        <v>868</v>
      </c>
      <c r="C2884" t="s">
        <v>1512</v>
      </c>
      <c r="D2884" t="s">
        <v>242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35">
      <c r="A2885" t="s">
        <v>2054</v>
      </c>
      <c r="B2885" t="s">
        <v>868</v>
      </c>
      <c r="C2885" t="s">
        <v>891</v>
      </c>
      <c r="D2885" t="s">
        <v>242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35">
      <c r="A2886" t="s">
        <v>2054</v>
      </c>
      <c r="B2886" t="s">
        <v>868</v>
      </c>
      <c r="C2886" t="s">
        <v>284</v>
      </c>
      <c r="D2886" t="s">
        <v>242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35">
      <c r="A2887" t="s">
        <v>2054</v>
      </c>
      <c r="B2887" t="s">
        <v>868</v>
      </c>
      <c r="C2887" t="s">
        <v>2098</v>
      </c>
      <c r="D2887" t="s">
        <v>356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35">
      <c r="A2888" t="s">
        <v>2054</v>
      </c>
      <c r="B2888" t="s">
        <v>868</v>
      </c>
      <c r="C2888" t="s">
        <v>2099</v>
      </c>
      <c r="D2888" t="s">
        <v>242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35">
      <c r="A2889" t="s">
        <v>2054</v>
      </c>
      <c r="B2889" t="s">
        <v>868</v>
      </c>
      <c r="C2889" t="s">
        <v>2100</v>
      </c>
      <c r="D2889" t="s">
        <v>242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35">
      <c r="A2890" t="s">
        <v>2054</v>
      </c>
      <c r="B2890" t="s">
        <v>868</v>
      </c>
      <c r="C2890" t="s">
        <v>2101</v>
      </c>
      <c r="D2890" t="s">
        <v>358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35">
      <c r="A2891" t="s">
        <v>2054</v>
      </c>
      <c r="B2891" t="s">
        <v>868</v>
      </c>
      <c r="C2891" t="s">
        <v>2102</v>
      </c>
      <c r="D2891" t="s">
        <v>358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35">
      <c r="A2892" t="s">
        <v>2054</v>
      </c>
      <c r="B2892" t="s">
        <v>868</v>
      </c>
      <c r="C2892" t="s">
        <v>2103</v>
      </c>
      <c r="D2892" t="s">
        <v>358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35">
      <c r="A2893" t="s">
        <v>2054</v>
      </c>
      <c r="B2893" t="s">
        <v>868</v>
      </c>
      <c r="C2893" t="s">
        <v>287</v>
      </c>
      <c r="D2893" t="s">
        <v>242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35">
      <c r="A2894" t="s">
        <v>2054</v>
      </c>
      <c r="B2894" t="s">
        <v>868</v>
      </c>
      <c r="C2894" t="s">
        <v>289</v>
      </c>
      <c r="D2894" t="s">
        <v>242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35">
      <c r="A2895" t="s">
        <v>2054</v>
      </c>
      <c r="B2895" t="s">
        <v>868</v>
      </c>
      <c r="C2895" t="s">
        <v>685</v>
      </c>
      <c r="D2895" t="s">
        <v>358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35">
      <c r="A2896" t="s">
        <v>2054</v>
      </c>
      <c r="B2896" t="s">
        <v>868</v>
      </c>
      <c r="C2896" t="s">
        <v>544</v>
      </c>
      <c r="D2896" t="s">
        <v>358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35">
      <c r="A2897" t="s">
        <v>2054</v>
      </c>
      <c r="B2897" t="s">
        <v>868</v>
      </c>
      <c r="C2897" t="s">
        <v>2104</v>
      </c>
      <c r="D2897" t="s">
        <v>242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35">
      <c r="A2898" t="s">
        <v>2054</v>
      </c>
      <c r="B2898" t="s">
        <v>868</v>
      </c>
      <c r="C2898" t="s">
        <v>2105</v>
      </c>
      <c r="D2898" t="s">
        <v>242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35">
      <c r="A2899" t="s">
        <v>2054</v>
      </c>
      <c r="B2899" t="s">
        <v>868</v>
      </c>
      <c r="C2899" t="s">
        <v>2106</v>
      </c>
      <c r="D2899" t="s">
        <v>358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35">
      <c r="A2900" t="s">
        <v>2054</v>
      </c>
      <c r="B2900" t="s">
        <v>868</v>
      </c>
      <c r="C2900" t="s">
        <v>2107</v>
      </c>
      <c r="D2900" t="s">
        <v>242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35">
      <c r="A2901" t="s">
        <v>2054</v>
      </c>
      <c r="B2901" t="s">
        <v>868</v>
      </c>
      <c r="C2901" t="s">
        <v>2108</v>
      </c>
      <c r="D2901" t="s">
        <v>242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35">
      <c r="A2902" t="s">
        <v>2054</v>
      </c>
      <c r="B2902" t="s">
        <v>868</v>
      </c>
      <c r="C2902" t="s">
        <v>1039</v>
      </c>
      <c r="D2902" t="s">
        <v>242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35">
      <c r="A2903" t="s">
        <v>2054</v>
      </c>
      <c r="B2903" t="s">
        <v>868</v>
      </c>
      <c r="C2903" t="s">
        <v>549</v>
      </c>
      <c r="D2903" t="s">
        <v>358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35">
      <c r="A2904" t="s">
        <v>2054</v>
      </c>
      <c r="B2904" t="s">
        <v>868</v>
      </c>
      <c r="C2904" t="s">
        <v>1730</v>
      </c>
      <c r="D2904" t="s">
        <v>358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35">
      <c r="A2905" t="s">
        <v>2054</v>
      </c>
      <c r="B2905" t="s">
        <v>868</v>
      </c>
      <c r="C2905" t="s">
        <v>2109</v>
      </c>
      <c r="D2905" t="s">
        <v>242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35">
      <c r="A2906" t="s">
        <v>2054</v>
      </c>
      <c r="B2906" t="s">
        <v>868</v>
      </c>
      <c r="C2906" t="s">
        <v>1600</v>
      </c>
      <c r="D2906" t="s">
        <v>242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35">
      <c r="A2907" t="s">
        <v>2054</v>
      </c>
      <c r="B2907" t="s">
        <v>868</v>
      </c>
      <c r="C2907" t="s">
        <v>648</v>
      </c>
      <c r="D2907" t="s">
        <v>358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35">
      <c r="A2908" t="s">
        <v>2054</v>
      </c>
      <c r="B2908" t="s">
        <v>868</v>
      </c>
      <c r="C2908" t="s">
        <v>2110</v>
      </c>
      <c r="D2908" t="s">
        <v>246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35">
      <c r="A2909" t="s">
        <v>2054</v>
      </c>
      <c r="B2909" t="s">
        <v>868</v>
      </c>
      <c r="C2909" t="s">
        <v>293</v>
      </c>
      <c r="D2909" t="s">
        <v>242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35">
      <c r="A2910" t="s">
        <v>2054</v>
      </c>
      <c r="B2910" t="s">
        <v>868</v>
      </c>
      <c r="C2910" t="s">
        <v>984</v>
      </c>
      <c r="D2910" t="s">
        <v>356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35">
      <c r="A2911" t="s">
        <v>2054</v>
      </c>
      <c r="B2911" t="s">
        <v>868</v>
      </c>
      <c r="C2911" t="s">
        <v>649</v>
      </c>
      <c r="D2911" t="s">
        <v>242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35">
      <c r="A2912" t="s">
        <v>2054</v>
      </c>
      <c r="B2912" t="s">
        <v>868</v>
      </c>
      <c r="C2912" t="s">
        <v>2111</v>
      </c>
      <c r="D2912" t="s">
        <v>358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35">
      <c r="A2913" t="s">
        <v>2054</v>
      </c>
      <c r="B2913" t="s">
        <v>868</v>
      </c>
      <c r="C2913" t="s">
        <v>2112</v>
      </c>
      <c r="D2913" t="s">
        <v>242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35">
      <c r="A2914" t="s">
        <v>2054</v>
      </c>
      <c r="B2914" t="s">
        <v>868</v>
      </c>
      <c r="C2914" t="s">
        <v>2113</v>
      </c>
      <c r="D2914" t="s">
        <v>242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35">
      <c r="A2915" t="s">
        <v>2054</v>
      </c>
      <c r="B2915" t="s">
        <v>868</v>
      </c>
      <c r="C2915" t="s">
        <v>330</v>
      </c>
      <c r="D2915" t="s">
        <v>242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35">
      <c r="A2916" t="s">
        <v>2054</v>
      </c>
      <c r="B2916" t="s">
        <v>868</v>
      </c>
      <c r="C2916" t="s">
        <v>2114</v>
      </c>
      <c r="D2916" t="s">
        <v>358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35">
      <c r="A2917" t="s">
        <v>2054</v>
      </c>
      <c r="B2917" t="s">
        <v>868</v>
      </c>
      <c r="C2917" t="s">
        <v>2115</v>
      </c>
      <c r="D2917" t="s">
        <v>242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35">
      <c r="A2918" t="s">
        <v>2054</v>
      </c>
      <c r="B2918" t="s">
        <v>868</v>
      </c>
      <c r="C2918" t="s">
        <v>2116</v>
      </c>
      <c r="D2918" t="s">
        <v>356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35">
      <c r="A2919" t="s">
        <v>2054</v>
      </c>
      <c r="B2919" t="s">
        <v>868</v>
      </c>
      <c r="C2919" t="s">
        <v>694</v>
      </c>
      <c r="D2919" t="s">
        <v>356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35">
      <c r="A2920" t="s">
        <v>2054</v>
      </c>
      <c r="B2920" t="s">
        <v>868</v>
      </c>
      <c r="C2920" t="s">
        <v>965</v>
      </c>
      <c r="D2920" t="s">
        <v>242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35">
      <c r="A2921" t="s">
        <v>2054</v>
      </c>
      <c r="B2921" t="s">
        <v>868</v>
      </c>
      <c r="C2921" t="s">
        <v>2117</v>
      </c>
      <c r="D2921" t="s">
        <v>246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35">
      <c r="A2922" t="s">
        <v>2054</v>
      </c>
      <c r="B2922" t="s">
        <v>868</v>
      </c>
      <c r="C2922" t="s">
        <v>823</v>
      </c>
      <c r="D2922" t="s">
        <v>242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35">
      <c r="A2923" t="s">
        <v>2054</v>
      </c>
      <c r="B2923" t="s">
        <v>868</v>
      </c>
      <c r="C2923" t="s">
        <v>2118</v>
      </c>
      <c r="D2923" t="s">
        <v>242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35">
      <c r="A2924" t="s">
        <v>2054</v>
      </c>
      <c r="B2924" t="s">
        <v>868</v>
      </c>
      <c r="C2924" t="s">
        <v>2119</v>
      </c>
      <c r="D2924" t="s">
        <v>356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35">
      <c r="A2925" t="s">
        <v>2054</v>
      </c>
      <c r="B2925" t="s">
        <v>868</v>
      </c>
      <c r="C2925" t="s">
        <v>2120</v>
      </c>
      <c r="D2925" t="s">
        <v>358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35">
      <c r="A2926" t="s">
        <v>2054</v>
      </c>
      <c r="B2926" t="s">
        <v>868</v>
      </c>
      <c r="C2926" t="s">
        <v>334</v>
      </c>
      <c r="D2926" t="s">
        <v>242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35">
      <c r="A2927" t="s">
        <v>2054</v>
      </c>
      <c r="B2927" t="s">
        <v>868</v>
      </c>
      <c r="C2927" t="s">
        <v>1998</v>
      </c>
      <c r="D2927" t="s">
        <v>356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35">
      <c r="A2928" t="s">
        <v>2054</v>
      </c>
      <c r="B2928" t="s">
        <v>868</v>
      </c>
      <c r="C2928" t="s">
        <v>2121</v>
      </c>
      <c r="D2928" t="s">
        <v>358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35">
      <c r="A2929" t="s">
        <v>2054</v>
      </c>
      <c r="B2929" t="s">
        <v>868</v>
      </c>
      <c r="C2929" t="s">
        <v>2122</v>
      </c>
      <c r="D2929" t="s">
        <v>242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35">
      <c r="A2930" t="s">
        <v>2054</v>
      </c>
      <c r="B2930" t="s">
        <v>868</v>
      </c>
      <c r="C2930" t="s">
        <v>2123</v>
      </c>
      <c r="D2930" t="s">
        <v>356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35">
      <c r="A2931" t="s">
        <v>2054</v>
      </c>
      <c r="B2931" t="s">
        <v>868</v>
      </c>
      <c r="C2931" t="s">
        <v>2124</v>
      </c>
      <c r="D2931" t="s">
        <v>358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35">
      <c r="A2932" t="s">
        <v>2054</v>
      </c>
      <c r="B2932" t="s">
        <v>868</v>
      </c>
      <c r="C2932" t="s">
        <v>2125</v>
      </c>
      <c r="D2932" t="s">
        <v>242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35">
      <c r="A2933" t="s">
        <v>2054</v>
      </c>
      <c r="B2933" t="s">
        <v>868</v>
      </c>
      <c r="C2933" t="s">
        <v>1683</v>
      </c>
      <c r="D2933" t="s">
        <v>242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35">
      <c r="A2934" t="s">
        <v>2054</v>
      </c>
      <c r="B2934" t="s">
        <v>868</v>
      </c>
      <c r="C2934" t="s">
        <v>2126</v>
      </c>
      <c r="D2934" t="s">
        <v>358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35">
      <c r="A2935" t="s">
        <v>2054</v>
      </c>
      <c r="B2935" t="s">
        <v>868</v>
      </c>
      <c r="C2935" t="s">
        <v>2127</v>
      </c>
      <c r="D2935" t="s">
        <v>242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35">
      <c r="A2936" t="s">
        <v>2054</v>
      </c>
      <c r="B2936" t="s">
        <v>868</v>
      </c>
      <c r="C2936" t="s">
        <v>2032</v>
      </c>
      <c r="D2936" t="s">
        <v>356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35">
      <c r="A2937" t="s">
        <v>2054</v>
      </c>
      <c r="B2937" t="s">
        <v>868</v>
      </c>
      <c r="C2937" t="s">
        <v>699</v>
      </c>
      <c r="D2937" t="s">
        <v>242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35">
      <c r="A2938" t="s">
        <v>2054</v>
      </c>
      <c r="B2938" t="s">
        <v>868</v>
      </c>
      <c r="C2938" t="s">
        <v>2128</v>
      </c>
      <c r="D2938" t="s">
        <v>242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35">
      <c r="A2939" t="s">
        <v>2054</v>
      </c>
      <c r="B2939" t="s">
        <v>868</v>
      </c>
      <c r="C2939" t="s">
        <v>2129</v>
      </c>
      <c r="D2939" t="s">
        <v>358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35">
      <c r="A2940" t="s">
        <v>2054</v>
      </c>
      <c r="B2940" t="s">
        <v>868</v>
      </c>
      <c r="C2940" t="s">
        <v>2130</v>
      </c>
      <c r="D2940" t="s">
        <v>242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35">
      <c r="A2941" t="s">
        <v>2054</v>
      </c>
      <c r="B2941" t="s">
        <v>868</v>
      </c>
      <c r="C2941" t="s">
        <v>1684</v>
      </c>
      <c r="D2941" t="s">
        <v>242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35">
      <c r="A2942" t="s">
        <v>2054</v>
      </c>
      <c r="B2942" t="s">
        <v>868</v>
      </c>
      <c r="C2942" t="s">
        <v>2131</v>
      </c>
      <c r="D2942" t="s">
        <v>242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35">
      <c r="A2943" t="s">
        <v>2054</v>
      </c>
      <c r="B2943" t="s">
        <v>868</v>
      </c>
      <c r="C2943" t="s">
        <v>2132</v>
      </c>
      <c r="D2943" t="s">
        <v>242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35">
      <c r="A2944" t="s">
        <v>2054</v>
      </c>
      <c r="B2944" t="s">
        <v>868</v>
      </c>
      <c r="C2944" t="s">
        <v>2133</v>
      </c>
      <c r="D2944" t="s">
        <v>242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35">
      <c r="A2945" t="s">
        <v>2054</v>
      </c>
      <c r="B2945" t="s">
        <v>868</v>
      </c>
      <c r="C2945" t="s">
        <v>2134</v>
      </c>
      <c r="D2945" t="s">
        <v>242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35">
      <c r="A2946" t="s">
        <v>2054</v>
      </c>
      <c r="B2946" t="s">
        <v>868</v>
      </c>
      <c r="C2946" t="s">
        <v>2135</v>
      </c>
      <c r="D2946" t="s">
        <v>358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35">
      <c r="A2947" t="s">
        <v>2136</v>
      </c>
      <c r="B2947" t="s">
        <v>2137</v>
      </c>
      <c r="C2947" t="s">
        <v>400</v>
      </c>
      <c r="D2947" t="s">
        <v>227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35">
      <c r="A2948" t="s">
        <v>2136</v>
      </c>
      <c r="B2948" t="s">
        <v>2137</v>
      </c>
      <c r="C2948" t="s">
        <v>2138</v>
      </c>
      <c r="D2948" t="s">
        <v>227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35">
      <c r="A2949" t="s">
        <v>2136</v>
      </c>
      <c r="B2949" t="s">
        <v>2137</v>
      </c>
      <c r="C2949" t="s">
        <v>342</v>
      </c>
      <c r="D2949" t="s">
        <v>227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35">
      <c r="A2950" t="s">
        <v>2136</v>
      </c>
      <c r="B2950" t="s">
        <v>2137</v>
      </c>
      <c r="C2950" t="s">
        <v>403</v>
      </c>
      <c r="D2950" t="s">
        <v>227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35">
      <c r="A2951" t="s">
        <v>2136</v>
      </c>
      <c r="B2951" t="s">
        <v>2137</v>
      </c>
      <c r="C2951" t="s">
        <v>2139</v>
      </c>
      <c r="D2951" t="s">
        <v>227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35">
      <c r="A2952" t="s">
        <v>2136</v>
      </c>
      <c r="B2952" t="s">
        <v>2137</v>
      </c>
      <c r="C2952" t="s">
        <v>2140</v>
      </c>
      <c r="D2952" t="s">
        <v>227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35">
      <c r="A2953" t="s">
        <v>2136</v>
      </c>
      <c r="B2953" t="s">
        <v>2137</v>
      </c>
      <c r="C2953" t="s">
        <v>2137</v>
      </c>
      <c r="D2953" t="s">
        <v>227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35">
      <c r="A2954" t="s">
        <v>2136</v>
      </c>
      <c r="B2954" t="s">
        <v>2137</v>
      </c>
      <c r="C2954" t="s">
        <v>2141</v>
      </c>
      <c r="D2954" t="s">
        <v>227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35">
      <c r="A2955" t="s">
        <v>2136</v>
      </c>
      <c r="B2955" t="s">
        <v>2137</v>
      </c>
      <c r="C2955" t="s">
        <v>307</v>
      </c>
      <c r="D2955" t="s">
        <v>358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35">
      <c r="A2956" t="s">
        <v>2136</v>
      </c>
      <c r="B2956" t="s">
        <v>2137</v>
      </c>
      <c r="C2956" t="s">
        <v>497</v>
      </c>
      <c r="D2956" t="s">
        <v>227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35">
      <c r="A2957" t="s">
        <v>2136</v>
      </c>
      <c r="B2957" t="s">
        <v>2137</v>
      </c>
      <c r="C2957" t="s">
        <v>2142</v>
      </c>
      <c r="D2957" t="s">
        <v>227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35">
      <c r="A2958" t="s">
        <v>2143</v>
      </c>
      <c r="B2958" t="s">
        <v>2144</v>
      </c>
      <c r="C2958" t="s">
        <v>2145</v>
      </c>
      <c r="D2958" t="s">
        <v>227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35">
      <c r="A2959" t="s">
        <v>2143</v>
      </c>
      <c r="B2959" t="s">
        <v>2144</v>
      </c>
      <c r="C2959" t="s">
        <v>2146</v>
      </c>
      <c r="D2959" t="s">
        <v>227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35">
      <c r="A2960" t="s">
        <v>2143</v>
      </c>
      <c r="B2960" t="s">
        <v>2144</v>
      </c>
      <c r="C2960" t="s">
        <v>2147</v>
      </c>
      <c r="D2960" t="s">
        <v>227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35">
      <c r="A2961" t="s">
        <v>2143</v>
      </c>
      <c r="B2961" t="s">
        <v>2144</v>
      </c>
      <c r="C2961" t="s">
        <v>2148</v>
      </c>
      <c r="D2961" t="s">
        <v>227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35">
      <c r="A2962" t="s">
        <v>2143</v>
      </c>
      <c r="B2962" t="s">
        <v>2144</v>
      </c>
      <c r="C2962" t="s">
        <v>754</v>
      </c>
      <c r="D2962" t="s">
        <v>227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35">
      <c r="A2963" t="s">
        <v>2143</v>
      </c>
      <c r="B2963" t="s">
        <v>2144</v>
      </c>
      <c r="C2963" t="s">
        <v>272</v>
      </c>
      <c r="D2963" t="s">
        <v>227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35">
      <c r="A2964" t="s">
        <v>2143</v>
      </c>
      <c r="B2964" t="s">
        <v>2144</v>
      </c>
      <c r="C2964" t="s">
        <v>2149</v>
      </c>
      <c r="D2964" t="s">
        <v>227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35">
      <c r="A2965" t="s">
        <v>2143</v>
      </c>
      <c r="B2965" t="s">
        <v>2144</v>
      </c>
      <c r="C2965" t="s">
        <v>2150</v>
      </c>
      <c r="D2965" t="s">
        <v>227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35">
      <c r="A2966" t="s">
        <v>2143</v>
      </c>
      <c r="B2966" t="s">
        <v>2144</v>
      </c>
      <c r="C2966" t="s">
        <v>965</v>
      </c>
      <c r="D2966" t="s">
        <v>227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35">
      <c r="A2967" t="s">
        <v>2143</v>
      </c>
      <c r="B2967" t="s">
        <v>2144</v>
      </c>
      <c r="C2967" t="s">
        <v>966</v>
      </c>
      <c r="D2967" t="s">
        <v>227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35">
      <c r="A2968" t="s">
        <v>2143</v>
      </c>
      <c r="B2968" t="s">
        <v>2144</v>
      </c>
      <c r="C2968" t="s">
        <v>2151</v>
      </c>
      <c r="D2968" t="s">
        <v>227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35">
      <c r="A2969" t="s">
        <v>2143</v>
      </c>
      <c r="B2969" t="s">
        <v>2144</v>
      </c>
      <c r="C2969" t="s">
        <v>307</v>
      </c>
      <c r="D2969" t="s">
        <v>227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35">
      <c r="A2970" t="s">
        <v>2143</v>
      </c>
      <c r="B2970" t="s">
        <v>2144</v>
      </c>
      <c r="C2970" t="s">
        <v>416</v>
      </c>
      <c r="D2970" t="s">
        <v>227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35">
      <c r="A2971" t="s">
        <v>2143</v>
      </c>
      <c r="B2971" t="s">
        <v>2144</v>
      </c>
      <c r="C2971" t="s">
        <v>2152</v>
      </c>
      <c r="D2971" t="s">
        <v>227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35">
      <c r="A2972" t="s">
        <v>2153</v>
      </c>
      <c r="B2972" t="s">
        <v>2154</v>
      </c>
      <c r="C2972" t="s">
        <v>2155</v>
      </c>
      <c r="D2972" t="s">
        <v>246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35">
      <c r="A2973" t="s">
        <v>2153</v>
      </c>
      <c r="B2973" t="s">
        <v>2154</v>
      </c>
      <c r="C2973" t="s">
        <v>2156</v>
      </c>
      <c r="D2973" t="s">
        <v>246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35">
      <c r="A2974" t="s">
        <v>2153</v>
      </c>
      <c r="B2974" t="s">
        <v>2154</v>
      </c>
      <c r="C2974" t="s">
        <v>2157</v>
      </c>
      <c r="D2974" t="s">
        <v>246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35">
      <c r="A2975" t="s">
        <v>2153</v>
      </c>
      <c r="B2975" t="s">
        <v>2154</v>
      </c>
      <c r="C2975" t="s">
        <v>1888</v>
      </c>
      <c r="D2975" t="s">
        <v>246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35">
      <c r="A2976" t="s">
        <v>2153</v>
      </c>
      <c r="B2976" t="s">
        <v>2154</v>
      </c>
      <c r="C2976" t="s">
        <v>2158</v>
      </c>
      <c r="D2976" t="s">
        <v>246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35">
      <c r="A2977" t="s">
        <v>2153</v>
      </c>
      <c r="B2977" t="s">
        <v>2154</v>
      </c>
      <c r="C2977" t="s">
        <v>2159</v>
      </c>
      <c r="D2977" t="s">
        <v>246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35">
      <c r="A2978" t="s">
        <v>2153</v>
      </c>
      <c r="B2978" t="s">
        <v>2154</v>
      </c>
      <c r="C2978" t="s">
        <v>2160</v>
      </c>
      <c r="D2978" t="s">
        <v>246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35">
      <c r="A2979" t="s">
        <v>2153</v>
      </c>
      <c r="B2979" t="s">
        <v>2154</v>
      </c>
      <c r="C2979" t="s">
        <v>2161</v>
      </c>
      <c r="D2979" t="s">
        <v>246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35">
      <c r="A2980" t="s">
        <v>2153</v>
      </c>
      <c r="B2980" t="s">
        <v>2154</v>
      </c>
      <c r="C2980" t="s">
        <v>2162</v>
      </c>
      <c r="D2980" t="s">
        <v>246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35">
      <c r="A2981" t="s">
        <v>2153</v>
      </c>
      <c r="B2981" t="s">
        <v>2154</v>
      </c>
      <c r="C2981" t="s">
        <v>1636</v>
      </c>
      <c r="D2981" t="s">
        <v>246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35">
      <c r="A2982" t="s">
        <v>2153</v>
      </c>
      <c r="B2982" t="s">
        <v>2154</v>
      </c>
      <c r="C2982" t="s">
        <v>1092</v>
      </c>
      <c r="D2982" t="s">
        <v>246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35">
      <c r="A2983" t="s">
        <v>2153</v>
      </c>
      <c r="B2983" t="s">
        <v>2154</v>
      </c>
      <c r="C2983" t="s">
        <v>2163</v>
      </c>
      <c r="D2983" t="s">
        <v>246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35">
      <c r="A2984" t="s">
        <v>2153</v>
      </c>
      <c r="B2984" t="s">
        <v>2154</v>
      </c>
      <c r="C2984" t="s">
        <v>2164</v>
      </c>
      <c r="D2984" t="s">
        <v>246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35">
      <c r="A2985" t="s">
        <v>2153</v>
      </c>
      <c r="B2985" t="s">
        <v>2154</v>
      </c>
      <c r="C2985" t="s">
        <v>2165</v>
      </c>
      <c r="D2985" t="s">
        <v>246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35">
      <c r="A2986" t="s">
        <v>2153</v>
      </c>
      <c r="B2986" t="s">
        <v>2154</v>
      </c>
      <c r="C2986" t="s">
        <v>2166</v>
      </c>
      <c r="D2986" t="s">
        <v>246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35">
      <c r="A2987" t="s">
        <v>2153</v>
      </c>
      <c r="B2987" t="s">
        <v>2154</v>
      </c>
      <c r="C2987" t="s">
        <v>1895</v>
      </c>
      <c r="D2987" t="s">
        <v>246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35">
      <c r="A2988" t="s">
        <v>2153</v>
      </c>
      <c r="B2988" t="s">
        <v>2154</v>
      </c>
      <c r="C2988" t="s">
        <v>596</v>
      </c>
      <c r="D2988" t="s">
        <v>246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35">
      <c r="A2989" t="s">
        <v>2153</v>
      </c>
      <c r="B2989" t="s">
        <v>2154</v>
      </c>
      <c r="C2989" t="s">
        <v>2167</v>
      </c>
      <c r="D2989" t="s">
        <v>246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35">
      <c r="A2990" t="s">
        <v>2153</v>
      </c>
      <c r="B2990" t="s">
        <v>2154</v>
      </c>
      <c r="C2990" t="s">
        <v>2168</v>
      </c>
      <c r="D2990" t="s">
        <v>246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35">
      <c r="A2991" t="s">
        <v>2153</v>
      </c>
      <c r="B2991" t="s">
        <v>2154</v>
      </c>
      <c r="C2991" t="s">
        <v>1129</v>
      </c>
      <c r="D2991" t="s">
        <v>246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35">
      <c r="A2992" t="s">
        <v>2153</v>
      </c>
      <c r="B2992" t="s">
        <v>2154</v>
      </c>
      <c r="C2992" t="s">
        <v>735</v>
      </c>
      <c r="D2992" t="s">
        <v>246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35">
      <c r="A2993" t="s">
        <v>2153</v>
      </c>
      <c r="B2993" t="s">
        <v>2154</v>
      </c>
      <c r="C2993" t="s">
        <v>446</v>
      </c>
      <c r="D2993" t="s">
        <v>246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35">
      <c r="A2994" t="s">
        <v>2153</v>
      </c>
      <c r="B2994" t="s">
        <v>2154</v>
      </c>
      <c r="C2994" t="s">
        <v>2169</v>
      </c>
      <c r="D2994" t="s">
        <v>246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35">
      <c r="A2995" t="s">
        <v>2153</v>
      </c>
      <c r="B2995" t="s">
        <v>2154</v>
      </c>
      <c r="C2995" t="s">
        <v>1495</v>
      </c>
      <c r="D2995" t="s">
        <v>246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35">
      <c r="A2996" t="s">
        <v>2153</v>
      </c>
      <c r="B2996" t="s">
        <v>2154</v>
      </c>
      <c r="C2996" t="s">
        <v>2170</v>
      </c>
      <c r="D2996" t="s">
        <v>246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35">
      <c r="A2997" t="s">
        <v>2153</v>
      </c>
      <c r="B2997" t="s">
        <v>2154</v>
      </c>
      <c r="C2997" t="s">
        <v>2171</v>
      </c>
      <c r="D2997" t="s">
        <v>246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35">
      <c r="A2998" t="s">
        <v>2153</v>
      </c>
      <c r="B2998" t="s">
        <v>2154</v>
      </c>
      <c r="C2998" t="s">
        <v>2016</v>
      </c>
      <c r="D2998" t="s">
        <v>246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35">
      <c r="A2999" t="s">
        <v>2153</v>
      </c>
      <c r="B2999" t="s">
        <v>2154</v>
      </c>
      <c r="C2999" t="s">
        <v>255</v>
      </c>
      <c r="D2999" t="s">
        <v>246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35">
      <c r="A3000" t="s">
        <v>2153</v>
      </c>
      <c r="B3000" t="s">
        <v>2154</v>
      </c>
      <c r="C3000" t="s">
        <v>2172</v>
      </c>
      <c r="D3000" t="s">
        <v>246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35">
      <c r="A3001" t="s">
        <v>2153</v>
      </c>
      <c r="B3001" t="s">
        <v>2154</v>
      </c>
      <c r="C3001" t="s">
        <v>2173</v>
      </c>
      <c r="D3001" t="s">
        <v>246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35">
      <c r="A3002" t="s">
        <v>2153</v>
      </c>
      <c r="B3002" t="s">
        <v>2154</v>
      </c>
      <c r="C3002" t="s">
        <v>2174</v>
      </c>
      <c r="D3002" t="s">
        <v>246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35">
      <c r="A3003" t="s">
        <v>2153</v>
      </c>
      <c r="B3003" t="s">
        <v>2154</v>
      </c>
      <c r="C3003" t="s">
        <v>1955</v>
      </c>
      <c r="D3003" t="s">
        <v>246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35">
      <c r="A3004" t="s">
        <v>2153</v>
      </c>
      <c r="B3004" t="s">
        <v>2154</v>
      </c>
      <c r="C3004" t="s">
        <v>2175</v>
      </c>
      <c r="D3004" t="s">
        <v>246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35">
      <c r="A3005" t="s">
        <v>2153</v>
      </c>
      <c r="B3005" t="s">
        <v>2154</v>
      </c>
      <c r="C3005" t="s">
        <v>719</v>
      </c>
      <c r="D3005" t="s">
        <v>246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35">
      <c r="A3006" t="s">
        <v>2153</v>
      </c>
      <c r="B3006" t="s">
        <v>2154</v>
      </c>
      <c r="C3006" t="s">
        <v>2176</v>
      </c>
      <c r="D3006" t="s">
        <v>246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35">
      <c r="A3007" t="s">
        <v>2153</v>
      </c>
      <c r="B3007" t="s">
        <v>2154</v>
      </c>
      <c r="C3007" t="s">
        <v>2177</v>
      </c>
      <c r="D3007" t="s">
        <v>246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35">
      <c r="A3008" t="s">
        <v>2153</v>
      </c>
      <c r="B3008" t="s">
        <v>2154</v>
      </c>
      <c r="C3008" t="s">
        <v>2178</v>
      </c>
      <c r="D3008" t="s">
        <v>246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35">
      <c r="A3009" t="s">
        <v>2153</v>
      </c>
      <c r="B3009" t="s">
        <v>2154</v>
      </c>
      <c r="C3009" t="s">
        <v>2179</v>
      </c>
      <c r="D3009" t="s">
        <v>246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35">
      <c r="A3010" t="s">
        <v>2153</v>
      </c>
      <c r="B3010" t="s">
        <v>2154</v>
      </c>
      <c r="C3010" t="s">
        <v>754</v>
      </c>
      <c r="D3010" t="s">
        <v>246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35">
      <c r="A3011" t="s">
        <v>2153</v>
      </c>
      <c r="B3011" t="s">
        <v>2154</v>
      </c>
      <c r="C3011" t="s">
        <v>2180</v>
      </c>
      <c r="D3011" t="s">
        <v>246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35">
      <c r="A3012" t="s">
        <v>2153</v>
      </c>
      <c r="B3012" t="s">
        <v>2154</v>
      </c>
      <c r="C3012" t="s">
        <v>2181</v>
      </c>
      <c r="D3012" t="s">
        <v>246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35">
      <c r="A3013" t="s">
        <v>2153</v>
      </c>
      <c r="B3013" t="s">
        <v>2154</v>
      </c>
      <c r="C3013" t="s">
        <v>971</v>
      </c>
      <c r="D3013" t="s">
        <v>246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35">
      <c r="A3014" t="s">
        <v>2153</v>
      </c>
      <c r="B3014" t="s">
        <v>2154</v>
      </c>
      <c r="C3014" t="s">
        <v>2182</v>
      </c>
      <c r="D3014" t="s">
        <v>246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35">
      <c r="A3015" t="s">
        <v>2153</v>
      </c>
      <c r="B3015" t="s">
        <v>2154</v>
      </c>
      <c r="C3015" t="s">
        <v>2183</v>
      </c>
      <c r="D3015" t="s">
        <v>246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35">
      <c r="A3016" t="s">
        <v>2153</v>
      </c>
      <c r="B3016" t="s">
        <v>2154</v>
      </c>
      <c r="C3016" t="s">
        <v>2184</v>
      </c>
      <c r="D3016" t="s">
        <v>246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35">
      <c r="A3017" t="s">
        <v>2153</v>
      </c>
      <c r="B3017" t="s">
        <v>2154</v>
      </c>
      <c r="C3017" t="s">
        <v>2185</v>
      </c>
      <c r="D3017" t="s">
        <v>246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35">
      <c r="A3018" t="s">
        <v>2153</v>
      </c>
      <c r="B3018" t="s">
        <v>2154</v>
      </c>
      <c r="C3018" t="s">
        <v>996</v>
      </c>
      <c r="D3018" t="s">
        <v>246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35">
      <c r="A3019" t="s">
        <v>2153</v>
      </c>
      <c r="B3019" t="s">
        <v>2154</v>
      </c>
      <c r="C3019" t="s">
        <v>299</v>
      </c>
      <c r="D3019" t="s">
        <v>246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35">
      <c r="A3020" t="s">
        <v>2153</v>
      </c>
      <c r="B3020" t="s">
        <v>2154</v>
      </c>
      <c r="C3020" t="s">
        <v>2186</v>
      </c>
      <c r="D3020" t="s">
        <v>246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35">
      <c r="A3021" t="s">
        <v>2153</v>
      </c>
      <c r="B3021" t="s">
        <v>2154</v>
      </c>
      <c r="C3021" t="s">
        <v>339</v>
      </c>
      <c r="D3021" t="s">
        <v>246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35">
      <c r="A3022" t="s">
        <v>2153</v>
      </c>
      <c r="B3022" t="s">
        <v>2154</v>
      </c>
      <c r="C3022" t="s">
        <v>2187</v>
      </c>
      <c r="D3022" t="s">
        <v>246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35">
      <c r="A3023" t="s">
        <v>2153</v>
      </c>
      <c r="B3023" t="s">
        <v>2154</v>
      </c>
      <c r="C3023" t="s">
        <v>2188</v>
      </c>
      <c r="D3023" t="s">
        <v>246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35">
      <c r="A3024" t="s">
        <v>2153</v>
      </c>
      <c r="B3024" t="s">
        <v>2154</v>
      </c>
      <c r="C3024" t="s">
        <v>2189</v>
      </c>
      <c r="D3024" t="s">
        <v>246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35">
      <c r="A3025" t="s">
        <v>2153</v>
      </c>
      <c r="B3025" t="s">
        <v>2154</v>
      </c>
      <c r="C3025" t="s">
        <v>2190</v>
      </c>
      <c r="D3025" t="s">
        <v>246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35">
      <c r="A3026" t="s">
        <v>2153</v>
      </c>
      <c r="B3026" t="s">
        <v>2154</v>
      </c>
      <c r="C3026" t="s">
        <v>1625</v>
      </c>
      <c r="D3026" t="s">
        <v>246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35">
      <c r="A3027" t="s">
        <v>2153</v>
      </c>
      <c r="B3027" t="s">
        <v>2154</v>
      </c>
      <c r="C3027" t="s">
        <v>2191</v>
      </c>
      <c r="D3027" t="s">
        <v>246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35">
      <c r="A3028" t="s">
        <v>2153</v>
      </c>
      <c r="B3028" t="s">
        <v>2154</v>
      </c>
      <c r="C3028" t="s">
        <v>2192</v>
      </c>
      <c r="D3028" t="s">
        <v>246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35">
      <c r="A3029" t="s">
        <v>2153</v>
      </c>
      <c r="B3029" t="s">
        <v>2154</v>
      </c>
      <c r="C3029" t="s">
        <v>1001</v>
      </c>
      <c r="D3029" t="s">
        <v>246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35">
      <c r="A3030" t="s">
        <v>2153</v>
      </c>
      <c r="B3030" t="s">
        <v>2154</v>
      </c>
      <c r="C3030" t="s">
        <v>421</v>
      </c>
      <c r="D3030" t="s">
        <v>246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35">
      <c r="A3031" t="s">
        <v>2153</v>
      </c>
      <c r="B3031" t="s">
        <v>2154</v>
      </c>
      <c r="C3031" t="s">
        <v>562</v>
      </c>
      <c r="D3031" t="s">
        <v>246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35">
      <c r="A3032" t="s">
        <v>2153</v>
      </c>
      <c r="B3032" t="s">
        <v>2154</v>
      </c>
      <c r="C3032" t="s">
        <v>2193</v>
      </c>
      <c r="D3032" t="s">
        <v>246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35">
      <c r="A3033" t="s">
        <v>2153</v>
      </c>
      <c r="B3033" t="s">
        <v>2154</v>
      </c>
      <c r="C3033" t="s">
        <v>496</v>
      </c>
      <c r="D3033" t="s">
        <v>246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35">
      <c r="A3034" t="s">
        <v>2153</v>
      </c>
      <c r="B3034" t="s">
        <v>2154</v>
      </c>
      <c r="C3034" t="s">
        <v>307</v>
      </c>
      <c r="D3034" t="s">
        <v>246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35">
      <c r="A3035" t="s">
        <v>2153</v>
      </c>
      <c r="B3035" t="s">
        <v>2154</v>
      </c>
      <c r="C3035" t="s">
        <v>2194</v>
      </c>
      <c r="D3035" t="s">
        <v>246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35">
      <c r="A3036" t="s">
        <v>2153</v>
      </c>
      <c r="B3036" t="s">
        <v>2154</v>
      </c>
      <c r="C3036" t="s">
        <v>2003</v>
      </c>
      <c r="D3036" t="s">
        <v>246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35">
      <c r="A3037" t="s">
        <v>2153</v>
      </c>
      <c r="B3037" t="s">
        <v>2154</v>
      </c>
      <c r="C3037" t="s">
        <v>2195</v>
      </c>
      <c r="D3037" t="s">
        <v>246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35">
      <c r="A3038" t="s">
        <v>2153</v>
      </c>
      <c r="B3038" t="s">
        <v>2154</v>
      </c>
      <c r="C3038" t="s">
        <v>2196</v>
      </c>
      <c r="D3038" t="s">
        <v>246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35">
      <c r="A3039" t="s">
        <v>2153</v>
      </c>
      <c r="B3039" t="s">
        <v>2154</v>
      </c>
      <c r="C3039" t="s">
        <v>1258</v>
      </c>
      <c r="D3039" t="s">
        <v>246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35">
      <c r="A3040" t="s">
        <v>2153</v>
      </c>
      <c r="B3040" t="s">
        <v>2154</v>
      </c>
      <c r="C3040" t="s">
        <v>2197</v>
      </c>
      <c r="D3040" t="s">
        <v>246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35">
      <c r="A3041" t="s">
        <v>2153</v>
      </c>
      <c r="B3041" t="s">
        <v>2154</v>
      </c>
      <c r="C3041" t="s">
        <v>727</v>
      </c>
      <c r="D3041" t="s">
        <v>246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35">
      <c r="A3042" t="s">
        <v>2198</v>
      </c>
      <c r="B3042" t="s">
        <v>307</v>
      </c>
      <c r="C3042" t="s">
        <v>515</v>
      </c>
      <c r="D3042" t="s">
        <v>227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35">
      <c r="A3043" t="s">
        <v>2198</v>
      </c>
      <c r="B3043" t="s">
        <v>307</v>
      </c>
      <c r="C3043" t="s">
        <v>2199</v>
      </c>
      <c r="D3043" t="s">
        <v>227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35">
      <c r="A3044" t="s">
        <v>2198</v>
      </c>
      <c r="B3044" t="s">
        <v>307</v>
      </c>
      <c r="C3044" t="s">
        <v>574</v>
      </c>
      <c r="D3044" t="s">
        <v>227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35">
      <c r="A3045" t="s">
        <v>2198</v>
      </c>
      <c r="B3045" t="s">
        <v>307</v>
      </c>
      <c r="C3045" t="s">
        <v>2200</v>
      </c>
      <c r="D3045" t="s">
        <v>227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35">
      <c r="A3046" t="s">
        <v>2198</v>
      </c>
      <c r="B3046" t="s">
        <v>307</v>
      </c>
      <c r="C3046" t="s">
        <v>2201</v>
      </c>
      <c r="D3046" t="s">
        <v>226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35">
      <c r="A3047" t="s">
        <v>2198</v>
      </c>
      <c r="B3047" t="s">
        <v>307</v>
      </c>
      <c r="C3047" t="s">
        <v>529</v>
      </c>
      <c r="D3047" t="s">
        <v>226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35">
      <c r="A3048" t="s">
        <v>2198</v>
      </c>
      <c r="B3048" t="s">
        <v>307</v>
      </c>
      <c r="C3048" t="s">
        <v>456</v>
      </c>
      <c r="D3048" t="s">
        <v>227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35">
      <c r="A3049" t="s">
        <v>2198</v>
      </c>
      <c r="B3049" t="s">
        <v>307</v>
      </c>
      <c r="C3049" t="s">
        <v>2202</v>
      </c>
      <c r="D3049" t="s">
        <v>226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35">
      <c r="A3050" t="s">
        <v>2198</v>
      </c>
      <c r="B3050" t="s">
        <v>307</v>
      </c>
      <c r="C3050" t="s">
        <v>368</v>
      </c>
      <c r="D3050" t="s">
        <v>227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35">
      <c r="A3051" t="s">
        <v>2198</v>
      </c>
      <c r="B3051" t="s">
        <v>307</v>
      </c>
      <c r="C3051" t="s">
        <v>2203</v>
      </c>
      <c r="D3051" t="s">
        <v>227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35">
      <c r="A3052" t="s">
        <v>2198</v>
      </c>
      <c r="B3052" t="s">
        <v>307</v>
      </c>
      <c r="C3052" t="s">
        <v>272</v>
      </c>
      <c r="D3052" t="s">
        <v>227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35">
      <c r="A3053" t="s">
        <v>2198</v>
      </c>
      <c r="B3053" t="s">
        <v>307</v>
      </c>
      <c r="C3053" t="s">
        <v>373</v>
      </c>
      <c r="D3053" t="s">
        <v>227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35">
      <c r="A3054" t="s">
        <v>2198</v>
      </c>
      <c r="B3054" t="s">
        <v>307</v>
      </c>
      <c r="C3054" t="s">
        <v>315</v>
      </c>
      <c r="D3054" t="s">
        <v>227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35">
      <c r="A3055" t="s">
        <v>2198</v>
      </c>
      <c r="B3055" t="s">
        <v>307</v>
      </c>
      <c r="C3055" t="s">
        <v>2204</v>
      </c>
      <c r="D3055" t="s">
        <v>226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35">
      <c r="A3056" t="s">
        <v>2198</v>
      </c>
      <c r="B3056" t="s">
        <v>307</v>
      </c>
      <c r="C3056" t="s">
        <v>2205</v>
      </c>
      <c r="D3056" t="s">
        <v>227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35">
      <c r="A3057" t="s">
        <v>2198</v>
      </c>
      <c r="B3057" t="s">
        <v>307</v>
      </c>
      <c r="C3057" t="s">
        <v>279</v>
      </c>
      <c r="D3057" t="s">
        <v>226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35">
      <c r="A3058" t="s">
        <v>2198</v>
      </c>
      <c r="B3058" t="s">
        <v>307</v>
      </c>
      <c r="C3058" t="s">
        <v>1221</v>
      </c>
      <c r="D3058" t="s">
        <v>226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35">
      <c r="A3059" t="s">
        <v>2198</v>
      </c>
      <c r="B3059" t="s">
        <v>307</v>
      </c>
      <c r="C3059" t="s">
        <v>2206</v>
      </c>
      <c r="D3059" t="s">
        <v>226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35">
      <c r="A3060" t="s">
        <v>2198</v>
      </c>
      <c r="B3060" t="s">
        <v>307</v>
      </c>
      <c r="C3060" t="s">
        <v>2207</v>
      </c>
      <c r="D3060" t="s">
        <v>227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35">
      <c r="A3061" t="s">
        <v>2198</v>
      </c>
      <c r="B3061" t="s">
        <v>307</v>
      </c>
      <c r="C3061" t="s">
        <v>2208</v>
      </c>
      <c r="D3061" t="s">
        <v>227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35">
      <c r="A3062" t="s">
        <v>2198</v>
      </c>
      <c r="B3062" t="s">
        <v>307</v>
      </c>
      <c r="C3062" t="s">
        <v>539</v>
      </c>
      <c r="D3062" t="s">
        <v>226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35">
      <c r="A3063" t="s">
        <v>2198</v>
      </c>
      <c r="B3063" t="s">
        <v>307</v>
      </c>
      <c r="C3063" t="s">
        <v>323</v>
      </c>
      <c r="D3063" t="s">
        <v>227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35">
      <c r="A3064" t="s">
        <v>2198</v>
      </c>
      <c r="B3064" t="s">
        <v>307</v>
      </c>
      <c r="C3064" t="s">
        <v>544</v>
      </c>
      <c r="D3064" t="s">
        <v>226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35">
      <c r="A3065" t="s">
        <v>2198</v>
      </c>
      <c r="B3065" t="s">
        <v>307</v>
      </c>
      <c r="C3065" t="s">
        <v>2209</v>
      </c>
      <c r="D3065" t="s">
        <v>227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35">
      <c r="A3066" t="s">
        <v>2198</v>
      </c>
      <c r="B3066" t="s">
        <v>307</v>
      </c>
      <c r="C3066" t="s">
        <v>2210</v>
      </c>
      <c r="D3066" t="s">
        <v>226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35">
      <c r="A3067" t="s">
        <v>2198</v>
      </c>
      <c r="B3067" t="s">
        <v>307</v>
      </c>
      <c r="C3067" t="s">
        <v>2211</v>
      </c>
      <c r="D3067" t="s">
        <v>227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35">
      <c r="A3068" t="s">
        <v>2198</v>
      </c>
      <c r="B3068" t="s">
        <v>307</v>
      </c>
      <c r="C3068" t="s">
        <v>912</v>
      </c>
      <c r="D3068" t="s">
        <v>226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35">
      <c r="A3069" t="s">
        <v>2198</v>
      </c>
      <c r="B3069" t="s">
        <v>307</v>
      </c>
      <c r="C3069" t="s">
        <v>400</v>
      </c>
      <c r="D3069" t="s">
        <v>227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35">
      <c r="A3070" t="s">
        <v>2198</v>
      </c>
      <c r="B3070" t="s">
        <v>307</v>
      </c>
      <c r="C3070" t="s">
        <v>2212</v>
      </c>
      <c r="D3070" t="s">
        <v>226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35">
      <c r="A3071" t="s">
        <v>2198</v>
      </c>
      <c r="B3071" t="s">
        <v>307</v>
      </c>
      <c r="C3071" t="s">
        <v>2213</v>
      </c>
      <c r="D3071" t="s">
        <v>227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35">
      <c r="A3072" t="s">
        <v>2198</v>
      </c>
      <c r="B3072" t="s">
        <v>307</v>
      </c>
      <c r="C3072" t="s">
        <v>2214</v>
      </c>
      <c r="D3072" t="s">
        <v>226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35">
      <c r="A3073" t="s">
        <v>2198</v>
      </c>
      <c r="B3073" t="s">
        <v>307</v>
      </c>
      <c r="C3073" t="s">
        <v>2215</v>
      </c>
      <c r="D3073" t="s">
        <v>227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35">
      <c r="A3074" t="s">
        <v>2198</v>
      </c>
      <c r="B3074" t="s">
        <v>307</v>
      </c>
      <c r="C3074" t="s">
        <v>1626</v>
      </c>
      <c r="D3074" t="s">
        <v>227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35">
      <c r="A3075" t="s">
        <v>2198</v>
      </c>
      <c r="B3075" t="s">
        <v>307</v>
      </c>
      <c r="C3075" t="s">
        <v>925</v>
      </c>
      <c r="D3075" t="s">
        <v>226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35">
      <c r="A3076" t="s">
        <v>2198</v>
      </c>
      <c r="B3076" t="s">
        <v>307</v>
      </c>
      <c r="C3076" t="s">
        <v>2216</v>
      </c>
      <c r="D3076" t="s">
        <v>226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35">
      <c r="A3077" t="s">
        <v>2217</v>
      </c>
      <c r="B3077" t="s">
        <v>2218</v>
      </c>
      <c r="C3077" t="s">
        <v>2219</v>
      </c>
      <c r="D3077" t="s">
        <v>228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35">
      <c r="A3078" t="s">
        <v>2217</v>
      </c>
      <c r="B3078" t="s">
        <v>2218</v>
      </c>
      <c r="C3078" t="s">
        <v>2220</v>
      </c>
      <c r="D3078" t="s">
        <v>227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35">
      <c r="A3079" t="s">
        <v>2217</v>
      </c>
      <c r="B3079" t="s">
        <v>2218</v>
      </c>
      <c r="C3079" t="s">
        <v>787</v>
      </c>
      <c r="D3079" t="s">
        <v>227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35">
      <c r="A3080" t="s">
        <v>2217</v>
      </c>
      <c r="B3080" t="s">
        <v>2218</v>
      </c>
      <c r="C3080" t="s">
        <v>529</v>
      </c>
      <c r="D3080" t="s">
        <v>227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35">
      <c r="A3081" t="s">
        <v>2217</v>
      </c>
      <c r="B3081" t="s">
        <v>2218</v>
      </c>
      <c r="C3081" t="s">
        <v>456</v>
      </c>
      <c r="D3081" t="s">
        <v>227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35">
      <c r="A3082" t="s">
        <v>2217</v>
      </c>
      <c r="B3082" t="s">
        <v>2218</v>
      </c>
      <c r="C3082" t="s">
        <v>459</v>
      </c>
      <c r="D3082" t="s">
        <v>227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35">
      <c r="A3083" t="s">
        <v>2217</v>
      </c>
      <c r="B3083" t="s">
        <v>2218</v>
      </c>
      <c r="C3083" t="s">
        <v>2221</v>
      </c>
      <c r="D3083" t="s">
        <v>227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35">
      <c r="A3084" t="s">
        <v>2217</v>
      </c>
      <c r="B3084" t="s">
        <v>2218</v>
      </c>
      <c r="C3084" t="s">
        <v>464</v>
      </c>
      <c r="D3084" t="s">
        <v>227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35">
      <c r="A3085" t="s">
        <v>2217</v>
      </c>
      <c r="B3085" t="s">
        <v>2218</v>
      </c>
      <c r="C3085" t="s">
        <v>2222</v>
      </c>
      <c r="D3085" t="s">
        <v>227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35">
      <c r="A3086" t="s">
        <v>2217</v>
      </c>
      <c r="B3086" t="s">
        <v>2218</v>
      </c>
      <c r="C3086" t="s">
        <v>368</v>
      </c>
      <c r="D3086" t="s">
        <v>228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35">
      <c r="A3087" t="s">
        <v>2217</v>
      </c>
      <c r="B3087" t="s">
        <v>2218</v>
      </c>
      <c r="C3087" t="s">
        <v>1022</v>
      </c>
      <c r="D3087" t="s">
        <v>227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35">
      <c r="A3088" t="s">
        <v>2217</v>
      </c>
      <c r="B3088" t="s">
        <v>2218</v>
      </c>
      <c r="C3088" t="s">
        <v>2223</v>
      </c>
      <c r="D3088" t="s">
        <v>227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35">
      <c r="A3089" t="s">
        <v>2217</v>
      </c>
      <c r="B3089" t="s">
        <v>2218</v>
      </c>
      <c r="C3089" t="s">
        <v>2022</v>
      </c>
      <c r="D3089" t="s">
        <v>228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35">
      <c r="A3090" t="s">
        <v>2217</v>
      </c>
      <c r="B3090" t="s">
        <v>2218</v>
      </c>
      <c r="C3090" t="s">
        <v>2224</v>
      </c>
      <c r="D3090" t="s">
        <v>227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35">
      <c r="A3091" t="s">
        <v>2217</v>
      </c>
      <c r="B3091" t="s">
        <v>2218</v>
      </c>
      <c r="C3091" t="s">
        <v>1103</v>
      </c>
      <c r="D3091" t="s">
        <v>228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35">
      <c r="A3092" t="s">
        <v>2217</v>
      </c>
      <c r="B3092" t="s">
        <v>2218</v>
      </c>
      <c r="C3092" t="s">
        <v>315</v>
      </c>
      <c r="D3092" t="s">
        <v>227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35">
      <c r="A3093" t="s">
        <v>2217</v>
      </c>
      <c r="B3093" t="s">
        <v>2218</v>
      </c>
      <c r="C3093" t="s">
        <v>1654</v>
      </c>
      <c r="D3093" t="s">
        <v>227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35">
      <c r="A3094" t="s">
        <v>2217</v>
      </c>
      <c r="B3094" t="s">
        <v>2218</v>
      </c>
      <c r="C3094" t="s">
        <v>2225</v>
      </c>
      <c r="D3094" t="s">
        <v>227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35">
      <c r="A3095" t="s">
        <v>2217</v>
      </c>
      <c r="B3095" t="s">
        <v>2218</v>
      </c>
      <c r="C3095" t="s">
        <v>614</v>
      </c>
      <c r="D3095" t="s">
        <v>227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35">
      <c r="A3096" t="s">
        <v>2217</v>
      </c>
      <c r="B3096" t="s">
        <v>2218</v>
      </c>
      <c r="C3096" t="s">
        <v>1270</v>
      </c>
      <c r="D3096" t="s">
        <v>228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35">
      <c r="A3097" t="s">
        <v>2217</v>
      </c>
      <c r="B3097" t="s">
        <v>2218</v>
      </c>
      <c r="C3097" t="s">
        <v>278</v>
      </c>
      <c r="D3097" t="s">
        <v>227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35">
      <c r="A3098" t="s">
        <v>2217</v>
      </c>
      <c r="B3098" t="s">
        <v>2218</v>
      </c>
      <c r="C3098" t="s">
        <v>279</v>
      </c>
      <c r="D3098" t="s">
        <v>227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35">
      <c r="A3099" t="s">
        <v>2217</v>
      </c>
      <c r="B3099" t="s">
        <v>2218</v>
      </c>
      <c r="C3099" t="s">
        <v>1391</v>
      </c>
      <c r="D3099" t="s">
        <v>227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35">
      <c r="A3100" t="s">
        <v>2217</v>
      </c>
      <c r="B3100" t="s">
        <v>2218</v>
      </c>
      <c r="C3100" t="s">
        <v>2226</v>
      </c>
      <c r="D3100" t="s">
        <v>227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35">
      <c r="A3101" t="s">
        <v>2217</v>
      </c>
      <c r="B3101" t="s">
        <v>2218</v>
      </c>
      <c r="C3101" t="s">
        <v>2227</v>
      </c>
      <c r="D3101" t="s">
        <v>227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35">
      <c r="A3102" t="s">
        <v>2217</v>
      </c>
      <c r="B3102" t="s">
        <v>2218</v>
      </c>
      <c r="C3102" t="s">
        <v>2228</v>
      </c>
      <c r="D3102" t="s">
        <v>227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35">
      <c r="A3103" t="s">
        <v>2217</v>
      </c>
      <c r="B3103" t="s">
        <v>2218</v>
      </c>
      <c r="C3103" t="s">
        <v>322</v>
      </c>
      <c r="D3103" t="s">
        <v>227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35">
      <c r="A3104" t="s">
        <v>2217</v>
      </c>
      <c r="B3104" t="s">
        <v>2218</v>
      </c>
      <c r="C3104" t="s">
        <v>2229</v>
      </c>
      <c r="D3104" t="s">
        <v>228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35">
      <c r="A3105" t="s">
        <v>2217</v>
      </c>
      <c r="B3105" t="s">
        <v>2218</v>
      </c>
      <c r="C3105" t="s">
        <v>323</v>
      </c>
      <c r="D3105" t="s">
        <v>228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35">
      <c r="A3106" t="s">
        <v>2217</v>
      </c>
      <c r="B3106" t="s">
        <v>2218</v>
      </c>
      <c r="C3106" t="s">
        <v>2230</v>
      </c>
      <c r="D3106" t="s">
        <v>227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35">
      <c r="A3107" t="s">
        <v>2217</v>
      </c>
      <c r="B3107" t="s">
        <v>2218</v>
      </c>
      <c r="C3107" t="s">
        <v>2231</v>
      </c>
      <c r="D3107" t="s">
        <v>227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35">
      <c r="A3108" t="s">
        <v>2217</v>
      </c>
      <c r="B3108" t="s">
        <v>2218</v>
      </c>
      <c r="C3108" t="s">
        <v>2232</v>
      </c>
      <c r="D3108" t="s">
        <v>227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35">
      <c r="A3109" t="s">
        <v>2217</v>
      </c>
      <c r="B3109" t="s">
        <v>2218</v>
      </c>
      <c r="C3109" t="s">
        <v>1727</v>
      </c>
      <c r="D3109" t="s">
        <v>227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35">
      <c r="A3110" t="s">
        <v>2217</v>
      </c>
      <c r="B3110" t="s">
        <v>2218</v>
      </c>
      <c r="C3110" t="s">
        <v>1729</v>
      </c>
      <c r="D3110" t="s">
        <v>227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35">
      <c r="A3111" t="s">
        <v>2217</v>
      </c>
      <c r="B3111" t="s">
        <v>2218</v>
      </c>
      <c r="C3111" t="s">
        <v>2233</v>
      </c>
      <c r="D3111" t="s">
        <v>227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35">
      <c r="A3112" t="s">
        <v>2217</v>
      </c>
      <c r="B3112" t="s">
        <v>2218</v>
      </c>
      <c r="C3112" t="s">
        <v>292</v>
      </c>
      <c r="D3112" t="s">
        <v>227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35">
      <c r="A3113" t="s">
        <v>2217</v>
      </c>
      <c r="B3113" t="s">
        <v>2218</v>
      </c>
      <c r="C3113" t="s">
        <v>2234</v>
      </c>
      <c r="D3113" t="s">
        <v>227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35">
      <c r="A3114" t="s">
        <v>2217</v>
      </c>
      <c r="B3114" t="s">
        <v>2218</v>
      </c>
      <c r="C3114" t="s">
        <v>962</v>
      </c>
      <c r="D3114" t="s">
        <v>228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35">
      <c r="A3115" t="s">
        <v>2217</v>
      </c>
      <c r="B3115" t="s">
        <v>2218</v>
      </c>
      <c r="C3115" t="s">
        <v>2235</v>
      </c>
      <c r="D3115" t="s">
        <v>227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35">
      <c r="A3116" t="s">
        <v>2217</v>
      </c>
      <c r="B3116" t="s">
        <v>2218</v>
      </c>
      <c r="C3116" t="s">
        <v>2236</v>
      </c>
      <c r="D3116" t="s">
        <v>227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35">
      <c r="A3117" t="s">
        <v>2217</v>
      </c>
      <c r="B3117" t="s">
        <v>2218</v>
      </c>
      <c r="C3117" t="s">
        <v>2237</v>
      </c>
      <c r="D3117" t="s">
        <v>227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35">
      <c r="A3118" t="s">
        <v>2217</v>
      </c>
      <c r="B3118" t="s">
        <v>2218</v>
      </c>
      <c r="C3118" t="s">
        <v>912</v>
      </c>
      <c r="D3118" t="s">
        <v>227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35">
      <c r="A3119" t="s">
        <v>2217</v>
      </c>
      <c r="B3119" t="s">
        <v>2218</v>
      </c>
      <c r="C3119" t="s">
        <v>334</v>
      </c>
      <c r="D3119" t="s">
        <v>227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35">
      <c r="A3120" t="s">
        <v>2217</v>
      </c>
      <c r="B3120" t="s">
        <v>2218</v>
      </c>
      <c r="C3120" t="s">
        <v>1046</v>
      </c>
      <c r="D3120" t="s">
        <v>227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35">
      <c r="A3121" t="s">
        <v>2217</v>
      </c>
      <c r="B3121" t="s">
        <v>2218</v>
      </c>
      <c r="C3121" t="s">
        <v>2238</v>
      </c>
      <c r="D3121" t="s">
        <v>228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35">
      <c r="A3122" t="s">
        <v>2217</v>
      </c>
      <c r="B3122" t="s">
        <v>2218</v>
      </c>
      <c r="C3122" t="s">
        <v>2239</v>
      </c>
      <c r="D3122" t="s">
        <v>227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35">
      <c r="A3123" t="s">
        <v>2217</v>
      </c>
      <c r="B3123" t="s">
        <v>2218</v>
      </c>
      <c r="C3123" t="s">
        <v>556</v>
      </c>
      <c r="D3123" t="s">
        <v>227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35">
      <c r="A3124" t="s">
        <v>2217</v>
      </c>
      <c r="B3124" t="s">
        <v>2218</v>
      </c>
      <c r="C3124" t="s">
        <v>915</v>
      </c>
      <c r="D3124" t="s">
        <v>227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35">
      <c r="A3125" t="s">
        <v>2217</v>
      </c>
      <c r="B3125" t="s">
        <v>2218</v>
      </c>
      <c r="C3125" t="s">
        <v>2130</v>
      </c>
      <c r="D3125" t="s">
        <v>227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35">
      <c r="A3126" t="s">
        <v>2217</v>
      </c>
      <c r="B3126" t="s">
        <v>2218</v>
      </c>
      <c r="C3126" t="s">
        <v>2240</v>
      </c>
      <c r="D3126" t="s">
        <v>227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35">
      <c r="A3127" t="s">
        <v>2217</v>
      </c>
      <c r="B3127" t="s">
        <v>2218</v>
      </c>
      <c r="C3127" t="s">
        <v>2241</v>
      </c>
      <c r="D3127" t="s">
        <v>228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35">
      <c r="A3128" t="s">
        <v>2217</v>
      </c>
      <c r="B3128" t="s">
        <v>2218</v>
      </c>
      <c r="C3128" t="s">
        <v>2242</v>
      </c>
      <c r="D3128" t="s">
        <v>227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35">
      <c r="A3129" t="s">
        <v>2217</v>
      </c>
      <c r="B3129" t="s">
        <v>2218</v>
      </c>
      <c r="C3129" t="s">
        <v>2243</v>
      </c>
      <c r="D3129" t="s">
        <v>227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35">
      <c r="A3130" t="s">
        <v>2217</v>
      </c>
      <c r="B3130" t="s">
        <v>2218</v>
      </c>
      <c r="C3130" t="s">
        <v>2244</v>
      </c>
      <c r="D3130" t="s">
        <v>227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35">
      <c r="A3131" t="s">
        <v>2217</v>
      </c>
      <c r="B3131" t="s">
        <v>2218</v>
      </c>
      <c r="C3131" t="s">
        <v>704</v>
      </c>
      <c r="D3131" t="s">
        <v>228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35">
      <c r="A3132" t="s">
        <v>2217</v>
      </c>
      <c r="B3132" t="s">
        <v>2218</v>
      </c>
      <c r="C3132" t="s">
        <v>2245</v>
      </c>
      <c r="D3132" t="s">
        <v>227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35">
      <c r="A3133" t="s">
        <v>2217</v>
      </c>
      <c r="B3133" t="s">
        <v>2218</v>
      </c>
      <c r="C3133" t="s">
        <v>710</v>
      </c>
      <c r="D3133" t="s">
        <v>227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35">
      <c r="A3134" t="s">
        <v>2217</v>
      </c>
      <c r="B3134" t="s">
        <v>2218</v>
      </c>
      <c r="C3134" t="s">
        <v>2246</v>
      </c>
      <c r="D3134" t="s">
        <v>228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35">
      <c r="A3135" t="s">
        <v>2217</v>
      </c>
      <c r="B3135" t="s">
        <v>2218</v>
      </c>
      <c r="C3135" t="s">
        <v>2038</v>
      </c>
      <c r="D3135" t="s">
        <v>227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35">
      <c r="A3136" t="s">
        <v>2217</v>
      </c>
      <c r="B3136" t="s">
        <v>2218</v>
      </c>
      <c r="C3136" t="s">
        <v>2247</v>
      </c>
      <c r="D3136" t="s">
        <v>228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35">
      <c r="A3137" t="s">
        <v>2217</v>
      </c>
      <c r="B3137" t="s">
        <v>2218</v>
      </c>
      <c r="C3137" t="s">
        <v>307</v>
      </c>
      <c r="D3137" t="s">
        <v>227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35">
      <c r="A3138" t="s">
        <v>2217</v>
      </c>
      <c r="B3138" t="s">
        <v>2218</v>
      </c>
      <c r="C3138" t="s">
        <v>2248</v>
      </c>
      <c r="D3138" t="s">
        <v>227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35">
      <c r="A3139" t="s">
        <v>2217</v>
      </c>
      <c r="B3139" t="s">
        <v>2218</v>
      </c>
      <c r="C3139" t="s">
        <v>2249</v>
      </c>
      <c r="D3139" t="s">
        <v>227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35">
      <c r="A3140" t="s">
        <v>2217</v>
      </c>
      <c r="B3140" t="s">
        <v>2218</v>
      </c>
      <c r="C3140" t="s">
        <v>2250</v>
      </c>
      <c r="D3140" t="s">
        <v>227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35">
      <c r="A3141" t="s">
        <v>2217</v>
      </c>
      <c r="B3141" t="s">
        <v>2218</v>
      </c>
      <c r="C3141" t="s">
        <v>568</v>
      </c>
      <c r="D3141" t="s">
        <v>227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3000000}"/>
  <mergeCells count="2">
    <mergeCell ref="L14:S14"/>
    <mergeCell ref="K14:K15"/>
  </mergeCells>
  <pageMargins left="0.7" right="0.7" top="0.75" bottom="0.75" header="0.3" footer="0.3"/>
  <pageSetup orientation="portrait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FA6F5-7955-412A-9ACE-78EA05C9D395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265625" defaultRowHeight="14.5" x14ac:dyDescent="0.35"/>
  <cols>
    <col min="1" max="1" width="29.81640625" customWidth="1"/>
    <col min="2" max="2" width="7.81640625" style="24" customWidth="1"/>
    <col min="3" max="11" width="7.54296875" style="24" customWidth="1"/>
  </cols>
  <sheetData>
    <row r="1" spans="1:11" x14ac:dyDescent="0.35">
      <c r="A1" s="23" t="s">
        <v>2858</v>
      </c>
      <c r="C1" s="24" t="str">
        <f>C5&amp;" Division"</f>
        <v>New England Division</v>
      </c>
      <c r="D1" s="24" t="str">
        <f t="shared" ref="D1:K1" si="0">D5&amp;" Division"</f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5" customHeight="1" x14ac:dyDescent="0.35">
      <c r="A2" s="163" t="s">
        <v>2857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</row>
    <row r="3" spans="1:11" ht="23.5" customHeight="1" thickBot="1" x14ac:dyDescent="0.4">
      <c r="A3" s="81"/>
      <c r="B3" s="165" t="s">
        <v>2286</v>
      </c>
      <c r="C3" s="165"/>
      <c r="D3" s="165"/>
      <c r="E3" s="165"/>
      <c r="F3" s="165"/>
      <c r="G3" s="166"/>
      <c r="H3" s="166"/>
      <c r="I3" s="166"/>
      <c r="J3" s="166"/>
      <c r="K3" s="166"/>
    </row>
    <row r="4" spans="1:11" ht="25.5" customHeight="1" x14ac:dyDescent="0.35">
      <c r="A4" s="81"/>
      <c r="B4" s="80"/>
      <c r="C4" s="167" t="s">
        <v>2287</v>
      </c>
      <c r="D4" s="168"/>
      <c r="E4" s="169" t="s">
        <v>2288</v>
      </c>
      <c r="F4" s="170"/>
      <c r="G4" s="169" t="s">
        <v>2289</v>
      </c>
      <c r="H4" s="170"/>
      <c r="I4" s="170"/>
      <c r="J4" s="171" t="s">
        <v>2290</v>
      </c>
      <c r="K4" s="172"/>
    </row>
    <row r="5" spans="1:11" ht="53.5" customHeight="1" thickBot="1" x14ac:dyDescent="0.4">
      <c r="A5" s="79"/>
      <c r="B5" s="78" t="s">
        <v>2291</v>
      </c>
      <c r="C5" s="78" t="s">
        <v>2292</v>
      </c>
      <c r="D5" s="78" t="s">
        <v>2293</v>
      </c>
      <c r="E5" s="78" t="s">
        <v>2294</v>
      </c>
      <c r="F5" s="78" t="s">
        <v>2295</v>
      </c>
      <c r="G5" s="78" t="s">
        <v>2296</v>
      </c>
      <c r="H5" s="78" t="s">
        <v>2297</v>
      </c>
      <c r="I5" s="78" t="s">
        <v>2298</v>
      </c>
      <c r="J5" s="78" t="s">
        <v>2590</v>
      </c>
      <c r="K5" s="78" t="s">
        <v>2210</v>
      </c>
    </row>
    <row r="6" spans="1:11" ht="24" customHeight="1" thickTop="1" x14ac:dyDescent="0.35">
      <c r="A6" s="77" t="s">
        <v>2299</v>
      </c>
      <c r="B6" s="76">
        <v>96758</v>
      </c>
      <c r="C6" s="76">
        <v>3748</v>
      </c>
      <c r="D6" s="76">
        <v>12272</v>
      </c>
      <c r="E6" s="76">
        <v>17642</v>
      </c>
      <c r="F6" s="76">
        <v>8501</v>
      </c>
      <c r="G6" s="76">
        <v>17961</v>
      </c>
      <c r="H6" s="76">
        <v>5359</v>
      </c>
      <c r="I6" s="76">
        <v>11558</v>
      </c>
      <c r="J6" s="76">
        <v>7761</v>
      </c>
      <c r="K6" s="76">
        <v>11956</v>
      </c>
    </row>
    <row r="7" spans="1:11" ht="24" customHeight="1" x14ac:dyDescent="0.35">
      <c r="A7" s="71" t="s">
        <v>2300</v>
      </c>
      <c r="B7" s="65" t="s">
        <v>27</v>
      </c>
      <c r="C7" s="65" t="s">
        <v>27</v>
      </c>
      <c r="D7" s="65" t="s">
        <v>27</v>
      </c>
      <c r="E7" s="65" t="s">
        <v>27</v>
      </c>
      <c r="F7" s="65" t="s">
        <v>27</v>
      </c>
      <c r="G7" s="65" t="s">
        <v>27</v>
      </c>
      <c r="H7" s="65" t="s">
        <v>27</v>
      </c>
      <c r="I7" s="65" t="s">
        <v>27</v>
      </c>
      <c r="J7" s="65" t="s">
        <v>27</v>
      </c>
      <c r="K7" s="65" t="s">
        <v>27</v>
      </c>
    </row>
    <row r="8" spans="1:11" x14ac:dyDescent="0.35">
      <c r="A8" s="61" t="s">
        <v>2301</v>
      </c>
      <c r="B8" s="60">
        <v>8031</v>
      </c>
      <c r="C8" s="60">
        <v>478</v>
      </c>
      <c r="D8" s="60">
        <v>652</v>
      </c>
      <c r="E8" s="60">
        <v>1545</v>
      </c>
      <c r="F8" s="60">
        <v>716</v>
      </c>
      <c r="G8" s="60">
        <v>1506</v>
      </c>
      <c r="H8" s="60">
        <v>458</v>
      </c>
      <c r="I8" s="60">
        <v>1032</v>
      </c>
      <c r="J8" s="60">
        <v>571</v>
      </c>
      <c r="K8" s="60">
        <v>1072</v>
      </c>
    </row>
    <row r="9" spans="1:11" x14ac:dyDescent="0.35">
      <c r="A9" s="61" t="s">
        <v>2302</v>
      </c>
      <c r="B9" s="60">
        <v>10206</v>
      </c>
      <c r="C9" s="60">
        <v>443</v>
      </c>
      <c r="D9" s="60">
        <v>708</v>
      </c>
      <c r="E9" s="60">
        <v>1889</v>
      </c>
      <c r="F9" s="60">
        <v>1173</v>
      </c>
      <c r="G9" s="60">
        <v>1413</v>
      </c>
      <c r="H9" s="60">
        <v>688</v>
      </c>
      <c r="I9" s="60">
        <v>1370</v>
      </c>
      <c r="J9" s="60">
        <v>994</v>
      </c>
      <c r="K9" s="60">
        <v>1527</v>
      </c>
    </row>
    <row r="10" spans="1:11" x14ac:dyDescent="0.35">
      <c r="A10" s="61" t="s">
        <v>2303</v>
      </c>
      <c r="B10" s="60">
        <v>15623</v>
      </c>
      <c r="C10" s="60">
        <v>782</v>
      </c>
      <c r="D10" s="60">
        <v>1535</v>
      </c>
      <c r="E10" s="60">
        <v>2749</v>
      </c>
      <c r="F10" s="60">
        <v>1589</v>
      </c>
      <c r="G10" s="60">
        <v>2825</v>
      </c>
      <c r="H10" s="60">
        <v>881</v>
      </c>
      <c r="I10" s="60">
        <v>1962</v>
      </c>
      <c r="J10" s="60">
        <v>1313</v>
      </c>
      <c r="K10" s="60">
        <v>1987</v>
      </c>
    </row>
    <row r="11" spans="1:11" x14ac:dyDescent="0.35">
      <c r="A11" s="61" t="s">
        <v>2304</v>
      </c>
      <c r="B11" s="60">
        <v>14430</v>
      </c>
      <c r="C11" s="60">
        <v>505</v>
      </c>
      <c r="D11" s="60">
        <v>1783</v>
      </c>
      <c r="E11" s="60">
        <v>2939</v>
      </c>
      <c r="F11" s="60">
        <v>1408</v>
      </c>
      <c r="G11" s="60">
        <v>2393</v>
      </c>
      <c r="H11" s="60">
        <v>604</v>
      </c>
      <c r="I11" s="60">
        <v>1714</v>
      </c>
      <c r="J11" s="60">
        <v>1147</v>
      </c>
      <c r="K11" s="60">
        <v>1937</v>
      </c>
    </row>
    <row r="12" spans="1:11" x14ac:dyDescent="0.35">
      <c r="A12" s="61" t="s">
        <v>2305</v>
      </c>
      <c r="B12" s="60">
        <v>15387</v>
      </c>
      <c r="C12" s="60">
        <v>518</v>
      </c>
      <c r="D12" s="60">
        <v>1666</v>
      </c>
      <c r="E12" s="60">
        <v>2657</v>
      </c>
      <c r="F12" s="60">
        <v>1325</v>
      </c>
      <c r="G12" s="60">
        <v>3250</v>
      </c>
      <c r="H12" s="60">
        <v>875</v>
      </c>
      <c r="I12" s="60">
        <v>2173</v>
      </c>
      <c r="J12" s="60">
        <v>1292</v>
      </c>
      <c r="K12" s="60">
        <v>1630</v>
      </c>
    </row>
    <row r="13" spans="1:11" x14ac:dyDescent="0.35">
      <c r="A13" s="61" t="s">
        <v>2306</v>
      </c>
      <c r="B13" s="60">
        <v>13042</v>
      </c>
      <c r="C13" s="60">
        <v>538</v>
      </c>
      <c r="D13" s="60">
        <v>2127</v>
      </c>
      <c r="E13" s="60">
        <v>1746</v>
      </c>
      <c r="F13" s="60">
        <v>1031</v>
      </c>
      <c r="G13" s="60">
        <v>2627</v>
      </c>
      <c r="H13" s="60">
        <v>1022</v>
      </c>
      <c r="I13" s="60">
        <v>1380</v>
      </c>
      <c r="J13" s="60">
        <v>1141</v>
      </c>
      <c r="K13" s="60">
        <v>1428</v>
      </c>
    </row>
    <row r="14" spans="1:11" x14ac:dyDescent="0.35">
      <c r="A14" s="61" t="s">
        <v>2307</v>
      </c>
      <c r="B14" s="60">
        <v>11723</v>
      </c>
      <c r="C14" s="60">
        <v>341</v>
      </c>
      <c r="D14" s="60">
        <v>2035</v>
      </c>
      <c r="E14" s="60">
        <v>2444</v>
      </c>
      <c r="F14" s="60">
        <v>585</v>
      </c>
      <c r="G14" s="60">
        <v>2389</v>
      </c>
      <c r="H14" s="60">
        <v>550</v>
      </c>
      <c r="I14" s="60">
        <v>1265</v>
      </c>
      <c r="J14" s="60">
        <v>632</v>
      </c>
      <c r="K14" s="60">
        <v>1483</v>
      </c>
    </row>
    <row r="15" spans="1:11" x14ac:dyDescent="0.35">
      <c r="A15" s="61" t="s">
        <v>2308</v>
      </c>
      <c r="B15" s="60">
        <v>8317</v>
      </c>
      <c r="C15" s="60" t="s">
        <v>2309</v>
      </c>
      <c r="D15" s="60">
        <v>1766</v>
      </c>
      <c r="E15" s="60">
        <v>1673</v>
      </c>
      <c r="F15" s="60">
        <v>674</v>
      </c>
      <c r="G15" s="60">
        <v>1557</v>
      </c>
      <c r="H15" s="60" t="s">
        <v>2309</v>
      </c>
      <c r="I15" s="60">
        <v>662</v>
      </c>
      <c r="J15" s="60" t="s">
        <v>2309</v>
      </c>
      <c r="K15" s="60">
        <v>892</v>
      </c>
    </row>
    <row r="16" spans="1:11" ht="24" customHeight="1" x14ac:dyDescent="0.35">
      <c r="A16" s="71" t="s">
        <v>2310</v>
      </c>
      <c r="B16" s="65" t="s">
        <v>27</v>
      </c>
      <c r="C16" s="65" t="s">
        <v>27</v>
      </c>
      <c r="D16" s="65" t="s">
        <v>27</v>
      </c>
      <c r="E16" s="65" t="s">
        <v>27</v>
      </c>
      <c r="F16" s="65" t="s">
        <v>27</v>
      </c>
      <c r="G16" s="65" t="s">
        <v>27</v>
      </c>
      <c r="H16" s="65" t="s">
        <v>27</v>
      </c>
      <c r="I16" s="65" t="s">
        <v>27</v>
      </c>
      <c r="J16" s="65" t="s">
        <v>27</v>
      </c>
      <c r="K16" s="65" t="s">
        <v>27</v>
      </c>
    </row>
    <row r="17" spans="1:11" x14ac:dyDescent="0.35">
      <c r="A17" s="61" t="s">
        <v>2311</v>
      </c>
      <c r="B17" s="60">
        <v>13686</v>
      </c>
      <c r="C17" s="60">
        <v>621</v>
      </c>
      <c r="D17" s="60">
        <v>1924</v>
      </c>
      <c r="E17" s="60">
        <v>2455</v>
      </c>
      <c r="F17" s="60">
        <v>1430</v>
      </c>
      <c r="G17" s="60">
        <v>2348</v>
      </c>
      <c r="H17" s="60">
        <v>834</v>
      </c>
      <c r="I17" s="60">
        <v>1800</v>
      </c>
      <c r="J17" s="60">
        <v>895</v>
      </c>
      <c r="K17" s="60">
        <v>1379</v>
      </c>
    </row>
    <row r="18" spans="1:11" x14ac:dyDescent="0.35">
      <c r="A18" s="61" t="s">
        <v>2312</v>
      </c>
      <c r="B18" s="60">
        <v>1032</v>
      </c>
      <c r="C18" s="60" t="s">
        <v>2309</v>
      </c>
      <c r="D18" s="60" t="s">
        <v>2309</v>
      </c>
      <c r="E18" s="60">
        <v>320</v>
      </c>
      <c r="F18" s="60" t="s">
        <v>2309</v>
      </c>
      <c r="G18" s="60" t="s">
        <v>2309</v>
      </c>
      <c r="H18" s="60" t="s">
        <v>2309</v>
      </c>
      <c r="I18" s="60" t="s">
        <v>2309</v>
      </c>
      <c r="J18" s="60" t="s">
        <v>2309</v>
      </c>
      <c r="K18" s="60" t="s">
        <v>2309</v>
      </c>
    </row>
    <row r="19" spans="1:11" x14ac:dyDescent="0.35">
      <c r="A19" s="61" t="s">
        <v>2313</v>
      </c>
      <c r="B19" s="60">
        <v>1372</v>
      </c>
      <c r="C19" s="60" t="s">
        <v>2309</v>
      </c>
      <c r="D19" s="60" t="s">
        <v>2309</v>
      </c>
      <c r="E19" s="60">
        <v>211</v>
      </c>
      <c r="F19" s="60" t="s">
        <v>2309</v>
      </c>
      <c r="G19" s="60">
        <v>261</v>
      </c>
      <c r="H19" s="60" t="s">
        <v>2309</v>
      </c>
      <c r="I19" s="60">
        <v>190</v>
      </c>
      <c r="J19" s="60">
        <v>214</v>
      </c>
      <c r="K19" s="60">
        <v>198</v>
      </c>
    </row>
    <row r="20" spans="1:11" x14ac:dyDescent="0.35">
      <c r="A20" s="61" t="s">
        <v>2314</v>
      </c>
      <c r="B20" s="60">
        <v>4011</v>
      </c>
      <c r="C20" s="60">
        <v>194</v>
      </c>
      <c r="D20" s="60">
        <v>585</v>
      </c>
      <c r="E20" s="60">
        <v>831</v>
      </c>
      <c r="F20" s="60">
        <v>238</v>
      </c>
      <c r="G20" s="60">
        <v>580</v>
      </c>
      <c r="H20" s="60">
        <v>238</v>
      </c>
      <c r="I20" s="60">
        <v>355</v>
      </c>
      <c r="J20" s="60">
        <v>404</v>
      </c>
      <c r="K20" s="60">
        <v>586</v>
      </c>
    </row>
    <row r="21" spans="1:11" x14ac:dyDescent="0.35">
      <c r="A21" s="59" t="s">
        <v>2315</v>
      </c>
      <c r="B21" s="60">
        <v>2259</v>
      </c>
      <c r="C21" s="60" t="s">
        <v>2309</v>
      </c>
      <c r="D21" s="60">
        <v>276</v>
      </c>
      <c r="E21" s="60">
        <v>583</v>
      </c>
      <c r="F21" s="60" t="s">
        <v>2309</v>
      </c>
      <c r="G21" s="60">
        <v>366</v>
      </c>
      <c r="H21" s="60" t="s">
        <v>2309</v>
      </c>
      <c r="I21" s="60">
        <v>237</v>
      </c>
      <c r="J21" s="60" t="s">
        <v>2309</v>
      </c>
      <c r="K21" s="60">
        <v>302</v>
      </c>
    </row>
    <row r="22" spans="1:11" x14ac:dyDescent="0.35">
      <c r="A22" s="59" t="s">
        <v>2316</v>
      </c>
      <c r="B22" s="60">
        <v>1753</v>
      </c>
      <c r="C22" s="60" t="s">
        <v>2309</v>
      </c>
      <c r="D22" s="60">
        <v>308</v>
      </c>
      <c r="E22" s="60">
        <v>248</v>
      </c>
      <c r="F22" s="60" t="s">
        <v>2309</v>
      </c>
      <c r="G22" s="60">
        <v>214</v>
      </c>
      <c r="H22" s="60" t="s">
        <v>2309</v>
      </c>
      <c r="I22" s="60" t="s">
        <v>2309</v>
      </c>
      <c r="J22" s="60">
        <v>243</v>
      </c>
      <c r="K22" s="60">
        <v>284</v>
      </c>
    </row>
    <row r="23" spans="1:11" x14ac:dyDescent="0.35">
      <c r="A23" s="61" t="s">
        <v>2317</v>
      </c>
      <c r="B23" s="60">
        <v>6997</v>
      </c>
      <c r="C23" s="60">
        <v>322</v>
      </c>
      <c r="D23" s="60">
        <v>884</v>
      </c>
      <c r="E23" s="60">
        <v>1072</v>
      </c>
      <c r="F23" s="60">
        <v>589</v>
      </c>
      <c r="G23" s="60">
        <v>1300</v>
      </c>
      <c r="H23" s="60">
        <v>305</v>
      </c>
      <c r="I23" s="60">
        <v>771</v>
      </c>
      <c r="J23" s="60">
        <v>830</v>
      </c>
      <c r="K23" s="60">
        <v>924</v>
      </c>
    </row>
    <row r="24" spans="1:11" x14ac:dyDescent="0.35">
      <c r="A24" s="61" t="s">
        <v>2318</v>
      </c>
      <c r="B24" s="60">
        <v>10781</v>
      </c>
      <c r="C24" s="60" t="s">
        <v>2309</v>
      </c>
      <c r="D24" s="60">
        <v>1044</v>
      </c>
      <c r="E24" s="60">
        <v>1756</v>
      </c>
      <c r="F24" s="60">
        <v>856</v>
      </c>
      <c r="G24" s="60">
        <v>2159</v>
      </c>
      <c r="H24" s="60">
        <v>718</v>
      </c>
      <c r="I24" s="60">
        <v>1598</v>
      </c>
      <c r="J24" s="60">
        <v>1125</v>
      </c>
      <c r="K24" s="60">
        <v>1174</v>
      </c>
    </row>
    <row r="25" spans="1:11" x14ac:dyDescent="0.35">
      <c r="A25" s="59" t="s">
        <v>2319</v>
      </c>
      <c r="B25" s="60">
        <v>5193</v>
      </c>
      <c r="C25" s="60" t="s">
        <v>2309</v>
      </c>
      <c r="D25" s="60">
        <v>376</v>
      </c>
      <c r="E25" s="60">
        <v>900</v>
      </c>
      <c r="F25" s="60">
        <v>569</v>
      </c>
      <c r="G25" s="60">
        <v>998</v>
      </c>
      <c r="H25" s="60">
        <v>506</v>
      </c>
      <c r="I25" s="60">
        <v>671</v>
      </c>
      <c r="J25" s="60">
        <v>563</v>
      </c>
      <c r="K25" s="60">
        <v>380</v>
      </c>
    </row>
    <row r="26" spans="1:11" x14ac:dyDescent="0.35">
      <c r="A26" s="59" t="s">
        <v>2320</v>
      </c>
      <c r="B26" s="60">
        <v>5588</v>
      </c>
      <c r="C26" s="60" t="s">
        <v>2309</v>
      </c>
      <c r="D26" s="60">
        <v>669</v>
      </c>
      <c r="E26" s="60">
        <v>856</v>
      </c>
      <c r="F26" s="60" t="s">
        <v>2309</v>
      </c>
      <c r="G26" s="60">
        <v>1161</v>
      </c>
      <c r="H26" s="60" t="s">
        <v>2309</v>
      </c>
      <c r="I26" s="60">
        <v>927</v>
      </c>
      <c r="J26" s="60">
        <v>562</v>
      </c>
      <c r="K26" s="60">
        <v>795</v>
      </c>
    </row>
    <row r="27" spans="1:11" x14ac:dyDescent="0.35">
      <c r="A27" s="61" t="s">
        <v>2321</v>
      </c>
      <c r="B27" s="60">
        <v>16682</v>
      </c>
      <c r="C27" s="60">
        <v>454</v>
      </c>
      <c r="D27" s="60">
        <v>2741</v>
      </c>
      <c r="E27" s="60">
        <v>2943</v>
      </c>
      <c r="F27" s="60">
        <v>1393</v>
      </c>
      <c r="G27" s="60">
        <v>3253</v>
      </c>
      <c r="H27" s="60">
        <v>547</v>
      </c>
      <c r="I27" s="60">
        <v>1918</v>
      </c>
      <c r="J27" s="60">
        <v>1359</v>
      </c>
      <c r="K27" s="60">
        <v>2072</v>
      </c>
    </row>
    <row r="28" spans="1:11" x14ac:dyDescent="0.35">
      <c r="A28" s="61" t="s">
        <v>2322</v>
      </c>
      <c r="B28" s="60">
        <v>7157</v>
      </c>
      <c r="C28" s="60">
        <v>424</v>
      </c>
      <c r="D28" s="60">
        <v>677</v>
      </c>
      <c r="E28" s="60">
        <v>1384</v>
      </c>
      <c r="F28" s="60">
        <v>506</v>
      </c>
      <c r="G28" s="60">
        <v>1642</v>
      </c>
      <c r="H28" s="60" t="s">
        <v>2309</v>
      </c>
      <c r="I28" s="60">
        <v>893</v>
      </c>
      <c r="J28" s="60">
        <v>566</v>
      </c>
      <c r="K28" s="60">
        <v>915</v>
      </c>
    </row>
    <row r="29" spans="1:11" x14ac:dyDescent="0.35">
      <c r="A29" s="61" t="s">
        <v>2323</v>
      </c>
      <c r="B29" s="60">
        <v>1563</v>
      </c>
      <c r="C29" s="60" t="s">
        <v>2309</v>
      </c>
      <c r="D29" s="60" t="s">
        <v>2309</v>
      </c>
      <c r="E29" s="60" t="s">
        <v>2309</v>
      </c>
      <c r="F29" s="60" t="s">
        <v>2309</v>
      </c>
      <c r="G29" s="60" t="s">
        <v>2309</v>
      </c>
      <c r="H29" s="60" t="s">
        <v>2309</v>
      </c>
      <c r="I29" s="60" t="s">
        <v>2309</v>
      </c>
      <c r="J29" s="60" t="s">
        <v>2309</v>
      </c>
      <c r="K29" s="60" t="s">
        <v>2309</v>
      </c>
    </row>
    <row r="30" spans="1:11" x14ac:dyDescent="0.35">
      <c r="A30" s="61" t="s">
        <v>2324</v>
      </c>
      <c r="B30" s="60">
        <v>5686</v>
      </c>
      <c r="C30" s="60" t="s">
        <v>2309</v>
      </c>
      <c r="D30" s="60">
        <v>510</v>
      </c>
      <c r="E30" s="60">
        <v>963</v>
      </c>
      <c r="F30" s="60">
        <v>609</v>
      </c>
      <c r="G30" s="60">
        <v>1370</v>
      </c>
      <c r="H30" s="60">
        <v>602</v>
      </c>
      <c r="I30" s="60">
        <v>619</v>
      </c>
      <c r="J30" s="60" t="s">
        <v>2309</v>
      </c>
      <c r="K30" s="60">
        <v>530</v>
      </c>
    </row>
    <row r="31" spans="1:11" x14ac:dyDescent="0.35">
      <c r="A31" s="61" t="s">
        <v>2325</v>
      </c>
      <c r="B31" s="60">
        <v>6343</v>
      </c>
      <c r="C31" s="60">
        <v>323</v>
      </c>
      <c r="D31" s="60">
        <v>1042</v>
      </c>
      <c r="E31" s="60">
        <v>1301</v>
      </c>
      <c r="F31" s="60">
        <v>911</v>
      </c>
      <c r="G31" s="60">
        <v>755</v>
      </c>
      <c r="H31" s="60">
        <v>310</v>
      </c>
      <c r="I31" s="60">
        <v>619</v>
      </c>
      <c r="J31" s="60">
        <v>478</v>
      </c>
      <c r="K31" s="60">
        <v>605</v>
      </c>
    </row>
    <row r="32" spans="1:11" x14ac:dyDescent="0.35">
      <c r="A32" s="61" t="s">
        <v>2326</v>
      </c>
      <c r="B32" s="60">
        <v>17429</v>
      </c>
      <c r="C32" s="60">
        <v>469</v>
      </c>
      <c r="D32" s="60">
        <v>1929</v>
      </c>
      <c r="E32" s="60">
        <v>3399</v>
      </c>
      <c r="F32" s="60">
        <v>1312</v>
      </c>
      <c r="G32" s="60">
        <v>3034</v>
      </c>
      <c r="H32" s="60">
        <v>1250</v>
      </c>
      <c r="I32" s="60">
        <v>2030</v>
      </c>
      <c r="J32" s="60">
        <v>1049</v>
      </c>
      <c r="K32" s="60">
        <v>2958</v>
      </c>
    </row>
    <row r="33" spans="1:11" x14ac:dyDescent="0.35">
      <c r="A33" s="61" t="s">
        <v>2327</v>
      </c>
      <c r="B33" s="60">
        <v>2403</v>
      </c>
      <c r="C33" s="60" t="s">
        <v>2309</v>
      </c>
      <c r="D33" s="60">
        <v>450</v>
      </c>
      <c r="E33" s="60">
        <v>403</v>
      </c>
      <c r="F33" s="60" t="s">
        <v>2309</v>
      </c>
      <c r="G33" s="60">
        <v>534</v>
      </c>
      <c r="H33" s="60" t="s">
        <v>2309</v>
      </c>
      <c r="I33" s="60" t="s">
        <v>2309</v>
      </c>
      <c r="J33" s="60" t="s">
        <v>2309</v>
      </c>
      <c r="K33" s="60" t="s">
        <v>2309</v>
      </c>
    </row>
    <row r="34" spans="1:11" x14ac:dyDescent="0.35">
      <c r="A34" s="61" t="s">
        <v>2328</v>
      </c>
      <c r="B34" s="60">
        <v>1616</v>
      </c>
      <c r="C34" s="60" t="s">
        <v>2309</v>
      </c>
      <c r="D34" s="60" t="s">
        <v>2309</v>
      </c>
      <c r="E34" s="60">
        <v>313</v>
      </c>
      <c r="F34" s="60" t="s">
        <v>2309</v>
      </c>
      <c r="G34" s="60">
        <v>371</v>
      </c>
      <c r="H34" s="60" t="s">
        <v>2309</v>
      </c>
      <c r="I34" s="60" t="s">
        <v>2309</v>
      </c>
      <c r="J34" s="60" t="s">
        <v>2309</v>
      </c>
      <c r="K34" s="60" t="s">
        <v>2309</v>
      </c>
    </row>
    <row r="35" spans="1:11" ht="24" customHeight="1" x14ac:dyDescent="0.35">
      <c r="A35" s="71" t="s">
        <v>2329</v>
      </c>
      <c r="B35" s="65" t="s">
        <v>27</v>
      </c>
      <c r="C35" s="65" t="s">
        <v>27</v>
      </c>
      <c r="D35" s="65" t="s">
        <v>27</v>
      </c>
      <c r="E35" s="65" t="s">
        <v>27</v>
      </c>
      <c r="F35" s="65" t="s">
        <v>27</v>
      </c>
      <c r="G35" s="65" t="s">
        <v>27</v>
      </c>
      <c r="H35" s="65" t="s">
        <v>27</v>
      </c>
      <c r="I35" s="65" t="s">
        <v>27</v>
      </c>
      <c r="J35" s="65" t="s">
        <v>27</v>
      </c>
      <c r="K35" s="65" t="s">
        <v>27</v>
      </c>
    </row>
    <row r="36" spans="1:11" x14ac:dyDescent="0.35">
      <c r="A36" s="61" t="s">
        <v>2330</v>
      </c>
      <c r="B36" s="60">
        <v>3600</v>
      </c>
      <c r="C36" s="60">
        <v>360</v>
      </c>
      <c r="D36" s="60">
        <v>925</v>
      </c>
      <c r="E36" s="60">
        <v>924</v>
      </c>
      <c r="F36" s="60" t="s">
        <v>2309</v>
      </c>
      <c r="G36" s="60">
        <v>487</v>
      </c>
      <c r="H36" s="60" t="s">
        <v>2309</v>
      </c>
      <c r="I36" s="60" t="s">
        <v>2309</v>
      </c>
      <c r="J36" s="60" t="s">
        <v>2309</v>
      </c>
      <c r="K36" s="60" t="s">
        <v>2309</v>
      </c>
    </row>
    <row r="37" spans="1:11" x14ac:dyDescent="0.35">
      <c r="A37" s="61" t="s">
        <v>2331</v>
      </c>
      <c r="B37" s="60">
        <v>5646</v>
      </c>
      <c r="C37" s="60">
        <v>259</v>
      </c>
      <c r="D37" s="60">
        <v>1330</v>
      </c>
      <c r="E37" s="60">
        <v>1464</v>
      </c>
      <c r="F37" s="60">
        <v>451</v>
      </c>
      <c r="G37" s="60">
        <v>648</v>
      </c>
      <c r="H37" s="60" t="s">
        <v>2309</v>
      </c>
      <c r="I37" s="60">
        <v>451</v>
      </c>
      <c r="J37" s="60">
        <v>224</v>
      </c>
      <c r="K37" s="60">
        <v>667</v>
      </c>
    </row>
    <row r="38" spans="1:11" x14ac:dyDescent="0.35">
      <c r="A38" s="61" t="s">
        <v>2332</v>
      </c>
      <c r="B38" s="60">
        <v>6958</v>
      </c>
      <c r="C38" s="60" t="s">
        <v>2309</v>
      </c>
      <c r="D38" s="60">
        <v>1324</v>
      </c>
      <c r="E38" s="60">
        <v>979</v>
      </c>
      <c r="F38" s="60">
        <v>763</v>
      </c>
      <c r="G38" s="60">
        <v>1333</v>
      </c>
      <c r="H38" s="60">
        <v>444</v>
      </c>
      <c r="I38" s="60">
        <v>632</v>
      </c>
      <c r="J38" s="60">
        <v>455</v>
      </c>
      <c r="K38" s="60">
        <v>812</v>
      </c>
    </row>
    <row r="39" spans="1:11" x14ac:dyDescent="0.35">
      <c r="A39" s="61" t="s">
        <v>2333</v>
      </c>
      <c r="B39" s="60">
        <v>10337</v>
      </c>
      <c r="C39" s="60">
        <v>406</v>
      </c>
      <c r="D39" s="60">
        <v>1639</v>
      </c>
      <c r="E39" s="60">
        <v>2108</v>
      </c>
      <c r="F39" s="60">
        <v>687</v>
      </c>
      <c r="G39" s="60">
        <v>1902</v>
      </c>
      <c r="H39" s="60">
        <v>755</v>
      </c>
      <c r="I39" s="60">
        <v>1088</v>
      </c>
      <c r="J39" s="60">
        <v>450</v>
      </c>
      <c r="K39" s="60">
        <v>1302</v>
      </c>
    </row>
    <row r="40" spans="1:11" x14ac:dyDescent="0.35">
      <c r="A40" s="61" t="s">
        <v>2334</v>
      </c>
      <c r="B40" s="60">
        <v>13257</v>
      </c>
      <c r="C40" s="60">
        <v>426</v>
      </c>
      <c r="D40" s="60">
        <v>1843</v>
      </c>
      <c r="E40" s="60">
        <v>2631</v>
      </c>
      <c r="F40" s="60">
        <v>1403</v>
      </c>
      <c r="G40" s="60">
        <v>2145</v>
      </c>
      <c r="H40" s="60">
        <v>751</v>
      </c>
      <c r="I40" s="60">
        <v>1394</v>
      </c>
      <c r="J40" s="60">
        <v>1073</v>
      </c>
      <c r="K40" s="60">
        <v>1590</v>
      </c>
    </row>
    <row r="41" spans="1:11" x14ac:dyDescent="0.35">
      <c r="A41" s="61" t="s">
        <v>2335</v>
      </c>
      <c r="B41" s="60">
        <v>13463</v>
      </c>
      <c r="C41" s="60">
        <v>645</v>
      </c>
      <c r="D41" s="60">
        <v>1364</v>
      </c>
      <c r="E41" s="60">
        <v>1639</v>
      </c>
      <c r="F41" s="60">
        <v>1291</v>
      </c>
      <c r="G41" s="60">
        <v>2751</v>
      </c>
      <c r="H41" s="60">
        <v>592</v>
      </c>
      <c r="I41" s="60">
        <v>1901</v>
      </c>
      <c r="J41" s="60">
        <v>1290</v>
      </c>
      <c r="K41" s="60">
        <v>1989</v>
      </c>
    </row>
    <row r="42" spans="1:11" x14ac:dyDescent="0.35">
      <c r="A42" s="61" t="s">
        <v>2336</v>
      </c>
      <c r="B42" s="60">
        <v>15550</v>
      </c>
      <c r="C42" s="60">
        <v>533</v>
      </c>
      <c r="D42" s="60">
        <v>1408</v>
      </c>
      <c r="E42" s="60">
        <v>2614</v>
      </c>
      <c r="F42" s="60">
        <v>1495</v>
      </c>
      <c r="G42" s="60">
        <v>3429</v>
      </c>
      <c r="H42" s="60">
        <v>749</v>
      </c>
      <c r="I42" s="60">
        <v>1953</v>
      </c>
      <c r="J42" s="60">
        <v>1335</v>
      </c>
      <c r="K42" s="60">
        <v>2033</v>
      </c>
    </row>
    <row r="43" spans="1:11" x14ac:dyDescent="0.35">
      <c r="A43" s="61" t="s">
        <v>2856</v>
      </c>
      <c r="B43" s="60">
        <v>17678</v>
      </c>
      <c r="C43" s="60">
        <v>713</v>
      </c>
      <c r="D43" s="60">
        <v>1493</v>
      </c>
      <c r="E43" s="60">
        <v>3395</v>
      </c>
      <c r="F43" s="60">
        <v>1503</v>
      </c>
      <c r="G43" s="60">
        <v>3444</v>
      </c>
      <c r="H43" s="60">
        <v>1261</v>
      </c>
      <c r="I43" s="60">
        <v>2326</v>
      </c>
      <c r="J43" s="60">
        <v>1643</v>
      </c>
      <c r="K43" s="60">
        <v>1901</v>
      </c>
    </row>
    <row r="44" spans="1:11" x14ac:dyDescent="0.35">
      <c r="A44" s="61" t="s">
        <v>2855</v>
      </c>
      <c r="B44" s="60">
        <v>10270</v>
      </c>
      <c r="C44" s="60" t="s">
        <v>2309</v>
      </c>
      <c r="D44" s="60">
        <v>947</v>
      </c>
      <c r="E44" s="60">
        <v>1889</v>
      </c>
      <c r="F44" s="60">
        <v>720</v>
      </c>
      <c r="G44" s="60">
        <v>1821</v>
      </c>
      <c r="H44" s="60">
        <v>528</v>
      </c>
      <c r="I44" s="60">
        <v>1635</v>
      </c>
      <c r="J44" s="60">
        <v>1032</v>
      </c>
      <c r="K44" s="60">
        <v>1507</v>
      </c>
    </row>
    <row r="45" spans="1:11" ht="24" customHeight="1" x14ac:dyDescent="0.35">
      <c r="A45" s="71" t="s">
        <v>2340</v>
      </c>
      <c r="B45" s="65" t="s">
        <v>27</v>
      </c>
      <c r="C45" s="65" t="s">
        <v>27</v>
      </c>
      <c r="D45" s="65" t="s">
        <v>27</v>
      </c>
      <c r="E45" s="65" t="s">
        <v>27</v>
      </c>
      <c r="F45" s="65" t="s">
        <v>27</v>
      </c>
      <c r="G45" s="65" t="s">
        <v>27</v>
      </c>
      <c r="H45" s="65" t="s">
        <v>27</v>
      </c>
      <c r="I45" s="65" t="s">
        <v>27</v>
      </c>
      <c r="J45" s="65" t="s">
        <v>27</v>
      </c>
      <c r="K45" s="65" t="s">
        <v>27</v>
      </c>
    </row>
    <row r="46" spans="1:11" x14ac:dyDescent="0.35">
      <c r="A46" s="61" t="s">
        <v>2341</v>
      </c>
      <c r="B46" s="60">
        <v>43918</v>
      </c>
      <c r="C46" s="60">
        <v>1098</v>
      </c>
      <c r="D46" s="60">
        <v>3463</v>
      </c>
      <c r="E46" s="60">
        <v>7879</v>
      </c>
      <c r="F46" s="60">
        <v>3992</v>
      </c>
      <c r="G46" s="60">
        <v>7860</v>
      </c>
      <c r="H46" s="60">
        <v>2999</v>
      </c>
      <c r="I46" s="60">
        <v>6804</v>
      </c>
      <c r="J46" s="60">
        <v>3943</v>
      </c>
      <c r="K46" s="60">
        <v>5879</v>
      </c>
    </row>
    <row r="47" spans="1:11" x14ac:dyDescent="0.35">
      <c r="A47" s="61" t="s">
        <v>2342</v>
      </c>
      <c r="B47" s="60">
        <v>23317</v>
      </c>
      <c r="C47" s="60">
        <v>894</v>
      </c>
      <c r="D47" s="60">
        <v>3107</v>
      </c>
      <c r="E47" s="60">
        <v>4581</v>
      </c>
      <c r="F47" s="60">
        <v>2337</v>
      </c>
      <c r="G47" s="60">
        <v>4193</v>
      </c>
      <c r="H47" s="60">
        <v>1222</v>
      </c>
      <c r="I47" s="60">
        <v>2406</v>
      </c>
      <c r="J47" s="60">
        <v>1723</v>
      </c>
      <c r="K47" s="60">
        <v>2853</v>
      </c>
    </row>
    <row r="48" spans="1:11" x14ac:dyDescent="0.35">
      <c r="A48" s="61" t="s">
        <v>2343</v>
      </c>
      <c r="B48" s="60">
        <v>10465</v>
      </c>
      <c r="C48" s="60">
        <v>809</v>
      </c>
      <c r="D48" s="60">
        <v>1584</v>
      </c>
      <c r="E48" s="60">
        <v>2303</v>
      </c>
      <c r="F48" s="60">
        <v>1202</v>
      </c>
      <c r="G48" s="60">
        <v>1836</v>
      </c>
      <c r="H48" s="60">
        <v>498</v>
      </c>
      <c r="I48" s="60">
        <v>817</v>
      </c>
      <c r="J48" s="60">
        <v>592</v>
      </c>
      <c r="K48" s="60">
        <v>822</v>
      </c>
    </row>
    <row r="49" spans="1:11" x14ac:dyDescent="0.35">
      <c r="A49" s="61" t="s">
        <v>2344</v>
      </c>
      <c r="B49" s="60">
        <v>13058</v>
      </c>
      <c r="C49" s="60">
        <v>785</v>
      </c>
      <c r="D49" s="60">
        <v>2528</v>
      </c>
      <c r="E49" s="60">
        <v>1906</v>
      </c>
      <c r="F49" s="60">
        <v>743</v>
      </c>
      <c r="G49" s="60">
        <v>2825</v>
      </c>
      <c r="H49" s="60">
        <v>461</v>
      </c>
      <c r="I49" s="60">
        <v>1168</v>
      </c>
      <c r="J49" s="60">
        <v>813</v>
      </c>
      <c r="K49" s="60">
        <v>1830</v>
      </c>
    </row>
    <row r="50" spans="1:11" x14ac:dyDescent="0.35">
      <c r="A50" s="61" t="s">
        <v>2345</v>
      </c>
      <c r="B50" s="60">
        <v>6000</v>
      </c>
      <c r="C50" s="60">
        <v>162</v>
      </c>
      <c r="D50" s="60">
        <v>1589</v>
      </c>
      <c r="E50" s="60">
        <v>973</v>
      </c>
      <c r="F50" s="60">
        <v>226</v>
      </c>
      <c r="G50" s="60">
        <v>1247</v>
      </c>
      <c r="H50" s="60">
        <v>178</v>
      </c>
      <c r="I50" s="60">
        <v>362</v>
      </c>
      <c r="J50" s="60" t="s">
        <v>2309</v>
      </c>
      <c r="K50" s="60">
        <v>573</v>
      </c>
    </row>
    <row r="51" spans="1:11" ht="33.65" customHeight="1" x14ac:dyDescent="0.35">
      <c r="A51" s="71" t="s">
        <v>2346</v>
      </c>
      <c r="B51" s="65" t="s">
        <v>27</v>
      </c>
      <c r="C51" s="65" t="s">
        <v>27</v>
      </c>
      <c r="D51" s="65" t="s">
        <v>27</v>
      </c>
      <c r="E51" s="65" t="s">
        <v>27</v>
      </c>
      <c r="F51" s="65" t="s">
        <v>27</v>
      </c>
      <c r="G51" s="65" t="s">
        <v>27</v>
      </c>
      <c r="H51" s="65" t="s">
        <v>27</v>
      </c>
      <c r="I51" s="65" t="s">
        <v>27</v>
      </c>
      <c r="J51" s="65" t="s">
        <v>27</v>
      </c>
      <c r="K51" s="65" t="s">
        <v>27</v>
      </c>
    </row>
    <row r="52" spans="1:11" x14ac:dyDescent="0.35">
      <c r="A52" s="61" t="s">
        <v>2347</v>
      </c>
      <c r="B52" s="60">
        <v>36488</v>
      </c>
      <c r="C52" s="60">
        <v>1655</v>
      </c>
      <c r="D52" s="60">
        <v>6532</v>
      </c>
      <c r="E52" s="60">
        <v>6652</v>
      </c>
      <c r="F52" s="60">
        <v>2714</v>
      </c>
      <c r="G52" s="60">
        <v>7280</v>
      </c>
      <c r="H52" s="60">
        <v>1360</v>
      </c>
      <c r="I52" s="60">
        <v>3415</v>
      </c>
      <c r="J52" s="60">
        <v>2873</v>
      </c>
      <c r="K52" s="60">
        <v>4007</v>
      </c>
    </row>
    <row r="53" spans="1:11" x14ac:dyDescent="0.35">
      <c r="A53" s="61" t="s">
        <v>2348</v>
      </c>
      <c r="B53" s="60" t="s">
        <v>27</v>
      </c>
      <c r="C53" s="60" t="s">
        <v>27</v>
      </c>
      <c r="D53" s="60" t="s">
        <v>27</v>
      </c>
      <c r="E53" s="60" t="s">
        <v>27</v>
      </c>
      <c r="F53" s="60" t="s">
        <v>27</v>
      </c>
      <c r="G53" s="60" t="s">
        <v>27</v>
      </c>
      <c r="H53" s="60" t="s">
        <v>27</v>
      </c>
      <c r="I53" s="60" t="s">
        <v>27</v>
      </c>
      <c r="J53" s="60" t="s">
        <v>27</v>
      </c>
      <c r="K53" s="60" t="s">
        <v>27</v>
      </c>
    </row>
    <row r="54" spans="1:11" x14ac:dyDescent="0.35">
      <c r="A54" s="59" t="s">
        <v>2341</v>
      </c>
      <c r="B54" s="60">
        <v>14189</v>
      </c>
      <c r="C54" s="60">
        <v>790</v>
      </c>
      <c r="D54" s="60">
        <v>2318</v>
      </c>
      <c r="E54" s="60">
        <v>2920</v>
      </c>
      <c r="F54" s="60">
        <v>1131</v>
      </c>
      <c r="G54" s="60">
        <v>2794</v>
      </c>
      <c r="H54" s="60">
        <v>602</v>
      </c>
      <c r="I54" s="60">
        <v>1253</v>
      </c>
      <c r="J54" s="60">
        <v>1065</v>
      </c>
      <c r="K54" s="60">
        <v>1315</v>
      </c>
    </row>
    <row r="55" spans="1:11" x14ac:dyDescent="0.35">
      <c r="A55" s="59" t="s">
        <v>2349</v>
      </c>
      <c r="B55" s="60">
        <v>13328</v>
      </c>
      <c r="C55" s="60">
        <v>606</v>
      </c>
      <c r="D55" s="60">
        <v>2387</v>
      </c>
      <c r="E55" s="60">
        <v>2191</v>
      </c>
      <c r="F55" s="60">
        <v>1135</v>
      </c>
      <c r="G55" s="60">
        <v>2490</v>
      </c>
      <c r="H55" s="60">
        <v>488</v>
      </c>
      <c r="I55" s="60">
        <v>1504</v>
      </c>
      <c r="J55" s="60">
        <v>1006</v>
      </c>
      <c r="K55" s="60">
        <v>1521</v>
      </c>
    </row>
    <row r="56" spans="1:11" x14ac:dyDescent="0.35">
      <c r="A56" s="59" t="s">
        <v>2350</v>
      </c>
      <c r="B56" s="60">
        <v>8970</v>
      </c>
      <c r="C56" s="60">
        <v>258</v>
      </c>
      <c r="D56" s="60">
        <v>1827</v>
      </c>
      <c r="E56" s="60">
        <v>1540</v>
      </c>
      <c r="F56" s="60">
        <v>448</v>
      </c>
      <c r="G56" s="60">
        <v>1996</v>
      </c>
      <c r="H56" s="60">
        <v>270</v>
      </c>
      <c r="I56" s="60">
        <v>658</v>
      </c>
      <c r="J56" s="60" t="s">
        <v>2309</v>
      </c>
      <c r="K56" s="60">
        <v>1172</v>
      </c>
    </row>
    <row r="57" spans="1:11" x14ac:dyDescent="0.35">
      <c r="A57" s="61" t="s">
        <v>2351</v>
      </c>
      <c r="B57" s="60">
        <v>3753</v>
      </c>
      <c r="C57" s="60" t="s">
        <v>2309</v>
      </c>
      <c r="D57" s="60">
        <v>826</v>
      </c>
      <c r="E57" s="60">
        <v>502</v>
      </c>
      <c r="F57" s="60" t="s">
        <v>2309</v>
      </c>
      <c r="G57" s="60">
        <v>875</v>
      </c>
      <c r="H57" s="60" t="s">
        <v>2309</v>
      </c>
      <c r="I57" s="60">
        <v>351</v>
      </c>
      <c r="J57" s="60" t="s">
        <v>2309</v>
      </c>
      <c r="K57" s="60">
        <v>286</v>
      </c>
    </row>
    <row r="58" spans="1:11" ht="24" customHeight="1" x14ac:dyDescent="0.35">
      <c r="A58" s="71" t="s">
        <v>2352</v>
      </c>
      <c r="B58" s="65" t="s">
        <v>27</v>
      </c>
      <c r="C58" s="65" t="s">
        <v>27</v>
      </c>
      <c r="D58" s="65" t="s">
        <v>27</v>
      </c>
      <c r="E58" s="65" t="s">
        <v>27</v>
      </c>
      <c r="F58" s="65" t="s">
        <v>27</v>
      </c>
      <c r="G58" s="65" t="s">
        <v>27</v>
      </c>
      <c r="H58" s="65" t="s">
        <v>27</v>
      </c>
      <c r="I58" s="65" t="s">
        <v>27</v>
      </c>
      <c r="J58" s="65" t="s">
        <v>27</v>
      </c>
      <c r="K58" s="65" t="s">
        <v>27</v>
      </c>
    </row>
    <row r="59" spans="1:11" x14ac:dyDescent="0.35">
      <c r="A59" s="61" t="s">
        <v>2353</v>
      </c>
      <c r="B59" s="60">
        <v>21128</v>
      </c>
      <c r="C59" s="60">
        <v>928</v>
      </c>
      <c r="D59" s="60">
        <v>2229</v>
      </c>
      <c r="E59" s="60">
        <v>4258</v>
      </c>
      <c r="F59" s="60">
        <v>2035</v>
      </c>
      <c r="G59" s="60">
        <v>3609</v>
      </c>
      <c r="H59" s="60">
        <v>1492</v>
      </c>
      <c r="I59" s="60">
        <v>2528</v>
      </c>
      <c r="J59" s="60">
        <v>1435</v>
      </c>
      <c r="K59" s="60">
        <v>2615</v>
      </c>
    </row>
    <row r="60" spans="1:11" x14ac:dyDescent="0.35">
      <c r="A60" s="61" t="s">
        <v>2354</v>
      </c>
      <c r="B60" s="60">
        <v>10364</v>
      </c>
      <c r="C60" s="60">
        <v>498</v>
      </c>
      <c r="D60" s="60">
        <v>824</v>
      </c>
      <c r="E60" s="60">
        <v>1914</v>
      </c>
      <c r="F60" s="60">
        <v>865</v>
      </c>
      <c r="G60" s="60">
        <v>2000</v>
      </c>
      <c r="H60" s="60">
        <v>758</v>
      </c>
      <c r="I60" s="60">
        <v>1364</v>
      </c>
      <c r="J60" s="60">
        <v>758</v>
      </c>
      <c r="K60" s="60">
        <v>1382</v>
      </c>
    </row>
    <row r="61" spans="1:11" x14ac:dyDescent="0.35">
      <c r="A61" s="61" t="s">
        <v>2355</v>
      </c>
      <c r="B61" s="60">
        <v>11575</v>
      </c>
      <c r="C61" s="60">
        <v>343</v>
      </c>
      <c r="D61" s="60">
        <v>1128</v>
      </c>
      <c r="E61" s="60">
        <v>2168</v>
      </c>
      <c r="F61" s="60">
        <v>1500</v>
      </c>
      <c r="G61" s="60">
        <v>1907</v>
      </c>
      <c r="H61" s="60">
        <v>470</v>
      </c>
      <c r="I61" s="60">
        <v>1575</v>
      </c>
      <c r="J61" s="60">
        <v>1050</v>
      </c>
      <c r="K61" s="60">
        <v>1436</v>
      </c>
    </row>
    <row r="62" spans="1:11" x14ac:dyDescent="0.35">
      <c r="A62" s="61" t="s">
        <v>2356</v>
      </c>
      <c r="B62" s="60">
        <v>16126</v>
      </c>
      <c r="C62" s="60">
        <v>650</v>
      </c>
      <c r="D62" s="60">
        <v>1625</v>
      </c>
      <c r="E62" s="60">
        <v>2778</v>
      </c>
      <c r="F62" s="60">
        <v>1761</v>
      </c>
      <c r="G62" s="60">
        <v>2757</v>
      </c>
      <c r="H62" s="60">
        <v>1098</v>
      </c>
      <c r="I62" s="60">
        <v>1987</v>
      </c>
      <c r="J62" s="60">
        <v>1319</v>
      </c>
      <c r="K62" s="60">
        <v>2151</v>
      </c>
    </row>
    <row r="63" spans="1:11" x14ac:dyDescent="0.35">
      <c r="A63" s="61" t="s">
        <v>2357</v>
      </c>
      <c r="B63" s="60">
        <v>12956</v>
      </c>
      <c r="C63" s="60">
        <v>518</v>
      </c>
      <c r="D63" s="60">
        <v>1823</v>
      </c>
      <c r="E63" s="60">
        <v>2280</v>
      </c>
      <c r="F63" s="60">
        <v>856</v>
      </c>
      <c r="G63" s="60">
        <v>2677</v>
      </c>
      <c r="H63" s="60">
        <v>614</v>
      </c>
      <c r="I63" s="60">
        <v>1545</v>
      </c>
      <c r="J63" s="60">
        <v>1174</v>
      </c>
      <c r="K63" s="60">
        <v>1468</v>
      </c>
    </row>
    <row r="64" spans="1:11" x14ac:dyDescent="0.35">
      <c r="A64" s="61" t="s">
        <v>2358</v>
      </c>
      <c r="B64" s="60">
        <v>12452</v>
      </c>
      <c r="C64" s="60">
        <v>509</v>
      </c>
      <c r="D64" s="60">
        <v>2143</v>
      </c>
      <c r="E64" s="60">
        <v>2307</v>
      </c>
      <c r="F64" s="60">
        <v>844</v>
      </c>
      <c r="G64" s="60">
        <v>2524</v>
      </c>
      <c r="H64" s="60">
        <v>514</v>
      </c>
      <c r="I64" s="60">
        <v>1377</v>
      </c>
      <c r="J64" s="60">
        <v>864</v>
      </c>
      <c r="K64" s="60">
        <v>1370</v>
      </c>
    </row>
    <row r="65" spans="1:11" x14ac:dyDescent="0.35">
      <c r="A65" s="61" t="s">
        <v>2359</v>
      </c>
      <c r="B65" s="60">
        <v>12156</v>
      </c>
      <c r="C65" s="60">
        <v>303</v>
      </c>
      <c r="D65" s="60">
        <v>2500</v>
      </c>
      <c r="E65" s="60">
        <v>1937</v>
      </c>
      <c r="F65" s="60">
        <v>638</v>
      </c>
      <c r="G65" s="60">
        <v>2487</v>
      </c>
      <c r="H65" s="60">
        <v>414</v>
      </c>
      <c r="I65" s="60">
        <v>1182</v>
      </c>
      <c r="J65" s="60">
        <v>1161</v>
      </c>
      <c r="K65" s="60">
        <v>1534</v>
      </c>
    </row>
    <row r="66" spans="1:11" ht="24" customHeight="1" x14ac:dyDescent="0.35">
      <c r="A66" s="71" t="s">
        <v>2360</v>
      </c>
      <c r="B66" s="65" t="s">
        <v>27</v>
      </c>
      <c r="C66" s="65" t="s">
        <v>27</v>
      </c>
      <c r="D66" s="65" t="s">
        <v>27</v>
      </c>
      <c r="E66" s="65" t="s">
        <v>27</v>
      </c>
      <c r="F66" s="65" t="s">
        <v>27</v>
      </c>
      <c r="G66" s="65" t="s">
        <v>27</v>
      </c>
      <c r="H66" s="65" t="s">
        <v>27</v>
      </c>
      <c r="I66" s="65" t="s">
        <v>27</v>
      </c>
      <c r="J66" s="65" t="s">
        <v>27</v>
      </c>
      <c r="K66" s="65" t="s">
        <v>27</v>
      </c>
    </row>
    <row r="67" spans="1:11" x14ac:dyDescent="0.35">
      <c r="A67" s="61" t="s">
        <v>2361</v>
      </c>
      <c r="B67" s="60">
        <v>11926</v>
      </c>
      <c r="C67" s="60">
        <v>230</v>
      </c>
      <c r="D67" s="60">
        <v>1288</v>
      </c>
      <c r="E67" s="60">
        <v>2319</v>
      </c>
      <c r="F67" s="60">
        <v>1469</v>
      </c>
      <c r="G67" s="60">
        <v>2183</v>
      </c>
      <c r="H67" s="60">
        <v>992</v>
      </c>
      <c r="I67" s="60">
        <v>1231</v>
      </c>
      <c r="J67" s="60">
        <v>581</v>
      </c>
      <c r="K67" s="60">
        <v>1633</v>
      </c>
    </row>
    <row r="68" spans="1:11" x14ac:dyDescent="0.35">
      <c r="A68" s="61" t="s">
        <v>2362</v>
      </c>
      <c r="B68" s="60">
        <v>18580</v>
      </c>
      <c r="C68" s="60">
        <v>720</v>
      </c>
      <c r="D68" s="60">
        <v>1568</v>
      </c>
      <c r="E68" s="60">
        <v>3312</v>
      </c>
      <c r="F68" s="60">
        <v>1472</v>
      </c>
      <c r="G68" s="60">
        <v>3295</v>
      </c>
      <c r="H68" s="60">
        <v>1353</v>
      </c>
      <c r="I68" s="60">
        <v>2731</v>
      </c>
      <c r="J68" s="60">
        <v>1462</v>
      </c>
      <c r="K68" s="60">
        <v>2667</v>
      </c>
    </row>
    <row r="69" spans="1:11" x14ac:dyDescent="0.35">
      <c r="A69" s="61" t="s">
        <v>2363</v>
      </c>
      <c r="B69" s="60">
        <v>22519</v>
      </c>
      <c r="C69" s="60">
        <v>874</v>
      </c>
      <c r="D69" s="60">
        <v>3110</v>
      </c>
      <c r="E69" s="60">
        <v>3760</v>
      </c>
      <c r="F69" s="60">
        <v>1902</v>
      </c>
      <c r="G69" s="60">
        <v>4497</v>
      </c>
      <c r="H69" s="60">
        <v>1128</v>
      </c>
      <c r="I69" s="60">
        <v>2559</v>
      </c>
      <c r="J69" s="60">
        <v>2257</v>
      </c>
      <c r="K69" s="60">
        <v>2432</v>
      </c>
    </row>
    <row r="70" spans="1:11" x14ac:dyDescent="0.35">
      <c r="A70" s="61" t="s">
        <v>2364</v>
      </c>
      <c r="B70" s="60">
        <v>14452</v>
      </c>
      <c r="C70" s="60">
        <v>549</v>
      </c>
      <c r="D70" s="60">
        <v>2180</v>
      </c>
      <c r="E70" s="60">
        <v>2634</v>
      </c>
      <c r="F70" s="60">
        <v>1346</v>
      </c>
      <c r="G70" s="60">
        <v>2486</v>
      </c>
      <c r="H70" s="60">
        <v>467</v>
      </c>
      <c r="I70" s="60">
        <v>1890</v>
      </c>
      <c r="J70" s="60">
        <v>954</v>
      </c>
      <c r="K70" s="60">
        <v>1947</v>
      </c>
    </row>
    <row r="71" spans="1:11" x14ac:dyDescent="0.35">
      <c r="A71" s="61" t="s">
        <v>2365</v>
      </c>
      <c r="B71" s="60">
        <v>10100</v>
      </c>
      <c r="C71" s="60">
        <v>448</v>
      </c>
      <c r="D71" s="60">
        <v>1455</v>
      </c>
      <c r="E71" s="60">
        <v>2127</v>
      </c>
      <c r="F71" s="60">
        <v>801</v>
      </c>
      <c r="G71" s="60">
        <v>1793</v>
      </c>
      <c r="H71" s="60" t="s">
        <v>2309</v>
      </c>
      <c r="I71" s="60">
        <v>837</v>
      </c>
      <c r="J71" s="60">
        <v>910</v>
      </c>
      <c r="K71" s="60">
        <v>1235</v>
      </c>
    </row>
    <row r="72" spans="1:11" x14ac:dyDescent="0.35">
      <c r="A72" s="61" t="s">
        <v>2366</v>
      </c>
      <c r="B72" s="60">
        <v>19180</v>
      </c>
      <c r="C72" s="60">
        <v>926</v>
      </c>
      <c r="D72" s="60">
        <v>2671</v>
      </c>
      <c r="E72" s="60">
        <v>3491</v>
      </c>
      <c r="F72" s="60">
        <v>1509</v>
      </c>
      <c r="G72" s="60">
        <v>3707</v>
      </c>
      <c r="H72" s="60">
        <v>926</v>
      </c>
      <c r="I72" s="60">
        <v>2311</v>
      </c>
      <c r="J72" s="60">
        <v>1597</v>
      </c>
      <c r="K72" s="60">
        <v>2042</v>
      </c>
    </row>
    <row r="73" spans="1:11" ht="24" customHeight="1" x14ac:dyDescent="0.35">
      <c r="A73" s="71" t="s">
        <v>2367</v>
      </c>
      <c r="B73" s="65" t="s">
        <v>27</v>
      </c>
      <c r="C73" s="65" t="s">
        <v>27</v>
      </c>
      <c r="D73" s="65" t="s">
        <v>27</v>
      </c>
      <c r="E73" s="65" t="s">
        <v>27</v>
      </c>
      <c r="F73" s="65" t="s">
        <v>27</v>
      </c>
      <c r="G73" s="65" t="s">
        <v>27</v>
      </c>
      <c r="H73" s="65" t="s">
        <v>27</v>
      </c>
      <c r="I73" s="65" t="s">
        <v>27</v>
      </c>
      <c r="J73" s="65" t="s">
        <v>27</v>
      </c>
      <c r="K73" s="65" t="s">
        <v>27</v>
      </c>
    </row>
    <row r="74" spans="1:11" x14ac:dyDescent="0.35">
      <c r="A74" s="61" t="s">
        <v>2368</v>
      </c>
      <c r="B74" s="60">
        <v>75055</v>
      </c>
      <c r="C74" s="60">
        <v>3058</v>
      </c>
      <c r="D74" s="60">
        <v>9712</v>
      </c>
      <c r="E74" s="60">
        <v>13939</v>
      </c>
      <c r="F74" s="60">
        <v>6711</v>
      </c>
      <c r="G74" s="60">
        <v>13473</v>
      </c>
      <c r="H74" s="60">
        <v>3957</v>
      </c>
      <c r="I74" s="60">
        <v>8805</v>
      </c>
      <c r="J74" s="60">
        <v>5968</v>
      </c>
      <c r="K74" s="60">
        <v>9432</v>
      </c>
    </row>
    <row r="75" spans="1:11" x14ac:dyDescent="0.35">
      <c r="A75" s="59" t="s">
        <v>2369</v>
      </c>
      <c r="B75" s="60">
        <v>45609</v>
      </c>
      <c r="C75" s="60">
        <v>2175</v>
      </c>
      <c r="D75" s="60">
        <v>5520</v>
      </c>
      <c r="E75" s="60">
        <v>8544</v>
      </c>
      <c r="F75" s="60">
        <v>4531</v>
      </c>
      <c r="G75" s="60">
        <v>8616</v>
      </c>
      <c r="H75" s="60">
        <v>2649</v>
      </c>
      <c r="I75" s="60">
        <v>5522</v>
      </c>
      <c r="J75" s="60">
        <v>3362</v>
      </c>
      <c r="K75" s="60">
        <v>4689</v>
      </c>
    </row>
    <row r="76" spans="1:11" x14ac:dyDescent="0.35">
      <c r="A76" s="59" t="s">
        <v>2370</v>
      </c>
      <c r="B76" s="60">
        <v>28456</v>
      </c>
      <c r="C76" s="60">
        <v>875</v>
      </c>
      <c r="D76" s="60">
        <v>4033</v>
      </c>
      <c r="E76" s="60">
        <v>5240</v>
      </c>
      <c r="F76" s="60">
        <v>2048</v>
      </c>
      <c r="G76" s="60">
        <v>4667</v>
      </c>
      <c r="H76" s="60">
        <v>1246</v>
      </c>
      <c r="I76" s="60">
        <v>3209</v>
      </c>
      <c r="J76" s="60">
        <v>2528</v>
      </c>
      <c r="K76" s="60">
        <v>4611</v>
      </c>
    </row>
    <row r="77" spans="1:11" x14ac:dyDescent="0.35">
      <c r="A77" s="59" t="s">
        <v>2372</v>
      </c>
      <c r="B77" s="60">
        <v>990</v>
      </c>
      <c r="C77" s="60" t="s">
        <v>2309</v>
      </c>
      <c r="D77" s="60" t="s">
        <v>2309</v>
      </c>
      <c r="E77" s="60" t="s">
        <v>2309</v>
      </c>
      <c r="F77" s="60" t="s">
        <v>2309</v>
      </c>
      <c r="G77" s="60" t="s">
        <v>2309</v>
      </c>
      <c r="H77" s="60" t="s">
        <v>2309</v>
      </c>
      <c r="I77" s="60" t="s">
        <v>2309</v>
      </c>
      <c r="J77" s="60" t="s">
        <v>2309</v>
      </c>
      <c r="K77" s="60" t="s">
        <v>2309</v>
      </c>
    </row>
    <row r="78" spans="1:11" x14ac:dyDescent="0.35">
      <c r="A78" s="61" t="s">
        <v>2373</v>
      </c>
      <c r="B78" s="60">
        <v>21703</v>
      </c>
      <c r="C78" s="60">
        <v>690</v>
      </c>
      <c r="D78" s="60">
        <v>2560</v>
      </c>
      <c r="E78" s="60">
        <v>3704</v>
      </c>
      <c r="F78" s="60">
        <v>1790</v>
      </c>
      <c r="G78" s="60">
        <v>4488</v>
      </c>
      <c r="H78" s="60">
        <v>1402</v>
      </c>
      <c r="I78" s="60">
        <v>2753</v>
      </c>
      <c r="J78" s="60">
        <v>1793</v>
      </c>
      <c r="K78" s="60">
        <v>2524</v>
      </c>
    </row>
    <row r="79" spans="1:11" x14ac:dyDescent="0.35">
      <c r="A79" s="59" t="s">
        <v>2374</v>
      </c>
      <c r="B79" s="60">
        <v>1946</v>
      </c>
      <c r="C79" s="60" t="s">
        <v>2309</v>
      </c>
      <c r="D79" s="60" t="s">
        <v>2309</v>
      </c>
      <c r="E79" s="60">
        <v>272</v>
      </c>
      <c r="F79" s="60" t="s">
        <v>2309</v>
      </c>
      <c r="G79" s="60">
        <v>554</v>
      </c>
      <c r="H79" s="60" t="s">
        <v>2309</v>
      </c>
      <c r="I79" s="60" t="s">
        <v>2309</v>
      </c>
      <c r="J79" s="60" t="s">
        <v>2309</v>
      </c>
      <c r="K79" s="60">
        <v>257</v>
      </c>
    </row>
    <row r="80" spans="1:11" x14ac:dyDescent="0.35">
      <c r="A80" s="59" t="s">
        <v>237</v>
      </c>
      <c r="B80" s="60">
        <v>6878</v>
      </c>
      <c r="C80" s="60" t="s">
        <v>2309</v>
      </c>
      <c r="D80" s="60">
        <v>775</v>
      </c>
      <c r="E80" s="60">
        <v>984</v>
      </c>
      <c r="F80" s="60">
        <v>345</v>
      </c>
      <c r="G80" s="60">
        <v>1595</v>
      </c>
      <c r="H80" s="60">
        <v>594</v>
      </c>
      <c r="I80" s="60">
        <v>1016</v>
      </c>
      <c r="J80" s="60">
        <v>652</v>
      </c>
      <c r="K80" s="60">
        <v>773</v>
      </c>
    </row>
    <row r="81" spans="1:11" x14ac:dyDescent="0.35">
      <c r="A81" s="59" t="s">
        <v>2375</v>
      </c>
      <c r="B81" s="60">
        <v>12878</v>
      </c>
      <c r="C81" s="60">
        <v>462</v>
      </c>
      <c r="D81" s="60">
        <v>1581</v>
      </c>
      <c r="E81" s="60">
        <v>2448</v>
      </c>
      <c r="F81" s="60">
        <v>1310</v>
      </c>
      <c r="G81" s="60">
        <v>2339</v>
      </c>
      <c r="H81" s="60">
        <v>629</v>
      </c>
      <c r="I81" s="60">
        <v>1555</v>
      </c>
      <c r="J81" s="60">
        <v>1060</v>
      </c>
      <c r="K81" s="60">
        <v>1494</v>
      </c>
    </row>
    <row r="82" spans="1:11" ht="34" customHeight="1" x14ac:dyDescent="0.35">
      <c r="A82" s="71" t="s">
        <v>2854</v>
      </c>
      <c r="B82" s="62" t="s">
        <v>27</v>
      </c>
      <c r="C82" s="62" t="s">
        <v>27</v>
      </c>
      <c r="D82" s="62" t="s">
        <v>27</v>
      </c>
      <c r="E82" s="62" t="s">
        <v>27</v>
      </c>
      <c r="F82" s="62" t="s">
        <v>27</v>
      </c>
      <c r="G82" s="62" t="s">
        <v>27</v>
      </c>
      <c r="H82" s="62" t="s">
        <v>27</v>
      </c>
      <c r="I82" s="62" t="s">
        <v>27</v>
      </c>
      <c r="J82" s="62" t="s">
        <v>27</v>
      </c>
      <c r="K82" s="62" t="s">
        <v>27</v>
      </c>
    </row>
    <row r="83" spans="1:11" x14ac:dyDescent="0.35">
      <c r="A83" s="61" t="s">
        <v>2377</v>
      </c>
      <c r="B83" s="65">
        <v>79515</v>
      </c>
      <c r="C83" s="65">
        <v>3259</v>
      </c>
      <c r="D83" s="65">
        <v>10174</v>
      </c>
      <c r="E83" s="65">
        <v>14782</v>
      </c>
      <c r="F83" s="65">
        <v>7277</v>
      </c>
      <c r="G83" s="65">
        <v>14764</v>
      </c>
      <c r="H83" s="65">
        <v>4361</v>
      </c>
      <c r="I83" s="65">
        <v>9530</v>
      </c>
      <c r="J83" s="65">
        <v>6430</v>
      </c>
      <c r="K83" s="65">
        <v>8937</v>
      </c>
    </row>
    <row r="84" spans="1:11" x14ac:dyDescent="0.35">
      <c r="A84" s="61" t="s">
        <v>2378</v>
      </c>
      <c r="B84" s="60">
        <v>12956</v>
      </c>
      <c r="C84" s="60">
        <v>357</v>
      </c>
      <c r="D84" s="60">
        <v>1760</v>
      </c>
      <c r="E84" s="60">
        <v>2088</v>
      </c>
      <c r="F84" s="60">
        <v>777</v>
      </c>
      <c r="G84" s="60">
        <v>2254</v>
      </c>
      <c r="H84" s="60">
        <v>816</v>
      </c>
      <c r="I84" s="60">
        <v>1604</v>
      </c>
      <c r="J84" s="60">
        <v>966</v>
      </c>
      <c r="K84" s="60">
        <v>2333</v>
      </c>
    </row>
    <row r="85" spans="1:11" x14ac:dyDescent="0.35">
      <c r="A85" s="61" t="s">
        <v>2379</v>
      </c>
      <c r="B85" s="60">
        <v>1994</v>
      </c>
      <c r="C85" s="60" t="s">
        <v>2309</v>
      </c>
      <c r="D85" s="60" t="s">
        <v>2309</v>
      </c>
      <c r="E85" s="60" t="s">
        <v>2309</v>
      </c>
      <c r="F85" s="60" t="s">
        <v>2309</v>
      </c>
      <c r="G85" s="60">
        <v>470</v>
      </c>
      <c r="H85" s="60" t="s">
        <v>2309</v>
      </c>
      <c r="I85" s="60" t="s">
        <v>2309</v>
      </c>
      <c r="J85" s="60" t="s">
        <v>2309</v>
      </c>
      <c r="K85" s="60">
        <v>358</v>
      </c>
    </row>
    <row r="86" spans="1:11" x14ac:dyDescent="0.35">
      <c r="A86" s="61" t="s">
        <v>2380</v>
      </c>
      <c r="B86" s="60">
        <v>2293</v>
      </c>
      <c r="C86" s="60" t="s">
        <v>2309</v>
      </c>
      <c r="D86" s="60" t="s">
        <v>2309</v>
      </c>
      <c r="E86" s="60">
        <v>473</v>
      </c>
      <c r="F86" s="60" t="s">
        <v>2309</v>
      </c>
      <c r="G86" s="60">
        <v>474</v>
      </c>
      <c r="H86" s="60" t="s">
        <v>2309</v>
      </c>
      <c r="I86" s="60" t="s">
        <v>2309</v>
      </c>
      <c r="J86" s="60" t="s">
        <v>2309</v>
      </c>
      <c r="K86" s="60">
        <v>329</v>
      </c>
    </row>
    <row r="87" spans="1:11" ht="34" customHeight="1" x14ac:dyDescent="0.35">
      <c r="A87" s="66" t="s">
        <v>2381</v>
      </c>
      <c r="B87" s="62" t="s">
        <v>27</v>
      </c>
      <c r="C87" s="62" t="s">
        <v>27</v>
      </c>
      <c r="D87" s="62" t="s">
        <v>27</v>
      </c>
      <c r="E87" s="62" t="s">
        <v>27</v>
      </c>
      <c r="F87" s="62" t="s">
        <v>27</v>
      </c>
      <c r="G87" s="62" t="s">
        <v>27</v>
      </c>
      <c r="H87" s="62" t="s">
        <v>27</v>
      </c>
      <c r="I87" s="62" t="s">
        <v>27</v>
      </c>
      <c r="J87" s="62" t="s">
        <v>27</v>
      </c>
      <c r="K87" s="62" t="s">
        <v>27</v>
      </c>
    </row>
    <row r="88" spans="1:11" x14ac:dyDescent="0.35">
      <c r="A88" s="61" t="s">
        <v>2377</v>
      </c>
      <c r="B88" s="65">
        <v>83103</v>
      </c>
      <c r="C88" s="65">
        <v>3282</v>
      </c>
      <c r="D88" s="65">
        <v>10650</v>
      </c>
      <c r="E88" s="65">
        <v>15446</v>
      </c>
      <c r="F88" s="65">
        <v>7449</v>
      </c>
      <c r="G88" s="65">
        <v>15482</v>
      </c>
      <c r="H88" s="65">
        <v>4603</v>
      </c>
      <c r="I88" s="65">
        <v>10145</v>
      </c>
      <c r="J88" s="65">
        <v>6692</v>
      </c>
      <c r="K88" s="65">
        <v>9356</v>
      </c>
    </row>
    <row r="89" spans="1:11" x14ac:dyDescent="0.35">
      <c r="A89" s="61" t="s">
        <v>2378</v>
      </c>
      <c r="B89" s="60">
        <v>7682</v>
      </c>
      <c r="C89" s="60" t="s">
        <v>2309</v>
      </c>
      <c r="D89" s="60">
        <v>1071</v>
      </c>
      <c r="E89" s="60">
        <v>1159</v>
      </c>
      <c r="F89" s="60">
        <v>570</v>
      </c>
      <c r="G89" s="60">
        <v>1336</v>
      </c>
      <c r="H89" s="60">
        <v>556</v>
      </c>
      <c r="I89" s="60">
        <v>811</v>
      </c>
      <c r="J89" s="60">
        <v>634</v>
      </c>
      <c r="K89" s="60">
        <v>1292</v>
      </c>
    </row>
    <row r="90" spans="1:11" x14ac:dyDescent="0.35">
      <c r="A90" s="61" t="s">
        <v>2379</v>
      </c>
      <c r="B90" s="60">
        <v>1069</v>
      </c>
      <c r="C90" s="60" t="s">
        <v>2309</v>
      </c>
      <c r="D90" s="60" t="s">
        <v>2309</v>
      </c>
      <c r="E90" s="60" t="s">
        <v>2309</v>
      </c>
      <c r="F90" s="60" t="s">
        <v>2309</v>
      </c>
      <c r="G90" s="60" t="s">
        <v>2309</v>
      </c>
      <c r="H90" s="60" t="s">
        <v>2309</v>
      </c>
      <c r="I90" s="60" t="s">
        <v>2309</v>
      </c>
      <c r="J90" s="60" t="s">
        <v>2309</v>
      </c>
      <c r="K90" s="60" t="s">
        <v>2309</v>
      </c>
    </row>
    <row r="91" spans="1:11" x14ac:dyDescent="0.35">
      <c r="A91" s="61" t="s">
        <v>2380</v>
      </c>
      <c r="B91" s="60">
        <v>4904</v>
      </c>
      <c r="C91" s="60" t="s">
        <v>2309</v>
      </c>
      <c r="D91" s="60">
        <v>420</v>
      </c>
      <c r="E91" s="60">
        <v>880</v>
      </c>
      <c r="F91" s="60">
        <v>385</v>
      </c>
      <c r="G91" s="60">
        <v>939</v>
      </c>
      <c r="H91" s="60" t="s">
        <v>2309</v>
      </c>
      <c r="I91" s="60">
        <v>473</v>
      </c>
      <c r="J91" s="60">
        <v>345</v>
      </c>
      <c r="K91" s="60">
        <v>1125</v>
      </c>
    </row>
    <row r="92" spans="1:11" ht="24" customHeight="1" x14ac:dyDescent="0.35">
      <c r="A92" s="66" t="s">
        <v>2382</v>
      </c>
      <c r="B92" s="62" t="s">
        <v>27</v>
      </c>
      <c r="C92" s="62" t="s">
        <v>27</v>
      </c>
      <c r="D92" s="62" t="s">
        <v>27</v>
      </c>
      <c r="E92" s="62" t="s">
        <v>27</v>
      </c>
      <c r="F92" s="62" t="s">
        <v>27</v>
      </c>
      <c r="G92" s="62" t="s">
        <v>27</v>
      </c>
      <c r="H92" s="62" t="s">
        <v>27</v>
      </c>
      <c r="I92" s="62" t="s">
        <v>27</v>
      </c>
      <c r="J92" s="62" t="s">
        <v>27</v>
      </c>
      <c r="K92" s="62" t="s">
        <v>27</v>
      </c>
    </row>
    <row r="93" spans="1:11" x14ac:dyDescent="0.35">
      <c r="A93" s="61" t="s">
        <v>2341</v>
      </c>
      <c r="B93" s="65">
        <v>65708</v>
      </c>
      <c r="C93" s="65">
        <v>2699</v>
      </c>
      <c r="D93" s="65">
        <v>7624</v>
      </c>
      <c r="E93" s="65">
        <v>12432</v>
      </c>
      <c r="F93" s="65">
        <v>6425</v>
      </c>
      <c r="G93" s="65">
        <v>11806</v>
      </c>
      <c r="H93" s="65">
        <v>3923</v>
      </c>
      <c r="I93" s="65">
        <v>7979</v>
      </c>
      <c r="J93" s="65">
        <v>4974</v>
      </c>
      <c r="K93" s="65">
        <v>7846</v>
      </c>
    </row>
    <row r="94" spans="1:11" x14ac:dyDescent="0.35">
      <c r="A94" s="61" t="s">
        <v>2383</v>
      </c>
      <c r="B94" s="60">
        <v>16449</v>
      </c>
      <c r="C94" s="60">
        <v>575</v>
      </c>
      <c r="D94" s="60">
        <v>2221</v>
      </c>
      <c r="E94" s="60">
        <v>2865</v>
      </c>
      <c r="F94" s="60">
        <v>1018</v>
      </c>
      <c r="G94" s="60">
        <v>3055</v>
      </c>
      <c r="H94" s="60">
        <v>750</v>
      </c>
      <c r="I94" s="60">
        <v>2147</v>
      </c>
      <c r="J94" s="60">
        <v>1596</v>
      </c>
      <c r="K94" s="60">
        <v>2224</v>
      </c>
    </row>
    <row r="95" spans="1:11" x14ac:dyDescent="0.35">
      <c r="A95" s="61" t="s">
        <v>2384</v>
      </c>
      <c r="B95" s="60">
        <v>5539</v>
      </c>
      <c r="C95" s="60" t="s">
        <v>2309</v>
      </c>
      <c r="D95" s="60">
        <v>890</v>
      </c>
      <c r="E95" s="60">
        <v>934</v>
      </c>
      <c r="F95" s="60">
        <v>377</v>
      </c>
      <c r="G95" s="60">
        <v>1120</v>
      </c>
      <c r="H95" s="60">
        <v>334</v>
      </c>
      <c r="I95" s="60">
        <v>454</v>
      </c>
      <c r="J95" s="60">
        <v>463</v>
      </c>
      <c r="K95" s="60">
        <v>686</v>
      </c>
    </row>
    <row r="96" spans="1:11" x14ac:dyDescent="0.35">
      <c r="A96" s="61" t="s">
        <v>2385</v>
      </c>
      <c r="B96" s="60">
        <v>3894</v>
      </c>
      <c r="C96" s="60" t="s">
        <v>2309</v>
      </c>
      <c r="D96" s="60">
        <v>611</v>
      </c>
      <c r="E96" s="60">
        <v>474</v>
      </c>
      <c r="F96" s="60" t="s">
        <v>2309</v>
      </c>
      <c r="G96" s="60">
        <v>971</v>
      </c>
      <c r="H96" s="60" t="s">
        <v>2309</v>
      </c>
      <c r="I96" s="60">
        <v>394</v>
      </c>
      <c r="J96" s="60">
        <v>336</v>
      </c>
      <c r="K96" s="60">
        <v>530</v>
      </c>
    </row>
    <row r="97" spans="1:11" x14ac:dyDescent="0.35">
      <c r="A97" s="61" t="s">
        <v>2386</v>
      </c>
      <c r="B97" s="60">
        <v>3999</v>
      </c>
      <c r="C97" s="60" t="s">
        <v>2309</v>
      </c>
      <c r="D97" s="60">
        <v>749</v>
      </c>
      <c r="E97" s="60">
        <v>682</v>
      </c>
      <c r="F97" s="60" t="s">
        <v>2309</v>
      </c>
      <c r="G97" s="60">
        <v>808</v>
      </c>
      <c r="H97" s="60" t="s">
        <v>2309</v>
      </c>
      <c r="I97" s="60">
        <v>507</v>
      </c>
      <c r="J97" s="60" t="s">
        <v>2309</v>
      </c>
      <c r="K97" s="60">
        <v>537</v>
      </c>
    </row>
    <row r="98" spans="1:11" x14ac:dyDescent="0.35">
      <c r="A98" s="61" t="s">
        <v>2387</v>
      </c>
      <c r="B98" s="60">
        <v>1168</v>
      </c>
      <c r="C98" s="60" t="s">
        <v>2309</v>
      </c>
      <c r="D98" s="60" t="s">
        <v>2309</v>
      </c>
      <c r="E98" s="60" t="s">
        <v>2309</v>
      </c>
      <c r="F98" s="60" t="s">
        <v>2309</v>
      </c>
      <c r="G98" s="60" t="s">
        <v>2309</v>
      </c>
      <c r="H98" s="60" t="s">
        <v>2309</v>
      </c>
      <c r="I98" s="60" t="s">
        <v>2309</v>
      </c>
      <c r="J98" s="60" t="s">
        <v>2309</v>
      </c>
      <c r="K98" s="60" t="s">
        <v>2309</v>
      </c>
    </row>
    <row r="99" spans="1:11" ht="24" customHeight="1" x14ac:dyDescent="0.35">
      <c r="A99" s="66" t="s">
        <v>2388</v>
      </c>
      <c r="B99" s="62" t="s">
        <v>27</v>
      </c>
      <c r="C99" s="62" t="s">
        <v>27</v>
      </c>
      <c r="D99" s="62" t="s">
        <v>27</v>
      </c>
      <c r="E99" s="62" t="s">
        <v>27</v>
      </c>
      <c r="F99" s="62" t="s">
        <v>27</v>
      </c>
      <c r="G99" s="62" t="s">
        <v>27</v>
      </c>
      <c r="H99" s="62" t="s">
        <v>27</v>
      </c>
      <c r="I99" s="62" t="s">
        <v>27</v>
      </c>
      <c r="J99" s="62" t="s">
        <v>27</v>
      </c>
      <c r="K99" s="62" t="s">
        <v>27</v>
      </c>
    </row>
    <row r="100" spans="1:11" x14ac:dyDescent="0.35">
      <c r="A100" s="61" t="s">
        <v>2389</v>
      </c>
      <c r="B100" s="60">
        <v>56948</v>
      </c>
      <c r="C100" s="60">
        <v>2235</v>
      </c>
      <c r="D100" s="60">
        <v>8003</v>
      </c>
      <c r="E100" s="60">
        <v>11496</v>
      </c>
      <c r="F100" s="60">
        <v>5218</v>
      </c>
      <c r="G100" s="60">
        <v>10214</v>
      </c>
      <c r="H100" s="60">
        <v>2859</v>
      </c>
      <c r="I100" s="60">
        <v>6438</v>
      </c>
      <c r="J100" s="60">
        <v>4643</v>
      </c>
      <c r="K100" s="60">
        <v>5841</v>
      </c>
    </row>
    <row r="101" spans="1:11" x14ac:dyDescent="0.35">
      <c r="A101" s="61" t="s">
        <v>2390</v>
      </c>
      <c r="B101" s="60">
        <v>5134</v>
      </c>
      <c r="C101" s="60" t="s">
        <v>2309</v>
      </c>
      <c r="D101" s="60">
        <v>435</v>
      </c>
      <c r="E101" s="60">
        <v>740</v>
      </c>
      <c r="F101" s="60" t="s">
        <v>2309</v>
      </c>
      <c r="G101" s="60">
        <v>745</v>
      </c>
      <c r="H101" s="60">
        <v>472</v>
      </c>
      <c r="I101" s="60">
        <v>895</v>
      </c>
      <c r="J101" s="60">
        <v>269</v>
      </c>
      <c r="K101" s="60">
        <v>1024</v>
      </c>
    </row>
    <row r="102" spans="1:11" x14ac:dyDescent="0.35">
      <c r="A102" s="61" t="s">
        <v>2391</v>
      </c>
      <c r="B102" s="60">
        <v>3761</v>
      </c>
      <c r="C102" s="60" t="s">
        <v>2309</v>
      </c>
      <c r="D102" s="60">
        <v>578</v>
      </c>
      <c r="E102" s="60">
        <v>445</v>
      </c>
      <c r="F102" s="60" t="s">
        <v>2309</v>
      </c>
      <c r="G102" s="60">
        <v>813</v>
      </c>
      <c r="H102" s="60" t="s">
        <v>2309</v>
      </c>
      <c r="I102" s="60" t="s">
        <v>2309</v>
      </c>
      <c r="J102" s="60">
        <v>151</v>
      </c>
      <c r="K102" s="60">
        <v>520</v>
      </c>
    </row>
    <row r="103" spans="1:11" x14ac:dyDescent="0.35">
      <c r="A103" s="61" t="s">
        <v>2392</v>
      </c>
      <c r="B103" s="60">
        <v>3823</v>
      </c>
      <c r="C103" s="60" t="s">
        <v>2309</v>
      </c>
      <c r="D103" s="60">
        <v>510</v>
      </c>
      <c r="E103" s="60">
        <v>355</v>
      </c>
      <c r="F103" s="60">
        <v>247</v>
      </c>
      <c r="G103" s="60">
        <v>900</v>
      </c>
      <c r="H103" s="60" t="s">
        <v>2309</v>
      </c>
      <c r="I103" s="60">
        <v>441</v>
      </c>
      <c r="J103" s="60">
        <v>338</v>
      </c>
      <c r="K103" s="60">
        <v>748</v>
      </c>
    </row>
    <row r="104" spans="1:11" x14ac:dyDescent="0.35">
      <c r="A104" s="61" t="s">
        <v>2393</v>
      </c>
      <c r="B104" s="60">
        <v>4523</v>
      </c>
      <c r="C104" s="60" t="s">
        <v>2309</v>
      </c>
      <c r="D104" s="60">
        <v>421</v>
      </c>
      <c r="E104" s="60">
        <v>729</v>
      </c>
      <c r="F104" s="60">
        <v>396</v>
      </c>
      <c r="G104" s="60">
        <v>789</v>
      </c>
      <c r="H104" s="60" t="s">
        <v>2309</v>
      </c>
      <c r="I104" s="60">
        <v>673</v>
      </c>
      <c r="J104" s="60">
        <v>544</v>
      </c>
      <c r="K104" s="60">
        <v>678</v>
      </c>
    </row>
    <row r="105" spans="1:11" x14ac:dyDescent="0.35">
      <c r="A105" s="61" t="s">
        <v>2394</v>
      </c>
      <c r="B105" s="60">
        <v>5684</v>
      </c>
      <c r="C105" s="60" t="s">
        <v>2309</v>
      </c>
      <c r="D105" s="60">
        <v>440</v>
      </c>
      <c r="E105" s="60">
        <v>989</v>
      </c>
      <c r="F105" s="60" t="s">
        <v>2309</v>
      </c>
      <c r="G105" s="60">
        <v>907</v>
      </c>
      <c r="H105" s="60" t="s">
        <v>2309</v>
      </c>
      <c r="I105" s="60">
        <v>648</v>
      </c>
      <c r="J105" s="60" t="s">
        <v>2309</v>
      </c>
      <c r="K105" s="60">
        <v>817</v>
      </c>
    </row>
    <row r="106" spans="1:11" x14ac:dyDescent="0.35">
      <c r="A106" s="61" t="s">
        <v>2395</v>
      </c>
      <c r="B106" s="60">
        <v>3257</v>
      </c>
      <c r="C106" s="60" t="s">
        <v>2309</v>
      </c>
      <c r="D106" s="60" t="s">
        <v>2309</v>
      </c>
      <c r="E106" s="60">
        <v>399</v>
      </c>
      <c r="F106" s="60" t="s">
        <v>2309</v>
      </c>
      <c r="G106" s="60">
        <v>1068</v>
      </c>
      <c r="H106" s="60" t="s">
        <v>2309</v>
      </c>
      <c r="I106" s="60">
        <v>524</v>
      </c>
      <c r="J106" s="60" t="s">
        <v>2309</v>
      </c>
      <c r="K106" s="60" t="s">
        <v>2309</v>
      </c>
    </row>
    <row r="107" spans="1:11" x14ac:dyDescent="0.35">
      <c r="A107" s="61" t="s">
        <v>2396</v>
      </c>
      <c r="B107" s="60">
        <v>2819</v>
      </c>
      <c r="C107" s="60" t="s">
        <v>2309</v>
      </c>
      <c r="D107" s="60">
        <v>402</v>
      </c>
      <c r="E107" s="60">
        <v>728</v>
      </c>
      <c r="F107" s="60">
        <v>183</v>
      </c>
      <c r="G107" s="60">
        <v>332</v>
      </c>
      <c r="H107" s="60" t="s">
        <v>2309</v>
      </c>
      <c r="I107" s="60">
        <v>212</v>
      </c>
      <c r="J107" s="60">
        <v>220</v>
      </c>
      <c r="K107" s="60">
        <v>467</v>
      </c>
    </row>
    <row r="108" spans="1:11" x14ac:dyDescent="0.35">
      <c r="A108" s="61" t="s">
        <v>2397</v>
      </c>
      <c r="B108" s="60">
        <v>1602</v>
      </c>
      <c r="C108" s="60" t="s">
        <v>2309</v>
      </c>
      <c r="D108" s="60" t="s">
        <v>2309</v>
      </c>
      <c r="E108" s="60" t="s">
        <v>2309</v>
      </c>
      <c r="F108" s="60" t="s">
        <v>2309</v>
      </c>
      <c r="G108" s="60">
        <v>287</v>
      </c>
      <c r="H108" s="60" t="s">
        <v>2309</v>
      </c>
      <c r="I108" s="60" t="s">
        <v>2309</v>
      </c>
      <c r="J108" s="60" t="s">
        <v>2309</v>
      </c>
      <c r="K108" s="60" t="s">
        <v>2309</v>
      </c>
    </row>
    <row r="109" spans="1:11" x14ac:dyDescent="0.35">
      <c r="A109" s="61" t="s">
        <v>2398</v>
      </c>
      <c r="B109" s="60">
        <v>774</v>
      </c>
      <c r="C109" s="60" t="s">
        <v>2309</v>
      </c>
      <c r="D109" s="60" t="s">
        <v>2309</v>
      </c>
      <c r="E109" s="60" t="s">
        <v>2309</v>
      </c>
      <c r="F109" s="60" t="s">
        <v>2309</v>
      </c>
      <c r="G109" s="60" t="s">
        <v>2309</v>
      </c>
      <c r="H109" s="60" t="s">
        <v>2309</v>
      </c>
      <c r="I109" s="60" t="s">
        <v>2309</v>
      </c>
      <c r="J109" s="60" t="s">
        <v>2309</v>
      </c>
      <c r="K109" s="60" t="s">
        <v>2309</v>
      </c>
    </row>
    <row r="110" spans="1:11" x14ac:dyDescent="0.35">
      <c r="A110" s="61" t="s">
        <v>2400</v>
      </c>
      <c r="B110" s="60">
        <v>1701</v>
      </c>
      <c r="C110" s="60" t="s">
        <v>2309</v>
      </c>
      <c r="D110" s="60" t="s">
        <v>2309</v>
      </c>
      <c r="E110" s="60" t="s">
        <v>2309</v>
      </c>
      <c r="F110" s="60" t="s">
        <v>2309</v>
      </c>
      <c r="G110" s="60">
        <v>290</v>
      </c>
      <c r="H110" s="60" t="s">
        <v>2309</v>
      </c>
      <c r="I110" s="60" t="s">
        <v>2309</v>
      </c>
      <c r="J110" s="60" t="s">
        <v>2309</v>
      </c>
      <c r="K110" s="60">
        <v>199</v>
      </c>
    </row>
    <row r="111" spans="1:11" x14ac:dyDescent="0.35">
      <c r="A111" s="61" t="s">
        <v>2380</v>
      </c>
      <c r="B111" s="60">
        <v>6732</v>
      </c>
      <c r="C111" s="60">
        <v>326</v>
      </c>
      <c r="D111" s="60">
        <v>804</v>
      </c>
      <c r="E111" s="60">
        <v>1204</v>
      </c>
      <c r="F111" s="60">
        <v>669</v>
      </c>
      <c r="G111" s="60">
        <v>1324</v>
      </c>
      <c r="H111" s="60" t="s">
        <v>2309</v>
      </c>
      <c r="I111" s="60">
        <v>642</v>
      </c>
      <c r="J111" s="60">
        <v>567</v>
      </c>
      <c r="K111" s="60">
        <v>931</v>
      </c>
    </row>
    <row r="112" spans="1:11" ht="24" customHeight="1" x14ac:dyDescent="0.35">
      <c r="A112" s="66" t="s">
        <v>2401</v>
      </c>
      <c r="B112" s="62" t="s">
        <v>27</v>
      </c>
      <c r="C112" s="62" t="s">
        <v>27</v>
      </c>
      <c r="D112" s="62" t="s">
        <v>27</v>
      </c>
      <c r="E112" s="62" t="s">
        <v>27</v>
      </c>
      <c r="F112" s="62" t="s">
        <v>27</v>
      </c>
      <c r="G112" s="62" t="s">
        <v>27</v>
      </c>
      <c r="H112" s="62" t="s">
        <v>27</v>
      </c>
      <c r="I112" s="62" t="s">
        <v>27</v>
      </c>
      <c r="J112" s="62" t="s">
        <v>27</v>
      </c>
      <c r="K112" s="62" t="s">
        <v>27</v>
      </c>
    </row>
    <row r="113" spans="1:11" x14ac:dyDescent="0.35">
      <c r="A113" s="61" t="s">
        <v>2402</v>
      </c>
      <c r="B113" s="65">
        <v>46291</v>
      </c>
      <c r="C113" s="65">
        <v>1368</v>
      </c>
      <c r="D113" s="65">
        <v>6695</v>
      </c>
      <c r="E113" s="65">
        <v>8087</v>
      </c>
      <c r="F113" s="65">
        <v>3717</v>
      </c>
      <c r="G113" s="65">
        <v>9289</v>
      </c>
      <c r="H113" s="65">
        <v>3058</v>
      </c>
      <c r="I113" s="65">
        <v>5934</v>
      </c>
      <c r="J113" s="65">
        <v>3709</v>
      </c>
      <c r="K113" s="65">
        <v>4434</v>
      </c>
    </row>
    <row r="114" spans="1:11" x14ac:dyDescent="0.35">
      <c r="A114" s="61" t="s">
        <v>2403</v>
      </c>
      <c r="B114" s="60">
        <v>19565</v>
      </c>
      <c r="C114" s="60">
        <v>721</v>
      </c>
      <c r="D114" s="60">
        <v>2986</v>
      </c>
      <c r="E114" s="60">
        <v>3404</v>
      </c>
      <c r="F114" s="60">
        <v>1256</v>
      </c>
      <c r="G114" s="60">
        <v>3350</v>
      </c>
      <c r="H114" s="60">
        <v>685</v>
      </c>
      <c r="I114" s="60">
        <v>2356</v>
      </c>
      <c r="J114" s="60">
        <v>1964</v>
      </c>
      <c r="K114" s="60">
        <v>2843</v>
      </c>
    </row>
    <row r="115" spans="1:11" x14ac:dyDescent="0.35">
      <c r="A115" s="61" t="s">
        <v>2404</v>
      </c>
      <c r="B115" s="60">
        <v>8331</v>
      </c>
      <c r="C115" s="60" t="s">
        <v>2309</v>
      </c>
      <c r="D115" s="60">
        <v>712</v>
      </c>
      <c r="E115" s="60">
        <v>1599</v>
      </c>
      <c r="F115" s="60">
        <v>511</v>
      </c>
      <c r="G115" s="60">
        <v>1779</v>
      </c>
      <c r="H115" s="60">
        <v>424</v>
      </c>
      <c r="I115" s="60">
        <v>812</v>
      </c>
      <c r="J115" s="60">
        <v>467</v>
      </c>
      <c r="K115" s="60">
        <v>1855</v>
      </c>
    </row>
    <row r="116" spans="1:11" x14ac:dyDescent="0.35">
      <c r="A116" s="61" t="s">
        <v>2405</v>
      </c>
      <c r="B116" s="60">
        <v>5982</v>
      </c>
      <c r="C116" s="60">
        <v>731</v>
      </c>
      <c r="D116" s="60">
        <v>556</v>
      </c>
      <c r="E116" s="60">
        <v>1306</v>
      </c>
      <c r="F116" s="60">
        <v>909</v>
      </c>
      <c r="G116" s="60">
        <v>686</v>
      </c>
      <c r="H116" s="60">
        <v>224</v>
      </c>
      <c r="I116" s="60" t="s">
        <v>2309</v>
      </c>
      <c r="J116" s="60">
        <v>312</v>
      </c>
      <c r="K116" s="60">
        <v>1044</v>
      </c>
    </row>
    <row r="117" spans="1:11" x14ac:dyDescent="0.35">
      <c r="A117" s="61" t="s">
        <v>2406</v>
      </c>
      <c r="B117" s="60">
        <v>12184</v>
      </c>
      <c r="C117" s="60">
        <v>448</v>
      </c>
      <c r="D117" s="60">
        <v>699</v>
      </c>
      <c r="E117" s="60">
        <v>2535</v>
      </c>
      <c r="F117" s="60">
        <v>1879</v>
      </c>
      <c r="G117" s="60">
        <v>2108</v>
      </c>
      <c r="H117" s="60">
        <v>822</v>
      </c>
      <c r="I117" s="60">
        <v>1918</v>
      </c>
      <c r="J117" s="60">
        <v>700</v>
      </c>
      <c r="K117" s="60">
        <v>1075</v>
      </c>
    </row>
    <row r="118" spans="1:11" x14ac:dyDescent="0.35">
      <c r="A118" s="61" t="s">
        <v>2407</v>
      </c>
      <c r="B118" s="60">
        <v>2186</v>
      </c>
      <c r="C118" s="60" t="s">
        <v>2309</v>
      </c>
      <c r="D118" s="60">
        <v>318</v>
      </c>
      <c r="E118" s="60">
        <v>298</v>
      </c>
      <c r="F118" s="60" t="s">
        <v>2309</v>
      </c>
      <c r="G118" s="60">
        <v>431</v>
      </c>
      <c r="H118" s="60" t="s">
        <v>2309</v>
      </c>
      <c r="I118" s="60">
        <v>194</v>
      </c>
      <c r="J118" s="60">
        <v>311</v>
      </c>
      <c r="K118" s="60">
        <v>351</v>
      </c>
    </row>
    <row r="119" spans="1:11" x14ac:dyDescent="0.35">
      <c r="A119" s="61" t="s">
        <v>2380</v>
      </c>
      <c r="B119" s="60">
        <v>2219</v>
      </c>
      <c r="C119" s="60" t="s">
        <v>2309</v>
      </c>
      <c r="D119" s="60" t="s">
        <v>2309</v>
      </c>
      <c r="E119" s="60">
        <v>413</v>
      </c>
      <c r="F119" s="60" t="s">
        <v>2309</v>
      </c>
      <c r="G119" s="60">
        <v>317</v>
      </c>
      <c r="H119" s="60" t="s">
        <v>2309</v>
      </c>
      <c r="I119" s="60" t="s">
        <v>2309</v>
      </c>
      <c r="J119" s="60">
        <v>298</v>
      </c>
      <c r="K119" s="60">
        <v>356</v>
      </c>
    </row>
    <row r="120" spans="1:11" ht="24" customHeight="1" x14ac:dyDescent="0.35">
      <c r="A120" s="66" t="s">
        <v>2409</v>
      </c>
      <c r="B120" s="62" t="s">
        <v>27</v>
      </c>
      <c r="C120" s="62" t="s">
        <v>27</v>
      </c>
      <c r="D120" s="62" t="s">
        <v>27</v>
      </c>
      <c r="E120" s="62" t="s">
        <v>27</v>
      </c>
      <c r="F120" s="62" t="s">
        <v>27</v>
      </c>
      <c r="G120" s="62" t="s">
        <v>27</v>
      </c>
      <c r="H120" s="62" t="s">
        <v>27</v>
      </c>
      <c r="I120" s="62" t="s">
        <v>27</v>
      </c>
      <c r="J120" s="62" t="s">
        <v>27</v>
      </c>
      <c r="K120" s="62" t="s">
        <v>27</v>
      </c>
    </row>
    <row r="121" spans="1:11" x14ac:dyDescent="0.35">
      <c r="A121" s="61" t="s">
        <v>2410</v>
      </c>
      <c r="B121" s="60">
        <v>21013</v>
      </c>
      <c r="C121" s="60">
        <v>577</v>
      </c>
      <c r="D121" s="60">
        <v>1367</v>
      </c>
      <c r="E121" s="60">
        <v>3310</v>
      </c>
      <c r="F121" s="60">
        <v>2428</v>
      </c>
      <c r="G121" s="60">
        <v>4521</v>
      </c>
      <c r="H121" s="60">
        <v>1571</v>
      </c>
      <c r="I121" s="60">
        <v>3610</v>
      </c>
      <c r="J121" s="60">
        <v>1213</v>
      </c>
      <c r="K121" s="60">
        <v>2417</v>
      </c>
    </row>
    <row r="122" spans="1:11" x14ac:dyDescent="0.35">
      <c r="A122" s="61" t="s">
        <v>2411</v>
      </c>
      <c r="B122" s="64">
        <v>31621</v>
      </c>
      <c r="C122" s="64">
        <v>1548</v>
      </c>
      <c r="D122" s="64">
        <v>5469</v>
      </c>
      <c r="E122" s="64">
        <v>5946</v>
      </c>
      <c r="F122" s="64">
        <v>2757</v>
      </c>
      <c r="G122" s="64">
        <v>5873</v>
      </c>
      <c r="H122" s="64">
        <v>1397</v>
      </c>
      <c r="I122" s="64">
        <v>2606</v>
      </c>
      <c r="J122" s="64">
        <v>2825</v>
      </c>
      <c r="K122" s="64">
        <v>3200</v>
      </c>
    </row>
    <row r="123" spans="1:11" x14ac:dyDescent="0.35">
      <c r="A123" s="61" t="s">
        <v>2412</v>
      </c>
      <c r="B123" s="60">
        <v>19286</v>
      </c>
      <c r="C123" s="60">
        <v>402</v>
      </c>
      <c r="D123" s="60">
        <v>2683</v>
      </c>
      <c r="E123" s="60">
        <v>3663</v>
      </c>
      <c r="F123" s="60">
        <v>1457</v>
      </c>
      <c r="G123" s="60">
        <v>3673</v>
      </c>
      <c r="H123" s="60">
        <v>903</v>
      </c>
      <c r="I123" s="60">
        <v>2350</v>
      </c>
      <c r="J123" s="60">
        <v>1571</v>
      </c>
      <c r="K123" s="60">
        <v>2582</v>
      </c>
    </row>
    <row r="124" spans="1:11" x14ac:dyDescent="0.35">
      <c r="A124" s="61" t="s">
        <v>2413</v>
      </c>
      <c r="B124" s="60">
        <v>3997</v>
      </c>
      <c r="C124" s="60" t="s">
        <v>2309</v>
      </c>
      <c r="D124" s="60">
        <v>471</v>
      </c>
      <c r="E124" s="60">
        <v>729</v>
      </c>
      <c r="F124" s="60" t="s">
        <v>2309</v>
      </c>
      <c r="G124" s="60">
        <v>716</v>
      </c>
      <c r="H124" s="60" t="s">
        <v>2309</v>
      </c>
      <c r="I124" s="60">
        <v>415</v>
      </c>
      <c r="J124" s="60" t="s">
        <v>2309</v>
      </c>
      <c r="K124" s="60">
        <v>858</v>
      </c>
    </row>
    <row r="125" spans="1:11" ht="26.5" x14ac:dyDescent="0.35">
      <c r="A125" s="61" t="s">
        <v>2414</v>
      </c>
      <c r="B125" s="60">
        <v>1562</v>
      </c>
      <c r="C125" s="60" t="s">
        <v>2309</v>
      </c>
      <c r="D125" s="60" t="s">
        <v>2309</v>
      </c>
      <c r="E125" s="60" t="s">
        <v>2309</v>
      </c>
      <c r="F125" s="60" t="s">
        <v>2309</v>
      </c>
      <c r="G125" s="60" t="s">
        <v>2309</v>
      </c>
      <c r="H125" s="60" t="s">
        <v>2309</v>
      </c>
      <c r="I125" s="60" t="s">
        <v>2309</v>
      </c>
      <c r="J125" s="60">
        <v>423</v>
      </c>
      <c r="K125" s="60">
        <v>397</v>
      </c>
    </row>
    <row r="126" spans="1:11" ht="26.5" x14ac:dyDescent="0.35">
      <c r="A126" s="61" t="s">
        <v>2415</v>
      </c>
      <c r="B126" s="60">
        <v>14272</v>
      </c>
      <c r="C126" s="60">
        <v>724</v>
      </c>
      <c r="D126" s="60">
        <v>1612</v>
      </c>
      <c r="E126" s="60">
        <v>3286</v>
      </c>
      <c r="F126" s="60">
        <v>1366</v>
      </c>
      <c r="G126" s="60">
        <v>2119</v>
      </c>
      <c r="H126" s="60">
        <v>959</v>
      </c>
      <c r="I126" s="60">
        <v>1532</v>
      </c>
      <c r="J126" s="60">
        <v>1098</v>
      </c>
      <c r="K126" s="60">
        <v>1575</v>
      </c>
    </row>
    <row r="127" spans="1:11" x14ac:dyDescent="0.35">
      <c r="A127" s="61" t="s">
        <v>2416</v>
      </c>
      <c r="B127" s="60">
        <v>1968</v>
      </c>
      <c r="C127" s="60" t="s">
        <v>2309</v>
      </c>
      <c r="D127" s="60">
        <v>229</v>
      </c>
      <c r="E127" s="60" t="s">
        <v>2309</v>
      </c>
      <c r="F127" s="60" t="s">
        <v>2309</v>
      </c>
      <c r="G127" s="60">
        <v>575</v>
      </c>
      <c r="H127" s="60" t="s">
        <v>2309</v>
      </c>
      <c r="I127" s="60">
        <v>232</v>
      </c>
      <c r="J127" s="60" t="s">
        <v>2309</v>
      </c>
      <c r="K127" s="60">
        <v>399</v>
      </c>
    </row>
    <row r="128" spans="1:11" x14ac:dyDescent="0.35">
      <c r="A128" s="61" t="s">
        <v>2380</v>
      </c>
      <c r="B128" s="60">
        <v>3039</v>
      </c>
      <c r="C128" s="60" t="s">
        <v>2309</v>
      </c>
      <c r="D128" s="60">
        <v>381</v>
      </c>
      <c r="E128" s="60">
        <v>342</v>
      </c>
      <c r="F128" s="60" t="s">
        <v>2309</v>
      </c>
      <c r="G128" s="60">
        <v>412</v>
      </c>
      <c r="H128" s="60" t="s">
        <v>2309</v>
      </c>
      <c r="I128" s="60">
        <v>721</v>
      </c>
      <c r="J128" s="60" t="s">
        <v>2309</v>
      </c>
      <c r="K128" s="60">
        <v>528</v>
      </c>
    </row>
    <row r="129" spans="1:11" ht="21" customHeight="1" x14ac:dyDescent="0.35">
      <c r="A129" s="63" t="s">
        <v>2418</v>
      </c>
      <c r="B129" s="62" t="s">
        <v>27</v>
      </c>
      <c r="C129" s="62" t="s">
        <v>27</v>
      </c>
      <c r="D129" s="62" t="s">
        <v>27</v>
      </c>
      <c r="E129" s="62" t="s">
        <v>27</v>
      </c>
      <c r="F129" s="62" t="s">
        <v>27</v>
      </c>
      <c r="G129" s="62" t="s">
        <v>27</v>
      </c>
      <c r="H129" s="62" t="s">
        <v>27</v>
      </c>
      <c r="I129" s="62" t="s">
        <v>27</v>
      </c>
      <c r="J129" s="62" t="s">
        <v>27</v>
      </c>
      <c r="K129" s="62" t="s">
        <v>27</v>
      </c>
    </row>
    <row r="130" spans="1:11" x14ac:dyDescent="0.35">
      <c r="A130" s="69" t="s">
        <v>2419</v>
      </c>
      <c r="B130" s="60">
        <v>54358</v>
      </c>
      <c r="C130" s="60">
        <v>1837</v>
      </c>
      <c r="D130" s="60">
        <v>8896</v>
      </c>
      <c r="E130" s="60">
        <v>9421</v>
      </c>
      <c r="F130" s="60">
        <v>4002</v>
      </c>
      <c r="G130" s="60">
        <v>9719</v>
      </c>
      <c r="H130" s="60">
        <v>2456</v>
      </c>
      <c r="I130" s="60">
        <v>6235</v>
      </c>
      <c r="J130" s="60">
        <v>5018</v>
      </c>
      <c r="K130" s="60">
        <v>6773</v>
      </c>
    </row>
    <row r="131" spans="1:11" x14ac:dyDescent="0.35">
      <c r="A131" s="69" t="s">
        <v>2420</v>
      </c>
      <c r="B131" s="60">
        <v>27714</v>
      </c>
      <c r="C131" s="60">
        <v>911</v>
      </c>
      <c r="D131" s="60">
        <v>1766</v>
      </c>
      <c r="E131" s="60">
        <v>5365</v>
      </c>
      <c r="F131" s="60">
        <v>3247</v>
      </c>
      <c r="G131" s="60">
        <v>5465</v>
      </c>
      <c r="H131" s="60">
        <v>1730</v>
      </c>
      <c r="I131" s="60">
        <v>3642</v>
      </c>
      <c r="J131" s="60">
        <v>2065</v>
      </c>
      <c r="K131" s="60">
        <v>3522</v>
      </c>
    </row>
    <row r="132" spans="1:11" x14ac:dyDescent="0.35">
      <c r="A132" s="69" t="s">
        <v>2421</v>
      </c>
      <c r="B132" s="65">
        <v>14686</v>
      </c>
      <c r="C132" s="65">
        <v>1000</v>
      </c>
      <c r="D132" s="65">
        <v>1610</v>
      </c>
      <c r="E132" s="65">
        <v>2856</v>
      </c>
      <c r="F132" s="65">
        <v>1252</v>
      </c>
      <c r="G132" s="65">
        <v>2777</v>
      </c>
      <c r="H132" s="65">
        <v>1173</v>
      </c>
      <c r="I132" s="65">
        <v>1680</v>
      </c>
      <c r="J132" s="65">
        <v>677</v>
      </c>
      <c r="K132" s="65">
        <v>1661</v>
      </c>
    </row>
    <row r="133" spans="1:11" ht="32.5" customHeight="1" x14ac:dyDescent="0.35">
      <c r="A133" s="63" t="s">
        <v>2853</v>
      </c>
      <c r="B133" s="62" t="s">
        <v>27</v>
      </c>
      <c r="C133" s="62" t="s">
        <v>27</v>
      </c>
      <c r="D133" s="62" t="s">
        <v>27</v>
      </c>
      <c r="E133" s="62" t="s">
        <v>27</v>
      </c>
      <c r="F133" s="62" t="s">
        <v>27</v>
      </c>
      <c r="G133" s="62" t="s">
        <v>27</v>
      </c>
      <c r="H133" s="62" t="s">
        <v>27</v>
      </c>
      <c r="I133" s="62" t="s">
        <v>27</v>
      </c>
      <c r="J133" s="62" t="s">
        <v>27</v>
      </c>
      <c r="K133" s="62" t="s">
        <v>27</v>
      </c>
    </row>
    <row r="134" spans="1:11" x14ac:dyDescent="0.35">
      <c r="A134" s="61" t="s">
        <v>2852</v>
      </c>
      <c r="B134" s="60">
        <v>32977</v>
      </c>
      <c r="C134" s="60">
        <v>658</v>
      </c>
      <c r="D134" s="60">
        <v>3207</v>
      </c>
      <c r="E134" s="60">
        <v>4855</v>
      </c>
      <c r="F134" s="60">
        <v>2831</v>
      </c>
      <c r="G134" s="60">
        <v>6403</v>
      </c>
      <c r="H134" s="60">
        <v>1791</v>
      </c>
      <c r="I134" s="60">
        <v>4303</v>
      </c>
      <c r="J134" s="60">
        <v>3706</v>
      </c>
      <c r="K134" s="60">
        <v>5223</v>
      </c>
    </row>
    <row r="135" spans="1:11" x14ac:dyDescent="0.35">
      <c r="A135" s="61" t="s">
        <v>2851</v>
      </c>
      <c r="B135" s="60">
        <v>2673</v>
      </c>
      <c r="C135" s="60" t="s">
        <v>2309</v>
      </c>
      <c r="D135" s="60">
        <v>362</v>
      </c>
      <c r="E135" s="60">
        <v>385</v>
      </c>
      <c r="F135" s="60" t="s">
        <v>2309</v>
      </c>
      <c r="G135" s="60">
        <v>606</v>
      </c>
      <c r="H135" s="60" t="s">
        <v>2309</v>
      </c>
      <c r="I135" s="60">
        <v>418</v>
      </c>
      <c r="J135" s="60" t="s">
        <v>2309</v>
      </c>
      <c r="K135" s="60">
        <v>332</v>
      </c>
    </row>
    <row r="136" spans="1:11" x14ac:dyDescent="0.35">
      <c r="A136" s="61" t="s">
        <v>2850</v>
      </c>
      <c r="B136" s="60">
        <v>6149</v>
      </c>
      <c r="C136" s="60" t="s">
        <v>2309</v>
      </c>
      <c r="D136" s="60">
        <v>827</v>
      </c>
      <c r="E136" s="60">
        <v>692</v>
      </c>
      <c r="F136" s="60">
        <v>264</v>
      </c>
      <c r="G136" s="60">
        <v>1578</v>
      </c>
      <c r="H136" s="60">
        <v>467</v>
      </c>
      <c r="I136" s="60">
        <v>1055</v>
      </c>
      <c r="J136" s="60">
        <v>348</v>
      </c>
      <c r="K136" s="60">
        <v>630</v>
      </c>
    </row>
    <row r="137" spans="1:11" x14ac:dyDescent="0.35">
      <c r="A137" s="61" t="s">
        <v>2849</v>
      </c>
      <c r="B137" s="60">
        <v>6277</v>
      </c>
      <c r="C137" s="60">
        <v>184</v>
      </c>
      <c r="D137" s="60">
        <v>1089</v>
      </c>
      <c r="E137" s="60">
        <v>1767</v>
      </c>
      <c r="F137" s="60">
        <v>528</v>
      </c>
      <c r="G137" s="60">
        <v>1115</v>
      </c>
      <c r="H137" s="60" t="s">
        <v>2309</v>
      </c>
      <c r="I137" s="60">
        <v>391</v>
      </c>
      <c r="J137" s="60">
        <v>815</v>
      </c>
      <c r="K137" s="60">
        <v>270</v>
      </c>
    </row>
    <row r="138" spans="1:11" x14ac:dyDescent="0.35">
      <c r="A138" s="61" t="s">
        <v>2848</v>
      </c>
      <c r="B138" s="64">
        <v>1603</v>
      </c>
      <c r="C138" s="64" t="s">
        <v>2309</v>
      </c>
      <c r="D138" s="64" t="s">
        <v>2309</v>
      </c>
      <c r="E138" s="64" t="s">
        <v>2309</v>
      </c>
      <c r="F138" s="64" t="s">
        <v>2309</v>
      </c>
      <c r="G138" s="64">
        <v>489</v>
      </c>
      <c r="H138" s="64" t="s">
        <v>2309</v>
      </c>
      <c r="I138" s="64" t="s">
        <v>2309</v>
      </c>
      <c r="J138" s="64" t="s">
        <v>2309</v>
      </c>
      <c r="K138" s="64" t="s">
        <v>2309</v>
      </c>
    </row>
    <row r="139" spans="1:11" ht="34" customHeight="1" x14ac:dyDescent="0.35">
      <c r="A139" s="71" t="s">
        <v>2847</v>
      </c>
      <c r="B139" s="62" t="s">
        <v>27</v>
      </c>
      <c r="C139" s="62" t="s">
        <v>27</v>
      </c>
      <c r="D139" s="62" t="s">
        <v>27</v>
      </c>
      <c r="E139" s="62" t="s">
        <v>27</v>
      </c>
      <c r="F139" s="62" t="s">
        <v>27</v>
      </c>
      <c r="G139" s="62" t="s">
        <v>27</v>
      </c>
      <c r="H139" s="62" t="s">
        <v>27</v>
      </c>
      <c r="I139" s="62" t="s">
        <v>27</v>
      </c>
      <c r="J139" s="62" t="s">
        <v>27</v>
      </c>
      <c r="K139" s="62" t="s">
        <v>27</v>
      </c>
    </row>
    <row r="140" spans="1:11" x14ac:dyDescent="0.35">
      <c r="A140" s="61" t="s">
        <v>2424</v>
      </c>
      <c r="B140" s="60">
        <v>45296</v>
      </c>
      <c r="C140" s="60">
        <v>1790</v>
      </c>
      <c r="D140" s="60">
        <v>6616</v>
      </c>
      <c r="E140" s="60">
        <v>8953</v>
      </c>
      <c r="F140" s="60">
        <v>3797</v>
      </c>
      <c r="G140" s="60">
        <v>8344</v>
      </c>
      <c r="H140" s="60">
        <v>2255</v>
      </c>
      <c r="I140" s="60">
        <v>5311</v>
      </c>
      <c r="J140" s="60">
        <v>3390</v>
      </c>
      <c r="K140" s="60">
        <v>4840</v>
      </c>
    </row>
    <row r="141" spans="1:11" x14ac:dyDescent="0.35">
      <c r="A141" s="59" t="s">
        <v>2425</v>
      </c>
      <c r="B141" s="60">
        <v>10845</v>
      </c>
      <c r="C141" s="60">
        <v>467</v>
      </c>
      <c r="D141" s="60">
        <v>1425</v>
      </c>
      <c r="E141" s="60">
        <v>2753</v>
      </c>
      <c r="F141" s="60">
        <v>1274</v>
      </c>
      <c r="G141" s="60">
        <v>1719</v>
      </c>
      <c r="H141" s="60">
        <v>560</v>
      </c>
      <c r="I141" s="60">
        <v>1119</v>
      </c>
      <c r="J141" s="60">
        <v>778</v>
      </c>
      <c r="K141" s="60">
        <v>751</v>
      </c>
    </row>
    <row r="142" spans="1:11" x14ac:dyDescent="0.35">
      <c r="A142" s="59" t="s">
        <v>2426</v>
      </c>
      <c r="B142" s="60">
        <v>1784</v>
      </c>
      <c r="C142" s="60" t="s">
        <v>2309</v>
      </c>
      <c r="D142" s="60">
        <v>420</v>
      </c>
      <c r="E142" s="60">
        <v>478</v>
      </c>
      <c r="F142" s="60" t="s">
        <v>2309</v>
      </c>
      <c r="G142" s="60">
        <v>332</v>
      </c>
      <c r="H142" s="60" t="s">
        <v>2309</v>
      </c>
      <c r="I142" s="60" t="s">
        <v>2309</v>
      </c>
      <c r="J142" s="60" t="s">
        <v>2309</v>
      </c>
      <c r="K142" s="60" t="s">
        <v>2309</v>
      </c>
    </row>
    <row r="143" spans="1:11" x14ac:dyDescent="0.35">
      <c r="A143" s="59" t="s">
        <v>2427</v>
      </c>
      <c r="B143" s="60">
        <v>20872</v>
      </c>
      <c r="C143" s="60">
        <v>880</v>
      </c>
      <c r="D143" s="60">
        <v>3514</v>
      </c>
      <c r="E143" s="60">
        <v>4336</v>
      </c>
      <c r="F143" s="60">
        <v>1614</v>
      </c>
      <c r="G143" s="60">
        <v>3914</v>
      </c>
      <c r="H143" s="60">
        <v>1020</v>
      </c>
      <c r="I143" s="60">
        <v>2312</v>
      </c>
      <c r="J143" s="60">
        <v>1378</v>
      </c>
      <c r="K143" s="60">
        <v>1903</v>
      </c>
    </row>
    <row r="144" spans="1:11" x14ac:dyDescent="0.35">
      <c r="A144" s="59" t="s">
        <v>2429</v>
      </c>
      <c r="B144" s="60">
        <v>21286</v>
      </c>
      <c r="C144" s="60">
        <v>744</v>
      </c>
      <c r="D144" s="60">
        <v>3459</v>
      </c>
      <c r="E144" s="60">
        <v>4679</v>
      </c>
      <c r="F144" s="60">
        <v>1679</v>
      </c>
      <c r="G144" s="60">
        <v>3798</v>
      </c>
      <c r="H144" s="60">
        <v>871</v>
      </c>
      <c r="I144" s="60">
        <v>2395</v>
      </c>
      <c r="J144" s="60">
        <v>1701</v>
      </c>
      <c r="K144" s="60">
        <v>1961</v>
      </c>
    </row>
    <row r="145" spans="1:11" x14ac:dyDescent="0.35">
      <c r="A145" s="59" t="s">
        <v>2430</v>
      </c>
      <c r="B145" s="60">
        <v>10980</v>
      </c>
      <c r="C145" s="60">
        <v>646</v>
      </c>
      <c r="D145" s="60">
        <v>2021</v>
      </c>
      <c r="E145" s="60">
        <v>2374</v>
      </c>
      <c r="F145" s="60">
        <v>890</v>
      </c>
      <c r="G145" s="60">
        <v>1810</v>
      </c>
      <c r="H145" s="60">
        <v>399</v>
      </c>
      <c r="I145" s="60">
        <v>916</v>
      </c>
      <c r="J145" s="60">
        <v>973</v>
      </c>
      <c r="K145" s="60">
        <v>953</v>
      </c>
    </row>
    <row r="146" spans="1:11" x14ac:dyDescent="0.35">
      <c r="A146" s="59" t="s">
        <v>2431</v>
      </c>
      <c r="B146" s="60">
        <v>27591</v>
      </c>
      <c r="C146" s="60">
        <v>1276</v>
      </c>
      <c r="D146" s="60">
        <v>4616</v>
      </c>
      <c r="E146" s="60">
        <v>5243</v>
      </c>
      <c r="F146" s="60">
        <v>2009</v>
      </c>
      <c r="G146" s="60">
        <v>5131</v>
      </c>
      <c r="H146" s="60">
        <v>1335</v>
      </c>
      <c r="I146" s="60">
        <v>3150</v>
      </c>
      <c r="J146" s="60">
        <v>2149</v>
      </c>
      <c r="K146" s="60">
        <v>2681</v>
      </c>
    </row>
    <row r="147" spans="1:11" x14ac:dyDescent="0.35">
      <c r="A147" s="59" t="s">
        <v>2432</v>
      </c>
      <c r="B147" s="60">
        <v>29087</v>
      </c>
      <c r="C147" s="60">
        <v>1325</v>
      </c>
      <c r="D147" s="60">
        <v>4625</v>
      </c>
      <c r="E147" s="60">
        <v>5995</v>
      </c>
      <c r="F147" s="60">
        <v>2393</v>
      </c>
      <c r="G147" s="60">
        <v>5173</v>
      </c>
      <c r="H147" s="60">
        <v>1161</v>
      </c>
      <c r="I147" s="60">
        <v>2967</v>
      </c>
      <c r="J147" s="60">
        <v>2311</v>
      </c>
      <c r="K147" s="60">
        <v>3138</v>
      </c>
    </row>
    <row r="148" spans="1:11" x14ac:dyDescent="0.35">
      <c r="A148" s="59" t="s">
        <v>2433</v>
      </c>
      <c r="B148" s="60">
        <v>15772</v>
      </c>
      <c r="C148" s="60">
        <v>897</v>
      </c>
      <c r="D148" s="60">
        <v>2968</v>
      </c>
      <c r="E148" s="60">
        <v>3335</v>
      </c>
      <c r="F148" s="60">
        <v>1160</v>
      </c>
      <c r="G148" s="60">
        <v>2647</v>
      </c>
      <c r="H148" s="60">
        <v>737</v>
      </c>
      <c r="I148" s="60">
        <v>1528</v>
      </c>
      <c r="J148" s="60">
        <v>1152</v>
      </c>
      <c r="K148" s="60">
        <v>1347</v>
      </c>
    </row>
    <row r="149" spans="1:11" x14ac:dyDescent="0.35">
      <c r="A149" s="59" t="s">
        <v>2434</v>
      </c>
      <c r="B149" s="60">
        <v>15500</v>
      </c>
      <c r="C149" s="60">
        <v>839</v>
      </c>
      <c r="D149" s="60">
        <v>2920</v>
      </c>
      <c r="E149" s="60">
        <v>2924</v>
      </c>
      <c r="F149" s="60">
        <v>1231</v>
      </c>
      <c r="G149" s="60">
        <v>2713</v>
      </c>
      <c r="H149" s="60">
        <v>645</v>
      </c>
      <c r="I149" s="60">
        <v>1522</v>
      </c>
      <c r="J149" s="60">
        <v>1198</v>
      </c>
      <c r="K149" s="60">
        <v>1508</v>
      </c>
    </row>
    <row r="150" spans="1:11" x14ac:dyDescent="0.35">
      <c r="A150" s="59" t="s">
        <v>2435</v>
      </c>
      <c r="B150" s="60">
        <v>7963</v>
      </c>
      <c r="C150" s="60">
        <v>391</v>
      </c>
      <c r="D150" s="60">
        <v>1865</v>
      </c>
      <c r="E150" s="60">
        <v>1569</v>
      </c>
      <c r="F150" s="60">
        <v>473</v>
      </c>
      <c r="G150" s="60">
        <v>1270</v>
      </c>
      <c r="H150" s="60">
        <v>375</v>
      </c>
      <c r="I150" s="60">
        <v>760</v>
      </c>
      <c r="J150" s="60">
        <v>790</v>
      </c>
      <c r="K150" s="60">
        <v>468</v>
      </c>
    </row>
    <row r="151" spans="1:11" x14ac:dyDescent="0.35">
      <c r="A151" s="59" t="s">
        <v>2436</v>
      </c>
      <c r="B151" s="60">
        <v>20007</v>
      </c>
      <c r="C151" s="60">
        <v>976</v>
      </c>
      <c r="D151" s="60">
        <v>3422</v>
      </c>
      <c r="E151" s="60">
        <v>4018</v>
      </c>
      <c r="F151" s="60">
        <v>1653</v>
      </c>
      <c r="G151" s="60">
        <v>3499</v>
      </c>
      <c r="H151" s="60">
        <v>803</v>
      </c>
      <c r="I151" s="60">
        <v>2258</v>
      </c>
      <c r="J151" s="60">
        <v>1432</v>
      </c>
      <c r="K151" s="60">
        <v>1947</v>
      </c>
    </row>
    <row r="152" spans="1:11" x14ac:dyDescent="0.35">
      <c r="A152" s="59" t="s">
        <v>2437</v>
      </c>
      <c r="B152" s="60">
        <v>4203</v>
      </c>
      <c r="C152" s="60">
        <v>223</v>
      </c>
      <c r="D152" s="60">
        <v>822</v>
      </c>
      <c r="E152" s="60">
        <v>915</v>
      </c>
      <c r="F152" s="60">
        <v>235</v>
      </c>
      <c r="G152" s="60">
        <v>556</v>
      </c>
      <c r="H152" s="60" t="s">
        <v>2309</v>
      </c>
      <c r="I152" s="60">
        <v>324</v>
      </c>
      <c r="J152" s="60" t="s">
        <v>2309</v>
      </c>
      <c r="K152" s="60">
        <v>466</v>
      </c>
    </row>
    <row r="153" spans="1:11" x14ac:dyDescent="0.35">
      <c r="A153" s="59" t="s">
        <v>2380</v>
      </c>
      <c r="B153" s="60">
        <v>1296</v>
      </c>
      <c r="C153" s="60" t="s">
        <v>2309</v>
      </c>
      <c r="D153" s="60" t="s">
        <v>2309</v>
      </c>
      <c r="E153" s="60" t="s">
        <v>2309</v>
      </c>
      <c r="F153" s="60" t="s">
        <v>2309</v>
      </c>
      <c r="G153" s="60">
        <v>312</v>
      </c>
      <c r="H153" s="60" t="s">
        <v>2309</v>
      </c>
      <c r="I153" s="60">
        <v>160</v>
      </c>
      <c r="J153" s="60" t="s">
        <v>2309</v>
      </c>
      <c r="K153" s="60" t="s">
        <v>2309</v>
      </c>
    </row>
    <row r="154" spans="1:11" x14ac:dyDescent="0.35">
      <c r="A154" s="61" t="s">
        <v>2438</v>
      </c>
      <c r="B154" s="60">
        <v>44013</v>
      </c>
      <c r="C154" s="60">
        <v>1834</v>
      </c>
      <c r="D154" s="60">
        <v>4868</v>
      </c>
      <c r="E154" s="60">
        <v>7310</v>
      </c>
      <c r="F154" s="60">
        <v>4212</v>
      </c>
      <c r="G154" s="60">
        <v>8567</v>
      </c>
      <c r="H154" s="60">
        <v>2680</v>
      </c>
      <c r="I154" s="60">
        <v>5091</v>
      </c>
      <c r="J154" s="60">
        <v>3512</v>
      </c>
      <c r="K154" s="60">
        <v>5940</v>
      </c>
    </row>
    <row r="155" spans="1:11" x14ac:dyDescent="0.35">
      <c r="A155" s="61" t="s">
        <v>2846</v>
      </c>
      <c r="B155" s="60">
        <v>7449</v>
      </c>
      <c r="C155" s="60" t="s">
        <v>2309</v>
      </c>
      <c r="D155" s="60">
        <v>789</v>
      </c>
      <c r="E155" s="60">
        <v>1379</v>
      </c>
      <c r="F155" s="60">
        <v>492</v>
      </c>
      <c r="G155" s="60">
        <v>1050</v>
      </c>
      <c r="H155" s="60" t="s">
        <v>2309</v>
      </c>
      <c r="I155" s="60">
        <v>1156</v>
      </c>
      <c r="J155" s="60">
        <v>859</v>
      </c>
      <c r="K155" s="60">
        <v>1177</v>
      </c>
    </row>
    <row r="156" spans="1:11" ht="32.15" customHeight="1" x14ac:dyDescent="0.35">
      <c r="A156" s="71" t="s">
        <v>2440</v>
      </c>
      <c r="B156" s="65" t="s">
        <v>27</v>
      </c>
      <c r="C156" s="65" t="s">
        <v>27</v>
      </c>
      <c r="D156" s="65" t="s">
        <v>27</v>
      </c>
      <c r="E156" s="65" t="s">
        <v>27</v>
      </c>
      <c r="F156" s="65" t="s">
        <v>27</v>
      </c>
      <c r="G156" s="65" t="s">
        <v>27</v>
      </c>
      <c r="H156" s="65" t="s">
        <v>27</v>
      </c>
      <c r="I156" s="65" t="s">
        <v>27</v>
      </c>
      <c r="J156" s="65" t="s">
        <v>27</v>
      </c>
      <c r="K156" s="65" t="s">
        <v>27</v>
      </c>
    </row>
    <row r="157" spans="1:11" x14ac:dyDescent="0.35">
      <c r="A157" s="61" t="s">
        <v>2441</v>
      </c>
      <c r="B157" s="60">
        <v>95179</v>
      </c>
      <c r="C157" s="60">
        <v>3736</v>
      </c>
      <c r="D157" s="60">
        <v>12144</v>
      </c>
      <c r="E157" s="60">
        <v>17456</v>
      </c>
      <c r="F157" s="60">
        <v>8243</v>
      </c>
      <c r="G157" s="60">
        <v>17770</v>
      </c>
      <c r="H157" s="60">
        <v>5227</v>
      </c>
      <c r="I157" s="60">
        <v>11327</v>
      </c>
      <c r="J157" s="60">
        <v>7492</v>
      </c>
      <c r="K157" s="60">
        <v>11785</v>
      </c>
    </row>
    <row r="158" spans="1:11" x14ac:dyDescent="0.35">
      <c r="A158" s="61" t="s">
        <v>2442</v>
      </c>
      <c r="B158" s="60">
        <v>67994</v>
      </c>
      <c r="C158" s="60">
        <v>1861</v>
      </c>
      <c r="D158" s="60">
        <v>9541</v>
      </c>
      <c r="E158" s="60">
        <v>14552</v>
      </c>
      <c r="F158" s="60">
        <v>6048</v>
      </c>
      <c r="G158" s="60">
        <v>10274</v>
      </c>
      <c r="H158" s="60">
        <v>4077</v>
      </c>
      <c r="I158" s="60">
        <v>7452</v>
      </c>
      <c r="J158" s="60">
        <v>6046</v>
      </c>
      <c r="K158" s="60">
        <v>8142</v>
      </c>
    </row>
    <row r="159" spans="1:11" x14ac:dyDescent="0.35">
      <c r="A159" s="61" t="s">
        <v>2443</v>
      </c>
      <c r="B159" s="60">
        <v>21198</v>
      </c>
      <c r="C159" s="60">
        <v>1639</v>
      </c>
      <c r="D159" s="60">
        <v>4269</v>
      </c>
      <c r="E159" s="60">
        <v>2962</v>
      </c>
      <c r="F159" s="60">
        <v>1661</v>
      </c>
      <c r="G159" s="60">
        <v>4355</v>
      </c>
      <c r="H159" s="60">
        <v>803</v>
      </c>
      <c r="I159" s="60">
        <v>1632</v>
      </c>
      <c r="J159" s="60">
        <v>1894</v>
      </c>
      <c r="K159" s="60">
        <v>1983</v>
      </c>
    </row>
    <row r="160" spans="1:11" x14ac:dyDescent="0.35">
      <c r="A160" s="61" t="s">
        <v>2444</v>
      </c>
      <c r="B160" s="60">
        <v>6750</v>
      </c>
      <c r="C160" s="60">
        <v>394</v>
      </c>
      <c r="D160" s="60">
        <v>1430</v>
      </c>
      <c r="E160" s="60">
        <v>1209</v>
      </c>
      <c r="F160" s="60">
        <v>303</v>
      </c>
      <c r="G160" s="60">
        <v>1234</v>
      </c>
      <c r="H160" s="60">
        <v>294</v>
      </c>
      <c r="I160" s="60" t="s">
        <v>2309</v>
      </c>
      <c r="J160" s="60">
        <v>401</v>
      </c>
      <c r="K160" s="60">
        <v>883</v>
      </c>
    </row>
    <row r="161" spans="1:11" x14ac:dyDescent="0.35">
      <c r="A161" s="61" t="s">
        <v>2445</v>
      </c>
      <c r="B161" s="60">
        <v>4288</v>
      </c>
      <c r="C161" s="60" t="s">
        <v>2309</v>
      </c>
      <c r="D161" s="60">
        <v>365</v>
      </c>
      <c r="E161" s="60">
        <v>656</v>
      </c>
      <c r="F161" s="60" t="s">
        <v>2309</v>
      </c>
      <c r="G161" s="60">
        <v>1027</v>
      </c>
      <c r="H161" s="60" t="s">
        <v>2309</v>
      </c>
      <c r="I161" s="60">
        <v>721</v>
      </c>
      <c r="J161" s="60">
        <v>267</v>
      </c>
      <c r="K161" s="60">
        <v>696</v>
      </c>
    </row>
    <row r="162" spans="1:11" x14ac:dyDescent="0.35">
      <c r="A162" s="61" t="s">
        <v>2446</v>
      </c>
      <c r="B162" s="60">
        <v>10157</v>
      </c>
      <c r="C162" s="60">
        <v>1154</v>
      </c>
      <c r="D162" s="60">
        <v>1316</v>
      </c>
      <c r="E162" s="60">
        <v>1293</v>
      </c>
      <c r="F162" s="60">
        <v>1088</v>
      </c>
      <c r="G162" s="60">
        <v>2260</v>
      </c>
      <c r="H162" s="60">
        <v>376</v>
      </c>
      <c r="I162" s="60">
        <v>722</v>
      </c>
      <c r="J162" s="60">
        <v>700</v>
      </c>
      <c r="K162" s="60">
        <v>1248</v>
      </c>
    </row>
    <row r="163" spans="1:11" x14ac:dyDescent="0.35">
      <c r="A163" s="61" t="s">
        <v>2845</v>
      </c>
      <c r="B163" s="60">
        <v>3814</v>
      </c>
      <c r="C163" s="60">
        <v>268</v>
      </c>
      <c r="D163" s="60">
        <v>941</v>
      </c>
      <c r="E163" s="60">
        <v>425</v>
      </c>
      <c r="F163" s="60" t="s">
        <v>2309</v>
      </c>
      <c r="G163" s="60">
        <v>378</v>
      </c>
      <c r="H163" s="60" t="s">
        <v>2309</v>
      </c>
      <c r="I163" s="60" t="s">
        <v>2309</v>
      </c>
      <c r="J163" s="60">
        <v>396</v>
      </c>
      <c r="K163" s="60">
        <v>1028</v>
      </c>
    </row>
    <row r="164" spans="1:11" x14ac:dyDescent="0.35">
      <c r="A164" s="61" t="s">
        <v>2844</v>
      </c>
      <c r="B164" s="60">
        <v>2113</v>
      </c>
      <c r="C164" s="60" t="s">
        <v>2309</v>
      </c>
      <c r="D164" s="60" t="s">
        <v>2309</v>
      </c>
      <c r="E164" s="60">
        <v>412</v>
      </c>
      <c r="F164" s="60" t="s">
        <v>2309</v>
      </c>
      <c r="G164" s="60">
        <v>404</v>
      </c>
      <c r="H164" s="60" t="s">
        <v>2309</v>
      </c>
      <c r="I164" s="60" t="s">
        <v>2309</v>
      </c>
      <c r="J164" s="60" t="s">
        <v>2309</v>
      </c>
      <c r="K164" s="60" t="s">
        <v>2309</v>
      </c>
    </row>
    <row r="165" spans="1:11" ht="32.15" customHeight="1" x14ac:dyDescent="0.35">
      <c r="A165" s="68" t="s">
        <v>2447</v>
      </c>
      <c r="B165" s="67" t="s">
        <v>27</v>
      </c>
      <c r="C165" s="67" t="s">
        <v>27</v>
      </c>
      <c r="D165" s="67" t="s">
        <v>27</v>
      </c>
      <c r="E165" s="67" t="s">
        <v>27</v>
      </c>
      <c r="F165" s="67" t="s">
        <v>27</v>
      </c>
      <c r="G165" s="67" t="s">
        <v>27</v>
      </c>
      <c r="H165" s="67" t="s">
        <v>27</v>
      </c>
      <c r="I165" s="67" t="s">
        <v>27</v>
      </c>
      <c r="J165" s="67" t="s">
        <v>27</v>
      </c>
      <c r="K165" s="67" t="s">
        <v>27</v>
      </c>
    </row>
    <row r="166" spans="1:11" x14ac:dyDescent="0.35">
      <c r="A166" s="61" t="s">
        <v>2441</v>
      </c>
      <c r="B166" s="60">
        <v>45645</v>
      </c>
      <c r="C166" s="60">
        <v>1263</v>
      </c>
      <c r="D166" s="60">
        <v>5110</v>
      </c>
      <c r="E166" s="60">
        <v>6136</v>
      </c>
      <c r="F166" s="60">
        <v>3496</v>
      </c>
      <c r="G166" s="60">
        <v>10654</v>
      </c>
      <c r="H166" s="60">
        <v>2807</v>
      </c>
      <c r="I166" s="60">
        <v>6502</v>
      </c>
      <c r="J166" s="60">
        <v>3858</v>
      </c>
      <c r="K166" s="60">
        <v>5820</v>
      </c>
    </row>
    <row r="167" spans="1:11" x14ac:dyDescent="0.35">
      <c r="A167" s="61" t="s">
        <v>2442</v>
      </c>
      <c r="B167" s="60">
        <v>58306</v>
      </c>
      <c r="C167" s="60">
        <v>1654</v>
      </c>
      <c r="D167" s="60">
        <v>8417</v>
      </c>
      <c r="E167" s="60">
        <v>13439</v>
      </c>
      <c r="F167" s="60">
        <v>5572</v>
      </c>
      <c r="G167" s="60">
        <v>7878</v>
      </c>
      <c r="H167" s="60">
        <v>3587</v>
      </c>
      <c r="I167" s="60">
        <v>5914</v>
      </c>
      <c r="J167" s="60">
        <v>5324</v>
      </c>
      <c r="K167" s="60">
        <v>6521</v>
      </c>
    </row>
    <row r="168" spans="1:11" x14ac:dyDescent="0.35">
      <c r="A168" s="61" t="s">
        <v>2443</v>
      </c>
      <c r="B168" s="60">
        <v>4126</v>
      </c>
      <c r="C168" s="60">
        <v>763</v>
      </c>
      <c r="D168" s="60">
        <v>1745</v>
      </c>
      <c r="E168" s="60">
        <v>395</v>
      </c>
      <c r="F168" s="60">
        <v>315</v>
      </c>
      <c r="G168" s="60">
        <v>544</v>
      </c>
      <c r="H168" s="60" t="s">
        <v>2309</v>
      </c>
      <c r="I168" s="60" t="s">
        <v>2309</v>
      </c>
      <c r="J168" s="60" t="s">
        <v>2309</v>
      </c>
      <c r="K168" s="60" t="s">
        <v>2309</v>
      </c>
    </row>
    <row r="169" spans="1:11" x14ac:dyDescent="0.35">
      <c r="A169" s="61" t="s">
        <v>2444</v>
      </c>
      <c r="B169" s="65">
        <v>6552</v>
      </c>
      <c r="C169" s="65">
        <v>394</v>
      </c>
      <c r="D169" s="65">
        <v>1385</v>
      </c>
      <c r="E169" s="65">
        <v>1133</v>
      </c>
      <c r="F169" s="65">
        <v>300</v>
      </c>
      <c r="G169" s="65">
        <v>1231</v>
      </c>
      <c r="H169" s="65">
        <v>294</v>
      </c>
      <c r="I169" s="65" t="s">
        <v>2309</v>
      </c>
      <c r="J169" s="65">
        <v>373</v>
      </c>
      <c r="K169" s="65">
        <v>874</v>
      </c>
    </row>
    <row r="170" spans="1:11" x14ac:dyDescent="0.35">
      <c r="A170" s="61" t="s">
        <v>2446</v>
      </c>
      <c r="B170" s="60">
        <v>3896</v>
      </c>
      <c r="C170" s="60">
        <v>633</v>
      </c>
      <c r="D170" s="60" t="s">
        <v>2309</v>
      </c>
      <c r="E170" s="60">
        <v>478</v>
      </c>
      <c r="F170" s="60">
        <v>632</v>
      </c>
      <c r="G170" s="60">
        <v>887</v>
      </c>
      <c r="H170" s="60" t="s">
        <v>2309</v>
      </c>
      <c r="I170" s="60">
        <v>274</v>
      </c>
      <c r="J170" s="60" t="s">
        <v>2309</v>
      </c>
      <c r="K170" s="60">
        <v>247</v>
      </c>
    </row>
    <row r="171" spans="1:11" ht="15" x14ac:dyDescent="0.35">
      <c r="A171" s="61" t="s">
        <v>2843</v>
      </c>
      <c r="B171" s="60">
        <v>927</v>
      </c>
      <c r="C171" s="60" t="s">
        <v>2309</v>
      </c>
      <c r="D171" s="60" t="s">
        <v>2309</v>
      </c>
      <c r="E171" s="60" t="s">
        <v>2309</v>
      </c>
      <c r="F171" s="60" t="s">
        <v>2309</v>
      </c>
      <c r="G171" s="60" t="s">
        <v>2309</v>
      </c>
      <c r="H171" s="60" t="s">
        <v>2309</v>
      </c>
      <c r="I171" s="60" t="s">
        <v>2309</v>
      </c>
      <c r="J171" s="60" t="s">
        <v>2309</v>
      </c>
      <c r="K171" s="60" t="s">
        <v>2309</v>
      </c>
    </row>
    <row r="172" spans="1:11" ht="32.5" customHeight="1" x14ac:dyDescent="0.35">
      <c r="A172" s="68" t="s">
        <v>2448</v>
      </c>
      <c r="B172" s="67" t="s">
        <v>27</v>
      </c>
      <c r="C172" s="67" t="s">
        <v>27</v>
      </c>
      <c r="D172" s="67" t="s">
        <v>27</v>
      </c>
      <c r="E172" s="67" t="s">
        <v>27</v>
      </c>
      <c r="F172" s="67" t="s">
        <v>27</v>
      </c>
      <c r="G172" s="67" t="s">
        <v>27</v>
      </c>
      <c r="H172" s="67" t="s">
        <v>27</v>
      </c>
      <c r="I172" s="67" t="s">
        <v>27</v>
      </c>
      <c r="J172" s="67" t="s">
        <v>27</v>
      </c>
      <c r="K172" s="67" t="s">
        <v>27</v>
      </c>
    </row>
    <row r="173" spans="1:11" x14ac:dyDescent="0.35">
      <c r="A173" s="61" t="s">
        <v>2441</v>
      </c>
      <c r="B173" s="74">
        <v>27654</v>
      </c>
      <c r="C173" s="74">
        <v>633</v>
      </c>
      <c r="D173" s="74">
        <v>2015</v>
      </c>
      <c r="E173" s="74">
        <v>2750</v>
      </c>
      <c r="F173" s="74">
        <v>1923</v>
      </c>
      <c r="G173" s="74">
        <v>7954</v>
      </c>
      <c r="H173" s="74">
        <v>1586</v>
      </c>
      <c r="I173" s="74">
        <v>4744</v>
      </c>
      <c r="J173" s="74">
        <v>2198</v>
      </c>
      <c r="K173" s="74">
        <v>3852</v>
      </c>
    </row>
    <row r="174" spans="1:11" x14ac:dyDescent="0.35">
      <c r="A174" s="61" t="s">
        <v>2442</v>
      </c>
      <c r="B174" s="60">
        <v>50368</v>
      </c>
      <c r="C174" s="60">
        <v>1430</v>
      </c>
      <c r="D174" s="60">
        <v>7556</v>
      </c>
      <c r="E174" s="60">
        <v>12152</v>
      </c>
      <c r="F174" s="60">
        <v>5139</v>
      </c>
      <c r="G174" s="60">
        <v>6007</v>
      </c>
      <c r="H174" s="60">
        <v>3105</v>
      </c>
      <c r="I174" s="60">
        <v>4970</v>
      </c>
      <c r="J174" s="60">
        <v>4605</v>
      </c>
      <c r="K174" s="60">
        <v>5404</v>
      </c>
    </row>
    <row r="175" spans="1:11" x14ac:dyDescent="0.35">
      <c r="A175" s="61" t="s">
        <v>2443</v>
      </c>
      <c r="B175" s="60">
        <v>2216</v>
      </c>
      <c r="C175" s="60">
        <v>642</v>
      </c>
      <c r="D175" s="60">
        <v>983</v>
      </c>
      <c r="E175" s="60" t="s">
        <v>2309</v>
      </c>
      <c r="F175" s="60" t="s">
        <v>2399</v>
      </c>
      <c r="G175" s="60">
        <v>261</v>
      </c>
      <c r="H175" s="60" t="s">
        <v>2309</v>
      </c>
      <c r="I175" s="60" t="s">
        <v>2309</v>
      </c>
      <c r="J175" s="60" t="s">
        <v>2309</v>
      </c>
      <c r="K175" s="60" t="s">
        <v>2309</v>
      </c>
    </row>
    <row r="176" spans="1:11" x14ac:dyDescent="0.35">
      <c r="A176" s="61" t="s">
        <v>2444</v>
      </c>
      <c r="B176" s="60">
        <v>6095</v>
      </c>
      <c r="C176" s="60">
        <v>388</v>
      </c>
      <c r="D176" s="60">
        <v>1307</v>
      </c>
      <c r="E176" s="60">
        <v>1113</v>
      </c>
      <c r="F176" s="60">
        <v>255</v>
      </c>
      <c r="G176" s="60">
        <v>1131</v>
      </c>
      <c r="H176" s="60">
        <v>216</v>
      </c>
      <c r="I176" s="60" t="s">
        <v>2309</v>
      </c>
      <c r="J176" s="60">
        <v>362</v>
      </c>
      <c r="K176" s="60">
        <v>797</v>
      </c>
    </row>
    <row r="177" spans="1:11" x14ac:dyDescent="0.35">
      <c r="A177" s="61" t="s">
        <v>2446</v>
      </c>
      <c r="B177" s="64">
        <v>2290</v>
      </c>
      <c r="C177" s="64">
        <v>453</v>
      </c>
      <c r="D177" s="64" t="s">
        <v>2309</v>
      </c>
      <c r="E177" s="64">
        <v>380</v>
      </c>
      <c r="F177" s="64">
        <v>417</v>
      </c>
      <c r="G177" s="64" t="s">
        <v>2309</v>
      </c>
      <c r="H177" s="64" t="s">
        <v>2309</v>
      </c>
      <c r="I177" s="64" t="s">
        <v>2309</v>
      </c>
      <c r="J177" s="64" t="s">
        <v>2309</v>
      </c>
      <c r="K177" s="64" t="s">
        <v>2309</v>
      </c>
    </row>
    <row r="178" spans="1:11" ht="15" x14ac:dyDescent="0.35">
      <c r="A178" s="61" t="s">
        <v>2843</v>
      </c>
      <c r="B178" s="60">
        <v>380</v>
      </c>
      <c r="C178" s="60" t="s">
        <v>2309</v>
      </c>
      <c r="D178" s="60" t="s">
        <v>2309</v>
      </c>
      <c r="E178" s="60" t="s">
        <v>2309</v>
      </c>
      <c r="F178" s="60" t="s">
        <v>2309</v>
      </c>
      <c r="G178" s="60" t="s">
        <v>2309</v>
      </c>
      <c r="H178" s="60" t="s">
        <v>2399</v>
      </c>
      <c r="I178" s="60" t="s">
        <v>2309</v>
      </c>
      <c r="J178" s="60" t="s">
        <v>2309</v>
      </c>
      <c r="K178" s="60" t="s">
        <v>2309</v>
      </c>
    </row>
    <row r="179" spans="1:11" ht="33.65" customHeight="1" x14ac:dyDescent="0.35">
      <c r="A179" s="66" t="s">
        <v>2449</v>
      </c>
      <c r="B179" s="62" t="s">
        <v>27</v>
      </c>
      <c r="C179" s="62" t="s">
        <v>27</v>
      </c>
      <c r="D179" s="62" t="s">
        <v>27</v>
      </c>
      <c r="E179" s="62" t="s">
        <v>27</v>
      </c>
      <c r="F179" s="62" t="s">
        <v>27</v>
      </c>
      <c r="G179" s="62" t="s">
        <v>27</v>
      </c>
      <c r="H179" s="62" t="s">
        <v>27</v>
      </c>
      <c r="I179" s="62" t="s">
        <v>27</v>
      </c>
      <c r="J179" s="62" t="s">
        <v>27</v>
      </c>
      <c r="K179" s="62" t="s">
        <v>27</v>
      </c>
    </row>
    <row r="180" spans="1:11" x14ac:dyDescent="0.35">
      <c r="A180" s="61" t="s">
        <v>2441</v>
      </c>
      <c r="B180" s="60">
        <v>84861</v>
      </c>
      <c r="C180" s="60">
        <v>3051</v>
      </c>
      <c r="D180" s="60">
        <v>11072</v>
      </c>
      <c r="E180" s="60">
        <v>15146</v>
      </c>
      <c r="F180" s="60">
        <v>7225</v>
      </c>
      <c r="G180" s="60">
        <v>16512</v>
      </c>
      <c r="H180" s="60">
        <v>4940</v>
      </c>
      <c r="I180" s="60">
        <v>10424</v>
      </c>
      <c r="J180" s="60">
        <v>6870</v>
      </c>
      <c r="K180" s="60">
        <v>9620</v>
      </c>
    </row>
    <row r="181" spans="1:11" x14ac:dyDescent="0.35">
      <c r="A181" s="61" t="s">
        <v>2442</v>
      </c>
      <c r="B181" s="64">
        <v>400</v>
      </c>
      <c r="C181" s="64" t="s">
        <v>2309</v>
      </c>
      <c r="D181" s="64" t="s">
        <v>2309</v>
      </c>
      <c r="E181" s="64" t="s">
        <v>2309</v>
      </c>
      <c r="F181" s="64" t="s">
        <v>2309</v>
      </c>
      <c r="G181" s="64" t="s">
        <v>2309</v>
      </c>
      <c r="H181" s="64" t="s">
        <v>2309</v>
      </c>
      <c r="I181" s="64" t="s">
        <v>2399</v>
      </c>
      <c r="J181" s="64" t="s">
        <v>2309</v>
      </c>
      <c r="K181" s="64" t="s">
        <v>2309</v>
      </c>
    </row>
    <row r="182" spans="1:11" x14ac:dyDescent="0.35">
      <c r="A182" s="61" t="s">
        <v>2445</v>
      </c>
      <c r="B182" s="60">
        <v>4288</v>
      </c>
      <c r="C182" s="60" t="s">
        <v>2309</v>
      </c>
      <c r="D182" s="60">
        <v>365</v>
      </c>
      <c r="E182" s="60">
        <v>656</v>
      </c>
      <c r="F182" s="60" t="s">
        <v>2309</v>
      </c>
      <c r="G182" s="60">
        <v>1027</v>
      </c>
      <c r="H182" s="60" t="s">
        <v>2309</v>
      </c>
      <c r="I182" s="60">
        <v>721</v>
      </c>
      <c r="J182" s="60">
        <v>267</v>
      </c>
      <c r="K182" s="60">
        <v>696</v>
      </c>
    </row>
    <row r="183" spans="1:11" ht="32.5" customHeight="1" x14ac:dyDescent="0.35">
      <c r="A183" s="66" t="s">
        <v>2450</v>
      </c>
      <c r="B183" s="62" t="s">
        <v>27</v>
      </c>
      <c r="C183" s="62" t="s">
        <v>27</v>
      </c>
      <c r="D183" s="62" t="s">
        <v>27</v>
      </c>
      <c r="E183" s="62" t="s">
        <v>27</v>
      </c>
      <c r="F183" s="62" t="s">
        <v>27</v>
      </c>
      <c r="G183" s="62" t="s">
        <v>27</v>
      </c>
      <c r="H183" s="62" t="s">
        <v>27</v>
      </c>
      <c r="I183" s="62" t="s">
        <v>27</v>
      </c>
      <c r="J183" s="62" t="s">
        <v>27</v>
      </c>
      <c r="K183" s="62" t="s">
        <v>27</v>
      </c>
    </row>
    <row r="184" spans="1:11" x14ac:dyDescent="0.35">
      <c r="A184" s="61" t="s">
        <v>2441</v>
      </c>
      <c r="B184" s="75">
        <v>47354</v>
      </c>
      <c r="C184" s="75">
        <v>1808</v>
      </c>
      <c r="D184" s="75">
        <v>5945</v>
      </c>
      <c r="E184" s="75">
        <v>7041</v>
      </c>
      <c r="F184" s="75">
        <v>3940</v>
      </c>
      <c r="G184" s="75">
        <v>10882</v>
      </c>
      <c r="H184" s="75">
        <v>2815</v>
      </c>
      <c r="I184" s="75">
        <v>6180</v>
      </c>
      <c r="J184" s="75">
        <v>3155</v>
      </c>
      <c r="K184" s="75">
        <v>5587</v>
      </c>
    </row>
    <row r="185" spans="1:11" x14ac:dyDescent="0.35">
      <c r="A185" s="61" t="s">
        <v>2442</v>
      </c>
      <c r="B185" s="74">
        <v>46783</v>
      </c>
      <c r="C185" s="74">
        <v>1124</v>
      </c>
      <c r="D185" s="74">
        <v>5841</v>
      </c>
      <c r="E185" s="74">
        <v>10175</v>
      </c>
      <c r="F185" s="74">
        <v>4055</v>
      </c>
      <c r="G185" s="74">
        <v>6816</v>
      </c>
      <c r="H185" s="74">
        <v>2520</v>
      </c>
      <c r="I185" s="74">
        <v>5425</v>
      </c>
      <c r="J185" s="74">
        <v>4583</v>
      </c>
      <c r="K185" s="74">
        <v>6244</v>
      </c>
    </row>
    <row r="186" spans="1:11" x14ac:dyDescent="0.35">
      <c r="A186" s="61" t="s">
        <v>2443</v>
      </c>
      <c r="B186" s="60">
        <v>1807</v>
      </c>
      <c r="C186" s="60">
        <v>498</v>
      </c>
      <c r="D186" s="60">
        <v>657</v>
      </c>
      <c r="E186" s="60" t="s">
        <v>2309</v>
      </c>
      <c r="F186" s="60" t="s">
        <v>2309</v>
      </c>
      <c r="G186" s="60" t="s">
        <v>2309</v>
      </c>
      <c r="H186" s="60" t="s">
        <v>2309</v>
      </c>
      <c r="I186" s="60" t="s">
        <v>2309</v>
      </c>
      <c r="J186" s="60" t="s">
        <v>2309</v>
      </c>
      <c r="K186" s="60" t="s">
        <v>2309</v>
      </c>
    </row>
    <row r="187" spans="1:11" x14ac:dyDescent="0.35">
      <c r="A187" s="61" t="s">
        <v>2444</v>
      </c>
      <c r="B187" s="60">
        <v>4206</v>
      </c>
      <c r="C187" s="60">
        <v>203</v>
      </c>
      <c r="D187" s="60">
        <v>1177</v>
      </c>
      <c r="E187" s="60">
        <v>817</v>
      </c>
      <c r="F187" s="60" t="s">
        <v>2309</v>
      </c>
      <c r="G187" s="60">
        <v>668</v>
      </c>
      <c r="H187" s="60" t="s">
        <v>2309</v>
      </c>
      <c r="I187" s="60" t="s">
        <v>2309</v>
      </c>
      <c r="J187" s="60">
        <v>169</v>
      </c>
      <c r="K187" s="60">
        <v>531</v>
      </c>
    </row>
    <row r="188" spans="1:11" x14ac:dyDescent="0.35">
      <c r="A188" s="61" t="s">
        <v>2446</v>
      </c>
      <c r="B188" s="60">
        <v>1947</v>
      </c>
      <c r="C188" s="60">
        <v>444</v>
      </c>
      <c r="D188" s="60" t="s">
        <v>2309</v>
      </c>
      <c r="E188" s="60" t="s">
        <v>2309</v>
      </c>
      <c r="F188" s="60" t="s">
        <v>2309</v>
      </c>
      <c r="G188" s="60">
        <v>608</v>
      </c>
      <c r="H188" s="60" t="s">
        <v>2309</v>
      </c>
      <c r="I188" s="60" t="s">
        <v>2309</v>
      </c>
      <c r="J188" s="60" t="s">
        <v>2309</v>
      </c>
      <c r="K188" s="60" t="s">
        <v>2309</v>
      </c>
    </row>
    <row r="189" spans="1:11" ht="33.65" customHeight="1" x14ac:dyDescent="0.35">
      <c r="A189" s="66" t="s">
        <v>2451</v>
      </c>
      <c r="B189" s="62" t="s">
        <v>27</v>
      </c>
      <c r="C189" s="62" t="s">
        <v>27</v>
      </c>
      <c r="D189" s="62" t="s">
        <v>27</v>
      </c>
      <c r="E189" s="62" t="s">
        <v>27</v>
      </c>
      <c r="F189" s="62" t="s">
        <v>27</v>
      </c>
      <c r="G189" s="62" t="s">
        <v>27</v>
      </c>
      <c r="H189" s="62" t="s">
        <v>27</v>
      </c>
      <c r="I189" s="62" t="s">
        <v>27</v>
      </c>
      <c r="J189" s="62" t="s">
        <v>27</v>
      </c>
      <c r="K189" s="62" t="s">
        <v>27</v>
      </c>
    </row>
    <row r="190" spans="1:11" x14ac:dyDescent="0.35">
      <c r="A190" s="61" t="s">
        <v>2441</v>
      </c>
      <c r="B190" s="60">
        <v>30592</v>
      </c>
      <c r="C190" s="60">
        <v>1437</v>
      </c>
      <c r="D190" s="60">
        <v>3753</v>
      </c>
      <c r="E190" s="60">
        <v>6408</v>
      </c>
      <c r="F190" s="60">
        <v>2798</v>
      </c>
      <c r="G190" s="60">
        <v>5472</v>
      </c>
      <c r="H190" s="60">
        <v>1462</v>
      </c>
      <c r="I190" s="60">
        <v>3664</v>
      </c>
      <c r="J190" s="60">
        <v>2787</v>
      </c>
      <c r="K190" s="60">
        <v>2812</v>
      </c>
    </row>
    <row r="191" spans="1:11" x14ac:dyDescent="0.35">
      <c r="A191" s="61" t="s">
        <v>2442</v>
      </c>
      <c r="B191" s="60">
        <v>27656</v>
      </c>
      <c r="C191" s="60">
        <v>818</v>
      </c>
      <c r="D191" s="60">
        <v>4389</v>
      </c>
      <c r="E191" s="60">
        <v>5337</v>
      </c>
      <c r="F191" s="60">
        <v>2331</v>
      </c>
      <c r="G191" s="60">
        <v>4731</v>
      </c>
      <c r="H191" s="60">
        <v>1339</v>
      </c>
      <c r="I191" s="60">
        <v>3094</v>
      </c>
      <c r="J191" s="60">
        <v>2544</v>
      </c>
      <c r="K191" s="60">
        <v>3072</v>
      </c>
    </row>
    <row r="192" spans="1:11" x14ac:dyDescent="0.35">
      <c r="A192" s="61" t="s">
        <v>2446</v>
      </c>
      <c r="B192" s="65">
        <v>3101</v>
      </c>
      <c r="C192" s="65">
        <v>503</v>
      </c>
      <c r="D192" s="65" t="s">
        <v>2309</v>
      </c>
      <c r="E192" s="65" t="s">
        <v>2309</v>
      </c>
      <c r="F192" s="65" t="s">
        <v>2309</v>
      </c>
      <c r="G192" s="65">
        <v>963</v>
      </c>
      <c r="H192" s="65" t="s">
        <v>2309</v>
      </c>
      <c r="I192" s="65" t="s">
        <v>2309</v>
      </c>
      <c r="J192" s="65" t="s">
        <v>2309</v>
      </c>
      <c r="K192" s="65">
        <v>453</v>
      </c>
    </row>
    <row r="193" spans="1:11" ht="34" customHeight="1" x14ac:dyDescent="0.35">
      <c r="A193" s="66" t="s">
        <v>2452</v>
      </c>
      <c r="B193" s="62" t="s">
        <v>27</v>
      </c>
      <c r="C193" s="62" t="s">
        <v>27</v>
      </c>
      <c r="D193" s="62" t="s">
        <v>27</v>
      </c>
      <c r="E193" s="62" t="s">
        <v>27</v>
      </c>
      <c r="F193" s="62" t="s">
        <v>27</v>
      </c>
      <c r="G193" s="62" t="s">
        <v>27</v>
      </c>
      <c r="H193" s="62" t="s">
        <v>27</v>
      </c>
      <c r="I193" s="62" t="s">
        <v>27</v>
      </c>
      <c r="J193" s="62" t="s">
        <v>27</v>
      </c>
      <c r="K193" s="62" t="s">
        <v>27</v>
      </c>
    </row>
    <row r="194" spans="1:11" x14ac:dyDescent="0.35">
      <c r="A194" s="61" t="s">
        <v>2453</v>
      </c>
      <c r="B194" s="60">
        <v>89003</v>
      </c>
      <c r="C194" s="60">
        <v>3603</v>
      </c>
      <c r="D194" s="60">
        <v>11946</v>
      </c>
      <c r="E194" s="60">
        <v>16531</v>
      </c>
      <c r="F194" s="60">
        <v>7775</v>
      </c>
      <c r="G194" s="60">
        <v>15991</v>
      </c>
      <c r="H194" s="60">
        <v>5031</v>
      </c>
      <c r="I194" s="60">
        <v>10476</v>
      </c>
      <c r="J194" s="60">
        <v>7287</v>
      </c>
      <c r="K194" s="60">
        <v>10363</v>
      </c>
    </row>
    <row r="195" spans="1:11" x14ac:dyDescent="0.35">
      <c r="A195" s="61" t="s">
        <v>2454</v>
      </c>
      <c r="B195" s="60">
        <v>87841</v>
      </c>
      <c r="C195" s="60">
        <v>3161</v>
      </c>
      <c r="D195" s="60">
        <v>11465</v>
      </c>
      <c r="E195" s="60">
        <v>15529</v>
      </c>
      <c r="F195" s="60">
        <v>7259</v>
      </c>
      <c r="G195" s="60">
        <v>17171</v>
      </c>
      <c r="H195" s="60">
        <v>5073</v>
      </c>
      <c r="I195" s="60">
        <v>10980</v>
      </c>
      <c r="J195" s="60">
        <v>6992</v>
      </c>
      <c r="K195" s="60">
        <v>10210</v>
      </c>
    </row>
    <row r="196" spans="1:11" x14ac:dyDescent="0.35">
      <c r="A196" s="61" t="s">
        <v>2455</v>
      </c>
      <c r="B196" s="60">
        <v>88076</v>
      </c>
      <c r="C196" s="60">
        <v>3474</v>
      </c>
      <c r="D196" s="60">
        <v>11603</v>
      </c>
      <c r="E196" s="60">
        <v>16363</v>
      </c>
      <c r="F196" s="60">
        <v>7483</v>
      </c>
      <c r="G196" s="60">
        <v>16592</v>
      </c>
      <c r="H196" s="60">
        <v>4695</v>
      </c>
      <c r="I196" s="60">
        <v>10464</v>
      </c>
      <c r="J196" s="60">
        <v>6823</v>
      </c>
      <c r="K196" s="60">
        <v>10580</v>
      </c>
    </row>
    <row r="197" spans="1:11" x14ac:dyDescent="0.35">
      <c r="A197" s="61" t="s">
        <v>2456</v>
      </c>
      <c r="B197" s="64">
        <v>43633</v>
      </c>
      <c r="C197" s="64">
        <v>2050</v>
      </c>
      <c r="D197" s="64">
        <v>6013</v>
      </c>
      <c r="E197" s="64">
        <v>8326</v>
      </c>
      <c r="F197" s="64">
        <v>3964</v>
      </c>
      <c r="G197" s="64">
        <v>7981</v>
      </c>
      <c r="H197" s="64">
        <v>2071</v>
      </c>
      <c r="I197" s="64">
        <v>5092</v>
      </c>
      <c r="J197" s="64">
        <v>3620</v>
      </c>
      <c r="K197" s="64">
        <v>4517</v>
      </c>
    </row>
    <row r="198" spans="1:11" x14ac:dyDescent="0.35">
      <c r="A198" s="61" t="s">
        <v>2457</v>
      </c>
      <c r="B198" s="60">
        <v>6871</v>
      </c>
      <c r="C198" s="60" t="s">
        <v>2309</v>
      </c>
      <c r="D198" s="60">
        <v>789</v>
      </c>
      <c r="E198" s="60">
        <v>1489</v>
      </c>
      <c r="F198" s="60">
        <v>813</v>
      </c>
      <c r="G198" s="60">
        <v>1006</v>
      </c>
      <c r="H198" s="60">
        <v>307</v>
      </c>
      <c r="I198" s="60">
        <v>754</v>
      </c>
      <c r="J198" s="60">
        <v>599</v>
      </c>
      <c r="K198" s="60">
        <v>923</v>
      </c>
    </row>
    <row r="199" spans="1:11" x14ac:dyDescent="0.35">
      <c r="A199" s="61" t="s">
        <v>2842</v>
      </c>
      <c r="B199" s="60">
        <v>29439</v>
      </c>
      <c r="C199" s="60">
        <v>1692</v>
      </c>
      <c r="D199" s="60">
        <v>5086</v>
      </c>
      <c r="E199" s="60">
        <v>5281</v>
      </c>
      <c r="F199" s="60">
        <v>1950</v>
      </c>
      <c r="G199" s="60">
        <v>5854</v>
      </c>
      <c r="H199" s="60">
        <v>1153</v>
      </c>
      <c r="I199" s="60">
        <v>2709</v>
      </c>
      <c r="J199" s="60">
        <v>2542</v>
      </c>
      <c r="K199" s="60">
        <v>3173</v>
      </c>
    </row>
    <row r="200" spans="1:11" ht="24" customHeight="1" x14ac:dyDescent="0.35">
      <c r="A200" s="66" t="s">
        <v>2841</v>
      </c>
      <c r="B200" s="62" t="s">
        <v>27</v>
      </c>
      <c r="C200" s="62" t="s">
        <v>27</v>
      </c>
      <c r="D200" s="62" t="s">
        <v>27</v>
      </c>
      <c r="E200" s="62" t="s">
        <v>27</v>
      </c>
      <c r="F200" s="62" t="s">
        <v>27</v>
      </c>
      <c r="G200" s="62" t="s">
        <v>27</v>
      </c>
      <c r="H200" s="62" t="s">
        <v>27</v>
      </c>
      <c r="I200" s="62" t="s">
        <v>27</v>
      </c>
      <c r="J200" s="62" t="s">
        <v>27</v>
      </c>
      <c r="K200" s="62" t="s">
        <v>27</v>
      </c>
    </row>
    <row r="201" spans="1:11" x14ac:dyDescent="0.35">
      <c r="A201" s="61" t="s">
        <v>2460</v>
      </c>
      <c r="B201" s="60">
        <v>7754</v>
      </c>
      <c r="C201" s="60" t="s">
        <v>2309</v>
      </c>
      <c r="D201" s="60">
        <v>325</v>
      </c>
      <c r="E201" s="60">
        <v>1111</v>
      </c>
      <c r="F201" s="60">
        <v>726</v>
      </c>
      <c r="G201" s="60">
        <v>1970</v>
      </c>
      <c r="H201" s="60">
        <v>328</v>
      </c>
      <c r="I201" s="60">
        <v>1082</v>
      </c>
      <c r="J201" s="60">
        <v>474</v>
      </c>
      <c r="K201" s="60">
        <v>1593</v>
      </c>
    </row>
    <row r="202" spans="1:11" x14ac:dyDescent="0.35">
      <c r="A202" s="61" t="s">
        <v>2461</v>
      </c>
      <c r="B202" s="65">
        <v>10617</v>
      </c>
      <c r="C202" s="65" t="s">
        <v>2309</v>
      </c>
      <c r="D202" s="65">
        <v>769</v>
      </c>
      <c r="E202" s="65">
        <v>1210</v>
      </c>
      <c r="F202" s="65">
        <v>451</v>
      </c>
      <c r="G202" s="65">
        <v>2299</v>
      </c>
      <c r="H202" s="65">
        <v>854</v>
      </c>
      <c r="I202" s="65">
        <v>1663</v>
      </c>
      <c r="J202" s="65">
        <v>611</v>
      </c>
      <c r="K202" s="65">
        <v>2436</v>
      </c>
    </row>
    <row r="203" spans="1:11" x14ac:dyDescent="0.35">
      <c r="A203" s="61" t="s">
        <v>2462</v>
      </c>
      <c r="B203" s="60">
        <v>20244</v>
      </c>
      <c r="C203" s="60">
        <v>910</v>
      </c>
      <c r="D203" s="60">
        <v>2301</v>
      </c>
      <c r="E203" s="60">
        <v>3018</v>
      </c>
      <c r="F203" s="60">
        <v>1021</v>
      </c>
      <c r="G203" s="60">
        <v>4328</v>
      </c>
      <c r="H203" s="60">
        <v>1378</v>
      </c>
      <c r="I203" s="60">
        <v>2576</v>
      </c>
      <c r="J203" s="60">
        <v>1976</v>
      </c>
      <c r="K203" s="60">
        <v>2736</v>
      </c>
    </row>
    <row r="204" spans="1:11" x14ac:dyDescent="0.35">
      <c r="A204" s="73" t="s">
        <v>2463</v>
      </c>
      <c r="B204" s="60">
        <v>58143</v>
      </c>
      <c r="C204" s="60">
        <v>2368</v>
      </c>
      <c r="D204" s="60">
        <v>8876</v>
      </c>
      <c r="E204" s="60">
        <v>12303</v>
      </c>
      <c r="F204" s="60">
        <v>6303</v>
      </c>
      <c r="G204" s="60">
        <v>9364</v>
      </c>
      <c r="H204" s="60">
        <v>2799</v>
      </c>
      <c r="I204" s="60">
        <v>6237</v>
      </c>
      <c r="J204" s="60">
        <v>4700</v>
      </c>
      <c r="K204" s="60">
        <v>5191</v>
      </c>
    </row>
    <row r="205" spans="1:11" ht="24" customHeight="1" x14ac:dyDescent="0.35">
      <c r="A205" s="68" t="s">
        <v>2840</v>
      </c>
      <c r="B205" s="67" t="s">
        <v>27</v>
      </c>
      <c r="C205" s="67" t="s">
        <v>27</v>
      </c>
      <c r="D205" s="67" t="s">
        <v>27</v>
      </c>
      <c r="E205" s="67" t="s">
        <v>27</v>
      </c>
      <c r="F205" s="67" t="s">
        <v>27</v>
      </c>
      <c r="G205" s="67" t="s">
        <v>27</v>
      </c>
      <c r="H205" s="67" t="s">
        <v>27</v>
      </c>
      <c r="I205" s="67" t="s">
        <v>27</v>
      </c>
      <c r="J205" s="67" t="s">
        <v>27</v>
      </c>
      <c r="K205" s="67" t="s">
        <v>27</v>
      </c>
    </row>
    <row r="206" spans="1:11" x14ac:dyDescent="0.35">
      <c r="A206" s="61" t="s">
        <v>2465</v>
      </c>
      <c r="B206" s="60">
        <v>8917</v>
      </c>
      <c r="C206" s="60">
        <v>587</v>
      </c>
      <c r="D206" s="60">
        <v>807</v>
      </c>
      <c r="E206" s="60">
        <v>2114</v>
      </c>
      <c r="F206" s="60">
        <v>1242</v>
      </c>
      <c r="G206" s="60">
        <v>790</v>
      </c>
      <c r="H206" s="60">
        <v>285</v>
      </c>
      <c r="I206" s="60">
        <v>578</v>
      </c>
      <c r="J206" s="60">
        <v>769</v>
      </c>
      <c r="K206" s="60">
        <v>1746</v>
      </c>
    </row>
    <row r="207" spans="1:11" x14ac:dyDescent="0.35">
      <c r="A207" s="61" t="s">
        <v>2461</v>
      </c>
      <c r="B207" s="60">
        <v>19747</v>
      </c>
      <c r="C207" s="60">
        <v>862</v>
      </c>
      <c r="D207" s="60">
        <v>2760</v>
      </c>
      <c r="E207" s="60">
        <v>3731</v>
      </c>
      <c r="F207" s="60">
        <v>1718</v>
      </c>
      <c r="G207" s="60">
        <v>3367</v>
      </c>
      <c r="H207" s="60">
        <v>1230</v>
      </c>
      <c r="I207" s="60">
        <v>1924</v>
      </c>
      <c r="J207" s="60">
        <v>1129</v>
      </c>
      <c r="K207" s="60">
        <v>3026</v>
      </c>
    </row>
    <row r="208" spans="1:11" x14ac:dyDescent="0.35">
      <c r="A208" s="61" t="s">
        <v>2462</v>
      </c>
      <c r="B208" s="65">
        <v>26388</v>
      </c>
      <c r="C208" s="65">
        <v>1226</v>
      </c>
      <c r="D208" s="65">
        <v>4001</v>
      </c>
      <c r="E208" s="65">
        <v>4744</v>
      </c>
      <c r="F208" s="65">
        <v>1911</v>
      </c>
      <c r="G208" s="65">
        <v>5526</v>
      </c>
      <c r="H208" s="65">
        <v>1415</v>
      </c>
      <c r="I208" s="65">
        <v>2839</v>
      </c>
      <c r="J208" s="65">
        <v>2033</v>
      </c>
      <c r="K208" s="65">
        <v>2692</v>
      </c>
    </row>
    <row r="209" spans="1:11" x14ac:dyDescent="0.35">
      <c r="A209" s="73" t="s">
        <v>2463</v>
      </c>
      <c r="B209" s="60">
        <v>41706</v>
      </c>
      <c r="C209" s="60">
        <v>1073</v>
      </c>
      <c r="D209" s="60">
        <v>4703</v>
      </c>
      <c r="E209" s="60">
        <v>7054</v>
      </c>
      <c r="F209" s="60">
        <v>3630</v>
      </c>
      <c r="G209" s="60">
        <v>8278</v>
      </c>
      <c r="H209" s="60">
        <v>2429</v>
      </c>
      <c r="I209" s="60">
        <v>6217</v>
      </c>
      <c r="J209" s="60">
        <v>3830</v>
      </c>
      <c r="K209" s="60">
        <v>4492</v>
      </c>
    </row>
    <row r="210" spans="1:11" ht="24" customHeight="1" x14ac:dyDescent="0.35">
      <c r="A210" s="68" t="s">
        <v>2839</v>
      </c>
      <c r="B210" s="67" t="s">
        <v>27</v>
      </c>
      <c r="C210" s="67" t="s">
        <v>27</v>
      </c>
      <c r="D210" s="67" t="s">
        <v>27</v>
      </c>
      <c r="E210" s="67" t="s">
        <v>27</v>
      </c>
      <c r="F210" s="67" t="s">
        <v>27</v>
      </c>
      <c r="G210" s="67" t="s">
        <v>27</v>
      </c>
      <c r="H210" s="67" t="s">
        <v>27</v>
      </c>
      <c r="I210" s="67" t="s">
        <v>27</v>
      </c>
      <c r="J210" s="67" t="s">
        <v>27</v>
      </c>
      <c r="K210" s="67" t="s">
        <v>27</v>
      </c>
    </row>
    <row r="211" spans="1:11" x14ac:dyDescent="0.35">
      <c r="A211" s="61" t="s">
        <v>2467</v>
      </c>
      <c r="B211" s="60" t="s">
        <v>2309</v>
      </c>
      <c r="C211" s="60" t="s">
        <v>2399</v>
      </c>
      <c r="D211" s="60" t="s">
        <v>2399</v>
      </c>
      <c r="E211" s="60" t="s">
        <v>2309</v>
      </c>
      <c r="F211" s="60" t="s">
        <v>2309</v>
      </c>
      <c r="G211" s="60" t="s">
        <v>2309</v>
      </c>
      <c r="H211" s="60" t="s">
        <v>2309</v>
      </c>
      <c r="I211" s="60" t="s">
        <v>2309</v>
      </c>
      <c r="J211" s="60" t="s">
        <v>2309</v>
      </c>
      <c r="K211" s="60" t="s">
        <v>2309</v>
      </c>
    </row>
    <row r="212" spans="1:11" x14ac:dyDescent="0.35">
      <c r="A212" s="61" t="s">
        <v>2461</v>
      </c>
      <c r="B212" s="60">
        <v>14213</v>
      </c>
      <c r="C212" s="60">
        <v>637</v>
      </c>
      <c r="D212" s="60">
        <v>1382</v>
      </c>
      <c r="E212" s="60">
        <v>3137</v>
      </c>
      <c r="F212" s="60">
        <v>1656</v>
      </c>
      <c r="G212" s="60">
        <v>2214</v>
      </c>
      <c r="H212" s="60">
        <v>835</v>
      </c>
      <c r="I212" s="60">
        <v>1968</v>
      </c>
      <c r="J212" s="60">
        <v>822</v>
      </c>
      <c r="K212" s="60">
        <v>1563</v>
      </c>
    </row>
    <row r="213" spans="1:11" x14ac:dyDescent="0.35">
      <c r="A213" s="61" t="s">
        <v>2462</v>
      </c>
      <c r="B213" s="60">
        <v>39002</v>
      </c>
      <c r="C213" s="60">
        <v>1736</v>
      </c>
      <c r="D213" s="60">
        <v>4685</v>
      </c>
      <c r="E213" s="60">
        <v>7250</v>
      </c>
      <c r="F213" s="60">
        <v>3421</v>
      </c>
      <c r="G213" s="60">
        <v>7431</v>
      </c>
      <c r="H213" s="60">
        <v>1879</v>
      </c>
      <c r="I213" s="60">
        <v>4574</v>
      </c>
      <c r="J213" s="60">
        <v>3149</v>
      </c>
      <c r="K213" s="60">
        <v>4876</v>
      </c>
    </row>
    <row r="214" spans="1:11" x14ac:dyDescent="0.35">
      <c r="A214" s="73" t="s">
        <v>2463</v>
      </c>
      <c r="B214" s="64">
        <v>40015</v>
      </c>
      <c r="C214" s="64">
        <v>1355</v>
      </c>
      <c r="D214" s="64">
        <v>5859</v>
      </c>
      <c r="E214" s="64">
        <v>6500</v>
      </c>
      <c r="F214" s="64">
        <v>2890</v>
      </c>
      <c r="G214" s="64">
        <v>7841</v>
      </c>
      <c r="H214" s="64">
        <v>2276</v>
      </c>
      <c r="I214" s="64">
        <v>4668</v>
      </c>
      <c r="J214" s="64">
        <v>3471</v>
      </c>
      <c r="K214" s="64">
        <v>5155</v>
      </c>
    </row>
    <row r="215" spans="1:11" ht="26.5" x14ac:dyDescent="0.35">
      <c r="A215" s="73" t="s">
        <v>2468</v>
      </c>
      <c r="B215" s="60">
        <v>2998</v>
      </c>
      <c r="C215" s="60" t="s">
        <v>2309</v>
      </c>
      <c r="D215" s="60">
        <v>346</v>
      </c>
      <c r="E215" s="60">
        <v>523</v>
      </c>
      <c r="F215" s="60" t="s">
        <v>2309</v>
      </c>
      <c r="G215" s="60">
        <v>422</v>
      </c>
      <c r="H215" s="60" t="s">
        <v>2309</v>
      </c>
      <c r="I215" s="60">
        <v>333</v>
      </c>
      <c r="J215" s="60" t="s">
        <v>2309</v>
      </c>
      <c r="K215" s="60" t="s">
        <v>2309</v>
      </c>
    </row>
    <row r="216" spans="1:11" ht="24" customHeight="1" x14ac:dyDescent="0.35">
      <c r="A216" s="68" t="s">
        <v>2838</v>
      </c>
      <c r="B216" s="67" t="s">
        <v>27</v>
      </c>
      <c r="C216" s="67" t="s">
        <v>27</v>
      </c>
      <c r="D216" s="67" t="s">
        <v>27</v>
      </c>
      <c r="E216" s="67" t="s">
        <v>27</v>
      </c>
      <c r="F216" s="67" t="s">
        <v>27</v>
      </c>
      <c r="G216" s="67" t="s">
        <v>27</v>
      </c>
      <c r="H216" s="67" t="s">
        <v>27</v>
      </c>
      <c r="I216" s="67" t="s">
        <v>27</v>
      </c>
      <c r="J216" s="67" t="s">
        <v>27</v>
      </c>
      <c r="K216" s="67" t="s">
        <v>27</v>
      </c>
    </row>
    <row r="217" spans="1:11" x14ac:dyDescent="0.35">
      <c r="A217" s="61" t="s">
        <v>2467</v>
      </c>
      <c r="B217" s="60">
        <v>15602</v>
      </c>
      <c r="C217" s="60">
        <v>760</v>
      </c>
      <c r="D217" s="60">
        <v>1474</v>
      </c>
      <c r="E217" s="60">
        <v>2958</v>
      </c>
      <c r="F217" s="60">
        <v>1383</v>
      </c>
      <c r="G217" s="60">
        <v>2586</v>
      </c>
      <c r="H217" s="60">
        <v>1084</v>
      </c>
      <c r="I217" s="60">
        <v>1797</v>
      </c>
      <c r="J217" s="60">
        <v>948</v>
      </c>
      <c r="K217" s="60">
        <v>2612</v>
      </c>
    </row>
    <row r="218" spans="1:11" x14ac:dyDescent="0.35">
      <c r="A218" s="61" t="s">
        <v>2461</v>
      </c>
      <c r="B218" s="60">
        <v>70060</v>
      </c>
      <c r="C218" s="60">
        <v>2574</v>
      </c>
      <c r="D218" s="60">
        <v>9120</v>
      </c>
      <c r="E218" s="60">
        <v>12953</v>
      </c>
      <c r="F218" s="60">
        <v>6398</v>
      </c>
      <c r="G218" s="60">
        <v>13111</v>
      </c>
      <c r="H218" s="60">
        <v>3632</v>
      </c>
      <c r="I218" s="60">
        <v>8413</v>
      </c>
      <c r="J218" s="60">
        <v>5921</v>
      </c>
      <c r="K218" s="60">
        <v>7937</v>
      </c>
    </row>
    <row r="219" spans="1:11" x14ac:dyDescent="0.35">
      <c r="A219" s="61" t="s">
        <v>2470</v>
      </c>
      <c r="B219" s="60">
        <v>7211</v>
      </c>
      <c r="C219" s="60">
        <v>395</v>
      </c>
      <c r="D219" s="60">
        <v>1065</v>
      </c>
      <c r="E219" s="60">
        <v>1092</v>
      </c>
      <c r="F219" s="60">
        <v>421</v>
      </c>
      <c r="G219" s="60">
        <v>1501</v>
      </c>
      <c r="H219" s="60">
        <v>389</v>
      </c>
      <c r="I219" s="60">
        <v>888</v>
      </c>
      <c r="J219" s="60">
        <v>484</v>
      </c>
      <c r="K219" s="60">
        <v>975</v>
      </c>
    </row>
    <row r="220" spans="1:11" ht="26.5" x14ac:dyDescent="0.35">
      <c r="A220" s="73" t="s">
        <v>2471</v>
      </c>
      <c r="B220" s="60">
        <v>2306</v>
      </c>
      <c r="C220" s="60" t="s">
        <v>2309</v>
      </c>
      <c r="D220" s="60">
        <v>485</v>
      </c>
      <c r="E220" s="60">
        <v>453</v>
      </c>
      <c r="F220" s="60" t="s">
        <v>2309</v>
      </c>
      <c r="G220" s="60">
        <v>572</v>
      </c>
      <c r="H220" s="60" t="s">
        <v>2309</v>
      </c>
      <c r="I220" s="60" t="s">
        <v>2309</v>
      </c>
      <c r="J220" s="60" t="s">
        <v>2309</v>
      </c>
      <c r="K220" s="60">
        <v>260</v>
      </c>
    </row>
    <row r="221" spans="1:11" x14ac:dyDescent="0.35">
      <c r="A221" s="73" t="s">
        <v>2472</v>
      </c>
      <c r="B221" s="60">
        <v>1579</v>
      </c>
      <c r="C221" s="60" t="s">
        <v>2309</v>
      </c>
      <c r="D221" s="60" t="s">
        <v>2309</v>
      </c>
      <c r="E221" s="60" t="s">
        <v>2309</v>
      </c>
      <c r="F221" s="60" t="s">
        <v>2309</v>
      </c>
      <c r="G221" s="60" t="s">
        <v>2309</v>
      </c>
      <c r="H221" s="60" t="s">
        <v>2309</v>
      </c>
      <c r="I221" s="60" t="s">
        <v>2309</v>
      </c>
      <c r="J221" s="60" t="s">
        <v>2309</v>
      </c>
      <c r="K221" s="60" t="s">
        <v>2309</v>
      </c>
    </row>
    <row r="222" spans="1:11" ht="31.5" customHeight="1" x14ac:dyDescent="0.35">
      <c r="A222" s="71" t="s">
        <v>2473</v>
      </c>
      <c r="B222" s="65" t="s">
        <v>27</v>
      </c>
      <c r="C222" s="65" t="s">
        <v>27</v>
      </c>
      <c r="D222" s="65" t="s">
        <v>27</v>
      </c>
      <c r="E222" s="65" t="s">
        <v>27</v>
      </c>
      <c r="F222" s="65" t="s">
        <v>27</v>
      </c>
      <c r="G222" s="65" t="s">
        <v>27</v>
      </c>
      <c r="H222" s="65" t="s">
        <v>27</v>
      </c>
      <c r="I222" s="65" t="s">
        <v>27</v>
      </c>
      <c r="J222" s="65" t="s">
        <v>27</v>
      </c>
      <c r="K222" s="65" t="s">
        <v>27</v>
      </c>
    </row>
    <row r="223" spans="1:11" x14ac:dyDescent="0.35">
      <c r="A223" s="61" t="s">
        <v>2478</v>
      </c>
      <c r="B223" s="60">
        <v>48113</v>
      </c>
      <c r="C223" s="60">
        <v>1323</v>
      </c>
      <c r="D223" s="60">
        <v>5330</v>
      </c>
      <c r="E223" s="60">
        <v>8423</v>
      </c>
      <c r="F223" s="60">
        <v>4026</v>
      </c>
      <c r="G223" s="60">
        <v>8609</v>
      </c>
      <c r="H223" s="60">
        <v>3262</v>
      </c>
      <c r="I223" s="60">
        <v>6599</v>
      </c>
      <c r="J223" s="60">
        <v>4839</v>
      </c>
      <c r="K223" s="60">
        <v>5702</v>
      </c>
    </row>
    <row r="224" spans="1:11" x14ac:dyDescent="0.35">
      <c r="A224" s="61" t="s">
        <v>2475</v>
      </c>
      <c r="B224" s="60">
        <v>17449</v>
      </c>
      <c r="C224" s="60">
        <v>465</v>
      </c>
      <c r="D224" s="60">
        <v>2090</v>
      </c>
      <c r="E224" s="60">
        <v>4754</v>
      </c>
      <c r="F224" s="60">
        <v>2521</v>
      </c>
      <c r="G224" s="60">
        <v>1651</v>
      </c>
      <c r="H224" s="60">
        <v>955</v>
      </c>
      <c r="I224" s="60">
        <v>1914</v>
      </c>
      <c r="J224" s="60">
        <v>1362</v>
      </c>
      <c r="K224" s="60">
        <v>1736</v>
      </c>
    </row>
    <row r="225" spans="1:11" x14ac:dyDescent="0.35">
      <c r="A225" s="61" t="s">
        <v>2476</v>
      </c>
      <c r="B225" s="60">
        <v>21143</v>
      </c>
      <c r="C225" s="60">
        <v>788</v>
      </c>
      <c r="D225" s="60">
        <v>3011</v>
      </c>
      <c r="E225" s="60">
        <v>4523</v>
      </c>
      <c r="F225" s="60">
        <v>1783</v>
      </c>
      <c r="G225" s="60">
        <v>3560</v>
      </c>
      <c r="H225" s="60">
        <v>1231</v>
      </c>
      <c r="I225" s="60">
        <v>2011</v>
      </c>
      <c r="J225" s="60">
        <v>1790</v>
      </c>
      <c r="K225" s="60">
        <v>2445</v>
      </c>
    </row>
    <row r="226" spans="1:11" x14ac:dyDescent="0.35">
      <c r="A226" s="61" t="s">
        <v>2477</v>
      </c>
      <c r="B226" s="60">
        <v>28902</v>
      </c>
      <c r="C226" s="60">
        <v>1725</v>
      </c>
      <c r="D226" s="60">
        <v>5648</v>
      </c>
      <c r="E226" s="60">
        <v>5887</v>
      </c>
      <c r="F226" s="60">
        <v>2743</v>
      </c>
      <c r="G226" s="60">
        <v>4164</v>
      </c>
      <c r="H226" s="60">
        <v>1100</v>
      </c>
      <c r="I226" s="60">
        <v>2199</v>
      </c>
      <c r="J226" s="60">
        <v>2579</v>
      </c>
      <c r="K226" s="60">
        <v>2857</v>
      </c>
    </row>
    <row r="227" spans="1:11" x14ac:dyDescent="0.35">
      <c r="A227" s="61" t="s">
        <v>2474</v>
      </c>
      <c r="B227" s="60">
        <v>15146</v>
      </c>
      <c r="C227" s="60">
        <v>512</v>
      </c>
      <c r="D227" s="60">
        <v>1990</v>
      </c>
      <c r="E227" s="60">
        <v>1953</v>
      </c>
      <c r="F227" s="60">
        <v>1058</v>
      </c>
      <c r="G227" s="60">
        <v>4265</v>
      </c>
      <c r="H227" s="60">
        <v>853</v>
      </c>
      <c r="I227" s="60">
        <v>1200</v>
      </c>
      <c r="J227" s="60">
        <v>1341</v>
      </c>
      <c r="K227" s="60">
        <v>1974</v>
      </c>
    </row>
    <row r="228" spans="1:11" x14ac:dyDescent="0.35">
      <c r="A228" s="61" t="s">
        <v>2444</v>
      </c>
      <c r="B228" s="60">
        <v>6552</v>
      </c>
      <c r="C228" s="60">
        <v>394</v>
      </c>
      <c r="D228" s="60">
        <v>1385</v>
      </c>
      <c r="E228" s="60">
        <v>1133</v>
      </c>
      <c r="F228" s="60">
        <v>300</v>
      </c>
      <c r="G228" s="60">
        <v>1231</v>
      </c>
      <c r="H228" s="60">
        <v>294</v>
      </c>
      <c r="I228" s="60" t="s">
        <v>2309</v>
      </c>
      <c r="J228" s="60">
        <v>373</v>
      </c>
      <c r="K228" s="60">
        <v>874</v>
      </c>
    </row>
    <row r="229" spans="1:11" x14ac:dyDescent="0.35">
      <c r="A229" s="61" t="s">
        <v>2837</v>
      </c>
      <c r="B229" s="60">
        <v>7466</v>
      </c>
      <c r="C229" s="60" t="s">
        <v>2309</v>
      </c>
      <c r="D229" s="60">
        <v>841</v>
      </c>
      <c r="E229" s="60">
        <v>1209</v>
      </c>
      <c r="F229" s="60">
        <v>484</v>
      </c>
      <c r="G229" s="60">
        <v>2448</v>
      </c>
      <c r="H229" s="60" t="s">
        <v>2309</v>
      </c>
      <c r="I229" s="60">
        <v>1049</v>
      </c>
      <c r="J229" s="60">
        <v>367</v>
      </c>
      <c r="K229" s="60">
        <v>628</v>
      </c>
    </row>
    <row r="230" spans="1:11" x14ac:dyDescent="0.35">
      <c r="A230" s="61" t="s">
        <v>2380</v>
      </c>
      <c r="B230" s="60">
        <v>821</v>
      </c>
      <c r="C230" s="60" t="s">
        <v>2309</v>
      </c>
      <c r="D230" s="60" t="s">
        <v>2309</v>
      </c>
      <c r="E230" s="60" t="s">
        <v>2309</v>
      </c>
      <c r="F230" s="60" t="s">
        <v>2309</v>
      </c>
      <c r="G230" s="60" t="s">
        <v>2309</v>
      </c>
      <c r="H230" s="60" t="s">
        <v>2309</v>
      </c>
      <c r="I230" s="60" t="s">
        <v>2309</v>
      </c>
      <c r="J230" s="60" t="s">
        <v>2309</v>
      </c>
      <c r="K230" s="60" t="s">
        <v>2309</v>
      </c>
    </row>
    <row r="231" spans="1:11" ht="33" customHeight="1" x14ac:dyDescent="0.35">
      <c r="A231" s="71" t="s">
        <v>2479</v>
      </c>
      <c r="B231" s="65" t="s">
        <v>27</v>
      </c>
      <c r="C231" s="65" t="s">
        <v>27</v>
      </c>
      <c r="D231" s="65" t="s">
        <v>27</v>
      </c>
      <c r="E231" s="65" t="s">
        <v>27</v>
      </c>
      <c r="F231" s="65" t="s">
        <v>27</v>
      </c>
      <c r="G231" s="65" t="s">
        <v>27</v>
      </c>
      <c r="H231" s="65" t="s">
        <v>27</v>
      </c>
      <c r="I231" s="65" t="s">
        <v>27</v>
      </c>
      <c r="J231" s="65" t="s">
        <v>27</v>
      </c>
      <c r="K231" s="65" t="s">
        <v>27</v>
      </c>
    </row>
    <row r="232" spans="1:11" x14ac:dyDescent="0.35">
      <c r="A232" s="61" t="s">
        <v>2836</v>
      </c>
      <c r="B232" s="60">
        <v>56416</v>
      </c>
      <c r="C232" s="60">
        <v>2050</v>
      </c>
      <c r="D232" s="60">
        <v>7385</v>
      </c>
      <c r="E232" s="60">
        <v>9551</v>
      </c>
      <c r="F232" s="60">
        <v>4502</v>
      </c>
      <c r="G232" s="60">
        <v>10407</v>
      </c>
      <c r="H232" s="60">
        <v>3657</v>
      </c>
      <c r="I232" s="60">
        <v>7201</v>
      </c>
      <c r="J232" s="60">
        <v>4810</v>
      </c>
      <c r="K232" s="60">
        <v>6853</v>
      </c>
    </row>
    <row r="233" spans="1:11" ht="26.5" x14ac:dyDescent="0.35">
      <c r="A233" s="61" t="s">
        <v>2480</v>
      </c>
      <c r="B233" s="60">
        <v>18437</v>
      </c>
      <c r="C233" s="60">
        <v>799</v>
      </c>
      <c r="D233" s="60">
        <v>1985</v>
      </c>
      <c r="E233" s="60">
        <v>4473</v>
      </c>
      <c r="F233" s="60">
        <v>2410</v>
      </c>
      <c r="G233" s="60">
        <v>3118</v>
      </c>
      <c r="H233" s="60">
        <v>918</v>
      </c>
      <c r="I233" s="60">
        <v>2175</v>
      </c>
      <c r="J233" s="60">
        <v>1022</v>
      </c>
      <c r="K233" s="60">
        <v>1536</v>
      </c>
    </row>
    <row r="234" spans="1:11" x14ac:dyDescent="0.35">
      <c r="A234" s="61" t="s">
        <v>2481</v>
      </c>
      <c r="B234" s="65">
        <v>13767</v>
      </c>
      <c r="C234" s="65">
        <v>936</v>
      </c>
      <c r="D234" s="65">
        <v>2720</v>
      </c>
      <c r="E234" s="65">
        <v>2382</v>
      </c>
      <c r="F234" s="65">
        <v>1133</v>
      </c>
      <c r="G234" s="65">
        <v>2362</v>
      </c>
      <c r="H234" s="65">
        <v>815</v>
      </c>
      <c r="I234" s="65">
        <v>1278</v>
      </c>
      <c r="J234" s="65">
        <v>649</v>
      </c>
      <c r="K234" s="65">
        <v>1492</v>
      </c>
    </row>
    <row r="235" spans="1:11" x14ac:dyDescent="0.35">
      <c r="A235" s="61" t="s">
        <v>2482</v>
      </c>
      <c r="B235" s="60">
        <v>17910</v>
      </c>
      <c r="C235" s="60">
        <v>534</v>
      </c>
      <c r="D235" s="60">
        <v>3182</v>
      </c>
      <c r="E235" s="60">
        <v>3484</v>
      </c>
      <c r="F235" s="60">
        <v>1091</v>
      </c>
      <c r="G235" s="60">
        <v>4087</v>
      </c>
      <c r="H235" s="60">
        <v>722</v>
      </c>
      <c r="I235" s="60">
        <v>1703</v>
      </c>
      <c r="J235" s="60">
        <v>1114</v>
      </c>
      <c r="K235" s="60">
        <v>1993</v>
      </c>
    </row>
    <row r="236" spans="1:11" x14ac:dyDescent="0.35">
      <c r="A236" s="61" t="s">
        <v>2474</v>
      </c>
      <c r="B236" s="60">
        <v>11138</v>
      </c>
      <c r="C236" s="60">
        <v>550</v>
      </c>
      <c r="D236" s="60">
        <v>1844</v>
      </c>
      <c r="E236" s="60">
        <v>1149</v>
      </c>
      <c r="F236" s="60">
        <v>874</v>
      </c>
      <c r="G236" s="60">
        <v>3094</v>
      </c>
      <c r="H236" s="60">
        <v>616</v>
      </c>
      <c r="I236" s="60">
        <v>508</v>
      </c>
      <c r="J236" s="60">
        <v>1075</v>
      </c>
      <c r="K236" s="60">
        <v>1428</v>
      </c>
    </row>
    <row r="237" spans="1:11" x14ac:dyDescent="0.35">
      <c r="A237" s="61" t="s">
        <v>2445</v>
      </c>
      <c r="B237" s="60">
        <v>4288</v>
      </c>
      <c r="C237" s="60" t="s">
        <v>2309</v>
      </c>
      <c r="D237" s="60">
        <v>365</v>
      </c>
      <c r="E237" s="60">
        <v>656</v>
      </c>
      <c r="F237" s="60" t="s">
        <v>2309</v>
      </c>
      <c r="G237" s="60">
        <v>1027</v>
      </c>
      <c r="H237" s="60" t="s">
        <v>2309</v>
      </c>
      <c r="I237" s="60">
        <v>721</v>
      </c>
      <c r="J237" s="60">
        <v>267</v>
      </c>
      <c r="K237" s="60">
        <v>696</v>
      </c>
    </row>
    <row r="238" spans="1:11" x14ac:dyDescent="0.35">
      <c r="A238" s="61" t="s">
        <v>2484</v>
      </c>
      <c r="B238" s="64">
        <v>2070</v>
      </c>
      <c r="C238" s="64" t="s">
        <v>2309</v>
      </c>
      <c r="D238" s="64" t="s">
        <v>2309</v>
      </c>
      <c r="E238" s="64" t="s">
        <v>2309</v>
      </c>
      <c r="F238" s="64" t="s">
        <v>2309</v>
      </c>
      <c r="G238" s="64" t="s">
        <v>2309</v>
      </c>
      <c r="H238" s="64" t="s">
        <v>2309</v>
      </c>
      <c r="I238" s="64" t="s">
        <v>2309</v>
      </c>
      <c r="J238" s="64">
        <v>578</v>
      </c>
      <c r="K238" s="64">
        <v>734</v>
      </c>
    </row>
    <row r="239" spans="1:11" x14ac:dyDescent="0.35">
      <c r="A239" s="61" t="s">
        <v>2380</v>
      </c>
      <c r="B239" s="60" t="s">
        <v>2309</v>
      </c>
      <c r="C239" s="60" t="s">
        <v>2399</v>
      </c>
      <c r="D239" s="60" t="s">
        <v>2309</v>
      </c>
      <c r="E239" s="60" t="s">
        <v>2399</v>
      </c>
      <c r="F239" s="60" t="s">
        <v>2399</v>
      </c>
      <c r="G239" s="60" t="s">
        <v>2309</v>
      </c>
      <c r="H239" s="60" t="s">
        <v>2309</v>
      </c>
      <c r="I239" s="60" t="s">
        <v>2309</v>
      </c>
      <c r="J239" s="60" t="s">
        <v>2309</v>
      </c>
      <c r="K239" s="60" t="s">
        <v>2309</v>
      </c>
    </row>
    <row r="240" spans="1:11" ht="34.5" customHeight="1" x14ac:dyDescent="0.35">
      <c r="A240" s="71" t="s">
        <v>2835</v>
      </c>
      <c r="B240" s="65" t="s">
        <v>27</v>
      </c>
      <c r="C240" s="65" t="s">
        <v>27</v>
      </c>
      <c r="D240" s="65" t="s">
        <v>27</v>
      </c>
      <c r="E240" s="65" t="s">
        <v>27</v>
      </c>
      <c r="F240" s="65" t="s">
        <v>27</v>
      </c>
      <c r="G240" s="65" t="s">
        <v>27</v>
      </c>
      <c r="H240" s="65" t="s">
        <v>27</v>
      </c>
      <c r="I240" s="65" t="s">
        <v>27</v>
      </c>
      <c r="J240" s="65" t="s">
        <v>27</v>
      </c>
      <c r="K240" s="65" t="s">
        <v>27</v>
      </c>
    </row>
    <row r="241" spans="1:11" x14ac:dyDescent="0.35">
      <c r="A241" s="61" t="s">
        <v>2540</v>
      </c>
      <c r="B241" s="60">
        <v>34219</v>
      </c>
      <c r="C241" s="60">
        <v>1376</v>
      </c>
      <c r="D241" s="60">
        <v>5544</v>
      </c>
      <c r="E241" s="60">
        <v>7112</v>
      </c>
      <c r="F241" s="60">
        <v>3001</v>
      </c>
      <c r="G241" s="60">
        <v>5315</v>
      </c>
      <c r="H241" s="60">
        <v>1065</v>
      </c>
      <c r="I241" s="60">
        <v>3049</v>
      </c>
      <c r="J241" s="60">
        <v>3278</v>
      </c>
      <c r="K241" s="60">
        <v>4479</v>
      </c>
    </row>
    <row r="242" spans="1:11" x14ac:dyDescent="0.35">
      <c r="A242" s="61" t="s">
        <v>2834</v>
      </c>
      <c r="B242" s="60">
        <v>29172</v>
      </c>
      <c r="C242" s="60">
        <v>960</v>
      </c>
      <c r="D242" s="60">
        <v>4212</v>
      </c>
      <c r="E242" s="60">
        <v>5708</v>
      </c>
      <c r="F242" s="60">
        <v>2233</v>
      </c>
      <c r="G242" s="60">
        <v>5961</v>
      </c>
      <c r="H242" s="60">
        <v>980</v>
      </c>
      <c r="I242" s="60">
        <v>3188</v>
      </c>
      <c r="J242" s="60">
        <v>2616</v>
      </c>
      <c r="K242" s="60">
        <v>3313</v>
      </c>
    </row>
    <row r="243" spans="1:11" ht="13" customHeight="1" x14ac:dyDescent="0.35">
      <c r="A243" s="61" t="s">
        <v>2833</v>
      </c>
      <c r="B243" s="60">
        <v>9027</v>
      </c>
      <c r="C243" s="60">
        <v>449</v>
      </c>
      <c r="D243" s="60">
        <v>1294</v>
      </c>
      <c r="E243" s="60">
        <v>1367</v>
      </c>
      <c r="F243" s="60">
        <v>836</v>
      </c>
      <c r="G243" s="60">
        <v>2099</v>
      </c>
      <c r="H243" s="60">
        <v>361</v>
      </c>
      <c r="I243" s="60">
        <v>965</v>
      </c>
      <c r="J243" s="60" t="s">
        <v>2309</v>
      </c>
      <c r="K243" s="60">
        <v>945</v>
      </c>
    </row>
    <row r="244" spans="1:11" ht="14.5" customHeight="1" x14ac:dyDescent="0.35">
      <c r="A244" s="61" t="s">
        <v>2832</v>
      </c>
      <c r="B244" s="60">
        <v>10652</v>
      </c>
      <c r="C244" s="60">
        <v>607</v>
      </c>
      <c r="D244" s="60">
        <v>2150</v>
      </c>
      <c r="E244" s="60">
        <v>1881</v>
      </c>
      <c r="F244" s="60">
        <v>665</v>
      </c>
      <c r="G244" s="60">
        <v>1855</v>
      </c>
      <c r="H244" s="60">
        <v>529</v>
      </c>
      <c r="I244" s="60">
        <v>1016</v>
      </c>
      <c r="J244" s="60">
        <v>814</v>
      </c>
      <c r="K244" s="60">
        <v>1136</v>
      </c>
    </row>
    <row r="245" spans="1:11" x14ac:dyDescent="0.35">
      <c r="A245" s="61" t="s">
        <v>2541</v>
      </c>
      <c r="B245" s="60">
        <v>78343</v>
      </c>
      <c r="C245" s="60">
        <v>3108</v>
      </c>
      <c r="D245" s="60">
        <v>10364</v>
      </c>
      <c r="E245" s="60">
        <v>13671</v>
      </c>
      <c r="F245" s="60">
        <v>6341</v>
      </c>
      <c r="G245" s="60">
        <v>15377</v>
      </c>
      <c r="H245" s="60">
        <v>4004</v>
      </c>
      <c r="I245" s="60">
        <v>9438</v>
      </c>
      <c r="J245" s="60">
        <v>6717</v>
      </c>
      <c r="K245" s="60">
        <v>9325</v>
      </c>
    </row>
    <row r="246" spans="1:11" ht="26.5" x14ac:dyDescent="0.35">
      <c r="A246" s="61" t="s">
        <v>2831</v>
      </c>
      <c r="B246" s="64">
        <v>40697</v>
      </c>
      <c r="C246" s="64">
        <v>1702</v>
      </c>
      <c r="D246" s="64">
        <v>6034</v>
      </c>
      <c r="E246" s="64">
        <v>7196</v>
      </c>
      <c r="F246" s="64">
        <v>3010</v>
      </c>
      <c r="G246" s="64">
        <v>7921</v>
      </c>
      <c r="H246" s="64">
        <v>1653</v>
      </c>
      <c r="I246" s="64">
        <v>4720</v>
      </c>
      <c r="J246" s="64">
        <v>3636</v>
      </c>
      <c r="K246" s="64">
        <v>4826</v>
      </c>
    </row>
    <row r="247" spans="1:11" ht="26.5" x14ac:dyDescent="0.35">
      <c r="A247" s="61" t="s">
        <v>2830</v>
      </c>
      <c r="B247" s="60">
        <v>6017</v>
      </c>
      <c r="C247" s="60" t="s">
        <v>2309</v>
      </c>
      <c r="D247" s="60">
        <v>479</v>
      </c>
      <c r="E247" s="60">
        <v>835</v>
      </c>
      <c r="F247" s="60">
        <v>392</v>
      </c>
      <c r="G247" s="60">
        <v>1283</v>
      </c>
      <c r="H247" s="60">
        <v>511</v>
      </c>
      <c r="I247" s="60">
        <v>1166</v>
      </c>
      <c r="J247" s="60">
        <v>504</v>
      </c>
      <c r="K247" s="60">
        <v>674</v>
      </c>
    </row>
    <row r="248" spans="1:11" x14ac:dyDescent="0.35">
      <c r="A248" s="72" t="s">
        <v>2829</v>
      </c>
      <c r="B248" s="60">
        <v>20937</v>
      </c>
      <c r="C248" s="60">
        <v>763</v>
      </c>
      <c r="D248" s="60">
        <v>2970</v>
      </c>
      <c r="E248" s="60">
        <v>4038</v>
      </c>
      <c r="F248" s="60">
        <v>1852</v>
      </c>
      <c r="G248" s="60">
        <v>3074</v>
      </c>
      <c r="H248" s="60">
        <v>1077</v>
      </c>
      <c r="I248" s="60">
        <v>2274</v>
      </c>
      <c r="J248" s="60">
        <v>1739</v>
      </c>
      <c r="K248" s="60">
        <v>3150</v>
      </c>
    </row>
    <row r="249" spans="1:11" ht="31" customHeight="1" x14ac:dyDescent="0.35">
      <c r="A249" s="71" t="s">
        <v>2828</v>
      </c>
      <c r="B249" s="67" t="s">
        <v>27</v>
      </c>
      <c r="C249" s="67" t="s">
        <v>27</v>
      </c>
      <c r="D249" s="67" t="s">
        <v>27</v>
      </c>
      <c r="E249" s="67" t="s">
        <v>27</v>
      </c>
      <c r="F249" s="67" t="s">
        <v>27</v>
      </c>
      <c r="G249" s="67" t="s">
        <v>27</v>
      </c>
      <c r="H249" s="67" t="s">
        <v>27</v>
      </c>
      <c r="I249" s="67" t="s">
        <v>27</v>
      </c>
      <c r="J249" s="67" t="s">
        <v>27</v>
      </c>
      <c r="K249" s="67" t="s">
        <v>27</v>
      </c>
    </row>
    <row r="250" spans="1:11" x14ac:dyDescent="0.35">
      <c r="A250" s="61" t="s">
        <v>2486</v>
      </c>
      <c r="B250" s="60">
        <v>32688</v>
      </c>
      <c r="C250" s="60">
        <v>1449</v>
      </c>
      <c r="D250" s="60">
        <v>4569</v>
      </c>
      <c r="E250" s="60">
        <v>6312</v>
      </c>
      <c r="F250" s="60">
        <v>3324</v>
      </c>
      <c r="G250" s="60">
        <v>5756</v>
      </c>
      <c r="H250" s="60">
        <v>1713</v>
      </c>
      <c r="I250" s="60">
        <v>3815</v>
      </c>
      <c r="J250" s="60">
        <v>2138</v>
      </c>
      <c r="K250" s="60">
        <v>3612</v>
      </c>
    </row>
    <row r="251" spans="1:11" x14ac:dyDescent="0.35">
      <c r="A251" s="61" t="s">
        <v>2487</v>
      </c>
      <c r="B251" s="60">
        <v>23084</v>
      </c>
      <c r="C251" s="60">
        <v>1167</v>
      </c>
      <c r="D251" s="60">
        <v>4146</v>
      </c>
      <c r="E251" s="60">
        <v>4553</v>
      </c>
      <c r="F251" s="60">
        <v>1650</v>
      </c>
      <c r="G251" s="60">
        <v>4160</v>
      </c>
      <c r="H251" s="60">
        <v>1170</v>
      </c>
      <c r="I251" s="60">
        <v>2341</v>
      </c>
      <c r="J251" s="60">
        <v>1607</v>
      </c>
      <c r="K251" s="60">
        <v>2289</v>
      </c>
    </row>
    <row r="252" spans="1:11" ht="24" customHeight="1" x14ac:dyDescent="0.35">
      <c r="A252" s="68" t="s">
        <v>2488</v>
      </c>
      <c r="B252" s="67" t="s">
        <v>27</v>
      </c>
      <c r="C252" s="67" t="s">
        <v>27</v>
      </c>
      <c r="D252" s="67" t="s">
        <v>27</v>
      </c>
      <c r="E252" s="67" t="s">
        <v>27</v>
      </c>
      <c r="F252" s="67" t="s">
        <v>27</v>
      </c>
      <c r="G252" s="67" t="s">
        <v>27</v>
      </c>
      <c r="H252" s="67" t="s">
        <v>27</v>
      </c>
      <c r="I252" s="67" t="s">
        <v>27</v>
      </c>
      <c r="J252" s="67" t="s">
        <v>27</v>
      </c>
      <c r="K252" s="67" t="s">
        <v>27</v>
      </c>
    </row>
    <row r="253" spans="1:11" x14ac:dyDescent="0.35">
      <c r="A253" s="61" t="s">
        <v>2489</v>
      </c>
      <c r="B253" s="60">
        <v>59621</v>
      </c>
      <c r="C253" s="60">
        <v>2456</v>
      </c>
      <c r="D253" s="60">
        <v>7516</v>
      </c>
      <c r="E253" s="60">
        <v>11856</v>
      </c>
      <c r="F253" s="60">
        <v>5337</v>
      </c>
      <c r="G253" s="60">
        <v>11252</v>
      </c>
      <c r="H253" s="60">
        <v>3208</v>
      </c>
      <c r="I253" s="60">
        <v>6573</v>
      </c>
      <c r="J253" s="60">
        <v>5044</v>
      </c>
      <c r="K253" s="60">
        <v>6379</v>
      </c>
    </row>
    <row r="254" spans="1:11" x14ac:dyDescent="0.35">
      <c r="A254" s="61" t="s">
        <v>2490</v>
      </c>
      <c r="B254" s="60">
        <v>14326</v>
      </c>
      <c r="C254" s="60">
        <v>566</v>
      </c>
      <c r="D254" s="60">
        <v>2305</v>
      </c>
      <c r="E254" s="60">
        <v>2148</v>
      </c>
      <c r="F254" s="60">
        <v>1062</v>
      </c>
      <c r="G254" s="60">
        <v>2406</v>
      </c>
      <c r="H254" s="60">
        <v>591</v>
      </c>
      <c r="I254" s="60">
        <v>2159</v>
      </c>
      <c r="J254" s="60">
        <v>880</v>
      </c>
      <c r="K254" s="60">
        <v>2208</v>
      </c>
    </row>
    <row r="255" spans="1:11" ht="26.5" x14ac:dyDescent="0.35">
      <c r="A255" s="61" t="s">
        <v>2491</v>
      </c>
      <c r="B255" s="64">
        <v>14129</v>
      </c>
      <c r="C255" s="64">
        <v>452</v>
      </c>
      <c r="D255" s="64">
        <v>1782</v>
      </c>
      <c r="E255" s="64">
        <v>2359</v>
      </c>
      <c r="F255" s="64">
        <v>1083</v>
      </c>
      <c r="G255" s="64">
        <v>2933</v>
      </c>
      <c r="H255" s="64">
        <v>896</v>
      </c>
      <c r="I255" s="64">
        <v>1732</v>
      </c>
      <c r="J255" s="64">
        <v>899</v>
      </c>
      <c r="K255" s="64">
        <v>1993</v>
      </c>
    </row>
    <row r="256" spans="1:11" ht="33.65" customHeight="1" x14ac:dyDescent="0.35">
      <c r="A256" s="70" t="s">
        <v>2827</v>
      </c>
      <c r="B256" s="67" t="s">
        <v>27</v>
      </c>
      <c r="C256" s="67" t="s">
        <v>27</v>
      </c>
      <c r="D256" s="67" t="s">
        <v>27</v>
      </c>
      <c r="E256" s="67" t="s">
        <v>27</v>
      </c>
      <c r="F256" s="67" t="s">
        <v>27</v>
      </c>
      <c r="G256" s="67" t="s">
        <v>27</v>
      </c>
      <c r="H256" s="67" t="s">
        <v>27</v>
      </c>
      <c r="I256" s="67" t="s">
        <v>27</v>
      </c>
      <c r="J256" s="67" t="s">
        <v>27</v>
      </c>
      <c r="K256" s="67" t="s">
        <v>27</v>
      </c>
    </row>
    <row r="257" spans="1:11" x14ac:dyDescent="0.35">
      <c r="A257" s="61" t="s">
        <v>2826</v>
      </c>
      <c r="B257" s="60">
        <v>24861</v>
      </c>
      <c r="C257" s="60">
        <v>1409</v>
      </c>
      <c r="D257" s="60">
        <v>4291</v>
      </c>
      <c r="E257" s="60">
        <v>4621</v>
      </c>
      <c r="F257" s="60">
        <v>1752</v>
      </c>
      <c r="G257" s="60">
        <v>5300</v>
      </c>
      <c r="H257" s="60">
        <v>1007</v>
      </c>
      <c r="I257" s="60">
        <v>2445</v>
      </c>
      <c r="J257" s="60">
        <v>2038</v>
      </c>
      <c r="K257" s="60">
        <v>1998</v>
      </c>
    </row>
    <row r="258" spans="1:11" x14ac:dyDescent="0.35">
      <c r="A258" s="61" t="s">
        <v>2825</v>
      </c>
      <c r="B258" s="60">
        <v>3745</v>
      </c>
      <c r="C258" s="60">
        <v>264</v>
      </c>
      <c r="D258" s="60">
        <v>941</v>
      </c>
      <c r="E258" s="60">
        <v>414</v>
      </c>
      <c r="F258" s="60" t="s">
        <v>2309</v>
      </c>
      <c r="G258" s="60">
        <v>367</v>
      </c>
      <c r="H258" s="60" t="s">
        <v>2309</v>
      </c>
      <c r="I258" s="60" t="s">
        <v>2309</v>
      </c>
      <c r="J258" s="60">
        <v>396</v>
      </c>
      <c r="K258" s="60">
        <v>988</v>
      </c>
    </row>
    <row r="259" spans="1:11" x14ac:dyDescent="0.35">
      <c r="A259" s="61" t="s">
        <v>2824</v>
      </c>
      <c r="B259" s="60">
        <v>2040</v>
      </c>
      <c r="C259" s="60" t="s">
        <v>2309</v>
      </c>
      <c r="D259" s="60">
        <v>327</v>
      </c>
      <c r="E259" s="60">
        <v>533</v>
      </c>
      <c r="F259" s="60" t="s">
        <v>2309</v>
      </c>
      <c r="G259" s="60" t="s">
        <v>2309</v>
      </c>
      <c r="H259" s="60" t="s">
        <v>2309</v>
      </c>
      <c r="I259" s="60" t="s">
        <v>2309</v>
      </c>
      <c r="J259" s="60" t="s">
        <v>2309</v>
      </c>
      <c r="K259" s="60">
        <v>370</v>
      </c>
    </row>
    <row r="260" spans="1:11" ht="31.5" customHeight="1" x14ac:dyDescent="0.35">
      <c r="A260" s="68" t="s">
        <v>2492</v>
      </c>
      <c r="B260" s="67" t="s">
        <v>27</v>
      </c>
      <c r="C260" s="67" t="s">
        <v>27</v>
      </c>
      <c r="D260" s="67" t="s">
        <v>27</v>
      </c>
      <c r="E260" s="67" t="s">
        <v>27</v>
      </c>
      <c r="F260" s="67" t="s">
        <v>27</v>
      </c>
      <c r="G260" s="67" t="s">
        <v>27</v>
      </c>
      <c r="H260" s="67" t="s">
        <v>27</v>
      </c>
      <c r="I260" s="67" t="s">
        <v>27</v>
      </c>
      <c r="J260" s="67" t="s">
        <v>27</v>
      </c>
      <c r="K260" s="67" t="s">
        <v>27</v>
      </c>
    </row>
    <row r="261" spans="1:11" x14ac:dyDescent="0.35">
      <c r="A261" s="61" t="s">
        <v>2493</v>
      </c>
      <c r="B261" s="60">
        <v>21148</v>
      </c>
      <c r="C261" s="60">
        <v>802</v>
      </c>
      <c r="D261" s="60">
        <v>3339</v>
      </c>
      <c r="E261" s="60">
        <v>4162</v>
      </c>
      <c r="F261" s="60">
        <v>1751</v>
      </c>
      <c r="G261" s="60">
        <v>4035</v>
      </c>
      <c r="H261" s="60">
        <v>1159</v>
      </c>
      <c r="I261" s="60">
        <v>2080</v>
      </c>
      <c r="J261" s="60">
        <v>1443</v>
      </c>
      <c r="K261" s="60">
        <v>2376</v>
      </c>
    </row>
    <row r="262" spans="1:11" x14ac:dyDescent="0.35">
      <c r="A262" s="61" t="s">
        <v>2494</v>
      </c>
      <c r="B262" s="60">
        <v>73157</v>
      </c>
      <c r="C262" s="60">
        <v>2763</v>
      </c>
      <c r="D262" s="60">
        <v>9563</v>
      </c>
      <c r="E262" s="60">
        <v>13254</v>
      </c>
      <c r="F262" s="60">
        <v>6112</v>
      </c>
      <c r="G262" s="60">
        <v>14219</v>
      </c>
      <c r="H262" s="60">
        <v>3962</v>
      </c>
      <c r="I262" s="60">
        <v>8426</v>
      </c>
      <c r="J262" s="60">
        <v>5744</v>
      </c>
      <c r="K262" s="60">
        <v>9116</v>
      </c>
    </row>
    <row r="263" spans="1:11" x14ac:dyDescent="0.35">
      <c r="A263" s="61" t="s">
        <v>2495</v>
      </c>
      <c r="B263" s="60">
        <v>33655</v>
      </c>
      <c r="C263" s="60">
        <v>1370</v>
      </c>
      <c r="D263" s="60">
        <v>4941</v>
      </c>
      <c r="E263" s="60">
        <v>6452</v>
      </c>
      <c r="F263" s="60">
        <v>2526</v>
      </c>
      <c r="G263" s="60">
        <v>6481</v>
      </c>
      <c r="H263" s="60">
        <v>1361</v>
      </c>
      <c r="I263" s="60">
        <v>3653</v>
      </c>
      <c r="J263" s="60">
        <v>2537</v>
      </c>
      <c r="K263" s="60">
        <v>4335</v>
      </c>
    </row>
    <row r="264" spans="1:11" x14ac:dyDescent="0.35">
      <c r="A264" s="61" t="s">
        <v>2496</v>
      </c>
      <c r="B264" s="64">
        <v>11352</v>
      </c>
      <c r="C264" s="64">
        <v>355</v>
      </c>
      <c r="D264" s="64">
        <v>1740</v>
      </c>
      <c r="E264" s="64">
        <v>2184</v>
      </c>
      <c r="F264" s="64">
        <v>890</v>
      </c>
      <c r="G264" s="64">
        <v>2597</v>
      </c>
      <c r="H264" s="64">
        <v>798</v>
      </c>
      <c r="I264" s="64">
        <v>830</v>
      </c>
      <c r="J264" s="64">
        <v>983</v>
      </c>
      <c r="K264" s="64">
        <v>974</v>
      </c>
    </row>
    <row r="265" spans="1:11" x14ac:dyDescent="0.35">
      <c r="A265" s="61" t="s">
        <v>2497</v>
      </c>
      <c r="B265" s="60">
        <v>14963</v>
      </c>
      <c r="C265" s="60">
        <v>491</v>
      </c>
      <c r="D265" s="60">
        <v>2078</v>
      </c>
      <c r="E265" s="60">
        <v>2265</v>
      </c>
      <c r="F265" s="60">
        <v>1021</v>
      </c>
      <c r="G265" s="60">
        <v>3011</v>
      </c>
      <c r="H265" s="60">
        <v>839</v>
      </c>
      <c r="I265" s="60">
        <v>2087</v>
      </c>
      <c r="J265" s="60">
        <v>1344</v>
      </c>
      <c r="K265" s="60">
        <v>1829</v>
      </c>
    </row>
    <row r="266" spans="1:11" x14ac:dyDescent="0.35">
      <c r="A266" s="61" t="s">
        <v>2498</v>
      </c>
      <c r="B266" s="60">
        <v>62061</v>
      </c>
      <c r="C266" s="60">
        <v>2679</v>
      </c>
      <c r="D266" s="60">
        <v>9039</v>
      </c>
      <c r="E266" s="60">
        <v>11590</v>
      </c>
      <c r="F266" s="60">
        <v>5091</v>
      </c>
      <c r="G266" s="60">
        <v>11326</v>
      </c>
      <c r="H266" s="60">
        <v>2870</v>
      </c>
      <c r="I266" s="60">
        <v>6533</v>
      </c>
      <c r="J266" s="60">
        <v>5164</v>
      </c>
      <c r="K266" s="60">
        <v>7770</v>
      </c>
    </row>
    <row r="267" spans="1:11" x14ac:dyDescent="0.35">
      <c r="A267" s="61" t="s">
        <v>2380</v>
      </c>
      <c r="B267" s="60" t="s">
        <v>2309</v>
      </c>
      <c r="C267" s="60" t="s">
        <v>2399</v>
      </c>
      <c r="D267" s="60" t="s">
        <v>2399</v>
      </c>
      <c r="E267" s="60" t="s">
        <v>2309</v>
      </c>
      <c r="F267" s="60" t="s">
        <v>2399</v>
      </c>
      <c r="G267" s="60" t="s">
        <v>2309</v>
      </c>
      <c r="H267" s="60" t="s">
        <v>2399</v>
      </c>
      <c r="I267" s="60" t="s">
        <v>2309</v>
      </c>
      <c r="J267" s="60" t="s">
        <v>2399</v>
      </c>
      <c r="K267" s="60" t="s">
        <v>2309</v>
      </c>
    </row>
    <row r="268" spans="1:11" ht="32.5" customHeight="1" x14ac:dyDescent="0.35">
      <c r="A268" s="68" t="s">
        <v>2499</v>
      </c>
      <c r="B268" s="67" t="s">
        <v>27</v>
      </c>
      <c r="C268" s="67" t="s">
        <v>27</v>
      </c>
      <c r="D268" s="67" t="s">
        <v>27</v>
      </c>
      <c r="E268" s="67" t="s">
        <v>27</v>
      </c>
      <c r="F268" s="67" t="s">
        <v>27</v>
      </c>
      <c r="G268" s="67" t="s">
        <v>27</v>
      </c>
      <c r="H268" s="67" t="s">
        <v>27</v>
      </c>
      <c r="I268" s="67" t="s">
        <v>27</v>
      </c>
      <c r="J268" s="67" t="s">
        <v>27</v>
      </c>
      <c r="K268" s="67" t="s">
        <v>27</v>
      </c>
    </row>
    <row r="269" spans="1:11" x14ac:dyDescent="0.35">
      <c r="A269" s="61" t="s">
        <v>2500</v>
      </c>
      <c r="B269" s="60">
        <v>77951</v>
      </c>
      <c r="C269" s="60">
        <v>2934</v>
      </c>
      <c r="D269" s="60">
        <v>10104</v>
      </c>
      <c r="E269" s="60">
        <v>14370</v>
      </c>
      <c r="F269" s="60">
        <v>6852</v>
      </c>
      <c r="G269" s="60">
        <v>15022</v>
      </c>
      <c r="H269" s="60">
        <v>4019</v>
      </c>
      <c r="I269" s="60">
        <v>9627</v>
      </c>
      <c r="J269" s="60">
        <v>6166</v>
      </c>
      <c r="K269" s="60">
        <v>8858</v>
      </c>
    </row>
    <row r="270" spans="1:11" x14ac:dyDescent="0.35">
      <c r="A270" s="59" t="s">
        <v>2501</v>
      </c>
      <c r="B270" s="60">
        <v>29386</v>
      </c>
      <c r="C270" s="60">
        <v>1268</v>
      </c>
      <c r="D270" s="60">
        <v>4217</v>
      </c>
      <c r="E270" s="60">
        <v>5505</v>
      </c>
      <c r="F270" s="60">
        <v>2546</v>
      </c>
      <c r="G270" s="60">
        <v>5989</v>
      </c>
      <c r="H270" s="60">
        <v>1317</v>
      </c>
      <c r="I270" s="60">
        <v>3063</v>
      </c>
      <c r="J270" s="60">
        <v>2503</v>
      </c>
      <c r="K270" s="60">
        <v>2979</v>
      </c>
    </row>
    <row r="271" spans="1:11" x14ac:dyDescent="0.35">
      <c r="A271" s="59" t="s">
        <v>2502</v>
      </c>
      <c r="B271" s="60">
        <v>28586</v>
      </c>
      <c r="C271" s="60">
        <v>1012</v>
      </c>
      <c r="D271" s="60">
        <v>4403</v>
      </c>
      <c r="E271" s="60">
        <v>5366</v>
      </c>
      <c r="F271" s="60">
        <v>2262</v>
      </c>
      <c r="G271" s="60">
        <v>5591</v>
      </c>
      <c r="H271" s="60">
        <v>1376</v>
      </c>
      <c r="I271" s="60">
        <v>3250</v>
      </c>
      <c r="J271" s="60">
        <v>2260</v>
      </c>
      <c r="K271" s="60">
        <v>3066</v>
      </c>
    </row>
    <row r="272" spans="1:11" x14ac:dyDescent="0.35">
      <c r="A272" s="59" t="s">
        <v>2503</v>
      </c>
      <c r="B272" s="60">
        <v>3577</v>
      </c>
      <c r="C272" s="60" t="s">
        <v>2309</v>
      </c>
      <c r="D272" s="60">
        <v>461</v>
      </c>
      <c r="E272" s="60">
        <v>416</v>
      </c>
      <c r="F272" s="60" t="s">
        <v>2309</v>
      </c>
      <c r="G272" s="60">
        <v>829</v>
      </c>
      <c r="H272" s="60" t="s">
        <v>2309</v>
      </c>
      <c r="I272" s="60">
        <v>350</v>
      </c>
      <c r="J272" s="60" t="s">
        <v>2309</v>
      </c>
      <c r="K272" s="60">
        <v>456</v>
      </c>
    </row>
    <row r="273" spans="1:11" x14ac:dyDescent="0.35">
      <c r="A273" s="59" t="s">
        <v>2504</v>
      </c>
      <c r="B273" s="60">
        <v>34710</v>
      </c>
      <c r="C273" s="60">
        <v>978</v>
      </c>
      <c r="D273" s="60">
        <v>4170</v>
      </c>
      <c r="E273" s="60">
        <v>5934</v>
      </c>
      <c r="F273" s="60">
        <v>2866</v>
      </c>
      <c r="G273" s="60">
        <v>7530</v>
      </c>
      <c r="H273" s="60">
        <v>1890</v>
      </c>
      <c r="I273" s="60">
        <v>4516</v>
      </c>
      <c r="J273" s="60">
        <v>3252</v>
      </c>
      <c r="K273" s="60">
        <v>3572</v>
      </c>
    </row>
    <row r="274" spans="1:11" x14ac:dyDescent="0.35">
      <c r="A274" s="59" t="s">
        <v>2505</v>
      </c>
      <c r="B274" s="65">
        <v>64963</v>
      </c>
      <c r="C274" s="65">
        <v>2450</v>
      </c>
      <c r="D274" s="65">
        <v>8280</v>
      </c>
      <c r="E274" s="65">
        <v>12049</v>
      </c>
      <c r="F274" s="65">
        <v>5931</v>
      </c>
      <c r="G274" s="65">
        <v>12529</v>
      </c>
      <c r="H274" s="65">
        <v>2887</v>
      </c>
      <c r="I274" s="65">
        <v>8249</v>
      </c>
      <c r="J274" s="65">
        <v>5120</v>
      </c>
      <c r="K274" s="65">
        <v>7467</v>
      </c>
    </row>
    <row r="275" spans="1:11" x14ac:dyDescent="0.35">
      <c r="A275" s="59" t="s">
        <v>2506</v>
      </c>
      <c r="B275" s="60">
        <v>42071</v>
      </c>
      <c r="C275" s="60">
        <v>1490</v>
      </c>
      <c r="D275" s="60">
        <v>5662</v>
      </c>
      <c r="E275" s="60">
        <v>8121</v>
      </c>
      <c r="F275" s="60">
        <v>3279</v>
      </c>
      <c r="G275" s="60">
        <v>8630</v>
      </c>
      <c r="H275" s="60">
        <v>2245</v>
      </c>
      <c r="I275" s="60">
        <v>5154</v>
      </c>
      <c r="J275" s="60">
        <v>3406</v>
      </c>
      <c r="K275" s="60">
        <v>4084</v>
      </c>
    </row>
    <row r="276" spans="1:11" x14ac:dyDescent="0.35">
      <c r="A276" s="61" t="s">
        <v>2507</v>
      </c>
      <c r="B276" s="60">
        <v>18806</v>
      </c>
      <c r="C276" s="60">
        <v>814</v>
      </c>
      <c r="D276" s="60">
        <v>2168</v>
      </c>
      <c r="E276" s="60">
        <v>3272</v>
      </c>
      <c r="F276" s="60">
        <v>1649</v>
      </c>
      <c r="G276" s="60">
        <v>2939</v>
      </c>
      <c r="H276" s="60">
        <v>1340</v>
      </c>
      <c r="I276" s="60">
        <v>1931</v>
      </c>
      <c r="J276" s="60">
        <v>1595</v>
      </c>
      <c r="K276" s="60">
        <v>3098</v>
      </c>
    </row>
    <row r="277" spans="1:11" ht="31.5" customHeight="1" x14ac:dyDescent="0.35">
      <c r="A277" s="68" t="s">
        <v>2508</v>
      </c>
      <c r="B277" s="67" t="s">
        <v>27</v>
      </c>
      <c r="C277" s="67" t="s">
        <v>27</v>
      </c>
      <c r="D277" s="67" t="s">
        <v>27</v>
      </c>
      <c r="E277" s="67" t="s">
        <v>27</v>
      </c>
      <c r="F277" s="67" t="s">
        <v>27</v>
      </c>
      <c r="G277" s="67" t="s">
        <v>27</v>
      </c>
      <c r="H277" s="67" t="s">
        <v>27</v>
      </c>
      <c r="I277" s="67" t="s">
        <v>27</v>
      </c>
      <c r="J277" s="67" t="s">
        <v>27</v>
      </c>
      <c r="K277" s="67" t="s">
        <v>27</v>
      </c>
    </row>
    <row r="278" spans="1:11" x14ac:dyDescent="0.35">
      <c r="A278" s="61" t="s">
        <v>2509</v>
      </c>
      <c r="B278" s="60">
        <v>82281</v>
      </c>
      <c r="C278" s="60">
        <v>3102</v>
      </c>
      <c r="D278" s="60">
        <v>10872</v>
      </c>
      <c r="E278" s="60">
        <v>14890</v>
      </c>
      <c r="F278" s="60">
        <v>6719</v>
      </c>
      <c r="G278" s="60">
        <v>15609</v>
      </c>
      <c r="H278" s="60">
        <v>4454</v>
      </c>
      <c r="I278" s="60">
        <v>10070</v>
      </c>
      <c r="J278" s="60">
        <v>6555</v>
      </c>
      <c r="K278" s="60">
        <v>10011</v>
      </c>
    </row>
    <row r="279" spans="1:11" x14ac:dyDescent="0.35">
      <c r="A279" s="59" t="s">
        <v>2511</v>
      </c>
      <c r="B279" s="60">
        <v>50806</v>
      </c>
      <c r="C279" s="60">
        <v>1864</v>
      </c>
      <c r="D279" s="60">
        <v>7044</v>
      </c>
      <c r="E279" s="60">
        <v>8907</v>
      </c>
      <c r="F279" s="60">
        <v>3995</v>
      </c>
      <c r="G279" s="60">
        <v>10226</v>
      </c>
      <c r="H279" s="60">
        <v>2477</v>
      </c>
      <c r="I279" s="60">
        <v>5586</v>
      </c>
      <c r="J279" s="60">
        <v>4271</v>
      </c>
      <c r="K279" s="60">
        <v>6436</v>
      </c>
    </row>
    <row r="280" spans="1:11" x14ac:dyDescent="0.35">
      <c r="A280" s="69" t="s">
        <v>2512</v>
      </c>
      <c r="B280" s="60">
        <v>69618</v>
      </c>
      <c r="C280" s="60">
        <v>2722</v>
      </c>
      <c r="D280" s="60">
        <v>9341</v>
      </c>
      <c r="E280" s="60">
        <v>13255</v>
      </c>
      <c r="F280" s="60">
        <v>5626</v>
      </c>
      <c r="G280" s="60">
        <v>13221</v>
      </c>
      <c r="H280" s="60">
        <v>3590</v>
      </c>
      <c r="I280" s="60">
        <v>8300</v>
      </c>
      <c r="J280" s="60">
        <v>5422</v>
      </c>
      <c r="K280" s="60">
        <v>8140</v>
      </c>
    </row>
    <row r="281" spans="1:11" x14ac:dyDescent="0.35">
      <c r="A281" s="69" t="s">
        <v>2513</v>
      </c>
      <c r="B281" s="60">
        <v>51691</v>
      </c>
      <c r="C281" s="60">
        <v>1993</v>
      </c>
      <c r="D281" s="60">
        <v>7553</v>
      </c>
      <c r="E281" s="60">
        <v>9717</v>
      </c>
      <c r="F281" s="60">
        <v>4041</v>
      </c>
      <c r="G281" s="60">
        <v>9141</v>
      </c>
      <c r="H281" s="60">
        <v>2400</v>
      </c>
      <c r="I281" s="60">
        <v>6161</v>
      </c>
      <c r="J281" s="60">
        <v>4161</v>
      </c>
      <c r="K281" s="60">
        <v>6524</v>
      </c>
    </row>
    <row r="282" spans="1:11" x14ac:dyDescent="0.35">
      <c r="A282" s="69" t="s">
        <v>2823</v>
      </c>
      <c r="B282" s="60">
        <v>48792</v>
      </c>
      <c r="C282" s="60">
        <v>1968</v>
      </c>
      <c r="D282" s="60">
        <v>6450</v>
      </c>
      <c r="E282" s="60">
        <v>8926</v>
      </c>
      <c r="F282" s="60">
        <v>3887</v>
      </c>
      <c r="G282" s="60">
        <v>9400</v>
      </c>
      <c r="H282" s="60">
        <v>2331</v>
      </c>
      <c r="I282" s="60">
        <v>5927</v>
      </c>
      <c r="J282" s="60">
        <v>4375</v>
      </c>
      <c r="K282" s="60">
        <v>5527</v>
      </c>
    </row>
    <row r="283" spans="1:11" ht="15" x14ac:dyDescent="0.35">
      <c r="A283" s="69" t="s">
        <v>2822</v>
      </c>
      <c r="B283" s="64">
        <v>54108</v>
      </c>
      <c r="C283" s="64">
        <v>1978</v>
      </c>
      <c r="D283" s="64">
        <v>7847</v>
      </c>
      <c r="E283" s="64">
        <v>9991</v>
      </c>
      <c r="F283" s="64">
        <v>4104</v>
      </c>
      <c r="G283" s="64">
        <v>10719</v>
      </c>
      <c r="H283" s="64">
        <v>2463</v>
      </c>
      <c r="I283" s="64">
        <v>6292</v>
      </c>
      <c r="J283" s="64">
        <v>4506</v>
      </c>
      <c r="K283" s="64">
        <v>6208</v>
      </c>
    </row>
    <row r="284" spans="1:11" ht="15" x14ac:dyDescent="0.35">
      <c r="A284" s="69" t="s">
        <v>2821</v>
      </c>
      <c r="B284" s="60">
        <v>74817</v>
      </c>
      <c r="C284" s="60">
        <v>2975</v>
      </c>
      <c r="D284" s="60">
        <v>10239</v>
      </c>
      <c r="E284" s="60">
        <v>13424</v>
      </c>
      <c r="F284" s="60">
        <v>5974</v>
      </c>
      <c r="G284" s="60">
        <v>14126</v>
      </c>
      <c r="H284" s="60">
        <v>3797</v>
      </c>
      <c r="I284" s="60">
        <v>9483</v>
      </c>
      <c r="J284" s="60">
        <v>5888</v>
      </c>
      <c r="K284" s="60">
        <v>8911</v>
      </c>
    </row>
    <row r="285" spans="1:11" x14ac:dyDescent="0.35">
      <c r="A285" s="69" t="s">
        <v>2820</v>
      </c>
      <c r="B285" s="60">
        <v>17000</v>
      </c>
      <c r="C285" s="60">
        <v>727</v>
      </c>
      <c r="D285" s="60">
        <v>2808</v>
      </c>
      <c r="E285" s="60">
        <v>3364</v>
      </c>
      <c r="F285" s="60">
        <v>1331</v>
      </c>
      <c r="G285" s="60">
        <v>3351</v>
      </c>
      <c r="H285" s="60">
        <v>964</v>
      </c>
      <c r="I285" s="60">
        <v>1567</v>
      </c>
      <c r="J285" s="60">
        <v>1518</v>
      </c>
      <c r="K285" s="60">
        <v>1371</v>
      </c>
    </row>
    <row r="286" spans="1:11" x14ac:dyDescent="0.35">
      <c r="A286" s="69" t="s">
        <v>2819</v>
      </c>
      <c r="B286" s="60">
        <v>63871</v>
      </c>
      <c r="C286" s="60">
        <v>2413</v>
      </c>
      <c r="D286" s="60">
        <v>8888</v>
      </c>
      <c r="E286" s="60">
        <v>11183</v>
      </c>
      <c r="F286" s="60">
        <v>5169</v>
      </c>
      <c r="G286" s="60">
        <v>12197</v>
      </c>
      <c r="H286" s="60">
        <v>3190</v>
      </c>
      <c r="I286" s="60">
        <v>8259</v>
      </c>
      <c r="J286" s="60">
        <v>5310</v>
      </c>
      <c r="K286" s="60">
        <v>7263</v>
      </c>
    </row>
    <row r="287" spans="1:11" x14ac:dyDescent="0.35">
      <c r="A287" s="69" t="s">
        <v>2818</v>
      </c>
      <c r="B287" s="60">
        <v>33796</v>
      </c>
      <c r="C287" s="60">
        <v>1528</v>
      </c>
      <c r="D287" s="60">
        <v>4684</v>
      </c>
      <c r="E287" s="60">
        <v>6441</v>
      </c>
      <c r="F287" s="60">
        <v>2711</v>
      </c>
      <c r="G287" s="60">
        <v>6059</v>
      </c>
      <c r="H287" s="60">
        <v>1618</v>
      </c>
      <c r="I287" s="60">
        <v>3915</v>
      </c>
      <c r="J287" s="60">
        <v>3429</v>
      </c>
      <c r="K287" s="60">
        <v>3411</v>
      </c>
    </row>
    <row r="288" spans="1:11" ht="46.5" customHeight="1" x14ac:dyDescent="0.35">
      <c r="A288" s="68" t="s">
        <v>2529</v>
      </c>
      <c r="B288" s="67" t="s">
        <v>27</v>
      </c>
      <c r="C288" s="67" t="s">
        <v>27</v>
      </c>
      <c r="D288" s="67" t="s">
        <v>27</v>
      </c>
      <c r="E288" s="67" t="s">
        <v>27</v>
      </c>
      <c r="F288" s="67" t="s">
        <v>27</v>
      </c>
      <c r="G288" s="67" t="s">
        <v>27</v>
      </c>
      <c r="H288" s="67" t="s">
        <v>27</v>
      </c>
      <c r="I288" s="67" t="s">
        <v>27</v>
      </c>
      <c r="J288" s="67" t="s">
        <v>27</v>
      </c>
      <c r="K288" s="67" t="s">
        <v>27</v>
      </c>
    </row>
    <row r="289" spans="1:11" ht="26.5" x14ac:dyDescent="0.35">
      <c r="A289" s="61" t="s">
        <v>2817</v>
      </c>
      <c r="B289" s="60">
        <v>10356</v>
      </c>
      <c r="C289" s="60">
        <v>329</v>
      </c>
      <c r="D289" s="60">
        <v>1285</v>
      </c>
      <c r="E289" s="60">
        <v>1998</v>
      </c>
      <c r="F289" s="60">
        <v>936</v>
      </c>
      <c r="G289" s="60">
        <v>2019</v>
      </c>
      <c r="H289" s="60">
        <v>340</v>
      </c>
      <c r="I289" s="60">
        <v>1011</v>
      </c>
      <c r="J289" s="60">
        <v>1102</v>
      </c>
      <c r="K289" s="60">
        <v>1337</v>
      </c>
    </row>
    <row r="290" spans="1:11" x14ac:dyDescent="0.35">
      <c r="A290" s="61" t="s">
        <v>2816</v>
      </c>
      <c r="B290" s="60">
        <v>9769</v>
      </c>
      <c r="C290" s="60">
        <v>329</v>
      </c>
      <c r="D290" s="60">
        <v>1328</v>
      </c>
      <c r="E290" s="60">
        <v>2052</v>
      </c>
      <c r="F290" s="60">
        <v>539</v>
      </c>
      <c r="G290" s="60">
        <v>1810</v>
      </c>
      <c r="H290" s="60">
        <v>375</v>
      </c>
      <c r="I290" s="60">
        <v>980</v>
      </c>
      <c r="J290" s="60">
        <v>983</v>
      </c>
      <c r="K290" s="60">
        <v>1373</v>
      </c>
    </row>
    <row r="291" spans="1:11" x14ac:dyDescent="0.35">
      <c r="A291" s="61" t="s">
        <v>2532</v>
      </c>
      <c r="B291" s="60">
        <v>14535</v>
      </c>
      <c r="C291" s="60">
        <v>725</v>
      </c>
      <c r="D291" s="60">
        <v>2436</v>
      </c>
      <c r="E291" s="60">
        <v>3046</v>
      </c>
      <c r="F291" s="60">
        <v>1208</v>
      </c>
      <c r="G291" s="60">
        <v>2752</v>
      </c>
      <c r="H291" s="60">
        <v>635</v>
      </c>
      <c r="I291" s="60">
        <v>1450</v>
      </c>
      <c r="J291" s="60">
        <v>1202</v>
      </c>
      <c r="K291" s="60">
        <v>1081</v>
      </c>
    </row>
    <row r="292" spans="1:11" ht="26.5" x14ac:dyDescent="0.35">
      <c r="A292" s="61" t="s">
        <v>2533</v>
      </c>
      <c r="B292" s="64">
        <v>17661</v>
      </c>
      <c r="C292" s="64">
        <v>767</v>
      </c>
      <c r="D292" s="64">
        <v>2521</v>
      </c>
      <c r="E292" s="64">
        <v>3324</v>
      </c>
      <c r="F292" s="64">
        <v>1598</v>
      </c>
      <c r="G292" s="64">
        <v>3515</v>
      </c>
      <c r="H292" s="64">
        <v>696</v>
      </c>
      <c r="I292" s="64">
        <v>1999</v>
      </c>
      <c r="J292" s="64">
        <v>1629</v>
      </c>
      <c r="K292" s="64">
        <v>1611</v>
      </c>
    </row>
    <row r="293" spans="1:11" x14ac:dyDescent="0.35">
      <c r="A293" s="61" t="s">
        <v>2534</v>
      </c>
      <c r="B293" s="60">
        <v>20617</v>
      </c>
      <c r="C293" s="60">
        <v>1005</v>
      </c>
      <c r="D293" s="60">
        <v>2780</v>
      </c>
      <c r="E293" s="60">
        <v>4288</v>
      </c>
      <c r="F293" s="60">
        <v>1933</v>
      </c>
      <c r="G293" s="60">
        <v>3462</v>
      </c>
      <c r="H293" s="60">
        <v>828</v>
      </c>
      <c r="I293" s="60">
        <v>2398</v>
      </c>
      <c r="J293" s="60">
        <v>1939</v>
      </c>
      <c r="K293" s="60">
        <v>1985</v>
      </c>
    </row>
    <row r="294" spans="1:11" ht="34" customHeight="1" x14ac:dyDescent="0.35">
      <c r="A294" s="68" t="s">
        <v>2535</v>
      </c>
      <c r="B294" s="67" t="s">
        <v>27</v>
      </c>
      <c r="C294" s="67" t="s">
        <v>27</v>
      </c>
      <c r="D294" s="67" t="s">
        <v>27</v>
      </c>
      <c r="E294" s="67" t="s">
        <v>27</v>
      </c>
      <c r="F294" s="67" t="s">
        <v>27</v>
      </c>
      <c r="G294" s="67" t="s">
        <v>27</v>
      </c>
      <c r="H294" s="67" t="s">
        <v>27</v>
      </c>
      <c r="I294" s="67" t="s">
        <v>27</v>
      </c>
      <c r="J294" s="67" t="s">
        <v>27</v>
      </c>
      <c r="K294" s="67" t="s">
        <v>27</v>
      </c>
    </row>
    <row r="295" spans="1:11" x14ac:dyDescent="0.35">
      <c r="A295" s="61" t="s">
        <v>2815</v>
      </c>
      <c r="B295" s="60">
        <v>48700</v>
      </c>
      <c r="C295" s="60">
        <v>1755</v>
      </c>
      <c r="D295" s="60">
        <v>7018</v>
      </c>
      <c r="E295" s="60">
        <v>8991</v>
      </c>
      <c r="F295" s="60">
        <v>3583</v>
      </c>
      <c r="G295" s="60">
        <v>9135</v>
      </c>
      <c r="H295" s="60">
        <v>2391</v>
      </c>
      <c r="I295" s="60">
        <v>5929</v>
      </c>
      <c r="J295" s="60">
        <v>4104</v>
      </c>
      <c r="K295" s="60">
        <v>5794</v>
      </c>
    </row>
    <row r="296" spans="1:11" x14ac:dyDescent="0.35">
      <c r="A296" s="61" t="s">
        <v>2536</v>
      </c>
      <c r="B296" s="60">
        <v>11383</v>
      </c>
      <c r="C296" s="60">
        <v>455</v>
      </c>
      <c r="D296" s="60">
        <v>2114</v>
      </c>
      <c r="E296" s="60">
        <v>2303</v>
      </c>
      <c r="F296" s="60">
        <v>733</v>
      </c>
      <c r="G296" s="60">
        <v>1910</v>
      </c>
      <c r="H296" s="60">
        <v>422</v>
      </c>
      <c r="I296" s="60">
        <v>1077</v>
      </c>
      <c r="J296" s="60">
        <v>982</v>
      </c>
      <c r="K296" s="60">
        <v>1387</v>
      </c>
    </row>
    <row r="297" spans="1:11" x14ac:dyDescent="0.35">
      <c r="A297" s="61" t="s">
        <v>2537</v>
      </c>
      <c r="B297" s="60">
        <v>16527</v>
      </c>
      <c r="C297" s="60">
        <v>461</v>
      </c>
      <c r="D297" s="60">
        <v>2479</v>
      </c>
      <c r="E297" s="60">
        <v>3078</v>
      </c>
      <c r="F297" s="60">
        <v>1421</v>
      </c>
      <c r="G297" s="60">
        <v>2993</v>
      </c>
      <c r="H297" s="60">
        <v>736</v>
      </c>
      <c r="I297" s="60">
        <v>2006</v>
      </c>
      <c r="J297" s="60">
        <v>1782</v>
      </c>
      <c r="K297" s="60">
        <v>1572</v>
      </c>
    </row>
    <row r="298" spans="1:11" x14ac:dyDescent="0.35">
      <c r="A298" s="61" t="s">
        <v>2538</v>
      </c>
      <c r="B298" s="60">
        <v>12656</v>
      </c>
      <c r="C298" s="60">
        <v>389</v>
      </c>
      <c r="D298" s="60">
        <v>1878</v>
      </c>
      <c r="E298" s="60">
        <v>2147</v>
      </c>
      <c r="F298" s="60">
        <v>1199</v>
      </c>
      <c r="G298" s="60">
        <v>2182</v>
      </c>
      <c r="H298" s="60">
        <v>618</v>
      </c>
      <c r="I298" s="60">
        <v>1825</v>
      </c>
      <c r="J298" s="60">
        <v>1125</v>
      </c>
      <c r="K298" s="60">
        <v>1293</v>
      </c>
    </row>
    <row r="299" spans="1:11" ht="46.5" customHeight="1" x14ac:dyDescent="0.35">
      <c r="A299" s="66" t="s">
        <v>2542</v>
      </c>
      <c r="B299" s="62" t="s">
        <v>27</v>
      </c>
      <c r="C299" s="62" t="s">
        <v>27</v>
      </c>
      <c r="D299" s="62" t="s">
        <v>27</v>
      </c>
      <c r="E299" s="62" t="s">
        <v>27</v>
      </c>
      <c r="F299" s="62" t="s">
        <v>27</v>
      </c>
      <c r="G299" s="62" t="s">
        <v>27</v>
      </c>
      <c r="H299" s="62" t="s">
        <v>27</v>
      </c>
      <c r="I299" s="62" t="s">
        <v>27</v>
      </c>
      <c r="J299" s="62" t="s">
        <v>27</v>
      </c>
      <c r="K299" s="62" t="s">
        <v>27</v>
      </c>
    </row>
    <row r="300" spans="1:11" x14ac:dyDescent="0.35">
      <c r="A300" s="61" t="s">
        <v>2543</v>
      </c>
      <c r="B300" s="60">
        <v>73030</v>
      </c>
      <c r="C300" s="60">
        <v>2908</v>
      </c>
      <c r="D300" s="60">
        <v>9981</v>
      </c>
      <c r="E300" s="60">
        <v>13971</v>
      </c>
      <c r="F300" s="60">
        <v>6978</v>
      </c>
      <c r="G300" s="60">
        <v>13368</v>
      </c>
      <c r="H300" s="60">
        <v>3973</v>
      </c>
      <c r="I300" s="60">
        <v>7789</v>
      </c>
      <c r="J300" s="60">
        <v>6309</v>
      </c>
      <c r="K300" s="60">
        <v>7752</v>
      </c>
    </row>
    <row r="301" spans="1:11" x14ac:dyDescent="0.35">
      <c r="A301" s="61" t="s">
        <v>2544</v>
      </c>
      <c r="B301" s="60">
        <v>44523</v>
      </c>
      <c r="C301" s="60">
        <v>1140</v>
      </c>
      <c r="D301" s="60">
        <v>5233</v>
      </c>
      <c r="E301" s="60">
        <v>7382</v>
      </c>
      <c r="F301" s="60">
        <v>3509</v>
      </c>
      <c r="G301" s="60">
        <v>8744</v>
      </c>
      <c r="H301" s="60">
        <v>2482</v>
      </c>
      <c r="I301" s="60">
        <v>5862</v>
      </c>
      <c r="J301" s="60">
        <v>3838</v>
      </c>
      <c r="K301" s="60">
        <v>6332</v>
      </c>
    </row>
    <row r="302" spans="1:11" x14ac:dyDescent="0.35">
      <c r="A302" s="61" t="s">
        <v>2545</v>
      </c>
      <c r="B302" s="60">
        <v>17941</v>
      </c>
      <c r="C302" s="60">
        <v>591</v>
      </c>
      <c r="D302" s="60">
        <v>2027</v>
      </c>
      <c r="E302" s="60">
        <v>3855</v>
      </c>
      <c r="F302" s="60">
        <v>901</v>
      </c>
      <c r="G302" s="60">
        <v>2745</v>
      </c>
      <c r="H302" s="60">
        <v>644</v>
      </c>
      <c r="I302" s="60">
        <v>2091</v>
      </c>
      <c r="J302" s="60">
        <v>2065</v>
      </c>
      <c r="K302" s="60">
        <v>3021</v>
      </c>
    </row>
    <row r="303" spans="1:11" x14ac:dyDescent="0.35">
      <c r="A303" s="61" t="s">
        <v>2546</v>
      </c>
      <c r="B303" s="60">
        <v>28834</v>
      </c>
      <c r="C303" s="60">
        <v>771</v>
      </c>
      <c r="D303" s="60">
        <v>2666</v>
      </c>
      <c r="E303" s="60">
        <v>4791</v>
      </c>
      <c r="F303" s="60">
        <v>2341</v>
      </c>
      <c r="G303" s="60">
        <v>5487</v>
      </c>
      <c r="H303" s="60">
        <v>1878</v>
      </c>
      <c r="I303" s="60">
        <v>3866</v>
      </c>
      <c r="J303" s="60">
        <v>2767</v>
      </c>
      <c r="K303" s="60">
        <v>4267</v>
      </c>
    </row>
    <row r="304" spans="1:11" x14ac:dyDescent="0.35">
      <c r="A304" s="61" t="s">
        <v>2547</v>
      </c>
      <c r="B304" s="60">
        <v>19792</v>
      </c>
      <c r="C304" s="60">
        <v>777</v>
      </c>
      <c r="D304" s="60">
        <v>2403</v>
      </c>
      <c r="E304" s="60">
        <v>3772</v>
      </c>
      <c r="F304" s="60">
        <v>1445</v>
      </c>
      <c r="G304" s="60">
        <v>3563</v>
      </c>
      <c r="H304" s="60">
        <v>643</v>
      </c>
      <c r="I304" s="60">
        <v>2179</v>
      </c>
      <c r="J304" s="60">
        <v>1869</v>
      </c>
      <c r="K304" s="60">
        <v>3141</v>
      </c>
    </row>
    <row r="305" spans="1:11" x14ac:dyDescent="0.35">
      <c r="A305" s="61" t="s">
        <v>2548</v>
      </c>
      <c r="B305" s="65">
        <v>33666</v>
      </c>
      <c r="C305" s="65">
        <v>1339</v>
      </c>
      <c r="D305" s="65">
        <v>5049</v>
      </c>
      <c r="E305" s="65">
        <v>5971</v>
      </c>
      <c r="F305" s="65">
        <v>2124</v>
      </c>
      <c r="G305" s="65">
        <v>6381</v>
      </c>
      <c r="H305" s="65">
        <v>1124</v>
      </c>
      <c r="I305" s="65">
        <v>3999</v>
      </c>
      <c r="J305" s="65">
        <v>3269</v>
      </c>
      <c r="K305" s="65">
        <v>4410</v>
      </c>
    </row>
    <row r="306" spans="1:11" x14ac:dyDescent="0.35">
      <c r="A306" s="61" t="s">
        <v>2549</v>
      </c>
      <c r="B306" s="60">
        <v>44365</v>
      </c>
      <c r="C306" s="60">
        <v>1953</v>
      </c>
      <c r="D306" s="60">
        <v>7036</v>
      </c>
      <c r="E306" s="60">
        <v>8771</v>
      </c>
      <c r="F306" s="60">
        <v>3056</v>
      </c>
      <c r="G306" s="60">
        <v>8295</v>
      </c>
      <c r="H306" s="60">
        <v>1674</v>
      </c>
      <c r="I306" s="60">
        <v>4052</v>
      </c>
      <c r="J306" s="60">
        <v>3652</v>
      </c>
      <c r="K306" s="60">
        <v>5876</v>
      </c>
    </row>
    <row r="307" spans="1:11" x14ac:dyDescent="0.35">
      <c r="A307" s="61" t="s">
        <v>2550</v>
      </c>
      <c r="B307" s="60">
        <v>14467</v>
      </c>
      <c r="C307" s="60">
        <v>560</v>
      </c>
      <c r="D307" s="60">
        <v>1622</v>
      </c>
      <c r="E307" s="60">
        <v>3367</v>
      </c>
      <c r="F307" s="60">
        <v>1054</v>
      </c>
      <c r="G307" s="60">
        <v>2826</v>
      </c>
      <c r="H307" s="60">
        <v>356</v>
      </c>
      <c r="I307" s="60">
        <v>1314</v>
      </c>
      <c r="J307" s="60">
        <v>1765</v>
      </c>
      <c r="K307" s="60">
        <v>1604</v>
      </c>
    </row>
    <row r="308" spans="1:11" x14ac:dyDescent="0.35">
      <c r="A308" s="61" t="s">
        <v>2551</v>
      </c>
      <c r="B308" s="60">
        <v>7244</v>
      </c>
      <c r="C308" s="60">
        <v>265</v>
      </c>
      <c r="D308" s="60">
        <v>1085</v>
      </c>
      <c r="E308" s="60">
        <v>1120</v>
      </c>
      <c r="F308" s="60">
        <v>270</v>
      </c>
      <c r="G308" s="60">
        <v>1523</v>
      </c>
      <c r="H308" s="60">
        <v>239</v>
      </c>
      <c r="I308" s="60">
        <v>726</v>
      </c>
      <c r="J308" s="60">
        <v>778</v>
      </c>
      <c r="K308" s="60">
        <v>1239</v>
      </c>
    </row>
    <row r="309" spans="1:11" x14ac:dyDescent="0.35">
      <c r="A309" s="61" t="s">
        <v>2814</v>
      </c>
      <c r="B309" s="60">
        <v>1961</v>
      </c>
      <c r="C309" s="60" t="s">
        <v>2309</v>
      </c>
      <c r="D309" s="60" t="s">
        <v>2309</v>
      </c>
      <c r="E309" s="60">
        <v>456</v>
      </c>
      <c r="F309" s="60" t="s">
        <v>2309</v>
      </c>
      <c r="G309" s="60">
        <v>421</v>
      </c>
      <c r="H309" s="60" t="s">
        <v>2309</v>
      </c>
      <c r="I309" s="60" t="s">
        <v>2309</v>
      </c>
      <c r="J309" s="60" t="s">
        <v>2309</v>
      </c>
      <c r="K309" s="60">
        <v>312</v>
      </c>
    </row>
    <row r="310" spans="1:11" x14ac:dyDescent="0.35">
      <c r="A310" s="61" t="s">
        <v>2552</v>
      </c>
      <c r="B310" s="60">
        <v>2042</v>
      </c>
      <c r="C310" s="60" t="s">
        <v>2309</v>
      </c>
      <c r="D310" s="60">
        <v>288</v>
      </c>
      <c r="E310" s="60">
        <v>570</v>
      </c>
      <c r="F310" s="60" t="s">
        <v>2309</v>
      </c>
      <c r="G310" s="60">
        <v>381</v>
      </c>
      <c r="H310" s="60" t="s">
        <v>2309</v>
      </c>
      <c r="I310" s="60" t="s">
        <v>2309</v>
      </c>
      <c r="J310" s="60" t="s">
        <v>2309</v>
      </c>
      <c r="K310" s="60">
        <v>330</v>
      </c>
    </row>
    <row r="311" spans="1:11" ht="26.5" x14ac:dyDescent="0.35">
      <c r="A311" s="61" t="s">
        <v>2813</v>
      </c>
      <c r="B311" s="64">
        <v>16707</v>
      </c>
      <c r="C311" s="64">
        <v>669</v>
      </c>
      <c r="D311" s="64">
        <v>2142</v>
      </c>
      <c r="E311" s="64">
        <v>2566</v>
      </c>
      <c r="F311" s="64">
        <v>1107</v>
      </c>
      <c r="G311" s="64">
        <v>3428</v>
      </c>
      <c r="H311" s="64">
        <v>605</v>
      </c>
      <c r="I311" s="64">
        <v>1952</v>
      </c>
      <c r="J311" s="64">
        <v>1711</v>
      </c>
      <c r="K311" s="64">
        <v>2527</v>
      </c>
    </row>
    <row r="312" spans="1:11" ht="24" customHeight="1" x14ac:dyDescent="0.35">
      <c r="A312" s="63" t="s">
        <v>2812</v>
      </c>
      <c r="B312" s="62" t="s">
        <v>27</v>
      </c>
      <c r="C312" s="62" t="s">
        <v>27</v>
      </c>
      <c r="D312" s="62" t="s">
        <v>27</v>
      </c>
      <c r="E312" s="62" t="s">
        <v>27</v>
      </c>
      <c r="F312" s="62" t="s">
        <v>27</v>
      </c>
      <c r="G312" s="62" t="s">
        <v>27</v>
      </c>
      <c r="H312" s="62" t="s">
        <v>27</v>
      </c>
      <c r="I312" s="62" t="s">
        <v>27</v>
      </c>
      <c r="J312" s="62" t="s">
        <v>27</v>
      </c>
      <c r="K312" s="62" t="s">
        <v>27</v>
      </c>
    </row>
    <row r="313" spans="1:11" ht="26.5" x14ac:dyDescent="0.35">
      <c r="A313" s="61" t="s">
        <v>2811</v>
      </c>
      <c r="B313" s="60">
        <v>10165</v>
      </c>
      <c r="C313" s="60">
        <v>355</v>
      </c>
      <c r="D313" s="60">
        <v>1303</v>
      </c>
      <c r="E313" s="60">
        <v>1740</v>
      </c>
      <c r="F313" s="60">
        <v>343</v>
      </c>
      <c r="G313" s="60">
        <v>2399</v>
      </c>
      <c r="H313" s="60">
        <v>381</v>
      </c>
      <c r="I313" s="60">
        <v>568</v>
      </c>
      <c r="J313" s="60">
        <v>1131</v>
      </c>
      <c r="K313" s="60">
        <v>1944</v>
      </c>
    </row>
    <row r="314" spans="1:11" ht="15" thickBot="1" x14ac:dyDescent="0.4">
      <c r="A314" s="59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35">
      <c r="A315" s="161" t="s">
        <v>2810</v>
      </c>
      <c r="B315" s="161"/>
      <c r="C315" s="161"/>
      <c r="D315" s="161"/>
      <c r="E315" s="161"/>
      <c r="F315" s="161"/>
      <c r="G315" s="161"/>
      <c r="H315" s="162"/>
      <c r="I315" s="162"/>
      <c r="J315" s="162"/>
      <c r="K315" s="162"/>
    </row>
  </sheetData>
  <mergeCells count="7">
    <mergeCell ref="A315:K315"/>
    <mergeCell ref="A2:K2"/>
    <mergeCell ref="B3:K3"/>
    <mergeCell ref="C4:D4"/>
    <mergeCell ref="E4:F4"/>
    <mergeCell ref="G4:I4"/>
    <mergeCell ref="J4:K4"/>
  </mergeCells>
  <pageMargins left="0.7" right="0.7" top="0.6" bottom="0.6" header="0.3" footer="0.3"/>
  <pageSetup scale="86" fitToHeight="0" orientation="portrait" r:id="rId1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DB09-92BF-4E33-81BD-AB37BE7CE937}">
  <sheetPr>
    <pageSetUpPr fitToPage="1"/>
  </sheetPr>
  <dimension ref="A1:O315"/>
  <sheetViews>
    <sheetView showGridLines="0" zoomScaleNormal="100" workbookViewId="0">
      <pane ySplit="5" topLeftCell="A6" activePane="bottomLeft" state="frozen"/>
      <selection pane="bottomLeft" activeCell="N15" sqref="N15"/>
    </sheetView>
  </sheetViews>
  <sheetFormatPr defaultColWidth="8.7265625" defaultRowHeight="14.5" x14ac:dyDescent="0.35"/>
  <cols>
    <col min="1" max="1" width="29.81640625" customWidth="1"/>
    <col min="2" max="2" width="8" style="24" customWidth="1"/>
    <col min="3" max="7" width="6.54296875" style="24" customWidth="1"/>
    <col min="8" max="8" width="7.81640625" style="24" customWidth="1"/>
    <col min="9" max="12" width="7.54296875" style="24" customWidth="1"/>
    <col min="13" max="13" width="7.54296875" customWidth="1"/>
  </cols>
  <sheetData>
    <row r="1" spans="1:15" x14ac:dyDescent="0.35">
      <c r="A1" s="23" t="s">
        <v>2858</v>
      </c>
    </row>
    <row r="2" spans="1:15" ht="25.5" customHeight="1" x14ac:dyDescent="0.35">
      <c r="A2" s="163" t="s">
        <v>2866</v>
      </c>
      <c r="B2" s="164"/>
      <c r="C2" s="164"/>
      <c r="D2" s="164"/>
      <c r="E2" s="164"/>
      <c r="F2" s="164"/>
      <c r="G2" s="164"/>
      <c r="H2" s="164"/>
      <c r="I2" s="176"/>
      <c r="J2" s="176"/>
      <c r="K2" s="176"/>
      <c r="L2" s="176"/>
      <c r="M2" s="176"/>
    </row>
    <row r="3" spans="1:15" ht="28.5" customHeight="1" thickBot="1" x14ac:dyDescent="0.4">
      <c r="A3" s="81"/>
      <c r="B3" s="165" t="s">
        <v>2561</v>
      </c>
      <c r="C3" s="165"/>
      <c r="D3" s="165"/>
      <c r="E3" s="165"/>
      <c r="F3" s="165"/>
      <c r="G3" s="173"/>
      <c r="H3" s="165" t="s">
        <v>2286</v>
      </c>
      <c r="I3" s="165"/>
      <c r="J3" s="165"/>
      <c r="K3" s="165"/>
      <c r="L3" s="165"/>
      <c r="M3" s="173"/>
    </row>
    <row r="4" spans="1:15" ht="49.5" customHeight="1" thickBot="1" x14ac:dyDescent="0.4">
      <c r="A4" s="79"/>
      <c r="B4" s="78" t="s">
        <v>2291</v>
      </c>
      <c r="C4" s="78" t="s">
        <v>2562</v>
      </c>
      <c r="D4" s="78" t="s">
        <v>2563</v>
      </c>
      <c r="E4" s="78" t="s">
        <v>2564</v>
      </c>
      <c r="F4" s="78" t="s">
        <v>2565</v>
      </c>
      <c r="G4" s="78" t="s">
        <v>2566</v>
      </c>
      <c r="H4" s="78" t="s">
        <v>2291</v>
      </c>
      <c r="I4" s="78" t="s">
        <v>2562</v>
      </c>
      <c r="J4" s="78" t="s">
        <v>2563</v>
      </c>
      <c r="K4" s="78" t="s">
        <v>2564</v>
      </c>
      <c r="L4" s="78" t="s">
        <v>2565</v>
      </c>
      <c r="M4" s="78" t="s">
        <v>2566</v>
      </c>
    </row>
    <row r="5" spans="1:15" ht="24" customHeight="1" thickTop="1" x14ac:dyDescent="0.35">
      <c r="A5" s="77" t="s">
        <v>2299</v>
      </c>
      <c r="B5" s="76">
        <v>5918</v>
      </c>
      <c r="C5" s="76">
        <v>4106</v>
      </c>
      <c r="D5" s="76">
        <v>1286</v>
      </c>
      <c r="E5" s="76">
        <v>370</v>
      </c>
      <c r="F5" s="76">
        <v>142</v>
      </c>
      <c r="G5" s="76">
        <v>16</v>
      </c>
      <c r="H5" s="76">
        <v>96758</v>
      </c>
      <c r="I5" s="76">
        <v>43918</v>
      </c>
      <c r="J5" s="76">
        <v>23317</v>
      </c>
      <c r="K5" s="76">
        <v>10465</v>
      </c>
      <c r="L5" s="76">
        <v>13058</v>
      </c>
      <c r="M5" s="76">
        <v>6000</v>
      </c>
    </row>
    <row r="6" spans="1:15" ht="24" customHeight="1" x14ac:dyDescent="0.35">
      <c r="A6" s="71" t="s">
        <v>2300</v>
      </c>
      <c r="B6" s="84" t="s">
        <v>27</v>
      </c>
      <c r="C6" s="84" t="s">
        <v>27</v>
      </c>
      <c r="D6" s="84" t="s">
        <v>27</v>
      </c>
      <c r="E6" s="84" t="s">
        <v>27</v>
      </c>
      <c r="F6" s="84" t="s">
        <v>27</v>
      </c>
      <c r="G6" s="84" t="s">
        <v>27</v>
      </c>
      <c r="H6" s="84" t="s">
        <v>27</v>
      </c>
      <c r="I6" s="84" t="s">
        <v>27</v>
      </c>
      <c r="J6" s="84" t="s">
        <v>27</v>
      </c>
      <c r="K6" s="84" t="s">
        <v>27</v>
      </c>
      <c r="L6" s="84" t="s">
        <v>27</v>
      </c>
      <c r="M6" s="84" t="s">
        <v>27</v>
      </c>
      <c r="O6" t="s">
        <v>2914</v>
      </c>
    </row>
    <row r="7" spans="1:15" ht="15" customHeight="1" x14ac:dyDescent="0.35">
      <c r="A7" s="61" t="s">
        <v>2301</v>
      </c>
      <c r="B7" s="60">
        <v>2837</v>
      </c>
      <c r="C7" s="60">
        <v>2231</v>
      </c>
      <c r="D7" s="60">
        <v>476</v>
      </c>
      <c r="E7" s="60">
        <v>117</v>
      </c>
      <c r="F7" s="60" t="s">
        <v>2309</v>
      </c>
      <c r="G7" s="60" t="s">
        <v>2399</v>
      </c>
      <c r="H7" s="60">
        <v>8031</v>
      </c>
      <c r="I7" s="60">
        <v>6113</v>
      </c>
      <c r="J7" s="60">
        <v>1518</v>
      </c>
      <c r="K7" s="60">
        <v>370</v>
      </c>
      <c r="L7" s="60" t="s">
        <v>2309</v>
      </c>
      <c r="M7" s="60" t="s">
        <v>2399</v>
      </c>
      <c r="N7" s="193">
        <v>2500</v>
      </c>
      <c r="O7" s="193">
        <f>SUMPRODUCT(H7:H14,N7:N14)/SUM(H7:H14)</f>
        <v>148433.47905621183</v>
      </c>
    </row>
    <row r="8" spans="1:15" ht="15" customHeight="1" x14ac:dyDescent="0.35">
      <c r="A8" s="61" t="s">
        <v>2302</v>
      </c>
      <c r="B8" s="60">
        <v>1358</v>
      </c>
      <c r="C8" s="60">
        <v>997</v>
      </c>
      <c r="D8" s="60">
        <v>297</v>
      </c>
      <c r="E8" s="60">
        <v>55</v>
      </c>
      <c r="F8" s="60" t="s">
        <v>2309</v>
      </c>
      <c r="G8" s="60" t="s">
        <v>2399</v>
      </c>
      <c r="H8" s="60">
        <v>10206</v>
      </c>
      <c r="I8" s="60">
        <v>7415</v>
      </c>
      <c r="J8" s="60">
        <v>2297</v>
      </c>
      <c r="K8" s="60">
        <v>432</v>
      </c>
      <c r="L8" s="60" t="s">
        <v>2309</v>
      </c>
      <c r="M8" s="60" t="s">
        <v>2399</v>
      </c>
      <c r="N8" s="193">
        <v>7500</v>
      </c>
    </row>
    <row r="9" spans="1:15" ht="15" customHeight="1" x14ac:dyDescent="0.35">
      <c r="A9" s="61" t="s">
        <v>2303</v>
      </c>
      <c r="B9" s="60">
        <v>966</v>
      </c>
      <c r="C9" s="60">
        <v>564</v>
      </c>
      <c r="D9" s="60">
        <v>301</v>
      </c>
      <c r="E9" s="60">
        <v>82</v>
      </c>
      <c r="F9" s="60">
        <v>20</v>
      </c>
      <c r="G9" s="60" t="s">
        <v>2399</v>
      </c>
      <c r="H9" s="60">
        <v>15623</v>
      </c>
      <c r="I9" s="60">
        <v>9128</v>
      </c>
      <c r="J9" s="60">
        <v>4801</v>
      </c>
      <c r="K9" s="60">
        <v>1326</v>
      </c>
      <c r="L9" s="60">
        <v>368</v>
      </c>
      <c r="M9" s="60" t="s">
        <v>2399</v>
      </c>
      <c r="N9" s="193">
        <v>17500</v>
      </c>
    </row>
    <row r="10" spans="1:15" ht="15" customHeight="1" x14ac:dyDescent="0.35">
      <c r="A10" s="61" t="s">
        <v>2304</v>
      </c>
      <c r="B10" s="60">
        <v>397</v>
      </c>
      <c r="C10" s="60">
        <v>186</v>
      </c>
      <c r="D10" s="60">
        <v>121</v>
      </c>
      <c r="E10" s="60">
        <v>65</v>
      </c>
      <c r="F10" s="60">
        <v>25</v>
      </c>
      <c r="G10" s="60" t="s">
        <v>2399</v>
      </c>
      <c r="H10" s="60">
        <v>14430</v>
      </c>
      <c r="I10" s="60">
        <v>6726</v>
      </c>
      <c r="J10" s="60">
        <v>4314</v>
      </c>
      <c r="K10" s="60">
        <v>2430</v>
      </c>
      <c r="L10" s="60">
        <v>960</v>
      </c>
      <c r="M10" s="60" t="s">
        <v>2399</v>
      </c>
      <c r="N10" s="193">
        <v>37500</v>
      </c>
    </row>
    <row r="11" spans="1:15" ht="15" customHeight="1" x14ac:dyDescent="0.35">
      <c r="A11" s="61" t="s">
        <v>2305</v>
      </c>
      <c r="B11" s="60">
        <v>218</v>
      </c>
      <c r="C11" s="60">
        <v>87</v>
      </c>
      <c r="D11" s="60">
        <v>57</v>
      </c>
      <c r="E11" s="60">
        <v>35</v>
      </c>
      <c r="F11" s="60">
        <v>37</v>
      </c>
      <c r="G11" s="60" t="s">
        <v>2309</v>
      </c>
      <c r="H11" s="60">
        <v>15387</v>
      </c>
      <c r="I11" s="60">
        <v>6081</v>
      </c>
      <c r="J11" s="60">
        <v>3971</v>
      </c>
      <c r="K11" s="60">
        <v>2478</v>
      </c>
      <c r="L11" s="60">
        <v>2703</v>
      </c>
      <c r="M11" s="60" t="s">
        <v>2309</v>
      </c>
      <c r="N11" s="193">
        <v>75000</v>
      </c>
    </row>
    <row r="12" spans="1:15" ht="15" customHeight="1" x14ac:dyDescent="0.35">
      <c r="A12" s="61" t="s">
        <v>2306</v>
      </c>
      <c r="B12" s="60">
        <v>93</v>
      </c>
      <c r="C12" s="60">
        <v>29</v>
      </c>
      <c r="D12" s="60">
        <v>26</v>
      </c>
      <c r="E12" s="60">
        <v>10</v>
      </c>
      <c r="F12" s="60">
        <v>25</v>
      </c>
      <c r="G12" s="60">
        <v>4</v>
      </c>
      <c r="H12" s="60">
        <v>13042</v>
      </c>
      <c r="I12" s="60">
        <v>4046</v>
      </c>
      <c r="J12" s="60">
        <v>3525</v>
      </c>
      <c r="K12" s="60">
        <v>1338</v>
      </c>
      <c r="L12" s="60">
        <v>3451</v>
      </c>
      <c r="M12" s="60">
        <v>682</v>
      </c>
      <c r="N12" s="193">
        <v>150000</v>
      </c>
    </row>
    <row r="13" spans="1:15" ht="15" customHeight="1" x14ac:dyDescent="0.35">
      <c r="A13" s="61" t="s">
        <v>2307</v>
      </c>
      <c r="B13" s="60">
        <v>40</v>
      </c>
      <c r="C13" s="60">
        <v>11</v>
      </c>
      <c r="D13" s="60">
        <v>7</v>
      </c>
      <c r="E13" s="60">
        <v>5</v>
      </c>
      <c r="F13" s="60">
        <v>11</v>
      </c>
      <c r="G13" s="60">
        <v>6</v>
      </c>
      <c r="H13" s="60">
        <v>11723</v>
      </c>
      <c r="I13" s="60">
        <v>3135</v>
      </c>
      <c r="J13" s="60">
        <v>1884</v>
      </c>
      <c r="K13" s="60">
        <v>1400</v>
      </c>
      <c r="L13" s="60">
        <v>3384</v>
      </c>
      <c r="M13" s="60">
        <v>1920</v>
      </c>
      <c r="N13" s="193">
        <v>350000</v>
      </c>
    </row>
    <row r="14" spans="1:15" ht="15" customHeight="1" x14ac:dyDescent="0.35">
      <c r="A14" s="61" t="s">
        <v>2308</v>
      </c>
      <c r="B14" s="60">
        <v>9</v>
      </c>
      <c r="C14" s="60">
        <v>2</v>
      </c>
      <c r="D14" s="60">
        <v>1</v>
      </c>
      <c r="E14" s="60">
        <v>1</v>
      </c>
      <c r="F14" s="60">
        <v>2</v>
      </c>
      <c r="G14" s="60">
        <v>3</v>
      </c>
      <c r="H14" s="60">
        <v>8317</v>
      </c>
      <c r="I14" s="60">
        <v>1274</v>
      </c>
      <c r="J14" s="60">
        <v>1006</v>
      </c>
      <c r="K14" s="60">
        <v>691</v>
      </c>
      <c r="L14" s="60">
        <v>2102</v>
      </c>
      <c r="M14" s="60">
        <v>3244</v>
      </c>
      <c r="N14" s="193">
        <v>750000</v>
      </c>
    </row>
    <row r="15" spans="1:15" ht="24" customHeight="1" x14ac:dyDescent="0.35">
      <c r="A15" s="71" t="s">
        <v>2310</v>
      </c>
      <c r="B15" s="84" t="s">
        <v>27</v>
      </c>
      <c r="C15" s="84" t="s">
        <v>27</v>
      </c>
      <c r="D15" s="84" t="s">
        <v>27</v>
      </c>
      <c r="E15" s="84" t="s">
        <v>27</v>
      </c>
      <c r="F15" s="84" t="s">
        <v>27</v>
      </c>
      <c r="G15" s="84" t="s">
        <v>27</v>
      </c>
      <c r="H15" s="84" t="s">
        <v>27</v>
      </c>
      <c r="I15" s="84" t="s">
        <v>27</v>
      </c>
      <c r="J15" s="84" t="s">
        <v>27</v>
      </c>
      <c r="K15" s="84" t="s">
        <v>27</v>
      </c>
      <c r="L15" s="84" t="s">
        <v>27</v>
      </c>
      <c r="M15" s="84" t="s">
        <v>27</v>
      </c>
    </row>
    <row r="16" spans="1:15" x14ac:dyDescent="0.35">
      <c r="A16" s="61" t="s">
        <v>2311</v>
      </c>
      <c r="B16" s="60">
        <v>438</v>
      </c>
      <c r="C16" s="60">
        <v>278</v>
      </c>
      <c r="D16" s="60">
        <v>111</v>
      </c>
      <c r="E16" s="60">
        <v>26</v>
      </c>
      <c r="F16" s="60">
        <v>23</v>
      </c>
      <c r="G16" s="60" t="s">
        <v>2309</v>
      </c>
      <c r="H16" s="60">
        <v>13686</v>
      </c>
      <c r="I16" s="60">
        <v>4978</v>
      </c>
      <c r="J16" s="60">
        <v>4346</v>
      </c>
      <c r="K16" s="60">
        <v>1990</v>
      </c>
      <c r="L16" s="60">
        <v>2294</v>
      </c>
      <c r="M16" s="60" t="s">
        <v>2309</v>
      </c>
    </row>
    <row r="17" spans="1:13" x14ac:dyDescent="0.35">
      <c r="A17" s="61" t="s">
        <v>2312</v>
      </c>
      <c r="B17" s="60">
        <v>163</v>
      </c>
      <c r="C17" s="60">
        <v>149</v>
      </c>
      <c r="D17" s="60" t="s">
        <v>2309</v>
      </c>
      <c r="E17" s="60" t="s">
        <v>2309</v>
      </c>
      <c r="F17" s="60" t="s">
        <v>2309</v>
      </c>
      <c r="G17" s="60" t="s">
        <v>2399</v>
      </c>
      <c r="H17" s="60">
        <v>1032</v>
      </c>
      <c r="I17" s="60">
        <v>858</v>
      </c>
      <c r="J17" s="60" t="s">
        <v>2309</v>
      </c>
      <c r="K17" s="60" t="s">
        <v>2309</v>
      </c>
      <c r="L17" s="60" t="s">
        <v>2309</v>
      </c>
      <c r="M17" s="60" t="s">
        <v>2399</v>
      </c>
    </row>
    <row r="18" spans="1:13" x14ac:dyDescent="0.35">
      <c r="A18" s="61" t="s">
        <v>2313</v>
      </c>
      <c r="B18" s="60">
        <v>284</v>
      </c>
      <c r="C18" s="60">
        <v>214</v>
      </c>
      <c r="D18" s="60">
        <v>47</v>
      </c>
      <c r="E18" s="60" t="s">
        <v>2309</v>
      </c>
      <c r="F18" s="60" t="s">
        <v>2309</v>
      </c>
      <c r="G18" s="60" t="s">
        <v>2399</v>
      </c>
      <c r="H18" s="60">
        <v>1372</v>
      </c>
      <c r="I18" s="60">
        <v>950</v>
      </c>
      <c r="J18" s="60">
        <v>292</v>
      </c>
      <c r="K18" s="60" t="s">
        <v>2309</v>
      </c>
      <c r="L18" s="60" t="s">
        <v>2309</v>
      </c>
      <c r="M18" s="60" t="s">
        <v>2399</v>
      </c>
    </row>
    <row r="19" spans="1:13" x14ac:dyDescent="0.35">
      <c r="A19" s="61" t="s">
        <v>2314</v>
      </c>
      <c r="B19" s="60">
        <v>137</v>
      </c>
      <c r="C19" s="60">
        <v>80</v>
      </c>
      <c r="D19" s="60">
        <v>36</v>
      </c>
      <c r="E19" s="60">
        <v>13</v>
      </c>
      <c r="F19" s="60">
        <v>8</v>
      </c>
      <c r="G19" s="60">
        <v>1</v>
      </c>
      <c r="H19" s="60">
        <v>4011</v>
      </c>
      <c r="I19" s="60">
        <v>676</v>
      </c>
      <c r="J19" s="60">
        <v>598</v>
      </c>
      <c r="K19" s="60">
        <v>423</v>
      </c>
      <c r="L19" s="60">
        <v>1711</v>
      </c>
      <c r="M19" s="60">
        <v>602</v>
      </c>
    </row>
    <row r="20" spans="1:13" x14ac:dyDescent="0.35">
      <c r="A20" s="59" t="s">
        <v>2315</v>
      </c>
      <c r="B20" s="60">
        <v>9</v>
      </c>
      <c r="C20" s="60" t="s">
        <v>2309</v>
      </c>
      <c r="D20" s="60" t="s">
        <v>2309</v>
      </c>
      <c r="E20" s="60" t="s">
        <v>2309</v>
      </c>
      <c r="F20" s="60">
        <v>3</v>
      </c>
      <c r="G20" s="60">
        <v>1</v>
      </c>
      <c r="H20" s="60">
        <v>2259</v>
      </c>
      <c r="I20" s="60" t="s">
        <v>2309</v>
      </c>
      <c r="J20" s="60" t="s">
        <v>2309</v>
      </c>
      <c r="K20" s="60">
        <v>168</v>
      </c>
      <c r="L20" s="60">
        <v>1307</v>
      </c>
      <c r="M20" s="60">
        <v>537</v>
      </c>
    </row>
    <row r="21" spans="1:13" x14ac:dyDescent="0.35">
      <c r="A21" s="59" t="s">
        <v>2316</v>
      </c>
      <c r="B21" s="60">
        <v>129</v>
      </c>
      <c r="C21" s="60">
        <v>78</v>
      </c>
      <c r="D21" s="60">
        <v>35</v>
      </c>
      <c r="E21" s="60">
        <v>11</v>
      </c>
      <c r="F21" s="60">
        <v>4</v>
      </c>
      <c r="G21" s="60" t="s">
        <v>2309</v>
      </c>
      <c r="H21" s="60">
        <v>1753</v>
      </c>
      <c r="I21" s="60">
        <v>563</v>
      </c>
      <c r="J21" s="60">
        <v>465</v>
      </c>
      <c r="K21" s="60">
        <v>255</v>
      </c>
      <c r="L21" s="60">
        <v>404</v>
      </c>
      <c r="M21" s="60" t="s">
        <v>2309</v>
      </c>
    </row>
    <row r="22" spans="1:13" x14ac:dyDescent="0.35">
      <c r="A22" s="61" t="s">
        <v>2317</v>
      </c>
      <c r="B22" s="60">
        <v>214</v>
      </c>
      <c r="C22" s="60">
        <v>68</v>
      </c>
      <c r="D22" s="60">
        <v>85</v>
      </c>
      <c r="E22" s="60">
        <v>29</v>
      </c>
      <c r="F22" s="60">
        <v>28</v>
      </c>
      <c r="G22" s="60">
        <v>4</v>
      </c>
      <c r="H22" s="60">
        <v>6997</v>
      </c>
      <c r="I22" s="60">
        <v>902</v>
      </c>
      <c r="J22" s="60">
        <v>1399</v>
      </c>
      <c r="K22" s="60">
        <v>1145</v>
      </c>
      <c r="L22" s="60">
        <v>2127</v>
      </c>
      <c r="M22" s="60">
        <v>1424</v>
      </c>
    </row>
    <row r="23" spans="1:13" x14ac:dyDescent="0.35">
      <c r="A23" s="61" t="s">
        <v>2318</v>
      </c>
      <c r="B23" s="60">
        <v>518</v>
      </c>
      <c r="C23" s="60">
        <v>408</v>
      </c>
      <c r="D23" s="60">
        <v>79</v>
      </c>
      <c r="E23" s="60">
        <v>32</v>
      </c>
      <c r="F23" s="60" t="s">
        <v>2309</v>
      </c>
      <c r="G23" s="60" t="s">
        <v>2399</v>
      </c>
      <c r="H23" s="60">
        <v>10781</v>
      </c>
      <c r="I23" s="60">
        <v>8287</v>
      </c>
      <c r="J23" s="60">
        <v>1734</v>
      </c>
      <c r="K23" s="60">
        <v>705</v>
      </c>
      <c r="L23" s="60" t="s">
        <v>2309</v>
      </c>
      <c r="M23" s="60" t="s">
        <v>2399</v>
      </c>
    </row>
    <row r="24" spans="1:13" ht="15" customHeight="1" x14ac:dyDescent="0.35">
      <c r="A24" s="59" t="s">
        <v>2319</v>
      </c>
      <c r="B24" s="60">
        <v>352</v>
      </c>
      <c r="C24" s="60">
        <v>268</v>
      </c>
      <c r="D24" s="60">
        <v>53</v>
      </c>
      <c r="E24" s="60">
        <v>30</v>
      </c>
      <c r="F24" s="60" t="s">
        <v>2309</v>
      </c>
      <c r="G24" s="60" t="s">
        <v>2399</v>
      </c>
      <c r="H24" s="60">
        <v>5193</v>
      </c>
      <c r="I24" s="60">
        <v>4027</v>
      </c>
      <c r="J24" s="60">
        <v>769</v>
      </c>
      <c r="K24" s="60">
        <v>361</v>
      </c>
      <c r="L24" s="60" t="s">
        <v>2309</v>
      </c>
      <c r="M24" s="60" t="s">
        <v>2399</v>
      </c>
    </row>
    <row r="25" spans="1:13" ht="15" customHeight="1" x14ac:dyDescent="0.35">
      <c r="A25" s="59" t="s">
        <v>2320</v>
      </c>
      <c r="B25" s="60">
        <v>167</v>
      </c>
      <c r="C25" s="60">
        <v>139</v>
      </c>
      <c r="D25" s="60">
        <v>26</v>
      </c>
      <c r="E25" s="60" t="s">
        <v>2309</v>
      </c>
      <c r="F25" s="60" t="s">
        <v>2309</v>
      </c>
      <c r="G25" s="60" t="s">
        <v>2399</v>
      </c>
      <c r="H25" s="60">
        <v>5588</v>
      </c>
      <c r="I25" s="60">
        <v>4261</v>
      </c>
      <c r="J25" s="60">
        <v>965</v>
      </c>
      <c r="K25" s="60" t="s">
        <v>2309</v>
      </c>
      <c r="L25" s="60" t="s">
        <v>2309</v>
      </c>
      <c r="M25" s="60" t="s">
        <v>2399</v>
      </c>
    </row>
    <row r="26" spans="1:13" ht="15" customHeight="1" x14ac:dyDescent="0.35">
      <c r="A26" s="61" t="s">
        <v>2321</v>
      </c>
      <c r="B26" s="60">
        <v>970</v>
      </c>
      <c r="C26" s="60">
        <v>544</v>
      </c>
      <c r="D26" s="60">
        <v>273</v>
      </c>
      <c r="E26" s="60">
        <v>105</v>
      </c>
      <c r="F26" s="60">
        <v>38</v>
      </c>
      <c r="G26" s="60">
        <v>9</v>
      </c>
      <c r="H26" s="60">
        <v>16682</v>
      </c>
      <c r="I26" s="60">
        <v>3347</v>
      </c>
      <c r="J26" s="60">
        <v>3687</v>
      </c>
      <c r="K26" s="60">
        <v>2225</v>
      </c>
      <c r="L26" s="60">
        <v>3879</v>
      </c>
      <c r="M26" s="60">
        <v>3544</v>
      </c>
    </row>
    <row r="27" spans="1:13" ht="15" customHeight="1" x14ac:dyDescent="0.35">
      <c r="A27" s="61" t="s">
        <v>2322</v>
      </c>
      <c r="B27" s="60">
        <v>488</v>
      </c>
      <c r="C27" s="60">
        <v>307</v>
      </c>
      <c r="D27" s="60">
        <v>116</v>
      </c>
      <c r="E27" s="60">
        <v>47</v>
      </c>
      <c r="F27" s="60">
        <v>18</v>
      </c>
      <c r="G27" s="60" t="s">
        <v>2309</v>
      </c>
      <c r="H27" s="60">
        <v>7157</v>
      </c>
      <c r="I27" s="60">
        <v>2842</v>
      </c>
      <c r="J27" s="60">
        <v>1906</v>
      </c>
      <c r="K27" s="60">
        <v>1125</v>
      </c>
      <c r="L27" s="60">
        <v>1261</v>
      </c>
      <c r="M27" s="60" t="s">
        <v>2309</v>
      </c>
    </row>
    <row r="28" spans="1:13" ht="15" customHeight="1" x14ac:dyDescent="0.35">
      <c r="A28" s="61" t="s">
        <v>2323</v>
      </c>
      <c r="B28" s="60">
        <v>74</v>
      </c>
      <c r="C28" s="60">
        <v>51</v>
      </c>
      <c r="D28" s="60" t="s">
        <v>2309</v>
      </c>
      <c r="E28" s="60" t="s">
        <v>2309</v>
      </c>
      <c r="F28" s="60">
        <v>2</v>
      </c>
      <c r="G28" s="60">
        <v>1</v>
      </c>
      <c r="H28" s="60">
        <v>1563</v>
      </c>
      <c r="I28" s="60">
        <v>574</v>
      </c>
      <c r="J28" s="60" t="s">
        <v>2309</v>
      </c>
      <c r="K28" s="60" t="s">
        <v>2309</v>
      </c>
      <c r="L28" s="60">
        <v>280</v>
      </c>
      <c r="M28" s="60">
        <v>197</v>
      </c>
    </row>
    <row r="29" spans="1:13" ht="15" customHeight="1" x14ac:dyDescent="0.35">
      <c r="A29" s="61" t="s">
        <v>2324</v>
      </c>
      <c r="B29" s="60">
        <v>439</v>
      </c>
      <c r="C29" s="60">
        <v>213</v>
      </c>
      <c r="D29" s="60">
        <v>182</v>
      </c>
      <c r="E29" s="60">
        <v>37</v>
      </c>
      <c r="F29" s="60" t="s">
        <v>2309</v>
      </c>
      <c r="G29" s="60" t="s">
        <v>2399</v>
      </c>
      <c r="H29" s="60">
        <v>5686</v>
      </c>
      <c r="I29" s="60">
        <v>2198</v>
      </c>
      <c r="J29" s="60">
        <v>2329</v>
      </c>
      <c r="K29" s="60">
        <v>963</v>
      </c>
      <c r="L29" s="60" t="s">
        <v>2309</v>
      </c>
      <c r="M29" s="60" t="s">
        <v>2399</v>
      </c>
    </row>
    <row r="30" spans="1:13" ht="15" customHeight="1" x14ac:dyDescent="0.35">
      <c r="A30" s="61" t="s">
        <v>2325</v>
      </c>
      <c r="B30" s="60">
        <v>867</v>
      </c>
      <c r="C30" s="60">
        <v>708</v>
      </c>
      <c r="D30" s="60">
        <v>144</v>
      </c>
      <c r="E30" s="60" t="s">
        <v>2309</v>
      </c>
      <c r="F30" s="60" t="s">
        <v>2309</v>
      </c>
      <c r="G30" s="60" t="s">
        <v>2399</v>
      </c>
      <c r="H30" s="60">
        <v>6343</v>
      </c>
      <c r="I30" s="60">
        <v>4800</v>
      </c>
      <c r="J30" s="60">
        <v>1297</v>
      </c>
      <c r="K30" s="60" t="s">
        <v>2309</v>
      </c>
      <c r="L30" s="60" t="s">
        <v>2309</v>
      </c>
      <c r="M30" s="60" t="s">
        <v>2399</v>
      </c>
    </row>
    <row r="31" spans="1:13" ht="15" customHeight="1" x14ac:dyDescent="0.35">
      <c r="A31" s="61" t="s">
        <v>2326</v>
      </c>
      <c r="B31" s="60">
        <v>1004</v>
      </c>
      <c r="C31" s="60">
        <v>846</v>
      </c>
      <c r="D31" s="60">
        <v>137</v>
      </c>
      <c r="E31" s="60">
        <v>19</v>
      </c>
      <c r="F31" s="60" t="s">
        <v>2309</v>
      </c>
      <c r="G31" s="60" t="s">
        <v>2399</v>
      </c>
      <c r="H31" s="60">
        <v>17429</v>
      </c>
      <c r="I31" s="60">
        <v>12040</v>
      </c>
      <c r="J31" s="60">
        <v>4098</v>
      </c>
      <c r="K31" s="60">
        <v>845</v>
      </c>
      <c r="L31" s="60" t="s">
        <v>2309</v>
      </c>
      <c r="M31" s="60" t="s">
        <v>2399</v>
      </c>
    </row>
    <row r="32" spans="1:13" ht="15" customHeight="1" x14ac:dyDescent="0.35">
      <c r="A32" s="61" t="s">
        <v>2327</v>
      </c>
      <c r="B32" s="60">
        <v>113</v>
      </c>
      <c r="C32" s="60">
        <v>85</v>
      </c>
      <c r="D32" s="60">
        <v>16</v>
      </c>
      <c r="E32" s="60" t="s">
        <v>2309</v>
      </c>
      <c r="F32" s="60" t="s">
        <v>2309</v>
      </c>
      <c r="G32" s="60" t="s">
        <v>2309</v>
      </c>
      <c r="H32" s="60">
        <v>2403</v>
      </c>
      <c r="I32" s="60">
        <v>715</v>
      </c>
      <c r="J32" s="60">
        <v>752</v>
      </c>
      <c r="K32" s="60" t="s">
        <v>2309</v>
      </c>
      <c r="L32" s="60">
        <v>541</v>
      </c>
      <c r="M32" s="60" t="s">
        <v>2309</v>
      </c>
    </row>
    <row r="33" spans="1:13" ht="15" customHeight="1" x14ac:dyDescent="0.35">
      <c r="A33" s="61" t="s">
        <v>2328</v>
      </c>
      <c r="B33" s="60">
        <v>209</v>
      </c>
      <c r="C33" s="60">
        <v>154</v>
      </c>
      <c r="D33" s="60">
        <v>38</v>
      </c>
      <c r="E33" s="60" t="s">
        <v>2309</v>
      </c>
      <c r="F33" s="60">
        <v>3</v>
      </c>
      <c r="G33" s="60" t="s">
        <v>2309</v>
      </c>
      <c r="H33" s="60">
        <v>1616</v>
      </c>
      <c r="I33" s="60">
        <v>751</v>
      </c>
      <c r="J33" s="60">
        <v>429</v>
      </c>
      <c r="K33" s="60" t="s">
        <v>2309</v>
      </c>
      <c r="L33" s="60">
        <v>208</v>
      </c>
      <c r="M33" s="60" t="s">
        <v>2309</v>
      </c>
    </row>
    <row r="34" spans="1:13" ht="24" customHeight="1" x14ac:dyDescent="0.35">
      <c r="A34" s="71" t="s">
        <v>2329</v>
      </c>
      <c r="B34" s="84" t="s">
        <v>27</v>
      </c>
      <c r="C34" s="84" t="s">
        <v>27</v>
      </c>
      <c r="D34" s="84" t="s">
        <v>27</v>
      </c>
      <c r="E34" s="84" t="s">
        <v>27</v>
      </c>
      <c r="F34" s="84" t="s">
        <v>27</v>
      </c>
      <c r="G34" s="84" t="s">
        <v>27</v>
      </c>
      <c r="H34" s="84" t="s">
        <v>27</v>
      </c>
      <c r="I34" s="84" t="s">
        <v>27</v>
      </c>
      <c r="J34" s="84" t="s">
        <v>27</v>
      </c>
      <c r="K34" s="84" t="s">
        <v>27</v>
      </c>
      <c r="L34" s="84" t="s">
        <v>27</v>
      </c>
      <c r="M34" s="84" t="s">
        <v>27</v>
      </c>
    </row>
    <row r="35" spans="1:13" ht="15" customHeight="1" x14ac:dyDescent="0.35">
      <c r="A35" s="61" t="s">
        <v>2330</v>
      </c>
      <c r="B35" s="60">
        <v>329</v>
      </c>
      <c r="C35" s="60">
        <v>77</v>
      </c>
      <c r="D35" s="60">
        <v>142</v>
      </c>
      <c r="E35" s="60">
        <v>88</v>
      </c>
      <c r="F35" s="60">
        <v>21</v>
      </c>
      <c r="G35" s="60" t="s">
        <v>2309</v>
      </c>
      <c r="H35" s="60">
        <v>3600</v>
      </c>
      <c r="I35" s="60">
        <v>374</v>
      </c>
      <c r="J35" s="60">
        <v>997</v>
      </c>
      <c r="K35" s="60">
        <v>1188</v>
      </c>
      <c r="L35" s="60">
        <v>828</v>
      </c>
      <c r="M35" s="60" t="s">
        <v>2309</v>
      </c>
    </row>
    <row r="36" spans="1:13" ht="15" customHeight="1" x14ac:dyDescent="0.35">
      <c r="A36" s="61" t="s">
        <v>2331</v>
      </c>
      <c r="B36" s="60">
        <v>379</v>
      </c>
      <c r="C36" s="60">
        <v>182</v>
      </c>
      <c r="D36" s="60">
        <v>102</v>
      </c>
      <c r="E36" s="60">
        <v>76</v>
      </c>
      <c r="F36" s="60">
        <v>18</v>
      </c>
      <c r="G36" s="60">
        <v>2</v>
      </c>
      <c r="H36" s="60">
        <v>5646</v>
      </c>
      <c r="I36" s="60">
        <v>1197</v>
      </c>
      <c r="J36" s="60">
        <v>1189</v>
      </c>
      <c r="K36" s="60">
        <v>1087</v>
      </c>
      <c r="L36" s="60">
        <v>1335</v>
      </c>
      <c r="M36" s="60">
        <v>839</v>
      </c>
    </row>
    <row r="37" spans="1:13" ht="15" customHeight="1" x14ac:dyDescent="0.35">
      <c r="A37" s="61" t="s">
        <v>2332</v>
      </c>
      <c r="B37" s="60">
        <v>517</v>
      </c>
      <c r="C37" s="60">
        <v>348</v>
      </c>
      <c r="D37" s="60">
        <v>117</v>
      </c>
      <c r="E37" s="60">
        <v>40</v>
      </c>
      <c r="F37" s="60">
        <v>12</v>
      </c>
      <c r="G37" s="60" t="s">
        <v>2309</v>
      </c>
      <c r="H37" s="60">
        <v>6958</v>
      </c>
      <c r="I37" s="60">
        <v>3379</v>
      </c>
      <c r="J37" s="60">
        <v>1502</v>
      </c>
      <c r="K37" s="60">
        <v>1158</v>
      </c>
      <c r="L37" s="60">
        <v>766</v>
      </c>
      <c r="M37" s="60">
        <v>154</v>
      </c>
    </row>
    <row r="38" spans="1:13" ht="15" customHeight="1" x14ac:dyDescent="0.35">
      <c r="A38" s="61" t="s">
        <v>2333</v>
      </c>
      <c r="B38" s="60">
        <v>685</v>
      </c>
      <c r="C38" s="60">
        <v>484</v>
      </c>
      <c r="D38" s="60">
        <v>154</v>
      </c>
      <c r="E38" s="60">
        <v>32</v>
      </c>
      <c r="F38" s="60">
        <v>15</v>
      </c>
      <c r="G38" s="60">
        <v>1</v>
      </c>
      <c r="H38" s="60">
        <v>10337</v>
      </c>
      <c r="I38" s="60">
        <v>4294</v>
      </c>
      <c r="J38" s="60">
        <v>2946</v>
      </c>
      <c r="K38" s="60">
        <v>1108</v>
      </c>
      <c r="L38" s="60">
        <v>1428</v>
      </c>
      <c r="M38" s="60">
        <v>561</v>
      </c>
    </row>
    <row r="39" spans="1:13" ht="15" customHeight="1" x14ac:dyDescent="0.35">
      <c r="A39" s="61" t="s">
        <v>2334</v>
      </c>
      <c r="B39" s="60">
        <v>831</v>
      </c>
      <c r="C39" s="60">
        <v>610</v>
      </c>
      <c r="D39" s="60">
        <v>184</v>
      </c>
      <c r="E39" s="60">
        <v>24</v>
      </c>
      <c r="F39" s="60">
        <v>12</v>
      </c>
      <c r="G39" s="60">
        <v>2</v>
      </c>
      <c r="H39" s="60">
        <v>13257</v>
      </c>
      <c r="I39" s="60">
        <v>5870</v>
      </c>
      <c r="J39" s="60">
        <v>3814</v>
      </c>
      <c r="K39" s="60">
        <v>1217</v>
      </c>
      <c r="L39" s="60">
        <v>1534</v>
      </c>
      <c r="M39" s="60">
        <v>821</v>
      </c>
    </row>
    <row r="40" spans="1:13" ht="15" customHeight="1" x14ac:dyDescent="0.35">
      <c r="A40" s="61" t="s">
        <v>2335</v>
      </c>
      <c r="B40" s="60">
        <v>794</v>
      </c>
      <c r="C40" s="60">
        <v>590</v>
      </c>
      <c r="D40" s="60">
        <v>153</v>
      </c>
      <c r="E40" s="60">
        <v>33</v>
      </c>
      <c r="F40" s="60">
        <v>14</v>
      </c>
      <c r="G40" s="60">
        <v>4</v>
      </c>
      <c r="H40" s="60">
        <v>13463</v>
      </c>
      <c r="I40" s="60">
        <v>6378</v>
      </c>
      <c r="J40" s="60">
        <v>2912</v>
      </c>
      <c r="K40" s="60">
        <v>1110</v>
      </c>
      <c r="L40" s="60">
        <v>1382</v>
      </c>
      <c r="M40" s="60">
        <v>1681</v>
      </c>
    </row>
    <row r="41" spans="1:13" ht="15" customHeight="1" x14ac:dyDescent="0.35">
      <c r="A41" s="61" t="s">
        <v>2336</v>
      </c>
      <c r="B41" s="60">
        <v>921</v>
      </c>
      <c r="C41" s="60">
        <v>696</v>
      </c>
      <c r="D41" s="60">
        <v>176</v>
      </c>
      <c r="E41" s="60">
        <v>30</v>
      </c>
      <c r="F41" s="60">
        <v>17</v>
      </c>
      <c r="G41" s="60">
        <v>1</v>
      </c>
      <c r="H41" s="60">
        <v>15550</v>
      </c>
      <c r="I41" s="60">
        <v>8082</v>
      </c>
      <c r="J41" s="60">
        <v>3804</v>
      </c>
      <c r="K41" s="60">
        <v>1308</v>
      </c>
      <c r="L41" s="60">
        <v>1824</v>
      </c>
      <c r="M41" s="60">
        <v>532</v>
      </c>
    </row>
    <row r="42" spans="1:13" ht="15" customHeight="1" x14ac:dyDescent="0.35">
      <c r="A42" s="61" t="s">
        <v>2856</v>
      </c>
      <c r="B42" s="60">
        <v>924</v>
      </c>
      <c r="C42" s="60">
        <v>719</v>
      </c>
      <c r="D42" s="60">
        <v>155</v>
      </c>
      <c r="E42" s="60">
        <v>26</v>
      </c>
      <c r="F42" s="60">
        <v>22</v>
      </c>
      <c r="G42" s="60">
        <v>2</v>
      </c>
      <c r="H42" s="60">
        <v>17678</v>
      </c>
      <c r="I42" s="60">
        <v>9370</v>
      </c>
      <c r="J42" s="60">
        <v>3984</v>
      </c>
      <c r="K42" s="60">
        <v>1385</v>
      </c>
      <c r="L42" s="60">
        <v>2203</v>
      </c>
      <c r="M42" s="60">
        <v>735</v>
      </c>
    </row>
    <row r="43" spans="1:13" ht="15" customHeight="1" x14ac:dyDescent="0.35">
      <c r="A43" s="61" t="s">
        <v>2855</v>
      </c>
      <c r="B43" s="60">
        <v>537</v>
      </c>
      <c r="C43" s="60">
        <v>400</v>
      </c>
      <c r="D43" s="60">
        <v>103</v>
      </c>
      <c r="E43" s="60">
        <v>20</v>
      </c>
      <c r="F43" s="60">
        <v>12</v>
      </c>
      <c r="G43" s="60">
        <v>1</v>
      </c>
      <c r="H43" s="60">
        <v>10270</v>
      </c>
      <c r="I43" s="60">
        <v>4974</v>
      </c>
      <c r="J43" s="60">
        <v>2169</v>
      </c>
      <c r="K43" s="60">
        <v>906</v>
      </c>
      <c r="L43" s="60">
        <v>1757</v>
      </c>
      <c r="M43" s="60">
        <v>464</v>
      </c>
    </row>
    <row r="44" spans="1:13" ht="24" customHeight="1" x14ac:dyDescent="0.35">
      <c r="A44" s="71" t="s">
        <v>2567</v>
      </c>
      <c r="B44" s="84" t="s">
        <v>27</v>
      </c>
      <c r="C44" s="84" t="s">
        <v>27</v>
      </c>
      <c r="D44" s="84" t="s">
        <v>27</v>
      </c>
      <c r="E44" s="84" t="s">
        <v>27</v>
      </c>
      <c r="F44" s="84" t="s">
        <v>27</v>
      </c>
      <c r="G44" s="84" t="s">
        <v>27</v>
      </c>
      <c r="H44" s="84" t="s">
        <v>27</v>
      </c>
      <c r="I44" s="84" t="s">
        <v>27</v>
      </c>
      <c r="J44" s="84" t="s">
        <v>27</v>
      </c>
      <c r="K44" s="84" t="s">
        <v>27</v>
      </c>
      <c r="L44" s="84" t="s">
        <v>27</v>
      </c>
      <c r="M44" s="84" t="s">
        <v>27</v>
      </c>
    </row>
    <row r="45" spans="1:13" ht="15" customHeight="1" x14ac:dyDescent="0.35">
      <c r="A45" s="61" t="s">
        <v>2287</v>
      </c>
      <c r="B45" s="60">
        <v>793</v>
      </c>
      <c r="C45" s="60">
        <v>365</v>
      </c>
      <c r="D45" s="60">
        <v>258</v>
      </c>
      <c r="E45" s="60">
        <v>117</v>
      </c>
      <c r="F45" s="60">
        <v>47</v>
      </c>
      <c r="G45" s="60">
        <v>7</v>
      </c>
      <c r="H45" s="60">
        <v>16020</v>
      </c>
      <c r="I45" s="60">
        <v>4561</v>
      </c>
      <c r="J45" s="60">
        <v>4001</v>
      </c>
      <c r="K45" s="60">
        <v>2394</v>
      </c>
      <c r="L45" s="60">
        <v>3313</v>
      </c>
      <c r="M45" s="60">
        <v>1751</v>
      </c>
    </row>
    <row r="46" spans="1:13" ht="15" customHeight="1" x14ac:dyDescent="0.35">
      <c r="A46" s="61" t="s">
        <v>2288</v>
      </c>
      <c r="B46" s="60">
        <v>1719</v>
      </c>
      <c r="C46" s="60">
        <v>1145</v>
      </c>
      <c r="D46" s="60">
        <v>419</v>
      </c>
      <c r="E46" s="60">
        <v>121</v>
      </c>
      <c r="F46" s="60">
        <v>33</v>
      </c>
      <c r="G46" s="60">
        <v>2</v>
      </c>
      <c r="H46" s="60">
        <v>26143</v>
      </c>
      <c r="I46" s="60">
        <v>11872</v>
      </c>
      <c r="J46" s="60">
        <v>6918</v>
      </c>
      <c r="K46" s="60">
        <v>3505</v>
      </c>
      <c r="L46" s="60">
        <v>2649</v>
      </c>
      <c r="M46" s="60">
        <v>1199</v>
      </c>
    </row>
    <row r="47" spans="1:13" ht="15" customHeight="1" x14ac:dyDescent="0.35">
      <c r="A47" s="61" t="s">
        <v>2289</v>
      </c>
      <c r="B47" s="60">
        <v>2143</v>
      </c>
      <c r="C47" s="60">
        <v>1636</v>
      </c>
      <c r="D47" s="60">
        <v>375</v>
      </c>
      <c r="E47" s="60">
        <v>90</v>
      </c>
      <c r="F47" s="60">
        <v>37</v>
      </c>
      <c r="G47" s="60">
        <v>5</v>
      </c>
      <c r="H47" s="60">
        <v>34878</v>
      </c>
      <c r="I47" s="60">
        <v>17663</v>
      </c>
      <c r="J47" s="60">
        <v>7821</v>
      </c>
      <c r="K47" s="60">
        <v>3152</v>
      </c>
      <c r="L47" s="60">
        <v>4454</v>
      </c>
      <c r="M47" s="60">
        <v>1787</v>
      </c>
    </row>
    <row r="48" spans="1:13" ht="15" customHeight="1" x14ac:dyDescent="0.35">
      <c r="A48" s="61" t="s">
        <v>2290</v>
      </c>
      <c r="B48" s="60">
        <v>1264</v>
      </c>
      <c r="C48" s="60">
        <v>959</v>
      </c>
      <c r="D48" s="60">
        <v>234</v>
      </c>
      <c r="E48" s="60">
        <v>42</v>
      </c>
      <c r="F48" s="60">
        <v>25</v>
      </c>
      <c r="G48" s="60">
        <v>3</v>
      </c>
      <c r="H48" s="60">
        <v>19717</v>
      </c>
      <c r="I48" s="60">
        <v>9822</v>
      </c>
      <c r="J48" s="60">
        <v>4577</v>
      </c>
      <c r="K48" s="60">
        <v>1414</v>
      </c>
      <c r="L48" s="60">
        <v>2642</v>
      </c>
      <c r="M48" s="60">
        <v>1262</v>
      </c>
    </row>
    <row r="49" spans="1:13" ht="34" customHeight="1" x14ac:dyDescent="0.35">
      <c r="A49" s="71" t="s">
        <v>2346</v>
      </c>
      <c r="B49" s="84" t="s">
        <v>27</v>
      </c>
      <c r="C49" s="84" t="s">
        <v>27</v>
      </c>
      <c r="D49" s="84" t="s">
        <v>27</v>
      </c>
      <c r="E49" s="84" t="s">
        <v>27</v>
      </c>
      <c r="F49" s="84" t="s">
        <v>27</v>
      </c>
      <c r="G49" s="84" t="s">
        <v>27</v>
      </c>
      <c r="H49" s="84" t="s">
        <v>27</v>
      </c>
      <c r="I49" s="84" t="s">
        <v>27</v>
      </c>
      <c r="J49" s="84" t="s">
        <v>27</v>
      </c>
      <c r="K49" s="84" t="s">
        <v>27</v>
      </c>
      <c r="L49" s="84" t="s">
        <v>27</v>
      </c>
      <c r="M49" s="84" t="s">
        <v>27</v>
      </c>
    </row>
    <row r="50" spans="1:13" ht="15" customHeight="1" x14ac:dyDescent="0.35">
      <c r="A50" s="61" t="s">
        <v>2347</v>
      </c>
      <c r="B50" s="60">
        <v>503</v>
      </c>
      <c r="C50" s="60" t="s">
        <v>2399</v>
      </c>
      <c r="D50" s="60">
        <v>228</v>
      </c>
      <c r="E50" s="60">
        <v>150</v>
      </c>
      <c r="F50" s="60">
        <v>109</v>
      </c>
      <c r="G50" s="60">
        <v>16</v>
      </c>
      <c r="H50" s="60">
        <v>36488</v>
      </c>
      <c r="I50" s="60" t="s">
        <v>2399</v>
      </c>
      <c r="J50" s="60">
        <v>10123</v>
      </c>
      <c r="K50" s="60">
        <v>7940</v>
      </c>
      <c r="L50" s="60">
        <v>12425</v>
      </c>
      <c r="M50" s="60">
        <v>6000</v>
      </c>
    </row>
    <row r="51" spans="1:13" ht="15" customHeight="1" x14ac:dyDescent="0.35">
      <c r="A51" s="61" t="s">
        <v>2348</v>
      </c>
      <c r="B51" s="60" t="s">
        <v>27</v>
      </c>
      <c r="C51" s="60" t="s">
        <v>27</v>
      </c>
      <c r="D51" s="60" t="s">
        <v>27</v>
      </c>
      <c r="E51" s="60" t="s">
        <v>27</v>
      </c>
      <c r="F51" s="60" t="s">
        <v>27</v>
      </c>
      <c r="G51" s="60" t="s">
        <v>27</v>
      </c>
      <c r="H51" s="60" t="s">
        <v>27</v>
      </c>
      <c r="I51" s="60" t="s">
        <v>27</v>
      </c>
      <c r="J51" s="60" t="s">
        <v>27</v>
      </c>
      <c r="K51" s="60" t="s">
        <v>27</v>
      </c>
      <c r="L51" s="60" t="s">
        <v>27</v>
      </c>
      <c r="M51" s="60" t="s">
        <v>27</v>
      </c>
    </row>
    <row r="52" spans="1:13" ht="15" customHeight="1" x14ac:dyDescent="0.35">
      <c r="A52" s="59" t="s">
        <v>2341</v>
      </c>
      <c r="B52" s="60">
        <v>366</v>
      </c>
      <c r="C52" s="60" t="s">
        <v>2399</v>
      </c>
      <c r="D52" s="60">
        <v>207</v>
      </c>
      <c r="E52" s="60">
        <v>112</v>
      </c>
      <c r="F52" s="60">
        <v>47</v>
      </c>
      <c r="G52" s="60" t="s">
        <v>2309</v>
      </c>
      <c r="H52" s="60">
        <v>14189</v>
      </c>
      <c r="I52" s="60" t="s">
        <v>2399</v>
      </c>
      <c r="J52" s="60">
        <v>7788</v>
      </c>
      <c r="K52" s="60">
        <v>4168</v>
      </c>
      <c r="L52" s="60">
        <v>2154</v>
      </c>
      <c r="M52" s="60" t="s">
        <v>2309</v>
      </c>
    </row>
    <row r="53" spans="1:13" ht="15" customHeight="1" x14ac:dyDescent="0.35">
      <c r="A53" s="59" t="s">
        <v>2349</v>
      </c>
      <c r="B53" s="60">
        <v>121</v>
      </c>
      <c r="C53" s="60" t="s">
        <v>2399</v>
      </c>
      <c r="D53" s="60">
        <v>21</v>
      </c>
      <c r="E53" s="60">
        <v>37</v>
      </c>
      <c r="F53" s="60">
        <v>56</v>
      </c>
      <c r="G53" s="60">
        <v>7</v>
      </c>
      <c r="H53" s="60">
        <v>13328</v>
      </c>
      <c r="I53" s="60" t="s">
        <v>2399</v>
      </c>
      <c r="J53" s="60">
        <v>2051</v>
      </c>
      <c r="K53" s="60">
        <v>2974</v>
      </c>
      <c r="L53" s="60">
        <v>7086</v>
      </c>
      <c r="M53" s="60">
        <v>1217</v>
      </c>
    </row>
    <row r="54" spans="1:13" ht="15" customHeight="1" x14ac:dyDescent="0.35">
      <c r="A54" s="59" t="s">
        <v>2350</v>
      </c>
      <c r="B54" s="60">
        <v>16</v>
      </c>
      <c r="C54" s="60" t="s">
        <v>2399</v>
      </c>
      <c r="D54" s="60">
        <v>1</v>
      </c>
      <c r="E54" s="60">
        <v>2</v>
      </c>
      <c r="F54" s="60">
        <v>6</v>
      </c>
      <c r="G54" s="60">
        <v>8</v>
      </c>
      <c r="H54" s="60">
        <v>8970</v>
      </c>
      <c r="I54" s="60" t="s">
        <v>2399</v>
      </c>
      <c r="J54" s="60">
        <v>284</v>
      </c>
      <c r="K54" s="60">
        <v>798</v>
      </c>
      <c r="L54" s="60">
        <v>3185</v>
      </c>
      <c r="M54" s="60">
        <v>4703</v>
      </c>
    </row>
    <row r="55" spans="1:13" ht="15" customHeight="1" x14ac:dyDescent="0.35">
      <c r="A55" s="61" t="s">
        <v>2351</v>
      </c>
      <c r="B55" s="60">
        <v>14</v>
      </c>
      <c r="C55" s="60" t="s">
        <v>2399</v>
      </c>
      <c r="D55" s="60" t="s">
        <v>2309</v>
      </c>
      <c r="E55" s="60">
        <v>3</v>
      </c>
      <c r="F55" s="60">
        <v>2</v>
      </c>
      <c r="G55" s="60">
        <v>2</v>
      </c>
      <c r="H55" s="60">
        <v>3753</v>
      </c>
      <c r="I55" s="60" t="s">
        <v>2399</v>
      </c>
      <c r="J55" s="60">
        <v>464</v>
      </c>
      <c r="K55" s="60">
        <v>640</v>
      </c>
      <c r="L55" s="60">
        <v>841</v>
      </c>
      <c r="M55" s="60">
        <v>1808</v>
      </c>
    </row>
    <row r="56" spans="1:13" ht="24" customHeight="1" x14ac:dyDescent="0.35">
      <c r="A56" s="71" t="s">
        <v>2352</v>
      </c>
      <c r="B56" s="84" t="s">
        <v>27</v>
      </c>
      <c r="C56" s="84" t="s">
        <v>27</v>
      </c>
      <c r="D56" s="84" t="s">
        <v>27</v>
      </c>
      <c r="E56" s="84" t="s">
        <v>27</v>
      </c>
      <c r="F56" s="84" t="s">
        <v>27</v>
      </c>
      <c r="G56" s="84" t="s">
        <v>27</v>
      </c>
      <c r="H56" s="84" t="s">
        <v>27</v>
      </c>
      <c r="I56" s="84" t="s">
        <v>27</v>
      </c>
      <c r="J56" s="84" t="s">
        <v>27</v>
      </c>
      <c r="K56" s="84" t="s">
        <v>27</v>
      </c>
      <c r="L56" s="84" t="s">
        <v>27</v>
      </c>
      <c r="M56" s="84" t="s">
        <v>27</v>
      </c>
    </row>
    <row r="57" spans="1:13" ht="15" customHeight="1" x14ac:dyDescent="0.35">
      <c r="A57" s="61" t="s">
        <v>2353</v>
      </c>
      <c r="B57" s="60">
        <v>3270</v>
      </c>
      <c r="C57" s="60">
        <v>2491</v>
      </c>
      <c r="D57" s="60">
        <v>608</v>
      </c>
      <c r="E57" s="60">
        <v>155</v>
      </c>
      <c r="F57" s="60">
        <v>15</v>
      </c>
      <c r="G57" s="60" t="s">
        <v>2309</v>
      </c>
      <c r="H57" s="60">
        <v>21128</v>
      </c>
      <c r="I57" s="60">
        <v>13778</v>
      </c>
      <c r="J57" s="60">
        <v>4932</v>
      </c>
      <c r="K57" s="60">
        <v>1845</v>
      </c>
      <c r="L57" s="60">
        <v>552</v>
      </c>
      <c r="M57" s="60" t="s">
        <v>2309</v>
      </c>
    </row>
    <row r="58" spans="1:13" ht="15" customHeight="1" x14ac:dyDescent="0.35">
      <c r="A58" s="61" t="s">
        <v>2354</v>
      </c>
      <c r="B58" s="60">
        <v>1116</v>
      </c>
      <c r="C58" s="60">
        <v>769</v>
      </c>
      <c r="D58" s="60">
        <v>246</v>
      </c>
      <c r="E58" s="60">
        <v>76</v>
      </c>
      <c r="F58" s="60">
        <v>24</v>
      </c>
      <c r="G58" s="60" t="s">
        <v>2309</v>
      </c>
      <c r="H58" s="60">
        <v>10364</v>
      </c>
      <c r="I58" s="60">
        <v>6011</v>
      </c>
      <c r="J58" s="60">
        <v>2622</v>
      </c>
      <c r="K58" s="60">
        <v>1003</v>
      </c>
      <c r="L58" s="60">
        <v>672</v>
      </c>
      <c r="M58" s="60" t="s">
        <v>2309</v>
      </c>
    </row>
    <row r="59" spans="1:13" ht="15" customHeight="1" x14ac:dyDescent="0.35">
      <c r="A59" s="61" t="s">
        <v>2355</v>
      </c>
      <c r="B59" s="60">
        <v>713</v>
      </c>
      <c r="C59" s="60">
        <v>443</v>
      </c>
      <c r="D59" s="60">
        <v>200</v>
      </c>
      <c r="E59" s="60">
        <v>50</v>
      </c>
      <c r="F59" s="60">
        <v>20</v>
      </c>
      <c r="G59" s="60" t="s">
        <v>2309</v>
      </c>
      <c r="H59" s="60">
        <v>11575</v>
      </c>
      <c r="I59" s="60">
        <v>5721</v>
      </c>
      <c r="J59" s="60">
        <v>3632</v>
      </c>
      <c r="K59" s="60">
        <v>1316</v>
      </c>
      <c r="L59" s="60">
        <v>793</v>
      </c>
      <c r="M59" s="60" t="s">
        <v>2309</v>
      </c>
    </row>
    <row r="60" spans="1:13" ht="15" customHeight="1" x14ac:dyDescent="0.35">
      <c r="A60" s="61" t="s">
        <v>2356</v>
      </c>
      <c r="B60" s="60">
        <v>492</v>
      </c>
      <c r="C60" s="60">
        <v>272</v>
      </c>
      <c r="D60" s="60">
        <v>149</v>
      </c>
      <c r="E60" s="60">
        <v>46</v>
      </c>
      <c r="F60" s="60">
        <v>24</v>
      </c>
      <c r="G60" s="60">
        <v>1</v>
      </c>
      <c r="H60" s="60">
        <v>16126</v>
      </c>
      <c r="I60" s="60">
        <v>7850</v>
      </c>
      <c r="J60" s="60">
        <v>4469</v>
      </c>
      <c r="K60" s="60">
        <v>1951</v>
      </c>
      <c r="L60" s="60">
        <v>1597</v>
      </c>
      <c r="M60" s="60">
        <v>258</v>
      </c>
    </row>
    <row r="61" spans="1:13" ht="15" customHeight="1" x14ac:dyDescent="0.35">
      <c r="A61" s="61" t="s">
        <v>2357</v>
      </c>
      <c r="B61" s="60">
        <v>201</v>
      </c>
      <c r="C61" s="60">
        <v>99</v>
      </c>
      <c r="D61" s="60">
        <v>55</v>
      </c>
      <c r="E61" s="60">
        <v>26</v>
      </c>
      <c r="F61" s="60">
        <v>20</v>
      </c>
      <c r="G61" s="60">
        <v>1</v>
      </c>
      <c r="H61" s="60">
        <v>12956</v>
      </c>
      <c r="I61" s="60">
        <v>5367</v>
      </c>
      <c r="J61" s="60">
        <v>3752</v>
      </c>
      <c r="K61" s="60">
        <v>1665</v>
      </c>
      <c r="L61" s="60">
        <v>1907</v>
      </c>
      <c r="M61" s="60">
        <v>265</v>
      </c>
    </row>
    <row r="62" spans="1:13" ht="15" customHeight="1" x14ac:dyDescent="0.35">
      <c r="A62" s="61" t="s">
        <v>2358</v>
      </c>
      <c r="B62" s="60">
        <v>91</v>
      </c>
      <c r="C62" s="60">
        <v>29</v>
      </c>
      <c r="D62" s="60">
        <v>24</v>
      </c>
      <c r="E62" s="60">
        <v>13</v>
      </c>
      <c r="F62" s="60">
        <v>21</v>
      </c>
      <c r="G62" s="60">
        <v>3</v>
      </c>
      <c r="H62" s="60">
        <v>12452</v>
      </c>
      <c r="I62" s="60">
        <v>4453</v>
      </c>
      <c r="J62" s="60">
        <v>2783</v>
      </c>
      <c r="K62" s="60">
        <v>1752</v>
      </c>
      <c r="L62" s="60">
        <v>2786</v>
      </c>
      <c r="M62" s="60">
        <v>678</v>
      </c>
    </row>
    <row r="63" spans="1:13" ht="15" customHeight="1" x14ac:dyDescent="0.35">
      <c r="A63" s="61" t="s">
        <v>2359</v>
      </c>
      <c r="B63" s="60">
        <v>37</v>
      </c>
      <c r="C63" s="60">
        <v>2</v>
      </c>
      <c r="D63" s="60">
        <v>4</v>
      </c>
      <c r="E63" s="60">
        <v>5</v>
      </c>
      <c r="F63" s="60">
        <v>17</v>
      </c>
      <c r="G63" s="60">
        <v>9</v>
      </c>
      <c r="H63" s="60">
        <v>12156</v>
      </c>
      <c r="I63" s="60">
        <v>737</v>
      </c>
      <c r="J63" s="60">
        <v>1125</v>
      </c>
      <c r="K63" s="60">
        <v>933</v>
      </c>
      <c r="L63" s="60">
        <v>4752</v>
      </c>
      <c r="M63" s="60">
        <v>4608</v>
      </c>
    </row>
    <row r="64" spans="1:13" ht="24" customHeight="1" x14ac:dyDescent="0.35">
      <c r="A64" s="71" t="s">
        <v>2360</v>
      </c>
      <c r="B64" s="84" t="s">
        <v>27</v>
      </c>
      <c r="C64" s="84" t="s">
        <v>27</v>
      </c>
      <c r="D64" s="84" t="s">
        <v>27</v>
      </c>
      <c r="E64" s="84" t="s">
        <v>27</v>
      </c>
      <c r="F64" s="84" t="s">
        <v>27</v>
      </c>
      <c r="G64" s="84" t="s">
        <v>27</v>
      </c>
      <c r="H64" s="84" t="s">
        <v>27</v>
      </c>
      <c r="I64" s="84" t="s">
        <v>27</v>
      </c>
      <c r="J64" s="84" t="s">
        <v>27</v>
      </c>
      <c r="K64" s="84" t="s">
        <v>27</v>
      </c>
      <c r="L64" s="84" t="s">
        <v>27</v>
      </c>
      <c r="M64" s="84" t="s">
        <v>27</v>
      </c>
    </row>
    <row r="65" spans="1:13" ht="15" customHeight="1" x14ac:dyDescent="0.35">
      <c r="A65" s="61" t="s">
        <v>2361</v>
      </c>
      <c r="B65" s="60">
        <v>1388</v>
      </c>
      <c r="C65" s="60">
        <v>975</v>
      </c>
      <c r="D65" s="60">
        <v>314</v>
      </c>
      <c r="E65" s="60">
        <v>80</v>
      </c>
      <c r="F65" s="60">
        <v>18</v>
      </c>
      <c r="G65" s="60" t="s">
        <v>2309</v>
      </c>
      <c r="H65" s="60">
        <v>11926</v>
      </c>
      <c r="I65" s="60">
        <v>6389</v>
      </c>
      <c r="J65" s="60">
        <v>3512</v>
      </c>
      <c r="K65" s="60">
        <v>1110</v>
      </c>
      <c r="L65" s="60">
        <v>780</v>
      </c>
      <c r="M65" s="60" t="s">
        <v>2309</v>
      </c>
    </row>
    <row r="66" spans="1:13" ht="15" customHeight="1" x14ac:dyDescent="0.35">
      <c r="A66" s="61" t="s">
        <v>2362</v>
      </c>
      <c r="B66" s="60">
        <v>1474</v>
      </c>
      <c r="C66" s="60">
        <v>1062</v>
      </c>
      <c r="D66" s="60">
        <v>296</v>
      </c>
      <c r="E66" s="60">
        <v>95</v>
      </c>
      <c r="F66" s="60">
        <v>21</v>
      </c>
      <c r="G66" s="60">
        <v>1</v>
      </c>
      <c r="H66" s="60">
        <v>18580</v>
      </c>
      <c r="I66" s="60">
        <v>10199</v>
      </c>
      <c r="J66" s="60">
        <v>4915</v>
      </c>
      <c r="K66" s="60">
        <v>1993</v>
      </c>
      <c r="L66" s="60">
        <v>1218</v>
      </c>
      <c r="M66" s="60">
        <v>255</v>
      </c>
    </row>
    <row r="67" spans="1:13" ht="15" customHeight="1" x14ac:dyDescent="0.35">
      <c r="A67" s="61" t="s">
        <v>2363</v>
      </c>
      <c r="B67" s="60">
        <v>1243</v>
      </c>
      <c r="C67" s="60">
        <v>811</v>
      </c>
      <c r="D67" s="60">
        <v>313</v>
      </c>
      <c r="E67" s="60">
        <v>84</v>
      </c>
      <c r="F67" s="60">
        <v>30</v>
      </c>
      <c r="G67" s="60">
        <v>4</v>
      </c>
      <c r="H67" s="60">
        <v>22519</v>
      </c>
      <c r="I67" s="60">
        <v>10093</v>
      </c>
      <c r="J67" s="60">
        <v>5725</v>
      </c>
      <c r="K67" s="60">
        <v>2403</v>
      </c>
      <c r="L67" s="60">
        <v>2836</v>
      </c>
      <c r="M67" s="60">
        <v>1461</v>
      </c>
    </row>
    <row r="68" spans="1:13" ht="15" customHeight="1" x14ac:dyDescent="0.35">
      <c r="A68" s="61" t="s">
        <v>2364</v>
      </c>
      <c r="B68" s="60">
        <v>643</v>
      </c>
      <c r="C68" s="60">
        <v>449</v>
      </c>
      <c r="D68" s="60">
        <v>141</v>
      </c>
      <c r="E68" s="60">
        <v>33</v>
      </c>
      <c r="F68" s="60">
        <v>18</v>
      </c>
      <c r="G68" s="60">
        <v>2</v>
      </c>
      <c r="H68" s="60">
        <v>14452</v>
      </c>
      <c r="I68" s="60">
        <v>6425</v>
      </c>
      <c r="J68" s="60">
        <v>3496</v>
      </c>
      <c r="K68" s="60">
        <v>1633</v>
      </c>
      <c r="L68" s="60">
        <v>2014</v>
      </c>
      <c r="M68" s="60">
        <v>885</v>
      </c>
    </row>
    <row r="69" spans="1:13" ht="15" customHeight="1" x14ac:dyDescent="0.35">
      <c r="A69" s="61" t="s">
        <v>2365</v>
      </c>
      <c r="B69" s="60">
        <v>464</v>
      </c>
      <c r="C69" s="60">
        <v>361</v>
      </c>
      <c r="D69" s="60">
        <v>63</v>
      </c>
      <c r="E69" s="60">
        <v>28</v>
      </c>
      <c r="F69" s="60">
        <v>11</v>
      </c>
      <c r="G69" s="60" t="s">
        <v>2309</v>
      </c>
      <c r="H69" s="60">
        <v>10100</v>
      </c>
      <c r="I69" s="60">
        <v>5202</v>
      </c>
      <c r="J69" s="60">
        <v>2357</v>
      </c>
      <c r="K69" s="60">
        <v>1138</v>
      </c>
      <c r="L69" s="60">
        <v>1269</v>
      </c>
      <c r="M69" s="60" t="s">
        <v>2309</v>
      </c>
    </row>
    <row r="70" spans="1:13" ht="15" customHeight="1" x14ac:dyDescent="0.35">
      <c r="A70" s="61" t="s">
        <v>2366</v>
      </c>
      <c r="B70" s="60">
        <v>705</v>
      </c>
      <c r="C70" s="60">
        <v>447</v>
      </c>
      <c r="D70" s="60">
        <v>158</v>
      </c>
      <c r="E70" s="60">
        <v>49</v>
      </c>
      <c r="F70" s="60">
        <v>43</v>
      </c>
      <c r="G70" s="60">
        <v>7</v>
      </c>
      <c r="H70" s="60">
        <v>19180</v>
      </c>
      <c r="I70" s="60">
        <v>5609</v>
      </c>
      <c r="J70" s="60">
        <v>3312</v>
      </c>
      <c r="K70" s="60">
        <v>2187</v>
      </c>
      <c r="L70" s="60">
        <v>4942</v>
      </c>
      <c r="M70" s="60">
        <v>3130</v>
      </c>
    </row>
    <row r="71" spans="1:13" ht="24" customHeight="1" x14ac:dyDescent="0.35">
      <c r="A71" s="71" t="s">
        <v>2367</v>
      </c>
      <c r="B71" s="84" t="s">
        <v>27</v>
      </c>
      <c r="C71" s="84" t="s">
        <v>27</v>
      </c>
      <c r="D71" s="84" t="s">
        <v>27</v>
      </c>
      <c r="E71" s="84" t="s">
        <v>27</v>
      </c>
      <c r="F71" s="84" t="s">
        <v>27</v>
      </c>
      <c r="G71" s="84" t="s">
        <v>27</v>
      </c>
      <c r="H71" s="84" t="s">
        <v>27</v>
      </c>
      <c r="I71" s="84" t="s">
        <v>27</v>
      </c>
      <c r="J71" s="84" t="s">
        <v>27</v>
      </c>
      <c r="K71" s="84" t="s">
        <v>27</v>
      </c>
      <c r="L71" s="84" t="s">
        <v>27</v>
      </c>
      <c r="M71" s="84" t="s">
        <v>27</v>
      </c>
    </row>
    <row r="72" spans="1:13" ht="15" customHeight="1" x14ac:dyDescent="0.35">
      <c r="A72" s="61" t="s">
        <v>2368</v>
      </c>
      <c r="B72" s="60">
        <v>4982</v>
      </c>
      <c r="C72" s="60">
        <v>3428</v>
      </c>
      <c r="D72" s="60">
        <v>1132</v>
      </c>
      <c r="E72" s="60">
        <v>292</v>
      </c>
      <c r="F72" s="60">
        <v>116</v>
      </c>
      <c r="G72" s="60">
        <v>13</v>
      </c>
      <c r="H72" s="60">
        <v>75055</v>
      </c>
      <c r="I72" s="60">
        <v>35923</v>
      </c>
      <c r="J72" s="60">
        <v>17853</v>
      </c>
      <c r="K72" s="60">
        <v>7205</v>
      </c>
      <c r="L72" s="60">
        <v>9109</v>
      </c>
      <c r="M72" s="60">
        <v>4965</v>
      </c>
    </row>
    <row r="73" spans="1:13" ht="15" customHeight="1" x14ac:dyDescent="0.35">
      <c r="A73" s="59" t="s">
        <v>2369</v>
      </c>
      <c r="B73" s="60">
        <v>3249</v>
      </c>
      <c r="C73" s="60">
        <v>2184</v>
      </c>
      <c r="D73" s="60">
        <v>745</v>
      </c>
      <c r="E73" s="60">
        <v>224</v>
      </c>
      <c r="F73" s="60">
        <v>88</v>
      </c>
      <c r="G73" s="60">
        <v>7</v>
      </c>
      <c r="H73" s="60">
        <v>45609</v>
      </c>
      <c r="I73" s="60">
        <v>19712</v>
      </c>
      <c r="J73" s="60">
        <v>11315</v>
      </c>
      <c r="K73" s="60">
        <v>5432</v>
      </c>
      <c r="L73" s="60">
        <v>6116</v>
      </c>
      <c r="M73" s="60">
        <v>3035</v>
      </c>
    </row>
    <row r="74" spans="1:13" ht="15" customHeight="1" x14ac:dyDescent="0.35">
      <c r="A74" s="59" t="s">
        <v>2370</v>
      </c>
      <c r="B74" s="60">
        <v>1581</v>
      </c>
      <c r="C74" s="60">
        <v>1124</v>
      </c>
      <c r="D74" s="60">
        <v>364</v>
      </c>
      <c r="E74" s="60">
        <v>60</v>
      </c>
      <c r="F74" s="60">
        <v>26</v>
      </c>
      <c r="G74" s="60">
        <v>6</v>
      </c>
      <c r="H74" s="60">
        <v>28456</v>
      </c>
      <c r="I74" s="60">
        <v>15721</v>
      </c>
      <c r="J74" s="60">
        <v>6275</v>
      </c>
      <c r="K74" s="60">
        <v>1670</v>
      </c>
      <c r="L74" s="60">
        <v>2875</v>
      </c>
      <c r="M74" s="60">
        <v>1915</v>
      </c>
    </row>
    <row r="75" spans="1:13" ht="15" customHeight="1" x14ac:dyDescent="0.35">
      <c r="A75" s="59" t="s">
        <v>2372</v>
      </c>
      <c r="B75" s="60">
        <v>152</v>
      </c>
      <c r="C75" s="60">
        <v>120</v>
      </c>
      <c r="D75" s="60" t="s">
        <v>2309</v>
      </c>
      <c r="E75" s="60" t="s">
        <v>2309</v>
      </c>
      <c r="F75" s="60" t="s">
        <v>2309</v>
      </c>
      <c r="G75" s="60" t="s">
        <v>2309</v>
      </c>
      <c r="H75" s="60">
        <v>990</v>
      </c>
      <c r="I75" s="60">
        <v>491</v>
      </c>
      <c r="J75" s="60" t="s">
        <v>2309</v>
      </c>
      <c r="K75" s="60" t="s">
        <v>2309</v>
      </c>
      <c r="L75" s="60" t="s">
        <v>2309</v>
      </c>
      <c r="M75" s="60" t="s">
        <v>2309</v>
      </c>
    </row>
    <row r="76" spans="1:13" ht="15" customHeight="1" x14ac:dyDescent="0.35">
      <c r="A76" s="61" t="s">
        <v>2373</v>
      </c>
      <c r="B76" s="60">
        <v>937</v>
      </c>
      <c r="C76" s="60">
        <v>678</v>
      </c>
      <c r="D76" s="60">
        <v>154</v>
      </c>
      <c r="E76" s="60">
        <v>77</v>
      </c>
      <c r="F76" s="60">
        <v>25</v>
      </c>
      <c r="G76" s="60">
        <v>2</v>
      </c>
      <c r="H76" s="60">
        <v>21703</v>
      </c>
      <c r="I76" s="60">
        <v>7995</v>
      </c>
      <c r="J76" s="60">
        <v>5464</v>
      </c>
      <c r="K76" s="60">
        <v>3260</v>
      </c>
      <c r="L76" s="60">
        <v>3949</v>
      </c>
      <c r="M76" s="60">
        <v>1035</v>
      </c>
    </row>
    <row r="77" spans="1:13" ht="15" customHeight="1" x14ac:dyDescent="0.35">
      <c r="A77" s="59" t="s">
        <v>2374</v>
      </c>
      <c r="B77" s="60">
        <v>70</v>
      </c>
      <c r="C77" s="60">
        <v>55</v>
      </c>
      <c r="D77" s="60">
        <v>9</v>
      </c>
      <c r="E77" s="60" t="s">
        <v>2309</v>
      </c>
      <c r="F77" s="60">
        <v>1</v>
      </c>
      <c r="G77" s="60" t="s">
        <v>2309</v>
      </c>
      <c r="H77" s="60">
        <v>1946</v>
      </c>
      <c r="I77" s="60">
        <v>605</v>
      </c>
      <c r="J77" s="60">
        <v>426</v>
      </c>
      <c r="K77" s="60" t="s">
        <v>2309</v>
      </c>
      <c r="L77" s="60">
        <v>366</v>
      </c>
      <c r="M77" s="60">
        <v>442</v>
      </c>
    </row>
    <row r="78" spans="1:13" ht="15" customHeight="1" x14ac:dyDescent="0.35">
      <c r="A78" s="59" t="s">
        <v>237</v>
      </c>
      <c r="B78" s="60">
        <v>256</v>
      </c>
      <c r="C78" s="60">
        <v>184</v>
      </c>
      <c r="D78" s="60">
        <v>26</v>
      </c>
      <c r="E78" s="60">
        <v>32</v>
      </c>
      <c r="F78" s="60">
        <v>13</v>
      </c>
      <c r="G78" s="60">
        <v>1</v>
      </c>
      <c r="H78" s="60">
        <v>6878</v>
      </c>
      <c r="I78" s="60">
        <v>2272</v>
      </c>
      <c r="J78" s="60">
        <v>1263</v>
      </c>
      <c r="K78" s="60">
        <v>1223</v>
      </c>
      <c r="L78" s="60">
        <v>1882</v>
      </c>
      <c r="M78" s="60">
        <v>238</v>
      </c>
    </row>
    <row r="79" spans="1:13" ht="15" customHeight="1" x14ac:dyDescent="0.35">
      <c r="A79" s="59" t="s">
        <v>2375</v>
      </c>
      <c r="B79" s="60">
        <v>610</v>
      </c>
      <c r="C79" s="60">
        <v>439</v>
      </c>
      <c r="D79" s="60">
        <v>119</v>
      </c>
      <c r="E79" s="60">
        <v>41</v>
      </c>
      <c r="F79" s="60">
        <v>11</v>
      </c>
      <c r="G79" s="60">
        <v>1</v>
      </c>
      <c r="H79" s="60">
        <v>12878</v>
      </c>
      <c r="I79" s="60">
        <v>5119</v>
      </c>
      <c r="J79" s="60">
        <v>3774</v>
      </c>
      <c r="K79" s="60">
        <v>1930</v>
      </c>
      <c r="L79" s="60">
        <v>1700</v>
      </c>
      <c r="M79" s="60">
        <v>355</v>
      </c>
    </row>
    <row r="80" spans="1:13" ht="34" customHeight="1" x14ac:dyDescent="0.35">
      <c r="A80" s="71" t="s">
        <v>2854</v>
      </c>
      <c r="B80" s="84" t="s">
        <v>27</v>
      </c>
      <c r="C80" s="84" t="s">
        <v>27</v>
      </c>
      <c r="D80" s="84" t="s">
        <v>27</v>
      </c>
      <c r="E80" s="84" t="s">
        <v>27</v>
      </c>
      <c r="F80" s="84" t="s">
        <v>27</v>
      </c>
      <c r="G80" s="84" t="s">
        <v>27</v>
      </c>
      <c r="H80" s="84" t="s">
        <v>27</v>
      </c>
      <c r="I80" s="84" t="s">
        <v>27</v>
      </c>
      <c r="J80" s="84" t="s">
        <v>27</v>
      </c>
      <c r="K80" s="84" t="s">
        <v>27</v>
      </c>
      <c r="L80" s="84" t="s">
        <v>27</v>
      </c>
      <c r="M80" s="84" t="s">
        <v>27</v>
      </c>
    </row>
    <row r="81" spans="1:13" ht="15" customHeight="1" x14ac:dyDescent="0.35">
      <c r="A81" s="61" t="s">
        <v>2377</v>
      </c>
      <c r="B81" s="60">
        <v>4872</v>
      </c>
      <c r="C81" s="60">
        <v>3310</v>
      </c>
      <c r="D81" s="60">
        <v>1089</v>
      </c>
      <c r="E81" s="60">
        <v>328</v>
      </c>
      <c r="F81" s="60">
        <v>130</v>
      </c>
      <c r="G81" s="60">
        <v>14</v>
      </c>
      <c r="H81" s="60">
        <v>79515</v>
      </c>
      <c r="I81" s="60">
        <v>32903</v>
      </c>
      <c r="J81" s="60">
        <v>19745</v>
      </c>
      <c r="K81" s="60">
        <v>9475</v>
      </c>
      <c r="L81" s="60">
        <v>11863</v>
      </c>
      <c r="M81" s="60">
        <v>5529</v>
      </c>
    </row>
    <row r="82" spans="1:13" ht="15" customHeight="1" x14ac:dyDescent="0.35">
      <c r="A82" s="61" t="s">
        <v>2378</v>
      </c>
      <c r="B82" s="60">
        <v>831</v>
      </c>
      <c r="C82" s="60">
        <v>662</v>
      </c>
      <c r="D82" s="60">
        <v>142</v>
      </c>
      <c r="E82" s="60">
        <v>24</v>
      </c>
      <c r="F82" s="60">
        <v>3</v>
      </c>
      <c r="G82" s="60" t="s">
        <v>2309</v>
      </c>
      <c r="H82" s="60">
        <v>12956</v>
      </c>
      <c r="I82" s="60">
        <v>9242</v>
      </c>
      <c r="J82" s="60">
        <v>2670</v>
      </c>
      <c r="K82" s="60">
        <v>436</v>
      </c>
      <c r="L82" s="60">
        <v>539</v>
      </c>
      <c r="M82" s="60" t="s">
        <v>2309</v>
      </c>
    </row>
    <row r="83" spans="1:13" ht="15" customHeight="1" x14ac:dyDescent="0.35">
      <c r="A83" s="61" t="s">
        <v>2379</v>
      </c>
      <c r="B83" s="60">
        <v>97</v>
      </c>
      <c r="C83" s="60">
        <v>67</v>
      </c>
      <c r="D83" s="60">
        <v>22</v>
      </c>
      <c r="E83" s="60" t="s">
        <v>2309</v>
      </c>
      <c r="F83" s="60">
        <v>3</v>
      </c>
      <c r="G83" s="60">
        <v>1</v>
      </c>
      <c r="H83" s="60">
        <v>1994</v>
      </c>
      <c r="I83" s="60">
        <v>762</v>
      </c>
      <c r="J83" s="60">
        <v>397</v>
      </c>
      <c r="K83" s="60" t="s">
        <v>2309</v>
      </c>
      <c r="L83" s="60">
        <v>313</v>
      </c>
      <c r="M83" s="60">
        <v>295</v>
      </c>
    </row>
    <row r="84" spans="1:13" ht="15" customHeight="1" x14ac:dyDescent="0.35">
      <c r="A84" s="61" t="s">
        <v>2380</v>
      </c>
      <c r="B84" s="60">
        <v>118</v>
      </c>
      <c r="C84" s="60">
        <v>67</v>
      </c>
      <c r="D84" s="60" t="s">
        <v>2309</v>
      </c>
      <c r="E84" s="60" t="s">
        <v>2309</v>
      </c>
      <c r="F84" s="60">
        <v>5</v>
      </c>
      <c r="G84" s="60">
        <v>0</v>
      </c>
      <c r="H84" s="60">
        <v>2293</v>
      </c>
      <c r="I84" s="60">
        <v>1011</v>
      </c>
      <c r="J84" s="60">
        <v>504</v>
      </c>
      <c r="K84" s="60" t="s">
        <v>2309</v>
      </c>
      <c r="L84" s="60">
        <v>343</v>
      </c>
      <c r="M84" s="60">
        <v>108</v>
      </c>
    </row>
    <row r="85" spans="1:13" ht="34" customHeight="1" x14ac:dyDescent="0.35">
      <c r="A85" s="71" t="s">
        <v>2381</v>
      </c>
      <c r="B85" s="84" t="s">
        <v>27</v>
      </c>
      <c r="C85" s="84" t="s">
        <v>27</v>
      </c>
      <c r="D85" s="84" t="s">
        <v>27</v>
      </c>
      <c r="E85" s="84" t="s">
        <v>27</v>
      </c>
      <c r="F85" s="84" t="s">
        <v>27</v>
      </c>
      <c r="G85" s="84" t="s">
        <v>27</v>
      </c>
      <c r="H85" s="84" t="s">
        <v>27</v>
      </c>
      <c r="I85" s="84" t="s">
        <v>27</v>
      </c>
      <c r="J85" s="84" t="s">
        <v>27</v>
      </c>
      <c r="K85" s="84" t="s">
        <v>27</v>
      </c>
      <c r="L85" s="84" t="s">
        <v>27</v>
      </c>
      <c r="M85" s="84" t="s">
        <v>27</v>
      </c>
    </row>
    <row r="86" spans="1:13" ht="15" customHeight="1" x14ac:dyDescent="0.35">
      <c r="A86" s="61" t="s">
        <v>2377</v>
      </c>
      <c r="B86" s="60">
        <v>5127</v>
      </c>
      <c r="C86" s="60">
        <v>3508</v>
      </c>
      <c r="D86" s="60">
        <v>1146</v>
      </c>
      <c r="E86" s="60">
        <v>325</v>
      </c>
      <c r="F86" s="60">
        <v>133</v>
      </c>
      <c r="G86" s="60">
        <v>15</v>
      </c>
      <c r="H86" s="60">
        <v>83103</v>
      </c>
      <c r="I86" s="60">
        <v>35425</v>
      </c>
      <c r="J86" s="60">
        <v>20610</v>
      </c>
      <c r="K86" s="60">
        <v>9434</v>
      </c>
      <c r="L86" s="60">
        <v>12017</v>
      </c>
      <c r="M86" s="60">
        <v>5617</v>
      </c>
    </row>
    <row r="87" spans="1:13" ht="15" customHeight="1" x14ac:dyDescent="0.35">
      <c r="A87" s="61" t="s">
        <v>2378</v>
      </c>
      <c r="B87" s="60">
        <v>483</v>
      </c>
      <c r="C87" s="60">
        <v>389</v>
      </c>
      <c r="D87" s="60">
        <v>77</v>
      </c>
      <c r="E87" s="60">
        <v>15</v>
      </c>
      <c r="F87" s="60">
        <v>2</v>
      </c>
      <c r="G87" s="60" t="s">
        <v>2309</v>
      </c>
      <c r="H87" s="60">
        <v>7682</v>
      </c>
      <c r="I87" s="60">
        <v>5765</v>
      </c>
      <c r="J87" s="60">
        <v>1307</v>
      </c>
      <c r="K87" s="60">
        <v>260</v>
      </c>
      <c r="L87" s="60">
        <v>298</v>
      </c>
      <c r="M87" s="60" t="s">
        <v>2309</v>
      </c>
    </row>
    <row r="88" spans="1:13" ht="15" customHeight="1" x14ac:dyDescent="0.35">
      <c r="A88" s="61" t="s">
        <v>2379</v>
      </c>
      <c r="B88" s="60">
        <v>49</v>
      </c>
      <c r="C88" s="60">
        <v>40</v>
      </c>
      <c r="D88" s="60" t="s">
        <v>2309</v>
      </c>
      <c r="E88" s="60" t="s">
        <v>2309</v>
      </c>
      <c r="F88" s="60">
        <v>1</v>
      </c>
      <c r="G88" s="60" t="s">
        <v>2309</v>
      </c>
      <c r="H88" s="60">
        <v>1069</v>
      </c>
      <c r="I88" s="60">
        <v>422</v>
      </c>
      <c r="J88" s="60" t="s">
        <v>2309</v>
      </c>
      <c r="K88" s="60" t="s">
        <v>2309</v>
      </c>
      <c r="L88" s="60">
        <v>143</v>
      </c>
      <c r="M88" s="60" t="s">
        <v>2309</v>
      </c>
    </row>
    <row r="89" spans="1:13" ht="15" customHeight="1" x14ac:dyDescent="0.35">
      <c r="A89" s="61" t="s">
        <v>2380</v>
      </c>
      <c r="B89" s="60">
        <v>260</v>
      </c>
      <c r="C89" s="60">
        <v>169</v>
      </c>
      <c r="D89" s="60">
        <v>56</v>
      </c>
      <c r="E89" s="60">
        <v>28</v>
      </c>
      <c r="F89" s="60">
        <v>6</v>
      </c>
      <c r="G89" s="60">
        <v>1</v>
      </c>
      <c r="H89" s="60">
        <v>4904</v>
      </c>
      <c r="I89" s="60">
        <v>2306</v>
      </c>
      <c r="J89" s="60">
        <v>1104</v>
      </c>
      <c r="K89" s="60">
        <v>674</v>
      </c>
      <c r="L89" s="60">
        <v>600</v>
      </c>
      <c r="M89" s="60">
        <v>220</v>
      </c>
    </row>
    <row r="90" spans="1:13" ht="24" customHeight="1" x14ac:dyDescent="0.35">
      <c r="A90" s="71" t="s">
        <v>2382</v>
      </c>
      <c r="B90" s="84" t="s">
        <v>27</v>
      </c>
      <c r="C90" s="84" t="s">
        <v>27</v>
      </c>
      <c r="D90" s="84" t="s">
        <v>27</v>
      </c>
      <c r="E90" s="84" t="s">
        <v>27</v>
      </c>
      <c r="F90" s="84" t="s">
        <v>27</v>
      </c>
      <c r="G90" s="84" t="s">
        <v>27</v>
      </c>
      <c r="H90" s="84" t="s">
        <v>27</v>
      </c>
      <c r="I90" s="84" t="s">
        <v>27</v>
      </c>
      <c r="J90" s="84" t="s">
        <v>27</v>
      </c>
      <c r="K90" s="84" t="s">
        <v>27</v>
      </c>
      <c r="L90" s="84" t="s">
        <v>27</v>
      </c>
      <c r="M90" s="84" t="s">
        <v>27</v>
      </c>
    </row>
    <row r="91" spans="1:13" ht="15" customHeight="1" x14ac:dyDescent="0.35">
      <c r="A91" s="61" t="s">
        <v>2341</v>
      </c>
      <c r="B91" s="60">
        <v>4719</v>
      </c>
      <c r="C91" s="60">
        <v>3350</v>
      </c>
      <c r="D91" s="60">
        <v>1008</v>
      </c>
      <c r="E91" s="60">
        <v>258</v>
      </c>
      <c r="F91" s="60">
        <v>96</v>
      </c>
      <c r="G91" s="60">
        <v>7</v>
      </c>
      <c r="H91" s="60">
        <v>65708</v>
      </c>
      <c r="I91" s="60">
        <v>31505</v>
      </c>
      <c r="J91" s="60">
        <v>17022</v>
      </c>
      <c r="K91" s="60">
        <v>7180</v>
      </c>
      <c r="L91" s="60">
        <v>7940</v>
      </c>
      <c r="M91" s="60">
        <v>2062</v>
      </c>
    </row>
    <row r="92" spans="1:13" ht="15" customHeight="1" x14ac:dyDescent="0.35">
      <c r="A92" s="61" t="s">
        <v>2383</v>
      </c>
      <c r="B92" s="60">
        <v>811</v>
      </c>
      <c r="C92" s="60">
        <v>513</v>
      </c>
      <c r="D92" s="60">
        <v>197</v>
      </c>
      <c r="E92" s="60">
        <v>72</v>
      </c>
      <c r="F92" s="60">
        <v>27</v>
      </c>
      <c r="G92" s="60">
        <v>2</v>
      </c>
      <c r="H92" s="60">
        <v>16449</v>
      </c>
      <c r="I92" s="60">
        <v>7172</v>
      </c>
      <c r="J92" s="60">
        <v>3918</v>
      </c>
      <c r="K92" s="60">
        <v>1830</v>
      </c>
      <c r="L92" s="60">
        <v>2517</v>
      </c>
      <c r="M92" s="60">
        <v>1013</v>
      </c>
    </row>
    <row r="93" spans="1:13" ht="15" customHeight="1" x14ac:dyDescent="0.35">
      <c r="A93" s="61" t="s">
        <v>2384</v>
      </c>
      <c r="B93" s="60">
        <v>135</v>
      </c>
      <c r="C93" s="60">
        <v>72</v>
      </c>
      <c r="D93" s="60">
        <v>35</v>
      </c>
      <c r="E93" s="60">
        <v>19</v>
      </c>
      <c r="F93" s="60">
        <v>7</v>
      </c>
      <c r="G93" s="60">
        <v>2</v>
      </c>
      <c r="H93" s="60">
        <v>5539</v>
      </c>
      <c r="I93" s="60">
        <v>2397</v>
      </c>
      <c r="J93" s="60">
        <v>911</v>
      </c>
      <c r="K93" s="60">
        <v>567</v>
      </c>
      <c r="L93" s="60">
        <v>988</v>
      </c>
      <c r="M93" s="60">
        <v>677</v>
      </c>
    </row>
    <row r="94" spans="1:13" ht="15" customHeight="1" x14ac:dyDescent="0.35">
      <c r="A94" s="61" t="s">
        <v>2385</v>
      </c>
      <c r="B94" s="60">
        <v>63</v>
      </c>
      <c r="C94" s="60">
        <v>32</v>
      </c>
      <c r="D94" s="60">
        <v>20</v>
      </c>
      <c r="E94" s="60">
        <v>2</v>
      </c>
      <c r="F94" s="60">
        <v>7</v>
      </c>
      <c r="G94" s="60">
        <v>2</v>
      </c>
      <c r="H94" s="60">
        <v>3894</v>
      </c>
      <c r="I94" s="60">
        <v>1440</v>
      </c>
      <c r="J94" s="60">
        <v>794</v>
      </c>
      <c r="K94" s="60">
        <v>193</v>
      </c>
      <c r="L94" s="60">
        <v>763</v>
      </c>
      <c r="M94" s="60">
        <v>705</v>
      </c>
    </row>
    <row r="95" spans="1:13" ht="15" customHeight="1" x14ac:dyDescent="0.35">
      <c r="A95" s="61" t="s">
        <v>2386</v>
      </c>
      <c r="B95" s="60">
        <v>19</v>
      </c>
      <c r="C95" s="60">
        <v>6</v>
      </c>
      <c r="D95" s="60" t="s">
        <v>2309</v>
      </c>
      <c r="E95" s="60">
        <v>5</v>
      </c>
      <c r="F95" s="60">
        <v>3</v>
      </c>
      <c r="G95" s="60">
        <v>3</v>
      </c>
      <c r="H95" s="60">
        <v>3999</v>
      </c>
      <c r="I95" s="60">
        <v>855</v>
      </c>
      <c r="J95" s="60">
        <v>393</v>
      </c>
      <c r="K95" s="60">
        <v>515</v>
      </c>
      <c r="L95" s="60">
        <v>715</v>
      </c>
      <c r="M95" s="60">
        <v>1521</v>
      </c>
    </row>
    <row r="96" spans="1:13" ht="15" customHeight="1" x14ac:dyDescent="0.35">
      <c r="A96" s="61" t="s">
        <v>2387</v>
      </c>
      <c r="B96" s="60">
        <v>170</v>
      </c>
      <c r="C96" s="60">
        <v>133</v>
      </c>
      <c r="D96" s="60" t="s">
        <v>2309</v>
      </c>
      <c r="E96" s="60" t="s">
        <v>2309</v>
      </c>
      <c r="F96" s="60" t="s">
        <v>2309</v>
      </c>
      <c r="G96" s="60" t="s">
        <v>2309</v>
      </c>
      <c r="H96" s="60">
        <v>1168</v>
      </c>
      <c r="I96" s="60">
        <v>549</v>
      </c>
      <c r="J96" s="60" t="s">
        <v>2309</v>
      </c>
      <c r="K96" s="60" t="s">
        <v>2309</v>
      </c>
      <c r="L96" s="60" t="s">
        <v>2309</v>
      </c>
      <c r="M96" s="60" t="s">
        <v>2309</v>
      </c>
    </row>
    <row r="97" spans="1:13" ht="24" customHeight="1" x14ac:dyDescent="0.35">
      <c r="A97" s="71" t="s">
        <v>2388</v>
      </c>
      <c r="B97" s="60" t="s">
        <v>27</v>
      </c>
      <c r="C97" s="60" t="s">
        <v>27</v>
      </c>
      <c r="D97" s="60" t="s">
        <v>27</v>
      </c>
      <c r="E97" s="60" t="s">
        <v>27</v>
      </c>
      <c r="F97" s="60" t="s">
        <v>27</v>
      </c>
      <c r="G97" s="60" t="s">
        <v>27</v>
      </c>
      <c r="H97" s="60" t="s">
        <v>27</v>
      </c>
      <c r="I97" s="60" t="s">
        <v>27</v>
      </c>
      <c r="J97" s="60" t="s">
        <v>27</v>
      </c>
      <c r="K97" s="60" t="s">
        <v>27</v>
      </c>
      <c r="L97" s="60" t="s">
        <v>27</v>
      </c>
      <c r="M97" s="60" t="s">
        <v>27</v>
      </c>
    </row>
    <row r="98" spans="1:13" ht="15" customHeight="1" x14ac:dyDescent="0.35">
      <c r="A98" s="61" t="s">
        <v>2389</v>
      </c>
      <c r="B98" s="60">
        <v>3622</v>
      </c>
      <c r="C98" s="60">
        <v>2461</v>
      </c>
      <c r="D98" s="60">
        <v>834</v>
      </c>
      <c r="E98" s="60">
        <v>240</v>
      </c>
      <c r="F98" s="60">
        <v>76</v>
      </c>
      <c r="G98" s="60">
        <v>11</v>
      </c>
      <c r="H98" s="60">
        <v>56948</v>
      </c>
      <c r="I98" s="60">
        <v>26066</v>
      </c>
      <c r="J98" s="60">
        <v>14725</v>
      </c>
      <c r="K98" s="60">
        <v>6377</v>
      </c>
      <c r="L98" s="60">
        <v>6115</v>
      </c>
      <c r="M98" s="60">
        <v>3665</v>
      </c>
    </row>
    <row r="99" spans="1:13" ht="15" customHeight="1" x14ac:dyDescent="0.35">
      <c r="A99" s="61" t="s">
        <v>2390</v>
      </c>
      <c r="B99" s="60">
        <v>247</v>
      </c>
      <c r="C99" s="60">
        <v>190</v>
      </c>
      <c r="D99" s="60">
        <v>44</v>
      </c>
      <c r="E99" s="60">
        <v>6</v>
      </c>
      <c r="F99" s="60" t="s">
        <v>2309</v>
      </c>
      <c r="G99" s="60" t="s">
        <v>2399</v>
      </c>
      <c r="H99" s="60">
        <v>5134</v>
      </c>
      <c r="I99" s="60">
        <v>2662</v>
      </c>
      <c r="J99" s="60">
        <v>1496</v>
      </c>
      <c r="K99" s="60">
        <v>411</v>
      </c>
      <c r="L99" s="60">
        <v>566</v>
      </c>
      <c r="M99" s="60" t="s">
        <v>2399</v>
      </c>
    </row>
    <row r="100" spans="1:13" ht="15" customHeight="1" x14ac:dyDescent="0.35">
      <c r="A100" s="61" t="s">
        <v>2391</v>
      </c>
      <c r="B100" s="60">
        <v>103</v>
      </c>
      <c r="C100" s="60">
        <v>39</v>
      </c>
      <c r="D100" s="60">
        <v>30</v>
      </c>
      <c r="E100" s="60">
        <v>13</v>
      </c>
      <c r="F100" s="60">
        <v>20</v>
      </c>
      <c r="G100" s="60">
        <v>1</v>
      </c>
      <c r="H100" s="60">
        <v>3761</v>
      </c>
      <c r="I100" s="60">
        <v>469</v>
      </c>
      <c r="J100" s="60">
        <v>591</v>
      </c>
      <c r="K100" s="60">
        <v>698</v>
      </c>
      <c r="L100" s="60">
        <v>1793</v>
      </c>
      <c r="M100" s="60">
        <v>211</v>
      </c>
    </row>
    <row r="101" spans="1:13" ht="15" customHeight="1" x14ac:dyDescent="0.35">
      <c r="A101" s="61" t="s">
        <v>2392</v>
      </c>
      <c r="B101" s="60">
        <v>141</v>
      </c>
      <c r="C101" s="60">
        <v>77</v>
      </c>
      <c r="D101" s="60">
        <v>38</v>
      </c>
      <c r="E101" s="60">
        <v>13</v>
      </c>
      <c r="F101" s="60">
        <v>11</v>
      </c>
      <c r="G101" s="60">
        <v>1</v>
      </c>
      <c r="H101" s="60">
        <v>3823</v>
      </c>
      <c r="I101" s="60">
        <v>692</v>
      </c>
      <c r="J101" s="60">
        <v>742</v>
      </c>
      <c r="K101" s="60">
        <v>349</v>
      </c>
      <c r="L101" s="60">
        <v>1176</v>
      </c>
      <c r="M101" s="60">
        <v>864</v>
      </c>
    </row>
    <row r="102" spans="1:13" ht="15" customHeight="1" x14ac:dyDescent="0.35">
      <c r="A102" s="61" t="s">
        <v>2393</v>
      </c>
      <c r="B102" s="60">
        <v>250</v>
      </c>
      <c r="C102" s="60">
        <v>206</v>
      </c>
      <c r="D102" s="60">
        <v>41</v>
      </c>
      <c r="E102" s="60" t="s">
        <v>2309</v>
      </c>
      <c r="F102" s="60" t="s">
        <v>2309</v>
      </c>
      <c r="G102" s="60" t="s">
        <v>2309</v>
      </c>
      <c r="H102" s="60">
        <v>4523</v>
      </c>
      <c r="I102" s="60">
        <v>3216</v>
      </c>
      <c r="J102" s="60">
        <v>1002</v>
      </c>
      <c r="K102" s="60" t="s">
        <v>2309</v>
      </c>
      <c r="L102" s="60" t="s">
        <v>2309</v>
      </c>
      <c r="M102" s="60" t="s">
        <v>2309</v>
      </c>
    </row>
    <row r="103" spans="1:13" ht="15" customHeight="1" x14ac:dyDescent="0.35">
      <c r="A103" s="61" t="s">
        <v>2394</v>
      </c>
      <c r="B103" s="60">
        <v>418</v>
      </c>
      <c r="C103" s="60">
        <v>365</v>
      </c>
      <c r="D103" s="60">
        <v>41</v>
      </c>
      <c r="E103" s="60" t="s">
        <v>2309</v>
      </c>
      <c r="F103" s="60" t="s">
        <v>2309</v>
      </c>
      <c r="G103" s="60" t="s">
        <v>2399</v>
      </c>
      <c r="H103" s="60">
        <v>5684</v>
      </c>
      <c r="I103" s="60">
        <v>4261</v>
      </c>
      <c r="J103" s="60">
        <v>1087</v>
      </c>
      <c r="K103" s="60" t="s">
        <v>2309</v>
      </c>
      <c r="L103" s="60" t="s">
        <v>2309</v>
      </c>
      <c r="M103" s="60" t="s">
        <v>2399</v>
      </c>
    </row>
    <row r="104" spans="1:13" ht="15" customHeight="1" x14ac:dyDescent="0.35">
      <c r="A104" s="61" t="s">
        <v>2395</v>
      </c>
      <c r="B104" s="60">
        <v>253</v>
      </c>
      <c r="C104" s="60">
        <v>131</v>
      </c>
      <c r="D104" s="60">
        <v>91</v>
      </c>
      <c r="E104" s="60">
        <v>24</v>
      </c>
      <c r="F104" s="60" t="s">
        <v>2309</v>
      </c>
      <c r="G104" s="60" t="s">
        <v>2309</v>
      </c>
      <c r="H104" s="60">
        <v>3257</v>
      </c>
      <c r="I104" s="60">
        <v>1250</v>
      </c>
      <c r="J104" s="60">
        <v>1221</v>
      </c>
      <c r="K104" s="60">
        <v>566</v>
      </c>
      <c r="L104" s="60" t="s">
        <v>2309</v>
      </c>
      <c r="M104" s="60" t="s">
        <v>2309</v>
      </c>
    </row>
    <row r="105" spans="1:13" ht="15" customHeight="1" x14ac:dyDescent="0.35">
      <c r="A105" s="61" t="s">
        <v>2396</v>
      </c>
      <c r="B105" s="60">
        <v>60</v>
      </c>
      <c r="C105" s="60">
        <v>36</v>
      </c>
      <c r="D105" s="60">
        <v>12</v>
      </c>
      <c r="E105" s="60">
        <v>5</v>
      </c>
      <c r="F105" s="60">
        <v>7</v>
      </c>
      <c r="G105" s="60">
        <v>1</v>
      </c>
      <c r="H105" s="60">
        <v>2819</v>
      </c>
      <c r="I105" s="60">
        <v>390</v>
      </c>
      <c r="J105" s="60">
        <v>280</v>
      </c>
      <c r="K105" s="60">
        <v>177</v>
      </c>
      <c r="L105" s="60">
        <v>1409</v>
      </c>
      <c r="M105" s="60">
        <v>563</v>
      </c>
    </row>
    <row r="106" spans="1:13" ht="15" customHeight="1" x14ac:dyDescent="0.35">
      <c r="A106" s="61" t="s">
        <v>2397</v>
      </c>
      <c r="B106" s="60">
        <v>102</v>
      </c>
      <c r="C106" s="60">
        <v>52</v>
      </c>
      <c r="D106" s="60">
        <v>34</v>
      </c>
      <c r="E106" s="60" t="s">
        <v>2309</v>
      </c>
      <c r="F106" s="60">
        <v>5</v>
      </c>
      <c r="G106" s="60" t="s">
        <v>2309</v>
      </c>
      <c r="H106" s="60">
        <v>1602</v>
      </c>
      <c r="I106" s="60">
        <v>303</v>
      </c>
      <c r="J106" s="60">
        <v>381</v>
      </c>
      <c r="K106" s="60" t="s">
        <v>2309</v>
      </c>
      <c r="L106" s="60">
        <v>324</v>
      </c>
      <c r="M106" s="60" t="s">
        <v>2309</v>
      </c>
    </row>
    <row r="107" spans="1:13" ht="15" customHeight="1" x14ac:dyDescent="0.35">
      <c r="A107" s="61" t="s">
        <v>2398</v>
      </c>
      <c r="B107" s="60">
        <v>36</v>
      </c>
      <c r="C107" s="60">
        <v>33</v>
      </c>
      <c r="D107" s="60" t="s">
        <v>2309</v>
      </c>
      <c r="E107" s="60" t="s">
        <v>2309</v>
      </c>
      <c r="F107" s="60" t="s">
        <v>2309</v>
      </c>
      <c r="G107" s="60" t="s">
        <v>2309</v>
      </c>
      <c r="H107" s="60">
        <v>774</v>
      </c>
      <c r="I107" s="60">
        <v>227</v>
      </c>
      <c r="J107" s="60" t="s">
        <v>2309</v>
      </c>
      <c r="K107" s="60" t="s">
        <v>2309</v>
      </c>
      <c r="L107" s="60" t="s">
        <v>2309</v>
      </c>
      <c r="M107" s="60" t="s">
        <v>2309</v>
      </c>
    </row>
    <row r="108" spans="1:13" ht="15" customHeight="1" x14ac:dyDescent="0.35">
      <c r="A108" s="61" t="s">
        <v>2400</v>
      </c>
      <c r="B108" s="60">
        <v>124</v>
      </c>
      <c r="C108" s="60">
        <v>101</v>
      </c>
      <c r="D108" s="60">
        <v>14</v>
      </c>
      <c r="E108" s="60" t="s">
        <v>2309</v>
      </c>
      <c r="F108" s="60">
        <v>2</v>
      </c>
      <c r="G108" s="60" t="s">
        <v>2309</v>
      </c>
      <c r="H108" s="60">
        <v>1701</v>
      </c>
      <c r="I108" s="60">
        <v>738</v>
      </c>
      <c r="J108" s="60">
        <v>293</v>
      </c>
      <c r="K108" s="60" t="s">
        <v>2309</v>
      </c>
      <c r="L108" s="60">
        <v>333</v>
      </c>
      <c r="M108" s="60" t="s">
        <v>2309</v>
      </c>
    </row>
    <row r="109" spans="1:13" ht="15" customHeight="1" x14ac:dyDescent="0.35">
      <c r="A109" s="61" t="s">
        <v>2380</v>
      </c>
      <c r="B109" s="60">
        <v>563</v>
      </c>
      <c r="C109" s="60">
        <v>416</v>
      </c>
      <c r="D109" s="60">
        <v>104</v>
      </c>
      <c r="E109" s="60">
        <v>36</v>
      </c>
      <c r="F109" s="60">
        <v>5</v>
      </c>
      <c r="G109" s="60" t="s">
        <v>2309</v>
      </c>
      <c r="H109" s="60">
        <v>6732</v>
      </c>
      <c r="I109" s="60">
        <v>3645</v>
      </c>
      <c r="J109" s="60">
        <v>1371</v>
      </c>
      <c r="K109" s="60">
        <v>653</v>
      </c>
      <c r="L109" s="60">
        <v>797</v>
      </c>
      <c r="M109" s="60" t="s">
        <v>2309</v>
      </c>
    </row>
    <row r="110" spans="1:13" ht="24" customHeight="1" x14ac:dyDescent="0.35">
      <c r="A110" s="71" t="s">
        <v>2401</v>
      </c>
      <c r="B110" s="84" t="s">
        <v>27</v>
      </c>
      <c r="C110" s="84" t="s">
        <v>27</v>
      </c>
      <c r="D110" s="84" t="s">
        <v>27</v>
      </c>
      <c r="E110" s="84" t="s">
        <v>27</v>
      </c>
      <c r="F110" s="84" t="s">
        <v>27</v>
      </c>
      <c r="G110" s="84" t="s">
        <v>27</v>
      </c>
      <c r="H110" s="84" t="s">
        <v>27</v>
      </c>
      <c r="I110" s="84" t="s">
        <v>27</v>
      </c>
      <c r="J110" s="84" t="s">
        <v>27</v>
      </c>
      <c r="K110" s="84" t="s">
        <v>27</v>
      </c>
      <c r="L110" s="84" t="s">
        <v>27</v>
      </c>
      <c r="M110" s="84" t="s">
        <v>27</v>
      </c>
    </row>
    <row r="111" spans="1:13" ht="15" customHeight="1" x14ac:dyDescent="0.35">
      <c r="A111" s="61" t="s">
        <v>2402</v>
      </c>
      <c r="B111" s="60">
        <v>2490</v>
      </c>
      <c r="C111" s="60">
        <v>1519</v>
      </c>
      <c r="D111" s="60">
        <v>638</v>
      </c>
      <c r="E111" s="60">
        <v>239</v>
      </c>
      <c r="F111" s="60">
        <v>88</v>
      </c>
      <c r="G111" s="60">
        <v>7</v>
      </c>
      <c r="H111" s="60">
        <v>46291</v>
      </c>
      <c r="I111" s="60">
        <v>16880</v>
      </c>
      <c r="J111" s="60">
        <v>12149</v>
      </c>
      <c r="K111" s="60">
        <v>6859</v>
      </c>
      <c r="L111" s="60">
        <v>8040</v>
      </c>
      <c r="M111" s="60">
        <v>2362</v>
      </c>
    </row>
    <row r="112" spans="1:13" ht="15" customHeight="1" x14ac:dyDescent="0.35">
      <c r="A112" s="61" t="s">
        <v>2403</v>
      </c>
      <c r="B112" s="60">
        <v>935</v>
      </c>
      <c r="C112" s="60">
        <v>688</v>
      </c>
      <c r="D112" s="60">
        <v>193</v>
      </c>
      <c r="E112" s="60">
        <v>34</v>
      </c>
      <c r="F112" s="60">
        <v>17</v>
      </c>
      <c r="G112" s="60">
        <v>4</v>
      </c>
      <c r="H112" s="60">
        <v>19565</v>
      </c>
      <c r="I112" s="60">
        <v>10280</v>
      </c>
      <c r="J112" s="60">
        <v>4512</v>
      </c>
      <c r="K112" s="60">
        <v>1522</v>
      </c>
      <c r="L112" s="60">
        <v>2128</v>
      </c>
      <c r="M112" s="60">
        <v>1124</v>
      </c>
    </row>
    <row r="113" spans="1:13" ht="15" customHeight="1" x14ac:dyDescent="0.35">
      <c r="A113" s="61" t="s">
        <v>2404</v>
      </c>
      <c r="B113" s="60">
        <v>137</v>
      </c>
      <c r="C113" s="60">
        <v>85</v>
      </c>
      <c r="D113" s="60">
        <v>33</v>
      </c>
      <c r="E113" s="60">
        <v>11</v>
      </c>
      <c r="F113" s="60">
        <v>5</v>
      </c>
      <c r="G113" s="60">
        <v>2</v>
      </c>
      <c r="H113" s="60">
        <v>8331</v>
      </c>
      <c r="I113" s="60">
        <v>3666</v>
      </c>
      <c r="J113" s="60">
        <v>2048</v>
      </c>
      <c r="K113" s="60">
        <v>733</v>
      </c>
      <c r="L113" s="60">
        <v>1039</v>
      </c>
      <c r="M113" s="60">
        <v>846</v>
      </c>
    </row>
    <row r="114" spans="1:13" ht="15" customHeight="1" x14ac:dyDescent="0.35">
      <c r="A114" s="61" t="s">
        <v>2405</v>
      </c>
      <c r="B114" s="60">
        <v>948</v>
      </c>
      <c r="C114" s="60">
        <v>607</v>
      </c>
      <c r="D114" s="60">
        <v>253</v>
      </c>
      <c r="E114" s="60">
        <v>70</v>
      </c>
      <c r="F114" s="60">
        <v>17</v>
      </c>
      <c r="G114" s="60" t="s">
        <v>2309</v>
      </c>
      <c r="H114" s="60">
        <v>5982</v>
      </c>
      <c r="I114" s="60">
        <v>3172</v>
      </c>
      <c r="J114" s="60">
        <v>1880</v>
      </c>
      <c r="K114" s="60">
        <v>670</v>
      </c>
      <c r="L114" s="60">
        <v>230</v>
      </c>
      <c r="M114" s="60" t="s">
        <v>2309</v>
      </c>
    </row>
    <row r="115" spans="1:13" ht="15" customHeight="1" x14ac:dyDescent="0.35">
      <c r="A115" s="61" t="s">
        <v>2406</v>
      </c>
      <c r="B115" s="60">
        <v>1250</v>
      </c>
      <c r="C115" s="60">
        <v>1098</v>
      </c>
      <c r="D115" s="60">
        <v>140</v>
      </c>
      <c r="E115" s="60" t="s">
        <v>2309</v>
      </c>
      <c r="F115" s="60">
        <v>1</v>
      </c>
      <c r="G115" s="60" t="s">
        <v>2309</v>
      </c>
      <c r="H115" s="60">
        <v>12184</v>
      </c>
      <c r="I115" s="60">
        <v>9104</v>
      </c>
      <c r="J115" s="60">
        <v>2199</v>
      </c>
      <c r="K115" s="60" t="s">
        <v>2309</v>
      </c>
      <c r="L115" s="60">
        <v>273</v>
      </c>
      <c r="M115" s="60" t="s">
        <v>2309</v>
      </c>
    </row>
    <row r="116" spans="1:13" ht="15" customHeight="1" x14ac:dyDescent="0.35">
      <c r="A116" s="61" t="s">
        <v>2407</v>
      </c>
      <c r="B116" s="60">
        <v>19</v>
      </c>
      <c r="C116" s="60" t="s">
        <v>2309</v>
      </c>
      <c r="D116" s="60" t="s">
        <v>2309</v>
      </c>
      <c r="E116" s="60" t="s">
        <v>2309</v>
      </c>
      <c r="F116" s="60">
        <v>5</v>
      </c>
      <c r="G116" s="60">
        <v>2</v>
      </c>
      <c r="H116" s="60">
        <v>2186</v>
      </c>
      <c r="I116" s="60" t="s">
        <v>2309</v>
      </c>
      <c r="J116" s="60" t="s">
        <v>2309</v>
      </c>
      <c r="K116" s="60" t="s">
        <v>2309</v>
      </c>
      <c r="L116" s="60">
        <v>862</v>
      </c>
      <c r="M116" s="60">
        <v>950</v>
      </c>
    </row>
    <row r="117" spans="1:13" ht="15" customHeight="1" x14ac:dyDescent="0.35">
      <c r="A117" s="61" t="s">
        <v>2380</v>
      </c>
      <c r="B117" s="60">
        <v>139</v>
      </c>
      <c r="C117" s="60">
        <v>103</v>
      </c>
      <c r="D117" s="60">
        <v>24</v>
      </c>
      <c r="E117" s="60" t="s">
        <v>2309</v>
      </c>
      <c r="F117" s="60" t="s">
        <v>2309</v>
      </c>
      <c r="G117" s="60">
        <v>1</v>
      </c>
      <c r="H117" s="60">
        <v>2219</v>
      </c>
      <c r="I117" s="60">
        <v>720</v>
      </c>
      <c r="J117" s="60">
        <v>361</v>
      </c>
      <c r="K117" s="60" t="s">
        <v>2309</v>
      </c>
      <c r="L117" s="60">
        <v>486</v>
      </c>
      <c r="M117" s="60">
        <v>546</v>
      </c>
    </row>
    <row r="118" spans="1:13" ht="24" customHeight="1" x14ac:dyDescent="0.35">
      <c r="A118" s="71" t="s">
        <v>2409</v>
      </c>
      <c r="B118" s="84" t="s">
        <v>27</v>
      </c>
      <c r="C118" s="84" t="s">
        <v>27</v>
      </c>
      <c r="D118" s="84" t="s">
        <v>27</v>
      </c>
      <c r="E118" s="84" t="s">
        <v>27</v>
      </c>
      <c r="F118" s="84" t="s">
        <v>27</v>
      </c>
      <c r="G118" s="84" t="s">
        <v>27</v>
      </c>
      <c r="H118" s="84" t="s">
        <v>27</v>
      </c>
      <c r="I118" s="84" t="s">
        <v>27</v>
      </c>
      <c r="J118" s="84" t="s">
        <v>27</v>
      </c>
      <c r="K118" s="84" t="s">
        <v>27</v>
      </c>
      <c r="L118" s="84" t="s">
        <v>27</v>
      </c>
      <c r="M118" s="84" t="s">
        <v>27</v>
      </c>
    </row>
    <row r="119" spans="1:13" ht="15" customHeight="1" x14ac:dyDescent="0.35">
      <c r="A119" s="61" t="s">
        <v>2410</v>
      </c>
      <c r="B119" s="60">
        <v>2198</v>
      </c>
      <c r="C119" s="60">
        <v>1818</v>
      </c>
      <c r="D119" s="60">
        <v>333</v>
      </c>
      <c r="E119" s="60">
        <v>38</v>
      </c>
      <c r="F119" s="60">
        <v>8</v>
      </c>
      <c r="G119" s="60" t="s">
        <v>2309</v>
      </c>
      <c r="H119" s="60">
        <v>21013</v>
      </c>
      <c r="I119" s="60">
        <v>15090</v>
      </c>
      <c r="J119" s="60">
        <v>4339</v>
      </c>
      <c r="K119" s="60">
        <v>1024</v>
      </c>
      <c r="L119" s="60">
        <v>412</v>
      </c>
      <c r="M119" s="60" t="s">
        <v>2309</v>
      </c>
    </row>
    <row r="120" spans="1:13" ht="15" customHeight="1" x14ac:dyDescent="0.35">
      <c r="A120" s="61" t="s">
        <v>2411</v>
      </c>
      <c r="B120" s="60">
        <v>940</v>
      </c>
      <c r="C120" s="60">
        <v>565</v>
      </c>
      <c r="D120" s="60">
        <v>222</v>
      </c>
      <c r="E120" s="60">
        <v>95</v>
      </c>
      <c r="F120" s="60">
        <v>51</v>
      </c>
      <c r="G120" s="60">
        <v>7</v>
      </c>
      <c r="H120" s="60">
        <v>31621</v>
      </c>
      <c r="I120" s="60">
        <v>11182</v>
      </c>
      <c r="J120" s="60">
        <v>7726</v>
      </c>
      <c r="K120" s="60">
        <v>4342</v>
      </c>
      <c r="L120" s="60">
        <v>5790</v>
      </c>
      <c r="M120" s="60">
        <v>2581</v>
      </c>
    </row>
    <row r="121" spans="1:13" ht="15" customHeight="1" x14ac:dyDescent="0.35">
      <c r="A121" s="61" t="s">
        <v>2412</v>
      </c>
      <c r="B121" s="60">
        <v>708</v>
      </c>
      <c r="C121" s="60">
        <v>477</v>
      </c>
      <c r="D121" s="60">
        <v>142</v>
      </c>
      <c r="E121" s="60">
        <v>52</v>
      </c>
      <c r="F121" s="60">
        <v>31</v>
      </c>
      <c r="G121" s="60">
        <v>6</v>
      </c>
      <c r="H121" s="60">
        <v>19286</v>
      </c>
      <c r="I121" s="60">
        <v>6899</v>
      </c>
      <c r="J121" s="60">
        <v>4399</v>
      </c>
      <c r="K121" s="60">
        <v>1991</v>
      </c>
      <c r="L121" s="60">
        <v>3699</v>
      </c>
      <c r="M121" s="60">
        <v>2299</v>
      </c>
    </row>
    <row r="122" spans="1:13" ht="15" customHeight="1" x14ac:dyDescent="0.35">
      <c r="A122" s="61" t="s">
        <v>2413</v>
      </c>
      <c r="B122" s="60">
        <v>376</v>
      </c>
      <c r="C122" s="60">
        <v>234</v>
      </c>
      <c r="D122" s="60">
        <v>93</v>
      </c>
      <c r="E122" s="60">
        <v>35</v>
      </c>
      <c r="F122" s="60">
        <v>13</v>
      </c>
      <c r="G122" s="60" t="s">
        <v>2309</v>
      </c>
      <c r="H122" s="60">
        <v>3997</v>
      </c>
      <c r="I122" s="60">
        <v>1647</v>
      </c>
      <c r="J122" s="60">
        <v>1020</v>
      </c>
      <c r="K122" s="60">
        <v>613</v>
      </c>
      <c r="L122" s="60">
        <v>694</v>
      </c>
      <c r="M122" s="60" t="s">
        <v>2309</v>
      </c>
    </row>
    <row r="123" spans="1:13" ht="28" customHeight="1" x14ac:dyDescent="0.35">
      <c r="A123" s="61" t="s">
        <v>2414</v>
      </c>
      <c r="B123" s="60">
        <v>166</v>
      </c>
      <c r="C123" s="60">
        <v>96</v>
      </c>
      <c r="D123" s="60">
        <v>49</v>
      </c>
      <c r="E123" s="60" t="s">
        <v>2309</v>
      </c>
      <c r="F123" s="60" t="s">
        <v>2309</v>
      </c>
      <c r="G123" s="60" t="s">
        <v>2399</v>
      </c>
      <c r="H123" s="60">
        <v>1562</v>
      </c>
      <c r="I123" s="60">
        <v>758</v>
      </c>
      <c r="J123" s="60">
        <v>457</v>
      </c>
      <c r="K123" s="60" t="s">
        <v>2309</v>
      </c>
      <c r="L123" s="60" t="s">
        <v>2309</v>
      </c>
      <c r="M123" s="60" t="s">
        <v>2399</v>
      </c>
    </row>
    <row r="124" spans="1:13" ht="28" customHeight="1" x14ac:dyDescent="0.35">
      <c r="A124" s="61" t="s">
        <v>2415</v>
      </c>
      <c r="B124" s="60">
        <v>1311</v>
      </c>
      <c r="C124" s="60">
        <v>773</v>
      </c>
      <c r="D124" s="60">
        <v>394</v>
      </c>
      <c r="E124" s="60">
        <v>119</v>
      </c>
      <c r="F124" s="60">
        <v>24</v>
      </c>
      <c r="G124" s="60">
        <v>1</v>
      </c>
      <c r="H124" s="60">
        <v>14272</v>
      </c>
      <c r="I124" s="60">
        <v>6638</v>
      </c>
      <c r="J124" s="60">
        <v>4353</v>
      </c>
      <c r="K124" s="60">
        <v>1817</v>
      </c>
      <c r="L124" s="60">
        <v>1168</v>
      </c>
      <c r="M124" s="60">
        <v>296</v>
      </c>
    </row>
    <row r="125" spans="1:13" ht="15" customHeight="1" x14ac:dyDescent="0.35">
      <c r="A125" s="61" t="s">
        <v>2416</v>
      </c>
      <c r="B125" s="60">
        <v>83</v>
      </c>
      <c r="C125" s="60">
        <v>43</v>
      </c>
      <c r="D125" s="60">
        <v>26</v>
      </c>
      <c r="E125" s="60" t="s">
        <v>2309</v>
      </c>
      <c r="F125" s="60">
        <v>5</v>
      </c>
      <c r="G125" s="60">
        <v>1</v>
      </c>
      <c r="H125" s="60">
        <v>1968</v>
      </c>
      <c r="I125" s="60">
        <v>396</v>
      </c>
      <c r="J125" s="60">
        <v>400</v>
      </c>
      <c r="K125" s="60" t="s">
        <v>2309</v>
      </c>
      <c r="L125" s="60">
        <v>609</v>
      </c>
      <c r="M125" s="60">
        <v>365</v>
      </c>
    </row>
    <row r="126" spans="1:13" ht="15" customHeight="1" x14ac:dyDescent="0.35">
      <c r="A126" s="61" t="s">
        <v>2380</v>
      </c>
      <c r="B126" s="60">
        <v>136</v>
      </c>
      <c r="C126" s="60">
        <v>99</v>
      </c>
      <c r="D126" s="60">
        <v>25</v>
      </c>
      <c r="E126" s="60">
        <v>9</v>
      </c>
      <c r="F126" s="60">
        <v>3</v>
      </c>
      <c r="G126" s="60">
        <v>1</v>
      </c>
      <c r="H126" s="60">
        <v>3039</v>
      </c>
      <c r="I126" s="60">
        <v>1308</v>
      </c>
      <c r="J126" s="60">
        <v>622</v>
      </c>
      <c r="K126" s="60">
        <v>292</v>
      </c>
      <c r="L126" s="60">
        <v>528</v>
      </c>
      <c r="M126" s="60">
        <v>289</v>
      </c>
    </row>
    <row r="127" spans="1:13" s="2" customFormat="1" ht="28" customHeight="1" x14ac:dyDescent="0.35">
      <c r="A127" s="83" t="s">
        <v>2418</v>
      </c>
      <c r="B127" s="85" t="s">
        <v>27</v>
      </c>
      <c r="C127" s="85" t="s">
        <v>27</v>
      </c>
      <c r="D127" s="85" t="s">
        <v>27</v>
      </c>
      <c r="E127" s="85" t="s">
        <v>27</v>
      </c>
      <c r="F127" s="85" t="s">
        <v>27</v>
      </c>
      <c r="G127" s="85" t="s">
        <v>27</v>
      </c>
      <c r="H127" s="85" t="s">
        <v>27</v>
      </c>
      <c r="I127" s="85" t="s">
        <v>27</v>
      </c>
      <c r="J127" s="85" t="s">
        <v>27</v>
      </c>
      <c r="K127" s="85" t="s">
        <v>27</v>
      </c>
      <c r="L127" s="85" t="s">
        <v>27</v>
      </c>
      <c r="M127" s="85" t="s">
        <v>27</v>
      </c>
    </row>
    <row r="128" spans="1:13" ht="15" customHeight="1" x14ac:dyDescent="0.35">
      <c r="A128" s="69" t="s">
        <v>2419</v>
      </c>
      <c r="B128" s="60">
        <v>1914</v>
      </c>
      <c r="C128" s="60">
        <v>1265</v>
      </c>
      <c r="D128" s="60">
        <v>413</v>
      </c>
      <c r="E128" s="60">
        <v>140</v>
      </c>
      <c r="F128" s="60">
        <v>82</v>
      </c>
      <c r="G128" s="60">
        <v>15</v>
      </c>
      <c r="H128" s="60">
        <v>54358</v>
      </c>
      <c r="I128" s="60">
        <v>20213</v>
      </c>
      <c r="J128" s="60">
        <v>12131</v>
      </c>
      <c r="K128" s="60">
        <v>6408</v>
      </c>
      <c r="L128" s="60">
        <v>9851</v>
      </c>
      <c r="M128" s="60">
        <v>5756</v>
      </c>
    </row>
    <row r="129" spans="1:13" ht="15" customHeight="1" x14ac:dyDescent="0.35">
      <c r="A129" s="69" t="s">
        <v>2420</v>
      </c>
      <c r="B129" s="60">
        <v>2313</v>
      </c>
      <c r="C129" s="60">
        <v>1765</v>
      </c>
      <c r="D129" s="60">
        <v>433</v>
      </c>
      <c r="E129" s="60">
        <v>92</v>
      </c>
      <c r="F129" s="60">
        <v>23</v>
      </c>
      <c r="G129" s="60">
        <v>1</v>
      </c>
      <c r="H129" s="60">
        <v>27714</v>
      </c>
      <c r="I129" s="60">
        <v>16992</v>
      </c>
      <c r="J129" s="60">
        <v>6842</v>
      </c>
      <c r="K129" s="60">
        <v>1990</v>
      </c>
      <c r="L129" s="60">
        <v>1720</v>
      </c>
      <c r="M129" s="60">
        <v>169</v>
      </c>
    </row>
    <row r="130" spans="1:13" ht="15" customHeight="1" x14ac:dyDescent="0.35">
      <c r="A130" s="69" t="s">
        <v>2421</v>
      </c>
      <c r="B130" s="60">
        <v>1691</v>
      </c>
      <c r="C130" s="60">
        <v>1077</v>
      </c>
      <c r="D130" s="60">
        <v>440</v>
      </c>
      <c r="E130" s="60">
        <v>138</v>
      </c>
      <c r="F130" s="60">
        <v>37</v>
      </c>
      <c r="G130" s="60" t="s">
        <v>2309</v>
      </c>
      <c r="H130" s="60">
        <v>14686</v>
      </c>
      <c r="I130" s="60">
        <v>6713</v>
      </c>
      <c r="J130" s="60">
        <v>4344</v>
      </c>
      <c r="K130" s="60">
        <v>2067</v>
      </c>
      <c r="L130" s="60">
        <v>1487</v>
      </c>
      <c r="M130" s="60" t="s">
        <v>2309</v>
      </c>
    </row>
    <row r="131" spans="1:13" ht="41.15" customHeight="1" x14ac:dyDescent="0.35">
      <c r="A131" s="83" t="s">
        <v>2853</v>
      </c>
      <c r="B131" s="60" t="s">
        <v>27</v>
      </c>
      <c r="C131" s="60" t="s">
        <v>27</v>
      </c>
      <c r="D131" s="60" t="s">
        <v>27</v>
      </c>
      <c r="E131" s="60" t="s">
        <v>27</v>
      </c>
      <c r="F131" s="60" t="s">
        <v>27</v>
      </c>
      <c r="G131" s="60" t="s">
        <v>27</v>
      </c>
      <c r="H131" s="60" t="s">
        <v>27</v>
      </c>
      <c r="I131" s="60" t="s">
        <v>27</v>
      </c>
      <c r="J131" s="60" t="s">
        <v>27</v>
      </c>
      <c r="K131" s="60" t="s">
        <v>27</v>
      </c>
      <c r="L131" s="60" t="s">
        <v>27</v>
      </c>
      <c r="M131" s="60" t="s">
        <v>27</v>
      </c>
    </row>
    <row r="132" spans="1:13" ht="15" customHeight="1" x14ac:dyDescent="0.35">
      <c r="A132" s="61" t="s">
        <v>2852</v>
      </c>
      <c r="B132" s="60">
        <v>1285</v>
      </c>
      <c r="C132" s="60">
        <v>914</v>
      </c>
      <c r="D132" s="60">
        <v>253</v>
      </c>
      <c r="E132" s="60">
        <v>67</v>
      </c>
      <c r="F132" s="60">
        <v>45</v>
      </c>
      <c r="G132" s="60">
        <v>5</v>
      </c>
      <c r="H132" s="60">
        <v>32977</v>
      </c>
      <c r="I132" s="60">
        <v>14449</v>
      </c>
      <c r="J132" s="60">
        <v>7528</v>
      </c>
      <c r="K132" s="60">
        <v>3209</v>
      </c>
      <c r="L132" s="60">
        <v>5580</v>
      </c>
      <c r="M132" s="60">
        <v>2211</v>
      </c>
    </row>
    <row r="133" spans="1:13" ht="15" customHeight="1" x14ac:dyDescent="0.35">
      <c r="A133" s="61" t="s">
        <v>2851</v>
      </c>
      <c r="B133" s="60">
        <v>140</v>
      </c>
      <c r="C133" s="60">
        <v>91</v>
      </c>
      <c r="D133" s="60">
        <v>38</v>
      </c>
      <c r="E133" s="60">
        <v>7</v>
      </c>
      <c r="F133" s="60">
        <v>5</v>
      </c>
      <c r="G133" s="60" t="s">
        <v>2309</v>
      </c>
      <c r="H133" s="60">
        <v>2673</v>
      </c>
      <c r="I133" s="60">
        <v>1114</v>
      </c>
      <c r="J133" s="60">
        <v>615</v>
      </c>
      <c r="K133" s="60">
        <v>389</v>
      </c>
      <c r="L133" s="60">
        <v>382</v>
      </c>
      <c r="M133" s="60" t="s">
        <v>2309</v>
      </c>
    </row>
    <row r="134" spans="1:13" ht="15" customHeight="1" x14ac:dyDescent="0.35">
      <c r="A134" s="61" t="s">
        <v>2850</v>
      </c>
      <c r="B134" s="60">
        <v>528</v>
      </c>
      <c r="C134" s="60">
        <v>433</v>
      </c>
      <c r="D134" s="60">
        <v>76</v>
      </c>
      <c r="E134" s="60">
        <v>10</v>
      </c>
      <c r="F134" s="60">
        <v>8</v>
      </c>
      <c r="G134" s="60" t="s">
        <v>2309</v>
      </c>
      <c r="H134" s="60">
        <v>6149</v>
      </c>
      <c r="I134" s="60">
        <v>3922</v>
      </c>
      <c r="J134" s="60">
        <v>1331</v>
      </c>
      <c r="K134" s="60">
        <v>372</v>
      </c>
      <c r="L134" s="60">
        <v>436</v>
      </c>
      <c r="M134" s="60" t="s">
        <v>2309</v>
      </c>
    </row>
    <row r="135" spans="1:13" ht="15" customHeight="1" x14ac:dyDescent="0.35">
      <c r="A135" s="61" t="s">
        <v>2849</v>
      </c>
      <c r="B135" s="60">
        <v>114</v>
      </c>
      <c r="C135" s="60">
        <v>62</v>
      </c>
      <c r="D135" s="60">
        <v>28</v>
      </c>
      <c r="E135" s="60">
        <v>13</v>
      </c>
      <c r="F135" s="60">
        <v>9</v>
      </c>
      <c r="G135" s="60">
        <v>2</v>
      </c>
      <c r="H135" s="60">
        <v>6277</v>
      </c>
      <c r="I135" s="60">
        <v>1535</v>
      </c>
      <c r="J135" s="60">
        <v>1245</v>
      </c>
      <c r="K135" s="60">
        <v>823</v>
      </c>
      <c r="L135" s="60">
        <v>1319</v>
      </c>
      <c r="M135" s="60">
        <v>1355</v>
      </c>
    </row>
    <row r="136" spans="1:13" ht="15" customHeight="1" x14ac:dyDescent="0.35">
      <c r="A136" s="61" t="s">
        <v>2848</v>
      </c>
      <c r="B136" s="60">
        <v>35</v>
      </c>
      <c r="C136" s="60" t="s">
        <v>2309</v>
      </c>
      <c r="D136" s="60" t="s">
        <v>2309</v>
      </c>
      <c r="E136" s="60" t="s">
        <v>2309</v>
      </c>
      <c r="F136" s="60">
        <v>1</v>
      </c>
      <c r="G136" s="60">
        <v>2</v>
      </c>
      <c r="H136" s="60">
        <v>1603</v>
      </c>
      <c r="I136" s="60" t="s">
        <v>2309</v>
      </c>
      <c r="J136" s="60" t="s">
        <v>2309</v>
      </c>
      <c r="K136" s="60" t="s">
        <v>2309</v>
      </c>
      <c r="L136" s="60">
        <v>324</v>
      </c>
      <c r="M136" s="60">
        <v>683</v>
      </c>
    </row>
    <row r="137" spans="1:13" ht="36.65" customHeight="1" x14ac:dyDescent="0.35">
      <c r="A137" s="71" t="s">
        <v>2847</v>
      </c>
      <c r="B137" s="84" t="s">
        <v>27</v>
      </c>
      <c r="C137" s="84" t="s">
        <v>27</v>
      </c>
      <c r="D137" s="84" t="s">
        <v>27</v>
      </c>
      <c r="E137" s="84" t="s">
        <v>27</v>
      </c>
      <c r="F137" s="84" t="s">
        <v>27</v>
      </c>
      <c r="G137" s="84" t="s">
        <v>27</v>
      </c>
      <c r="H137" s="84" t="s">
        <v>27</v>
      </c>
      <c r="I137" s="84" t="s">
        <v>27</v>
      </c>
      <c r="J137" s="84" t="s">
        <v>27</v>
      </c>
      <c r="K137" s="84" t="s">
        <v>27</v>
      </c>
      <c r="L137" s="84" t="s">
        <v>27</v>
      </c>
      <c r="M137" s="84" t="s">
        <v>27</v>
      </c>
    </row>
    <row r="138" spans="1:13" ht="15" customHeight="1" x14ac:dyDescent="0.35">
      <c r="A138" s="61" t="s">
        <v>2424</v>
      </c>
      <c r="B138" s="60">
        <v>2032</v>
      </c>
      <c r="C138" s="60">
        <v>1210</v>
      </c>
      <c r="D138" s="60">
        <v>559</v>
      </c>
      <c r="E138" s="60">
        <v>181</v>
      </c>
      <c r="F138" s="60">
        <v>72</v>
      </c>
      <c r="G138" s="60">
        <v>10</v>
      </c>
      <c r="H138" s="60">
        <v>45296</v>
      </c>
      <c r="I138" s="60">
        <v>15934</v>
      </c>
      <c r="J138" s="60">
        <v>11526</v>
      </c>
      <c r="K138" s="60">
        <v>5509</v>
      </c>
      <c r="L138" s="60">
        <v>7908</v>
      </c>
      <c r="M138" s="60">
        <v>4418</v>
      </c>
    </row>
    <row r="139" spans="1:13" ht="15" customHeight="1" x14ac:dyDescent="0.35">
      <c r="A139" s="59" t="s">
        <v>2425</v>
      </c>
      <c r="B139" s="60">
        <v>327</v>
      </c>
      <c r="C139" s="60">
        <v>196</v>
      </c>
      <c r="D139" s="60">
        <v>89</v>
      </c>
      <c r="E139" s="60">
        <v>33</v>
      </c>
      <c r="F139" s="60">
        <v>8</v>
      </c>
      <c r="G139" s="60">
        <v>1</v>
      </c>
      <c r="H139" s="60">
        <v>10845</v>
      </c>
      <c r="I139" s="60">
        <v>3564</v>
      </c>
      <c r="J139" s="60">
        <v>3160</v>
      </c>
      <c r="K139" s="60">
        <v>1619</v>
      </c>
      <c r="L139" s="60">
        <v>1866</v>
      </c>
      <c r="M139" s="60">
        <v>635</v>
      </c>
    </row>
    <row r="140" spans="1:13" ht="15" customHeight="1" x14ac:dyDescent="0.35">
      <c r="A140" s="59" t="s">
        <v>2426</v>
      </c>
      <c r="B140" s="60">
        <v>35</v>
      </c>
      <c r="C140" s="60">
        <v>15</v>
      </c>
      <c r="D140" s="60">
        <v>13</v>
      </c>
      <c r="E140" s="60" t="s">
        <v>2309</v>
      </c>
      <c r="F140" s="60">
        <v>1</v>
      </c>
      <c r="G140" s="60">
        <v>1</v>
      </c>
      <c r="H140" s="60">
        <v>1784</v>
      </c>
      <c r="I140" s="60">
        <v>393</v>
      </c>
      <c r="J140" s="60">
        <v>351</v>
      </c>
      <c r="K140" s="60" t="s">
        <v>2309</v>
      </c>
      <c r="L140" s="60">
        <v>355</v>
      </c>
      <c r="M140" s="60">
        <v>398</v>
      </c>
    </row>
    <row r="141" spans="1:13" ht="15" customHeight="1" x14ac:dyDescent="0.35">
      <c r="A141" s="59" t="s">
        <v>2427</v>
      </c>
      <c r="B141" s="60">
        <v>847</v>
      </c>
      <c r="C141" s="60">
        <v>468</v>
      </c>
      <c r="D141" s="60">
        <v>260</v>
      </c>
      <c r="E141" s="60">
        <v>80</v>
      </c>
      <c r="F141" s="60">
        <v>33</v>
      </c>
      <c r="G141" s="60">
        <v>5</v>
      </c>
      <c r="H141" s="60">
        <v>20872</v>
      </c>
      <c r="I141" s="60">
        <v>6441</v>
      </c>
      <c r="J141" s="60">
        <v>5485</v>
      </c>
      <c r="K141" s="60">
        <v>2584</v>
      </c>
      <c r="L141" s="60">
        <v>3816</v>
      </c>
      <c r="M141" s="60">
        <v>2546</v>
      </c>
    </row>
    <row r="142" spans="1:13" ht="15" customHeight="1" x14ac:dyDescent="0.35">
      <c r="A142" s="59" t="s">
        <v>2429</v>
      </c>
      <c r="B142" s="60">
        <v>709</v>
      </c>
      <c r="C142" s="60">
        <v>388</v>
      </c>
      <c r="D142" s="60">
        <v>211</v>
      </c>
      <c r="E142" s="60">
        <v>73</v>
      </c>
      <c r="F142" s="60">
        <v>31</v>
      </c>
      <c r="G142" s="60">
        <v>7</v>
      </c>
      <c r="H142" s="60">
        <v>21286</v>
      </c>
      <c r="I142" s="60">
        <v>5575</v>
      </c>
      <c r="J142" s="60">
        <v>5003</v>
      </c>
      <c r="K142" s="60">
        <v>2846</v>
      </c>
      <c r="L142" s="60">
        <v>4465</v>
      </c>
      <c r="M142" s="60">
        <v>3398</v>
      </c>
    </row>
    <row r="143" spans="1:13" ht="15" customHeight="1" x14ac:dyDescent="0.35">
      <c r="A143" s="59" t="s">
        <v>2430</v>
      </c>
      <c r="B143" s="60">
        <v>484</v>
      </c>
      <c r="C143" s="60">
        <v>248</v>
      </c>
      <c r="D143" s="60">
        <v>142</v>
      </c>
      <c r="E143" s="60">
        <v>68</v>
      </c>
      <c r="F143" s="60">
        <v>23</v>
      </c>
      <c r="G143" s="60">
        <v>2</v>
      </c>
      <c r="H143" s="60">
        <v>10980</v>
      </c>
      <c r="I143" s="60">
        <v>2819</v>
      </c>
      <c r="J143" s="60">
        <v>2665</v>
      </c>
      <c r="K143" s="60">
        <v>1719</v>
      </c>
      <c r="L143" s="60">
        <v>2116</v>
      </c>
      <c r="M143" s="60">
        <v>1662</v>
      </c>
    </row>
    <row r="144" spans="1:13" ht="15" customHeight="1" x14ac:dyDescent="0.35">
      <c r="A144" s="59" t="s">
        <v>2431</v>
      </c>
      <c r="B144" s="60">
        <v>1006</v>
      </c>
      <c r="C144" s="60">
        <v>563</v>
      </c>
      <c r="D144" s="60">
        <v>292</v>
      </c>
      <c r="E144" s="60">
        <v>99</v>
      </c>
      <c r="F144" s="60">
        <v>45</v>
      </c>
      <c r="G144" s="60">
        <v>8</v>
      </c>
      <c r="H144" s="60">
        <v>27591</v>
      </c>
      <c r="I144" s="60">
        <v>8122</v>
      </c>
      <c r="J144" s="60">
        <v>6806</v>
      </c>
      <c r="K144" s="60">
        <v>3460</v>
      </c>
      <c r="L144" s="60">
        <v>5491</v>
      </c>
      <c r="M144" s="60">
        <v>3713</v>
      </c>
    </row>
    <row r="145" spans="1:13" ht="15" customHeight="1" x14ac:dyDescent="0.35">
      <c r="A145" s="59" t="s">
        <v>2432</v>
      </c>
      <c r="B145" s="60">
        <v>1012</v>
      </c>
      <c r="C145" s="60">
        <v>547</v>
      </c>
      <c r="D145" s="60">
        <v>310</v>
      </c>
      <c r="E145" s="60">
        <v>100</v>
      </c>
      <c r="F145" s="60">
        <v>47</v>
      </c>
      <c r="G145" s="60">
        <v>9</v>
      </c>
      <c r="H145" s="60">
        <v>29087</v>
      </c>
      <c r="I145" s="60">
        <v>8490</v>
      </c>
      <c r="J145" s="60">
        <v>6813</v>
      </c>
      <c r="K145" s="60">
        <v>3843</v>
      </c>
      <c r="L145" s="60">
        <v>5976</v>
      </c>
      <c r="M145" s="60">
        <v>3966</v>
      </c>
    </row>
    <row r="146" spans="1:13" ht="15" customHeight="1" x14ac:dyDescent="0.35">
      <c r="A146" s="59" t="s">
        <v>2433</v>
      </c>
      <c r="B146" s="60">
        <v>565</v>
      </c>
      <c r="C146" s="60">
        <v>295</v>
      </c>
      <c r="D146" s="60">
        <v>171</v>
      </c>
      <c r="E146" s="60">
        <v>69</v>
      </c>
      <c r="F146" s="60">
        <v>24</v>
      </c>
      <c r="G146" s="60">
        <v>5</v>
      </c>
      <c r="H146" s="60">
        <v>15772</v>
      </c>
      <c r="I146" s="60">
        <v>4157</v>
      </c>
      <c r="J146" s="60">
        <v>3354</v>
      </c>
      <c r="K146" s="60">
        <v>2093</v>
      </c>
      <c r="L146" s="60">
        <v>3492</v>
      </c>
      <c r="M146" s="60">
        <v>2677</v>
      </c>
    </row>
    <row r="147" spans="1:13" ht="15" customHeight="1" x14ac:dyDescent="0.35">
      <c r="A147" s="59" t="s">
        <v>2434</v>
      </c>
      <c r="B147" s="60">
        <v>584</v>
      </c>
      <c r="C147" s="60">
        <v>293</v>
      </c>
      <c r="D147" s="60">
        <v>193</v>
      </c>
      <c r="E147" s="60">
        <v>62</v>
      </c>
      <c r="F147" s="60">
        <v>30</v>
      </c>
      <c r="G147" s="60">
        <v>6</v>
      </c>
      <c r="H147" s="60">
        <v>15500</v>
      </c>
      <c r="I147" s="60">
        <v>3612</v>
      </c>
      <c r="J147" s="60">
        <v>3617</v>
      </c>
      <c r="K147" s="60">
        <v>1866</v>
      </c>
      <c r="L147" s="60">
        <v>3548</v>
      </c>
      <c r="M147" s="60">
        <v>2857</v>
      </c>
    </row>
    <row r="148" spans="1:13" ht="15" customHeight="1" x14ac:dyDescent="0.35">
      <c r="A148" s="59" t="s">
        <v>2435</v>
      </c>
      <c r="B148" s="60">
        <v>307</v>
      </c>
      <c r="C148" s="60">
        <v>175</v>
      </c>
      <c r="D148" s="60">
        <v>91</v>
      </c>
      <c r="E148" s="60">
        <v>27</v>
      </c>
      <c r="F148" s="60">
        <v>12</v>
      </c>
      <c r="G148" s="60">
        <v>3</v>
      </c>
      <c r="H148" s="60">
        <v>7963</v>
      </c>
      <c r="I148" s="60">
        <v>2173</v>
      </c>
      <c r="J148" s="60">
        <v>1882</v>
      </c>
      <c r="K148" s="60">
        <v>772</v>
      </c>
      <c r="L148" s="60">
        <v>1364</v>
      </c>
      <c r="M148" s="60">
        <v>1772</v>
      </c>
    </row>
    <row r="149" spans="1:13" ht="15" customHeight="1" x14ac:dyDescent="0.35">
      <c r="A149" s="59" t="s">
        <v>2436</v>
      </c>
      <c r="B149" s="60">
        <v>570</v>
      </c>
      <c r="C149" s="60">
        <v>269</v>
      </c>
      <c r="D149" s="60">
        <v>189</v>
      </c>
      <c r="E149" s="60">
        <v>70</v>
      </c>
      <c r="F149" s="60">
        <v>35</v>
      </c>
      <c r="G149" s="60">
        <v>7</v>
      </c>
      <c r="H149" s="60">
        <v>20007</v>
      </c>
      <c r="I149" s="60">
        <v>4765</v>
      </c>
      <c r="J149" s="60">
        <v>5102</v>
      </c>
      <c r="K149" s="60">
        <v>2639</v>
      </c>
      <c r="L149" s="60">
        <v>4208</v>
      </c>
      <c r="M149" s="60">
        <v>3293</v>
      </c>
    </row>
    <row r="150" spans="1:13" ht="15" customHeight="1" x14ac:dyDescent="0.35">
      <c r="A150" s="59" t="s">
        <v>2437</v>
      </c>
      <c r="B150" s="60">
        <v>147</v>
      </c>
      <c r="C150" s="60">
        <v>81</v>
      </c>
      <c r="D150" s="60">
        <v>38</v>
      </c>
      <c r="E150" s="60">
        <v>21</v>
      </c>
      <c r="F150" s="60">
        <v>6</v>
      </c>
      <c r="G150" s="60">
        <v>2</v>
      </c>
      <c r="H150" s="60">
        <v>4203</v>
      </c>
      <c r="I150" s="60">
        <v>894</v>
      </c>
      <c r="J150" s="60">
        <v>1058</v>
      </c>
      <c r="K150" s="60">
        <v>442</v>
      </c>
      <c r="L150" s="60">
        <v>711</v>
      </c>
      <c r="M150" s="60">
        <v>1098</v>
      </c>
    </row>
    <row r="151" spans="1:13" ht="15" customHeight="1" x14ac:dyDescent="0.35">
      <c r="A151" s="59" t="s">
        <v>2380</v>
      </c>
      <c r="B151" s="60">
        <v>43</v>
      </c>
      <c r="C151" s="60">
        <v>22</v>
      </c>
      <c r="D151" s="60" t="s">
        <v>2309</v>
      </c>
      <c r="E151" s="60" t="s">
        <v>2309</v>
      </c>
      <c r="F151" s="60" t="s">
        <v>2309</v>
      </c>
      <c r="G151" s="60" t="s">
        <v>2309</v>
      </c>
      <c r="H151" s="60">
        <v>1296</v>
      </c>
      <c r="I151" s="60">
        <v>955</v>
      </c>
      <c r="J151" s="60" t="s">
        <v>2309</v>
      </c>
      <c r="K151" s="60" t="s">
        <v>2309</v>
      </c>
      <c r="L151" s="60" t="s">
        <v>2309</v>
      </c>
      <c r="M151" s="60" t="s">
        <v>2309</v>
      </c>
    </row>
    <row r="152" spans="1:13" ht="15" customHeight="1" x14ac:dyDescent="0.35">
      <c r="A152" s="61" t="s">
        <v>2438</v>
      </c>
      <c r="B152" s="60">
        <v>3530</v>
      </c>
      <c r="C152" s="60">
        <v>2621</v>
      </c>
      <c r="D152" s="60">
        <v>671</v>
      </c>
      <c r="E152" s="60">
        <v>172</v>
      </c>
      <c r="F152" s="60">
        <v>61</v>
      </c>
      <c r="G152" s="60">
        <v>5</v>
      </c>
      <c r="H152" s="60">
        <v>44013</v>
      </c>
      <c r="I152" s="60">
        <v>24096</v>
      </c>
      <c r="J152" s="60">
        <v>10361</v>
      </c>
      <c r="K152" s="60">
        <v>4292</v>
      </c>
      <c r="L152" s="60">
        <v>3882</v>
      </c>
      <c r="M152" s="60">
        <v>1382</v>
      </c>
    </row>
    <row r="153" spans="1:13" ht="15" customHeight="1" x14ac:dyDescent="0.35">
      <c r="A153" s="61" t="s">
        <v>2846</v>
      </c>
      <c r="B153" s="60">
        <v>357</v>
      </c>
      <c r="C153" s="60">
        <v>275</v>
      </c>
      <c r="D153" s="60">
        <v>56</v>
      </c>
      <c r="E153" s="60">
        <v>16</v>
      </c>
      <c r="F153" s="60">
        <v>9</v>
      </c>
      <c r="G153" s="60" t="s">
        <v>2309</v>
      </c>
      <c r="H153" s="60">
        <v>7449</v>
      </c>
      <c r="I153" s="60">
        <v>3888</v>
      </c>
      <c r="J153" s="60">
        <v>1429</v>
      </c>
      <c r="K153" s="60">
        <v>664</v>
      </c>
      <c r="L153" s="60">
        <v>1268</v>
      </c>
      <c r="M153" s="60" t="s">
        <v>2309</v>
      </c>
    </row>
    <row r="154" spans="1:13" ht="34" customHeight="1" x14ac:dyDescent="0.35">
      <c r="A154" s="71" t="s">
        <v>2440</v>
      </c>
      <c r="B154" s="84" t="s">
        <v>27</v>
      </c>
      <c r="C154" s="84" t="s">
        <v>27</v>
      </c>
      <c r="D154" s="84" t="s">
        <v>27</v>
      </c>
      <c r="E154" s="84" t="s">
        <v>27</v>
      </c>
      <c r="F154" s="84" t="s">
        <v>27</v>
      </c>
      <c r="G154" s="84" t="s">
        <v>27</v>
      </c>
      <c r="H154" s="84" t="s">
        <v>27</v>
      </c>
      <c r="I154" s="84" t="s">
        <v>27</v>
      </c>
      <c r="J154" s="84" t="s">
        <v>27</v>
      </c>
      <c r="K154" s="84" t="s">
        <v>27</v>
      </c>
      <c r="L154" s="84" t="s">
        <v>27</v>
      </c>
      <c r="M154" s="84" t="s">
        <v>27</v>
      </c>
    </row>
    <row r="155" spans="1:13" ht="15" customHeight="1" x14ac:dyDescent="0.35">
      <c r="A155" s="61" t="s">
        <v>2441</v>
      </c>
      <c r="B155" s="60">
        <v>5613</v>
      </c>
      <c r="C155" s="60">
        <v>3822</v>
      </c>
      <c r="D155" s="60">
        <v>1270</v>
      </c>
      <c r="E155" s="60">
        <v>364</v>
      </c>
      <c r="F155" s="60">
        <v>142</v>
      </c>
      <c r="G155" s="60">
        <v>16</v>
      </c>
      <c r="H155" s="60">
        <v>95179</v>
      </c>
      <c r="I155" s="60">
        <v>42530</v>
      </c>
      <c r="J155" s="60">
        <v>23169</v>
      </c>
      <c r="K155" s="60">
        <v>10428</v>
      </c>
      <c r="L155" s="60">
        <v>13054</v>
      </c>
      <c r="M155" s="60">
        <v>5998</v>
      </c>
    </row>
    <row r="156" spans="1:13" ht="15" customHeight="1" x14ac:dyDescent="0.35">
      <c r="A156" s="61" t="s">
        <v>2442</v>
      </c>
      <c r="B156" s="60">
        <v>2974</v>
      </c>
      <c r="C156" s="60">
        <v>1850</v>
      </c>
      <c r="D156" s="60">
        <v>761</v>
      </c>
      <c r="E156" s="60">
        <v>248</v>
      </c>
      <c r="F156" s="60">
        <v>104</v>
      </c>
      <c r="G156" s="60">
        <v>11</v>
      </c>
      <c r="H156" s="60">
        <v>67994</v>
      </c>
      <c r="I156" s="60">
        <v>27623</v>
      </c>
      <c r="J156" s="60">
        <v>17218</v>
      </c>
      <c r="K156" s="60">
        <v>8118</v>
      </c>
      <c r="L156" s="60">
        <v>10465</v>
      </c>
      <c r="M156" s="60">
        <v>4570</v>
      </c>
    </row>
    <row r="157" spans="1:13" ht="15" customHeight="1" x14ac:dyDescent="0.35">
      <c r="A157" s="61" t="s">
        <v>2443</v>
      </c>
      <c r="B157" s="60">
        <v>586</v>
      </c>
      <c r="C157" s="60">
        <v>322</v>
      </c>
      <c r="D157" s="60">
        <v>160</v>
      </c>
      <c r="E157" s="60">
        <v>54</v>
      </c>
      <c r="F157" s="60">
        <v>41</v>
      </c>
      <c r="G157" s="60">
        <v>9</v>
      </c>
      <c r="H157" s="60">
        <v>21198</v>
      </c>
      <c r="I157" s="60">
        <v>4936</v>
      </c>
      <c r="J157" s="60">
        <v>3745</v>
      </c>
      <c r="K157" s="60">
        <v>2382</v>
      </c>
      <c r="L157" s="60">
        <v>6080</v>
      </c>
      <c r="M157" s="60">
        <v>4055</v>
      </c>
    </row>
    <row r="158" spans="1:13" ht="15" customHeight="1" x14ac:dyDescent="0.35">
      <c r="A158" s="61" t="s">
        <v>2444</v>
      </c>
      <c r="B158" s="60">
        <v>86</v>
      </c>
      <c r="C158" s="60">
        <v>22</v>
      </c>
      <c r="D158" s="60">
        <v>23</v>
      </c>
      <c r="E158" s="60">
        <v>12</v>
      </c>
      <c r="F158" s="60">
        <v>25</v>
      </c>
      <c r="G158" s="60">
        <v>4</v>
      </c>
      <c r="H158" s="60">
        <v>6750</v>
      </c>
      <c r="I158" s="60">
        <v>320</v>
      </c>
      <c r="J158" s="60">
        <v>579</v>
      </c>
      <c r="K158" s="60">
        <v>770</v>
      </c>
      <c r="L158" s="60">
        <v>3058</v>
      </c>
      <c r="M158" s="60">
        <v>2023</v>
      </c>
    </row>
    <row r="159" spans="1:13" ht="15" customHeight="1" x14ac:dyDescent="0.35">
      <c r="A159" s="61" t="s">
        <v>2445</v>
      </c>
      <c r="B159" s="60">
        <v>55</v>
      </c>
      <c r="C159" s="60">
        <v>22</v>
      </c>
      <c r="D159" s="60">
        <v>7</v>
      </c>
      <c r="E159" s="60">
        <v>9</v>
      </c>
      <c r="F159" s="60">
        <v>16</v>
      </c>
      <c r="G159" s="60">
        <v>1</v>
      </c>
      <c r="H159" s="60">
        <v>4288</v>
      </c>
      <c r="I159" s="60">
        <v>298</v>
      </c>
      <c r="J159" s="60">
        <v>311</v>
      </c>
      <c r="K159" s="60">
        <v>622</v>
      </c>
      <c r="L159" s="60">
        <v>2401</v>
      </c>
      <c r="M159" s="60">
        <v>657</v>
      </c>
    </row>
    <row r="160" spans="1:13" ht="15" customHeight="1" x14ac:dyDescent="0.35">
      <c r="A160" s="61" t="s">
        <v>2446</v>
      </c>
      <c r="B160" s="60">
        <v>676</v>
      </c>
      <c r="C160" s="60">
        <v>430</v>
      </c>
      <c r="D160" s="60">
        <v>200</v>
      </c>
      <c r="E160" s="60">
        <v>35</v>
      </c>
      <c r="F160" s="60">
        <v>11</v>
      </c>
      <c r="G160" s="60">
        <v>1</v>
      </c>
      <c r="H160" s="60">
        <v>10157</v>
      </c>
      <c r="I160" s="60">
        <v>4557</v>
      </c>
      <c r="J160" s="60">
        <v>3265</v>
      </c>
      <c r="K160" s="60">
        <v>850</v>
      </c>
      <c r="L160" s="60">
        <v>1000</v>
      </c>
      <c r="M160" s="60" t="s">
        <v>2309</v>
      </c>
    </row>
    <row r="161" spans="1:13" ht="15" customHeight="1" x14ac:dyDescent="0.35">
      <c r="A161" s="61" t="s">
        <v>2865</v>
      </c>
      <c r="B161" s="60">
        <v>99</v>
      </c>
      <c r="C161" s="60">
        <v>66</v>
      </c>
      <c r="D161" s="60">
        <v>20</v>
      </c>
      <c r="E161" s="60">
        <v>7</v>
      </c>
      <c r="F161" s="60" t="s">
        <v>2309</v>
      </c>
      <c r="G161" s="60" t="s">
        <v>2309</v>
      </c>
      <c r="H161" s="60">
        <v>3814</v>
      </c>
      <c r="I161" s="60">
        <v>1356</v>
      </c>
      <c r="J161" s="60">
        <v>882</v>
      </c>
      <c r="K161" s="60">
        <v>405</v>
      </c>
      <c r="L161" s="60">
        <v>827</v>
      </c>
      <c r="M161" s="60" t="s">
        <v>2309</v>
      </c>
    </row>
    <row r="162" spans="1:13" ht="15" customHeight="1" x14ac:dyDescent="0.35">
      <c r="A162" s="61" t="s">
        <v>2844</v>
      </c>
      <c r="B162" s="60">
        <v>180</v>
      </c>
      <c r="C162" s="60">
        <v>134</v>
      </c>
      <c r="D162" s="60">
        <v>37</v>
      </c>
      <c r="E162" s="60" t="s">
        <v>2309</v>
      </c>
      <c r="F162" s="60" t="s">
        <v>2309</v>
      </c>
      <c r="G162" s="60" t="s">
        <v>2309</v>
      </c>
      <c r="H162" s="60">
        <v>2113</v>
      </c>
      <c r="I162" s="60">
        <v>1168</v>
      </c>
      <c r="J162" s="60">
        <v>437</v>
      </c>
      <c r="K162" s="60" t="s">
        <v>2309</v>
      </c>
      <c r="L162" s="60" t="s">
        <v>2309</v>
      </c>
      <c r="M162" s="60" t="s">
        <v>2309</v>
      </c>
    </row>
    <row r="163" spans="1:13" ht="34" customHeight="1" x14ac:dyDescent="0.35">
      <c r="A163" s="71" t="s">
        <v>2864</v>
      </c>
      <c r="B163" s="84" t="s">
        <v>27</v>
      </c>
      <c r="C163" s="84" t="s">
        <v>27</v>
      </c>
      <c r="D163" s="84" t="s">
        <v>27</v>
      </c>
      <c r="E163" s="84" t="s">
        <v>27</v>
      </c>
      <c r="F163" s="84" t="s">
        <v>27</v>
      </c>
      <c r="G163" s="84" t="s">
        <v>27</v>
      </c>
      <c r="H163" s="84" t="s">
        <v>27</v>
      </c>
      <c r="I163" s="84" t="s">
        <v>27</v>
      </c>
      <c r="J163" s="84" t="s">
        <v>27</v>
      </c>
      <c r="K163" s="84" t="s">
        <v>27</v>
      </c>
      <c r="L163" s="84" t="s">
        <v>27</v>
      </c>
      <c r="M163" s="84" t="s">
        <v>27</v>
      </c>
    </row>
    <row r="164" spans="1:13" ht="15" customHeight="1" x14ac:dyDescent="0.35">
      <c r="A164" s="61" t="s">
        <v>2441</v>
      </c>
      <c r="B164" s="60">
        <v>2566</v>
      </c>
      <c r="C164" s="60">
        <v>1795</v>
      </c>
      <c r="D164" s="60">
        <v>560</v>
      </c>
      <c r="E164" s="60">
        <v>147</v>
      </c>
      <c r="F164" s="60">
        <v>57</v>
      </c>
      <c r="G164" s="60">
        <v>8</v>
      </c>
      <c r="H164" s="60">
        <v>45645</v>
      </c>
      <c r="I164" s="60">
        <v>20398</v>
      </c>
      <c r="J164" s="60">
        <v>11063</v>
      </c>
      <c r="K164" s="60">
        <v>5088</v>
      </c>
      <c r="L164" s="60">
        <v>5875</v>
      </c>
      <c r="M164" s="60">
        <v>3221</v>
      </c>
    </row>
    <row r="165" spans="1:13" ht="15" customHeight="1" x14ac:dyDescent="0.35">
      <c r="A165" s="61" t="s">
        <v>2442</v>
      </c>
      <c r="B165" s="60">
        <v>2583</v>
      </c>
      <c r="C165" s="60">
        <v>1603</v>
      </c>
      <c r="D165" s="60">
        <v>673</v>
      </c>
      <c r="E165" s="60">
        <v>219</v>
      </c>
      <c r="F165" s="60">
        <v>79</v>
      </c>
      <c r="G165" s="60">
        <v>8</v>
      </c>
      <c r="H165" s="60">
        <v>58306</v>
      </c>
      <c r="I165" s="60">
        <v>25444</v>
      </c>
      <c r="J165" s="60">
        <v>15103</v>
      </c>
      <c r="K165" s="60">
        <v>7016</v>
      </c>
      <c r="L165" s="60">
        <v>7620</v>
      </c>
      <c r="M165" s="60">
        <v>3123</v>
      </c>
    </row>
    <row r="166" spans="1:13" ht="15" customHeight="1" x14ac:dyDescent="0.35">
      <c r="A166" s="61" t="s">
        <v>2443</v>
      </c>
      <c r="B166" s="60">
        <v>266</v>
      </c>
      <c r="C166" s="60">
        <v>127</v>
      </c>
      <c r="D166" s="60">
        <v>96</v>
      </c>
      <c r="E166" s="60">
        <v>31</v>
      </c>
      <c r="F166" s="60">
        <v>11</v>
      </c>
      <c r="G166" s="60" t="s">
        <v>2309</v>
      </c>
      <c r="H166" s="60">
        <v>4126</v>
      </c>
      <c r="I166" s="60">
        <v>1090</v>
      </c>
      <c r="J166" s="60">
        <v>1049</v>
      </c>
      <c r="K166" s="60">
        <v>599</v>
      </c>
      <c r="L166" s="60">
        <v>937</v>
      </c>
      <c r="M166" s="60">
        <v>452</v>
      </c>
    </row>
    <row r="167" spans="1:13" ht="15" customHeight="1" x14ac:dyDescent="0.35">
      <c r="A167" s="61" t="s">
        <v>2444</v>
      </c>
      <c r="B167" s="60">
        <v>83</v>
      </c>
      <c r="C167" s="60">
        <v>19</v>
      </c>
      <c r="D167" s="60">
        <v>23</v>
      </c>
      <c r="E167" s="60">
        <v>12</v>
      </c>
      <c r="F167" s="60">
        <v>25</v>
      </c>
      <c r="G167" s="60">
        <v>4</v>
      </c>
      <c r="H167" s="60">
        <v>6552</v>
      </c>
      <c r="I167" s="60">
        <v>285</v>
      </c>
      <c r="J167" s="60">
        <v>579</v>
      </c>
      <c r="K167" s="60">
        <v>765</v>
      </c>
      <c r="L167" s="60">
        <v>2922</v>
      </c>
      <c r="M167" s="60">
        <v>2001</v>
      </c>
    </row>
    <row r="168" spans="1:13" ht="15" customHeight="1" x14ac:dyDescent="0.35">
      <c r="A168" s="61" t="s">
        <v>2446</v>
      </c>
      <c r="B168" s="60">
        <v>431</v>
      </c>
      <c r="C168" s="60">
        <v>264</v>
      </c>
      <c r="D168" s="60">
        <v>138</v>
      </c>
      <c r="E168" s="60">
        <v>26</v>
      </c>
      <c r="F168" s="60" t="s">
        <v>2309</v>
      </c>
      <c r="G168" s="60" t="s">
        <v>2309</v>
      </c>
      <c r="H168" s="60">
        <v>3896</v>
      </c>
      <c r="I168" s="60">
        <v>1914</v>
      </c>
      <c r="J168" s="60">
        <v>1281</v>
      </c>
      <c r="K168" s="60">
        <v>348</v>
      </c>
      <c r="L168" s="60" t="s">
        <v>2309</v>
      </c>
      <c r="M168" s="60" t="s">
        <v>2309</v>
      </c>
    </row>
    <row r="169" spans="1:13" ht="15" customHeight="1" x14ac:dyDescent="0.35">
      <c r="A169" s="61" t="s">
        <v>2843</v>
      </c>
      <c r="B169" s="60">
        <v>127</v>
      </c>
      <c r="C169" s="60">
        <v>103</v>
      </c>
      <c r="D169" s="60" t="s">
        <v>2309</v>
      </c>
      <c r="E169" s="60" t="s">
        <v>2309</v>
      </c>
      <c r="F169" s="60" t="s">
        <v>2309</v>
      </c>
      <c r="G169" s="60" t="s">
        <v>2309</v>
      </c>
      <c r="H169" s="60">
        <v>927</v>
      </c>
      <c r="I169" s="60">
        <v>686</v>
      </c>
      <c r="J169" s="60" t="s">
        <v>2309</v>
      </c>
      <c r="K169" s="60" t="s">
        <v>2309</v>
      </c>
      <c r="L169" s="60" t="s">
        <v>2309</v>
      </c>
      <c r="M169" s="60" t="s">
        <v>2309</v>
      </c>
    </row>
    <row r="170" spans="1:13" ht="34" customHeight="1" x14ac:dyDescent="0.35">
      <c r="A170" s="71" t="s">
        <v>2448</v>
      </c>
      <c r="B170" s="84" t="s">
        <v>27</v>
      </c>
      <c r="C170" s="84" t="s">
        <v>27</v>
      </c>
      <c r="D170" s="84" t="s">
        <v>27</v>
      </c>
      <c r="E170" s="84" t="s">
        <v>27</v>
      </c>
      <c r="F170" s="84" t="s">
        <v>27</v>
      </c>
      <c r="G170" s="84" t="s">
        <v>27</v>
      </c>
      <c r="H170" s="84" t="s">
        <v>27</v>
      </c>
      <c r="I170" s="84" t="s">
        <v>27</v>
      </c>
      <c r="J170" s="84" t="s">
        <v>27</v>
      </c>
      <c r="K170" s="84" t="s">
        <v>27</v>
      </c>
      <c r="L170" s="84" t="s">
        <v>27</v>
      </c>
      <c r="M170" s="84" t="s">
        <v>27</v>
      </c>
    </row>
    <row r="171" spans="1:13" ht="15" customHeight="1" x14ac:dyDescent="0.35">
      <c r="A171" s="61" t="s">
        <v>2441</v>
      </c>
      <c r="B171" s="60">
        <v>1859</v>
      </c>
      <c r="C171" s="60">
        <v>1362</v>
      </c>
      <c r="D171" s="60">
        <v>368</v>
      </c>
      <c r="E171" s="60">
        <v>89</v>
      </c>
      <c r="F171" s="60">
        <v>34</v>
      </c>
      <c r="G171" s="60">
        <v>5</v>
      </c>
      <c r="H171" s="60">
        <v>27654</v>
      </c>
      <c r="I171" s="60">
        <v>13089</v>
      </c>
      <c r="J171" s="60">
        <v>6527</v>
      </c>
      <c r="K171" s="60">
        <v>2802</v>
      </c>
      <c r="L171" s="60">
        <v>3422</v>
      </c>
      <c r="M171" s="60">
        <v>1814</v>
      </c>
    </row>
    <row r="172" spans="1:13" ht="15" customHeight="1" x14ac:dyDescent="0.35">
      <c r="A172" s="61" t="s">
        <v>2442</v>
      </c>
      <c r="B172" s="60">
        <v>2341</v>
      </c>
      <c r="C172" s="60">
        <v>1456</v>
      </c>
      <c r="D172" s="60">
        <v>605</v>
      </c>
      <c r="E172" s="60">
        <v>204</v>
      </c>
      <c r="F172" s="60">
        <v>69</v>
      </c>
      <c r="G172" s="60">
        <v>6</v>
      </c>
      <c r="H172" s="60">
        <v>50368</v>
      </c>
      <c r="I172" s="60">
        <v>22361</v>
      </c>
      <c r="J172" s="60">
        <v>13308</v>
      </c>
      <c r="K172" s="60">
        <v>6192</v>
      </c>
      <c r="L172" s="60">
        <v>6204</v>
      </c>
      <c r="M172" s="60">
        <v>2303</v>
      </c>
    </row>
    <row r="173" spans="1:13" ht="15" customHeight="1" x14ac:dyDescent="0.35">
      <c r="A173" s="61" t="s">
        <v>2443</v>
      </c>
      <c r="B173" s="60">
        <v>222</v>
      </c>
      <c r="C173" s="60">
        <v>103</v>
      </c>
      <c r="D173" s="60">
        <v>88</v>
      </c>
      <c r="E173" s="60">
        <v>24</v>
      </c>
      <c r="F173" s="60">
        <v>6</v>
      </c>
      <c r="G173" s="60" t="s">
        <v>2309</v>
      </c>
      <c r="H173" s="60">
        <v>2216</v>
      </c>
      <c r="I173" s="60">
        <v>688</v>
      </c>
      <c r="J173" s="60">
        <v>869</v>
      </c>
      <c r="K173" s="60">
        <v>275</v>
      </c>
      <c r="L173" s="60">
        <v>342</v>
      </c>
      <c r="M173" s="60" t="s">
        <v>2309</v>
      </c>
    </row>
    <row r="174" spans="1:13" ht="15" customHeight="1" x14ac:dyDescent="0.35">
      <c r="A174" s="61" t="s">
        <v>2444</v>
      </c>
      <c r="B174" s="60">
        <v>78</v>
      </c>
      <c r="C174" s="60" t="s">
        <v>2309</v>
      </c>
      <c r="D174" s="60">
        <v>22</v>
      </c>
      <c r="E174" s="60">
        <v>10</v>
      </c>
      <c r="F174" s="60">
        <v>24</v>
      </c>
      <c r="G174" s="60">
        <v>4</v>
      </c>
      <c r="H174" s="60">
        <v>6095</v>
      </c>
      <c r="I174" s="60" t="s">
        <v>2309</v>
      </c>
      <c r="J174" s="60">
        <v>543</v>
      </c>
      <c r="K174" s="60">
        <v>685</v>
      </c>
      <c r="L174" s="60">
        <v>2800</v>
      </c>
      <c r="M174" s="60">
        <v>1824</v>
      </c>
    </row>
    <row r="175" spans="1:13" ht="15" customHeight="1" x14ac:dyDescent="0.35">
      <c r="A175" s="61" t="s">
        <v>2446</v>
      </c>
      <c r="B175" s="60">
        <v>338</v>
      </c>
      <c r="C175" s="60">
        <v>216</v>
      </c>
      <c r="D175" s="60">
        <v>101</v>
      </c>
      <c r="E175" s="60" t="s">
        <v>2309</v>
      </c>
      <c r="F175" s="60" t="s">
        <v>2309</v>
      </c>
      <c r="G175" s="60" t="s">
        <v>2399</v>
      </c>
      <c r="H175" s="60">
        <v>2290</v>
      </c>
      <c r="I175" s="60">
        <v>1373</v>
      </c>
      <c r="J175" s="60">
        <v>712</v>
      </c>
      <c r="K175" s="60" t="s">
        <v>2309</v>
      </c>
      <c r="L175" s="60" t="s">
        <v>2309</v>
      </c>
      <c r="M175" s="60" t="s">
        <v>2399</v>
      </c>
    </row>
    <row r="176" spans="1:13" ht="15" customHeight="1" x14ac:dyDescent="0.35">
      <c r="A176" s="61" t="s">
        <v>2843</v>
      </c>
      <c r="B176" s="60">
        <v>63</v>
      </c>
      <c r="C176" s="60">
        <v>53</v>
      </c>
      <c r="D176" s="60" t="s">
        <v>2309</v>
      </c>
      <c r="E176" s="60" t="s">
        <v>2309</v>
      </c>
      <c r="F176" s="60" t="s">
        <v>2309</v>
      </c>
      <c r="G176" s="60" t="s">
        <v>2399</v>
      </c>
      <c r="H176" s="60">
        <v>380</v>
      </c>
      <c r="I176" s="60">
        <v>329</v>
      </c>
      <c r="J176" s="60" t="s">
        <v>2309</v>
      </c>
      <c r="K176" s="60" t="s">
        <v>2309</v>
      </c>
      <c r="L176" s="60" t="s">
        <v>2309</v>
      </c>
      <c r="M176" s="60" t="s">
        <v>2399</v>
      </c>
    </row>
    <row r="177" spans="1:13" ht="34" customHeight="1" x14ac:dyDescent="0.35">
      <c r="A177" s="71" t="s">
        <v>2449</v>
      </c>
      <c r="B177" s="84" t="s">
        <v>27</v>
      </c>
      <c r="C177" s="84" t="s">
        <v>27</v>
      </c>
      <c r="D177" s="84" t="s">
        <v>27</v>
      </c>
      <c r="E177" s="84" t="s">
        <v>27</v>
      </c>
      <c r="F177" s="84" t="s">
        <v>27</v>
      </c>
      <c r="G177" s="84" t="s">
        <v>27</v>
      </c>
      <c r="H177" s="84" t="s">
        <v>27</v>
      </c>
      <c r="I177" s="84" t="s">
        <v>27</v>
      </c>
      <c r="J177" s="84" t="s">
        <v>27</v>
      </c>
      <c r="K177" s="84" t="s">
        <v>27</v>
      </c>
      <c r="L177" s="84" t="s">
        <v>27</v>
      </c>
      <c r="M177" s="84" t="s">
        <v>27</v>
      </c>
    </row>
    <row r="178" spans="1:13" ht="15" customHeight="1" x14ac:dyDescent="0.35">
      <c r="A178" s="61" t="s">
        <v>2441</v>
      </c>
      <c r="B178" s="60">
        <v>4584</v>
      </c>
      <c r="C178" s="60">
        <v>2980</v>
      </c>
      <c r="D178" s="60">
        <v>1148</v>
      </c>
      <c r="E178" s="60">
        <v>321</v>
      </c>
      <c r="F178" s="60">
        <v>120</v>
      </c>
      <c r="G178" s="60">
        <v>15</v>
      </c>
      <c r="H178" s="60">
        <v>84861</v>
      </c>
      <c r="I178" s="60">
        <v>36684</v>
      </c>
      <c r="J178" s="60">
        <v>22103</v>
      </c>
      <c r="K178" s="60">
        <v>9366</v>
      </c>
      <c r="L178" s="60">
        <v>11101</v>
      </c>
      <c r="M178" s="60">
        <v>5607</v>
      </c>
    </row>
    <row r="179" spans="1:13" ht="15" customHeight="1" x14ac:dyDescent="0.35">
      <c r="A179" s="61" t="s">
        <v>2442</v>
      </c>
      <c r="B179" s="60">
        <v>4</v>
      </c>
      <c r="C179" s="60" t="s">
        <v>2309</v>
      </c>
      <c r="D179" s="60" t="s">
        <v>2309</v>
      </c>
      <c r="E179" s="60" t="s">
        <v>2309</v>
      </c>
      <c r="F179" s="60" t="s">
        <v>2309</v>
      </c>
      <c r="G179" s="60" t="s">
        <v>2309</v>
      </c>
      <c r="H179" s="60">
        <v>400</v>
      </c>
      <c r="I179" s="60" t="s">
        <v>2309</v>
      </c>
      <c r="J179" s="60" t="s">
        <v>2309</v>
      </c>
      <c r="K179" s="60" t="s">
        <v>2309</v>
      </c>
      <c r="L179" s="60" t="s">
        <v>2309</v>
      </c>
      <c r="M179" s="60" t="s">
        <v>2309</v>
      </c>
    </row>
    <row r="180" spans="1:13" ht="15" customHeight="1" x14ac:dyDescent="0.35">
      <c r="A180" s="61" t="s">
        <v>2445</v>
      </c>
      <c r="B180" s="60">
        <v>55</v>
      </c>
      <c r="C180" s="60">
        <v>22</v>
      </c>
      <c r="D180" s="60">
        <v>7</v>
      </c>
      <c r="E180" s="60">
        <v>9</v>
      </c>
      <c r="F180" s="60">
        <v>16</v>
      </c>
      <c r="G180" s="60">
        <v>1</v>
      </c>
      <c r="H180" s="60">
        <v>4288</v>
      </c>
      <c r="I180" s="60">
        <v>298</v>
      </c>
      <c r="J180" s="60">
        <v>311</v>
      </c>
      <c r="K180" s="60">
        <v>622</v>
      </c>
      <c r="L180" s="60">
        <v>2401</v>
      </c>
      <c r="M180" s="60">
        <v>657</v>
      </c>
    </row>
    <row r="181" spans="1:13" ht="34" customHeight="1" x14ac:dyDescent="0.35">
      <c r="A181" s="71" t="s">
        <v>2450</v>
      </c>
      <c r="B181" s="84" t="s">
        <v>27</v>
      </c>
      <c r="C181" s="84" t="s">
        <v>27</v>
      </c>
      <c r="D181" s="84" t="s">
        <v>27</v>
      </c>
      <c r="E181" s="84" t="s">
        <v>27</v>
      </c>
      <c r="F181" s="84" t="s">
        <v>27</v>
      </c>
      <c r="G181" s="84" t="s">
        <v>27</v>
      </c>
      <c r="H181" s="84" t="s">
        <v>27</v>
      </c>
      <c r="I181" s="84" t="s">
        <v>27</v>
      </c>
      <c r="J181" s="84" t="s">
        <v>27</v>
      </c>
      <c r="K181" s="84" t="s">
        <v>27</v>
      </c>
      <c r="L181" s="84" t="s">
        <v>27</v>
      </c>
      <c r="M181" s="84" t="s">
        <v>27</v>
      </c>
    </row>
    <row r="182" spans="1:13" ht="15" customHeight="1" x14ac:dyDescent="0.35">
      <c r="A182" s="61" t="s">
        <v>2441</v>
      </c>
      <c r="B182" s="60">
        <v>2785</v>
      </c>
      <c r="C182" s="60">
        <v>1903</v>
      </c>
      <c r="D182" s="60">
        <v>671</v>
      </c>
      <c r="E182" s="60">
        <v>161</v>
      </c>
      <c r="F182" s="60">
        <v>43</v>
      </c>
      <c r="G182" s="60">
        <v>7</v>
      </c>
      <c r="H182" s="60">
        <v>47354</v>
      </c>
      <c r="I182" s="60">
        <v>24087</v>
      </c>
      <c r="J182" s="60">
        <v>11064</v>
      </c>
      <c r="K182" s="60">
        <v>4901</v>
      </c>
      <c r="L182" s="60">
        <v>4657</v>
      </c>
      <c r="M182" s="60">
        <v>2646</v>
      </c>
    </row>
    <row r="183" spans="1:13" ht="15" customHeight="1" x14ac:dyDescent="0.35">
      <c r="A183" s="61" t="s">
        <v>2442</v>
      </c>
      <c r="B183" s="60">
        <v>1885</v>
      </c>
      <c r="C183" s="60">
        <v>1096</v>
      </c>
      <c r="D183" s="60">
        <v>530</v>
      </c>
      <c r="E183" s="60">
        <v>171</v>
      </c>
      <c r="F183" s="60">
        <v>80</v>
      </c>
      <c r="G183" s="60">
        <v>7</v>
      </c>
      <c r="H183" s="60">
        <v>46783</v>
      </c>
      <c r="I183" s="60">
        <v>18015</v>
      </c>
      <c r="J183" s="60">
        <v>12493</v>
      </c>
      <c r="K183" s="60">
        <v>5769</v>
      </c>
      <c r="L183" s="60">
        <v>7804</v>
      </c>
      <c r="M183" s="60">
        <v>2702</v>
      </c>
    </row>
    <row r="184" spans="1:13" ht="15" customHeight="1" x14ac:dyDescent="0.35">
      <c r="A184" s="61" t="s">
        <v>2443</v>
      </c>
      <c r="B184" s="60">
        <v>72</v>
      </c>
      <c r="C184" s="60">
        <v>26</v>
      </c>
      <c r="D184" s="60" t="s">
        <v>2309</v>
      </c>
      <c r="E184" s="60">
        <v>17</v>
      </c>
      <c r="F184" s="60">
        <v>5</v>
      </c>
      <c r="G184" s="60" t="s">
        <v>2309</v>
      </c>
      <c r="H184" s="60">
        <v>1807</v>
      </c>
      <c r="I184" s="60">
        <v>305</v>
      </c>
      <c r="J184" s="60">
        <v>385</v>
      </c>
      <c r="K184" s="60">
        <v>353</v>
      </c>
      <c r="L184" s="60">
        <v>436</v>
      </c>
      <c r="M184" s="60" t="s">
        <v>2309</v>
      </c>
    </row>
    <row r="185" spans="1:13" ht="15" customHeight="1" x14ac:dyDescent="0.35">
      <c r="A185" s="61" t="s">
        <v>2444</v>
      </c>
      <c r="B185" s="60">
        <v>38</v>
      </c>
      <c r="C185" s="60" t="s">
        <v>2309</v>
      </c>
      <c r="D185" s="60" t="s">
        <v>2309</v>
      </c>
      <c r="E185" s="60">
        <v>7</v>
      </c>
      <c r="F185" s="60">
        <v>14</v>
      </c>
      <c r="G185" s="60">
        <v>3</v>
      </c>
      <c r="H185" s="60">
        <v>4206</v>
      </c>
      <c r="I185" s="60" t="s">
        <v>2309</v>
      </c>
      <c r="J185" s="60" t="s">
        <v>2309</v>
      </c>
      <c r="K185" s="60">
        <v>435</v>
      </c>
      <c r="L185" s="60">
        <v>1908</v>
      </c>
      <c r="M185" s="60">
        <v>1562</v>
      </c>
    </row>
    <row r="186" spans="1:13" ht="15" customHeight="1" x14ac:dyDescent="0.35">
      <c r="A186" s="61" t="s">
        <v>2446</v>
      </c>
      <c r="B186" s="60">
        <v>145</v>
      </c>
      <c r="C186" s="60">
        <v>86</v>
      </c>
      <c r="D186" s="60">
        <v>43</v>
      </c>
      <c r="E186" s="60" t="s">
        <v>2309</v>
      </c>
      <c r="F186" s="60" t="s">
        <v>2309</v>
      </c>
      <c r="G186" s="60" t="s">
        <v>2399</v>
      </c>
      <c r="H186" s="60">
        <v>1947</v>
      </c>
      <c r="I186" s="60">
        <v>971</v>
      </c>
      <c r="J186" s="60">
        <v>629</v>
      </c>
      <c r="K186" s="60" t="s">
        <v>2309</v>
      </c>
      <c r="L186" s="60" t="s">
        <v>2309</v>
      </c>
      <c r="M186" s="60" t="s">
        <v>2399</v>
      </c>
    </row>
    <row r="187" spans="1:13" ht="34" customHeight="1" x14ac:dyDescent="0.35">
      <c r="A187" s="71" t="s">
        <v>2451</v>
      </c>
      <c r="B187" s="84" t="s">
        <v>27</v>
      </c>
      <c r="C187" s="84" t="s">
        <v>27</v>
      </c>
      <c r="D187" s="84" t="s">
        <v>27</v>
      </c>
      <c r="E187" s="84" t="s">
        <v>27</v>
      </c>
      <c r="F187" s="84" t="s">
        <v>27</v>
      </c>
      <c r="G187" s="84" t="s">
        <v>27</v>
      </c>
      <c r="H187" s="84" t="s">
        <v>27</v>
      </c>
      <c r="I187" s="84" t="s">
        <v>27</v>
      </c>
      <c r="J187" s="84" t="s">
        <v>27</v>
      </c>
      <c r="K187" s="84" t="s">
        <v>27</v>
      </c>
      <c r="L187" s="84" t="s">
        <v>27</v>
      </c>
      <c r="M187" s="84" t="s">
        <v>27</v>
      </c>
    </row>
    <row r="188" spans="1:13" ht="15" customHeight="1" x14ac:dyDescent="0.35">
      <c r="A188" s="61" t="s">
        <v>2441</v>
      </c>
      <c r="B188" s="60">
        <v>1216</v>
      </c>
      <c r="C188" s="60">
        <v>701</v>
      </c>
      <c r="D188" s="60">
        <v>359</v>
      </c>
      <c r="E188" s="60">
        <v>104</v>
      </c>
      <c r="F188" s="60">
        <v>45</v>
      </c>
      <c r="G188" s="60">
        <v>6</v>
      </c>
      <c r="H188" s="60">
        <v>30592</v>
      </c>
      <c r="I188" s="60">
        <v>11414</v>
      </c>
      <c r="J188" s="60">
        <v>7705</v>
      </c>
      <c r="K188" s="60">
        <v>3356</v>
      </c>
      <c r="L188" s="60">
        <v>5079</v>
      </c>
      <c r="M188" s="60">
        <v>3038</v>
      </c>
    </row>
    <row r="189" spans="1:13" ht="15" customHeight="1" x14ac:dyDescent="0.35">
      <c r="A189" s="61" t="s">
        <v>2442</v>
      </c>
      <c r="B189" s="60">
        <v>726</v>
      </c>
      <c r="C189" s="60">
        <v>448</v>
      </c>
      <c r="D189" s="60">
        <v>164</v>
      </c>
      <c r="E189" s="60">
        <v>69</v>
      </c>
      <c r="F189" s="60">
        <v>38</v>
      </c>
      <c r="G189" s="60">
        <v>6</v>
      </c>
      <c r="H189" s="60">
        <v>27656</v>
      </c>
      <c r="I189" s="60">
        <v>9317</v>
      </c>
      <c r="J189" s="60">
        <v>6136</v>
      </c>
      <c r="K189" s="60">
        <v>3662</v>
      </c>
      <c r="L189" s="60">
        <v>5431</v>
      </c>
      <c r="M189" s="60">
        <v>3111</v>
      </c>
    </row>
    <row r="190" spans="1:13" ht="15" customHeight="1" x14ac:dyDescent="0.35">
      <c r="A190" s="61" t="s">
        <v>2446</v>
      </c>
      <c r="B190" s="60">
        <v>159</v>
      </c>
      <c r="C190" s="60">
        <v>94</v>
      </c>
      <c r="D190" s="60">
        <v>43</v>
      </c>
      <c r="E190" s="60">
        <v>12</v>
      </c>
      <c r="F190" s="60">
        <v>9</v>
      </c>
      <c r="G190" s="60" t="s">
        <v>2309</v>
      </c>
      <c r="H190" s="60">
        <v>3101</v>
      </c>
      <c r="I190" s="60">
        <v>1093</v>
      </c>
      <c r="J190" s="60">
        <v>990</v>
      </c>
      <c r="K190" s="60">
        <v>317</v>
      </c>
      <c r="L190" s="60">
        <v>587</v>
      </c>
      <c r="M190" s="60" t="s">
        <v>2309</v>
      </c>
    </row>
    <row r="191" spans="1:13" ht="34" customHeight="1" x14ac:dyDescent="0.35">
      <c r="A191" s="71" t="s">
        <v>2452</v>
      </c>
      <c r="B191" s="84" t="s">
        <v>27</v>
      </c>
      <c r="C191" s="84" t="s">
        <v>27</v>
      </c>
      <c r="D191" s="84" t="s">
        <v>27</v>
      </c>
      <c r="E191" s="84" t="s">
        <v>27</v>
      </c>
      <c r="F191" s="84" t="s">
        <v>27</v>
      </c>
      <c r="G191" s="84" t="s">
        <v>27</v>
      </c>
      <c r="H191" s="84" t="s">
        <v>27</v>
      </c>
      <c r="I191" s="84" t="s">
        <v>27</v>
      </c>
      <c r="J191" s="84" t="s">
        <v>27</v>
      </c>
      <c r="K191" s="84" t="s">
        <v>27</v>
      </c>
      <c r="L191" s="84" t="s">
        <v>27</v>
      </c>
      <c r="M191" s="84" t="s">
        <v>27</v>
      </c>
    </row>
    <row r="192" spans="1:13" ht="15" customHeight="1" x14ac:dyDescent="0.35">
      <c r="A192" s="61" t="s">
        <v>2453</v>
      </c>
      <c r="B192" s="60">
        <v>4901</v>
      </c>
      <c r="C192" s="60">
        <v>3210</v>
      </c>
      <c r="D192" s="60">
        <v>1194</v>
      </c>
      <c r="E192" s="60">
        <v>347</v>
      </c>
      <c r="F192" s="60">
        <v>134</v>
      </c>
      <c r="G192" s="60">
        <v>16</v>
      </c>
      <c r="H192" s="60">
        <v>89003</v>
      </c>
      <c r="I192" s="60">
        <v>38084</v>
      </c>
      <c r="J192" s="60">
        <v>21998</v>
      </c>
      <c r="K192" s="60">
        <v>10151</v>
      </c>
      <c r="L192" s="60">
        <v>12786</v>
      </c>
      <c r="M192" s="60">
        <v>5984</v>
      </c>
    </row>
    <row r="193" spans="1:13" ht="15" customHeight="1" x14ac:dyDescent="0.35">
      <c r="A193" s="61" t="s">
        <v>2454</v>
      </c>
      <c r="B193" s="60">
        <v>4631</v>
      </c>
      <c r="C193" s="60">
        <v>3001</v>
      </c>
      <c r="D193" s="60">
        <v>1155</v>
      </c>
      <c r="E193" s="60">
        <v>327</v>
      </c>
      <c r="F193" s="60">
        <v>131</v>
      </c>
      <c r="G193" s="60">
        <v>16</v>
      </c>
      <c r="H193" s="60">
        <v>87841</v>
      </c>
      <c r="I193" s="60">
        <v>36930</v>
      </c>
      <c r="J193" s="60">
        <v>22373</v>
      </c>
      <c r="K193" s="60">
        <v>9786</v>
      </c>
      <c r="L193" s="60">
        <v>12754</v>
      </c>
      <c r="M193" s="60">
        <v>5998</v>
      </c>
    </row>
    <row r="194" spans="1:13" ht="15" customHeight="1" x14ac:dyDescent="0.35">
      <c r="A194" s="61" t="s">
        <v>2455</v>
      </c>
      <c r="B194" s="60">
        <v>4595</v>
      </c>
      <c r="C194" s="60">
        <v>2912</v>
      </c>
      <c r="D194" s="60">
        <v>1192</v>
      </c>
      <c r="E194" s="60">
        <v>340</v>
      </c>
      <c r="F194" s="60">
        <v>135</v>
      </c>
      <c r="G194" s="60">
        <v>16</v>
      </c>
      <c r="H194" s="60">
        <v>88076</v>
      </c>
      <c r="I194" s="60">
        <v>37122</v>
      </c>
      <c r="J194" s="60">
        <v>22142</v>
      </c>
      <c r="K194" s="60">
        <v>9990</v>
      </c>
      <c r="L194" s="60">
        <v>12845</v>
      </c>
      <c r="M194" s="60">
        <v>5976</v>
      </c>
    </row>
    <row r="195" spans="1:13" ht="15" customHeight="1" x14ac:dyDescent="0.35">
      <c r="A195" s="61" t="s">
        <v>2456</v>
      </c>
      <c r="B195" s="60">
        <v>1736</v>
      </c>
      <c r="C195" s="60">
        <v>1013</v>
      </c>
      <c r="D195" s="60">
        <v>485</v>
      </c>
      <c r="E195" s="60">
        <v>156</v>
      </c>
      <c r="F195" s="60">
        <v>73</v>
      </c>
      <c r="G195" s="60">
        <v>9</v>
      </c>
      <c r="H195" s="60">
        <v>43633</v>
      </c>
      <c r="I195" s="60">
        <v>15112</v>
      </c>
      <c r="J195" s="60">
        <v>10724</v>
      </c>
      <c r="K195" s="60">
        <v>5517</v>
      </c>
      <c r="L195" s="60">
        <v>7780</v>
      </c>
      <c r="M195" s="60">
        <v>4501</v>
      </c>
    </row>
    <row r="196" spans="1:13" ht="15" customHeight="1" x14ac:dyDescent="0.35">
      <c r="A196" s="61" t="s">
        <v>2457</v>
      </c>
      <c r="B196" s="60">
        <v>322</v>
      </c>
      <c r="C196" s="60">
        <v>239</v>
      </c>
      <c r="D196" s="60">
        <v>67</v>
      </c>
      <c r="E196" s="60">
        <v>13</v>
      </c>
      <c r="F196" s="60">
        <v>2</v>
      </c>
      <c r="G196" s="60" t="s">
        <v>2309</v>
      </c>
      <c r="H196" s="60">
        <v>6871</v>
      </c>
      <c r="I196" s="60">
        <v>3679</v>
      </c>
      <c r="J196" s="60">
        <v>2061</v>
      </c>
      <c r="K196" s="60">
        <v>526</v>
      </c>
      <c r="L196" s="60">
        <v>348</v>
      </c>
      <c r="M196" s="60" t="s">
        <v>2309</v>
      </c>
    </row>
    <row r="197" spans="1:13" ht="28" customHeight="1" x14ac:dyDescent="0.35">
      <c r="A197" s="61" t="s">
        <v>2458</v>
      </c>
      <c r="B197" s="60">
        <v>706</v>
      </c>
      <c r="C197" s="60">
        <v>436</v>
      </c>
      <c r="D197" s="60">
        <v>164</v>
      </c>
      <c r="E197" s="60">
        <v>48</v>
      </c>
      <c r="F197" s="60">
        <v>48</v>
      </c>
      <c r="G197" s="60">
        <v>9</v>
      </c>
      <c r="H197" s="60">
        <v>29439</v>
      </c>
      <c r="I197" s="60">
        <v>8458</v>
      </c>
      <c r="J197" s="60">
        <v>6128</v>
      </c>
      <c r="K197" s="60">
        <v>3210</v>
      </c>
      <c r="L197" s="60">
        <v>7351</v>
      </c>
      <c r="M197" s="60">
        <v>4292</v>
      </c>
    </row>
    <row r="198" spans="1:13" ht="24" customHeight="1" x14ac:dyDescent="0.35">
      <c r="A198" s="71" t="s">
        <v>2841</v>
      </c>
      <c r="B198" s="84" t="s">
        <v>27</v>
      </c>
      <c r="C198" s="84" t="s">
        <v>27</v>
      </c>
      <c r="D198" s="84" t="s">
        <v>27</v>
      </c>
      <c r="E198" s="84" t="s">
        <v>27</v>
      </c>
      <c r="F198" s="84" t="s">
        <v>27</v>
      </c>
      <c r="G198" s="84" t="s">
        <v>27</v>
      </c>
      <c r="H198" s="84" t="s">
        <v>27</v>
      </c>
      <c r="I198" s="84" t="s">
        <v>27</v>
      </c>
      <c r="J198" s="84" t="s">
        <v>27</v>
      </c>
      <c r="K198" s="84" t="s">
        <v>27</v>
      </c>
      <c r="L198" s="84" t="s">
        <v>27</v>
      </c>
      <c r="M198" s="84" t="s">
        <v>27</v>
      </c>
    </row>
    <row r="199" spans="1:13" ht="15" customHeight="1" x14ac:dyDescent="0.35">
      <c r="A199" s="61" t="s">
        <v>2460</v>
      </c>
      <c r="B199" s="60">
        <v>1017</v>
      </c>
      <c r="C199" s="60">
        <v>896</v>
      </c>
      <c r="D199" s="60">
        <v>92</v>
      </c>
      <c r="E199" s="60">
        <v>22</v>
      </c>
      <c r="F199" s="60">
        <v>7</v>
      </c>
      <c r="G199" s="60" t="s">
        <v>2309</v>
      </c>
      <c r="H199" s="60">
        <v>7754</v>
      </c>
      <c r="I199" s="60">
        <v>5834</v>
      </c>
      <c r="J199" s="60">
        <v>1319</v>
      </c>
      <c r="K199" s="60">
        <v>314</v>
      </c>
      <c r="L199" s="60">
        <v>271</v>
      </c>
      <c r="M199" s="60" t="s">
        <v>2309</v>
      </c>
    </row>
    <row r="200" spans="1:13" ht="15" customHeight="1" x14ac:dyDescent="0.35">
      <c r="A200" s="61" t="s">
        <v>2461</v>
      </c>
      <c r="B200" s="60">
        <v>693</v>
      </c>
      <c r="C200" s="60">
        <v>477</v>
      </c>
      <c r="D200" s="60">
        <v>173</v>
      </c>
      <c r="E200" s="60">
        <v>33</v>
      </c>
      <c r="F200" s="60">
        <v>9</v>
      </c>
      <c r="G200" s="60">
        <v>0</v>
      </c>
      <c r="H200" s="60">
        <v>10617</v>
      </c>
      <c r="I200" s="60">
        <v>6080</v>
      </c>
      <c r="J200" s="60">
        <v>2905</v>
      </c>
      <c r="K200" s="60">
        <v>702</v>
      </c>
      <c r="L200" s="60">
        <v>800</v>
      </c>
      <c r="M200" s="60">
        <v>130</v>
      </c>
    </row>
    <row r="201" spans="1:13" ht="15" customHeight="1" x14ac:dyDescent="0.35">
      <c r="A201" s="61" t="s">
        <v>2462</v>
      </c>
      <c r="B201" s="60">
        <v>905</v>
      </c>
      <c r="C201" s="60">
        <v>553</v>
      </c>
      <c r="D201" s="60">
        <v>188</v>
      </c>
      <c r="E201" s="60">
        <v>116</v>
      </c>
      <c r="F201" s="60">
        <v>43</v>
      </c>
      <c r="G201" s="60">
        <v>6</v>
      </c>
      <c r="H201" s="60">
        <v>20244</v>
      </c>
      <c r="I201" s="60">
        <v>7635</v>
      </c>
      <c r="J201" s="60">
        <v>3971</v>
      </c>
      <c r="K201" s="60">
        <v>2625</v>
      </c>
      <c r="L201" s="60">
        <v>3545</v>
      </c>
      <c r="M201" s="60">
        <v>2468</v>
      </c>
    </row>
    <row r="202" spans="1:13" ht="15" customHeight="1" x14ac:dyDescent="0.35">
      <c r="A202" s="73" t="s">
        <v>2463</v>
      </c>
      <c r="B202" s="60">
        <v>3303</v>
      </c>
      <c r="C202" s="60">
        <v>2179</v>
      </c>
      <c r="D202" s="60">
        <v>832</v>
      </c>
      <c r="E202" s="60">
        <v>199</v>
      </c>
      <c r="F202" s="60">
        <v>83</v>
      </c>
      <c r="G202" s="60">
        <v>10</v>
      </c>
      <c r="H202" s="60">
        <v>58143</v>
      </c>
      <c r="I202" s="60">
        <v>24369</v>
      </c>
      <c r="J202" s="60">
        <v>15122</v>
      </c>
      <c r="K202" s="60">
        <v>6824</v>
      </c>
      <c r="L202" s="60">
        <v>8442</v>
      </c>
      <c r="M202" s="60">
        <v>3386</v>
      </c>
    </row>
    <row r="203" spans="1:13" ht="24" customHeight="1" x14ac:dyDescent="0.35">
      <c r="A203" s="71" t="s">
        <v>2840</v>
      </c>
      <c r="B203" s="84" t="s">
        <v>27</v>
      </c>
      <c r="C203" s="84" t="s">
        <v>27</v>
      </c>
      <c r="D203" s="84" t="s">
        <v>27</v>
      </c>
      <c r="E203" s="84" t="s">
        <v>27</v>
      </c>
      <c r="F203" s="84" t="s">
        <v>27</v>
      </c>
      <c r="G203" s="84" t="s">
        <v>27</v>
      </c>
      <c r="H203" s="84" t="s">
        <v>27</v>
      </c>
      <c r="I203" s="84" t="s">
        <v>27</v>
      </c>
      <c r="J203" s="84" t="s">
        <v>27</v>
      </c>
      <c r="K203" s="84" t="s">
        <v>27</v>
      </c>
      <c r="L203" s="84" t="s">
        <v>27</v>
      </c>
      <c r="M203" s="84" t="s">
        <v>27</v>
      </c>
    </row>
    <row r="204" spans="1:13" ht="15" customHeight="1" x14ac:dyDescent="0.35">
      <c r="A204" s="61" t="s">
        <v>2465</v>
      </c>
      <c r="B204" s="60">
        <v>1288</v>
      </c>
      <c r="C204" s="60">
        <v>1104</v>
      </c>
      <c r="D204" s="60">
        <v>131</v>
      </c>
      <c r="E204" s="60">
        <v>42</v>
      </c>
      <c r="F204" s="60" t="s">
        <v>2309</v>
      </c>
      <c r="G204" s="60" t="s">
        <v>2309</v>
      </c>
      <c r="H204" s="60">
        <v>8917</v>
      </c>
      <c r="I204" s="60">
        <v>6988</v>
      </c>
      <c r="J204" s="60">
        <v>944</v>
      </c>
      <c r="K204" s="60">
        <v>679</v>
      </c>
      <c r="L204" s="60" t="s">
        <v>2309</v>
      </c>
      <c r="M204" s="60" t="s">
        <v>2309</v>
      </c>
    </row>
    <row r="205" spans="1:13" ht="15" customHeight="1" x14ac:dyDescent="0.35">
      <c r="A205" s="61" t="s">
        <v>2461</v>
      </c>
      <c r="B205" s="60">
        <v>1111</v>
      </c>
      <c r="C205" s="60">
        <v>712</v>
      </c>
      <c r="D205" s="60">
        <v>328</v>
      </c>
      <c r="E205" s="60">
        <v>46</v>
      </c>
      <c r="F205" s="60">
        <v>24</v>
      </c>
      <c r="G205" s="60" t="s">
        <v>2309</v>
      </c>
      <c r="H205" s="60">
        <v>19747</v>
      </c>
      <c r="I205" s="60">
        <v>11077</v>
      </c>
      <c r="J205" s="60">
        <v>5952</v>
      </c>
      <c r="K205" s="60">
        <v>1162</v>
      </c>
      <c r="L205" s="60">
        <v>1466</v>
      </c>
      <c r="M205" s="60" t="s">
        <v>2309</v>
      </c>
    </row>
    <row r="206" spans="1:13" ht="15" customHeight="1" x14ac:dyDescent="0.35">
      <c r="A206" s="61" t="s">
        <v>2462</v>
      </c>
      <c r="B206" s="60">
        <v>998</v>
      </c>
      <c r="C206" s="60">
        <v>552</v>
      </c>
      <c r="D206" s="60">
        <v>250</v>
      </c>
      <c r="E206" s="60">
        <v>136</v>
      </c>
      <c r="F206" s="60">
        <v>52</v>
      </c>
      <c r="G206" s="60">
        <v>7</v>
      </c>
      <c r="H206" s="60">
        <v>26388</v>
      </c>
      <c r="I206" s="60">
        <v>8915</v>
      </c>
      <c r="J206" s="60">
        <v>5955</v>
      </c>
      <c r="K206" s="60">
        <v>3612</v>
      </c>
      <c r="L206" s="60">
        <v>4822</v>
      </c>
      <c r="M206" s="60">
        <v>3083</v>
      </c>
    </row>
    <row r="207" spans="1:13" ht="15" customHeight="1" x14ac:dyDescent="0.35">
      <c r="A207" s="73" t="s">
        <v>2463</v>
      </c>
      <c r="B207" s="60">
        <v>2522</v>
      </c>
      <c r="C207" s="60">
        <v>1737</v>
      </c>
      <c r="D207" s="60">
        <v>576</v>
      </c>
      <c r="E207" s="60">
        <v>145</v>
      </c>
      <c r="F207" s="60">
        <v>55</v>
      </c>
      <c r="G207" s="60">
        <v>8</v>
      </c>
      <c r="H207" s="60">
        <v>41706</v>
      </c>
      <c r="I207" s="60">
        <v>16938</v>
      </c>
      <c r="J207" s="60">
        <v>10466</v>
      </c>
      <c r="K207" s="60">
        <v>5012</v>
      </c>
      <c r="L207" s="60">
        <v>6466</v>
      </c>
      <c r="M207" s="60">
        <v>2824</v>
      </c>
    </row>
    <row r="208" spans="1:13" ht="24" customHeight="1" x14ac:dyDescent="0.35">
      <c r="A208" s="71" t="s">
        <v>2839</v>
      </c>
      <c r="B208" s="84" t="s">
        <v>27</v>
      </c>
      <c r="C208" s="84" t="s">
        <v>27</v>
      </c>
      <c r="D208" s="84" t="s">
        <v>27</v>
      </c>
      <c r="E208" s="84" t="s">
        <v>27</v>
      </c>
      <c r="F208" s="84" t="s">
        <v>27</v>
      </c>
      <c r="G208" s="84" t="s">
        <v>27</v>
      </c>
      <c r="H208" s="84" t="s">
        <v>27</v>
      </c>
      <c r="I208" s="84" t="s">
        <v>27</v>
      </c>
      <c r="J208" s="84" t="s">
        <v>27</v>
      </c>
      <c r="K208" s="84" t="s">
        <v>27</v>
      </c>
      <c r="L208" s="84" t="s">
        <v>27</v>
      </c>
      <c r="M208" s="84" t="s">
        <v>27</v>
      </c>
    </row>
    <row r="209" spans="1:13" ht="15" customHeight="1" x14ac:dyDescent="0.35">
      <c r="A209" s="61" t="s">
        <v>2467</v>
      </c>
      <c r="B209" s="60" t="s">
        <v>2309</v>
      </c>
      <c r="C209" s="60" t="s">
        <v>2309</v>
      </c>
      <c r="D209" s="60" t="s">
        <v>2309</v>
      </c>
      <c r="E209" s="60" t="s">
        <v>2399</v>
      </c>
      <c r="F209" s="60" t="s">
        <v>2399</v>
      </c>
      <c r="G209" s="60" t="s">
        <v>2399</v>
      </c>
      <c r="H209" s="60" t="s">
        <v>2309</v>
      </c>
      <c r="I209" s="60" t="s">
        <v>2309</v>
      </c>
      <c r="J209" s="60" t="s">
        <v>2309</v>
      </c>
      <c r="K209" s="60" t="s">
        <v>2399</v>
      </c>
      <c r="L209" s="60" t="s">
        <v>2399</v>
      </c>
      <c r="M209" s="60" t="s">
        <v>2399</v>
      </c>
    </row>
    <row r="210" spans="1:13" ht="15" customHeight="1" x14ac:dyDescent="0.35">
      <c r="A210" s="61" t="s">
        <v>2461</v>
      </c>
      <c r="B210" s="60">
        <v>1280</v>
      </c>
      <c r="C210" s="60">
        <v>763</v>
      </c>
      <c r="D210" s="60">
        <v>377</v>
      </c>
      <c r="E210" s="60">
        <v>105</v>
      </c>
      <c r="F210" s="60">
        <v>34</v>
      </c>
      <c r="G210" s="60">
        <v>1</v>
      </c>
      <c r="H210" s="60">
        <v>14213</v>
      </c>
      <c r="I210" s="60">
        <v>7135</v>
      </c>
      <c r="J210" s="60">
        <v>4257</v>
      </c>
      <c r="K210" s="60">
        <v>1513</v>
      </c>
      <c r="L210" s="60">
        <v>1091</v>
      </c>
      <c r="M210" s="60">
        <v>218</v>
      </c>
    </row>
    <row r="211" spans="1:13" ht="15" customHeight="1" x14ac:dyDescent="0.35">
      <c r="A211" s="61" t="s">
        <v>2462</v>
      </c>
      <c r="B211" s="60">
        <v>1784</v>
      </c>
      <c r="C211" s="60">
        <v>1126</v>
      </c>
      <c r="D211" s="60">
        <v>435</v>
      </c>
      <c r="E211" s="60">
        <v>151</v>
      </c>
      <c r="F211" s="60">
        <v>65</v>
      </c>
      <c r="G211" s="60">
        <v>8</v>
      </c>
      <c r="H211" s="60">
        <v>39002</v>
      </c>
      <c r="I211" s="60">
        <v>15114</v>
      </c>
      <c r="J211" s="60">
        <v>9528</v>
      </c>
      <c r="K211" s="60">
        <v>4865</v>
      </c>
      <c r="L211" s="60">
        <v>6327</v>
      </c>
      <c r="M211" s="60">
        <v>3168</v>
      </c>
    </row>
    <row r="212" spans="1:13" ht="15" customHeight="1" x14ac:dyDescent="0.35">
      <c r="A212" s="73" t="s">
        <v>2463</v>
      </c>
      <c r="B212" s="60">
        <v>2272</v>
      </c>
      <c r="C212" s="60">
        <v>1709</v>
      </c>
      <c r="D212" s="60">
        <v>415</v>
      </c>
      <c r="E212" s="60">
        <v>100</v>
      </c>
      <c r="F212" s="60">
        <v>40</v>
      </c>
      <c r="G212" s="60">
        <v>7</v>
      </c>
      <c r="H212" s="60">
        <v>40015</v>
      </c>
      <c r="I212" s="60">
        <v>19078</v>
      </c>
      <c r="J212" s="60">
        <v>8963</v>
      </c>
      <c r="K212" s="60">
        <v>3907</v>
      </c>
      <c r="L212" s="60">
        <v>5477</v>
      </c>
      <c r="M212" s="60">
        <v>2590</v>
      </c>
    </row>
    <row r="213" spans="1:13" ht="28" customHeight="1" x14ac:dyDescent="0.35">
      <c r="A213" s="73" t="s">
        <v>2468</v>
      </c>
      <c r="B213" s="60">
        <v>513</v>
      </c>
      <c r="C213" s="60">
        <v>442</v>
      </c>
      <c r="D213" s="60">
        <v>55</v>
      </c>
      <c r="E213" s="60" t="s">
        <v>2309</v>
      </c>
      <c r="F213" s="60" t="s">
        <v>2309</v>
      </c>
      <c r="G213" s="60" t="s">
        <v>2309</v>
      </c>
      <c r="H213" s="60">
        <v>2998</v>
      </c>
      <c r="I213" s="60">
        <v>2197</v>
      </c>
      <c r="J213" s="60">
        <v>434</v>
      </c>
      <c r="K213" s="60" t="s">
        <v>2309</v>
      </c>
      <c r="L213" s="60" t="s">
        <v>2309</v>
      </c>
      <c r="M213" s="60" t="s">
        <v>2309</v>
      </c>
    </row>
    <row r="214" spans="1:13" ht="24" customHeight="1" x14ac:dyDescent="0.35">
      <c r="A214" s="71" t="s">
        <v>2838</v>
      </c>
      <c r="B214" s="84" t="s">
        <v>27</v>
      </c>
      <c r="C214" s="84" t="s">
        <v>27</v>
      </c>
      <c r="D214" s="84" t="s">
        <v>27</v>
      </c>
      <c r="E214" s="84" t="s">
        <v>27</v>
      </c>
      <c r="F214" s="84" t="s">
        <v>27</v>
      </c>
      <c r="G214" s="84" t="s">
        <v>27</v>
      </c>
      <c r="H214" s="84" t="s">
        <v>27</v>
      </c>
      <c r="I214" s="84" t="s">
        <v>27</v>
      </c>
      <c r="J214" s="84" t="s">
        <v>27</v>
      </c>
      <c r="K214" s="84" t="s">
        <v>27</v>
      </c>
      <c r="L214" s="84" t="s">
        <v>27</v>
      </c>
      <c r="M214" s="84" t="s">
        <v>27</v>
      </c>
    </row>
    <row r="215" spans="1:13" ht="15" customHeight="1" x14ac:dyDescent="0.35">
      <c r="A215" s="61" t="s">
        <v>2467</v>
      </c>
      <c r="B215" s="60">
        <v>2054</v>
      </c>
      <c r="C215" s="60">
        <v>1541</v>
      </c>
      <c r="D215" s="60">
        <v>412</v>
      </c>
      <c r="E215" s="60">
        <v>81</v>
      </c>
      <c r="F215" s="60">
        <v>20</v>
      </c>
      <c r="G215" s="60" t="s">
        <v>2309</v>
      </c>
      <c r="H215" s="60">
        <v>15602</v>
      </c>
      <c r="I215" s="60">
        <v>10569</v>
      </c>
      <c r="J215" s="60">
        <v>3667</v>
      </c>
      <c r="K215" s="60">
        <v>912</v>
      </c>
      <c r="L215" s="60">
        <v>450</v>
      </c>
      <c r="M215" s="60" t="s">
        <v>2309</v>
      </c>
    </row>
    <row r="216" spans="1:13" ht="15" customHeight="1" x14ac:dyDescent="0.35">
      <c r="A216" s="61" t="s">
        <v>2461</v>
      </c>
      <c r="B216" s="60">
        <v>3243</v>
      </c>
      <c r="C216" s="60">
        <v>2055</v>
      </c>
      <c r="D216" s="60">
        <v>809</v>
      </c>
      <c r="E216" s="60">
        <v>262</v>
      </c>
      <c r="F216" s="60">
        <v>104</v>
      </c>
      <c r="G216" s="60">
        <v>13</v>
      </c>
      <c r="H216" s="60">
        <v>70060</v>
      </c>
      <c r="I216" s="60">
        <v>28792</v>
      </c>
      <c r="J216" s="60">
        <v>17951</v>
      </c>
      <c r="K216" s="60">
        <v>8313</v>
      </c>
      <c r="L216" s="60">
        <v>10167</v>
      </c>
      <c r="M216" s="60">
        <v>4836</v>
      </c>
    </row>
    <row r="217" spans="1:13" ht="15" customHeight="1" x14ac:dyDescent="0.35">
      <c r="A217" s="61" t="s">
        <v>2470</v>
      </c>
      <c r="B217" s="60">
        <v>238</v>
      </c>
      <c r="C217" s="60">
        <v>166</v>
      </c>
      <c r="D217" s="60">
        <v>42</v>
      </c>
      <c r="E217" s="60">
        <v>16</v>
      </c>
      <c r="F217" s="60">
        <v>12</v>
      </c>
      <c r="G217" s="60">
        <v>2</v>
      </c>
      <c r="H217" s="60">
        <v>7211</v>
      </c>
      <c r="I217" s="60">
        <v>2459</v>
      </c>
      <c r="J217" s="60">
        <v>1334</v>
      </c>
      <c r="K217" s="60">
        <v>782</v>
      </c>
      <c r="L217" s="60">
        <v>1721</v>
      </c>
      <c r="M217" s="60">
        <v>915</v>
      </c>
    </row>
    <row r="218" spans="1:13" ht="28" customHeight="1" x14ac:dyDescent="0.35">
      <c r="A218" s="73" t="s">
        <v>2471</v>
      </c>
      <c r="B218" s="60">
        <v>78</v>
      </c>
      <c r="C218" s="60">
        <v>60</v>
      </c>
      <c r="D218" s="60" t="s">
        <v>2309</v>
      </c>
      <c r="E218" s="60" t="s">
        <v>2309</v>
      </c>
      <c r="F218" s="60">
        <v>6</v>
      </c>
      <c r="G218" s="60">
        <v>1</v>
      </c>
      <c r="H218" s="60">
        <v>2306</v>
      </c>
      <c r="I218" s="60">
        <v>709</v>
      </c>
      <c r="J218" s="60" t="s">
        <v>2309</v>
      </c>
      <c r="K218" s="60">
        <v>421</v>
      </c>
      <c r="L218" s="60">
        <v>716</v>
      </c>
      <c r="M218" s="60">
        <v>243</v>
      </c>
    </row>
    <row r="219" spans="1:13" ht="15" customHeight="1" x14ac:dyDescent="0.35">
      <c r="A219" s="73" t="s">
        <v>2472</v>
      </c>
      <c r="B219" s="60">
        <v>305</v>
      </c>
      <c r="C219" s="60">
        <v>284</v>
      </c>
      <c r="D219" s="60" t="s">
        <v>2309</v>
      </c>
      <c r="E219" s="60" t="s">
        <v>2309</v>
      </c>
      <c r="F219" s="60" t="s">
        <v>2309</v>
      </c>
      <c r="G219" s="60" t="s">
        <v>2309</v>
      </c>
      <c r="H219" s="60">
        <v>1579</v>
      </c>
      <c r="I219" s="60">
        <v>1389</v>
      </c>
      <c r="J219" s="60" t="s">
        <v>2309</v>
      </c>
      <c r="K219" s="60" t="s">
        <v>2309</v>
      </c>
      <c r="L219" s="60" t="s">
        <v>2309</v>
      </c>
      <c r="M219" s="60" t="s">
        <v>2309</v>
      </c>
    </row>
    <row r="220" spans="1:13" ht="34" customHeight="1" x14ac:dyDescent="0.35">
      <c r="A220" s="71" t="s">
        <v>2473</v>
      </c>
      <c r="B220" s="84" t="s">
        <v>27</v>
      </c>
      <c r="C220" s="84" t="s">
        <v>27</v>
      </c>
      <c r="D220" s="84" t="s">
        <v>27</v>
      </c>
      <c r="E220" s="84" t="s">
        <v>27</v>
      </c>
      <c r="F220" s="84" t="s">
        <v>27</v>
      </c>
      <c r="G220" s="84" t="s">
        <v>27</v>
      </c>
      <c r="H220" s="84" t="s">
        <v>27</v>
      </c>
      <c r="I220" s="84" t="s">
        <v>27</v>
      </c>
      <c r="J220" s="84" t="s">
        <v>27</v>
      </c>
      <c r="K220" s="84" t="s">
        <v>27</v>
      </c>
      <c r="L220" s="84" t="s">
        <v>27</v>
      </c>
      <c r="M220" s="84" t="s">
        <v>27</v>
      </c>
    </row>
    <row r="221" spans="1:13" ht="15" customHeight="1" x14ac:dyDescent="0.35">
      <c r="A221" s="61" t="s">
        <v>2478</v>
      </c>
      <c r="B221" s="60">
        <v>2187</v>
      </c>
      <c r="C221" s="60">
        <v>1558</v>
      </c>
      <c r="D221" s="60">
        <v>454</v>
      </c>
      <c r="E221" s="60">
        <v>124</v>
      </c>
      <c r="F221" s="60">
        <v>47</v>
      </c>
      <c r="G221" s="60">
        <v>4</v>
      </c>
      <c r="H221" s="60">
        <v>48113</v>
      </c>
      <c r="I221" s="60">
        <v>24350</v>
      </c>
      <c r="J221" s="60">
        <v>11670</v>
      </c>
      <c r="K221" s="60">
        <v>5249</v>
      </c>
      <c r="L221" s="60">
        <v>4813</v>
      </c>
      <c r="M221" s="60">
        <v>2031</v>
      </c>
    </row>
    <row r="222" spans="1:13" ht="15" customHeight="1" x14ac:dyDescent="0.35">
      <c r="A222" s="61" t="s">
        <v>2475</v>
      </c>
      <c r="B222" s="60">
        <v>1621</v>
      </c>
      <c r="C222" s="60">
        <v>984</v>
      </c>
      <c r="D222" s="60">
        <v>503</v>
      </c>
      <c r="E222" s="60">
        <v>124</v>
      </c>
      <c r="F222" s="60">
        <v>10</v>
      </c>
      <c r="G222" s="60" t="s">
        <v>2309</v>
      </c>
      <c r="H222" s="60">
        <v>17449</v>
      </c>
      <c r="I222" s="60">
        <v>9673</v>
      </c>
      <c r="J222" s="60">
        <v>5323</v>
      </c>
      <c r="K222" s="60">
        <v>1748</v>
      </c>
      <c r="L222" s="60">
        <v>635</v>
      </c>
      <c r="M222" s="60" t="s">
        <v>2309</v>
      </c>
    </row>
    <row r="223" spans="1:13" ht="15" customHeight="1" x14ac:dyDescent="0.35">
      <c r="A223" s="61" t="s">
        <v>2476</v>
      </c>
      <c r="B223" s="60">
        <v>1246</v>
      </c>
      <c r="C223" s="60">
        <v>835</v>
      </c>
      <c r="D223" s="60">
        <v>308</v>
      </c>
      <c r="E223" s="60">
        <v>69</v>
      </c>
      <c r="F223" s="60">
        <v>33</v>
      </c>
      <c r="G223" s="60">
        <v>2</v>
      </c>
      <c r="H223" s="60">
        <v>21143</v>
      </c>
      <c r="I223" s="60">
        <v>9344</v>
      </c>
      <c r="J223" s="60">
        <v>6038</v>
      </c>
      <c r="K223" s="60">
        <v>2301</v>
      </c>
      <c r="L223" s="60">
        <v>2259</v>
      </c>
      <c r="M223" s="60">
        <v>1200</v>
      </c>
    </row>
    <row r="224" spans="1:13" ht="15" customHeight="1" x14ac:dyDescent="0.35">
      <c r="A224" s="61" t="s">
        <v>2477</v>
      </c>
      <c r="B224" s="60">
        <v>703</v>
      </c>
      <c r="C224" s="60">
        <v>280</v>
      </c>
      <c r="D224" s="60">
        <v>231</v>
      </c>
      <c r="E224" s="60">
        <v>118</v>
      </c>
      <c r="F224" s="60">
        <v>65</v>
      </c>
      <c r="G224" s="60">
        <v>8</v>
      </c>
      <c r="H224" s="60">
        <v>28902</v>
      </c>
      <c r="I224" s="60">
        <v>6303</v>
      </c>
      <c r="J224" s="60">
        <v>7809</v>
      </c>
      <c r="K224" s="60">
        <v>4912</v>
      </c>
      <c r="L224" s="60">
        <v>6941</v>
      </c>
      <c r="M224" s="60">
        <v>2937</v>
      </c>
    </row>
    <row r="225" spans="1:13" ht="15" customHeight="1" x14ac:dyDescent="0.35">
      <c r="A225" s="61" t="s">
        <v>2474</v>
      </c>
      <c r="B225" s="60">
        <v>673</v>
      </c>
      <c r="C225" s="60">
        <v>440</v>
      </c>
      <c r="D225" s="60">
        <v>153</v>
      </c>
      <c r="E225" s="60">
        <v>56</v>
      </c>
      <c r="F225" s="60">
        <v>21</v>
      </c>
      <c r="G225" s="60">
        <v>4</v>
      </c>
      <c r="H225" s="60">
        <v>15146</v>
      </c>
      <c r="I225" s="60">
        <v>6332</v>
      </c>
      <c r="J225" s="60">
        <v>3419</v>
      </c>
      <c r="K225" s="60">
        <v>1914</v>
      </c>
      <c r="L225" s="60">
        <v>1988</v>
      </c>
      <c r="M225" s="60">
        <v>1494</v>
      </c>
    </row>
    <row r="226" spans="1:13" ht="15" customHeight="1" x14ac:dyDescent="0.35">
      <c r="A226" s="61" t="s">
        <v>2444</v>
      </c>
      <c r="B226" s="60">
        <v>83</v>
      </c>
      <c r="C226" s="60">
        <v>19</v>
      </c>
      <c r="D226" s="60">
        <v>23</v>
      </c>
      <c r="E226" s="60">
        <v>12</v>
      </c>
      <c r="F226" s="60">
        <v>25</v>
      </c>
      <c r="G226" s="60">
        <v>4</v>
      </c>
      <c r="H226" s="60">
        <v>6552</v>
      </c>
      <c r="I226" s="60">
        <v>285</v>
      </c>
      <c r="J226" s="60">
        <v>579</v>
      </c>
      <c r="K226" s="60">
        <v>765</v>
      </c>
      <c r="L226" s="60">
        <v>2922</v>
      </c>
      <c r="M226" s="60">
        <v>2001</v>
      </c>
    </row>
    <row r="227" spans="1:13" ht="15" customHeight="1" x14ac:dyDescent="0.35">
      <c r="A227" s="61" t="s">
        <v>2837</v>
      </c>
      <c r="B227" s="60">
        <v>134</v>
      </c>
      <c r="C227" s="60">
        <v>83</v>
      </c>
      <c r="D227" s="60">
        <v>28</v>
      </c>
      <c r="E227" s="60">
        <v>10</v>
      </c>
      <c r="F227" s="60">
        <v>11</v>
      </c>
      <c r="G227" s="60">
        <v>3</v>
      </c>
      <c r="H227" s="60">
        <v>7466</v>
      </c>
      <c r="I227" s="60">
        <v>2027</v>
      </c>
      <c r="J227" s="60">
        <v>1130</v>
      </c>
      <c r="K227" s="60">
        <v>975</v>
      </c>
      <c r="L227" s="60">
        <v>1981</v>
      </c>
      <c r="M227" s="60">
        <v>1353</v>
      </c>
    </row>
    <row r="228" spans="1:13" ht="15" customHeight="1" x14ac:dyDescent="0.35">
      <c r="A228" s="61" t="s">
        <v>2380</v>
      </c>
      <c r="B228" s="60">
        <v>17</v>
      </c>
      <c r="C228" s="60">
        <v>10</v>
      </c>
      <c r="D228" s="60" t="s">
        <v>2309</v>
      </c>
      <c r="E228" s="60" t="s">
        <v>2309</v>
      </c>
      <c r="F228" s="60" t="s">
        <v>2309</v>
      </c>
      <c r="G228" s="60" t="s">
        <v>2309</v>
      </c>
      <c r="H228" s="60">
        <v>821</v>
      </c>
      <c r="I228" s="60">
        <v>522</v>
      </c>
      <c r="J228" s="60" t="s">
        <v>2309</v>
      </c>
      <c r="K228" s="60" t="s">
        <v>2309</v>
      </c>
      <c r="L228" s="60" t="s">
        <v>2309</v>
      </c>
      <c r="M228" s="60" t="s">
        <v>2309</v>
      </c>
    </row>
    <row r="229" spans="1:13" ht="34" customHeight="1" x14ac:dyDescent="0.35">
      <c r="A229" s="71" t="s">
        <v>2479</v>
      </c>
      <c r="B229" s="84" t="s">
        <v>27</v>
      </c>
      <c r="C229" s="84" t="s">
        <v>27</v>
      </c>
      <c r="D229" s="84" t="s">
        <v>27</v>
      </c>
      <c r="E229" s="84" t="s">
        <v>27</v>
      </c>
      <c r="F229" s="84" t="s">
        <v>27</v>
      </c>
      <c r="G229" s="84" t="s">
        <v>27</v>
      </c>
      <c r="H229" s="84" t="s">
        <v>27</v>
      </c>
      <c r="I229" s="84" t="s">
        <v>27</v>
      </c>
      <c r="J229" s="84" t="s">
        <v>27</v>
      </c>
      <c r="K229" s="84" t="s">
        <v>27</v>
      </c>
      <c r="L229" s="84" t="s">
        <v>27</v>
      </c>
      <c r="M229" s="84" t="s">
        <v>27</v>
      </c>
    </row>
    <row r="230" spans="1:13" ht="15" customHeight="1" x14ac:dyDescent="0.35">
      <c r="A230" s="61" t="s">
        <v>2836</v>
      </c>
      <c r="B230" s="60">
        <v>2565</v>
      </c>
      <c r="C230" s="60">
        <v>1780</v>
      </c>
      <c r="D230" s="60">
        <v>557</v>
      </c>
      <c r="E230" s="60">
        <v>153</v>
      </c>
      <c r="F230" s="60">
        <v>69</v>
      </c>
      <c r="G230" s="60">
        <v>6</v>
      </c>
      <c r="H230" s="60">
        <v>56416</v>
      </c>
      <c r="I230" s="60">
        <v>27075</v>
      </c>
      <c r="J230" s="60">
        <v>14388</v>
      </c>
      <c r="K230" s="60">
        <v>6241</v>
      </c>
      <c r="L230" s="60">
        <v>6328</v>
      </c>
      <c r="M230" s="60">
        <v>2384</v>
      </c>
    </row>
    <row r="231" spans="1:13" ht="28" customHeight="1" x14ac:dyDescent="0.35">
      <c r="A231" s="61" t="s">
        <v>2480</v>
      </c>
      <c r="B231" s="60">
        <v>1309</v>
      </c>
      <c r="C231" s="60">
        <v>742</v>
      </c>
      <c r="D231" s="60">
        <v>424</v>
      </c>
      <c r="E231" s="60">
        <v>116</v>
      </c>
      <c r="F231" s="60">
        <v>26</v>
      </c>
      <c r="G231" s="60">
        <v>2</v>
      </c>
      <c r="H231" s="60">
        <v>18437</v>
      </c>
      <c r="I231" s="60">
        <v>7738</v>
      </c>
      <c r="J231" s="60">
        <v>5526</v>
      </c>
      <c r="K231" s="60">
        <v>2139</v>
      </c>
      <c r="L231" s="60">
        <v>2258</v>
      </c>
      <c r="M231" s="60">
        <v>776</v>
      </c>
    </row>
    <row r="232" spans="1:13" ht="15" customHeight="1" x14ac:dyDescent="0.35">
      <c r="A232" s="61" t="s">
        <v>2481</v>
      </c>
      <c r="B232" s="60">
        <v>735</v>
      </c>
      <c r="C232" s="60">
        <v>402</v>
      </c>
      <c r="D232" s="60">
        <v>209</v>
      </c>
      <c r="E232" s="60">
        <v>80</v>
      </c>
      <c r="F232" s="60">
        <v>41</v>
      </c>
      <c r="G232" s="60">
        <v>3</v>
      </c>
      <c r="H232" s="60">
        <v>13767</v>
      </c>
      <c r="I232" s="60">
        <v>4483</v>
      </c>
      <c r="J232" s="60">
        <v>3606</v>
      </c>
      <c r="K232" s="60">
        <v>2063</v>
      </c>
      <c r="L232" s="60">
        <v>2779</v>
      </c>
      <c r="M232" s="60">
        <v>836</v>
      </c>
    </row>
    <row r="233" spans="1:13" ht="15" customHeight="1" x14ac:dyDescent="0.35">
      <c r="A233" s="61" t="s">
        <v>2482</v>
      </c>
      <c r="B233" s="60">
        <v>202</v>
      </c>
      <c r="C233" s="60">
        <v>72</v>
      </c>
      <c r="D233" s="60">
        <v>55</v>
      </c>
      <c r="E233" s="60">
        <v>34</v>
      </c>
      <c r="F233" s="60">
        <v>31</v>
      </c>
      <c r="G233" s="60">
        <v>10</v>
      </c>
      <c r="H233" s="60">
        <v>17910</v>
      </c>
      <c r="I233" s="60">
        <v>2462</v>
      </c>
      <c r="J233" s="60">
        <v>3860</v>
      </c>
      <c r="K233" s="60">
        <v>2588</v>
      </c>
      <c r="L233" s="60">
        <v>4979</v>
      </c>
      <c r="M233" s="60">
        <v>4020</v>
      </c>
    </row>
    <row r="234" spans="1:13" ht="15" customHeight="1" x14ac:dyDescent="0.35">
      <c r="A234" s="61" t="s">
        <v>2474</v>
      </c>
      <c r="B234" s="60">
        <v>492</v>
      </c>
      <c r="C234" s="60">
        <v>311</v>
      </c>
      <c r="D234" s="60">
        <v>127</v>
      </c>
      <c r="E234" s="60">
        <v>32</v>
      </c>
      <c r="F234" s="60">
        <v>19</v>
      </c>
      <c r="G234" s="60">
        <v>4</v>
      </c>
      <c r="H234" s="60">
        <v>11138</v>
      </c>
      <c r="I234" s="60">
        <v>3688</v>
      </c>
      <c r="J234" s="60">
        <v>2610</v>
      </c>
      <c r="K234" s="60">
        <v>1243</v>
      </c>
      <c r="L234" s="60">
        <v>2101</v>
      </c>
      <c r="M234" s="60">
        <v>1497</v>
      </c>
    </row>
    <row r="235" spans="1:13" ht="15" customHeight="1" x14ac:dyDescent="0.35">
      <c r="A235" s="61" t="s">
        <v>2445</v>
      </c>
      <c r="B235" s="60">
        <v>55</v>
      </c>
      <c r="C235" s="60">
        <v>22</v>
      </c>
      <c r="D235" s="60">
        <v>7</v>
      </c>
      <c r="E235" s="60">
        <v>9</v>
      </c>
      <c r="F235" s="60">
        <v>16</v>
      </c>
      <c r="G235" s="60">
        <v>1</v>
      </c>
      <c r="H235" s="60">
        <v>4288</v>
      </c>
      <c r="I235" s="60">
        <v>298</v>
      </c>
      <c r="J235" s="60">
        <v>311</v>
      </c>
      <c r="K235" s="60">
        <v>622</v>
      </c>
      <c r="L235" s="60">
        <v>2401</v>
      </c>
      <c r="M235" s="60">
        <v>657</v>
      </c>
    </row>
    <row r="236" spans="1:13" ht="15" customHeight="1" x14ac:dyDescent="0.35">
      <c r="A236" s="61" t="s">
        <v>2484</v>
      </c>
      <c r="B236" s="60">
        <v>85</v>
      </c>
      <c r="C236" s="60">
        <v>63</v>
      </c>
      <c r="D236" s="60">
        <v>15</v>
      </c>
      <c r="E236" s="60" t="s">
        <v>2309</v>
      </c>
      <c r="F236" s="60">
        <v>3</v>
      </c>
      <c r="G236" s="60">
        <v>1</v>
      </c>
      <c r="H236" s="60">
        <v>2070</v>
      </c>
      <c r="I236" s="60">
        <v>868</v>
      </c>
      <c r="J236" s="60">
        <v>411</v>
      </c>
      <c r="K236" s="60" t="s">
        <v>2309</v>
      </c>
      <c r="L236" s="60">
        <v>375</v>
      </c>
      <c r="M236" s="60">
        <v>210</v>
      </c>
    </row>
    <row r="237" spans="1:13" ht="15" customHeight="1" x14ac:dyDescent="0.35">
      <c r="A237" s="61" t="s">
        <v>2380</v>
      </c>
      <c r="B237" s="60" t="s">
        <v>2309</v>
      </c>
      <c r="C237" s="60" t="s">
        <v>2309</v>
      </c>
      <c r="D237" s="60" t="s">
        <v>2309</v>
      </c>
      <c r="E237" s="60" t="s">
        <v>2309</v>
      </c>
      <c r="F237" s="60" t="s">
        <v>2309</v>
      </c>
      <c r="G237" s="60" t="s">
        <v>2309</v>
      </c>
      <c r="H237" s="60" t="s">
        <v>2309</v>
      </c>
      <c r="I237" s="60" t="s">
        <v>2309</v>
      </c>
      <c r="J237" s="60" t="s">
        <v>2309</v>
      </c>
      <c r="K237" s="60" t="s">
        <v>2309</v>
      </c>
      <c r="L237" s="60" t="s">
        <v>2309</v>
      </c>
      <c r="M237" s="60" t="s">
        <v>2309</v>
      </c>
    </row>
    <row r="238" spans="1:13" ht="34" customHeight="1" x14ac:dyDescent="0.35">
      <c r="A238" s="71" t="s">
        <v>2835</v>
      </c>
      <c r="B238" s="84" t="s">
        <v>27</v>
      </c>
      <c r="C238" s="84" t="s">
        <v>27</v>
      </c>
      <c r="D238" s="84" t="s">
        <v>27</v>
      </c>
      <c r="E238" s="84" t="s">
        <v>27</v>
      </c>
      <c r="F238" s="84" t="s">
        <v>27</v>
      </c>
      <c r="G238" s="84" t="s">
        <v>27</v>
      </c>
      <c r="H238" s="84" t="s">
        <v>27</v>
      </c>
      <c r="I238" s="84" t="s">
        <v>27</v>
      </c>
      <c r="J238" s="84" t="s">
        <v>27</v>
      </c>
      <c r="K238" s="84" t="s">
        <v>27</v>
      </c>
      <c r="L238" s="84" t="s">
        <v>27</v>
      </c>
      <c r="M238" s="84" t="s">
        <v>27</v>
      </c>
    </row>
    <row r="239" spans="1:13" ht="15" customHeight="1" x14ac:dyDescent="0.35">
      <c r="A239" s="61" t="s">
        <v>2540</v>
      </c>
      <c r="B239" s="60">
        <v>747</v>
      </c>
      <c r="C239" s="60">
        <v>415</v>
      </c>
      <c r="D239" s="60">
        <v>193</v>
      </c>
      <c r="E239" s="60">
        <v>73</v>
      </c>
      <c r="F239" s="60">
        <v>57</v>
      </c>
      <c r="G239" s="60">
        <v>9</v>
      </c>
      <c r="H239" s="60">
        <v>34219</v>
      </c>
      <c r="I239" s="60">
        <v>9677</v>
      </c>
      <c r="J239" s="60">
        <v>7835</v>
      </c>
      <c r="K239" s="60">
        <v>4252</v>
      </c>
      <c r="L239" s="60">
        <v>8019</v>
      </c>
      <c r="M239" s="60">
        <v>4435</v>
      </c>
    </row>
    <row r="240" spans="1:13" ht="15" customHeight="1" x14ac:dyDescent="0.35">
      <c r="A240" s="61" t="s">
        <v>2834</v>
      </c>
      <c r="B240" s="60">
        <v>698</v>
      </c>
      <c r="C240" s="60">
        <v>411</v>
      </c>
      <c r="D240" s="60">
        <v>164</v>
      </c>
      <c r="E240" s="60">
        <v>64</v>
      </c>
      <c r="F240" s="60">
        <v>50</v>
      </c>
      <c r="G240" s="60">
        <v>9</v>
      </c>
      <c r="H240" s="60">
        <v>29172</v>
      </c>
      <c r="I240" s="60">
        <v>6603</v>
      </c>
      <c r="J240" s="60">
        <v>6491</v>
      </c>
      <c r="K240" s="60">
        <v>4135</v>
      </c>
      <c r="L240" s="60">
        <v>7494</v>
      </c>
      <c r="M240" s="60">
        <v>4449</v>
      </c>
    </row>
    <row r="241" spans="1:13" ht="15" customHeight="1" x14ac:dyDescent="0.35">
      <c r="A241" s="61" t="s">
        <v>2833</v>
      </c>
      <c r="B241" s="60">
        <v>249</v>
      </c>
      <c r="C241" s="60">
        <v>152</v>
      </c>
      <c r="D241" s="60">
        <v>55</v>
      </c>
      <c r="E241" s="60">
        <v>18</v>
      </c>
      <c r="F241" s="60">
        <v>20</v>
      </c>
      <c r="G241" s="60">
        <v>3</v>
      </c>
      <c r="H241" s="60">
        <v>9027</v>
      </c>
      <c r="I241" s="60">
        <v>2166</v>
      </c>
      <c r="J241" s="60">
        <v>1593</v>
      </c>
      <c r="K241" s="60">
        <v>1170</v>
      </c>
      <c r="L241" s="60">
        <v>2569</v>
      </c>
      <c r="M241" s="60">
        <v>1529</v>
      </c>
    </row>
    <row r="242" spans="1:13" ht="15" customHeight="1" x14ac:dyDescent="0.35">
      <c r="A242" s="61" t="s">
        <v>2832</v>
      </c>
      <c r="B242" s="60">
        <v>349</v>
      </c>
      <c r="C242" s="60">
        <v>213</v>
      </c>
      <c r="D242" s="60">
        <v>94</v>
      </c>
      <c r="E242" s="60">
        <v>21</v>
      </c>
      <c r="F242" s="60">
        <v>17</v>
      </c>
      <c r="G242" s="60">
        <v>3</v>
      </c>
      <c r="H242" s="60">
        <v>10652</v>
      </c>
      <c r="I242" s="60">
        <v>3721</v>
      </c>
      <c r="J242" s="60">
        <v>2580</v>
      </c>
      <c r="K242" s="60">
        <v>1259</v>
      </c>
      <c r="L242" s="60">
        <v>1857</v>
      </c>
      <c r="M242" s="60">
        <v>1234</v>
      </c>
    </row>
    <row r="243" spans="1:13" ht="15" customHeight="1" x14ac:dyDescent="0.35">
      <c r="A243" s="61" t="s">
        <v>2541</v>
      </c>
      <c r="B243" s="60">
        <v>3554</v>
      </c>
      <c r="C243" s="60">
        <v>2273</v>
      </c>
      <c r="D243" s="60">
        <v>889</v>
      </c>
      <c r="E243" s="60">
        <v>251</v>
      </c>
      <c r="F243" s="60">
        <v>125</v>
      </c>
      <c r="G243" s="60">
        <v>16</v>
      </c>
      <c r="H243" s="60">
        <v>78343</v>
      </c>
      <c r="I243" s="60">
        <v>32042</v>
      </c>
      <c r="J243" s="60">
        <v>18806</v>
      </c>
      <c r="K243" s="60">
        <v>9082</v>
      </c>
      <c r="L243" s="60">
        <v>12440</v>
      </c>
      <c r="M243" s="60">
        <v>5973</v>
      </c>
    </row>
    <row r="244" spans="1:13" ht="28.5" customHeight="1" x14ac:dyDescent="0.35">
      <c r="A244" s="61" t="s">
        <v>2831</v>
      </c>
      <c r="B244" s="60">
        <v>933</v>
      </c>
      <c r="C244" s="60">
        <v>529</v>
      </c>
      <c r="D244" s="60">
        <v>239</v>
      </c>
      <c r="E244" s="60">
        <v>82</v>
      </c>
      <c r="F244" s="60">
        <v>72</v>
      </c>
      <c r="G244" s="60">
        <v>12</v>
      </c>
      <c r="H244" s="60">
        <v>40697</v>
      </c>
      <c r="I244" s="60">
        <v>12027</v>
      </c>
      <c r="J244" s="60">
        <v>9082</v>
      </c>
      <c r="K244" s="60">
        <v>5133</v>
      </c>
      <c r="L244" s="60">
        <v>9264</v>
      </c>
      <c r="M244" s="60">
        <v>5191</v>
      </c>
    </row>
    <row r="245" spans="1:13" ht="25.5" customHeight="1" x14ac:dyDescent="0.35">
      <c r="A245" s="61" t="s">
        <v>2830</v>
      </c>
      <c r="B245" s="60">
        <v>325</v>
      </c>
      <c r="C245" s="60">
        <v>206</v>
      </c>
      <c r="D245" s="60">
        <v>92</v>
      </c>
      <c r="E245" s="60">
        <v>21</v>
      </c>
      <c r="F245" s="60">
        <v>6</v>
      </c>
      <c r="G245" s="60" t="s">
        <v>2309</v>
      </c>
      <c r="H245" s="60">
        <v>6017</v>
      </c>
      <c r="I245" s="60">
        <v>2601</v>
      </c>
      <c r="J245" s="60">
        <v>1807</v>
      </c>
      <c r="K245" s="60">
        <v>604</v>
      </c>
      <c r="L245" s="60">
        <v>647</v>
      </c>
      <c r="M245" s="60" t="s">
        <v>2309</v>
      </c>
    </row>
    <row r="246" spans="1:13" ht="15" customHeight="1" x14ac:dyDescent="0.35">
      <c r="A246" s="61" t="s">
        <v>2829</v>
      </c>
      <c r="B246" s="60">
        <v>1545</v>
      </c>
      <c r="C246" s="60">
        <v>1002</v>
      </c>
      <c r="D246" s="60">
        <v>434</v>
      </c>
      <c r="E246" s="60">
        <v>88</v>
      </c>
      <c r="F246" s="60">
        <v>20</v>
      </c>
      <c r="G246" s="60" t="s">
        <v>2309</v>
      </c>
      <c r="H246" s="60">
        <v>20937</v>
      </c>
      <c r="I246" s="60">
        <v>11549</v>
      </c>
      <c r="J246" s="60">
        <v>6316</v>
      </c>
      <c r="K246" s="60">
        <v>1935</v>
      </c>
      <c r="L246" s="60">
        <v>1008</v>
      </c>
      <c r="M246" s="60" t="s">
        <v>2309</v>
      </c>
    </row>
    <row r="247" spans="1:13" ht="34" customHeight="1" x14ac:dyDescent="0.35">
      <c r="A247" s="71" t="s">
        <v>2828</v>
      </c>
      <c r="B247" s="84" t="s">
        <v>27</v>
      </c>
      <c r="C247" s="84" t="s">
        <v>27</v>
      </c>
      <c r="D247" s="84" t="s">
        <v>27</v>
      </c>
      <c r="E247" s="84" t="s">
        <v>27</v>
      </c>
      <c r="F247" s="84" t="s">
        <v>27</v>
      </c>
      <c r="G247" s="84" t="s">
        <v>27</v>
      </c>
      <c r="H247" s="84" t="s">
        <v>27</v>
      </c>
      <c r="I247" s="84" t="s">
        <v>27</v>
      </c>
      <c r="J247" s="84" t="s">
        <v>27</v>
      </c>
      <c r="K247" s="84" t="s">
        <v>27</v>
      </c>
      <c r="L247" s="84" t="s">
        <v>27</v>
      </c>
      <c r="M247" s="84" t="s">
        <v>27</v>
      </c>
    </row>
    <row r="248" spans="1:13" ht="15" customHeight="1" x14ac:dyDescent="0.35">
      <c r="A248" s="61" t="s">
        <v>2486</v>
      </c>
      <c r="B248" s="60">
        <v>1937</v>
      </c>
      <c r="C248" s="60">
        <v>1251</v>
      </c>
      <c r="D248" s="60">
        <v>469</v>
      </c>
      <c r="E248" s="60">
        <v>170</v>
      </c>
      <c r="F248" s="60">
        <v>41</v>
      </c>
      <c r="G248" s="60">
        <v>6</v>
      </c>
      <c r="H248" s="60">
        <v>32688</v>
      </c>
      <c r="I248" s="60">
        <v>14348</v>
      </c>
      <c r="J248" s="60">
        <v>8698</v>
      </c>
      <c r="K248" s="60">
        <v>4258</v>
      </c>
      <c r="L248" s="60">
        <v>3666</v>
      </c>
      <c r="M248" s="60">
        <v>1718</v>
      </c>
    </row>
    <row r="249" spans="1:13" ht="15" customHeight="1" x14ac:dyDescent="0.35">
      <c r="A249" s="61" t="s">
        <v>2487</v>
      </c>
      <c r="B249" s="60">
        <v>1269</v>
      </c>
      <c r="C249" s="60">
        <v>668</v>
      </c>
      <c r="D249" s="60">
        <v>424</v>
      </c>
      <c r="E249" s="60">
        <v>131</v>
      </c>
      <c r="F249" s="60">
        <v>40</v>
      </c>
      <c r="G249" s="60">
        <v>6</v>
      </c>
      <c r="H249" s="60">
        <v>23084</v>
      </c>
      <c r="I249" s="60">
        <v>6995</v>
      </c>
      <c r="J249" s="60">
        <v>6851</v>
      </c>
      <c r="K249" s="60">
        <v>2954</v>
      </c>
      <c r="L249" s="60">
        <v>3748</v>
      </c>
      <c r="M249" s="60">
        <v>2537</v>
      </c>
    </row>
    <row r="250" spans="1:13" ht="24" customHeight="1" x14ac:dyDescent="0.35">
      <c r="A250" s="71" t="s">
        <v>2488</v>
      </c>
      <c r="B250" s="84" t="s">
        <v>27</v>
      </c>
      <c r="C250" s="84" t="s">
        <v>27</v>
      </c>
      <c r="D250" s="84" t="s">
        <v>27</v>
      </c>
      <c r="E250" s="84" t="s">
        <v>27</v>
      </c>
      <c r="F250" s="84" t="s">
        <v>27</v>
      </c>
      <c r="G250" s="84" t="s">
        <v>27</v>
      </c>
      <c r="H250" s="84" t="s">
        <v>27</v>
      </c>
      <c r="I250" s="84" t="s">
        <v>27</v>
      </c>
      <c r="J250" s="84" t="s">
        <v>27</v>
      </c>
      <c r="K250" s="84" t="s">
        <v>27</v>
      </c>
      <c r="L250" s="84" t="s">
        <v>27</v>
      </c>
      <c r="M250" s="84" t="s">
        <v>27</v>
      </c>
    </row>
    <row r="251" spans="1:13" ht="15" customHeight="1" x14ac:dyDescent="0.35">
      <c r="A251" s="61" t="s">
        <v>2489</v>
      </c>
      <c r="B251" s="60">
        <v>3538</v>
      </c>
      <c r="C251" s="60">
        <v>2161</v>
      </c>
      <c r="D251" s="60">
        <v>990</v>
      </c>
      <c r="E251" s="60">
        <v>269</v>
      </c>
      <c r="F251" s="60">
        <v>107</v>
      </c>
      <c r="G251" s="60">
        <v>10</v>
      </c>
      <c r="H251" s="60">
        <v>59621</v>
      </c>
      <c r="I251" s="60">
        <v>24423</v>
      </c>
      <c r="J251" s="60">
        <v>16338</v>
      </c>
      <c r="K251" s="60">
        <v>6825</v>
      </c>
      <c r="L251" s="60">
        <v>8527</v>
      </c>
      <c r="M251" s="60">
        <v>3508</v>
      </c>
    </row>
    <row r="252" spans="1:13" ht="15" customHeight="1" x14ac:dyDescent="0.35">
      <c r="A252" s="61" t="s">
        <v>2490</v>
      </c>
      <c r="B252" s="60">
        <v>782</v>
      </c>
      <c r="C252" s="60">
        <v>597</v>
      </c>
      <c r="D252" s="60">
        <v>134</v>
      </c>
      <c r="E252" s="60">
        <v>38</v>
      </c>
      <c r="F252" s="60">
        <v>11</v>
      </c>
      <c r="G252" s="60">
        <v>2</v>
      </c>
      <c r="H252" s="60">
        <v>14326</v>
      </c>
      <c r="I252" s="60">
        <v>8317</v>
      </c>
      <c r="J252" s="60">
        <v>2782</v>
      </c>
      <c r="K252" s="60">
        <v>1281</v>
      </c>
      <c r="L252" s="60">
        <v>1167</v>
      </c>
      <c r="M252" s="60">
        <v>778</v>
      </c>
    </row>
    <row r="253" spans="1:13" ht="28" customHeight="1" x14ac:dyDescent="0.35">
      <c r="A253" s="61" t="s">
        <v>2491</v>
      </c>
      <c r="B253" s="60">
        <v>274</v>
      </c>
      <c r="C253" s="60">
        <v>154</v>
      </c>
      <c r="D253" s="60">
        <v>68</v>
      </c>
      <c r="E253" s="60">
        <v>33</v>
      </c>
      <c r="F253" s="60">
        <v>16</v>
      </c>
      <c r="G253" s="60">
        <v>4</v>
      </c>
      <c r="H253" s="60">
        <v>14129</v>
      </c>
      <c r="I253" s="60">
        <v>4382</v>
      </c>
      <c r="J253" s="60">
        <v>3022</v>
      </c>
      <c r="K253" s="60">
        <v>1883</v>
      </c>
      <c r="L253" s="60">
        <v>3151</v>
      </c>
      <c r="M253" s="60">
        <v>1691</v>
      </c>
    </row>
    <row r="254" spans="1:13" ht="34" customHeight="1" x14ac:dyDescent="0.35">
      <c r="A254" s="83" t="s">
        <v>2863</v>
      </c>
      <c r="B254" s="60" t="s">
        <v>27</v>
      </c>
      <c r="C254" s="60" t="s">
        <v>27</v>
      </c>
      <c r="D254" s="60" t="s">
        <v>27</v>
      </c>
      <c r="E254" s="60" t="s">
        <v>27</v>
      </c>
      <c r="F254" s="60" t="s">
        <v>27</v>
      </c>
      <c r="G254" s="60" t="s">
        <v>27</v>
      </c>
      <c r="H254" s="60" t="s">
        <v>27</v>
      </c>
      <c r="I254" s="60" t="s">
        <v>27</v>
      </c>
      <c r="J254" s="60" t="s">
        <v>27</v>
      </c>
      <c r="K254" s="60" t="s">
        <v>27</v>
      </c>
      <c r="L254" s="60" t="s">
        <v>27</v>
      </c>
      <c r="M254" s="60" t="s">
        <v>27</v>
      </c>
    </row>
    <row r="255" spans="1:13" ht="15" customHeight="1" x14ac:dyDescent="0.35">
      <c r="A255" s="61" t="s">
        <v>2862</v>
      </c>
      <c r="B255" s="60">
        <v>578</v>
      </c>
      <c r="C255" s="60">
        <v>354</v>
      </c>
      <c r="D255" s="60">
        <v>137</v>
      </c>
      <c r="E255" s="60">
        <v>39</v>
      </c>
      <c r="F255" s="60">
        <v>40</v>
      </c>
      <c r="G255" s="60">
        <v>9</v>
      </c>
      <c r="H255" s="60">
        <v>24861</v>
      </c>
      <c r="I255" s="60">
        <v>6727</v>
      </c>
      <c r="J255" s="60">
        <v>5015</v>
      </c>
      <c r="K255" s="60">
        <v>2773</v>
      </c>
      <c r="L255" s="60">
        <v>6359</v>
      </c>
      <c r="M255" s="60">
        <v>3986</v>
      </c>
    </row>
    <row r="256" spans="1:13" ht="15" customHeight="1" x14ac:dyDescent="0.35">
      <c r="A256" s="61" t="s">
        <v>2825</v>
      </c>
      <c r="B256" s="60">
        <v>94</v>
      </c>
      <c r="C256" s="60">
        <v>61</v>
      </c>
      <c r="D256" s="60">
        <v>19</v>
      </c>
      <c r="E256" s="60">
        <v>7</v>
      </c>
      <c r="F256" s="60" t="s">
        <v>2309</v>
      </c>
      <c r="G256" s="60" t="s">
        <v>2309</v>
      </c>
      <c r="H256" s="60">
        <v>3745</v>
      </c>
      <c r="I256" s="60">
        <v>1334</v>
      </c>
      <c r="J256" s="60">
        <v>860</v>
      </c>
      <c r="K256" s="60">
        <v>402</v>
      </c>
      <c r="L256" s="60">
        <v>814</v>
      </c>
      <c r="M256" s="60" t="s">
        <v>2309</v>
      </c>
    </row>
    <row r="257" spans="1:13" ht="15" customHeight="1" x14ac:dyDescent="0.35">
      <c r="A257" s="61" t="s">
        <v>2824</v>
      </c>
      <c r="B257" s="60">
        <v>43</v>
      </c>
      <c r="C257" s="60">
        <v>22</v>
      </c>
      <c r="D257" s="60">
        <v>10</v>
      </c>
      <c r="E257" s="60" t="s">
        <v>2309</v>
      </c>
      <c r="F257" s="60" t="s">
        <v>2309</v>
      </c>
      <c r="G257" s="60" t="s">
        <v>2309</v>
      </c>
      <c r="H257" s="60">
        <v>2040</v>
      </c>
      <c r="I257" s="60">
        <v>608</v>
      </c>
      <c r="J257" s="60">
        <v>485</v>
      </c>
      <c r="K257" s="60" t="s">
        <v>2309</v>
      </c>
      <c r="L257" s="60">
        <v>607</v>
      </c>
      <c r="M257" s="60">
        <v>190</v>
      </c>
    </row>
    <row r="258" spans="1:13" ht="34" customHeight="1" x14ac:dyDescent="0.35">
      <c r="A258" s="71" t="s">
        <v>2492</v>
      </c>
      <c r="B258" s="84" t="s">
        <v>27</v>
      </c>
      <c r="C258" s="84" t="s">
        <v>27</v>
      </c>
      <c r="D258" s="84" t="s">
        <v>27</v>
      </c>
      <c r="E258" s="84" t="s">
        <v>27</v>
      </c>
      <c r="F258" s="84" t="s">
        <v>27</v>
      </c>
      <c r="G258" s="84" t="s">
        <v>27</v>
      </c>
      <c r="H258" s="84" t="s">
        <v>27</v>
      </c>
      <c r="I258" s="84" t="s">
        <v>27</v>
      </c>
      <c r="J258" s="84" t="s">
        <v>27</v>
      </c>
      <c r="K258" s="84" t="s">
        <v>27</v>
      </c>
      <c r="L258" s="84" t="s">
        <v>27</v>
      </c>
      <c r="M258" s="84" t="s">
        <v>27</v>
      </c>
    </row>
    <row r="259" spans="1:13" ht="15" customHeight="1" x14ac:dyDescent="0.35">
      <c r="A259" s="61" t="s">
        <v>2493</v>
      </c>
      <c r="B259" s="60">
        <v>1100</v>
      </c>
      <c r="C259" s="60">
        <v>593</v>
      </c>
      <c r="D259" s="60">
        <v>347</v>
      </c>
      <c r="E259" s="60">
        <v>115</v>
      </c>
      <c r="F259" s="60">
        <v>40</v>
      </c>
      <c r="G259" s="60">
        <v>4</v>
      </c>
      <c r="H259" s="60">
        <v>21148</v>
      </c>
      <c r="I259" s="60">
        <v>7377</v>
      </c>
      <c r="J259" s="60">
        <v>5460</v>
      </c>
      <c r="K259" s="60">
        <v>3070</v>
      </c>
      <c r="L259" s="60">
        <v>3382</v>
      </c>
      <c r="M259" s="60">
        <v>1858</v>
      </c>
    </row>
    <row r="260" spans="1:13" ht="15" customHeight="1" x14ac:dyDescent="0.35">
      <c r="A260" s="61" t="s">
        <v>2494</v>
      </c>
      <c r="B260" s="60">
        <v>4019</v>
      </c>
      <c r="C260" s="60">
        <v>2668</v>
      </c>
      <c r="D260" s="60">
        <v>961</v>
      </c>
      <c r="E260" s="60">
        <v>268</v>
      </c>
      <c r="F260" s="60">
        <v>110</v>
      </c>
      <c r="G260" s="60">
        <v>11</v>
      </c>
      <c r="H260" s="60">
        <v>73157</v>
      </c>
      <c r="I260" s="60">
        <v>31800</v>
      </c>
      <c r="J260" s="60">
        <v>17941</v>
      </c>
      <c r="K260" s="60">
        <v>8145</v>
      </c>
      <c r="L260" s="60">
        <v>10524</v>
      </c>
      <c r="M260" s="60">
        <v>4747</v>
      </c>
    </row>
    <row r="261" spans="1:13" ht="15" customHeight="1" x14ac:dyDescent="0.35">
      <c r="A261" s="61" t="s">
        <v>2495</v>
      </c>
      <c r="B261" s="60">
        <v>1133</v>
      </c>
      <c r="C261" s="60">
        <v>598</v>
      </c>
      <c r="D261" s="60">
        <v>334</v>
      </c>
      <c r="E261" s="60">
        <v>125</v>
      </c>
      <c r="F261" s="60">
        <v>67</v>
      </c>
      <c r="G261" s="60">
        <v>9</v>
      </c>
      <c r="H261" s="60">
        <v>33655</v>
      </c>
      <c r="I261" s="60">
        <v>10358</v>
      </c>
      <c r="J261" s="60">
        <v>7503</v>
      </c>
      <c r="K261" s="60">
        <v>4671</v>
      </c>
      <c r="L261" s="60">
        <v>7238</v>
      </c>
      <c r="M261" s="60">
        <v>3884</v>
      </c>
    </row>
    <row r="262" spans="1:13" ht="15" customHeight="1" x14ac:dyDescent="0.35">
      <c r="A262" s="61" t="s">
        <v>2496</v>
      </c>
      <c r="B262" s="60">
        <v>238</v>
      </c>
      <c r="C262" s="60">
        <v>155</v>
      </c>
      <c r="D262" s="60">
        <v>52</v>
      </c>
      <c r="E262" s="60">
        <v>15</v>
      </c>
      <c r="F262" s="60">
        <v>14</v>
      </c>
      <c r="G262" s="60">
        <v>2</v>
      </c>
      <c r="H262" s="60">
        <v>11352</v>
      </c>
      <c r="I262" s="60">
        <v>3910</v>
      </c>
      <c r="J262" s="60">
        <v>2087</v>
      </c>
      <c r="K262" s="60">
        <v>1317</v>
      </c>
      <c r="L262" s="60">
        <v>2488</v>
      </c>
      <c r="M262" s="60">
        <v>1551</v>
      </c>
    </row>
    <row r="263" spans="1:13" ht="15" customHeight="1" x14ac:dyDescent="0.35">
      <c r="A263" s="61" t="s">
        <v>2497</v>
      </c>
      <c r="B263" s="60">
        <v>552</v>
      </c>
      <c r="C263" s="60">
        <v>318</v>
      </c>
      <c r="D263" s="60">
        <v>169</v>
      </c>
      <c r="E263" s="60">
        <v>47</v>
      </c>
      <c r="F263" s="60">
        <v>14</v>
      </c>
      <c r="G263" s="60">
        <v>3</v>
      </c>
      <c r="H263" s="60">
        <v>14963</v>
      </c>
      <c r="I263" s="60">
        <v>5915</v>
      </c>
      <c r="J263" s="60">
        <v>3460</v>
      </c>
      <c r="K263" s="60">
        <v>1608</v>
      </c>
      <c r="L263" s="60">
        <v>2383</v>
      </c>
      <c r="M263" s="60">
        <v>1597</v>
      </c>
    </row>
    <row r="264" spans="1:13" ht="15" customHeight="1" x14ac:dyDescent="0.35">
      <c r="A264" s="61" t="s">
        <v>2498</v>
      </c>
      <c r="B264" s="60">
        <v>2592</v>
      </c>
      <c r="C264" s="60">
        <v>1564</v>
      </c>
      <c r="D264" s="60">
        <v>695</v>
      </c>
      <c r="E264" s="60">
        <v>213</v>
      </c>
      <c r="F264" s="60">
        <v>107</v>
      </c>
      <c r="G264" s="60">
        <v>14</v>
      </c>
      <c r="H264" s="60">
        <v>62061</v>
      </c>
      <c r="I264" s="60">
        <v>23057</v>
      </c>
      <c r="J264" s="60">
        <v>14882</v>
      </c>
      <c r="K264" s="60">
        <v>7810</v>
      </c>
      <c r="L264" s="60">
        <v>10699</v>
      </c>
      <c r="M264" s="60">
        <v>5612</v>
      </c>
    </row>
    <row r="265" spans="1:13" ht="15" customHeight="1" x14ac:dyDescent="0.35">
      <c r="A265" s="61" t="s">
        <v>2380</v>
      </c>
      <c r="B265" s="60" t="s">
        <v>2309</v>
      </c>
      <c r="C265" s="60" t="s">
        <v>2309</v>
      </c>
      <c r="D265" s="60" t="s">
        <v>2309</v>
      </c>
      <c r="E265" s="60" t="s">
        <v>2309</v>
      </c>
      <c r="F265" s="60" t="s">
        <v>2399</v>
      </c>
      <c r="G265" s="60" t="s">
        <v>2309</v>
      </c>
      <c r="H265" s="60" t="s">
        <v>2309</v>
      </c>
      <c r="I265" s="60" t="s">
        <v>2309</v>
      </c>
      <c r="J265" s="60" t="s">
        <v>2309</v>
      </c>
      <c r="K265" s="60" t="s">
        <v>2309</v>
      </c>
      <c r="L265" s="60" t="s">
        <v>2399</v>
      </c>
      <c r="M265" s="60" t="s">
        <v>2309</v>
      </c>
    </row>
    <row r="266" spans="1:13" ht="34" customHeight="1" x14ac:dyDescent="0.35">
      <c r="A266" s="71" t="s">
        <v>2499</v>
      </c>
      <c r="B266" s="84" t="s">
        <v>27</v>
      </c>
      <c r="C266" s="84" t="s">
        <v>27</v>
      </c>
      <c r="D266" s="84" t="s">
        <v>27</v>
      </c>
      <c r="E266" s="84" t="s">
        <v>27</v>
      </c>
      <c r="F266" s="84" t="s">
        <v>27</v>
      </c>
      <c r="G266" s="84" t="s">
        <v>27</v>
      </c>
      <c r="H266" s="84" t="s">
        <v>27</v>
      </c>
      <c r="I266" s="84" t="s">
        <v>27</v>
      </c>
      <c r="J266" s="84" t="s">
        <v>27</v>
      </c>
      <c r="K266" s="84" t="s">
        <v>27</v>
      </c>
      <c r="L266" s="84" t="s">
        <v>27</v>
      </c>
      <c r="M266" s="84" t="s">
        <v>27</v>
      </c>
    </row>
    <row r="267" spans="1:13" ht="15" customHeight="1" x14ac:dyDescent="0.35">
      <c r="A267" s="61" t="s">
        <v>2500</v>
      </c>
      <c r="B267" s="60">
        <v>3850</v>
      </c>
      <c r="C267" s="60">
        <v>2474</v>
      </c>
      <c r="D267" s="60">
        <v>968</v>
      </c>
      <c r="E267" s="60">
        <v>273</v>
      </c>
      <c r="F267" s="60">
        <v>120</v>
      </c>
      <c r="G267" s="60">
        <v>14</v>
      </c>
      <c r="H267" s="60">
        <v>77951</v>
      </c>
      <c r="I267" s="60">
        <v>32051</v>
      </c>
      <c r="J267" s="60">
        <v>19701</v>
      </c>
      <c r="K267" s="60">
        <v>8701</v>
      </c>
      <c r="L267" s="60">
        <v>11874</v>
      </c>
      <c r="M267" s="60">
        <v>5624</v>
      </c>
    </row>
    <row r="268" spans="1:13" ht="15" customHeight="1" x14ac:dyDescent="0.35">
      <c r="A268" s="59" t="s">
        <v>2501</v>
      </c>
      <c r="B268" s="60">
        <v>706</v>
      </c>
      <c r="C268" s="60">
        <v>486</v>
      </c>
      <c r="D268" s="60">
        <v>120</v>
      </c>
      <c r="E268" s="60">
        <v>55</v>
      </c>
      <c r="F268" s="60">
        <v>38</v>
      </c>
      <c r="G268" s="60">
        <v>6</v>
      </c>
      <c r="H268" s="60">
        <v>29386</v>
      </c>
      <c r="I268" s="60">
        <v>10288</v>
      </c>
      <c r="J268" s="60">
        <v>5558</v>
      </c>
      <c r="K268" s="60">
        <v>3698</v>
      </c>
      <c r="L268" s="60">
        <v>6115</v>
      </c>
      <c r="M268" s="60">
        <v>3728</v>
      </c>
    </row>
    <row r="269" spans="1:13" ht="15" customHeight="1" x14ac:dyDescent="0.35">
      <c r="A269" s="59" t="s">
        <v>2502</v>
      </c>
      <c r="B269" s="60">
        <v>837</v>
      </c>
      <c r="C269" s="60">
        <v>562</v>
      </c>
      <c r="D269" s="60">
        <v>151</v>
      </c>
      <c r="E269" s="60">
        <v>77</v>
      </c>
      <c r="F269" s="60">
        <v>40</v>
      </c>
      <c r="G269" s="60">
        <v>7</v>
      </c>
      <c r="H269" s="60">
        <v>28586</v>
      </c>
      <c r="I269" s="60">
        <v>10722</v>
      </c>
      <c r="J269" s="60">
        <v>5603</v>
      </c>
      <c r="K269" s="60">
        <v>3355</v>
      </c>
      <c r="L269" s="60">
        <v>5548</v>
      </c>
      <c r="M269" s="60">
        <v>3358</v>
      </c>
    </row>
    <row r="270" spans="1:13" ht="15" customHeight="1" x14ac:dyDescent="0.35">
      <c r="A270" s="59" t="s">
        <v>2503</v>
      </c>
      <c r="B270" s="60">
        <v>69</v>
      </c>
      <c r="C270" s="60">
        <v>46</v>
      </c>
      <c r="D270" s="60">
        <v>8</v>
      </c>
      <c r="E270" s="60">
        <v>9</v>
      </c>
      <c r="F270" s="60">
        <v>5</v>
      </c>
      <c r="G270" s="60">
        <v>0</v>
      </c>
      <c r="H270" s="60">
        <v>3577</v>
      </c>
      <c r="I270" s="60">
        <v>1195</v>
      </c>
      <c r="J270" s="60">
        <v>686</v>
      </c>
      <c r="K270" s="60">
        <v>522</v>
      </c>
      <c r="L270" s="60">
        <v>573</v>
      </c>
      <c r="M270" s="60">
        <v>601</v>
      </c>
    </row>
    <row r="271" spans="1:13" ht="15" customHeight="1" x14ac:dyDescent="0.35">
      <c r="A271" s="59" t="s">
        <v>2504</v>
      </c>
      <c r="B271" s="60">
        <v>872</v>
      </c>
      <c r="C271" s="60">
        <v>536</v>
      </c>
      <c r="D271" s="60">
        <v>202</v>
      </c>
      <c r="E271" s="60">
        <v>77</v>
      </c>
      <c r="F271" s="60">
        <v>49</v>
      </c>
      <c r="G271" s="60">
        <v>8</v>
      </c>
      <c r="H271" s="60">
        <v>34710</v>
      </c>
      <c r="I271" s="60">
        <v>11152</v>
      </c>
      <c r="J271" s="60">
        <v>7829</v>
      </c>
      <c r="K271" s="60">
        <v>4559</v>
      </c>
      <c r="L271" s="60">
        <v>7093</v>
      </c>
      <c r="M271" s="60">
        <v>4076</v>
      </c>
    </row>
    <row r="272" spans="1:13" ht="15" customHeight="1" x14ac:dyDescent="0.35">
      <c r="A272" s="59" t="s">
        <v>2505</v>
      </c>
      <c r="B272" s="60">
        <v>3321</v>
      </c>
      <c r="C272" s="60">
        <v>2094</v>
      </c>
      <c r="D272" s="60">
        <v>881</v>
      </c>
      <c r="E272" s="60">
        <v>233</v>
      </c>
      <c r="F272" s="60">
        <v>102</v>
      </c>
      <c r="G272" s="60">
        <v>12</v>
      </c>
      <c r="H272" s="60">
        <v>64963</v>
      </c>
      <c r="I272" s="60">
        <v>26096</v>
      </c>
      <c r="J272" s="60">
        <v>16835</v>
      </c>
      <c r="K272" s="60">
        <v>7309</v>
      </c>
      <c r="L272" s="60">
        <v>9928</v>
      </c>
      <c r="M272" s="60">
        <v>4795</v>
      </c>
    </row>
    <row r="273" spans="1:13" ht="15" customHeight="1" x14ac:dyDescent="0.35">
      <c r="A273" s="59" t="s">
        <v>2506</v>
      </c>
      <c r="B273" s="60">
        <v>800</v>
      </c>
      <c r="C273" s="60">
        <v>469</v>
      </c>
      <c r="D273" s="60">
        <v>195</v>
      </c>
      <c r="E273" s="60">
        <v>69</v>
      </c>
      <c r="F273" s="60">
        <v>57</v>
      </c>
      <c r="G273" s="60">
        <v>9</v>
      </c>
      <c r="H273" s="60">
        <v>42071</v>
      </c>
      <c r="I273" s="60">
        <v>14863</v>
      </c>
      <c r="J273" s="60">
        <v>9518</v>
      </c>
      <c r="K273" s="60">
        <v>4889</v>
      </c>
      <c r="L273" s="60">
        <v>8387</v>
      </c>
      <c r="M273" s="60">
        <v>4414</v>
      </c>
    </row>
    <row r="274" spans="1:13" ht="15" customHeight="1" x14ac:dyDescent="0.35">
      <c r="A274" s="61" t="s">
        <v>2507</v>
      </c>
      <c r="B274" s="60">
        <v>2068</v>
      </c>
      <c r="C274" s="60">
        <v>1632</v>
      </c>
      <c r="D274" s="60">
        <v>317</v>
      </c>
      <c r="E274" s="60">
        <v>96</v>
      </c>
      <c r="F274" s="60">
        <v>21</v>
      </c>
      <c r="G274" s="60">
        <v>2</v>
      </c>
      <c r="H274" s="60">
        <v>18806</v>
      </c>
      <c r="I274" s="60">
        <v>11867</v>
      </c>
      <c r="J274" s="60">
        <v>3615</v>
      </c>
      <c r="K274" s="60">
        <v>1764</v>
      </c>
      <c r="L274" s="60">
        <v>1184</v>
      </c>
      <c r="M274" s="60">
        <v>376</v>
      </c>
    </row>
    <row r="275" spans="1:13" ht="34" customHeight="1" x14ac:dyDescent="0.35">
      <c r="A275" s="71" t="s">
        <v>2508</v>
      </c>
      <c r="B275" s="84" t="s">
        <v>27</v>
      </c>
      <c r="C275" s="84" t="s">
        <v>27</v>
      </c>
      <c r="D275" s="84" t="s">
        <v>27</v>
      </c>
      <c r="E275" s="84" t="s">
        <v>27</v>
      </c>
      <c r="F275" s="84" t="s">
        <v>27</v>
      </c>
      <c r="G275" s="84" t="s">
        <v>27</v>
      </c>
      <c r="H275" s="84" t="s">
        <v>27</v>
      </c>
      <c r="I275" s="84" t="s">
        <v>27</v>
      </c>
      <c r="J275" s="84" t="s">
        <v>27</v>
      </c>
      <c r="K275" s="84" t="s">
        <v>27</v>
      </c>
      <c r="L275" s="84" t="s">
        <v>27</v>
      </c>
      <c r="M275" s="84" t="s">
        <v>27</v>
      </c>
    </row>
    <row r="276" spans="1:13" ht="15" customHeight="1" x14ac:dyDescent="0.35">
      <c r="A276" s="61" t="s">
        <v>2509</v>
      </c>
      <c r="B276" s="60">
        <v>3804</v>
      </c>
      <c r="C276" s="60">
        <v>2426</v>
      </c>
      <c r="D276" s="60">
        <v>947</v>
      </c>
      <c r="E276" s="60">
        <v>294</v>
      </c>
      <c r="F276" s="60">
        <v>122</v>
      </c>
      <c r="G276" s="60">
        <v>15</v>
      </c>
      <c r="H276" s="60">
        <v>82281</v>
      </c>
      <c r="I276" s="60">
        <v>34528</v>
      </c>
      <c r="J276" s="60">
        <v>20350</v>
      </c>
      <c r="K276" s="60">
        <v>9307</v>
      </c>
      <c r="L276" s="60">
        <v>12357</v>
      </c>
      <c r="M276" s="60">
        <v>5739</v>
      </c>
    </row>
    <row r="277" spans="1:13" ht="15" customHeight="1" x14ac:dyDescent="0.35">
      <c r="A277" s="59" t="s">
        <v>2511</v>
      </c>
      <c r="B277" s="60">
        <v>1504</v>
      </c>
      <c r="C277" s="60">
        <v>801</v>
      </c>
      <c r="D277" s="60">
        <v>489</v>
      </c>
      <c r="E277" s="60">
        <v>123</v>
      </c>
      <c r="F277" s="60">
        <v>78</v>
      </c>
      <c r="G277" s="60">
        <v>13</v>
      </c>
      <c r="H277" s="60">
        <v>50806</v>
      </c>
      <c r="I277" s="60">
        <v>17536</v>
      </c>
      <c r="J277" s="60">
        <v>12693</v>
      </c>
      <c r="K277" s="60">
        <v>5506</v>
      </c>
      <c r="L277" s="60">
        <v>9674</v>
      </c>
      <c r="M277" s="60">
        <v>5397</v>
      </c>
    </row>
    <row r="278" spans="1:13" ht="15" customHeight="1" x14ac:dyDescent="0.35">
      <c r="A278" s="69" t="s">
        <v>2512</v>
      </c>
      <c r="B278" s="60">
        <v>2786</v>
      </c>
      <c r="C278" s="60">
        <v>1625</v>
      </c>
      <c r="D278" s="60">
        <v>800</v>
      </c>
      <c r="E278" s="60">
        <v>234</v>
      </c>
      <c r="F278" s="60">
        <v>113</v>
      </c>
      <c r="G278" s="60">
        <v>14</v>
      </c>
      <c r="H278" s="60">
        <v>69618</v>
      </c>
      <c r="I278" s="60">
        <v>26627</v>
      </c>
      <c r="J278" s="60">
        <v>17721</v>
      </c>
      <c r="K278" s="60">
        <v>8405</v>
      </c>
      <c r="L278" s="60">
        <v>11269</v>
      </c>
      <c r="M278" s="60">
        <v>5594</v>
      </c>
    </row>
    <row r="279" spans="1:13" ht="15" customHeight="1" x14ac:dyDescent="0.35">
      <c r="A279" s="69" t="s">
        <v>2513</v>
      </c>
      <c r="B279" s="60">
        <v>1400</v>
      </c>
      <c r="C279" s="60">
        <v>802</v>
      </c>
      <c r="D279" s="60">
        <v>389</v>
      </c>
      <c r="E279" s="60">
        <v>120</v>
      </c>
      <c r="F279" s="60">
        <v>75</v>
      </c>
      <c r="G279" s="60">
        <v>13</v>
      </c>
      <c r="H279" s="60">
        <v>51691</v>
      </c>
      <c r="I279" s="60">
        <v>17892</v>
      </c>
      <c r="J279" s="60">
        <v>12535</v>
      </c>
      <c r="K279" s="60">
        <v>6110</v>
      </c>
      <c r="L279" s="60">
        <v>9748</v>
      </c>
      <c r="M279" s="60">
        <v>5406</v>
      </c>
    </row>
    <row r="280" spans="1:13" ht="15" customHeight="1" x14ac:dyDescent="0.35">
      <c r="A280" s="69" t="s">
        <v>2823</v>
      </c>
      <c r="B280" s="60">
        <v>1556</v>
      </c>
      <c r="C280" s="60">
        <v>871</v>
      </c>
      <c r="D280" s="60">
        <v>456</v>
      </c>
      <c r="E280" s="60">
        <v>145</v>
      </c>
      <c r="F280" s="60">
        <v>73</v>
      </c>
      <c r="G280" s="60">
        <v>11</v>
      </c>
      <c r="H280" s="60">
        <v>48792</v>
      </c>
      <c r="I280" s="60">
        <v>17284</v>
      </c>
      <c r="J280" s="60">
        <v>12516</v>
      </c>
      <c r="K280" s="60">
        <v>5674</v>
      </c>
      <c r="L280" s="60">
        <v>8764</v>
      </c>
      <c r="M280" s="60">
        <v>4554</v>
      </c>
    </row>
    <row r="281" spans="1:13" ht="15" customHeight="1" x14ac:dyDescent="0.35">
      <c r="A281" s="69" t="s">
        <v>2822</v>
      </c>
      <c r="B281" s="60">
        <v>1456</v>
      </c>
      <c r="C281" s="60">
        <v>809</v>
      </c>
      <c r="D281" s="60">
        <v>411</v>
      </c>
      <c r="E281" s="60">
        <v>136</v>
      </c>
      <c r="F281" s="60">
        <v>89</v>
      </c>
      <c r="G281" s="60">
        <v>12</v>
      </c>
      <c r="H281" s="60">
        <v>54108</v>
      </c>
      <c r="I281" s="60">
        <v>18345</v>
      </c>
      <c r="J281" s="60">
        <v>13597</v>
      </c>
      <c r="K281" s="60">
        <v>6554</v>
      </c>
      <c r="L281" s="60">
        <v>10343</v>
      </c>
      <c r="M281" s="60">
        <v>5269</v>
      </c>
    </row>
    <row r="282" spans="1:13" ht="15" customHeight="1" x14ac:dyDescent="0.35">
      <c r="A282" s="69" t="s">
        <v>2821</v>
      </c>
      <c r="B282" s="60">
        <v>3560</v>
      </c>
      <c r="C282" s="60">
        <v>2259</v>
      </c>
      <c r="D282" s="60">
        <v>888</v>
      </c>
      <c r="E282" s="60">
        <v>282</v>
      </c>
      <c r="F282" s="60">
        <v>118</v>
      </c>
      <c r="G282" s="60">
        <v>13</v>
      </c>
      <c r="H282" s="60">
        <v>74817</v>
      </c>
      <c r="I282" s="60">
        <v>31461</v>
      </c>
      <c r="J282" s="60">
        <v>17967</v>
      </c>
      <c r="K282" s="60">
        <v>8627</v>
      </c>
      <c r="L282" s="60">
        <v>11293</v>
      </c>
      <c r="M282" s="60">
        <v>5468</v>
      </c>
    </row>
    <row r="283" spans="1:13" ht="15" customHeight="1" x14ac:dyDescent="0.35">
      <c r="A283" s="69" t="s">
        <v>2820</v>
      </c>
      <c r="B283" s="60">
        <v>262</v>
      </c>
      <c r="C283" s="60">
        <v>152</v>
      </c>
      <c r="D283" s="60">
        <v>53</v>
      </c>
      <c r="E283" s="60">
        <v>23</v>
      </c>
      <c r="F283" s="60">
        <v>30</v>
      </c>
      <c r="G283" s="60">
        <v>3</v>
      </c>
      <c r="H283" s="60">
        <v>17000</v>
      </c>
      <c r="I283" s="60">
        <v>4413</v>
      </c>
      <c r="J283" s="60">
        <v>4188</v>
      </c>
      <c r="K283" s="60">
        <v>2226</v>
      </c>
      <c r="L283" s="60">
        <v>3991</v>
      </c>
      <c r="M283" s="60">
        <v>2182</v>
      </c>
    </row>
    <row r="284" spans="1:13" ht="15" customHeight="1" x14ac:dyDescent="0.35">
      <c r="A284" s="69" t="s">
        <v>2819</v>
      </c>
      <c r="B284" s="60">
        <v>2451</v>
      </c>
      <c r="C284" s="60">
        <v>1485</v>
      </c>
      <c r="D284" s="60">
        <v>652</v>
      </c>
      <c r="E284" s="60">
        <v>197</v>
      </c>
      <c r="F284" s="60">
        <v>103</v>
      </c>
      <c r="G284" s="60">
        <v>13</v>
      </c>
      <c r="H284" s="60">
        <v>63871</v>
      </c>
      <c r="I284" s="60">
        <v>24426</v>
      </c>
      <c r="J284" s="60">
        <v>15615</v>
      </c>
      <c r="K284" s="60">
        <v>7608</v>
      </c>
      <c r="L284" s="60">
        <v>10705</v>
      </c>
      <c r="M284" s="60">
        <v>5517</v>
      </c>
    </row>
    <row r="285" spans="1:13" ht="15" customHeight="1" x14ac:dyDescent="0.35">
      <c r="A285" s="69" t="s">
        <v>2818</v>
      </c>
      <c r="B285" s="60">
        <v>1420</v>
      </c>
      <c r="C285" s="60">
        <v>978</v>
      </c>
      <c r="D285" s="60">
        <v>290</v>
      </c>
      <c r="E285" s="60">
        <v>104</v>
      </c>
      <c r="F285" s="60">
        <v>41</v>
      </c>
      <c r="G285" s="60">
        <v>7</v>
      </c>
      <c r="H285" s="60">
        <v>33796</v>
      </c>
      <c r="I285" s="60">
        <v>14100</v>
      </c>
      <c r="J285" s="60">
        <v>6972</v>
      </c>
      <c r="K285" s="60">
        <v>3582</v>
      </c>
      <c r="L285" s="60">
        <v>5525</v>
      </c>
      <c r="M285" s="60">
        <v>3616</v>
      </c>
    </row>
    <row r="286" spans="1:13" ht="46" customHeight="1" x14ac:dyDescent="0.35">
      <c r="A286" s="71" t="s">
        <v>2529</v>
      </c>
      <c r="B286" s="84" t="s">
        <v>27</v>
      </c>
      <c r="C286" s="84" t="s">
        <v>27</v>
      </c>
      <c r="D286" s="84" t="s">
        <v>27</v>
      </c>
      <c r="E286" s="84" t="s">
        <v>27</v>
      </c>
      <c r="F286" s="84" t="s">
        <v>27</v>
      </c>
      <c r="G286" s="84" t="s">
        <v>27</v>
      </c>
      <c r="H286" s="84" t="s">
        <v>27</v>
      </c>
      <c r="I286" s="84" t="s">
        <v>27</v>
      </c>
      <c r="J286" s="84" t="s">
        <v>27</v>
      </c>
      <c r="K286" s="84" t="s">
        <v>27</v>
      </c>
      <c r="L286" s="84" t="s">
        <v>27</v>
      </c>
      <c r="M286" s="84" t="s">
        <v>27</v>
      </c>
    </row>
    <row r="287" spans="1:13" ht="28" customHeight="1" x14ac:dyDescent="0.35">
      <c r="A287" s="61" t="s">
        <v>2817</v>
      </c>
      <c r="B287" s="60">
        <v>144</v>
      </c>
      <c r="C287" s="60">
        <v>98</v>
      </c>
      <c r="D287" s="60">
        <v>19</v>
      </c>
      <c r="E287" s="60">
        <v>13</v>
      </c>
      <c r="F287" s="60">
        <v>11</v>
      </c>
      <c r="G287" s="60">
        <v>4</v>
      </c>
      <c r="H287" s="60">
        <v>10356</v>
      </c>
      <c r="I287" s="60">
        <v>2133</v>
      </c>
      <c r="J287" s="60">
        <v>1740</v>
      </c>
      <c r="K287" s="60">
        <v>1420</v>
      </c>
      <c r="L287" s="60">
        <v>2539</v>
      </c>
      <c r="M287" s="60">
        <v>2524</v>
      </c>
    </row>
    <row r="288" spans="1:13" ht="15" customHeight="1" x14ac:dyDescent="0.35">
      <c r="A288" s="61" t="s">
        <v>2816</v>
      </c>
      <c r="B288" s="60">
        <v>160</v>
      </c>
      <c r="C288" s="60">
        <v>108</v>
      </c>
      <c r="D288" s="60">
        <v>18</v>
      </c>
      <c r="E288" s="60">
        <v>18</v>
      </c>
      <c r="F288" s="60">
        <v>13</v>
      </c>
      <c r="G288" s="60">
        <v>3</v>
      </c>
      <c r="H288" s="60">
        <v>9769</v>
      </c>
      <c r="I288" s="60">
        <v>3761</v>
      </c>
      <c r="J288" s="60">
        <v>1117</v>
      </c>
      <c r="K288" s="60">
        <v>1029</v>
      </c>
      <c r="L288" s="60">
        <v>1793</v>
      </c>
      <c r="M288" s="60">
        <v>2068</v>
      </c>
    </row>
    <row r="289" spans="1:13" ht="15" customHeight="1" x14ac:dyDescent="0.35">
      <c r="A289" s="61" t="s">
        <v>2861</v>
      </c>
      <c r="B289" s="60">
        <v>131</v>
      </c>
      <c r="C289" s="60">
        <v>51</v>
      </c>
      <c r="D289" s="60">
        <v>42</v>
      </c>
      <c r="E289" s="60">
        <v>18</v>
      </c>
      <c r="F289" s="60">
        <v>16</v>
      </c>
      <c r="G289" s="60">
        <v>4</v>
      </c>
      <c r="H289" s="60">
        <v>14535</v>
      </c>
      <c r="I289" s="60">
        <v>3011</v>
      </c>
      <c r="J289" s="60">
        <v>3243</v>
      </c>
      <c r="K289" s="60">
        <v>1990</v>
      </c>
      <c r="L289" s="60">
        <v>3655</v>
      </c>
      <c r="M289" s="60">
        <v>2636</v>
      </c>
    </row>
    <row r="290" spans="1:13" ht="28" customHeight="1" x14ac:dyDescent="0.35">
      <c r="A290" s="61" t="s">
        <v>2533</v>
      </c>
      <c r="B290" s="60">
        <v>283</v>
      </c>
      <c r="C290" s="60">
        <v>147</v>
      </c>
      <c r="D290" s="60">
        <v>73</v>
      </c>
      <c r="E290" s="60">
        <v>36</v>
      </c>
      <c r="F290" s="60">
        <v>24</v>
      </c>
      <c r="G290" s="60">
        <v>3</v>
      </c>
      <c r="H290" s="60">
        <v>17661</v>
      </c>
      <c r="I290" s="60">
        <v>5730</v>
      </c>
      <c r="J290" s="60">
        <v>3263</v>
      </c>
      <c r="K290" s="60">
        <v>2629</v>
      </c>
      <c r="L290" s="60">
        <v>3832</v>
      </c>
      <c r="M290" s="60">
        <v>2206</v>
      </c>
    </row>
    <row r="291" spans="1:13" ht="15" customHeight="1" x14ac:dyDescent="0.35">
      <c r="A291" s="61" t="s">
        <v>2534</v>
      </c>
      <c r="B291" s="60">
        <v>1019</v>
      </c>
      <c r="C291" s="60">
        <v>531</v>
      </c>
      <c r="D291" s="60">
        <v>346</v>
      </c>
      <c r="E291" s="60">
        <v>98</v>
      </c>
      <c r="F291" s="60">
        <v>39</v>
      </c>
      <c r="G291" s="60">
        <v>5</v>
      </c>
      <c r="H291" s="60">
        <v>20617</v>
      </c>
      <c r="I291" s="60">
        <v>5786</v>
      </c>
      <c r="J291" s="60">
        <v>5996</v>
      </c>
      <c r="K291" s="60">
        <v>2811</v>
      </c>
      <c r="L291" s="60">
        <v>3589</v>
      </c>
      <c r="M291" s="60">
        <v>2435</v>
      </c>
    </row>
    <row r="292" spans="1:13" ht="34" customHeight="1" x14ac:dyDescent="0.35">
      <c r="A292" s="71" t="s">
        <v>2535</v>
      </c>
      <c r="B292" s="84" t="s">
        <v>27</v>
      </c>
      <c r="C292" s="84" t="s">
        <v>27</v>
      </c>
      <c r="D292" s="84" t="s">
        <v>27</v>
      </c>
      <c r="E292" s="84" t="s">
        <v>27</v>
      </c>
      <c r="F292" s="84" t="s">
        <v>27</v>
      </c>
      <c r="G292" s="84" t="s">
        <v>27</v>
      </c>
      <c r="H292" s="84" t="s">
        <v>27</v>
      </c>
      <c r="I292" s="84" t="s">
        <v>27</v>
      </c>
      <c r="J292" s="84" t="s">
        <v>27</v>
      </c>
      <c r="K292" s="84" t="s">
        <v>27</v>
      </c>
      <c r="L292" s="84" t="s">
        <v>27</v>
      </c>
      <c r="M292" s="84" t="s">
        <v>27</v>
      </c>
    </row>
    <row r="293" spans="1:13" ht="15" customHeight="1" x14ac:dyDescent="0.35">
      <c r="A293" s="61" t="s">
        <v>2815</v>
      </c>
      <c r="B293" s="60">
        <v>1237</v>
      </c>
      <c r="C293" s="60">
        <v>708</v>
      </c>
      <c r="D293" s="60">
        <v>339</v>
      </c>
      <c r="E293" s="60">
        <v>105</v>
      </c>
      <c r="F293" s="60">
        <v>73</v>
      </c>
      <c r="G293" s="60">
        <v>12</v>
      </c>
      <c r="H293" s="60">
        <v>48700</v>
      </c>
      <c r="I293" s="60">
        <v>16624</v>
      </c>
      <c r="J293" s="60">
        <v>11713</v>
      </c>
      <c r="K293" s="60">
        <v>6001</v>
      </c>
      <c r="L293" s="60">
        <v>9436</v>
      </c>
      <c r="M293" s="60">
        <v>4927</v>
      </c>
    </row>
    <row r="294" spans="1:13" ht="15" customHeight="1" x14ac:dyDescent="0.35">
      <c r="A294" s="61" t="s">
        <v>2860</v>
      </c>
      <c r="B294" s="60">
        <v>116</v>
      </c>
      <c r="C294" s="60">
        <v>65</v>
      </c>
      <c r="D294" s="60">
        <v>16</v>
      </c>
      <c r="E294" s="60">
        <v>11</v>
      </c>
      <c r="F294" s="60">
        <v>20</v>
      </c>
      <c r="G294" s="60">
        <v>5</v>
      </c>
      <c r="H294" s="60">
        <v>11383</v>
      </c>
      <c r="I294" s="60">
        <v>2229</v>
      </c>
      <c r="J294" s="60">
        <v>1704</v>
      </c>
      <c r="K294" s="60">
        <v>1221</v>
      </c>
      <c r="L294" s="60">
        <v>3431</v>
      </c>
      <c r="M294" s="60">
        <v>2797</v>
      </c>
    </row>
    <row r="295" spans="1:13" ht="15" customHeight="1" x14ac:dyDescent="0.35">
      <c r="A295" s="61" t="s">
        <v>2537</v>
      </c>
      <c r="B295" s="60">
        <v>228</v>
      </c>
      <c r="C295" s="60">
        <v>127</v>
      </c>
      <c r="D295" s="60">
        <v>53</v>
      </c>
      <c r="E295" s="60">
        <v>24</v>
      </c>
      <c r="F295" s="60">
        <v>21</v>
      </c>
      <c r="G295" s="60">
        <v>3</v>
      </c>
      <c r="H295" s="60">
        <v>16527</v>
      </c>
      <c r="I295" s="60">
        <v>4830</v>
      </c>
      <c r="J295" s="60">
        <v>3711</v>
      </c>
      <c r="K295" s="60">
        <v>2164</v>
      </c>
      <c r="L295" s="60">
        <v>3771</v>
      </c>
      <c r="M295" s="60">
        <v>2052</v>
      </c>
    </row>
    <row r="296" spans="1:13" ht="15" customHeight="1" x14ac:dyDescent="0.35">
      <c r="A296" s="61" t="s">
        <v>2538</v>
      </c>
      <c r="B296" s="60">
        <v>236</v>
      </c>
      <c r="C296" s="60">
        <v>124</v>
      </c>
      <c r="D296" s="60">
        <v>64</v>
      </c>
      <c r="E296" s="60">
        <v>26</v>
      </c>
      <c r="F296" s="60">
        <v>19</v>
      </c>
      <c r="G296" s="60">
        <v>2</v>
      </c>
      <c r="H296" s="60">
        <v>12656</v>
      </c>
      <c r="I296" s="60">
        <v>3578</v>
      </c>
      <c r="J296" s="60">
        <v>3298</v>
      </c>
      <c r="K296" s="60">
        <v>1833</v>
      </c>
      <c r="L296" s="60">
        <v>2876</v>
      </c>
      <c r="M296" s="60">
        <v>1071</v>
      </c>
    </row>
    <row r="297" spans="1:13" ht="46" customHeight="1" x14ac:dyDescent="0.35">
      <c r="A297" s="71" t="s">
        <v>2542</v>
      </c>
      <c r="B297" s="84" t="s">
        <v>27</v>
      </c>
      <c r="C297" s="84" t="s">
        <v>27</v>
      </c>
      <c r="D297" s="84" t="s">
        <v>27</v>
      </c>
      <c r="E297" s="84" t="s">
        <v>27</v>
      </c>
      <c r="F297" s="84" t="s">
        <v>27</v>
      </c>
      <c r="G297" s="84" t="s">
        <v>27</v>
      </c>
      <c r="H297" s="84" t="s">
        <v>27</v>
      </c>
      <c r="I297" s="84" t="s">
        <v>27</v>
      </c>
      <c r="J297" s="84" t="s">
        <v>27</v>
      </c>
      <c r="K297" s="84" t="s">
        <v>27</v>
      </c>
      <c r="L297" s="84" t="s">
        <v>27</v>
      </c>
      <c r="M297" s="84" t="s">
        <v>27</v>
      </c>
    </row>
    <row r="298" spans="1:13" ht="15" customHeight="1" x14ac:dyDescent="0.35">
      <c r="A298" s="61" t="s">
        <v>2543</v>
      </c>
      <c r="B298" s="60">
        <v>3527</v>
      </c>
      <c r="C298" s="60">
        <v>2236</v>
      </c>
      <c r="D298" s="60">
        <v>893</v>
      </c>
      <c r="E298" s="60">
        <v>273</v>
      </c>
      <c r="F298" s="60">
        <v>112</v>
      </c>
      <c r="G298" s="60">
        <v>13</v>
      </c>
      <c r="H298" s="60">
        <v>73030</v>
      </c>
      <c r="I298" s="60">
        <v>29809</v>
      </c>
      <c r="J298" s="60">
        <v>18259</v>
      </c>
      <c r="K298" s="60">
        <v>8659</v>
      </c>
      <c r="L298" s="60">
        <v>11158</v>
      </c>
      <c r="M298" s="60">
        <v>5144</v>
      </c>
    </row>
    <row r="299" spans="1:13" ht="15" customHeight="1" x14ac:dyDescent="0.35">
      <c r="A299" s="61" t="s">
        <v>2544</v>
      </c>
      <c r="B299" s="60">
        <v>1679</v>
      </c>
      <c r="C299" s="60">
        <v>1115</v>
      </c>
      <c r="D299" s="60">
        <v>403</v>
      </c>
      <c r="E299" s="60">
        <v>107</v>
      </c>
      <c r="F299" s="60">
        <v>45</v>
      </c>
      <c r="G299" s="60">
        <v>10</v>
      </c>
      <c r="H299" s="60">
        <v>44523</v>
      </c>
      <c r="I299" s="60">
        <v>18600</v>
      </c>
      <c r="J299" s="60">
        <v>10310</v>
      </c>
      <c r="K299" s="60">
        <v>4901</v>
      </c>
      <c r="L299" s="60">
        <v>6600</v>
      </c>
      <c r="M299" s="60">
        <v>4111</v>
      </c>
    </row>
    <row r="300" spans="1:13" ht="15" customHeight="1" x14ac:dyDescent="0.35">
      <c r="A300" s="61" t="s">
        <v>2545</v>
      </c>
      <c r="B300" s="60">
        <v>497</v>
      </c>
      <c r="C300" s="60">
        <v>311</v>
      </c>
      <c r="D300" s="60">
        <v>109</v>
      </c>
      <c r="E300" s="60">
        <v>47</v>
      </c>
      <c r="F300" s="60">
        <v>27</v>
      </c>
      <c r="G300" s="60">
        <v>3</v>
      </c>
      <c r="H300" s="60">
        <v>17941</v>
      </c>
      <c r="I300" s="60">
        <v>6633</v>
      </c>
      <c r="J300" s="60">
        <v>3491</v>
      </c>
      <c r="K300" s="60">
        <v>1992</v>
      </c>
      <c r="L300" s="60">
        <v>3810</v>
      </c>
      <c r="M300" s="60">
        <v>2015</v>
      </c>
    </row>
    <row r="301" spans="1:13" ht="15" customHeight="1" x14ac:dyDescent="0.35">
      <c r="A301" s="61" t="s">
        <v>2546</v>
      </c>
      <c r="B301" s="60">
        <v>1513</v>
      </c>
      <c r="C301" s="60">
        <v>1054</v>
      </c>
      <c r="D301" s="60">
        <v>339</v>
      </c>
      <c r="E301" s="60">
        <v>88</v>
      </c>
      <c r="F301" s="60">
        <v>29</v>
      </c>
      <c r="G301" s="60">
        <v>3</v>
      </c>
      <c r="H301" s="60">
        <v>28834</v>
      </c>
      <c r="I301" s="60">
        <v>14026</v>
      </c>
      <c r="J301" s="60">
        <v>6966</v>
      </c>
      <c r="K301" s="60">
        <v>2903</v>
      </c>
      <c r="L301" s="60">
        <v>3232</v>
      </c>
      <c r="M301" s="60">
        <v>1706</v>
      </c>
    </row>
    <row r="302" spans="1:13" ht="15" customHeight="1" x14ac:dyDescent="0.35">
      <c r="A302" s="61" t="s">
        <v>2547</v>
      </c>
      <c r="B302" s="60">
        <v>509</v>
      </c>
      <c r="C302" s="60">
        <v>284</v>
      </c>
      <c r="D302" s="60">
        <v>165</v>
      </c>
      <c r="E302" s="60">
        <v>35</v>
      </c>
      <c r="F302" s="60">
        <v>22</v>
      </c>
      <c r="G302" s="60">
        <v>3</v>
      </c>
      <c r="H302" s="60">
        <v>19792</v>
      </c>
      <c r="I302" s="60">
        <v>6665</v>
      </c>
      <c r="J302" s="60">
        <v>4816</v>
      </c>
      <c r="K302" s="60">
        <v>2667</v>
      </c>
      <c r="L302" s="60">
        <v>3668</v>
      </c>
      <c r="M302" s="60">
        <v>1976</v>
      </c>
    </row>
    <row r="303" spans="1:13" ht="15" customHeight="1" x14ac:dyDescent="0.35">
      <c r="A303" s="61" t="s">
        <v>2548</v>
      </c>
      <c r="B303" s="60">
        <v>910</v>
      </c>
      <c r="C303" s="60">
        <v>540</v>
      </c>
      <c r="D303" s="60">
        <v>226</v>
      </c>
      <c r="E303" s="60">
        <v>82</v>
      </c>
      <c r="F303" s="60">
        <v>52</v>
      </c>
      <c r="G303" s="60">
        <v>9</v>
      </c>
      <c r="H303" s="60">
        <v>33666</v>
      </c>
      <c r="I303" s="60">
        <v>11660</v>
      </c>
      <c r="J303" s="60">
        <v>7176</v>
      </c>
      <c r="K303" s="60">
        <v>4106</v>
      </c>
      <c r="L303" s="60">
        <v>6423</v>
      </c>
      <c r="M303" s="60">
        <v>4301</v>
      </c>
    </row>
    <row r="304" spans="1:13" ht="15" customHeight="1" x14ac:dyDescent="0.35">
      <c r="A304" s="61" t="s">
        <v>2549</v>
      </c>
      <c r="B304" s="60">
        <v>1025</v>
      </c>
      <c r="C304" s="60">
        <v>610</v>
      </c>
      <c r="D304" s="60">
        <v>246</v>
      </c>
      <c r="E304" s="60">
        <v>83</v>
      </c>
      <c r="F304" s="60">
        <v>74</v>
      </c>
      <c r="G304" s="60">
        <v>12</v>
      </c>
      <c r="H304" s="60">
        <v>44365</v>
      </c>
      <c r="I304" s="60">
        <v>14676</v>
      </c>
      <c r="J304" s="60">
        <v>10201</v>
      </c>
      <c r="K304" s="60">
        <v>5246</v>
      </c>
      <c r="L304" s="60">
        <v>9078</v>
      </c>
      <c r="M304" s="60">
        <v>5163</v>
      </c>
    </row>
    <row r="305" spans="1:13" ht="15" customHeight="1" x14ac:dyDescent="0.35">
      <c r="A305" s="61" t="s">
        <v>2550</v>
      </c>
      <c r="B305" s="60">
        <v>332</v>
      </c>
      <c r="C305" s="60">
        <v>163</v>
      </c>
      <c r="D305" s="60">
        <v>100</v>
      </c>
      <c r="E305" s="60">
        <v>41</v>
      </c>
      <c r="F305" s="60">
        <v>24</v>
      </c>
      <c r="G305" s="60">
        <v>5</v>
      </c>
      <c r="H305" s="60">
        <v>14467</v>
      </c>
      <c r="I305" s="60">
        <v>3715</v>
      </c>
      <c r="J305" s="60">
        <v>2994</v>
      </c>
      <c r="K305" s="60">
        <v>2088</v>
      </c>
      <c r="L305" s="60">
        <v>3056</v>
      </c>
      <c r="M305" s="60">
        <v>2615</v>
      </c>
    </row>
    <row r="306" spans="1:13" ht="15" customHeight="1" x14ac:dyDescent="0.35">
      <c r="A306" s="61" t="s">
        <v>2551</v>
      </c>
      <c r="B306" s="60">
        <v>138</v>
      </c>
      <c r="C306" s="60">
        <v>86</v>
      </c>
      <c r="D306" s="60">
        <v>35</v>
      </c>
      <c r="E306" s="60">
        <v>4</v>
      </c>
      <c r="F306" s="60">
        <v>9</v>
      </c>
      <c r="G306" s="60">
        <v>3</v>
      </c>
      <c r="H306" s="60">
        <v>7244</v>
      </c>
      <c r="I306" s="60">
        <v>1900</v>
      </c>
      <c r="J306" s="60">
        <v>1290</v>
      </c>
      <c r="K306" s="60">
        <v>517</v>
      </c>
      <c r="L306" s="60">
        <v>1750</v>
      </c>
      <c r="M306" s="60">
        <v>1787</v>
      </c>
    </row>
    <row r="307" spans="1:13" ht="15" customHeight="1" x14ac:dyDescent="0.35">
      <c r="A307" s="61" t="s">
        <v>2814</v>
      </c>
      <c r="B307" s="60">
        <v>58</v>
      </c>
      <c r="C307" s="60">
        <v>30</v>
      </c>
      <c r="D307" s="60">
        <v>17</v>
      </c>
      <c r="E307" s="60">
        <v>7</v>
      </c>
      <c r="F307" s="60">
        <v>3</v>
      </c>
      <c r="G307" s="60">
        <v>1</v>
      </c>
      <c r="H307" s="60">
        <v>1961</v>
      </c>
      <c r="I307" s="60">
        <v>388</v>
      </c>
      <c r="J307" s="60">
        <v>429</v>
      </c>
      <c r="K307" s="60">
        <v>294</v>
      </c>
      <c r="L307" s="60">
        <v>591</v>
      </c>
      <c r="M307" s="60">
        <v>259</v>
      </c>
    </row>
    <row r="308" spans="1:13" ht="15" customHeight="1" x14ac:dyDescent="0.35">
      <c r="A308" s="61" t="s">
        <v>2552</v>
      </c>
      <c r="B308" s="60">
        <v>98</v>
      </c>
      <c r="C308" s="60">
        <v>60</v>
      </c>
      <c r="D308" s="60">
        <v>31</v>
      </c>
      <c r="E308" s="60" t="s">
        <v>2309</v>
      </c>
      <c r="F308" s="60">
        <v>3</v>
      </c>
      <c r="G308" s="60">
        <v>1</v>
      </c>
      <c r="H308" s="60">
        <v>2042</v>
      </c>
      <c r="I308" s="60">
        <v>640</v>
      </c>
      <c r="J308" s="60">
        <v>321</v>
      </c>
      <c r="K308" s="60" t="s">
        <v>2309</v>
      </c>
      <c r="L308" s="60">
        <v>486</v>
      </c>
      <c r="M308" s="60">
        <v>261</v>
      </c>
    </row>
    <row r="309" spans="1:13" ht="28.75" customHeight="1" x14ac:dyDescent="0.35">
      <c r="A309" s="61" t="s">
        <v>2813</v>
      </c>
      <c r="B309" s="60">
        <v>317</v>
      </c>
      <c r="C309" s="60">
        <v>209</v>
      </c>
      <c r="D309" s="60">
        <v>65</v>
      </c>
      <c r="E309" s="60">
        <v>20</v>
      </c>
      <c r="F309" s="60">
        <v>18</v>
      </c>
      <c r="G309" s="60">
        <v>5</v>
      </c>
      <c r="H309" s="60">
        <v>16707</v>
      </c>
      <c r="I309" s="60">
        <v>6141</v>
      </c>
      <c r="J309" s="60">
        <v>3191</v>
      </c>
      <c r="K309" s="60">
        <v>1759</v>
      </c>
      <c r="L309" s="60">
        <v>3124</v>
      </c>
      <c r="M309" s="60">
        <v>2492</v>
      </c>
    </row>
    <row r="310" spans="1:13" ht="24" customHeight="1" x14ac:dyDescent="0.35">
      <c r="A310" s="83" t="s">
        <v>2812</v>
      </c>
      <c r="B310" s="60" t="s">
        <v>27</v>
      </c>
      <c r="C310" s="60" t="s">
        <v>27</v>
      </c>
      <c r="D310" s="82" t="s">
        <v>27</v>
      </c>
      <c r="E310" s="60" t="s">
        <v>27</v>
      </c>
      <c r="F310" s="60" t="s">
        <v>27</v>
      </c>
      <c r="G310" s="60" t="s">
        <v>27</v>
      </c>
      <c r="H310" s="60" t="s">
        <v>27</v>
      </c>
      <c r="I310" s="60" t="s">
        <v>27</v>
      </c>
      <c r="J310" s="60" t="s">
        <v>27</v>
      </c>
      <c r="K310" s="60" t="s">
        <v>27</v>
      </c>
      <c r="L310" s="60" t="s">
        <v>27</v>
      </c>
      <c r="M310" s="60" t="s">
        <v>27</v>
      </c>
    </row>
    <row r="311" spans="1:13" ht="28.75" customHeight="1" x14ac:dyDescent="0.35">
      <c r="A311" s="61" t="s">
        <v>2811</v>
      </c>
      <c r="B311" s="60">
        <v>132</v>
      </c>
      <c r="C311" s="60">
        <v>70</v>
      </c>
      <c r="D311" s="60">
        <v>32</v>
      </c>
      <c r="E311" s="60">
        <v>11</v>
      </c>
      <c r="F311" s="60">
        <v>16</v>
      </c>
      <c r="G311" s="60">
        <v>3</v>
      </c>
      <c r="H311" s="60">
        <v>10165</v>
      </c>
      <c r="I311" s="60">
        <v>2924</v>
      </c>
      <c r="J311" s="60">
        <v>1752</v>
      </c>
      <c r="K311" s="60">
        <v>754</v>
      </c>
      <c r="L311" s="60">
        <v>2627</v>
      </c>
      <c r="M311" s="60">
        <v>2108</v>
      </c>
    </row>
    <row r="312" spans="1:13" ht="15" customHeight="1" thickBot="1" x14ac:dyDescent="0.4">
      <c r="A312" s="59"/>
      <c r="M312" s="24"/>
    </row>
    <row r="313" spans="1:13" ht="121" customHeight="1" x14ac:dyDescent="0.35">
      <c r="A313" s="174" t="s">
        <v>2859</v>
      </c>
      <c r="B313" s="174"/>
      <c r="C313" s="174"/>
      <c r="D313" s="174"/>
      <c r="E313" s="174"/>
      <c r="F313" s="174"/>
      <c r="G313" s="174"/>
      <c r="H313" s="175"/>
      <c r="I313" s="175"/>
      <c r="J313" s="175"/>
      <c r="K313" s="175"/>
      <c r="L313" s="175"/>
      <c r="M313" s="175"/>
    </row>
    <row r="314" spans="1:13" ht="15" customHeight="1" x14ac:dyDescent="0.35"/>
    <row r="315" spans="1:13" ht="15" customHeight="1" x14ac:dyDescent="0.35"/>
  </sheetData>
  <mergeCells count="4">
    <mergeCell ref="B3:G3"/>
    <mergeCell ref="H3:M3"/>
    <mergeCell ref="A313:M313"/>
    <mergeCell ref="A2:M2"/>
  </mergeCells>
  <pageMargins left="0.7" right="0.7" top="0.6" bottom="0.6" header="0.3" footer="0.3"/>
  <pageSetup scale="78" fitToHeight="0" orientation="portrait" r:id="rId1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9"/>
  <sheetViews>
    <sheetView workbookViewId="0">
      <selection activeCell="C4" sqref="C4:C5"/>
    </sheetView>
  </sheetViews>
  <sheetFormatPr defaultRowHeight="14.5" x14ac:dyDescent="0.35"/>
  <sheetData>
    <row r="1" spans="1:10" x14ac:dyDescent="0.35">
      <c r="A1" s="57" t="s">
        <v>2573</v>
      </c>
      <c r="F1" s="42"/>
      <c r="G1" s="39"/>
    </row>
    <row r="2" spans="1:10" x14ac:dyDescent="0.35">
      <c r="A2" s="177" t="s">
        <v>2574</v>
      </c>
      <c r="B2" s="164"/>
      <c r="C2" s="164"/>
      <c r="D2" s="164"/>
      <c r="E2" s="164"/>
      <c r="F2" s="164"/>
      <c r="G2" s="164"/>
      <c r="H2" s="176"/>
      <c r="I2" s="176"/>
      <c r="J2" s="176"/>
    </row>
    <row r="3" spans="1:10" ht="15.5" x14ac:dyDescent="0.35">
      <c r="A3" s="26"/>
      <c r="B3" s="178" t="s">
        <v>2575</v>
      </c>
      <c r="C3" s="178"/>
      <c r="D3" s="178"/>
      <c r="E3" s="178"/>
      <c r="F3" s="178"/>
      <c r="G3" s="178"/>
      <c r="H3" s="171" t="s">
        <v>2576</v>
      </c>
      <c r="I3" s="172"/>
      <c r="J3" s="172"/>
    </row>
    <row r="4" spans="1:10" ht="40" customHeight="1" x14ac:dyDescent="0.35">
      <c r="A4" s="26"/>
      <c r="B4" s="179" t="s">
        <v>2577</v>
      </c>
      <c r="C4" s="179" t="s">
        <v>2578</v>
      </c>
      <c r="D4" s="179" t="s">
        <v>2579</v>
      </c>
      <c r="E4" s="178" t="s">
        <v>2580</v>
      </c>
      <c r="F4" s="168"/>
      <c r="G4" s="168"/>
      <c r="H4" s="179" t="s">
        <v>2581</v>
      </c>
      <c r="I4" s="179" t="s">
        <v>2582</v>
      </c>
      <c r="J4" s="179" t="s">
        <v>2583</v>
      </c>
    </row>
    <row r="5" spans="1:10" ht="46" customHeight="1" thickBot="1" x14ac:dyDescent="0.4">
      <c r="A5" s="27"/>
      <c r="B5" s="180"/>
      <c r="C5" s="181"/>
      <c r="D5" s="181"/>
      <c r="E5" s="43" t="s">
        <v>2584</v>
      </c>
      <c r="F5" s="43" t="s">
        <v>2585</v>
      </c>
      <c r="G5" s="43" t="s">
        <v>2586</v>
      </c>
      <c r="H5" s="181"/>
      <c r="I5" s="181"/>
      <c r="J5" s="181"/>
    </row>
    <row r="6" spans="1:10" ht="27" thickTop="1" x14ac:dyDescent="0.35">
      <c r="A6" s="28" t="s">
        <v>2299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2.5" x14ac:dyDescent="0.35">
      <c r="A7" s="29" t="s">
        <v>2300</v>
      </c>
      <c r="B7" s="37" t="s">
        <v>27</v>
      </c>
      <c r="C7" s="45" t="s">
        <v>27</v>
      </c>
      <c r="D7" s="45" t="s">
        <v>27</v>
      </c>
      <c r="E7" s="45" t="s">
        <v>27</v>
      </c>
      <c r="F7" s="45" t="s">
        <v>27</v>
      </c>
      <c r="G7" s="45" t="s">
        <v>27</v>
      </c>
      <c r="H7" s="45" t="s">
        <v>27</v>
      </c>
      <c r="I7" s="45" t="s">
        <v>27</v>
      </c>
      <c r="J7" s="45" t="s">
        <v>27</v>
      </c>
    </row>
    <row r="8" spans="1:10" ht="26.5" x14ac:dyDescent="0.35">
      <c r="A8" s="30" t="s">
        <v>2301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6.5" x14ac:dyDescent="0.35">
      <c r="A9" s="30" t="s">
        <v>2302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6.5" x14ac:dyDescent="0.35">
      <c r="A10" s="30" t="s">
        <v>2303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6.5" x14ac:dyDescent="0.35">
      <c r="A11" s="30" t="s">
        <v>2304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6.5" x14ac:dyDescent="0.35">
      <c r="A12" s="30" t="s">
        <v>2305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39.5" x14ac:dyDescent="0.35">
      <c r="A13" s="30" t="s">
        <v>2306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39.5" x14ac:dyDescent="0.35">
      <c r="A14" s="30" t="s">
        <v>2307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6.5" x14ac:dyDescent="0.35">
      <c r="A15" s="30" t="s">
        <v>2308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39.5" x14ac:dyDescent="0.35">
      <c r="A16" s="29" t="s">
        <v>2310</v>
      </c>
      <c r="B16" s="37" t="s">
        <v>27</v>
      </c>
      <c r="C16" s="45" t="s">
        <v>27</v>
      </c>
      <c r="D16" s="45" t="s">
        <v>27</v>
      </c>
      <c r="E16" s="45" t="s">
        <v>27</v>
      </c>
      <c r="F16" s="45" t="s">
        <v>27</v>
      </c>
      <c r="G16" s="45" t="s">
        <v>27</v>
      </c>
      <c r="H16" s="45" t="s">
        <v>27</v>
      </c>
      <c r="I16" s="45" t="s">
        <v>27</v>
      </c>
      <c r="J16" s="45" t="s">
        <v>27</v>
      </c>
    </row>
    <row r="17" spans="1:10" x14ac:dyDescent="0.35">
      <c r="A17" s="30" t="s">
        <v>2311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ht="26.5" x14ac:dyDescent="0.35">
      <c r="A18" s="30" t="s">
        <v>2312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6.5" x14ac:dyDescent="0.35">
      <c r="A19" s="30" t="s">
        <v>2313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6.5" x14ac:dyDescent="0.35">
      <c r="A20" s="30" t="s">
        <v>2314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6.5" x14ac:dyDescent="0.35">
      <c r="A21" s="31" t="s">
        <v>2315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6.5" x14ac:dyDescent="0.35">
      <c r="A22" s="31" t="s">
        <v>2316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35">
      <c r="A23" s="30" t="s">
        <v>2317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6.5" x14ac:dyDescent="0.35">
      <c r="A24" s="30" t="s">
        <v>2318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2.5" x14ac:dyDescent="0.35">
      <c r="A25" s="31" t="s">
        <v>2319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52.5" x14ac:dyDescent="0.35">
      <c r="A26" s="31" t="s">
        <v>2320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35">
      <c r="A27" s="30" t="s">
        <v>2321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6.5" x14ac:dyDescent="0.35">
      <c r="A28" s="30" t="s">
        <v>2322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39.5" x14ac:dyDescent="0.35">
      <c r="A29" s="30" t="s">
        <v>2323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6.5" x14ac:dyDescent="0.35">
      <c r="A30" s="30" t="s">
        <v>2324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35">
      <c r="A31" s="30" t="s">
        <v>2325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39.5" x14ac:dyDescent="0.35">
      <c r="A32" s="30" t="s">
        <v>2326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35">
      <c r="A33" s="30" t="s">
        <v>2327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35">
      <c r="A34" s="30" t="s">
        <v>2328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39.5" x14ac:dyDescent="0.35">
      <c r="A35" s="29" t="s">
        <v>2329</v>
      </c>
      <c r="B35" s="37" t="s">
        <v>27</v>
      </c>
      <c r="C35" s="45" t="s">
        <v>27</v>
      </c>
      <c r="D35" s="45" t="s">
        <v>27</v>
      </c>
      <c r="E35" s="45" t="s">
        <v>27</v>
      </c>
      <c r="F35" s="45" t="s">
        <v>27</v>
      </c>
      <c r="G35" s="45" t="s">
        <v>27</v>
      </c>
      <c r="H35" s="45" t="s">
        <v>27</v>
      </c>
      <c r="I35" s="45" t="s">
        <v>27</v>
      </c>
      <c r="J35" s="45" t="s">
        <v>27</v>
      </c>
    </row>
    <row r="36" spans="1:10" ht="26.5" x14ac:dyDescent="0.35">
      <c r="A36" s="30" t="s">
        <v>2330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6.5" x14ac:dyDescent="0.35">
      <c r="A37" s="30" t="s">
        <v>2331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6.5" x14ac:dyDescent="0.35">
      <c r="A38" s="30" t="s">
        <v>2332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6.5" x14ac:dyDescent="0.35">
      <c r="A39" s="30" t="s">
        <v>2333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6.5" x14ac:dyDescent="0.35">
      <c r="A40" s="30" t="s">
        <v>2334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6.5" x14ac:dyDescent="0.35">
      <c r="A41" s="30" t="s">
        <v>2335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6.5" x14ac:dyDescent="0.35">
      <c r="A42" s="30" t="s">
        <v>2336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6.5" x14ac:dyDescent="0.35">
      <c r="A43" s="30" t="s">
        <v>2337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6.5" x14ac:dyDescent="0.35">
      <c r="A44" s="30" t="s">
        <v>2338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6.5" x14ac:dyDescent="0.35">
      <c r="A45" s="30" t="s">
        <v>2339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2.5" x14ac:dyDescent="0.35">
      <c r="A46" s="29" t="s">
        <v>2587</v>
      </c>
      <c r="B46" s="37" t="s">
        <v>27</v>
      </c>
      <c r="C46" s="45" t="s">
        <v>27</v>
      </c>
      <c r="D46" s="45" t="s">
        <v>27</v>
      </c>
      <c r="E46" s="45" t="s">
        <v>27</v>
      </c>
      <c r="F46" s="45" t="s">
        <v>27</v>
      </c>
      <c r="G46" s="45" t="s">
        <v>27</v>
      </c>
      <c r="H46" s="45" t="s">
        <v>27</v>
      </c>
      <c r="I46" s="45" t="s">
        <v>27</v>
      </c>
      <c r="J46" s="45" t="s">
        <v>27</v>
      </c>
    </row>
    <row r="47" spans="1:10" x14ac:dyDescent="0.35">
      <c r="A47" s="30" t="s">
        <v>2287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6.5" x14ac:dyDescent="0.35">
      <c r="A48" s="31" t="s">
        <v>2588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6.5" x14ac:dyDescent="0.35">
      <c r="A49" s="31" t="s">
        <v>2293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35">
      <c r="A50" s="30" t="s">
        <v>2288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39.5" x14ac:dyDescent="0.35">
      <c r="A51" s="31" t="s">
        <v>2294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39.5" x14ac:dyDescent="0.35">
      <c r="A52" s="31" t="s">
        <v>2295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35">
      <c r="A53" s="30" t="s">
        <v>2289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6.5" x14ac:dyDescent="0.35">
      <c r="A54" s="31" t="s">
        <v>2589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39.5" x14ac:dyDescent="0.35">
      <c r="A55" s="31" t="s">
        <v>2297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39.5" x14ac:dyDescent="0.35">
      <c r="A56" s="31" t="s">
        <v>2298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35">
      <c r="A57" s="30" t="s">
        <v>2290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6.5" x14ac:dyDescent="0.35">
      <c r="A58" s="31" t="s">
        <v>2590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35">
      <c r="A59" s="31" t="s">
        <v>2210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8" x14ac:dyDescent="0.35">
      <c r="A60" s="29" t="s">
        <v>2568</v>
      </c>
      <c r="B60" s="37" t="s">
        <v>27</v>
      </c>
      <c r="C60" s="45" t="s">
        <v>27</v>
      </c>
      <c r="D60" s="45" t="s">
        <v>27</v>
      </c>
      <c r="E60" s="45" t="s">
        <v>27</v>
      </c>
      <c r="F60" s="45" t="s">
        <v>27</v>
      </c>
      <c r="G60" s="45" t="s">
        <v>27</v>
      </c>
      <c r="H60" s="45" t="s">
        <v>27</v>
      </c>
      <c r="I60" s="45" t="s">
        <v>27</v>
      </c>
      <c r="J60" s="45" t="s">
        <v>27</v>
      </c>
    </row>
    <row r="61" spans="1:10" ht="26.5" x14ac:dyDescent="0.35">
      <c r="A61" s="30" t="s">
        <v>2569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6.5" x14ac:dyDescent="0.35">
      <c r="A62" s="30" t="s">
        <v>2570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39.5" x14ac:dyDescent="0.35">
      <c r="A63" s="30" t="s">
        <v>2571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ht="26.5" x14ac:dyDescent="0.35">
      <c r="A64" s="30" t="s">
        <v>483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35">
      <c r="A65" s="30" t="s">
        <v>226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6.5" x14ac:dyDescent="0.35">
      <c r="A66" s="29" t="s">
        <v>2340</v>
      </c>
      <c r="B66" s="37" t="s">
        <v>27</v>
      </c>
      <c r="C66" s="45" t="s">
        <v>27</v>
      </c>
      <c r="D66" s="45" t="s">
        <v>27</v>
      </c>
      <c r="E66" s="45" t="s">
        <v>27</v>
      </c>
      <c r="F66" s="45" t="s">
        <v>27</v>
      </c>
      <c r="G66" s="45" t="s">
        <v>27</v>
      </c>
      <c r="H66" s="45" t="s">
        <v>27</v>
      </c>
      <c r="I66" s="45" t="s">
        <v>27</v>
      </c>
      <c r="J66" s="45" t="s">
        <v>27</v>
      </c>
    </row>
    <row r="67" spans="1:10" x14ac:dyDescent="0.35">
      <c r="A67" s="30" t="s">
        <v>2341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35">
      <c r="A68" s="30" t="s">
        <v>2342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35">
      <c r="A69" s="30" t="s">
        <v>2343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6.5" x14ac:dyDescent="0.35">
      <c r="A70" s="30" t="s">
        <v>2344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6.5" x14ac:dyDescent="0.35">
      <c r="A71" s="30" t="s">
        <v>2345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1.5" x14ac:dyDescent="0.35">
      <c r="A72" s="29" t="s">
        <v>2346</v>
      </c>
      <c r="B72" s="37" t="s">
        <v>27</v>
      </c>
      <c r="C72" s="45" t="s">
        <v>27</v>
      </c>
      <c r="D72" s="45" t="s">
        <v>27</v>
      </c>
      <c r="E72" s="45" t="s">
        <v>27</v>
      </c>
      <c r="F72" s="45" t="s">
        <v>27</v>
      </c>
      <c r="G72" s="45" t="s">
        <v>27</v>
      </c>
      <c r="H72" s="45" t="s">
        <v>27</v>
      </c>
      <c r="I72" s="45" t="s">
        <v>27</v>
      </c>
      <c r="J72" s="45" t="s">
        <v>27</v>
      </c>
    </row>
    <row r="73" spans="1:10" ht="26.5" x14ac:dyDescent="0.35">
      <c r="A73" s="30" t="s">
        <v>2347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39.5" x14ac:dyDescent="0.35">
      <c r="A74" s="30" t="s">
        <v>2348</v>
      </c>
      <c r="B74" s="38" t="s">
        <v>27</v>
      </c>
      <c r="C74" s="46" t="s">
        <v>27</v>
      </c>
      <c r="D74" s="46" t="s">
        <v>27</v>
      </c>
      <c r="E74" s="46" t="s">
        <v>27</v>
      </c>
      <c r="F74" s="46" t="s">
        <v>27</v>
      </c>
      <c r="G74" s="46" t="s">
        <v>27</v>
      </c>
      <c r="H74" s="46" t="s">
        <v>27</v>
      </c>
      <c r="I74" s="46" t="s">
        <v>27</v>
      </c>
      <c r="J74" s="46" t="s">
        <v>27</v>
      </c>
    </row>
    <row r="75" spans="1:10" x14ac:dyDescent="0.35">
      <c r="A75" s="31" t="s">
        <v>2341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6.5" x14ac:dyDescent="0.35">
      <c r="A76" s="31" t="s">
        <v>2349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6.5" x14ac:dyDescent="0.35">
      <c r="A77" s="31" t="s">
        <v>2350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6.5" x14ac:dyDescent="0.35">
      <c r="A78" s="30" t="s">
        <v>2351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5.5" x14ac:dyDescent="0.35">
      <c r="A79" s="29" t="s">
        <v>2352</v>
      </c>
      <c r="B79" s="37" t="s">
        <v>27</v>
      </c>
      <c r="C79" s="45" t="s">
        <v>27</v>
      </c>
      <c r="D79" s="45" t="s">
        <v>27</v>
      </c>
      <c r="E79" s="45" t="s">
        <v>27</v>
      </c>
      <c r="F79" s="45" t="s">
        <v>27</v>
      </c>
      <c r="G79" s="45" t="s">
        <v>27</v>
      </c>
      <c r="H79" s="45" t="s">
        <v>27</v>
      </c>
      <c r="I79" s="45" t="s">
        <v>27</v>
      </c>
      <c r="J79" s="45" t="s">
        <v>27</v>
      </c>
    </row>
    <row r="80" spans="1:10" ht="26.5" x14ac:dyDescent="0.35">
      <c r="A80" s="30" t="s">
        <v>2353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35">
      <c r="A81" s="30" t="s">
        <v>2354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35">
      <c r="A82" s="30" t="s">
        <v>2355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35">
      <c r="A83" s="30" t="s">
        <v>2356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35">
      <c r="A84" s="30" t="s">
        <v>2357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ht="26.5" x14ac:dyDescent="0.35">
      <c r="A85" s="30" t="s">
        <v>2358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6.5" x14ac:dyDescent="0.35">
      <c r="A86" s="30" t="s">
        <v>2359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39.5" x14ac:dyDescent="0.35">
      <c r="A87" s="29" t="s">
        <v>2360</v>
      </c>
      <c r="B87" s="37" t="s">
        <v>27</v>
      </c>
      <c r="C87" s="45" t="s">
        <v>27</v>
      </c>
      <c r="D87" s="45" t="s">
        <v>27</v>
      </c>
      <c r="E87" s="45" t="s">
        <v>27</v>
      </c>
      <c r="F87" s="45" t="s">
        <v>27</v>
      </c>
      <c r="G87" s="45" t="s">
        <v>27</v>
      </c>
      <c r="H87" s="45" t="s">
        <v>27</v>
      </c>
      <c r="I87" s="45" t="s">
        <v>27</v>
      </c>
      <c r="J87" s="45" t="s">
        <v>27</v>
      </c>
    </row>
    <row r="88" spans="1:10" ht="26.5" x14ac:dyDescent="0.35">
      <c r="A88" s="30" t="s">
        <v>2361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35">
      <c r="A89" s="30" t="s">
        <v>2362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35">
      <c r="A90" s="30" t="s">
        <v>2363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35">
      <c r="A91" s="30" t="s">
        <v>2364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35">
      <c r="A92" s="30" t="s">
        <v>2365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39.5" x14ac:dyDescent="0.35">
      <c r="A93" s="30" t="s">
        <v>2366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52.5" x14ac:dyDescent="0.35">
      <c r="A94" s="29" t="s">
        <v>2367</v>
      </c>
      <c r="B94" s="37" t="s">
        <v>27</v>
      </c>
      <c r="C94" s="45" t="s">
        <v>27</v>
      </c>
      <c r="D94" s="45" t="s">
        <v>27</v>
      </c>
      <c r="E94" s="45" t="s">
        <v>27</v>
      </c>
      <c r="F94" s="45" t="s">
        <v>27</v>
      </c>
      <c r="G94" s="45" t="s">
        <v>27</v>
      </c>
      <c r="H94" s="45" t="s">
        <v>27</v>
      </c>
      <c r="I94" s="45" t="s">
        <v>27</v>
      </c>
      <c r="J94" s="45" t="s">
        <v>27</v>
      </c>
    </row>
    <row r="95" spans="1:10" ht="39.5" x14ac:dyDescent="0.35">
      <c r="A95" s="30" t="s">
        <v>2368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39.5" x14ac:dyDescent="0.35">
      <c r="A96" s="31" t="s">
        <v>2369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2.5" x14ac:dyDescent="0.35">
      <c r="A97" s="31" t="s">
        <v>2370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2.5" x14ac:dyDescent="0.35">
      <c r="A98" s="31" t="s">
        <v>2371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6.5" x14ac:dyDescent="0.35">
      <c r="A99" s="31" t="s">
        <v>2372</v>
      </c>
      <c r="B99" s="38">
        <v>47</v>
      </c>
      <c r="C99" s="46">
        <v>5.4</v>
      </c>
      <c r="D99" s="46" t="s">
        <v>27</v>
      </c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39.5" x14ac:dyDescent="0.35">
      <c r="A100" s="30" t="s">
        <v>2373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35">
      <c r="A101" s="31" t="s">
        <v>2374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35">
      <c r="A102" s="31" t="s">
        <v>237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35">
      <c r="A103" s="31" t="s">
        <v>2375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17.5" x14ac:dyDescent="0.35">
      <c r="A104" s="29" t="s">
        <v>2376</v>
      </c>
      <c r="B104" s="37" t="s">
        <v>27</v>
      </c>
      <c r="C104" s="45" t="s">
        <v>27</v>
      </c>
      <c r="D104" s="45" t="s">
        <v>27</v>
      </c>
      <c r="E104" s="45" t="s">
        <v>27</v>
      </c>
      <c r="F104" s="45" t="s">
        <v>27</v>
      </c>
      <c r="G104" s="45" t="s">
        <v>27</v>
      </c>
      <c r="H104" s="45" t="s">
        <v>27</v>
      </c>
      <c r="I104" s="45" t="s">
        <v>27</v>
      </c>
      <c r="J104" s="45" t="s">
        <v>27</v>
      </c>
    </row>
    <row r="105" spans="1:10" ht="26.5" x14ac:dyDescent="0.35">
      <c r="A105" s="30" t="s">
        <v>2377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39.5" x14ac:dyDescent="0.35">
      <c r="A106" s="30" t="s">
        <v>2378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39.5" x14ac:dyDescent="0.35">
      <c r="A107" s="30" t="s">
        <v>2379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35">
      <c r="A108" s="30" t="s">
        <v>2380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4.5" x14ac:dyDescent="0.35">
      <c r="A109" s="29" t="s">
        <v>2381</v>
      </c>
      <c r="B109" s="37" t="s">
        <v>27</v>
      </c>
      <c r="C109" s="45" t="s">
        <v>27</v>
      </c>
      <c r="D109" s="45" t="s">
        <v>27</v>
      </c>
      <c r="E109" s="45" t="s">
        <v>27</v>
      </c>
      <c r="F109" s="45" t="s">
        <v>27</v>
      </c>
      <c r="G109" s="45" t="s">
        <v>27</v>
      </c>
      <c r="H109" s="45" t="s">
        <v>27</v>
      </c>
      <c r="I109" s="45" t="s">
        <v>27</v>
      </c>
      <c r="J109" s="45" t="s">
        <v>27</v>
      </c>
    </row>
    <row r="110" spans="1:10" ht="26.5" x14ac:dyDescent="0.35">
      <c r="A110" s="30" t="s">
        <v>2377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39.5" x14ac:dyDescent="0.35">
      <c r="A111" s="30" t="s">
        <v>2378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39.5" x14ac:dyDescent="0.35">
      <c r="A112" s="30" t="s">
        <v>2379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35">
      <c r="A113" s="30" t="s">
        <v>2380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2.5" x14ac:dyDescent="0.35">
      <c r="A114" s="29" t="s">
        <v>2382</v>
      </c>
      <c r="B114" s="37" t="s">
        <v>27</v>
      </c>
      <c r="C114" s="45" t="s">
        <v>27</v>
      </c>
      <c r="D114" s="45" t="s">
        <v>27</v>
      </c>
      <c r="E114" s="45" t="s">
        <v>27</v>
      </c>
      <c r="F114" s="45" t="s">
        <v>27</v>
      </c>
      <c r="G114" s="45" t="s">
        <v>27</v>
      </c>
      <c r="H114" s="45" t="s">
        <v>27</v>
      </c>
      <c r="I114" s="45" t="s">
        <v>27</v>
      </c>
      <c r="J114" s="45" t="s">
        <v>27</v>
      </c>
    </row>
    <row r="115" spans="1:10" x14ac:dyDescent="0.35">
      <c r="A115" s="30" t="s">
        <v>2341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35">
      <c r="A116" s="30" t="s">
        <v>2383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35">
      <c r="A117" s="30" t="s">
        <v>2384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35">
      <c r="A118" s="30" t="s">
        <v>2385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6.5" x14ac:dyDescent="0.35">
      <c r="A119" s="30" t="s">
        <v>2386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39.5" x14ac:dyDescent="0.35">
      <c r="A120" s="30" t="s">
        <v>2387</v>
      </c>
      <c r="B120" s="38">
        <v>52</v>
      </c>
      <c r="C120" s="46">
        <v>5.4</v>
      </c>
      <c r="D120" s="46" t="s">
        <v>27</v>
      </c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5.5" x14ac:dyDescent="0.35">
      <c r="A121" s="29" t="s">
        <v>2401</v>
      </c>
      <c r="B121" s="37" t="s">
        <v>27</v>
      </c>
      <c r="C121" s="45" t="s">
        <v>27</v>
      </c>
      <c r="D121" s="45" t="s">
        <v>27</v>
      </c>
      <c r="E121" s="45" t="s">
        <v>27</v>
      </c>
      <c r="F121" s="45" t="s">
        <v>27</v>
      </c>
      <c r="G121" s="45" t="s">
        <v>27</v>
      </c>
      <c r="H121" s="45" t="s">
        <v>27</v>
      </c>
      <c r="I121" s="45" t="s">
        <v>27</v>
      </c>
      <c r="J121" s="45" t="s">
        <v>27</v>
      </c>
    </row>
    <row r="122" spans="1:10" ht="39.5" x14ac:dyDescent="0.35">
      <c r="A122" s="30" t="s">
        <v>2402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39.5" x14ac:dyDescent="0.35">
      <c r="A123" s="30" t="s">
        <v>2403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6.5" x14ac:dyDescent="0.35">
      <c r="A124" s="30" t="s">
        <v>2404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6.5" x14ac:dyDescent="0.35">
      <c r="A125" s="30" t="s">
        <v>2405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6.5" x14ac:dyDescent="0.35">
      <c r="A126" s="30" t="s">
        <v>2406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6.5" x14ac:dyDescent="0.35">
      <c r="A127" s="30" t="s">
        <v>2407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35">
      <c r="A128" s="30" t="s">
        <v>2380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39.5" x14ac:dyDescent="0.35">
      <c r="A129" s="30" t="s">
        <v>2408</v>
      </c>
      <c r="B129" s="38">
        <v>2101</v>
      </c>
      <c r="C129" s="46">
        <v>76.099999999999994</v>
      </c>
      <c r="D129" s="46" t="s">
        <v>2309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39.5" x14ac:dyDescent="0.35">
      <c r="A130" s="29" t="s">
        <v>2409</v>
      </c>
      <c r="B130" s="37" t="s">
        <v>27</v>
      </c>
      <c r="C130" s="45" t="s">
        <v>27</v>
      </c>
      <c r="D130" s="45" t="s">
        <v>27</v>
      </c>
      <c r="E130" s="45" t="s">
        <v>27</v>
      </c>
      <c r="F130" s="45" t="s">
        <v>27</v>
      </c>
      <c r="G130" s="45" t="s">
        <v>27</v>
      </c>
      <c r="H130" s="45" t="s">
        <v>27</v>
      </c>
      <c r="I130" s="45" t="s">
        <v>27</v>
      </c>
      <c r="J130" s="45" t="s">
        <v>27</v>
      </c>
    </row>
    <row r="131" spans="1:10" ht="26.5" x14ac:dyDescent="0.35">
      <c r="A131" s="30" t="s">
        <v>2410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6.5" x14ac:dyDescent="0.35">
      <c r="A132" s="30" t="s">
        <v>2411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35">
      <c r="A133" s="30" t="s">
        <v>2412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39.5" x14ac:dyDescent="0.35">
      <c r="A134" s="30" t="s">
        <v>2413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2.5" x14ac:dyDescent="0.35">
      <c r="A135" s="30" t="s">
        <v>2414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5.5" x14ac:dyDescent="0.35">
      <c r="A136" s="30" t="s">
        <v>2415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35">
      <c r="A137" s="30" t="s">
        <v>2416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35">
      <c r="A138" s="30" t="s">
        <v>2380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39.5" x14ac:dyDescent="0.35">
      <c r="A139" s="30" t="s">
        <v>2408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39.5" x14ac:dyDescent="0.35">
      <c r="A140" s="29" t="s">
        <v>2417</v>
      </c>
      <c r="B140" s="37" t="s">
        <v>27</v>
      </c>
      <c r="C140" s="45" t="s">
        <v>27</v>
      </c>
      <c r="D140" s="45" t="s">
        <v>27</v>
      </c>
      <c r="E140" s="45" t="s">
        <v>27</v>
      </c>
      <c r="F140" s="45" t="s">
        <v>27</v>
      </c>
      <c r="G140" s="45" t="s">
        <v>27</v>
      </c>
      <c r="H140" s="45" t="s">
        <v>27</v>
      </c>
      <c r="I140" s="45" t="s">
        <v>27</v>
      </c>
      <c r="J140" s="45" t="s">
        <v>27</v>
      </c>
    </row>
    <row r="141" spans="1:10" x14ac:dyDescent="0.35">
      <c r="A141" s="30" t="s">
        <v>2418</v>
      </c>
      <c r="B141" s="38" t="s">
        <v>27</v>
      </c>
      <c r="C141" s="46" t="s">
        <v>27</v>
      </c>
      <c r="D141" s="46" t="s">
        <v>27</v>
      </c>
      <c r="E141" s="46" t="s">
        <v>27</v>
      </c>
      <c r="F141" s="46" t="s">
        <v>27</v>
      </c>
      <c r="G141" s="46" t="s">
        <v>27</v>
      </c>
      <c r="H141" s="46" t="s">
        <v>27</v>
      </c>
      <c r="I141" s="46" t="s">
        <v>27</v>
      </c>
      <c r="J141" s="46" t="s">
        <v>27</v>
      </c>
    </row>
    <row r="142" spans="1:10" x14ac:dyDescent="0.35">
      <c r="A142" s="31" t="s">
        <v>2419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6.5" x14ac:dyDescent="0.35">
      <c r="A143" s="31" t="s">
        <v>2420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6.5" x14ac:dyDescent="0.35">
      <c r="A144" s="31" t="s">
        <v>2421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35">
      <c r="A145" s="30" t="s">
        <v>2422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0.5" x14ac:dyDescent="0.35">
      <c r="A146" s="29" t="s">
        <v>2423</v>
      </c>
      <c r="B146" s="37" t="s">
        <v>27</v>
      </c>
      <c r="C146" s="45" t="s">
        <v>27</v>
      </c>
      <c r="D146" s="45" t="s">
        <v>27</v>
      </c>
      <c r="E146" s="45" t="s">
        <v>27</v>
      </c>
      <c r="F146" s="45" t="s">
        <v>27</v>
      </c>
      <c r="G146" s="45" t="s">
        <v>27</v>
      </c>
      <c r="H146" s="45" t="s">
        <v>27</v>
      </c>
      <c r="I146" s="45" t="s">
        <v>27</v>
      </c>
      <c r="J146" s="45" t="s">
        <v>27</v>
      </c>
    </row>
    <row r="147" spans="1:10" ht="52.5" x14ac:dyDescent="0.35">
      <c r="A147" s="30" t="s">
        <v>2424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39.5" x14ac:dyDescent="0.35">
      <c r="A148" s="31" t="s">
        <v>2425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2.5" x14ac:dyDescent="0.35">
      <c r="A149" s="31" t="s">
        <v>2426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39.5" x14ac:dyDescent="0.35">
      <c r="A150" s="31" t="s">
        <v>2427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2.5" x14ac:dyDescent="0.35">
      <c r="A151" s="31" t="s">
        <v>2428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2.5" x14ac:dyDescent="0.35">
      <c r="A152" s="31" t="s">
        <v>2429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39.5" x14ac:dyDescent="0.35">
      <c r="A153" s="31" t="s">
        <v>2430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2.5" x14ac:dyDescent="0.35">
      <c r="A154" s="31" t="s">
        <v>2431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6.5" x14ac:dyDescent="0.35">
      <c r="A155" s="31" t="s">
        <v>2432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39.5" x14ac:dyDescent="0.35">
      <c r="A156" s="31" t="s">
        <v>2433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39.5" x14ac:dyDescent="0.35">
      <c r="A157" s="31" t="s">
        <v>2434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39.5" x14ac:dyDescent="0.35">
      <c r="A158" s="31" t="s">
        <v>2435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5.5" x14ac:dyDescent="0.35">
      <c r="A159" s="31" t="s">
        <v>2436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39.5" x14ac:dyDescent="0.35">
      <c r="A160" s="31" t="s">
        <v>2437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35">
      <c r="A161" s="31" t="s">
        <v>2380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39.5" x14ac:dyDescent="0.35">
      <c r="A162" s="30" t="s">
        <v>2438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2.5" x14ac:dyDescent="0.35">
      <c r="A163" s="30" t="s">
        <v>2439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78.5" x14ac:dyDescent="0.35">
      <c r="A164" s="29" t="s">
        <v>2440</v>
      </c>
      <c r="B164" s="37" t="s">
        <v>27</v>
      </c>
      <c r="C164" s="45" t="s">
        <v>27</v>
      </c>
      <c r="D164" s="45" t="s">
        <v>27</v>
      </c>
      <c r="E164" s="45" t="s">
        <v>27</v>
      </c>
      <c r="F164" s="45" t="s">
        <v>27</v>
      </c>
      <c r="G164" s="45" t="s">
        <v>27</v>
      </c>
      <c r="H164" s="45" t="s">
        <v>27</v>
      </c>
      <c r="I164" s="45" t="s">
        <v>27</v>
      </c>
      <c r="J164" s="45" t="s">
        <v>27</v>
      </c>
    </row>
    <row r="165" spans="1:10" x14ac:dyDescent="0.35">
      <c r="A165" s="30" t="s">
        <v>2441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6.5" x14ac:dyDescent="0.35">
      <c r="A166" s="30" t="s">
        <v>2442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35">
      <c r="A167" s="30" t="s">
        <v>2443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6.5" x14ac:dyDescent="0.35">
      <c r="A168" s="30" t="s">
        <v>2444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39.5" x14ac:dyDescent="0.35">
      <c r="A169" s="30" t="s">
        <v>2445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35">
      <c r="A170" s="30" t="s">
        <v>2446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35">
      <c r="A171" s="30" t="s">
        <v>2380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4.5" x14ac:dyDescent="0.35">
      <c r="A172" s="29" t="s">
        <v>2447</v>
      </c>
      <c r="B172" s="37" t="s">
        <v>27</v>
      </c>
      <c r="C172" s="45" t="s">
        <v>27</v>
      </c>
      <c r="D172" s="45" t="s">
        <v>27</v>
      </c>
      <c r="E172" s="45" t="s">
        <v>27</v>
      </c>
      <c r="F172" s="45" t="s">
        <v>27</v>
      </c>
      <c r="G172" s="45" t="s">
        <v>27</v>
      </c>
      <c r="H172" s="45" t="s">
        <v>27</v>
      </c>
      <c r="I172" s="45" t="s">
        <v>27</v>
      </c>
      <c r="J172" s="45" t="s">
        <v>27</v>
      </c>
    </row>
    <row r="173" spans="1:10" x14ac:dyDescent="0.35">
      <c r="A173" s="30" t="s">
        <v>2441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6.5" x14ac:dyDescent="0.35">
      <c r="A174" s="30" t="s">
        <v>2442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35">
      <c r="A175" s="30" t="s">
        <v>2443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6.5" x14ac:dyDescent="0.35">
      <c r="A176" s="30" t="s">
        <v>2444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35">
      <c r="A177" s="30" t="s">
        <v>2446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35">
      <c r="A178" s="30" t="s">
        <v>2380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5.5" x14ac:dyDescent="0.35">
      <c r="A179" s="29" t="s">
        <v>2448</v>
      </c>
      <c r="B179" s="37" t="s">
        <v>27</v>
      </c>
      <c r="C179" s="45" t="s">
        <v>27</v>
      </c>
      <c r="D179" s="45" t="s">
        <v>27</v>
      </c>
      <c r="E179" s="45" t="s">
        <v>27</v>
      </c>
      <c r="F179" s="45" t="s">
        <v>27</v>
      </c>
      <c r="G179" s="45" t="s">
        <v>27</v>
      </c>
      <c r="H179" s="45" t="s">
        <v>27</v>
      </c>
      <c r="I179" s="45" t="s">
        <v>27</v>
      </c>
      <c r="J179" s="45" t="s">
        <v>27</v>
      </c>
    </row>
    <row r="180" spans="1:10" x14ac:dyDescent="0.35">
      <c r="A180" s="30" t="s">
        <v>2441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6.5" x14ac:dyDescent="0.35">
      <c r="A181" s="30" t="s">
        <v>2442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35">
      <c r="A182" s="30" t="s">
        <v>2443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6.5" x14ac:dyDescent="0.35">
      <c r="A183" s="30" t="s">
        <v>2444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35">
      <c r="A184" s="30" t="s">
        <v>2446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35">
      <c r="A185" s="30" t="s">
        <v>2380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1.5" x14ac:dyDescent="0.35">
      <c r="A186" s="29" t="s">
        <v>2449</v>
      </c>
      <c r="B186" s="37" t="s">
        <v>27</v>
      </c>
      <c r="C186" s="45" t="s">
        <v>27</v>
      </c>
      <c r="D186" s="45" t="s">
        <v>27</v>
      </c>
      <c r="E186" s="45" t="s">
        <v>27</v>
      </c>
      <c r="F186" s="45" t="s">
        <v>27</v>
      </c>
      <c r="G186" s="45" t="s">
        <v>27</v>
      </c>
      <c r="H186" s="45" t="s">
        <v>27</v>
      </c>
      <c r="I186" s="45" t="s">
        <v>27</v>
      </c>
      <c r="J186" s="45" t="s">
        <v>27</v>
      </c>
    </row>
    <row r="187" spans="1:10" x14ac:dyDescent="0.35">
      <c r="A187" s="30" t="s">
        <v>2441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6.5" x14ac:dyDescent="0.35">
      <c r="A188" s="30" t="s">
        <v>2442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39.5" x14ac:dyDescent="0.35">
      <c r="A189" s="30" t="s">
        <v>2445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4.5" x14ac:dyDescent="0.35">
      <c r="A190" s="29" t="s">
        <v>2450</v>
      </c>
      <c r="B190" s="37" t="s">
        <v>27</v>
      </c>
      <c r="C190" s="45" t="s">
        <v>27</v>
      </c>
      <c r="D190" s="45" t="s">
        <v>27</v>
      </c>
      <c r="E190" s="45" t="s">
        <v>27</v>
      </c>
      <c r="F190" s="45" t="s">
        <v>27</v>
      </c>
      <c r="G190" s="45" t="s">
        <v>27</v>
      </c>
      <c r="H190" s="45" t="s">
        <v>27</v>
      </c>
      <c r="I190" s="45" t="s">
        <v>27</v>
      </c>
      <c r="J190" s="45" t="s">
        <v>27</v>
      </c>
    </row>
    <row r="191" spans="1:10" x14ac:dyDescent="0.35">
      <c r="A191" s="30" t="s">
        <v>2441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6.5" x14ac:dyDescent="0.35">
      <c r="A192" s="30" t="s">
        <v>2442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35">
      <c r="A193" s="30" t="s">
        <v>2443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6.5" x14ac:dyDescent="0.35">
      <c r="A194" s="30" t="s">
        <v>2444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35">
      <c r="A195" s="30" t="s">
        <v>2446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1.5" x14ac:dyDescent="0.35">
      <c r="A196" s="29" t="s">
        <v>2451</v>
      </c>
      <c r="B196" s="37" t="s">
        <v>27</v>
      </c>
      <c r="C196" s="45" t="s">
        <v>27</v>
      </c>
      <c r="D196" s="45" t="s">
        <v>27</v>
      </c>
      <c r="E196" s="45" t="s">
        <v>27</v>
      </c>
      <c r="F196" s="45" t="s">
        <v>27</v>
      </c>
      <c r="G196" s="45" t="s">
        <v>27</v>
      </c>
      <c r="H196" s="45" t="s">
        <v>27</v>
      </c>
      <c r="I196" s="45" t="s">
        <v>27</v>
      </c>
      <c r="J196" s="45" t="s">
        <v>27</v>
      </c>
    </row>
    <row r="197" spans="1:10" x14ac:dyDescent="0.35">
      <c r="A197" s="30" t="s">
        <v>2441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6.5" x14ac:dyDescent="0.35">
      <c r="A198" s="30" t="s">
        <v>2442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35">
      <c r="A199" s="30" t="s">
        <v>2446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78.5" x14ac:dyDescent="0.35">
      <c r="A200" s="29" t="s">
        <v>2452</v>
      </c>
      <c r="B200" s="37" t="s">
        <v>27</v>
      </c>
      <c r="C200" s="45" t="s">
        <v>27</v>
      </c>
      <c r="D200" s="45" t="s">
        <v>27</v>
      </c>
      <c r="E200" s="45" t="s">
        <v>27</v>
      </c>
      <c r="F200" s="45" t="s">
        <v>27</v>
      </c>
      <c r="G200" s="45" t="s">
        <v>27</v>
      </c>
      <c r="H200" s="45" t="s">
        <v>27</v>
      </c>
      <c r="I200" s="45" t="s">
        <v>27</v>
      </c>
      <c r="J200" s="45" t="s">
        <v>27</v>
      </c>
    </row>
    <row r="201" spans="1:10" ht="52.5" x14ac:dyDescent="0.35">
      <c r="A201" s="30" t="s">
        <v>2453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39.5" x14ac:dyDescent="0.35">
      <c r="A202" s="30" t="s">
        <v>2454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2.5" x14ac:dyDescent="0.35">
      <c r="A203" s="30" t="s">
        <v>2455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39.5" x14ac:dyDescent="0.35">
      <c r="A204" s="30" t="s">
        <v>2456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2.5" x14ac:dyDescent="0.35">
      <c r="A205" s="30" t="s">
        <v>2457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5.5" x14ac:dyDescent="0.35">
      <c r="A206" s="30" t="s">
        <v>2458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39.5" x14ac:dyDescent="0.35">
      <c r="A207" s="29" t="s">
        <v>2459</v>
      </c>
      <c r="B207" s="37" t="s">
        <v>27</v>
      </c>
      <c r="C207" s="45" t="s">
        <v>27</v>
      </c>
      <c r="D207" s="45" t="s">
        <v>27</v>
      </c>
      <c r="E207" s="45" t="s">
        <v>27</v>
      </c>
      <c r="F207" s="45" t="s">
        <v>27</v>
      </c>
      <c r="G207" s="45" t="s">
        <v>27</v>
      </c>
      <c r="H207" s="45" t="s">
        <v>27</v>
      </c>
      <c r="I207" s="45" t="s">
        <v>27</v>
      </c>
      <c r="J207" s="45" t="s">
        <v>27</v>
      </c>
    </row>
    <row r="208" spans="1:10" ht="26.5" x14ac:dyDescent="0.35">
      <c r="A208" s="30" t="s">
        <v>2460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35">
      <c r="A209" s="30" t="s">
        <v>2461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35">
      <c r="A210" s="30" t="s">
        <v>2462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35">
      <c r="A211" s="32" t="s">
        <v>2463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39.5" x14ac:dyDescent="0.35">
      <c r="A212" s="29" t="s">
        <v>2464</v>
      </c>
      <c r="B212" s="37" t="s">
        <v>27</v>
      </c>
      <c r="C212" s="45" t="s">
        <v>27</v>
      </c>
      <c r="D212" s="45" t="s">
        <v>27</v>
      </c>
      <c r="E212" s="45" t="s">
        <v>27</v>
      </c>
      <c r="F212" s="45" t="s">
        <v>27</v>
      </c>
      <c r="G212" s="45" t="s">
        <v>27</v>
      </c>
      <c r="H212" s="45" t="s">
        <v>27</v>
      </c>
      <c r="I212" s="45" t="s">
        <v>27</v>
      </c>
      <c r="J212" s="45" t="s">
        <v>27</v>
      </c>
    </row>
    <row r="213" spans="1:10" ht="26.5" x14ac:dyDescent="0.35">
      <c r="A213" s="30" t="s">
        <v>2465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35">
      <c r="A214" s="30" t="s">
        <v>2461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35">
      <c r="A215" s="30" t="s">
        <v>2462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35">
      <c r="A216" s="32" t="s">
        <v>2463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39.5" x14ac:dyDescent="0.35">
      <c r="A217" s="29" t="s">
        <v>2466</v>
      </c>
      <c r="B217" s="37" t="s">
        <v>27</v>
      </c>
      <c r="C217" s="45" t="s">
        <v>27</v>
      </c>
      <c r="D217" s="45" t="s">
        <v>27</v>
      </c>
      <c r="E217" s="45" t="s">
        <v>27</v>
      </c>
      <c r="F217" s="45" t="s">
        <v>27</v>
      </c>
      <c r="G217" s="45" t="s">
        <v>27</v>
      </c>
      <c r="H217" s="45" t="s">
        <v>27</v>
      </c>
      <c r="I217" s="45" t="s">
        <v>27</v>
      </c>
      <c r="J217" s="45" t="s">
        <v>27</v>
      </c>
    </row>
    <row r="218" spans="1:10" x14ac:dyDescent="0.35">
      <c r="A218" s="30" t="s">
        <v>2467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35">
      <c r="A219" s="30" t="s">
        <v>2461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35">
      <c r="A220" s="30" t="s">
        <v>2462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35">
      <c r="A221" s="32" t="s">
        <v>2463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5.5" x14ac:dyDescent="0.35">
      <c r="A222" s="32" t="s">
        <v>2468</v>
      </c>
      <c r="B222" s="38">
        <v>48</v>
      </c>
      <c r="C222" s="46">
        <v>6.6</v>
      </c>
      <c r="D222" s="46" t="s">
        <v>2309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39.5" x14ac:dyDescent="0.35">
      <c r="A223" s="29" t="s">
        <v>2469</v>
      </c>
      <c r="B223" s="37" t="s">
        <v>27</v>
      </c>
      <c r="C223" s="45" t="s">
        <v>27</v>
      </c>
      <c r="D223" s="45" t="s">
        <v>27</v>
      </c>
      <c r="E223" s="45" t="s">
        <v>27</v>
      </c>
      <c r="F223" s="45" t="s">
        <v>27</v>
      </c>
      <c r="G223" s="45" t="s">
        <v>27</v>
      </c>
      <c r="H223" s="45" t="s">
        <v>27</v>
      </c>
      <c r="I223" s="45" t="s">
        <v>27</v>
      </c>
      <c r="J223" s="45" t="s">
        <v>27</v>
      </c>
    </row>
    <row r="224" spans="1:10" x14ac:dyDescent="0.35">
      <c r="A224" s="30" t="s">
        <v>2467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35">
      <c r="A225" s="30" t="s">
        <v>2461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35">
      <c r="A226" s="30" t="s">
        <v>2470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5.5" x14ac:dyDescent="0.35">
      <c r="A227" s="32" t="s">
        <v>2471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6.5" x14ac:dyDescent="0.35">
      <c r="A228" s="32" t="s">
        <v>2472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 t="s">
        <v>27</v>
      </c>
    </row>
    <row r="229" spans="1:10" ht="91.5" x14ac:dyDescent="0.35">
      <c r="A229" s="29" t="s">
        <v>2473</v>
      </c>
      <c r="B229" s="37" t="s">
        <v>27</v>
      </c>
      <c r="C229" s="45" t="s">
        <v>27</v>
      </c>
      <c r="D229" s="45" t="s">
        <v>27</v>
      </c>
      <c r="E229" s="45" t="s">
        <v>27</v>
      </c>
      <c r="F229" s="45" t="s">
        <v>27</v>
      </c>
      <c r="G229" s="45" t="s">
        <v>27</v>
      </c>
      <c r="H229" s="45" t="s">
        <v>27</v>
      </c>
      <c r="I229" s="45" t="s">
        <v>27</v>
      </c>
      <c r="J229" s="45" t="s">
        <v>27</v>
      </c>
    </row>
    <row r="230" spans="1:10" ht="26.5" x14ac:dyDescent="0.35">
      <c r="A230" s="30" t="s">
        <v>2474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35">
      <c r="A231" s="30" t="s">
        <v>2475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39.5" x14ac:dyDescent="0.35">
      <c r="A232" s="30" t="s">
        <v>2476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6.5" x14ac:dyDescent="0.35">
      <c r="A233" s="30" t="s">
        <v>2444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35">
      <c r="A234" s="30" t="s">
        <v>2477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39.5" x14ac:dyDescent="0.35">
      <c r="A235" s="30" t="s">
        <v>2478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35">
      <c r="A236" s="30" t="s">
        <v>2380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1.5" x14ac:dyDescent="0.35">
      <c r="A237" s="29" t="s">
        <v>2479</v>
      </c>
      <c r="B237" s="37" t="s">
        <v>27</v>
      </c>
      <c r="C237" s="45" t="s">
        <v>27</v>
      </c>
      <c r="D237" s="45" t="s">
        <v>27</v>
      </c>
      <c r="E237" s="45" t="s">
        <v>27</v>
      </c>
      <c r="F237" s="45" t="s">
        <v>27</v>
      </c>
      <c r="G237" s="45" t="s">
        <v>27</v>
      </c>
      <c r="H237" s="45" t="s">
        <v>27</v>
      </c>
      <c r="I237" s="45" t="s">
        <v>27</v>
      </c>
      <c r="J237" s="45" t="s">
        <v>27</v>
      </c>
    </row>
    <row r="238" spans="1:10" ht="65.5" x14ac:dyDescent="0.35">
      <c r="A238" s="30" t="s">
        <v>2480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6.5" x14ac:dyDescent="0.35">
      <c r="A239" s="30" t="s">
        <v>2474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2.5" x14ac:dyDescent="0.35">
      <c r="A240" s="30" t="s">
        <v>2481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39.5" x14ac:dyDescent="0.35">
      <c r="A241" s="30" t="s">
        <v>2445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6.5" x14ac:dyDescent="0.35">
      <c r="A242" s="30" t="s">
        <v>2482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2.5" x14ac:dyDescent="0.35">
      <c r="A243" s="30" t="s">
        <v>2483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6.5" x14ac:dyDescent="0.35">
      <c r="A244" s="30" t="s">
        <v>2484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35">
      <c r="A245" s="30" t="s">
        <v>2380</v>
      </c>
      <c r="B245" s="38" t="s">
        <v>2309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2309</v>
      </c>
      <c r="I245" s="46">
        <v>3.07</v>
      </c>
      <c r="J245" s="46">
        <v>22.36</v>
      </c>
    </row>
    <row r="246" spans="1:10" ht="117.5" x14ac:dyDescent="0.35">
      <c r="A246" s="29" t="s">
        <v>2485</v>
      </c>
      <c r="B246" s="37" t="s">
        <v>27</v>
      </c>
      <c r="C246" s="45" t="s">
        <v>27</v>
      </c>
      <c r="D246" s="45" t="s">
        <v>27</v>
      </c>
      <c r="E246" s="45" t="s">
        <v>27</v>
      </c>
      <c r="F246" s="45" t="s">
        <v>27</v>
      </c>
      <c r="G246" s="45" t="s">
        <v>27</v>
      </c>
      <c r="H246" s="45" t="s">
        <v>27</v>
      </c>
      <c r="I246" s="45" t="s">
        <v>27</v>
      </c>
      <c r="J246" s="45" t="s">
        <v>27</v>
      </c>
    </row>
    <row r="247" spans="1:10" x14ac:dyDescent="0.35">
      <c r="A247" s="30" t="s">
        <v>2486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35">
      <c r="A248" s="30" t="s">
        <v>2487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2.5" x14ac:dyDescent="0.35">
      <c r="A249" s="29" t="s">
        <v>2488</v>
      </c>
      <c r="B249" s="37" t="s">
        <v>27</v>
      </c>
      <c r="C249" s="45" t="s">
        <v>27</v>
      </c>
      <c r="D249" s="45" t="s">
        <v>27</v>
      </c>
      <c r="E249" s="45" t="s">
        <v>27</v>
      </c>
      <c r="F249" s="45" t="s">
        <v>27</v>
      </c>
      <c r="G249" s="45" t="s">
        <v>27</v>
      </c>
      <c r="H249" s="45" t="s">
        <v>27</v>
      </c>
      <c r="I249" s="45" t="s">
        <v>27</v>
      </c>
      <c r="J249" s="45" t="s">
        <v>27</v>
      </c>
    </row>
    <row r="250" spans="1:10" ht="26.5" x14ac:dyDescent="0.35">
      <c r="A250" s="30" t="s">
        <v>2489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6.5" x14ac:dyDescent="0.35">
      <c r="A251" s="30" t="s">
        <v>2490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78.5" x14ac:dyDescent="0.35">
      <c r="A252" s="30" t="s">
        <v>2491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1.5" x14ac:dyDescent="0.35">
      <c r="A253" s="29" t="s">
        <v>2492</v>
      </c>
      <c r="B253" s="37" t="s">
        <v>27</v>
      </c>
      <c r="C253" s="45" t="s">
        <v>27</v>
      </c>
      <c r="D253" s="45" t="s">
        <v>27</v>
      </c>
      <c r="E253" s="45" t="s">
        <v>27</v>
      </c>
      <c r="F253" s="45" t="s">
        <v>27</v>
      </c>
      <c r="G253" s="45" t="s">
        <v>27</v>
      </c>
      <c r="H253" s="45" t="s">
        <v>27</v>
      </c>
      <c r="I253" s="45" t="s">
        <v>27</v>
      </c>
      <c r="J253" s="45" t="s">
        <v>27</v>
      </c>
    </row>
    <row r="254" spans="1:10" ht="26.5" x14ac:dyDescent="0.35">
      <c r="A254" s="30" t="s">
        <v>2493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39.5" x14ac:dyDescent="0.35">
      <c r="A255" s="30" t="s">
        <v>2494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39.5" x14ac:dyDescent="0.35">
      <c r="A256" s="30" t="s">
        <v>2495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2.5" x14ac:dyDescent="0.35">
      <c r="A257" s="30" t="s">
        <v>2496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35">
      <c r="A258" s="30" t="s">
        <v>2497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35">
      <c r="A259" s="30" t="s">
        <v>2498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35">
      <c r="A260" s="30" t="s">
        <v>2380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4.5" x14ac:dyDescent="0.35">
      <c r="A261" s="29" t="s">
        <v>2499</v>
      </c>
      <c r="B261" s="37" t="s">
        <v>27</v>
      </c>
      <c r="C261" s="45" t="s">
        <v>27</v>
      </c>
      <c r="D261" s="45" t="s">
        <v>27</v>
      </c>
      <c r="E261" s="45" t="s">
        <v>27</v>
      </c>
      <c r="F261" s="45" t="s">
        <v>27</v>
      </c>
      <c r="G261" s="45" t="s">
        <v>27</v>
      </c>
      <c r="H261" s="45" t="s">
        <v>27</v>
      </c>
      <c r="I261" s="45" t="s">
        <v>27</v>
      </c>
      <c r="J261" s="45" t="s">
        <v>27</v>
      </c>
    </row>
    <row r="262" spans="1:10" ht="39.5" x14ac:dyDescent="0.35">
      <c r="A262" s="30" t="s">
        <v>2500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6.5" x14ac:dyDescent="0.35">
      <c r="A263" s="31" t="s">
        <v>2501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6.5" x14ac:dyDescent="0.35">
      <c r="A264" s="31" t="s">
        <v>2502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2.5" x14ac:dyDescent="0.35">
      <c r="A265" s="31" t="s">
        <v>2503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39.5" x14ac:dyDescent="0.35">
      <c r="A266" s="31" t="s">
        <v>2504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5.5" x14ac:dyDescent="0.35">
      <c r="A267" s="31" t="s">
        <v>2505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39.5" x14ac:dyDescent="0.35">
      <c r="A268" s="31" t="s">
        <v>2506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39.5" x14ac:dyDescent="0.35">
      <c r="A269" s="30" t="s">
        <v>2507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1.5" x14ac:dyDescent="0.35">
      <c r="A270" s="29" t="s">
        <v>2508</v>
      </c>
      <c r="B270" s="37" t="s">
        <v>27</v>
      </c>
      <c r="C270" s="45" t="s">
        <v>27</v>
      </c>
      <c r="D270" s="45" t="s">
        <v>27</v>
      </c>
      <c r="E270" s="45" t="s">
        <v>27</v>
      </c>
      <c r="F270" s="45" t="s">
        <v>27</v>
      </c>
      <c r="G270" s="45" t="s">
        <v>27</v>
      </c>
      <c r="H270" s="45" t="s">
        <v>27</v>
      </c>
      <c r="I270" s="45" t="s">
        <v>27</v>
      </c>
      <c r="J270" s="45" t="s">
        <v>27</v>
      </c>
    </row>
    <row r="271" spans="1:10" ht="39.5" x14ac:dyDescent="0.35">
      <c r="A271" s="30" t="s">
        <v>2509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65.5" x14ac:dyDescent="0.35">
      <c r="A272" s="31" t="s">
        <v>2510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2.5" x14ac:dyDescent="0.35">
      <c r="A273" s="31" t="s">
        <v>2511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39.5" x14ac:dyDescent="0.35">
      <c r="A274" s="33" t="s">
        <v>2512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6.5" x14ac:dyDescent="0.35">
      <c r="A275" s="33" t="s">
        <v>2513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6.5" x14ac:dyDescent="0.35">
      <c r="A276" s="33" t="s">
        <v>2514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6.5" x14ac:dyDescent="0.35">
      <c r="A277" s="33" t="s">
        <v>2515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6.5" x14ac:dyDescent="0.35">
      <c r="A278" s="33" t="s">
        <v>2516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6.5" x14ac:dyDescent="0.35">
      <c r="A279" s="33" t="s">
        <v>2517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5.5" x14ac:dyDescent="0.35">
      <c r="A280" s="29" t="s">
        <v>2518</v>
      </c>
      <c r="B280" s="37" t="s">
        <v>27</v>
      </c>
      <c r="C280" s="45" t="s">
        <v>27</v>
      </c>
      <c r="D280" s="45" t="s">
        <v>27</v>
      </c>
      <c r="E280" s="45" t="s">
        <v>27</v>
      </c>
      <c r="F280" s="45" t="s">
        <v>27</v>
      </c>
      <c r="G280" s="45" t="s">
        <v>27</v>
      </c>
      <c r="H280" s="45" t="s">
        <v>27</v>
      </c>
      <c r="I280" s="45" t="s">
        <v>27</v>
      </c>
      <c r="J280" s="45" t="s">
        <v>27</v>
      </c>
    </row>
    <row r="281" spans="1:10" x14ac:dyDescent="0.35">
      <c r="A281" s="30" t="s">
        <v>2519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35">
      <c r="A282" s="30" t="s">
        <v>2520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35">
      <c r="A283" s="30" t="s">
        <v>2354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35">
      <c r="A284" s="30" t="s">
        <v>2355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35">
      <c r="A285" s="30" t="s">
        <v>2356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35">
      <c r="A286" s="30" t="s">
        <v>2357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ht="26.5" x14ac:dyDescent="0.35">
      <c r="A287" s="30" t="s">
        <v>2358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6.5" x14ac:dyDescent="0.35">
      <c r="A288" s="30" t="s">
        <v>2359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2.5" x14ac:dyDescent="0.35">
      <c r="A289" s="29" t="s">
        <v>2521</v>
      </c>
      <c r="B289" s="37" t="s">
        <v>27</v>
      </c>
      <c r="C289" s="45" t="s">
        <v>27</v>
      </c>
      <c r="D289" s="45" t="s">
        <v>27</v>
      </c>
      <c r="E289" s="45" t="s">
        <v>27</v>
      </c>
      <c r="F289" s="45" t="s">
        <v>27</v>
      </c>
      <c r="G289" s="45" t="s">
        <v>27</v>
      </c>
      <c r="H289" s="45" t="s">
        <v>27</v>
      </c>
      <c r="I289" s="45" t="s">
        <v>27</v>
      </c>
      <c r="J289" s="45" t="s">
        <v>27</v>
      </c>
    </row>
    <row r="290" spans="1:10" x14ac:dyDescent="0.35">
      <c r="A290" s="30" t="s">
        <v>2519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35">
      <c r="A291" s="30" t="s">
        <v>2520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35">
      <c r="A292" s="30" t="s">
        <v>2354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35">
      <c r="A293" s="30" t="s">
        <v>2355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35">
      <c r="A294" s="30" t="s">
        <v>2356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35">
      <c r="A295" s="30" t="s">
        <v>2357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ht="26.5" x14ac:dyDescent="0.35">
      <c r="A296" s="30" t="s">
        <v>2358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6.5" x14ac:dyDescent="0.35">
      <c r="A297" s="30" t="s">
        <v>2359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2.5" x14ac:dyDescent="0.35">
      <c r="A298" s="29" t="s">
        <v>2522</v>
      </c>
      <c r="B298" s="37" t="s">
        <v>27</v>
      </c>
      <c r="C298" s="45" t="s">
        <v>27</v>
      </c>
      <c r="D298" s="45" t="s">
        <v>27</v>
      </c>
      <c r="E298" s="45" t="s">
        <v>27</v>
      </c>
      <c r="F298" s="45" t="s">
        <v>27</v>
      </c>
      <c r="G298" s="45" t="s">
        <v>27</v>
      </c>
      <c r="H298" s="45" t="s">
        <v>27</v>
      </c>
      <c r="I298" s="45" t="s">
        <v>27</v>
      </c>
      <c r="J298" s="45" t="s">
        <v>27</v>
      </c>
    </row>
    <row r="299" spans="1:10" x14ac:dyDescent="0.35">
      <c r="A299" s="30" t="s">
        <v>2519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35">
      <c r="A300" s="30" t="s">
        <v>2520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35">
      <c r="A301" s="30" t="s">
        <v>2354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35">
      <c r="A302" s="30" t="s">
        <v>2355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35">
      <c r="A303" s="30" t="s">
        <v>2356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6.5" x14ac:dyDescent="0.35">
      <c r="A304" s="30" t="s">
        <v>2523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2.5" x14ac:dyDescent="0.35">
      <c r="A305" s="29" t="s">
        <v>2524</v>
      </c>
      <c r="B305" s="37" t="s">
        <v>27</v>
      </c>
      <c r="C305" s="45" t="s">
        <v>27</v>
      </c>
      <c r="D305" s="45" t="s">
        <v>27</v>
      </c>
      <c r="E305" s="45" t="s">
        <v>27</v>
      </c>
      <c r="F305" s="45" t="s">
        <v>27</v>
      </c>
      <c r="G305" s="45" t="s">
        <v>27</v>
      </c>
      <c r="H305" s="45" t="s">
        <v>27</v>
      </c>
      <c r="I305" s="45" t="s">
        <v>27</v>
      </c>
      <c r="J305" s="45" t="s">
        <v>27</v>
      </c>
    </row>
    <row r="306" spans="1:10" x14ac:dyDescent="0.35">
      <c r="A306" s="30" t="s">
        <v>2519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35">
      <c r="A307" s="30" t="s">
        <v>2341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35">
      <c r="A308" s="30" t="s">
        <v>2525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35">
      <c r="A309" s="30" t="s">
        <v>2354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6.5" x14ac:dyDescent="0.35">
      <c r="A310" s="30" t="s">
        <v>2526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2.5" x14ac:dyDescent="0.35">
      <c r="A311" s="29" t="s">
        <v>2527</v>
      </c>
      <c r="B311" s="37" t="s">
        <v>27</v>
      </c>
      <c r="C311" s="45" t="s">
        <v>27</v>
      </c>
      <c r="D311" s="45" t="s">
        <v>27</v>
      </c>
      <c r="E311" s="45" t="s">
        <v>27</v>
      </c>
      <c r="F311" s="45" t="s">
        <v>27</v>
      </c>
      <c r="G311" s="45" t="s">
        <v>27</v>
      </c>
      <c r="H311" s="45" t="s">
        <v>27</v>
      </c>
      <c r="I311" s="45" t="s">
        <v>27</v>
      </c>
      <c r="J311" s="45" t="s">
        <v>27</v>
      </c>
    </row>
    <row r="312" spans="1:10" x14ac:dyDescent="0.35">
      <c r="A312" s="30" t="s">
        <v>2519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35">
      <c r="A313" s="30" t="s">
        <v>2341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35">
      <c r="A314" s="30" t="s">
        <v>2525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35">
      <c r="A315" s="30" t="s">
        <v>2354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35">
      <c r="A316" s="30" t="s">
        <v>2355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35">
      <c r="A317" s="30" t="s">
        <v>2356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35">
      <c r="A318" s="30" t="s">
        <v>2357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6.5" x14ac:dyDescent="0.35">
      <c r="A319" s="30" t="s">
        <v>2528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69.5" x14ac:dyDescent="0.35">
      <c r="A320" s="29" t="s">
        <v>2529</v>
      </c>
      <c r="B320" s="37" t="s">
        <v>27</v>
      </c>
      <c r="C320" s="45" t="s">
        <v>27</v>
      </c>
      <c r="D320" s="45" t="s">
        <v>27</v>
      </c>
      <c r="E320" s="45" t="s">
        <v>27</v>
      </c>
      <c r="F320" s="45" t="s">
        <v>27</v>
      </c>
      <c r="G320" s="45" t="s">
        <v>27</v>
      </c>
      <c r="H320" s="45" t="s">
        <v>27</v>
      </c>
      <c r="I320" s="45" t="s">
        <v>27</v>
      </c>
      <c r="J320" s="45" t="s">
        <v>27</v>
      </c>
    </row>
    <row r="321" spans="1:10" ht="52.5" x14ac:dyDescent="0.35">
      <c r="A321" s="30" t="s">
        <v>2530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52.5" x14ac:dyDescent="0.35">
      <c r="A322" s="30" t="s">
        <v>2531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52.5" x14ac:dyDescent="0.35">
      <c r="A323" s="30" t="s">
        <v>2532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78.5" x14ac:dyDescent="0.35">
      <c r="A324" s="30" t="s">
        <v>2533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39.5" x14ac:dyDescent="0.35">
      <c r="A325" s="30" t="s">
        <v>2534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1.5" x14ac:dyDescent="0.35">
      <c r="A326" s="29" t="s">
        <v>2535</v>
      </c>
      <c r="B326" s="37" t="s">
        <v>27</v>
      </c>
      <c r="C326" s="45" t="s">
        <v>27</v>
      </c>
      <c r="D326" s="45" t="s">
        <v>27</v>
      </c>
      <c r="E326" s="45" t="s">
        <v>27</v>
      </c>
      <c r="F326" s="45" t="s">
        <v>27</v>
      </c>
      <c r="G326" s="45" t="s">
        <v>27</v>
      </c>
      <c r="H326" s="45" t="s">
        <v>27</v>
      </c>
      <c r="I326" s="45" t="s">
        <v>27</v>
      </c>
      <c r="J326" s="45" t="s">
        <v>27</v>
      </c>
    </row>
    <row r="327" spans="1:10" ht="52.5" x14ac:dyDescent="0.35">
      <c r="A327" s="30" t="s">
        <v>2536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2.5" x14ac:dyDescent="0.35">
      <c r="A328" s="30" t="s">
        <v>2537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2.5" x14ac:dyDescent="0.35">
      <c r="A329" s="30" t="s">
        <v>2538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4.5" x14ac:dyDescent="0.35">
      <c r="A330" s="29" t="s">
        <v>2539</v>
      </c>
      <c r="B330" s="37" t="s">
        <v>27</v>
      </c>
      <c r="C330" s="45" t="s">
        <v>27</v>
      </c>
      <c r="D330" s="45" t="s">
        <v>27</v>
      </c>
      <c r="E330" s="45" t="s">
        <v>27</v>
      </c>
      <c r="F330" s="45" t="s">
        <v>27</v>
      </c>
      <c r="G330" s="45" t="s">
        <v>27</v>
      </c>
      <c r="H330" s="45" t="s">
        <v>27</v>
      </c>
      <c r="I330" s="45" t="s">
        <v>27</v>
      </c>
      <c r="J330" s="45" t="s">
        <v>27</v>
      </c>
    </row>
    <row r="331" spans="1:10" ht="26.5" x14ac:dyDescent="0.35">
      <c r="A331" s="30" t="s">
        <v>2540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2.5" x14ac:dyDescent="0.35">
      <c r="A332" s="30" t="s">
        <v>2541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4" x14ac:dyDescent="0.35">
      <c r="A333" s="30" t="s">
        <v>2591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17.5" x14ac:dyDescent="0.35">
      <c r="A334" s="29" t="s">
        <v>2542</v>
      </c>
      <c r="B334" s="37" t="s">
        <v>27</v>
      </c>
      <c r="C334" s="45" t="s">
        <v>27</v>
      </c>
      <c r="D334" s="45" t="s">
        <v>27</v>
      </c>
      <c r="E334" s="45" t="s">
        <v>27</v>
      </c>
      <c r="F334" s="45" t="s">
        <v>27</v>
      </c>
      <c r="G334" s="45" t="s">
        <v>27</v>
      </c>
      <c r="H334" s="45" t="s">
        <v>27</v>
      </c>
      <c r="I334" s="45" t="s">
        <v>27</v>
      </c>
      <c r="J334" s="45" t="s">
        <v>27</v>
      </c>
    </row>
    <row r="335" spans="1:10" ht="39.5" x14ac:dyDescent="0.35">
      <c r="A335" s="30" t="s">
        <v>2543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39.5" x14ac:dyDescent="0.35">
      <c r="A336" s="30" t="s">
        <v>2544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39.5" x14ac:dyDescent="0.35">
      <c r="A337" s="30" t="s">
        <v>2545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2.5" x14ac:dyDescent="0.35">
      <c r="A338" s="30" t="s">
        <v>2546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39.5" x14ac:dyDescent="0.35">
      <c r="A339" s="30" t="s">
        <v>2547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39.5" x14ac:dyDescent="0.35">
      <c r="A340" s="30" t="s">
        <v>2548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6.5" x14ac:dyDescent="0.35">
      <c r="A341" s="30" t="s">
        <v>2549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52.5" x14ac:dyDescent="0.35">
      <c r="A342" s="30" t="s">
        <v>2550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39.5" x14ac:dyDescent="0.35">
      <c r="A343" s="30" t="s">
        <v>2551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39.5" x14ac:dyDescent="0.35">
      <c r="A344" s="30" t="s">
        <v>2552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7" x14ac:dyDescent="0.35">
      <c r="A345" s="30" t="s">
        <v>2572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3.5" x14ac:dyDescent="0.35">
      <c r="A346" s="29" t="s">
        <v>2553</v>
      </c>
      <c r="B346" s="37" t="s">
        <v>27</v>
      </c>
      <c r="C346" s="45" t="s">
        <v>27</v>
      </c>
      <c r="D346" s="45" t="s">
        <v>27</v>
      </c>
      <c r="E346" s="45" t="s">
        <v>27</v>
      </c>
      <c r="F346" s="45" t="s">
        <v>27</v>
      </c>
      <c r="G346" s="45" t="s">
        <v>27</v>
      </c>
      <c r="H346" s="45" t="s">
        <v>27</v>
      </c>
      <c r="I346" s="45" t="s">
        <v>27</v>
      </c>
      <c r="J346" s="45" t="s">
        <v>27</v>
      </c>
    </row>
    <row r="347" spans="1:10" x14ac:dyDescent="0.35">
      <c r="A347" s="30" t="s">
        <v>2486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35">
      <c r="A348" s="30" t="s">
        <v>2487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35">
      <c r="A349" s="30" t="s">
        <v>2554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B3:G3"/>
    <mergeCell ref="H3:J3"/>
    <mergeCell ref="B4:B5"/>
    <mergeCell ref="C4:C5"/>
    <mergeCell ref="D4:D5"/>
    <mergeCell ref="E4:G4"/>
    <mergeCell ref="H4:H5"/>
    <mergeCell ref="I4:I5"/>
    <mergeCell ref="J4:J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0"/>
  <sheetViews>
    <sheetView workbookViewId="0">
      <selection activeCell="R26" sqref="R26"/>
    </sheetView>
  </sheetViews>
  <sheetFormatPr defaultRowHeight="12.5" x14ac:dyDescent="0.25"/>
  <cols>
    <col min="1" max="1" width="11" style="14" customWidth="1"/>
    <col min="2" max="2" width="10.81640625" style="15" customWidth="1"/>
    <col min="3" max="3" width="14.1796875" style="15" customWidth="1"/>
    <col min="4" max="4" width="29.7265625" style="14" customWidth="1"/>
    <col min="5" max="256" width="9.1796875" style="14"/>
    <col min="257" max="257" width="11" style="14" customWidth="1"/>
    <col min="258" max="258" width="10.81640625" style="14" customWidth="1"/>
    <col min="259" max="259" width="14.1796875" style="14" customWidth="1"/>
    <col min="260" max="260" width="29.7265625" style="14" customWidth="1"/>
    <col min="261" max="512" width="9.1796875" style="14"/>
    <col min="513" max="513" width="11" style="14" customWidth="1"/>
    <col min="514" max="514" width="10.81640625" style="14" customWidth="1"/>
    <col min="515" max="515" width="14.1796875" style="14" customWidth="1"/>
    <col min="516" max="516" width="29.7265625" style="14" customWidth="1"/>
    <col min="517" max="768" width="9.1796875" style="14"/>
    <col min="769" max="769" width="11" style="14" customWidth="1"/>
    <col min="770" max="770" width="10.81640625" style="14" customWidth="1"/>
    <col min="771" max="771" width="14.1796875" style="14" customWidth="1"/>
    <col min="772" max="772" width="29.7265625" style="14" customWidth="1"/>
    <col min="773" max="1024" width="9.1796875" style="14"/>
    <col min="1025" max="1025" width="11" style="14" customWidth="1"/>
    <col min="1026" max="1026" width="10.81640625" style="14" customWidth="1"/>
    <col min="1027" max="1027" width="14.1796875" style="14" customWidth="1"/>
    <col min="1028" max="1028" width="29.7265625" style="14" customWidth="1"/>
    <col min="1029" max="1280" width="9.1796875" style="14"/>
    <col min="1281" max="1281" width="11" style="14" customWidth="1"/>
    <col min="1282" max="1282" width="10.81640625" style="14" customWidth="1"/>
    <col min="1283" max="1283" width="14.1796875" style="14" customWidth="1"/>
    <col min="1284" max="1284" width="29.7265625" style="14" customWidth="1"/>
    <col min="1285" max="1536" width="9.1796875" style="14"/>
    <col min="1537" max="1537" width="11" style="14" customWidth="1"/>
    <col min="1538" max="1538" width="10.81640625" style="14" customWidth="1"/>
    <col min="1539" max="1539" width="14.1796875" style="14" customWidth="1"/>
    <col min="1540" max="1540" width="29.7265625" style="14" customWidth="1"/>
    <col min="1541" max="1792" width="9.1796875" style="14"/>
    <col min="1793" max="1793" width="11" style="14" customWidth="1"/>
    <col min="1794" max="1794" width="10.81640625" style="14" customWidth="1"/>
    <col min="1795" max="1795" width="14.1796875" style="14" customWidth="1"/>
    <col min="1796" max="1796" width="29.7265625" style="14" customWidth="1"/>
    <col min="1797" max="2048" width="9.1796875" style="14"/>
    <col min="2049" max="2049" width="11" style="14" customWidth="1"/>
    <col min="2050" max="2050" width="10.81640625" style="14" customWidth="1"/>
    <col min="2051" max="2051" width="14.1796875" style="14" customWidth="1"/>
    <col min="2052" max="2052" width="29.7265625" style="14" customWidth="1"/>
    <col min="2053" max="2304" width="9.1796875" style="14"/>
    <col min="2305" max="2305" width="11" style="14" customWidth="1"/>
    <col min="2306" max="2306" width="10.81640625" style="14" customWidth="1"/>
    <col min="2307" max="2307" width="14.1796875" style="14" customWidth="1"/>
    <col min="2308" max="2308" width="29.7265625" style="14" customWidth="1"/>
    <col min="2309" max="2560" width="9.1796875" style="14"/>
    <col min="2561" max="2561" width="11" style="14" customWidth="1"/>
    <col min="2562" max="2562" width="10.81640625" style="14" customWidth="1"/>
    <col min="2563" max="2563" width="14.1796875" style="14" customWidth="1"/>
    <col min="2564" max="2564" width="29.7265625" style="14" customWidth="1"/>
    <col min="2565" max="2816" width="9.1796875" style="14"/>
    <col min="2817" max="2817" width="11" style="14" customWidth="1"/>
    <col min="2818" max="2818" width="10.81640625" style="14" customWidth="1"/>
    <col min="2819" max="2819" width="14.1796875" style="14" customWidth="1"/>
    <col min="2820" max="2820" width="29.7265625" style="14" customWidth="1"/>
    <col min="2821" max="3072" width="9.1796875" style="14"/>
    <col min="3073" max="3073" width="11" style="14" customWidth="1"/>
    <col min="3074" max="3074" width="10.81640625" style="14" customWidth="1"/>
    <col min="3075" max="3075" width="14.1796875" style="14" customWidth="1"/>
    <col min="3076" max="3076" width="29.7265625" style="14" customWidth="1"/>
    <col min="3077" max="3328" width="9.1796875" style="14"/>
    <col min="3329" max="3329" width="11" style="14" customWidth="1"/>
    <col min="3330" max="3330" width="10.81640625" style="14" customWidth="1"/>
    <col min="3331" max="3331" width="14.1796875" style="14" customWidth="1"/>
    <col min="3332" max="3332" width="29.7265625" style="14" customWidth="1"/>
    <col min="3333" max="3584" width="9.1796875" style="14"/>
    <col min="3585" max="3585" width="11" style="14" customWidth="1"/>
    <col min="3586" max="3586" width="10.81640625" style="14" customWidth="1"/>
    <col min="3587" max="3587" width="14.1796875" style="14" customWidth="1"/>
    <col min="3588" max="3588" width="29.7265625" style="14" customWidth="1"/>
    <col min="3589" max="3840" width="9.1796875" style="14"/>
    <col min="3841" max="3841" width="11" style="14" customWidth="1"/>
    <col min="3842" max="3842" width="10.81640625" style="14" customWidth="1"/>
    <col min="3843" max="3843" width="14.1796875" style="14" customWidth="1"/>
    <col min="3844" max="3844" width="29.7265625" style="14" customWidth="1"/>
    <col min="3845" max="4096" width="9.1796875" style="14"/>
    <col min="4097" max="4097" width="11" style="14" customWidth="1"/>
    <col min="4098" max="4098" width="10.81640625" style="14" customWidth="1"/>
    <col min="4099" max="4099" width="14.1796875" style="14" customWidth="1"/>
    <col min="4100" max="4100" width="29.7265625" style="14" customWidth="1"/>
    <col min="4101" max="4352" width="9.1796875" style="14"/>
    <col min="4353" max="4353" width="11" style="14" customWidth="1"/>
    <col min="4354" max="4354" width="10.81640625" style="14" customWidth="1"/>
    <col min="4355" max="4355" width="14.1796875" style="14" customWidth="1"/>
    <col min="4356" max="4356" width="29.7265625" style="14" customWidth="1"/>
    <col min="4357" max="4608" width="9.1796875" style="14"/>
    <col min="4609" max="4609" width="11" style="14" customWidth="1"/>
    <col min="4610" max="4610" width="10.81640625" style="14" customWidth="1"/>
    <col min="4611" max="4611" width="14.1796875" style="14" customWidth="1"/>
    <col min="4612" max="4612" width="29.7265625" style="14" customWidth="1"/>
    <col min="4613" max="4864" width="9.1796875" style="14"/>
    <col min="4865" max="4865" width="11" style="14" customWidth="1"/>
    <col min="4866" max="4866" width="10.81640625" style="14" customWidth="1"/>
    <col min="4867" max="4867" width="14.1796875" style="14" customWidth="1"/>
    <col min="4868" max="4868" width="29.7265625" style="14" customWidth="1"/>
    <col min="4869" max="5120" width="9.1796875" style="14"/>
    <col min="5121" max="5121" width="11" style="14" customWidth="1"/>
    <col min="5122" max="5122" width="10.81640625" style="14" customWidth="1"/>
    <col min="5123" max="5123" width="14.1796875" style="14" customWidth="1"/>
    <col min="5124" max="5124" width="29.7265625" style="14" customWidth="1"/>
    <col min="5125" max="5376" width="9.1796875" style="14"/>
    <col min="5377" max="5377" width="11" style="14" customWidth="1"/>
    <col min="5378" max="5378" width="10.81640625" style="14" customWidth="1"/>
    <col min="5379" max="5379" width="14.1796875" style="14" customWidth="1"/>
    <col min="5380" max="5380" width="29.7265625" style="14" customWidth="1"/>
    <col min="5381" max="5632" width="9.1796875" style="14"/>
    <col min="5633" max="5633" width="11" style="14" customWidth="1"/>
    <col min="5634" max="5634" width="10.81640625" style="14" customWidth="1"/>
    <col min="5635" max="5635" width="14.1796875" style="14" customWidth="1"/>
    <col min="5636" max="5636" width="29.7265625" style="14" customWidth="1"/>
    <col min="5637" max="5888" width="9.1796875" style="14"/>
    <col min="5889" max="5889" width="11" style="14" customWidth="1"/>
    <col min="5890" max="5890" width="10.81640625" style="14" customWidth="1"/>
    <col min="5891" max="5891" width="14.1796875" style="14" customWidth="1"/>
    <col min="5892" max="5892" width="29.7265625" style="14" customWidth="1"/>
    <col min="5893" max="6144" width="9.1796875" style="14"/>
    <col min="6145" max="6145" width="11" style="14" customWidth="1"/>
    <col min="6146" max="6146" width="10.81640625" style="14" customWidth="1"/>
    <col min="6147" max="6147" width="14.1796875" style="14" customWidth="1"/>
    <col min="6148" max="6148" width="29.7265625" style="14" customWidth="1"/>
    <col min="6149" max="6400" width="9.1796875" style="14"/>
    <col min="6401" max="6401" width="11" style="14" customWidth="1"/>
    <col min="6402" max="6402" width="10.81640625" style="14" customWidth="1"/>
    <col min="6403" max="6403" width="14.1796875" style="14" customWidth="1"/>
    <col min="6404" max="6404" width="29.7265625" style="14" customWidth="1"/>
    <col min="6405" max="6656" width="9.1796875" style="14"/>
    <col min="6657" max="6657" width="11" style="14" customWidth="1"/>
    <col min="6658" max="6658" width="10.81640625" style="14" customWidth="1"/>
    <col min="6659" max="6659" width="14.1796875" style="14" customWidth="1"/>
    <col min="6660" max="6660" width="29.7265625" style="14" customWidth="1"/>
    <col min="6661" max="6912" width="9.1796875" style="14"/>
    <col min="6913" max="6913" width="11" style="14" customWidth="1"/>
    <col min="6914" max="6914" width="10.81640625" style="14" customWidth="1"/>
    <col min="6915" max="6915" width="14.1796875" style="14" customWidth="1"/>
    <col min="6916" max="6916" width="29.7265625" style="14" customWidth="1"/>
    <col min="6917" max="7168" width="9.1796875" style="14"/>
    <col min="7169" max="7169" width="11" style="14" customWidth="1"/>
    <col min="7170" max="7170" width="10.81640625" style="14" customWidth="1"/>
    <col min="7171" max="7171" width="14.1796875" style="14" customWidth="1"/>
    <col min="7172" max="7172" width="29.7265625" style="14" customWidth="1"/>
    <col min="7173" max="7424" width="9.1796875" style="14"/>
    <col min="7425" max="7425" width="11" style="14" customWidth="1"/>
    <col min="7426" max="7426" width="10.81640625" style="14" customWidth="1"/>
    <col min="7427" max="7427" width="14.1796875" style="14" customWidth="1"/>
    <col min="7428" max="7428" width="29.7265625" style="14" customWidth="1"/>
    <col min="7429" max="7680" width="9.1796875" style="14"/>
    <col min="7681" max="7681" width="11" style="14" customWidth="1"/>
    <col min="7682" max="7682" width="10.81640625" style="14" customWidth="1"/>
    <col min="7683" max="7683" width="14.1796875" style="14" customWidth="1"/>
    <col min="7684" max="7684" width="29.7265625" style="14" customWidth="1"/>
    <col min="7685" max="7936" width="9.1796875" style="14"/>
    <col min="7937" max="7937" width="11" style="14" customWidth="1"/>
    <col min="7938" max="7938" width="10.81640625" style="14" customWidth="1"/>
    <col min="7939" max="7939" width="14.1796875" style="14" customWidth="1"/>
    <col min="7940" max="7940" width="29.7265625" style="14" customWidth="1"/>
    <col min="7941" max="8192" width="9.1796875" style="14"/>
    <col min="8193" max="8193" width="11" style="14" customWidth="1"/>
    <col min="8194" max="8194" width="10.81640625" style="14" customWidth="1"/>
    <col min="8195" max="8195" width="14.1796875" style="14" customWidth="1"/>
    <col min="8196" max="8196" width="29.7265625" style="14" customWidth="1"/>
    <col min="8197" max="8448" width="9.1796875" style="14"/>
    <col min="8449" max="8449" width="11" style="14" customWidth="1"/>
    <col min="8450" max="8450" width="10.81640625" style="14" customWidth="1"/>
    <col min="8451" max="8451" width="14.1796875" style="14" customWidth="1"/>
    <col min="8452" max="8452" width="29.7265625" style="14" customWidth="1"/>
    <col min="8453" max="8704" width="9.1796875" style="14"/>
    <col min="8705" max="8705" width="11" style="14" customWidth="1"/>
    <col min="8706" max="8706" width="10.81640625" style="14" customWidth="1"/>
    <col min="8707" max="8707" width="14.1796875" style="14" customWidth="1"/>
    <col min="8708" max="8708" width="29.7265625" style="14" customWidth="1"/>
    <col min="8709" max="8960" width="9.1796875" style="14"/>
    <col min="8961" max="8961" width="11" style="14" customWidth="1"/>
    <col min="8962" max="8962" width="10.81640625" style="14" customWidth="1"/>
    <col min="8963" max="8963" width="14.1796875" style="14" customWidth="1"/>
    <col min="8964" max="8964" width="29.7265625" style="14" customWidth="1"/>
    <col min="8965" max="9216" width="9.1796875" style="14"/>
    <col min="9217" max="9217" width="11" style="14" customWidth="1"/>
    <col min="9218" max="9218" width="10.81640625" style="14" customWidth="1"/>
    <col min="9219" max="9219" width="14.1796875" style="14" customWidth="1"/>
    <col min="9220" max="9220" width="29.7265625" style="14" customWidth="1"/>
    <col min="9221" max="9472" width="9.1796875" style="14"/>
    <col min="9473" max="9473" width="11" style="14" customWidth="1"/>
    <col min="9474" max="9474" width="10.81640625" style="14" customWidth="1"/>
    <col min="9475" max="9475" width="14.1796875" style="14" customWidth="1"/>
    <col min="9476" max="9476" width="29.7265625" style="14" customWidth="1"/>
    <col min="9477" max="9728" width="9.1796875" style="14"/>
    <col min="9729" max="9729" width="11" style="14" customWidth="1"/>
    <col min="9730" max="9730" width="10.81640625" style="14" customWidth="1"/>
    <col min="9731" max="9731" width="14.1796875" style="14" customWidth="1"/>
    <col min="9732" max="9732" width="29.7265625" style="14" customWidth="1"/>
    <col min="9733" max="9984" width="9.1796875" style="14"/>
    <col min="9985" max="9985" width="11" style="14" customWidth="1"/>
    <col min="9986" max="9986" width="10.81640625" style="14" customWidth="1"/>
    <col min="9987" max="9987" width="14.1796875" style="14" customWidth="1"/>
    <col min="9988" max="9988" width="29.7265625" style="14" customWidth="1"/>
    <col min="9989" max="10240" width="9.1796875" style="14"/>
    <col min="10241" max="10241" width="11" style="14" customWidth="1"/>
    <col min="10242" max="10242" width="10.81640625" style="14" customWidth="1"/>
    <col min="10243" max="10243" width="14.1796875" style="14" customWidth="1"/>
    <col min="10244" max="10244" width="29.7265625" style="14" customWidth="1"/>
    <col min="10245" max="10496" width="9.1796875" style="14"/>
    <col min="10497" max="10497" width="11" style="14" customWidth="1"/>
    <col min="10498" max="10498" width="10.81640625" style="14" customWidth="1"/>
    <col min="10499" max="10499" width="14.1796875" style="14" customWidth="1"/>
    <col min="10500" max="10500" width="29.7265625" style="14" customWidth="1"/>
    <col min="10501" max="10752" width="9.1796875" style="14"/>
    <col min="10753" max="10753" width="11" style="14" customWidth="1"/>
    <col min="10754" max="10754" width="10.81640625" style="14" customWidth="1"/>
    <col min="10755" max="10755" width="14.1796875" style="14" customWidth="1"/>
    <col min="10756" max="10756" width="29.7265625" style="14" customWidth="1"/>
    <col min="10757" max="11008" width="9.1796875" style="14"/>
    <col min="11009" max="11009" width="11" style="14" customWidth="1"/>
    <col min="11010" max="11010" width="10.81640625" style="14" customWidth="1"/>
    <col min="11011" max="11011" width="14.1796875" style="14" customWidth="1"/>
    <col min="11012" max="11012" width="29.7265625" style="14" customWidth="1"/>
    <col min="11013" max="11264" width="9.1796875" style="14"/>
    <col min="11265" max="11265" width="11" style="14" customWidth="1"/>
    <col min="11266" max="11266" width="10.81640625" style="14" customWidth="1"/>
    <col min="11267" max="11267" width="14.1796875" style="14" customWidth="1"/>
    <col min="11268" max="11268" width="29.7265625" style="14" customWidth="1"/>
    <col min="11269" max="11520" width="9.1796875" style="14"/>
    <col min="11521" max="11521" width="11" style="14" customWidth="1"/>
    <col min="11522" max="11522" width="10.81640625" style="14" customWidth="1"/>
    <col min="11523" max="11523" width="14.1796875" style="14" customWidth="1"/>
    <col min="11524" max="11524" width="29.7265625" style="14" customWidth="1"/>
    <col min="11525" max="11776" width="9.1796875" style="14"/>
    <col min="11777" max="11777" width="11" style="14" customWidth="1"/>
    <col min="11778" max="11778" width="10.81640625" style="14" customWidth="1"/>
    <col min="11779" max="11779" width="14.1796875" style="14" customWidth="1"/>
    <col min="11780" max="11780" width="29.7265625" style="14" customWidth="1"/>
    <col min="11781" max="12032" width="9.1796875" style="14"/>
    <col min="12033" max="12033" width="11" style="14" customWidth="1"/>
    <col min="12034" max="12034" width="10.81640625" style="14" customWidth="1"/>
    <col min="12035" max="12035" width="14.1796875" style="14" customWidth="1"/>
    <col min="12036" max="12036" width="29.7265625" style="14" customWidth="1"/>
    <col min="12037" max="12288" width="9.1796875" style="14"/>
    <col min="12289" max="12289" width="11" style="14" customWidth="1"/>
    <col min="12290" max="12290" width="10.81640625" style="14" customWidth="1"/>
    <col min="12291" max="12291" width="14.1796875" style="14" customWidth="1"/>
    <col min="12292" max="12292" width="29.7265625" style="14" customWidth="1"/>
    <col min="12293" max="12544" width="9.1796875" style="14"/>
    <col min="12545" max="12545" width="11" style="14" customWidth="1"/>
    <col min="12546" max="12546" width="10.81640625" style="14" customWidth="1"/>
    <col min="12547" max="12547" width="14.1796875" style="14" customWidth="1"/>
    <col min="12548" max="12548" width="29.7265625" style="14" customWidth="1"/>
    <col min="12549" max="12800" width="9.1796875" style="14"/>
    <col min="12801" max="12801" width="11" style="14" customWidth="1"/>
    <col min="12802" max="12802" width="10.81640625" style="14" customWidth="1"/>
    <col min="12803" max="12803" width="14.1796875" style="14" customWidth="1"/>
    <col min="12804" max="12804" width="29.7265625" style="14" customWidth="1"/>
    <col min="12805" max="13056" width="9.1796875" style="14"/>
    <col min="13057" max="13057" width="11" style="14" customWidth="1"/>
    <col min="13058" max="13058" width="10.81640625" style="14" customWidth="1"/>
    <col min="13059" max="13059" width="14.1796875" style="14" customWidth="1"/>
    <col min="13060" max="13060" width="29.7265625" style="14" customWidth="1"/>
    <col min="13061" max="13312" width="9.1796875" style="14"/>
    <col min="13313" max="13313" width="11" style="14" customWidth="1"/>
    <col min="13314" max="13314" width="10.81640625" style="14" customWidth="1"/>
    <col min="13315" max="13315" width="14.1796875" style="14" customWidth="1"/>
    <col min="13316" max="13316" width="29.7265625" style="14" customWidth="1"/>
    <col min="13317" max="13568" width="9.1796875" style="14"/>
    <col min="13569" max="13569" width="11" style="14" customWidth="1"/>
    <col min="13570" max="13570" width="10.81640625" style="14" customWidth="1"/>
    <col min="13571" max="13571" width="14.1796875" style="14" customWidth="1"/>
    <col min="13572" max="13572" width="29.7265625" style="14" customWidth="1"/>
    <col min="13573" max="13824" width="9.1796875" style="14"/>
    <col min="13825" max="13825" width="11" style="14" customWidth="1"/>
    <col min="13826" max="13826" width="10.81640625" style="14" customWidth="1"/>
    <col min="13827" max="13827" width="14.1796875" style="14" customWidth="1"/>
    <col min="13828" max="13828" width="29.7265625" style="14" customWidth="1"/>
    <col min="13829" max="14080" width="9.1796875" style="14"/>
    <col min="14081" max="14081" width="11" style="14" customWidth="1"/>
    <col min="14082" max="14082" width="10.81640625" style="14" customWidth="1"/>
    <col min="14083" max="14083" width="14.1796875" style="14" customWidth="1"/>
    <col min="14084" max="14084" width="29.7265625" style="14" customWidth="1"/>
    <col min="14085" max="14336" width="9.1796875" style="14"/>
    <col min="14337" max="14337" width="11" style="14" customWidth="1"/>
    <col min="14338" max="14338" width="10.81640625" style="14" customWidth="1"/>
    <col min="14339" max="14339" width="14.1796875" style="14" customWidth="1"/>
    <col min="14340" max="14340" width="29.7265625" style="14" customWidth="1"/>
    <col min="14341" max="14592" width="9.1796875" style="14"/>
    <col min="14593" max="14593" width="11" style="14" customWidth="1"/>
    <col min="14594" max="14594" width="10.81640625" style="14" customWidth="1"/>
    <col min="14595" max="14595" width="14.1796875" style="14" customWidth="1"/>
    <col min="14596" max="14596" width="29.7265625" style="14" customWidth="1"/>
    <col min="14597" max="14848" width="9.1796875" style="14"/>
    <col min="14849" max="14849" width="11" style="14" customWidth="1"/>
    <col min="14850" max="14850" width="10.81640625" style="14" customWidth="1"/>
    <col min="14851" max="14851" width="14.1796875" style="14" customWidth="1"/>
    <col min="14852" max="14852" width="29.7265625" style="14" customWidth="1"/>
    <col min="14853" max="15104" width="9.1796875" style="14"/>
    <col min="15105" max="15105" width="11" style="14" customWidth="1"/>
    <col min="15106" max="15106" width="10.81640625" style="14" customWidth="1"/>
    <col min="15107" max="15107" width="14.1796875" style="14" customWidth="1"/>
    <col min="15108" max="15108" width="29.7265625" style="14" customWidth="1"/>
    <col min="15109" max="15360" width="9.1796875" style="14"/>
    <col min="15361" max="15361" width="11" style="14" customWidth="1"/>
    <col min="15362" max="15362" width="10.81640625" style="14" customWidth="1"/>
    <col min="15363" max="15363" width="14.1796875" style="14" customWidth="1"/>
    <col min="15364" max="15364" width="29.7265625" style="14" customWidth="1"/>
    <col min="15365" max="15616" width="9.1796875" style="14"/>
    <col min="15617" max="15617" width="11" style="14" customWidth="1"/>
    <col min="15618" max="15618" width="10.81640625" style="14" customWidth="1"/>
    <col min="15619" max="15619" width="14.1796875" style="14" customWidth="1"/>
    <col min="15620" max="15620" width="29.7265625" style="14" customWidth="1"/>
    <col min="15621" max="15872" width="9.1796875" style="14"/>
    <col min="15873" max="15873" width="11" style="14" customWidth="1"/>
    <col min="15874" max="15874" width="10.81640625" style="14" customWidth="1"/>
    <col min="15875" max="15875" width="14.1796875" style="14" customWidth="1"/>
    <col min="15876" max="15876" width="29.7265625" style="14" customWidth="1"/>
    <col min="15877" max="16128" width="9.1796875" style="14"/>
    <col min="16129" max="16129" width="11" style="14" customWidth="1"/>
    <col min="16130" max="16130" width="10.81640625" style="14" customWidth="1"/>
    <col min="16131" max="16131" width="14.1796875" style="14" customWidth="1"/>
    <col min="16132" max="16132" width="29.7265625" style="14" customWidth="1"/>
    <col min="16133" max="16384" width="9.1796875" style="14"/>
  </cols>
  <sheetData>
    <row r="1" spans="1:12" ht="51" customHeight="1" x14ac:dyDescent="0.35">
      <c r="A1" s="182" t="s">
        <v>2251</v>
      </c>
      <c r="B1" s="183"/>
      <c r="C1" s="183"/>
      <c r="D1" s="183"/>
    </row>
    <row r="3" spans="1:12" x14ac:dyDescent="0.25">
      <c r="A3" s="14" t="s">
        <v>2252</v>
      </c>
    </row>
    <row r="4" spans="1:12" x14ac:dyDescent="0.25">
      <c r="A4" s="14" t="s">
        <v>2253</v>
      </c>
    </row>
    <row r="6" spans="1:12" s="18" customFormat="1" ht="13" x14ac:dyDescent="0.35">
      <c r="A6" s="16" t="s">
        <v>2254</v>
      </c>
      <c r="B6" s="17" t="s">
        <v>2255</v>
      </c>
      <c r="C6" s="16" t="s">
        <v>2256</v>
      </c>
      <c r="D6" s="16" t="s">
        <v>2257</v>
      </c>
      <c r="E6" s="16" t="s">
        <v>2255</v>
      </c>
    </row>
    <row r="7" spans="1:12" x14ac:dyDescent="0.25">
      <c r="A7" s="19" t="s">
        <v>2258</v>
      </c>
      <c r="B7" s="15">
        <v>0</v>
      </c>
      <c r="C7" s="14">
        <v>0</v>
      </c>
      <c r="D7" s="19" t="s">
        <v>2259</v>
      </c>
      <c r="E7" s="14" t="str">
        <f>IF(B7=0,"",IF(COUNTIF($B$7:B7,B7)=1,D7,E6))</f>
        <v/>
      </c>
      <c r="L7" s="22"/>
    </row>
    <row r="8" spans="1:12" x14ac:dyDescent="0.25">
      <c r="A8" s="19" t="s">
        <v>2258</v>
      </c>
      <c r="B8" s="20" t="s">
        <v>2258</v>
      </c>
      <c r="C8" s="14">
        <v>0</v>
      </c>
      <c r="D8" s="21" t="s">
        <v>2260</v>
      </c>
      <c r="E8" s="14" t="str">
        <f>IF(B8=0,"",IF(COUNTIF($B$7:B8,B8)=1,D8,E7))</f>
        <v>New England Division</v>
      </c>
      <c r="L8" s="22"/>
    </row>
    <row r="9" spans="1:12" x14ac:dyDescent="0.25">
      <c r="A9" s="19" t="s">
        <v>2258</v>
      </c>
      <c r="B9" s="20" t="s">
        <v>2258</v>
      </c>
      <c r="C9" s="19">
        <v>9</v>
      </c>
      <c r="D9" s="22" t="s">
        <v>2261</v>
      </c>
      <c r="E9" s="14" t="str">
        <f>IF(B9=0,"",IF(COUNTIF($B$7:B9,B9)=1,D9,E8))</f>
        <v>New England Division</v>
      </c>
      <c r="L9" s="22"/>
    </row>
    <row r="10" spans="1:12" x14ac:dyDescent="0.25">
      <c r="A10" s="19" t="s">
        <v>2258</v>
      </c>
      <c r="B10" s="20" t="s">
        <v>2258</v>
      </c>
      <c r="C10" s="19">
        <v>23</v>
      </c>
      <c r="D10" s="22" t="s">
        <v>2262</v>
      </c>
      <c r="E10" s="14" t="str">
        <f>IF(B10=0,"",IF(COUNTIF($B$7:B10,B10)=1,D10,E9))</f>
        <v>New England Division</v>
      </c>
      <c r="L10" s="22"/>
    </row>
    <row r="11" spans="1:12" x14ac:dyDescent="0.25">
      <c r="A11" s="19" t="s">
        <v>2258</v>
      </c>
      <c r="B11" s="20" t="s">
        <v>2258</v>
      </c>
      <c r="C11" s="19">
        <v>25</v>
      </c>
      <c r="D11" s="22" t="s">
        <v>2263</v>
      </c>
      <c r="E11" s="14" t="str">
        <f>IF(B11=0,"",IF(COUNTIF($B$7:B11,B11)=1,D11,E10))</f>
        <v>New England Division</v>
      </c>
      <c r="L11" s="22"/>
    </row>
    <row r="12" spans="1:12" x14ac:dyDescent="0.25">
      <c r="A12" s="19" t="s">
        <v>2258</v>
      </c>
      <c r="B12" s="20" t="s">
        <v>2258</v>
      </c>
      <c r="C12" s="19">
        <v>33</v>
      </c>
      <c r="D12" s="22" t="s">
        <v>1849</v>
      </c>
      <c r="E12" s="14" t="str">
        <f>IF(B12=0,"",IF(COUNTIF($B$7:B12,B12)=1,D12,E11))</f>
        <v>New England Division</v>
      </c>
      <c r="L12" s="22"/>
    </row>
    <row r="13" spans="1:12" x14ac:dyDescent="0.25">
      <c r="A13" s="19" t="s">
        <v>2258</v>
      </c>
      <c r="B13" s="20" t="s">
        <v>2258</v>
      </c>
      <c r="C13" s="19">
        <v>44</v>
      </c>
      <c r="D13" s="22" t="s">
        <v>2005</v>
      </c>
      <c r="E13" s="14" t="str">
        <f>IF(B13=0,"",IF(COUNTIF($B$7:B13,B13)=1,D13,E12))</f>
        <v>New England Division</v>
      </c>
      <c r="L13" s="22"/>
    </row>
    <row r="14" spans="1:12" x14ac:dyDescent="0.25">
      <c r="A14" s="19" t="s">
        <v>2258</v>
      </c>
      <c r="B14" s="20" t="s">
        <v>2258</v>
      </c>
      <c r="C14" s="19">
        <v>50</v>
      </c>
      <c r="D14" s="22" t="s">
        <v>2144</v>
      </c>
      <c r="E14" s="14" t="str">
        <f>IF(B14=0,"",IF(COUNTIF($B$7:B14,B14)=1,D14,E13))</f>
        <v>New England Division</v>
      </c>
      <c r="L14" s="22"/>
    </row>
    <row r="15" spans="1:12" x14ac:dyDescent="0.25">
      <c r="A15" s="19" t="s">
        <v>2258</v>
      </c>
      <c r="B15" s="20" t="s">
        <v>2264</v>
      </c>
      <c r="C15" s="14">
        <v>0</v>
      </c>
      <c r="D15" s="21" t="s">
        <v>2265</v>
      </c>
      <c r="E15" s="14" t="str">
        <f>IF(B15=0,"",IF(COUNTIF($B$7:B15,B15)=1,D15,E14))</f>
        <v>Middle Atlantic Division</v>
      </c>
      <c r="L15" s="22"/>
    </row>
    <row r="16" spans="1:12" x14ac:dyDescent="0.25">
      <c r="A16" s="19" t="s">
        <v>2258</v>
      </c>
      <c r="B16" s="20" t="s">
        <v>2264</v>
      </c>
      <c r="C16" s="19">
        <v>34</v>
      </c>
      <c r="D16" s="22" t="s">
        <v>1856</v>
      </c>
      <c r="E16" s="14" t="str">
        <f>IF(B16=0,"",IF(COUNTIF($B$7:B16,B16)=1,D16,E15))</f>
        <v>Middle Atlantic Division</v>
      </c>
      <c r="L16" s="22"/>
    </row>
    <row r="17" spans="1:12" x14ac:dyDescent="0.25">
      <c r="A17" s="19" t="s">
        <v>2258</v>
      </c>
      <c r="B17" s="20" t="s">
        <v>2264</v>
      </c>
      <c r="C17" s="19">
        <v>36</v>
      </c>
      <c r="D17" s="22" t="s">
        <v>960</v>
      </c>
      <c r="E17" s="14" t="str">
        <f>IF(B17=0,"",IF(COUNTIF($B$7:B17,B17)=1,D17,E16))</f>
        <v>Middle Atlantic Division</v>
      </c>
      <c r="L17" s="22"/>
    </row>
    <row r="18" spans="1:12" x14ac:dyDescent="0.25">
      <c r="A18" s="19" t="s">
        <v>2258</v>
      </c>
      <c r="B18" s="20" t="s">
        <v>2264</v>
      </c>
      <c r="C18" s="19">
        <v>42</v>
      </c>
      <c r="D18" s="22" t="s">
        <v>1987</v>
      </c>
      <c r="E18" s="14" t="str">
        <f>IF(B18=0,"",IF(COUNTIF($B$7:B18,B18)=1,D18,E17))</f>
        <v>Middle Atlantic Division</v>
      </c>
      <c r="L18" s="22"/>
    </row>
    <row r="19" spans="1:12" x14ac:dyDescent="0.25">
      <c r="A19" s="19" t="s">
        <v>2264</v>
      </c>
      <c r="B19" s="15" t="s">
        <v>2266</v>
      </c>
      <c r="C19" s="14">
        <v>0</v>
      </c>
      <c r="D19" s="19" t="s">
        <v>2267</v>
      </c>
      <c r="E19" s="14" t="str">
        <f>IF(B19=0,"",IF(COUNTIF($B$7:B19,B19)=1,D19,E18))</f>
        <v>Middle Atlantic Division</v>
      </c>
      <c r="L19" s="22"/>
    </row>
    <row r="20" spans="1:12" x14ac:dyDescent="0.25">
      <c r="A20" s="19" t="s">
        <v>2264</v>
      </c>
      <c r="B20" s="20" t="s">
        <v>2268</v>
      </c>
      <c r="C20" s="14">
        <v>0</v>
      </c>
      <c r="D20" s="21" t="s">
        <v>2269</v>
      </c>
      <c r="E20" s="14" t="str">
        <f>IF(B20=0,"",IF(COUNTIF($B$7:B20,B20)=1,D20,E19))</f>
        <v>East North Central Division</v>
      </c>
      <c r="L20" s="22"/>
    </row>
    <row r="21" spans="1:12" x14ac:dyDescent="0.25">
      <c r="A21" s="19" t="s">
        <v>2264</v>
      </c>
      <c r="B21" s="20" t="s">
        <v>2268</v>
      </c>
      <c r="C21" s="19">
        <v>17</v>
      </c>
      <c r="D21" s="22" t="s">
        <v>1563</v>
      </c>
      <c r="E21" s="14" t="str">
        <f>IF(B21=0,"",IF(COUNTIF($B$7:B21,B21)=1,D21,E20))</f>
        <v>East North Central Division</v>
      </c>
      <c r="L21" s="22"/>
    </row>
    <row r="22" spans="1:12" x14ac:dyDescent="0.25">
      <c r="A22" s="19" t="s">
        <v>2264</v>
      </c>
      <c r="B22" s="20" t="s">
        <v>2268</v>
      </c>
      <c r="C22" s="19">
        <v>18</v>
      </c>
      <c r="D22" s="22" t="s">
        <v>1578</v>
      </c>
      <c r="E22" s="14" t="str">
        <f>IF(B22=0,"",IF(COUNTIF($B$7:B22,B22)=1,D22,E21))</f>
        <v>East North Central Division</v>
      </c>
      <c r="L22" s="22"/>
    </row>
    <row r="23" spans="1:12" x14ac:dyDescent="0.25">
      <c r="A23" s="19" t="s">
        <v>2264</v>
      </c>
      <c r="B23" s="20" t="s">
        <v>2268</v>
      </c>
      <c r="C23" s="19">
        <v>26</v>
      </c>
      <c r="D23" s="22" t="s">
        <v>1697</v>
      </c>
      <c r="E23" s="14" t="str">
        <f>IF(B23=0,"",IF(COUNTIF($B$7:B23,B23)=1,D23,E22))</f>
        <v>East North Central Division</v>
      </c>
      <c r="L23" s="22"/>
    </row>
    <row r="24" spans="1:12" x14ac:dyDescent="0.25">
      <c r="A24" s="19" t="s">
        <v>2264</v>
      </c>
      <c r="B24" s="20" t="s">
        <v>2268</v>
      </c>
      <c r="C24" s="19">
        <v>39</v>
      </c>
      <c r="D24" s="22" t="s">
        <v>693</v>
      </c>
      <c r="E24" s="14" t="str">
        <f>IF(B24=0,"",IF(COUNTIF($B$7:B24,B24)=1,D24,E23))</f>
        <v>East North Central Division</v>
      </c>
      <c r="L24" s="22"/>
    </row>
    <row r="25" spans="1:12" x14ac:dyDescent="0.25">
      <c r="A25" s="19" t="s">
        <v>2264</v>
      </c>
      <c r="B25" s="20" t="s">
        <v>2268</v>
      </c>
      <c r="C25" s="19">
        <v>55</v>
      </c>
      <c r="D25" s="22" t="s">
        <v>2218</v>
      </c>
      <c r="E25" s="14" t="str">
        <f>IF(B25=0,"",IF(COUNTIF($B$7:B25,B25)=1,D25,E24))</f>
        <v>East North Central Division</v>
      </c>
      <c r="L25" s="22"/>
    </row>
    <row r="26" spans="1:12" x14ac:dyDescent="0.25">
      <c r="A26" s="19" t="s">
        <v>2264</v>
      </c>
      <c r="B26" s="20" t="s">
        <v>2270</v>
      </c>
      <c r="C26" s="14">
        <v>0</v>
      </c>
      <c r="D26" s="21" t="s">
        <v>2271</v>
      </c>
      <c r="E26" s="14" t="str">
        <f>IF(B26=0,"",IF(COUNTIF($B$7:B26,B26)=1,D26,E25))</f>
        <v>West North Central Division</v>
      </c>
      <c r="L26" s="22"/>
    </row>
    <row r="27" spans="1:12" x14ac:dyDescent="0.25">
      <c r="A27" s="19" t="s">
        <v>2264</v>
      </c>
      <c r="B27" s="20" t="s">
        <v>2270</v>
      </c>
      <c r="C27" s="19">
        <v>19</v>
      </c>
      <c r="D27" s="22" t="s">
        <v>614</v>
      </c>
      <c r="E27" s="14" t="str">
        <f>IF(B27=0,"",IF(COUNTIF($B$7:B27,B27)=1,D27,E26))</f>
        <v>West North Central Division</v>
      </c>
      <c r="L27" s="22"/>
    </row>
    <row r="28" spans="1:12" x14ac:dyDescent="0.25">
      <c r="A28" s="19" t="s">
        <v>2264</v>
      </c>
      <c r="B28" s="20" t="s">
        <v>2270</v>
      </c>
      <c r="C28" s="19">
        <v>20</v>
      </c>
      <c r="D28" s="22" t="s">
        <v>1615</v>
      </c>
      <c r="E28" s="14" t="str">
        <f>IF(B28=0,"",IF(COUNTIF($B$7:B28,B28)=1,D28,E27))</f>
        <v>West North Central Division</v>
      </c>
      <c r="L28" s="22"/>
    </row>
    <row r="29" spans="1:12" x14ac:dyDescent="0.25">
      <c r="A29" s="19" t="s">
        <v>2264</v>
      </c>
      <c r="B29" s="20" t="s">
        <v>2270</v>
      </c>
      <c r="C29" s="19">
        <v>27</v>
      </c>
      <c r="D29" s="22" t="s">
        <v>1742</v>
      </c>
      <c r="E29" s="14" t="str">
        <f>IF(B29=0,"",IF(COUNTIF($B$7:B29,B29)=1,D29,E28))</f>
        <v>West North Central Division</v>
      </c>
      <c r="L29" s="22"/>
    </row>
    <row r="30" spans="1:12" x14ac:dyDescent="0.25">
      <c r="A30" s="19" t="s">
        <v>2264</v>
      </c>
      <c r="B30" s="20" t="s">
        <v>2270</v>
      </c>
      <c r="C30" s="19">
        <v>29</v>
      </c>
      <c r="D30" s="22" t="s">
        <v>1783</v>
      </c>
      <c r="E30" s="14" t="str">
        <f>IF(B30=0,"",IF(COUNTIF($B$7:B30,B30)=1,D30,E29))</f>
        <v>West North Central Division</v>
      </c>
      <c r="L30" s="22"/>
    </row>
    <row r="31" spans="1:12" x14ac:dyDescent="0.25">
      <c r="A31" s="19" t="s">
        <v>2264</v>
      </c>
      <c r="B31" s="20" t="s">
        <v>2270</v>
      </c>
      <c r="C31" s="19">
        <v>31</v>
      </c>
      <c r="D31" s="22" t="s">
        <v>1825</v>
      </c>
      <c r="E31" s="14" t="str">
        <f>IF(B31=0,"",IF(COUNTIF($B$7:B31,B31)=1,D31,E30))</f>
        <v>West North Central Division</v>
      </c>
      <c r="L31" s="22"/>
    </row>
    <row r="32" spans="1:12" x14ac:dyDescent="0.25">
      <c r="A32" s="19" t="s">
        <v>2264</v>
      </c>
      <c r="B32" s="20" t="s">
        <v>2270</v>
      </c>
      <c r="C32" s="19">
        <v>38</v>
      </c>
      <c r="D32" s="22" t="s">
        <v>1923</v>
      </c>
      <c r="E32" s="14" t="str">
        <f>IF(B32=0,"",IF(COUNTIF($B$7:B32,B32)=1,D32,E31))</f>
        <v>West North Central Division</v>
      </c>
      <c r="L32" s="22"/>
    </row>
    <row r="33" spans="1:12" x14ac:dyDescent="0.25">
      <c r="A33" s="19" t="s">
        <v>2264</v>
      </c>
      <c r="B33" s="20" t="s">
        <v>2270</v>
      </c>
      <c r="C33" s="19">
        <v>46</v>
      </c>
      <c r="D33" s="22" t="s">
        <v>2026</v>
      </c>
      <c r="E33" s="14" t="str">
        <f>IF(B33=0,"",IF(COUNTIF($B$7:B33,B33)=1,D33,E32))</f>
        <v>West North Central Division</v>
      </c>
      <c r="L33" s="22"/>
    </row>
    <row r="34" spans="1:12" x14ac:dyDescent="0.25">
      <c r="A34" s="19" t="s">
        <v>2268</v>
      </c>
      <c r="B34" s="15" t="s">
        <v>2266</v>
      </c>
      <c r="C34" s="14">
        <v>0</v>
      </c>
      <c r="D34" s="19" t="s">
        <v>2272</v>
      </c>
      <c r="E34" s="14" t="str">
        <f>IF(B34=0,"",IF(COUNTIF($B$7:B34,B34)=1,D34,E33))</f>
        <v>West North Central Division</v>
      </c>
      <c r="L34" s="22"/>
    </row>
    <row r="35" spans="1:12" x14ac:dyDescent="0.25">
      <c r="A35" s="19" t="s">
        <v>2268</v>
      </c>
      <c r="B35" s="20" t="s">
        <v>2273</v>
      </c>
      <c r="C35" s="14">
        <v>0</v>
      </c>
      <c r="D35" s="21" t="s">
        <v>2274</v>
      </c>
      <c r="E35" s="14" t="str">
        <f>IF(B35=0,"",IF(COUNTIF($B$7:B35,B35)=1,D35,E34))</f>
        <v>South Atlantic Division</v>
      </c>
      <c r="L35" s="22"/>
    </row>
    <row r="36" spans="1:12" x14ac:dyDescent="0.25">
      <c r="A36" s="19" t="s">
        <v>2268</v>
      </c>
      <c r="B36" s="20" t="s">
        <v>2273</v>
      </c>
      <c r="C36" s="19">
        <v>10</v>
      </c>
      <c r="D36" s="22" t="s">
        <v>583</v>
      </c>
      <c r="E36" s="14" t="str">
        <f>IF(B36=0,"",IF(COUNTIF($B$7:B36,B36)=1,D36,E35))</f>
        <v>South Atlantic Division</v>
      </c>
      <c r="L36" s="22"/>
    </row>
    <row r="37" spans="1:12" x14ac:dyDescent="0.25">
      <c r="A37" s="19" t="s">
        <v>2268</v>
      </c>
      <c r="B37" s="20" t="s">
        <v>2273</v>
      </c>
      <c r="C37" s="19">
        <v>11</v>
      </c>
      <c r="D37" s="22" t="s">
        <v>422</v>
      </c>
      <c r="E37" s="14" t="str">
        <f>IF(B37=0,"",IF(COUNTIF($B$7:B37,B37)=1,D37,E36))</f>
        <v>South Atlantic Division</v>
      </c>
      <c r="L37" s="22"/>
    </row>
    <row r="38" spans="1:12" x14ac:dyDescent="0.25">
      <c r="A38" s="19" t="s">
        <v>2268</v>
      </c>
      <c r="B38" s="20" t="s">
        <v>2273</v>
      </c>
      <c r="C38" s="19">
        <v>12</v>
      </c>
      <c r="D38" s="22" t="s">
        <v>1493</v>
      </c>
      <c r="E38" s="14" t="str">
        <f>IF(B38=0,"",IF(COUNTIF($B$7:B38,B38)=1,D38,E37))</f>
        <v>South Atlantic Division</v>
      </c>
      <c r="L38" s="22"/>
    </row>
    <row r="39" spans="1:12" x14ac:dyDescent="0.25">
      <c r="A39" s="19" t="s">
        <v>2268</v>
      </c>
      <c r="B39" s="20" t="s">
        <v>2273</v>
      </c>
      <c r="C39" s="19">
        <v>13</v>
      </c>
      <c r="D39" s="22" t="s">
        <v>1531</v>
      </c>
      <c r="E39" s="14" t="str">
        <f>IF(B39=0,"",IF(COUNTIF($B$7:B39,B39)=1,D39,E38))</f>
        <v>South Atlantic Division</v>
      </c>
      <c r="L39" s="22"/>
    </row>
    <row r="40" spans="1:12" x14ac:dyDescent="0.25">
      <c r="A40" s="19" t="s">
        <v>2268</v>
      </c>
      <c r="B40" s="20" t="s">
        <v>2273</v>
      </c>
      <c r="C40" s="19">
        <v>24</v>
      </c>
      <c r="D40" s="22" t="s">
        <v>2275</v>
      </c>
      <c r="E40" s="14" t="str">
        <f>IF(B40=0,"",IF(COUNTIF($B$7:B40,B40)=1,D40,E39))</f>
        <v>South Atlantic Division</v>
      </c>
      <c r="L40" s="22"/>
    </row>
    <row r="41" spans="1:12" x14ac:dyDescent="0.25">
      <c r="A41" s="19" t="s">
        <v>2268</v>
      </c>
      <c r="B41" s="20" t="s">
        <v>2273</v>
      </c>
      <c r="C41" s="19">
        <v>37</v>
      </c>
      <c r="D41" s="22" t="s">
        <v>1886</v>
      </c>
      <c r="E41" s="14" t="str">
        <f>IF(B41=0,"",IF(COUNTIF($B$7:B41,B41)=1,D41,E40))</f>
        <v>South Atlantic Division</v>
      </c>
      <c r="L41" s="22"/>
    </row>
    <row r="42" spans="1:12" x14ac:dyDescent="0.25">
      <c r="A42" s="19" t="s">
        <v>2268</v>
      </c>
      <c r="B42" s="20" t="s">
        <v>2273</v>
      </c>
      <c r="C42" s="19">
        <v>45</v>
      </c>
      <c r="D42" s="22" t="s">
        <v>2009</v>
      </c>
      <c r="E42" s="14" t="str">
        <f>IF(B42=0,"",IF(COUNTIF($B$7:B42,B42)=1,D42,E41))</f>
        <v>South Atlantic Division</v>
      </c>
      <c r="L42" s="22"/>
    </row>
    <row r="43" spans="1:12" x14ac:dyDescent="0.25">
      <c r="A43" s="19" t="s">
        <v>2268</v>
      </c>
      <c r="B43" s="20" t="s">
        <v>2273</v>
      </c>
      <c r="C43" s="19">
        <v>51</v>
      </c>
      <c r="D43" s="22" t="s">
        <v>2154</v>
      </c>
      <c r="E43" s="14" t="str">
        <f>IF(B43=0,"",IF(COUNTIF($B$7:B43,B43)=1,D43,E42))</f>
        <v>South Atlantic Division</v>
      </c>
      <c r="L43" s="22"/>
    </row>
    <row r="44" spans="1:12" x14ac:dyDescent="0.25">
      <c r="A44" s="19" t="s">
        <v>2268</v>
      </c>
      <c r="B44" s="20" t="s">
        <v>2273</v>
      </c>
      <c r="C44" s="19">
        <v>54</v>
      </c>
      <c r="D44" s="22" t="s">
        <v>2276</v>
      </c>
      <c r="E44" s="14" t="str">
        <f>IF(B44=0,"",IF(COUNTIF($B$7:B44,B44)=1,D44,E43))</f>
        <v>South Atlantic Division</v>
      </c>
      <c r="L44" s="22"/>
    </row>
    <row r="45" spans="1:12" x14ac:dyDescent="0.25">
      <c r="A45" s="19" t="s">
        <v>2268</v>
      </c>
      <c r="B45" s="20" t="s">
        <v>2277</v>
      </c>
      <c r="C45" s="14">
        <v>0</v>
      </c>
      <c r="D45" s="21" t="s">
        <v>2278</v>
      </c>
      <c r="E45" s="14" t="str">
        <f>IF(B45=0,"",IF(COUNTIF($B$7:B45,B45)=1,D45,E44))</f>
        <v>East South Central Division</v>
      </c>
      <c r="L45" s="22"/>
    </row>
    <row r="46" spans="1:12" x14ac:dyDescent="0.25">
      <c r="A46" s="19" t="s">
        <v>2268</v>
      </c>
      <c r="B46" s="20" t="s">
        <v>2277</v>
      </c>
      <c r="C46" s="19">
        <v>1</v>
      </c>
      <c r="D46" s="22" t="s">
        <v>1378</v>
      </c>
      <c r="E46" s="14" t="str">
        <f>IF(B46=0,"",IF(COUNTIF($B$7:B46,B46)=1,D46,E45))</f>
        <v>East South Central Division</v>
      </c>
      <c r="L46" s="22"/>
    </row>
    <row r="47" spans="1:12" x14ac:dyDescent="0.25">
      <c r="A47" s="19" t="s">
        <v>2268</v>
      </c>
      <c r="B47" s="20" t="s">
        <v>2277</v>
      </c>
      <c r="C47" s="19">
        <v>21</v>
      </c>
      <c r="D47" s="22" t="s">
        <v>1633</v>
      </c>
      <c r="E47" s="14" t="str">
        <f>IF(B47=0,"",IF(COUNTIF($B$7:B47,B47)=1,D47,E46))</f>
        <v>East South Central Division</v>
      </c>
      <c r="L47" s="22"/>
    </row>
    <row r="48" spans="1:12" x14ac:dyDescent="0.25">
      <c r="A48" s="19" t="s">
        <v>2268</v>
      </c>
      <c r="B48" s="20" t="s">
        <v>2277</v>
      </c>
      <c r="C48" s="19">
        <v>28</v>
      </c>
      <c r="D48" s="22" t="s">
        <v>328</v>
      </c>
      <c r="E48" s="14" t="str">
        <f>IF(B48=0,"",IF(COUNTIF($B$7:B48,B48)=1,D48,E47))</f>
        <v>East South Central Division</v>
      </c>
      <c r="L48" s="22"/>
    </row>
    <row r="49" spans="1:12" x14ac:dyDescent="0.25">
      <c r="A49" s="19" t="s">
        <v>2268</v>
      </c>
      <c r="B49" s="20" t="s">
        <v>2277</v>
      </c>
      <c r="C49" s="19">
        <v>47</v>
      </c>
      <c r="D49" s="22" t="s">
        <v>2042</v>
      </c>
      <c r="E49" s="14" t="str">
        <f>IF(B49=0,"",IF(COUNTIF($B$7:B49,B49)=1,D49,E48))</f>
        <v>East South Central Division</v>
      </c>
      <c r="L49" s="22"/>
    </row>
    <row r="50" spans="1:12" x14ac:dyDescent="0.25">
      <c r="A50" s="19" t="s">
        <v>2268</v>
      </c>
      <c r="B50" s="20" t="s">
        <v>2279</v>
      </c>
      <c r="C50" s="14">
        <v>0</v>
      </c>
      <c r="D50" s="21" t="s">
        <v>2280</v>
      </c>
      <c r="E50" s="14" t="str">
        <f>IF(B50=0,"",IF(COUNTIF($B$7:B50,B50)=1,D50,E49))</f>
        <v>West South Central Division</v>
      </c>
      <c r="L50" s="22"/>
    </row>
    <row r="51" spans="1:12" x14ac:dyDescent="0.25">
      <c r="A51" s="19" t="s">
        <v>2268</v>
      </c>
      <c r="B51" s="20" t="s">
        <v>2279</v>
      </c>
      <c r="C51" s="19">
        <v>5</v>
      </c>
      <c r="D51" s="22" t="s">
        <v>1424</v>
      </c>
      <c r="E51" s="14" t="str">
        <f>IF(B51=0,"",IF(COUNTIF($B$7:B51,B51)=1,D51,E50))</f>
        <v>West South Central Division</v>
      </c>
      <c r="L51" s="22"/>
    </row>
    <row r="52" spans="1:12" x14ac:dyDescent="0.25">
      <c r="A52" s="19" t="s">
        <v>2268</v>
      </c>
      <c r="B52" s="20" t="s">
        <v>2279</v>
      </c>
      <c r="C52" s="19">
        <v>22</v>
      </c>
      <c r="D52" s="22" t="s">
        <v>1658</v>
      </c>
      <c r="E52" s="14" t="str">
        <f>IF(B52=0,"",IF(COUNTIF($B$7:B52,B52)=1,D52,E51))</f>
        <v>West South Central Division</v>
      </c>
      <c r="L52" s="22"/>
    </row>
    <row r="53" spans="1:12" x14ac:dyDescent="0.25">
      <c r="A53" s="19" t="s">
        <v>2268</v>
      </c>
      <c r="B53" s="20" t="s">
        <v>2279</v>
      </c>
      <c r="C53" s="19">
        <v>40</v>
      </c>
      <c r="D53" s="22" t="s">
        <v>1952</v>
      </c>
      <c r="E53" s="14" t="str">
        <f>IF(B53=0,"",IF(COUNTIF($B$7:B53,B53)=1,D53,E52))</f>
        <v>West South Central Division</v>
      </c>
      <c r="L53" s="22"/>
    </row>
    <row r="54" spans="1:12" x14ac:dyDescent="0.25">
      <c r="A54" s="19" t="s">
        <v>2268</v>
      </c>
      <c r="B54" s="20" t="s">
        <v>2279</v>
      </c>
      <c r="C54" s="19">
        <v>48</v>
      </c>
      <c r="D54" s="22" t="s">
        <v>868</v>
      </c>
      <c r="E54" s="14" t="str">
        <f>IF(B54=0,"",IF(COUNTIF($B$7:B54,B54)=1,D54,E53))</f>
        <v>West South Central Division</v>
      </c>
      <c r="L54" s="22"/>
    </row>
    <row r="55" spans="1:12" x14ac:dyDescent="0.25">
      <c r="A55" s="19" t="s">
        <v>2270</v>
      </c>
      <c r="B55" s="15" t="s">
        <v>2266</v>
      </c>
      <c r="C55" s="14">
        <v>0</v>
      </c>
      <c r="D55" s="19" t="s">
        <v>2281</v>
      </c>
      <c r="E55" s="14" t="str">
        <f>IF(B55=0,"",IF(COUNTIF($B$7:B55,B55)=1,D55,E54))</f>
        <v>West South Central Division</v>
      </c>
      <c r="L55" s="22"/>
    </row>
    <row r="56" spans="1:12" x14ac:dyDescent="0.25">
      <c r="A56" s="19" t="s">
        <v>2270</v>
      </c>
      <c r="B56" s="20" t="s">
        <v>2282</v>
      </c>
      <c r="C56" s="14">
        <v>0</v>
      </c>
      <c r="D56" s="21" t="s">
        <v>2283</v>
      </c>
      <c r="E56" s="14" t="str">
        <f>IF(B56=0,"",IF(COUNTIF($B$7:B56,B56)=1,D56,E55))</f>
        <v>Mountain Division</v>
      </c>
      <c r="L56" s="22"/>
    </row>
    <row r="57" spans="1:12" x14ac:dyDescent="0.25">
      <c r="A57" s="19" t="s">
        <v>2270</v>
      </c>
      <c r="B57" s="20" t="s">
        <v>2282</v>
      </c>
      <c r="C57" s="19">
        <v>4</v>
      </c>
      <c r="D57" s="22" t="s">
        <v>1409</v>
      </c>
      <c r="E57" s="14" t="str">
        <f>IF(B57=0,"",IF(COUNTIF($B$7:B57,B57)=1,D57,E56))</f>
        <v>Mountain Division</v>
      </c>
      <c r="L57" s="22"/>
    </row>
    <row r="58" spans="1:12" x14ac:dyDescent="0.25">
      <c r="A58" s="19" t="s">
        <v>2270</v>
      </c>
      <c r="B58" s="20" t="s">
        <v>2282</v>
      </c>
      <c r="C58" s="19">
        <v>8</v>
      </c>
      <c r="D58" s="22" t="s">
        <v>1476</v>
      </c>
      <c r="E58" s="14" t="str">
        <f>IF(B58=0,"",IF(COUNTIF($B$7:B58,B58)=1,D58,E57))</f>
        <v>Mountain Division</v>
      </c>
    </row>
    <row r="59" spans="1:12" x14ac:dyDescent="0.25">
      <c r="A59" s="19" t="s">
        <v>2270</v>
      </c>
      <c r="B59" s="20" t="s">
        <v>2282</v>
      </c>
      <c r="C59" s="19">
        <v>16</v>
      </c>
      <c r="D59" s="22" t="s">
        <v>534</v>
      </c>
      <c r="E59" s="14" t="str">
        <f>IF(B59=0,"",IF(COUNTIF($B$7:B59,B59)=1,D59,E58))</f>
        <v>Mountain Division</v>
      </c>
    </row>
    <row r="60" spans="1:12" x14ac:dyDescent="0.25">
      <c r="A60" s="19" t="s">
        <v>2270</v>
      </c>
      <c r="B60" s="20" t="s">
        <v>2282</v>
      </c>
      <c r="C60" s="19">
        <v>30</v>
      </c>
      <c r="D60" s="22" t="s">
        <v>1804</v>
      </c>
      <c r="E60" s="14" t="str">
        <f>IF(B60=0,"",IF(COUNTIF($B$7:B60,B60)=1,D60,E59))</f>
        <v>Mountain Division</v>
      </c>
    </row>
    <row r="61" spans="1:12" x14ac:dyDescent="0.25">
      <c r="A61" s="19" t="s">
        <v>2270</v>
      </c>
      <c r="B61" s="20" t="s">
        <v>2282</v>
      </c>
      <c r="C61" s="19">
        <v>32</v>
      </c>
      <c r="D61" s="22" t="s">
        <v>329</v>
      </c>
      <c r="E61" s="14" t="str">
        <f>IF(B61=0,"",IF(COUNTIF($B$7:B61,B61)=1,D61,E60))</f>
        <v>Mountain Division</v>
      </c>
    </row>
    <row r="62" spans="1:12" x14ac:dyDescent="0.25">
      <c r="A62" s="19" t="s">
        <v>2270</v>
      </c>
      <c r="B62" s="20" t="s">
        <v>2282</v>
      </c>
      <c r="C62" s="19">
        <v>35</v>
      </c>
      <c r="D62" s="22" t="s">
        <v>1868</v>
      </c>
      <c r="E62" s="14" t="str">
        <f>IF(B62=0,"",IF(COUNTIF($B$7:B62,B62)=1,D62,E61))</f>
        <v>Mountain Division</v>
      </c>
    </row>
    <row r="63" spans="1:12" x14ac:dyDescent="0.25">
      <c r="A63" s="19" t="s">
        <v>2270</v>
      </c>
      <c r="B63" s="20" t="s">
        <v>2282</v>
      </c>
      <c r="C63" s="19">
        <v>49</v>
      </c>
      <c r="D63" s="22" t="s">
        <v>2137</v>
      </c>
      <c r="E63" s="14" t="str">
        <f>IF(B63=0,"",IF(COUNTIF($B$7:B63,B63)=1,D63,E62))</f>
        <v>Mountain Division</v>
      </c>
    </row>
    <row r="64" spans="1:12" x14ac:dyDescent="0.25">
      <c r="A64" s="19" t="s">
        <v>2270</v>
      </c>
      <c r="B64" s="20" t="s">
        <v>2282</v>
      </c>
      <c r="C64" s="19">
        <v>56</v>
      </c>
      <c r="D64" s="22" t="s">
        <v>1357</v>
      </c>
      <c r="E64" s="14" t="str">
        <f>IF(B64=0,"",IF(COUNTIF($B$7:B64,B64)=1,D64,E63))</f>
        <v>Mountain Division</v>
      </c>
    </row>
    <row r="65" spans="1:5" x14ac:dyDescent="0.25">
      <c r="A65" s="19" t="s">
        <v>2270</v>
      </c>
      <c r="B65" s="20" t="s">
        <v>2284</v>
      </c>
      <c r="C65" s="14">
        <v>0</v>
      </c>
      <c r="D65" s="21" t="s">
        <v>2285</v>
      </c>
      <c r="E65" s="14" t="str">
        <f>IF(B65=0,"",IF(COUNTIF($B$7:B65,B65)=1,D65,E64))</f>
        <v>Pacific Division</v>
      </c>
    </row>
    <row r="66" spans="1:5" x14ac:dyDescent="0.25">
      <c r="A66" s="19" t="s">
        <v>2270</v>
      </c>
      <c r="B66" s="20" t="s">
        <v>2284</v>
      </c>
      <c r="C66" s="19">
        <v>2</v>
      </c>
      <c r="D66" s="22" t="s">
        <v>1380</v>
      </c>
      <c r="E66" s="14" t="str">
        <f>IF(B66=0,"",IF(COUNTIF($B$7:B66,B66)=1,D66,E65))</f>
        <v>Pacific Division</v>
      </c>
    </row>
    <row r="67" spans="1:5" x14ac:dyDescent="0.25">
      <c r="A67" s="19" t="s">
        <v>2270</v>
      </c>
      <c r="B67" s="20" t="s">
        <v>2284</v>
      </c>
      <c r="C67" s="19">
        <v>6</v>
      </c>
      <c r="D67" s="22" t="s">
        <v>1434</v>
      </c>
      <c r="E67" s="14" t="str">
        <f>IF(B67=0,"",IF(COUNTIF($B$7:B67,B67)=1,D67,E66))</f>
        <v>Pacific Division</v>
      </c>
    </row>
    <row r="68" spans="1:5" x14ac:dyDescent="0.25">
      <c r="A68" s="19" t="s">
        <v>2270</v>
      </c>
      <c r="B68" s="20" t="s">
        <v>2284</v>
      </c>
      <c r="C68" s="19">
        <v>15</v>
      </c>
      <c r="D68" s="22" t="s">
        <v>507</v>
      </c>
      <c r="E68" s="14" t="str">
        <f>IF(B68=0,"",IF(COUNTIF($B$7:B68,B68)=1,D68,E67))</f>
        <v>Pacific Division</v>
      </c>
    </row>
    <row r="69" spans="1:5" x14ac:dyDescent="0.25">
      <c r="A69" s="19" t="s">
        <v>2270</v>
      </c>
      <c r="B69" s="20" t="s">
        <v>2284</v>
      </c>
      <c r="C69" s="19">
        <v>41</v>
      </c>
      <c r="D69" s="22" t="s">
        <v>1801</v>
      </c>
      <c r="E69" s="14" t="str">
        <f>IF(B69=0,"",IF(COUNTIF($B$7:B69,B69)=1,D69,E68))</f>
        <v>Pacific Division</v>
      </c>
    </row>
    <row r="70" spans="1:5" x14ac:dyDescent="0.25">
      <c r="A70" s="19" t="s">
        <v>2270</v>
      </c>
      <c r="B70" s="20" t="s">
        <v>2284</v>
      </c>
      <c r="C70" s="19">
        <v>53</v>
      </c>
      <c r="D70" s="22" t="s">
        <v>307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2841"/>
  <sheetViews>
    <sheetView workbookViewId="0">
      <selection sqref="A1:XFD1048576"/>
    </sheetView>
  </sheetViews>
  <sheetFormatPr defaultColWidth="8.7265625" defaultRowHeight="12" x14ac:dyDescent="0.3"/>
  <cols>
    <col min="1" max="1" width="19.54296875" style="86" bestFit="1" customWidth="1"/>
    <col min="2" max="2" width="107.54296875" style="86" bestFit="1" customWidth="1"/>
    <col min="3" max="3" width="11.7265625" style="86" bestFit="1" customWidth="1"/>
    <col min="4" max="4" width="24" style="86" bestFit="1" customWidth="1"/>
    <col min="5" max="5" width="10.81640625" style="86" bestFit="1" customWidth="1"/>
    <col min="6" max="6" width="5.453125" style="86" bestFit="1" customWidth="1"/>
    <col min="7" max="7" width="9.1796875" style="86" bestFit="1" customWidth="1"/>
    <col min="8" max="20" width="5.453125" style="86" bestFit="1" customWidth="1"/>
    <col min="21" max="32" width="6.453125" style="86" bestFit="1" customWidth="1"/>
    <col min="33" max="33" width="8.26953125" style="86" bestFit="1" customWidth="1"/>
    <col min="34" max="16384" width="8.7265625" style="86"/>
  </cols>
  <sheetData>
    <row r="1" spans="1:33" ht="15" customHeight="1" thickBot="1" x14ac:dyDescent="0.35">
      <c r="B1" s="103" t="s">
        <v>2883</v>
      </c>
      <c r="C1" s="100">
        <v>2021</v>
      </c>
      <c r="D1" s="100">
        <v>2022</v>
      </c>
      <c r="E1" s="100">
        <v>2023</v>
      </c>
      <c r="F1" s="100">
        <v>2024</v>
      </c>
      <c r="G1" s="100">
        <v>2025</v>
      </c>
      <c r="H1" s="100">
        <v>2026</v>
      </c>
      <c r="I1" s="100">
        <v>2027</v>
      </c>
      <c r="J1" s="100">
        <v>2028</v>
      </c>
      <c r="K1" s="100">
        <v>2029</v>
      </c>
      <c r="L1" s="100">
        <v>2030</v>
      </c>
      <c r="M1" s="100">
        <v>2031</v>
      </c>
      <c r="N1" s="100">
        <v>2032</v>
      </c>
      <c r="O1" s="100">
        <v>2033</v>
      </c>
      <c r="P1" s="100">
        <v>2034</v>
      </c>
      <c r="Q1" s="100">
        <v>2035</v>
      </c>
      <c r="R1" s="100">
        <v>2036</v>
      </c>
      <c r="S1" s="100">
        <v>2037</v>
      </c>
      <c r="T1" s="100">
        <v>2038</v>
      </c>
      <c r="U1" s="100">
        <v>2039</v>
      </c>
      <c r="V1" s="100">
        <v>2040</v>
      </c>
      <c r="W1" s="100">
        <v>2041</v>
      </c>
      <c r="X1" s="100">
        <v>2042</v>
      </c>
      <c r="Y1" s="100">
        <v>2043</v>
      </c>
      <c r="Z1" s="100">
        <v>2044</v>
      </c>
      <c r="AA1" s="100">
        <v>2045</v>
      </c>
      <c r="AB1" s="100">
        <v>2046</v>
      </c>
      <c r="AC1" s="100">
        <v>2047</v>
      </c>
      <c r="AD1" s="100">
        <v>2048</v>
      </c>
      <c r="AE1" s="100">
        <v>2049</v>
      </c>
      <c r="AF1" s="100">
        <v>2050</v>
      </c>
    </row>
    <row r="2" spans="1:33" ht="15" customHeight="1" thickTop="1" x14ac:dyDescent="0.3"/>
    <row r="3" spans="1:33" ht="15" customHeight="1" x14ac:dyDescent="0.3">
      <c r="C3" s="105" t="s">
        <v>20</v>
      </c>
      <c r="D3" s="105" t="s">
        <v>2882</v>
      </c>
      <c r="E3" s="105"/>
      <c r="F3" s="105"/>
      <c r="G3" s="105"/>
    </row>
    <row r="4" spans="1:33" ht="15" customHeight="1" x14ac:dyDescent="0.3">
      <c r="C4" s="105" t="s">
        <v>21</v>
      </c>
      <c r="D4" s="105" t="s">
        <v>2881</v>
      </c>
      <c r="E4" s="105"/>
      <c r="F4" s="105"/>
      <c r="G4" s="105" t="s">
        <v>2880</v>
      </c>
    </row>
    <row r="5" spans="1:33" ht="15" customHeight="1" x14ac:dyDescent="0.3">
      <c r="C5" s="105" t="s">
        <v>22</v>
      </c>
      <c r="D5" s="105" t="s">
        <v>2879</v>
      </c>
      <c r="E5" s="105"/>
      <c r="F5" s="105"/>
      <c r="G5" s="105"/>
    </row>
    <row r="6" spans="1:33" ht="15" customHeight="1" x14ac:dyDescent="0.3">
      <c r="C6" s="105" t="s">
        <v>23</v>
      </c>
      <c r="D6" s="105"/>
      <c r="E6" s="105" t="s">
        <v>2878</v>
      </c>
      <c r="F6" s="105"/>
      <c r="G6" s="105"/>
    </row>
    <row r="10" spans="1:33" ht="15" customHeight="1" x14ac:dyDescent="0.35">
      <c r="A10" s="92" t="s">
        <v>24</v>
      </c>
      <c r="B10" s="104" t="s">
        <v>25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 s="123" t="s">
        <v>2877</v>
      </c>
    </row>
    <row r="11" spans="1:33" ht="15" customHeight="1" x14ac:dyDescent="0.35">
      <c r="B11" s="103" t="s">
        <v>26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 s="123" t="s">
        <v>2876</v>
      </c>
    </row>
    <row r="12" spans="1:33" ht="15" customHeight="1" x14ac:dyDescent="0.35">
      <c r="B12" s="10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123" t="s">
        <v>2875</v>
      </c>
    </row>
    <row r="13" spans="1:33" ht="15" customHeight="1" thickBot="1" x14ac:dyDescent="0.35">
      <c r="B13" s="100" t="s">
        <v>28</v>
      </c>
      <c r="C13" s="100">
        <v>2021</v>
      </c>
      <c r="D13" s="100">
        <v>2022</v>
      </c>
      <c r="E13" s="100">
        <v>2023</v>
      </c>
      <c r="F13" s="100">
        <v>2024</v>
      </c>
      <c r="G13" s="100">
        <v>2025</v>
      </c>
      <c r="H13" s="100">
        <v>2026</v>
      </c>
      <c r="I13" s="100">
        <v>2027</v>
      </c>
      <c r="J13" s="100">
        <v>2028</v>
      </c>
      <c r="K13" s="100">
        <v>2029</v>
      </c>
      <c r="L13" s="100">
        <v>2030</v>
      </c>
      <c r="M13" s="100">
        <v>2031</v>
      </c>
      <c r="N13" s="100">
        <v>2032</v>
      </c>
      <c r="O13" s="100">
        <v>2033</v>
      </c>
      <c r="P13" s="100">
        <v>2034</v>
      </c>
      <c r="Q13" s="100">
        <v>2035</v>
      </c>
      <c r="R13" s="100">
        <v>2036</v>
      </c>
      <c r="S13" s="100">
        <v>2037</v>
      </c>
      <c r="T13" s="100">
        <v>2038</v>
      </c>
      <c r="U13" s="100">
        <v>2039</v>
      </c>
      <c r="V13" s="100">
        <v>2040</v>
      </c>
      <c r="W13" s="100">
        <v>2041</v>
      </c>
      <c r="X13" s="100">
        <v>2042</v>
      </c>
      <c r="Y13" s="100">
        <v>2043</v>
      </c>
      <c r="Z13" s="100">
        <v>2044</v>
      </c>
      <c r="AA13" s="100">
        <v>2045</v>
      </c>
      <c r="AB13" s="100">
        <v>2046</v>
      </c>
      <c r="AC13" s="100">
        <v>2047</v>
      </c>
      <c r="AD13" s="100">
        <v>2048</v>
      </c>
      <c r="AE13" s="100">
        <v>2049</v>
      </c>
      <c r="AF13" s="100">
        <v>2050</v>
      </c>
      <c r="AG13" s="99" t="s">
        <v>2874</v>
      </c>
    </row>
    <row r="14" spans="1:33" ht="15" customHeight="1" thickTop="1" x14ac:dyDescent="0.35"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</row>
    <row r="15" spans="1:33" ht="15" customHeight="1" x14ac:dyDescent="0.35">
      <c r="B15" s="91" t="s">
        <v>29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</row>
    <row r="16" spans="1:33" ht="15" customHeight="1" x14ac:dyDescent="0.35">
      <c r="B16" s="91" t="s">
        <v>30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</row>
    <row r="17" spans="1:33" ht="15" customHeight="1" x14ac:dyDescent="0.35">
      <c r="A17" s="92" t="s">
        <v>31</v>
      </c>
      <c r="B17" s="95" t="s">
        <v>32</v>
      </c>
      <c r="C17" s="97">
        <v>85.941040000000001</v>
      </c>
      <c r="D17" s="97">
        <v>86.711028999999996</v>
      </c>
      <c r="E17" s="97">
        <v>87.428168999999997</v>
      </c>
      <c r="F17" s="97">
        <v>88.169135999999995</v>
      </c>
      <c r="G17" s="97">
        <v>88.903236000000007</v>
      </c>
      <c r="H17" s="97">
        <v>89.609459000000001</v>
      </c>
      <c r="I17" s="97">
        <v>90.299544999999995</v>
      </c>
      <c r="J17" s="97">
        <v>91.000748000000002</v>
      </c>
      <c r="K17" s="97">
        <v>91.703498999999994</v>
      </c>
      <c r="L17" s="97">
        <v>92.393028000000001</v>
      </c>
      <c r="M17" s="97">
        <v>93.064696999999995</v>
      </c>
      <c r="N17" s="97">
        <v>93.772270000000006</v>
      </c>
      <c r="O17" s="97">
        <v>94.471763999999993</v>
      </c>
      <c r="P17" s="97">
        <v>95.142364999999998</v>
      </c>
      <c r="Q17" s="97">
        <v>95.795958999999996</v>
      </c>
      <c r="R17" s="97">
        <v>96.439728000000002</v>
      </c>
      <c r="S17" s="97">
        <v>97.080185</v>
      </c>
      <c r="T17" s="97">
        <v>97.722915999999998</v>
      </c>
      <c r="U17" s="97">
        <v>98.366478000000001</v>
      </c>
      <c r="V17" s="97">
        <v>99.013076999999996</v>
      </c>
      <c r="W17" s="97">
        <v>99.656738000000004</v>
      </c>
      <c r="X17" s="97">
        <v>100.287537</v>
      </c>
      <c r="Y17" s="97">
        <v>100.908852</v>
      </c>
      <c r="Z17" s="97">
        <v>101.52224699999999</v>
      </c>
      <c r="AA17" s="97">
        <v>102.126411</v>
      </c>
      <c r="AB17" s="97">
        <v>102.722672</v>
      </c>
      <c r="AC17" s="97">
        <v>103.309082</v>
      </c>
      <c r="AD17" s="97">
        <v>103.883835</v>
      </c>
      <c r="AE17" s="97">
        <v>104.448494</v>
      </c>
      <c r="AF17" s="97">
        <v>104.99829099999999</v>
      </c>
      <c r="AG17" s="93">
        <v>6.9300000000000004E-3</v>
      </c>
    </row>
    <row r="18" spans="1:33" ht="15" customHeight="1" x14ac:dyDescent="0.35">
      <c r="A18" s="92" t="s">
        <v>33</v>
      </c>
      <c r="B18" s="95" t="s">
        <v>34</v>
      </c>
      <c r="C18" s="97">
        <v>32.280501999999998</v>
      </c>
      <c r="D18" s="97">
        <v>32.517921000000001</v>
      </c>
      <c r="E18" s="97">
        <v>32.717326999999997</v>
      </c>
      <c r="F18" s="97">
        <v>32.898933</v>
      </c>
      <c r="G18" s="97">
        <v>33.072037000000002</v>
      </c>
      <c r="H18" s="97">
        <v>33.232478999999998</v>
      </c>
      <c r="I18" s="97">
        <v>33.399878999999999</v>
      </c>
      <c r="J18" s="97">
        <v>33.577454000000003</v>
      </c>
      <c r="K18" s="97">
        <v>33.755707000000001</v>
      </c>
      <c r="L18" s="97">
        <v>33.931334999999997</v>
      </c>
      <c r="M18" s="97">
        <v>34.100642999999998</v>
      </c>
      <c r="N18" s="97">
        <v>34.270606999999998</v>
      </c>
      <c r="O18" s="97">
        <v>34.434925</v>
      </c>
      <c r="P18" s="97">
        <v>34.584099000000002</v>
      </c>
      <c r="Q18" s="97">
        <v>34.725872000000003</v>
      </c>
      <c r="R18" s="97">
        <v>34.860881999999997</v>
      </c>
      <c r="S18" s="97">
        <v>35.003967000000003</v>
      </c>
      <c r="T18" s="97">
        <v>35.150832999999999</v>
      </c>
      <c r="U18" s="97">
        <v>35.303089</v>
      </c>
      <c r="V18" s="97">
        <v>35.455607999999998</v>
      </c>
      <c r="W18" s="97">
        <v>35.602607999999996</v>
      </c>
      <c r="X18" s="97">
        <v>35.744816</v>
      </c>
      <c r="Y18" s="97">
        <v>35.883674999999997</v>
      </c>
      <c r="Z18" s="97">
        <v>36.018410000000003</v>
      </c>
      <c r="AA18" s="97">
        <v>36.152473000000001</v>
      </c>
      <c r="AB18" s="97">
        <v>36.284511999999999</v>
      </c>
      <c r="AC18" s="97">
        <v>36.418770000000002</v>
      </c>
      <c r="AD18" s="97">
        <v>36.550339000000001</v>
      </c>
      <c r="AE18" s="97">
        <v>36.682597999999999</v>
      </c>
      <c r="AF18" s="97">
        <v>36.817455000000002</v>
      </c>
      <c r="AG18" s="93">
        <v>4.5450000000000004E-3</v>
      </c>
    </row>
    <row r="19" spans="1:33" ht="15" customHeight="1" x14ac:dyDescent="0.35">
      <c r="A19" s="92" t="s">
        <v>35</v>
      </c>
      <c r="B19" s="95" t="s">
        <v>36</v>
      </c>
      <c r="C19" s="97">
        <v>6.6431500000000003</v>
      </c>
      <c r="D19" s="97">
        <v>6.6291859999999998</v>
      </c>
      <c r="E19" s="97">
        <v>6.6105119999999999</v>
      </c>
      <c r="F19" s="97">
        <v>6.5892710000000001</v>
      </c>
      <c r="G19" s="97">
        <v>6.5724669999999996</v>
      </c>
      <c r="H19" s="97">
        <v>6.5630829999999998</v>
      </c>
      <c r="I19" s="97">
        <v>6.551469</v>
      </c>
      <c r="J19" s="97">
        <v>6.5398769999999997</v>
      </c>
      <c r="K19" s="97">
        <v>6.5290369999999998</v>
      </c>
      <c r="L19" s="97">
        <v>6.5163700000000002</v>
      </c>
      <c r="M19" s="97">
        <v>6.5036019999999999</v>
      </c>
      <c r="N19" s="97">
        <v>6.4932990000000004</v>
      </c>
      <c r="O19" s="97">
        <v>6.4850899999999996</v>
      </c>
      <c r="P19" s="97">
        <v>6.4773420000000002</v>
      </c>
      <c r="Q19" s="97">
        <v>6.4710359999999998</v>
      </c>
      <c r="R19" s="97">
        <v>6.4644209999999998</v>
      </c>
      <c r="S19" s="97">
        <v>6.4558249999999999</v>
      </c>
      <c r="T19" s="97">
        <v>6.4442279999999998</v>
      </c>
      <c r="U19" s="97">
        <v>6.4326319999999999</v>
      </c>
      <c r="V19" s="97">
        <v>6.4223109999999997</v>
      </c>
      <c r="W19" s="97">
        <v>6.4106379999999996</v>
      </c>
      <c r="X19" s="97">
        <v>6.3986409999999996</v>
      </c>
      <c r="Y19" s="97">
        <v>6.3866769999999997</v>
      </c>
      <c r="Z19" s="97">
        <v>6.3760830000000004</v>
      </c>
      <c r="AA19" s="97">
        <v>6.367826</v>
      </c>
      <c r="AB19" s="97">
        <v>6.3603059999999996</v>
      </c>
      <c r="AC19" s="97">
        <v>6.3541109999999996</v>
      </c>
      <c r="AD19" s="97">
        <v>6.3470599999999999</v>
      </c>
      <c r="AE19" s="97">
        <v>6.3394430000000002</v>
      </c>
      <c r="AF19" s="97">
        <v>6.3320030000000003</v>
      </c>
      <c r="AG19" s="93">
        <v>-1.653E-3</v>
      </c>
    </row>
    <row r="20" spans="1:33" ht="15" customHeight="1" x14ac:dyDescent="0.3">
      <c r="A20" s="92" t="s">
        <v>37</v>
      </c>
      <c r="B20" s="91" t="s">
        <v>38</v>
      </c>
      <c r="C20" s="96">
        <v>124.864693</v>
      </c>
      <c r="D20" s="96">
        <v>125.85813899999999</v>
      </c>
      <c r="E20" s="96">
        <v>126.756004</v>
      </c>
      <c r="F20" s="96">
        <v>127.657341</v>
      </c>
      <c r="G20" s="96">
        <v>128.54774499999999</v>
      </c>
      <c r="H20" s="96">
        <v>129.40501399999999</v>
      </c>
      <c r="I20" s="96">
        <v>130.2509</v>
      </c>
      <c r="J20" s="96">
        <v>131.11807300000001</v>
      </c>
      <c r="K20" s="96">
        <v>131.988235</v>
      </c>
      <c r="L20" s="96">
        <v>132.84072900000001</v>
      </c>
      <c r="M20" s="96">
        <v>133.66894500000001</v>
      </c>
      <c r="N20" s="96">
        <v>134.536179</v>
      </c>
      <c r="O20" s="96">
        <v>135.391785</v>
      </c>
      <c r="P20" s="96">
        <v>136.203812</v>
      </c>
      <c r="Q20" s="96">
        <v>136.992874</v>
      </c>
      <c r="R20" s="96">
        <v>137.76503</v>
      </c>
      <c r="S20" s="96">
        <v>138.53997799999999</v>
      </c>
      <c r="T20" s="96">
        <v>139.31797800000001</v>
      </c>
      <c r="U20" s="96">
        <v>140.102203</v>
      </c>
      <c r="V20" s="96">
        <v>140.891006</v>
      </c>
      <c r="W20" s="96">
        <v>141.669983</v>
      </c>
      <c r="X20" s="96">
        <v>142.430984</v>
      </c>
      <c r="Y20" s="96">
        <v>143.17919900000001</v>
      </c>
      <c r="Z20" s="96">
        <v>143.91673299999999</v>
      </c>
      <c r="AA20" s="96">
        <v>144.64671300000001</v>
      </c>
      <c r="AB20" s="96">
        <v>145.367493</v>
      </c>
      <c r="AC20" s="96">
        <v>146.08195499999999</v>
      </c>
      <c r="AD20" s="96">
        <v>146.78123500000001</v>
      </c>
      <c r="AE20" s="96">
        <v>147.47053500000001</v>
      </c>
      <c r="AF20" s="96">
        <v>148.147751</v>
      </c>
      <c r="AG20" s="89">
        <v>5.9129999999999999E-3</v>
      </c>
    </row>
    <row r="21" spans="1:33" ht="15" customHeight="1" x14ac:dyDescent="0.35"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</row>
    <row r="22" spans="1:33" ht="15" customHeight="1" x14ac:dyDescent="0.3">
      <c r="A22" s="92" t="s">
        <v>39</v>
      </c>
      <c r="B22" s="91" t="s">
        <v>40</v>
      </c>
      <c r="C22" s="90">
        <v>1795.476318</v>
      </c>
      <c r="D22" s="90">
        <v>1801.4610600000001</v>
      </c>
      <c r="E22" s="90">
        <v>1807.6260990000001</v>
      </c>
      <c r="F22" s="90">
        <v>1813.930298</v>
      </c>
      <c r="G22" s="90">
        <v>1820.220337</v>
      </c>
      <c r="H22" s="90">
        <v>1826.483643</v>
      </c>
      <c r="I22" s="90">
        <v>1832.6362300000001</v>
      </c>
      <c r="J22" s="90">
        <v>1838.6885990000001</v>
      </c>
      <c r="K22" s="90">
        <v>1844.69812</v>
      </c>
      <c r="L22" s="90">
        <v>1850.6748050000001</v>
      </c>
      <c r="M22" s="90">
        <v>1856.631226</v>
      </c>
      <c r="N22" s="90">
        <v>1862.598999</v>
      </c>
      <c r="O22" s="90">
        <v>1868.551025</v>
      </c>
      <c r="P22" s="90">
        <v>1874.5289310000001</v>
      </c>
      <c r="Q22" s="90">
        <v>1880.4888920000001</v>
      </c>
      <c r="R22" s="90">
        <v>1886.4541019999999</v>
      </c>
      <c r="S22" s="90">
        <v>1892.330322</v>
      </c>
      <c r="T22" s="90">
        <v>1898.166504</v>
      </c>
      <c r="U22" s="90">
        <v>1903.9334719999999</v>
      </c>
      <c r="V22" s="90">
        <v>1909.672241</v>
      </c>
      <c r="W22" s="90">
        <v>1915.4259030000001</v>
      </c>
      <c r="X22" s="90">
        <v>1921.161499</v>
      </c>
      <c r="Y22" s="90">
        <v>1926.875366</v>
      </c>
      <c r="Z22" s="90">
        <v>1932.5737300000001</v>
      </c>
      <c r="AA22" s="90">
        <v>1938.2198490000001</v>
      </c>
      <c r="AB22" s="90">
        <v>1943.8359379999999</v>
      </c>
      <c r="AC22" s="90">
        <v>1949.383057</v>
      </c>
      <c r="AD22" s="90">
        <v>1954.9073490000001</v>
      </c>
      <c r="AE22" s="90">
        <v>1960.3824460000001</v>
      </c>
      <c r="AF22" s="90">
        <v>1965.783203</v>
      </c>
      <c r="AG22" s="89">
        <v>3.13E-3</v>
      </c>
    </row>
    <row r="23" spans="1:33" ht="15" customHeight="1" x14ac:dyDescent="0.3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</row>
    <row r="24" spans="1:33" ht="15" customHeight="1" x14ac:dyDescent="0.35">
      <c r="B24" s="91" t="s">
        <v>41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</row>
    <row r="25" spans="1:33" ht="15" customHeight="1" x14ac:dyDescent="0.35">
      <c r="B25" s="91" t="s">
        <v>42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</row>
    <row r="26" spans="1:33" ht="15" customHeight="1" x14ac:dyDescent="0.35">
      <c r="A26" s="92" t="s">
        <v>43</v>
      </c>
      <c r="B26" s="95" t="s">
        <v>2728</v>
      </c>
      <c r="C26" s="98">
        <v>92.510918000000004</v>
      </c>
      <c r="D26" s="98">
        <v>91.956512000000004</v>
      </c>
      <c r="E26" s="98">
        <v>91.038559000000006</v>
      </c>
      <c r="F26" s="98">
        <v>90.682075999999995</v>
      </c>
      <c r="G26" s="98">
        <v>90.350898999999998</v>
      </c>
      <c r="H26" s="98">
        <v>89.908028000000002</v>
      </c>
      <c r="I26" s="98">
        <v>89.383094999999997</v>
      </c>
      <c r="J26" s="98">
        <v>88.816856000000001</v>
      </c>
      <c r="K26" s="98">
        <v>88.210669999999993</v>
      </c>
      <c r="L26" s="98">
        <v>87.617371000000006</v>
      </c>
      <c r="M26" s="98">
        <v>87.066315000000003</v>
      </c>
      <c r="N26" s="98">
        <v>86.507698000000005</v>
      </c>
      <c r="O26" s="98">
        <v>85.982680999999999</v>
      </c>
      <c r="P26" s="98">
        <v>85.520767000000006</v>
      </c>
      <c r="Q26" s="98">
        <v>85.180374</v>
      </c>
      <c r="R26" s="98">
        <v>84.923659999999998</v>
      </c>
      <c r="S26" s="98">
        <v>84.700080999999997</v>
      </c>
      <c r="T26" s="98">
        <v>84.479873999999995</v>
      </c>
      <c r="U26" s="98">
        <v>84.264190999999997</v>
      </c>
      <c r="V26" s="98">
        <v>84.028648000000004</v>
      </c>
      <c r="W26" s="98">
        <v>83.798469999999995</v>
      </c>
      <c r="X26" s="98">
        <v>83.606491000000005</v>
      </c>
      <c r="Y26" s="98">
        <v>83.470061999999999</v>
      </c>
      <c r="Z26" s="98">
        <v>83.373305999999999</v>
      </c>
      <c r="AA26" s="98">
        <v>83.285133000000002</v>
      </c>
      <c r="AB26" s="98">
        <v>83.243628999999999</v>
      </c>
      <c r="AC26" s="98">
        <v>83.199837000000002</v>
      </c>
      <c r="AD26" s="98">
        <v>83.171554999999998</v>
      </c>
      <c r="AE26" s="98">
        <v>83.155242999999999</v>
      </c>
      <c r="AF26" s="98">
        <v>83.184546999999995</v>
      </c>
      <c r="AG26" s="93">
        <v>-3.6579999999999998E-3</v>
      </c>
    </row>
    <row r="27" spans="1:33" ht="15" customHeight="1" x14ac:dyDescent="0.35">
      <c r="A27" s="92" t="s">
        <v>44</v>
      </c>
      <c r="B27" s="95" t="s">
        <v>2711</v>
      </c>
      <c r="C27" s="98">
        <v>91.735885999999994</v>
      </c>
      <c r="D27" s="98">
        <v>91.105957000000004</v>
      </c>
      <c r="E27" s="98">
        <v>90.112647999999993</v>
      </c>
      <c r="F27" s="98">
        <v>89.701355000000007</v>
      </c>
      <c r="G27" s="98">
        <v>89.318764000000002</v>
      </c>
      <c r="H27" s="98">
        <v>88.825660999999997</v>
      </c>
      <c r="I27" s="98">
        <v>88.251082999999994</v>
      </c>
      <c r="J27" s="98">
        <v>87.633590999999996</v>
      </c>
      <c r="K27" s="98">
        <v>86.975029000000006</v>
      </c>
      <c r="L27" s="98">
        <v>86.329116999999997</v>
      </c>
      <c r="M27" s="98">
        <v>85.723419000000007</v>
      </c>
      <c r="N27" s="98">
        <v>85.109183999999999</v>
      </c>
      <c r="O27" s="98">
        <v>84.524306999999993</v>
      </c>
      <c r="P27" s="98">
        <v>83.998192000000003</v>
      </c>
      <c r="Q27" s="98">
        <v>83.594466999999995</v>
      </c>
      <c r="R27" s="98">
        <v>83.274169999999998</v>
      </c>
      <c r="S27" s="98">
        <v>82.982414000000006</v>
      </c>
      <c r="T27" s="98">
        <v>82.694748000000004</v>
      </c>
      <c r="U27" s="98">
        <v>82.409058000000002</v>
      </c>
      <c r="V27" s="98">
        <v>82.097960999999998</v>
      </c>
      <c r="W27" s="98">
        <v>81.790390000000002</v>
      </c>
      <c r="X27" s="98">
        <v>81.514786000000001</v>
      </c>
      <c r="Y27" s="98">
        <v>81.290733000000003</v>
      </c>
      <c r="Z27" s="98">
        <v>81.105309000000005</v>
      </c>
      <c r="AA27" s="98">
        <v>80.923561000000007</v>
      </c>
      <c r="AB27" s="98">
        <v>80.785499999999999</v>
      </c>
      <c r="AC27" s="98">
        <v>80.640906999999999</v>
      </c>
      <c r="AD27" s="98">
        <v>80.506775000000005</v>
      </c>
      <c r="AE27" s="98">
        <v>80.379554999999996</v>
      </c>
      <c r="AF27" s="98">
        <v>80.296126999999998</v>
      </c>
      <c r="AG27" s="93">
        <v>-4.5820000000000001E-3</v>
      </c>
    </row>
    <row r="28" spans="1:33" ht="15" customHeight="1" x14ac:dyDescent="0.35">
      <c r="B28" s="91" t="s">
        <v>45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</row>
    <row r="29" spans="1:33" ht="15" customHeight="1" x14ac:dyDescent="0.35">
      <c r="A29" s="92" t="s">
        <v>46</v>
      </c>
      <c r="B29" s="95" t="s">
        <v>2728</v>
      </c>
      <c r="C29" s="98">
        <v>51.524441000000003</v>
      </c>
      <c r="D29" s="98">
        <v>51.045516999999997</v>
      </c>
      <c r="E29" s="98">
        <v>50.363602</v>
      </c>
      <c r="F29" s="98">
        <v>49.992038999999998</v>
      </c>
      <c r="G29" s="98">
        <v>49.637340999999999</v>
      </c>
      <c r="H29" s="98">
        <v>49.224654999999998</v>
      </c>
      <c r="I29" s="98">
        <v>48.772961000000002</v>
      </c>
      <c r="J29" s="98">
        <v>48.304459000000001</v>
      </c>
      <c r="K29" s="98">
        <v>47.818485000000003</v>
      </c>
      <c r="L29" s="98">
        <v>47.343471999999998</v>
      </c>
      <c r="M29" s="98">
        <v>46.894782999999997</v>
      </c>
      <c r="N29" s="98">
        <v>46.444617999999998</v>
      </c>
      <c r="O29" s="98">
        <v>46.015697000000003</v>
      </c>
      <c r="P29" s="98">
        <v>45.622540000000001</v>
      </c>
      <c r="Q29" s="98">
        <v>45.296928000000001</v>
      </c>
      <c r="R29" s="98">
        <v>45.017612</v>
      </c>
      <c r="S29" s="98">
        <v>44.75967</v>
      </c>
      <c r="T29" s="98">
        <v>44.506039000000001</v>
      </c>
      <c r="U29" s="98">
        <v>44.257950000000001</v>
      </c>
      <c r="V29" s="98">
        <v>44.001609999999999</v>
      </c>
      <c r="W29" s="98">
        <v>43.74926</v>
      </c>
      <c r="X29" s="98">
        <v>43.518723000000001</v>
      </c>
      <c r="Y29" s="98">
        <v>43.318866999999997</v>
      </c>
      <c r="Z29" s="98">
        <v>43.141075000000001</v>
      </c>
      <c r="AA29" s="98">
        <v>42.969912999999998</v>
      </c>
      <c r="AB29" s="98">
        <v>42.824409000000003</v>
      </c>
      <c r="AC29" s="98">
        <v>42.680084000000001</v>
      </c>
      <c r="AD29" s="98">
        <v>42.545009999999998</v>
      </c>
      <c r="AE29" s="98">
        <v>42.417870000000001</v>
      </c>
      <c r="AF29" s="98">
        <v>42.316234999999999</v>
      </c>
      <c r="AG29" s="93">
        <v>-6.7660000000000003E-3</v>
      </c>
    </row>
    <row r="30" spans="1:33" ht="15" customHeight="1" x14ac:dyDescent="0.35">
      <c r="A30" s="92" t="s">
        <v>47</v>
      </c>
      <c r="B30" s="95" t="s">
        <v>2711</v>
      </c>
      <c r="C30" s="98">
        <v>51.092784999999999</v>
      </c>
      <c r="D30" s="98">
        <v>50.573371999999999</v>
      </c>
      <c r="E30" s="98">
        <v>49.851376000000002</v>
      </c>
      <c r="F30" s="98">
        <v>49.451382000000002</v>
      </c>
      <c r="G30" s="98">
        <v>49.070301000000001</v>
      </c>
      <c r="H30" s="98">
        <v>48.632061</v>
      </c>
      <c r="I30" s="98">
        <v>48.155265999999997</v>
      </c>
      <c r="J30" s="98">
        <v>47.660919</v>
      </c>
      <c r="K30" s="98">
        <v>47.148651000000001</v>
      </c>
      <c r="L30" s="98">
        <v>46.647373000000002</v>
      </c>
      <c r="M30" s="98">
        <v>46.171481999999997</v>
      </c>
      <c r="N30" s="98">
        <v>45.693778999999999</v>
      </c>
      <c r="O30" s="98">
        <v>45.235218000000003</v>
      </c>
      <c r="P30" s="98">
        <v>44.810295000000004</v>
      </c>
      <c r="Q30" s="98">
        <v>44.453583000000002</v>
      </c>
      <c r="R30" s="98">
        <v>44.143227000000003</v>
      </c>
      <c r="S30" s="98">
        <v>43.851970999999999</v>
      </c>
      <c r="T30" s="98">
        <v>43.565593999999997</v>
      </c>
      <c r="U30" s="98">
        <v>43.283580999999998</v>
      </c>
      <c r="V30" s="98">
        <v>42.990603999999998</v>
      </c>
      <c r="W30" s="98">
        <v>42.700890000000001</v>
      </c>
      <c r="X30" s="98">
        <v>42.429951000000003</v>
      </c>
      <c r="Y30" s="98">
        <v>42.187851000000002</v>
      </c>
      <c r="Z30" s="98">
        <v>41.967509999999997</v>
      </c>
      <c r="AA30" s="98">
        <v>41.751483999999998</v>
      </c>
      <c r="AB30" s="98">
        <v>41.559834000000002</v>
      </c>
      <c r="AC30" s="98">
        <v>41.367401000000001</v>
      </c>
      <c r="AD30" s="98">
        <v>41.181888999999998</v>
      </c>
      <c r="AE30" s="98">
        <v>41.001975999999999</v>
      </c>
      <c r="AF30" s="98">
        <v>40.846888999999997</v>
      </c>
      <c r="AG30" s="93">
        <v>-7.6880000000000004E-3</v>
      </c>
    </row>
    <row r="31" spans="1:33" ht="14.5" x14ac:dyDescent="0.3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</row>
    <row r="32" spans="1:33" ht="14.5" x14ac:dyDescent="0.35">
      <c r="B32" s="91" t="s">
        <v>2729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</row>
    <row r="33" spans="1:33" ht="14.5" x14ac:dyDescent="0.35">
      <c r="B33" s="91" t="s">
        <v>2730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</row>
    <row r="34" spans="1:33" ht="14.5" x14ac:dyDescent="0.35">
      <c r="A34" s="92" t="s">
        <v>48</v>
      </c>
      <c r="B34" s="95" t="s">
        <v>49</v>
      </c>
      <c r="C34" s="97">
        <v>0.70427600000000001</v>
      </c>
      <c r="D34" s="97">
        <v>0.72012799999999999</v>
      </c>
      <c r="E34" s="97">
        <v>0.67578099999999997</v>
      </c>
      <c r="F34" s="97">
        <v>0.67229099999999997</v>
      </c>
      <c r="G34" s="97">
        <v>0.66813</v>
      </c>
      <c r="H34" s="97">
        <v>0.66225599999999996</v>
      </c>
      <c r="I34" s="97">
        <v>0.65533399999999997</v>
      </c>
      <c r="J34" s="97">
        <v>0.64874399999999999</v>
      </c>
      <c r="K34" s="97">
        <v>0.64197899999999997</v>
      </c>
      <c r="L34" s="97">
        <v>0.63521399999999995</v>
      </c>
      <c r="M34" s="97">
        <v>0.62843099999999996</v>
      </c>
      <c r="N34" s="97">
        <v>0.62171900000000002</v>
      </c>
      <c r="O34" s="97">
        <v>0.61501399999999995</v>
      </c>
      <c r="P34" s="97">
        <v>0.60858000000000001</v>
      </c>
      <c r="Q34" s="97">
        <v>0.60311199999999998</v>
      </c>
      <c r="R34" s="97">
        <v>0.59827799999999998</v>
      </c>
      <c r="S34" s="97">
        <v>0.59368399999999999</v>
      </c>
      <c r="T34" s="97">
        <v>0.58896800000000005</v>
      </c>
      <c r="U34" s="97">
        <v>0.58405399999999996</v>
      </c>
      <c r="V34" s="97">
        <v>0.57903300000000002</v>
      </c>
      <c r="W34" s="97">
        <v>0.57379199999999997</v>
      </c>
      <c r="X34" s="97">
        <v>0.568523</v>
      </c>
      <c r="Y34" s="97">
        <v>0.56357199999999996</v>
      </c>
      <c r="Z34" s="97">
        <v>0.55869500000000005</v>
      </c>
      <c r="AA34" s="97">
        <v>0.55349700000000002</v>
      </c>
      <c r="AB34" s="97">
        <v>0.54873899999999998</v>
      </c>
      <c r="AC34" s="97">
        <v>0.54370200000000002</v>
      </c>
      <c r="AD34" s="97">
        <v>0.53867100000000001</v>
      </c>
      <c r="AE34" s="97">
        <v>0.53368700000000002</v>
      </c>
      <c r="AF34" s="97">
        <v>0.529034</v>
      </c>
      <c r="AG34" s="93">
        <v>-9.8180000000000003E-3</v>
      </c>
    </row>
    <row r="35" spans="1:33" ht="14.5" x14ac:dyDescent="0.35">
      <c r="A35" s="92" t="s">
        <v>50</v>
      </c>
      <c r="B35" s="95" t="s">
        <v>51</v>
      </c>
      <c r="C35" s="97">
        <v>0.80194100000000001</v>
      </c>
      <c r="D35" s="97">
        <v>0.73817699999999997</v>
      </c>
      <c r="E35" s="97">
        <v>0.87121199999999999</v>
      </c>
      <c r="F35" s="97">
        <v>0.88632599999999995</v>
      </c>
      <c r="G35" s="97">
        <v>0.90185400000000004</v>
      </c>
      <c r="H35" s="97">
        <v>0.91625999999999996</v>
      </c>
      <c r="I35" s="97">
        <v>0.92889299999999997</v>
      </c>
      <c r="J35" s="97">
        <v>0.94165399999999999</v>
      </c>
      <c r="K35" s="97">
        <v>0.95411599999999996</v>
      </c>
      <c r="L35" s="97">
        <v>0.96709000000000001</v>
      </c>
      <c r="M35" s="97">
        <v>0.98088399999999998</v>
      </c>
      <c r="N35" s="97">
        <v>0.995919</v>
      </c>
      <c r="O35" s="97">
        <v>1.0117069999999999</v>
      </c>
      <c r="P35" s="97">
        <v>1.0280320000000001</v>
      </c>
      <c r="Q35" s="97">
        <v>1.0466040000000001</v>
      </c>
      <c r="R35" s="97">
        <v>1.0669979999999999</v>
      </c>
      <c r="S35" s="97">
        <v>1.0890029999999999</v>
      </c>
      <c r="T35" s="97">
        <v>1.1106450000000001</v>
      </c>
      <c r="U35" s="97">
        <v>1.1324430000000001</v>
      </c>
      <c r="V35" s="97">
        <v>1.153438</v>
      </c>
      <c r="W35" s="97">
        <v>1.17479</v>
      </c>
      <c r="X35" s="97">
        <v>1.196499</v>
      </c>
      <c r="Y35" s="97">
        <v>1.2191209999999999</v>
      </c>
      <c r="Z35" s="97">
        <v>1.24247</v>
      </c>
      <c r="AA35" s="97">
        <v>1.2654479999999999</v>
      </c>
      <c r="AB35" s="97">
        <v>1.28959</v>
      </c>
      <c r="AC35" s="97">
        <v>1.3136810000000001</v>
      </c>
      <c r="AD35" s="97">
        <v>1.338233</v>
      </c>
      <c r="AE35" s="97">
        <v>1.3627050000000001</v>
      </c>
      <c r="AF35" s="97">
        <v>1.3878250000000001</v>
      </c>
      <c r="AG35" s="93">
        <v>1.9092000000000001E-2</v>
      </c>
    </row>
    <row r="36" spans="1:33" ht="14.5" x14ac:dyDescent="0.35">
      <c r="A36" s="92" t="s">
        <v>52</v>
      </c>
      <c r="B36" s="95" t="s">
        <v>53</v>
      </c>
      <c r="C36" s="97">
        <v>0.60017100000000001</v>
      </c>
      <c r="D36" s="97">
        <v>0.60204400000000002</v>
      </c>
      <c r="E36" s="97">
        <v>0.602989</v>
      </c>
      <c r="F36" s="97">
        <v>0.60469700000000004</v>
      </c>
      <c r="G36" s="97">
        <v>0.60580199999999995</v>
      </c>
      <c r="H36" s="97">
        <v>0.60523000000000005</v>
      </c>
      <c r="I36" s="97">
        <v>0.60414000000000001</v>
      </c>
      <c r="J36" s="97">
        <v>0.60311300000000001</v>
      </c>
      <c r="K36" s="97">
        <v>0.60209199999999996</v>
      </c>
      <c r="L36" s="97">
        <v>0.60127399999999998</v>
      </c>
      <c r="M36" s="97">
        <v>0.60072199999999998</v>
      </c>
      <c r="N36" s="97">
        <v>0.60066299999999995</v>
      </c>
      <c r="O36" s="97">
        <v>0.6008</v>
      </c>
      <c r="P36" s="97">
        <v>0.60121000000000002</v>
      </c>
      <c r="Q36" s="97">
        <v>0.60289099999999995</v>
      </c>
      <c r="R36" s="97">
        <v>0.60538099999999995</v>
      </c>
      <c r="S36" s="97">
        <v>0.60822299999999996</v>
      </c>
      <c r="T36" s="97">
        <v>0.61105799999999999</v>
      </c>
      <c r="U36" s="97">
        <v>0.61357300000000004</v>
      </c>
      <c r="V36" s="97">
        <v>0.615456</v>
      </c>
      <c r="W36" s="97">
        <v>0.61726400000000003</v>
      </c>
      <c r="X36" s="97">
        <v>0.61887599999999998</v>
      </c>
      <c r="Y36" s="97">
        <v>0.62087999999999999</v>
      </c>
      <c r="Z36" s="97">
        <v>0.62304899999999996</v>
      </c>
      <c r="AA36" s="97">
        <v>0.625031</v>
      </c>
      <c r="AB36" s="97">
        <v>0.62755899999999998</v>
      </c>
      <c r="AC36" s="97">
        <v>0.629942</v>
      </c>
      <c r="AD36" s="97">
        <v>0.63244699999999998</v>
      </c>
      <c r="AE36" s="97">
        <v>0.63505500000000004</v>
      </c>
      <c r="AF36" s="97">
        <v>0.63812800000000003</v>
      </c>
      <c r="AG36" s="93">
        <v>2.117E-3</v>
      </c>
    </row>
    <row r="37" spans="1:33" ht="14.5" x14ac:dyDescent="0.35">
      <c r="A37" s="92" t="s">
        <v>54</v>
      </c>
      <c r="B37" s="95" t="s">
        <v>55</v>
      </c>
      <c r="C37" s="97">
        <v>0.29633300000000001</v>
      </c>
      <c r="D37" s="97">
        <v>0.294545</v>
      </c>
      <c r="E37" s="97">
        <v>0.29242699999999999</v>
      </c>
      <c r="F37" s="97">
        <v>0.29052699999999998</v>
      </c>
      <c r="G37" s="97">
        <v>0.288802</v>
      </c>
      <c r="H37" s="97">
        <v>0.28720200000000001</v>
      </c>
      <c r="I37" s="97">
        <v>0.285773</v>
      </c>
      <c r="J37" s="97">
        <v>0.284609</v>
      </c>
      <c r="K37" s="97">
        <v>0.28368599999999999</v>
      </c>
      <c r="L37" s="97">
        <v>0.28299099999999999</v>
      </c>
      <c r="M37" s="97">
        <v>0.28257300000000002</v>
      </c>
      <c r="N37" s="97">
        <v>0.28259699999999999</v>
      </c>
      <c r="O37" s="97">
        <v>0.28294999999999998</v>
      </c>
      <c r="P37" s="97">
        <v>0.28357199999999999</v>
      </c>
      <c r="Q37" s="97">
        <v>0.284499</v>
      </c>
      <c r="R37" s="97">
        <v>0.285744</v>
      </c>
      <c r="S37" s="97">
        <v>0.28731299999999999</v>
      </c>
      <c r="T37" s="97">
        <v>0.28921599999999997</v>
      </c>
      <c r="U37" s="97">
        <v>0.29142499999999999</v>
      </c>
      <c r="V37" s="97">
        <v>0.29393900000000001</v>
      </c>
      <c r="W37" s="97">
        <v>0.29672999999999999</v>
      </c>
      <c r="X37" s="97">
        <v>0.299757</v>
      </c>
      <c r="Y37" s="97">
        <v>0.30272900000000003</v>
      </c>
      <c r="Z37" s="97">
        <v>0.305641</v>
      </c>
      <c r="AA37" s="97">
        <v>0.30848599999999998</v>
      </c>
      <c r="AB37" s="97">
        <v>0.31125799999999998</v>
      </c>
      <c r="AC37" s="97">
        <v>0.31395200000000001</v>
      </c>
      <c r="AD37" s="97">
        <v>0.31654700000000002</v>
      </c>
      <c r="AE37" s="97">
        <v>0.31905</v>
      </c>
      <c r="AF37" s="97">
        <v>0.32145000000000001</v>
      </c>
      <c r="AG37" s="93">
        <v>2.8089999999999999E-3</v>
      </c>
    </row>
    <row r="38" spans="1:33" ht="14.5" x14ac:dyDescent="0.35">
      <c r="A38" s="92" t="s">
        <v>56</v>
      </c>
      <c r="B38" s="95" t="s">
        <v>57</v>
      </c>
      <c r="C38" s="97">
        <v>5.5350999999999997E-2</v>
      </c>
      <c r="D38" s="97">
        <v>5.5617E-2</v>
      </c>
      <c r="E38" s="97">
        <v>5.5842000000000003E-2</v>
      </c>
      <c r="F38" s="97">
        <v>5.6061E-2</v>
      </c>
      <c r="G38" s="97">
        <v>5.6271000000000002E-2</v>
      </c>
      <c r="H38" s="97">
        <v>5.6460999999999997E-2</v>
      </c>
      <c r="I38" s="97">
        <v>5.6638000000000001E-2</v>
      </c>
      <c r="J38" s="97">
        <v>5.6813000000000002E-2</v>
      </c>
      <c r="K38" s="97">
        <v>5.6966000000000003E-2</v>
      </c>
      <c r="L38" s="97">
        <v>5.7085999999999998E-2</v>
      </c>
      <c r="M38" s="97">
        <v>5.7166000000000002E-2</v>
      </c>
      <c r="N38" s="97">
        <v>5.7228000000000001E-2</v>
      </c>
      <c r="O38" s="97">
        <v>5.7304000000000001E-2</v>
      </c>
      <c r="P38" s="97">
        <v>5.7396999999999997E-2</v>
      </c>
      <c r="Q38" s="97">
        <v>5.7515999999999998E-2</v>
      </c>
      <c r="R38" s="97">
        <v>5.7669999999999999E-2</v>
      </c>
      <c r="S38" s="97">
        <v>5.7868999999999997E-2</v>
      </c>
      <c r="T38" s="97">
        <v>5.8062000000000002E-2</v>
      </c>
      <c r="U38" s="97">
        <v>5.8250000000000003E-2</v>
      </c>
      <c r="V38" s="97">
        <v>5.8432999999999999E-2</v>
      </c>
      <c r="W38" s="97">
        <v>5.8604000000000003E-2</v>
      </c>
      <c r="X38" s="97">
        <v>5.876E-2</v>
      </c>
      <c r="Y38" s="97">
        <v>5.8902999999999997E-2</v>
      </c>
      <c r="Z38" s="97">
        <v>5.9033000000000002E-2</v>
      </c>
      <c r="AA38" s="97">
        <v>5.9153999999999998E-2</v>
      </c>
      <c r="AB38" s="97">
        <v>5.9264999999999998E-2</v>
      </c>
      <c r="AC38" s="97">
        <v>5.9371E-2</v>
      </c>
      <c r="AD38" s="97">
        <v>5.9470000000000002E-2</v>
      </c>
      <c r="AE38" s="97">
        <v>5.9568000000000003E-2</v>
      </c>
      <c r="AF38" s="97">
        <v>5.9666999999999998E-2</v>
      </c>
      <c r="AG38" s="93">
        <v>2.5920000000000001E-3</v>
      </c>
    </row>
    <row r="39" spans="1:33" ht="14.5" x14ac:dyDescent="0.35">
      <c r="A39" s="92" t="s">
        <v>58</v>
      </c>
      <c r="B39" s="95" t="s">
        <v>59</v>
      </c>
      <c r="C39" s="97">
        <v>0.219114</v>
      </c>
      <c r="D39" s="97">
        <v>0.223334</v>
      </c>
      <c r="E39" s="97">
        <v>0.226963</v>
      </c>
      <c r="F39" s="97">
        <v>0.23058100000000001</v>
      </c>
      <c r="G39" s="97">
        <v>0.23405799999999999</v>
      </c>
      <c r="H39" s="97">
        <v>0.236929</v>
      </c>
      <c r="I39" s="97">
        <v>0.23946799999999999</v>
      </c>
      <c r="J39" s="97">
        <v>0.242087</v>
      </c>
      <c r="K39" s="97">
        <v>0.24473500000000001</v>
      </c>
      <c r="L39" s="97">
        <v>0.24743499999999999</v>
      </c>
      <c r="M39" s="97">
        <v>0.25009500000000001</v>
      </c>
      <c r="N39" s="97">
        <v>0.252863</v>
      </c>
      <c r="O39" s="97">
        <v>0.25564700000000001</v>
      </c>
      <c r="P39" s="97">
        <v>0.258579</v>
      </c>
      <c r="Q39" s="97">
        <v>0.26196399999999997</v>
      </c>
      <c r="R39" s="97">
        <v>0.26566200000000001</v>
      </c>
      <c r="S39" s="97">
        <v>0.26936199999999999</v>
      </c>
      <c r="T39" s="97">
        <v>0.27294600000000002</v>
      </c>
      <c r="U39" s="97">
        <v>0.27649200000000002</v>
      </c>
      <c r="V39" s="97">
        <v>0.27982200000000002</v>
      </c>
      <c r="W39" s="97">
        <v>0.28312100000000001</v>
      </c>
      <c r="X39" s="97">
        <v>0.28630699999999998</v>
      </c>
      <c r="Y39" s="97">
        <v>0.28962100000000002</v>
      </c>
      <c r="Z39" s="97">
        <v>0.29295599999999999</v>
      </c>
      <c r="AA39" s="97">
        <v>0.296128</v>
      </c>
      <c r="AB39" s="97">
        <v>0.29947600000000002</v>
      </c>
      <c r="AC39" s="97">
        <v>0.30269200000000002</v>
      </c>
      <c r="AD39" s="97">
        <v>0.30591000000000002</v>
      </c>
      <c r="AE39" s="97">
        <v>0.30911899999999998</v>
      </c>
      <c r="AF39" s="97">
        <v>0.31248500000000001</v>
      </c>
      <c r="AG39" s="93">
        <v>1.2315E-2</v>
      </c>
    </row>
    <row r="40" spans="1:33" ht="14.5" x14ac:dyDescent="0.35">
      <c r="A40" s="92" t="s">
        <v>60</v>
      </c>
      <c r="B40" s="95" t="s">
        <v>61</v>
      </c>
      <c r="C40" s="97">
        <v>6.9045999999999996E-2</v>
      </c>
      <c r="D40" s="97">
        <v>6.8857000000000002E-2</v>
      </c>
      <c r="E40" s="97">
        <v>6.8612999999999993E-2</v>
      </c>
      <c r="F40" s="97">
        <v>6.8351999999999996E-2</v>
      </c>
      <c r="G40" s="97">
        <v>6.8066000000000002E-2</v>
      </c>
      <c r="H40" s="97">
        <v>6.7743999999999999E-2</v>
      </c>
      <c r="I40" s="97">
        <v>6.7393999999999996E-2</v>
      </c>
      <c r="J40" s="97">
        <v>6.7074999999999996E-2</v>
      </c>
      <c r="K40" s="97">
        <v>6.6782999999999995E-2</v>
      </c>
      <c r="L40" s="97">
        <v>6.651E-2</v>
      </c>
      <c r="M40" s="97">
        <v>6.6253999999999993E-2</v>
      </c>
      <c r="N40" s="97">
        <v>6.6043000000000004E-2</v>
      </c>
      <c r="O40" s="97">
        <v>6.5856999999999999E-2</v>
      </c>
      <c r="P40" s="97">
        <v>6.5687999999999996E-2</v>
      </c>
      <c r="Q40" s="97">
        <v>6.5540000000000001E-2</v>
      </c>
      <c r="R40" s="97">
        <v>6.5424999999999997E-2</v>
      </c>
      <c r="S40" s="97">
        <v>6.5340999999999996E-2</v>
      </c>
      <c r="T40" s="97">
        <v>6.5294000000000005E-2</v>
      </c>
      <c r="U40" s="97">
        <v>6.5282999999999994E-2</v>
      </c>
      <c r="V40" s="97">
        <v>6.5309000000000006E-2</v>
      </c>
      <c r="W40" s="97">
        <v>6.5374000000000002E-2</v>
      </c>
      <c r="X40" s="97">
        <v>6.5471000000000001E-2</v>
      </c>
      <c r="Y40" s="97">
        <v>6.5610000000000002E-2</v>
      </c>
      <c r="Z40" s="97">
        <v>6.5795999999999993E-2</v>
      </c>
      <c r="AA40" s="97">
        <v>6.6031000000000006E-2</v>
      </c>
      <c r="AB40" s="97">
        <v>6.6314999999999999E-2</v>
      </c>
      <c r="AC40" s="97">
        <v>6.6638000000000003E-2</v>
      </c>
      <c r="AD40" s="97">
        <v>6.6954E-2</v>
      </c>
      <c r="AE40" s="97">
        <v>6.7264000000000004E-2</v>
      </c>
      <c r="AF40" s="97">
        <v>6.7567000000000002E-2</v>
      </c>
      <c r="AG40" s="93">
        <v>-7.4700000000000005E-4</v>
      </c>
    </row>
    <row r="41" spans="1:33" ht="14.5" x14ac:dyDescent="0.35">
      <c r="A41" s="92" t="s">
        <v>62</v>
      </c>
      <c r="B41" s="95" t="s">
        <v>63</v>
      </c>
      <c r="C41" s="97">
        <v>0.20247000000000001</v>
      </c>
      <c r="D41" s="97">
        <v>0.200929</v>
      </c>
      <c r="E41" s="97">
        <v>0.20061300000000001</v>
      </c>
      <c r="F41" s="97">
        <v>0.20100100000000001</v>
      </c>
      <c r="G41" s="97">
        <v>0.199933</v>
      </c>
      <c r="H41" s="97">
        <v>0.19875300000000001</v>
      </c>
      <c r="I41" s="97">
        <v>0.198154</v>
      </c>
      <c r="J41" s="97">
        <v>0.198273</v>
      </c>
      <c r="K41" s="97">
        <v>0.19869400000000001</v>
      </c>
      <c r="L41" s="97">
        <v>0.196717</v>
      </c>
      <c r="M41" s="97">
        <v>0.19527900000000001</v>
      </c>
      <c r="N41" s="97">
        <v>0.19428300000000001</v>
      </c>
      <c r="O41" s="97">
        <v>0.19358500000000001</v>
      </c>
      <c r="P41" s="97">
        <v>0.193249</v>
      </c>
      <c r="Q41" s="97">
        <v>0.19348499999999999</v>
      </c>
      <c r="R41" s="97">
        <v>0.193991</v>
      </c>
      <c r="S41" s="97">
        <v>0.19454299999999999</v>
      </c>
      <c r="T41" s="97">
        <v>0.19508400000000001</v>
      </c>
      <c r="U41" s="97">
        <v>0.195661</v>
      </c>
      <c r="V41" s="97">
        <v>0.19287699999999999</v>
      </c>
      <c r="W41" s="97">
        <v>0.19070699999999999</v>
      </c>
      <c r="X41" s="97">
        <v>0.18893599999999999</v>
      </c>
      <c r="Y41" s="97">
        <v>0.187697</v>
      </c>
      <c r="Z41" s="97">
        <v>0.186858</v>
      </c>
      <c r="AA41" s="97">
        <v>0.18615999999999999</v>
      </c>
      <c r="AB41" s="97">
        <v>0.185692</v>
      </c>
      <c r="AC41" s="97">
        <v>0.18520400000000001</v>
      </c>
      <c r="AD41" s="97">
        <v>0.18476899999999999</v>
      </c>
      <c r="AE41" s="97">
        <v>0.18436900000000001</v>
      </c>
      <c r="AF41" s="97">
        <v>0.18429899999999999</v>
      </c>
      <c r="AG41" s="93">
        <v>-3.2369999999999999E-3</v>
      </c>
    </row>
    <row r="42" spans="1:33" ht="14.5" x14ac:dyDescent="0.35">
      <c r="A42" s="92" t="s">
        <v>64</v>
      </c>
      <c r="B42" s="95" t="s">
        <v>2731</v>
      </c>
      <c r="C42" s="97">
        <v>3.6983000000000002E-2</v>
      </c>
      <c r="D42" s="97">
        <v>3.7259E-2</v>
      </c>
      <c r="E42" s="97">
        <v>3.7506999999999999E-2</v>
      </c>
      <c r="F42" s="97">
        <v>3.7760000000000002E-2</v>
      </c>
      <c r="G42" s="97">
        <v>3.8008E-2</v>
      </c>
      <c r="H42" s="97">
        <v>3.8244E-2</v>
      </c>
      <c r="I42" s="97">
        <v>3.8471999999999999E-2</v>
      </c>
      <c r="J42" s="97">
        <v>3.8712999999999997E-2</v>
      </c>
      <c r="K42" s="97">
        <v>3.8960000000000002E-2</v>
      </c>
      <c r="L42" s="97">
        <v>3.9227999999999999E-2</v>
      </c>
      <c r="M42" s="97">
        <v>3.9495000000000002E-2</v>
      </c>
      <c r="N42" s="97">
        <v>3.9780999999999997E-2</v>
      </c>
      <c r="O42" s="97">
        <v>4.0072000000000003E-2</v>
      </c>
      <c r="P42" s="97">
        <v>4.0356000000000003E-2</v>
      </c>
      <c r="Q42" s="97">
        <v>4.0635999999999999E-2</v>
      </c>
      <c r="R42" s="97">
        <v>4.0911999999999997E-2</v>
      </c>
      <c r="S42" s="97">
        <v>4.1188000000000002E-2</v>
      </c>
      <c r="T42" s="97">
        <v>4.1466000000000003E-2</v>
      </c>
      <c r="U42" s="97">
        <v>4.1744000000000003E-2</v>
      </c>
      <c r="V42" s="97">
        <v>4.2023999999999999E-2</v>
      </c>
      <c r="W42" s="97">
        <v>4.2299999999999997E-2</v>
      </c>
      <c r="X42" s="97">
        <v>4.2569000000000003E-2</v>
      </c>
      <c r="Y42" s="97">
        <v>4.2833000000000003E-2</v>
      </c>
      <c r="Z42" s="97">
        <v>4.3091999999999998E-2</v>
      </c>
      <c r="AA42" s="97">
        <v>4.3347999999999998E-2</v>
      </c>
      <c r="AB42" s="97">
        <v>4.36E-2</v>
      </c>
      <c r="AC42" s="97">
        <v>4.3848999999999999E-2</v>
      </c>
      <c r="AD42" s="97">
        <v>4.4091999999999999E-2</v>
      </c>
      <c r="AE42" s="97">
        <v>4.4331000000000002E-2</v>
      </c>
      <c r="AF42" s="97">
        <v>4.4566000000000001E-2</v>
      </c>
      <c r="AG42" s="93">
        <v>6.4520000000000003E-3</v>
      </c>
    </row>
    <row r="43" spans="1:33" ht="14.5" x14ac:dyDescent="0.35">
      <c r="A43" s="92" t="s">
        <v>65</v>
      </c>
      <c r="B43" s="95" t="s">
        <v>2732</v>
      </c>
      <c r="C43" s="97">
        <v>2.7088999999999998E-2</v>
      </c>
      <c r="D43" s="97">
        <v>2.7503E-2</v>
      </c>
      <c r="E43" s="97">
        <v>2.7888E-2</v>
      </c>
      <c r="F43" s="97">
        <v>2.8265999999999999E-2</v>
      </c>
      <c r="G43" s="97">
        <v>2.8629999999999999E-2</v>
      </c>
      <c r="H43" s="97">
        <v>2.8972000000000001E-2</v>
      </c>
      <c r="I43" s="97">
        <v>2.9294000000000001E-2</v>
      </c>
      <c r="J43" s="97">
        <v>2.9659999999999999E-2</v>
      </c>
      <c r="K43" s="97">
        <v>3.0065000000000001E-2</v>
      </c>
      <c r="L43" s="97">
        <v>3.0504E-2</v>
      </c>
      <c r="M43" s="97">
        <v>3.0976E-2</v>
      </c>
      <c r="N43" s="97">
        <v>3.1502000000000002E-2</v>
      </c>
      <c r="O43" s="97">
        <v>3.2071000000000002E-2</v>
      </c>
      <c r="P43" s="97">
        <v>3.2677999999999999E-2</v>
      </c>
      <c r="Q43" s="97">
        <v>3.3278000000000002E-2</v>
      </c>
      <c r="R43" s="97">
        <v>3.3873E-2</v>
      </c>
      <c r="S43" s="97">
        <v>3.4467999999999999E-2</v>
      </c>
      <c r="T43" s="97">
        <v>3.5062999999999997E-2</v>
      </c>
      <c r="U43" s="97">
        <v>3.5658000000000002E-2</v>
      </c>
      <c r="V43" s="97">
        <v>3.6253000000000001E-2</v>
      </c>
      <c r="W43" s="97">
        <v>3.6844000000000002E-2</v>
      </c>
      <c r="X43" s="97">
        <v>3.7429999999999998E-2</v>
      </c>
      <c r="Y43" s="97">
        <v>3.8011999999999997E-2</v>
      </c>
      <c r="Z43" s="97">
        <v>3.8589999999999999E-2</v>
      </c>
      <c r="AA43" s="97">
        <v>3.9163999999999997E-2</v>
      </c>
      <c r="AB43" s="97">
        <v>3.9734999999999999E-2</v>
      </c>
      <c r="AC43" s="97">
        <v>4.0302999999999999E-2</v>
      </c>
      <c r="AD43" s="97">
        <v>4.0866E-2</v>
      </c>
      <c r="AE43" s="97">
        <v>4.1425999999999998E-2</v>
      </c>
      <c r="AF43" s="97">
        <v>4.1980000000000003E-2</v>
      </c>
      <c r="AG43" s="93">
        <v>1.5221E-2</v>
      </c>
    </row>
    <row r="44" spans="1:33" ht="14.5" x14ac:dyDescent="0.35">
      <c r="A44" s="92" t="s">
        <v>66</v>
      </c>
      <c r="B44" s="95" t="s">
        <v>2733</v>
      </c>
      <c r="C44" s="97">
        <v>0.19058900000000001</v>
      </c>
      <c r="D44" s="97">
        <v>0.18588499999999999</v>
      </c>
      <c r="E44" s="97">
        <v>0.18157300000000001</v>
      </c>
      <c r="F44" s="97">
        <v>0.177533</v>
      </c>
      <c r="G44" s="97">
        <v>0.173564</v>
      </c>
      <c r="H44" s="97">
        <v>0.16933100000000001</v>
      </c>
      <c r="I44" s="97">
        <v>0.16511300000000001</v>
      </c>
      <c r="J44" s="97">
        <v>0.16119700000000001</v>
      </c>
      <c r="K44" s="97">
        <v>0.15751399999999999</v>
      </c>
      <c r="L44" s="97">
        <v>0.15406400000000001</v>
      </c>
      <c r="M44" s="97">
        <v>0.15079200000000001</v>
      </c>
      <c r="N44" s="97">
        <v>0.147725</v>
      </c>
      <c r="O44" s="97">
        <v>0.14485999999999999</v>
      </c>
      <c r="P44" s="97">
        <v>0.142206</v>
      </c>
      <c r="Q44" s="97">
        <v>0.14000699999999999</v>
      </c>
      <c r="R44" s="97">
        <v>0.13813600000000001</v>
      </c>
      <c r="S44" s="97">
        <v>0.136488</v>
      </c>
      <c r="T44" s="97">
        <v>0.135023</v>
      </c>
      <c r="U44" s="97">
        <v>0.13378000000000001</v>
      </c>
      <c r="V44" s="97">
        <v>0.13266700000000001</v>
      </c>
      <c r="W44" s="97">
        <v>0.13175500000000001</v>
      </c>
      <c r="X44" s="97">
        <v>0.13100999999999999</v>
      </c>
      <c r="Y44" s="97">
        <v>0.13051299999999999</v>
      </c>
      <c r="Z44" s="97">
        <v>0.130242</v>
      </c>
      <c r="AA44" s="97">
        <v>0.130137</v>
      </c>
      <c r="AB44" s="97">
        <v>0.13028100000000001</v>
      </c>
      <c r="AC44" s="97">
        <v>0.13052900000000001</v>
      </c>
      <c r="AD44" s="97">
        <v>0.13089000000000001</v>
      </c>
      <c r="AE44" s="97">
        <v>0.131355</v>
      </c>
      <c r="AF44" s="97">
        <v>0.131991</v>
      </c>
      <c r="AG44" s="93">
        <v>-1.2588999999999999E-2</v>
      </c>
    </row>
    <row r="45" spans="1:33" ht="14.5" x14ac:dyDescent="0.35">
      <c r="A45" s="92" t="s">
        <v>67</v>
      </c>
      <c r="B45" s="95" t="s">
        <v>2734</v>
      </c>
      <c r="C45" s="97">
        <v>0.12254</v>
      </c>
      <c r="D45" s="97">
        <v>0.120642</v>
      </c>
      <c r="E45" s="97">
        <v>0.118626</v>
      </c>
      <c r="F45" s="97">
        <v>0.11645999999999999</v>
      </c>
      <c r="G45" s="97">
        <v>0.11401799999999999</v>
      </c>
      <c r="H45" s="97">
        <v>0.111151</v>
      </c>
      <c r="I45" s="97">
        <v>0.108074</v>
      </c>
      <c r="J45" s="97">
        <v>0.105006</v>
      </c>
      <c r="K45" s="97">
        <v>0.101909</v>
      </c>
      <c r="L45" s="97">
        <v>9.8815E-2</v>
      </c>
      <c r="M45" s="97">
        <v>9.5691999999999999E-2</v>
      </c>
      <c r="N45" s="97">
        <v>9.2605000000000007E-2</v>
      </c>
      <c r="O45" s="97">
        <v>8.9555999999999997E-2</v>
      </c>
      <c r="P45" s="97">
        <v>8.6572999999999997E-2</v>
      </c>
      <c r="Q45" s="97">
        <v>8.3811999999999998E-2</v>
      </c>
      <c r="R45" s="97">
        <v>8.1226999999999994E-2</v>
      </c>
      <c r="S45" s="97">
        <v>7.8728999999999993E-2</v>
      </c>
      <c r="T45" s="97">
        <v>7.6351000000000002E-2</v>
      </c>
      <c r="U45" s="97">
        <v>7.4117000000000002E-2</v>
      </c>
      <c r="V45" s="97">
        <v>7.1984999999999993E-2</v>
      </c>
      <c r="W45" s="97">
        <v>7.0014999999999994E-2</v>
      </c>
      <c r="X45" s="97">
        <v>6.8220000000000003E-2</v>
      </c>
      <c r="Y45" s="97">
        <v>6.6650000000000001E-2</v>
      </c>
      <c r="Z45" s="97">
        <v>6.5319000000000002E-2</v>
      </c>
      <c r="AA45" s="97">
        <v>6.4184000000000005E-2</v>
      </c>
      <c r="AB45" s="97">
        <v>6.3372999999999999E-2</v>
      </c>
      <c r="AC45" s="97">
        <v>6.2765000000000001E-2</v>
      </c>
      <c r="AD45" s="97">
        <v>6.2357000000000003E-2</v>
      </c>
      <c r="AE45" s="97">
        <v>6.2153E-2</v>
      </c>
      <c r="AF45" s="97">
        <v>6.2146E-2</v>
      </c>
      <c r="AG45" s="93">
        <v>-2.3140000000000001E-2</v>
      </c>
    </row>
    <row r="46" spans="1:33" ht="14.5" x14ac:dyDescent="0.35">
      <c r="A46" s="92" t="s">
        <v>68</v>
      </c>
      <c r="B46" s="95" t="s">
        <v>69</v>
      </c>
      <c r="C46" s="97">
        <v>8.1726999999999994E-2</v>
      </c>
      <c r="D46" s="97">
        <v>8.6350999999999997E-2</v>
      </c>
      <c r="E46" s="97">
        <v>8.1643999999999994E-2</v>
      </c>
      <c r="F46" s="97">
        <v>8.2217999999999999E-2</v>
      </c>
      <c r="G46" s="97">
        <v>8.2794999999999994E-2</v>
      </c>
      <c r="H46" s="97">
        <v>8.3181000000000005E-2</v>
      </c>
      <c r="I46" s="97">
        <v>8.3486000000000005E-2</v>
      </c>
      <c r="J46" s="97">
        <v>8.3602999999999997E-2</v>
      </c>
      <c r="K46" s="97">
        <v>8.3548999999999998E-2</v>
      </c>
      <c r="L46" s="97">
        <v>8.3384E-2</v>
      </c>
      <c r="M46" s="97">
        <v>8.3085999999999993E-2</v>
      </c>
      <c r="N46" s="97">
        <v>8.2588999999999996E-2</v>
      </c>
      <c r="O46" s="97">
        <v>8.1886E-2</v>
      </c>
      <c r="P46" s="97">
        <v>8.1034999999999996E-2</v>
      </c>
      <c r="Q46" s="97">
        <v>8.0085000000000003E-2</v>
      </c>
      <c r="R46" s="97">
        <v>7.9031000000000004E-2</v>
      </c>
      <c r="S46" s="97">
        <v>7.7850000000000003E-2</v>
      </c>
      <c r="T46" s="97">
        <v>7.6550000000000007E-2</v>
      </c>
      <c r="U46" s="97">
        <v>7.5212000000000001E-2</v>
      </c>
      <c r="V46" s="97">
        <v>7.3925000000000005E-2</v>
      </c>
      <c r="W46" s="97">
        <v>7.2672E-2</v>
      </c>
      <c r="X46" s="97">
        <v>7.1480000000000002E-2</v>
      </c>
      <c r="Y46" s="97">
        <v>7.0406999999999997E-2</v>
      </c>
      <c r="Z46" s="97">
        <v>6.9449999999999998E-2</v>
      </c>
      <c r="AA46" s="97">
        <v>6.8598000000000006E-2</v>
      </c>
      <c r="AB46" s="97">
        <v>6.7849999999999994E-2</v>
      </c>
      <c r="AC46" s="97">
        <v>6.7191000000000001E-2</v>
      </c>
      <c r="AD46" s="97">
        <v>6.6628000000000007E-2</v>
      </c>
      <c r="AE46" s="97">
        <v>6.6155000000000005E-2</v>
      </c>
      <c r="AF46" s="97">
        <v>6.5777000000000002E-2</v>
      </c>
      <c r="AG46" s="93">
        <v>-7.4590000000000004E-3</v>
      </c>
    </row>
    <row r="47" spans="1:33" ht="14.5" x14ac:dyDescent="0.35">
      <c r="A47" s="92" t="s">
        <v>70</v>
      </c>
      <c r="B47" s="95" t="s">
        <v>81</v>
      </c>
      <c r="C47" s="97">
        <v>1.7743500000000001</v>
      </c>
      <c r="D47" s="97">
        <v>1.7344580000000001</v>
      </c>
      <c r="E47" s="97">
        <v>1.777666</v>
      </c>
      <c r="F47" s="97">
        <v>1.8093250000000001</v>
      </c>
      <c r="G47" s="97">
        <v>1.8407819999999999</v>
      </c>
      <c r="H47" s="97">
        <v>1.8691070000000001</v>
      </c>
      <c r="I47" s="97">
        <v>1.894396</v>
      </c>
      <c r="J47" s="97">
        <v>1.9228449999999999</v>
      </c>
      <c r="K47" s="97">
        <v>1.9517800000000001</v>
      </c>
      <c r="L47" s="97">
        <v>1.981412</v>
      </c>
      <c r="M47" s="97">
        <v>2.0101019999999998</v>
      </c>
      <c r="N47" s="97">
        <v>2.039863</v>
      </c>
      <c r="O47" s="97">
        <v>2.070373</v>
      </c>
      <c r="P47" s="97">
        <v>2.099307</v>
      </c>
      <c r="Q47" s="97">
        <v>2.1305209999999999</v>
      </c>
      <c r="R47" s="97">
        <v>2.1637360000000001</v>
      </c>
      <c r="S47" s="97">
        <v>2.1984300000000001</v>
      </c>
      <c r="T47" s="97">
        <v>2.2334939999999999</v>
      </c>
      <c r="U47" s="97">
        <v>2.2694209999999999</v>
      </c>
      <c r="V47" s="97">
        <v>2.304824</v>
      </c>
      <c r="W47" s="97">
        <v>2.3393660000000001</v>
      </c>
      <c r="X47" s="97">
        <v>2.374844</v>
      </c>
      <c r="Y47" s="97">
        <v>2.4114089999999999</v>
      </c>
      <c r="Z47" s="97">
        <v>2.448985</v>
      </c>
      <c r="AA47" s="97">
        <v>2.4874350000000001</v>
      </c>
      <c r="AB47" s="97">
        <v>2.5285839999999999</v>
      </c>
      <c r="AC47" s="97">
        <v>2.570128</v>
      </c>
      <c r="AD47" s="97">
        <v>2.6128070000000001</v>
      </c>
      <c r="AE47" s="97">
        <v>2.657311</v>
      </c>
      <c r="AF47" s="97">
        <v>2.7062970000000002</v>
      </c>
      <c r="AG47" s="93">
        <v>1.4663000000000001E-2</v>
      </c>
    </row>
    <row r="48" spans="1:33" x14ac:dyDescent="0.3">
      <c r="A48" s="92" t="s">
        <v>72</v>
      </c>
      <c r="B48" s="91" t="s">
        <v>2735</v>
      </c>
      <c r="C48" s="96">
        <v>5.1819819999999996</v>
      </c>
      <c r="D48" s="96">
        <v>5.0957290000000004</v>
      </c>
      <c r="E48" s="96">
        <v>5.2193449999999997</v>
      </c>
      <c r="F48" s="96">
        <v>5.2613969999999997</v>
      </c>
      <c r="G48" s="96">
        <v>5.3007140000000001</v>
      </c>
      <c r="H48" s="96">
        <v>5.3308200000000001</v>
      </c>
      <c r="I48" s="96">
        <v>5.3546300000000002</v>
      </c>
      <c r="J48" s="96">
        <v>5.3833929999999999</v>
      </c>
      <c r="K48" s="96">
        <v>5.4128280000000002</v>
      </c>
      <c r="L48" s="96">
        <v>5.4417260000000001</v>
      </c>
      <c r="M48" s="96">
        <v>5.471546</v>
      </c>
      <c r="N48" s="96">
        <v>5.5053789999999996</v>
      </c>
      <c r="O48" s="96">
        <v>5.5416819999999998</v>
      </c>
      <c r="P48" s="96">
        <v>5.5784630000000002</v>
      </c>
      <c r="Q48" s="96">
        <v>5.6239520000000001</v>
      </c>
      <c r="R48" s="96">
        <v>5.6760640000000002</v>
      </c>
      <c r="S48" s="96">
        <v>5.7324890000000002</v>
      </c>
      <c r="T48" s="96">
        <v>5.7892169999999998</v>
      </c>
      <c r="U48" s="96">
        <v>5.8471130000000002</v>
      </c>
      <c r="V48" s="96">
        <v>5.8999819999999996</v>
      </c>
      <c r="W48" s="96">
        <v>5.9533360000000002</v>
      </c>
      <c r="X48" s="96">
        <v>6.0086820000000003</v>
      </c>
      <c r="Y48" s="96">
        <v>6.0679559999999997</v>
      </c>
      <c r="Z48" s="96">
        <v>6.1301769999999998</v>
      </c>
      <c r="AA48" s="96">
        <v>6.1928020000000004</v>
      </c>
      <c r="AB48" s="96">
        <v>6.261317</v>
      </c>
      <c r="AC48" s="96">
        <v>6.3299469999999998</v>
      </c>
      <c r="AD48" s="96">
        <v>6.4006420000000004</v>
      </c>
      <c r="AE48" s="96">
        <v>6.4735469999999999</v>
      </c>
      <c r="AF48" s="96">
        <v>6.5532120000000003</v>
      </c>
      <c r="AG48" s="89">
        <v>8.1279999999999998E-3</v>
      </c>
    </row>
    <row r="49" spans="1:33" ht="14.5" x14ac:dyDescent="0.35">
      <c r="A49" s="92" t="s">
        <v>2736</v>
      </c>
      <c r="B49" s="95" t="s">
        <v>2737</v>
      </c>
      <c r="C49" s="97">
        <v>9.6773999999999999E-2</v>
      </c>
      <c r="D49" s="97">
        <v>0.10704900000000001</v>
      </c>
      <c r="E49" s="97">
        <v>0.117365</v>
      </c>
      <c r="F49" s="97">
        <v>0.125197</v>
      </c>
      <c r="G49" s="97">
        <v>0.13267799999999999</v>
      </c>
      <c r="H49" s="97">
        <v>0.14006299999999999</v>
      </c>
      <c r="I49" s="97">
        <v>0.14744599999999999</v>
      </c>
      <c r="J49" s="97">
        <v>0.15514800000000001</v>
      </c>
      <c r="K49" s="97">
        <v>0.16309000000000001</v>
      </c>
      <c r="L49" s="97">
        <v>0.17113300000000001</v>
      </c>
      <c r="M49" s="97">
        <v>0.179503</v>
      </c>
      <c r="N49" s="97">
        <v>0.18815100000000001</v>
      </c>
      <c r="O49" s="97">
        <v>0.19745199999999999</v>
      </c>
      <c r="P49" s="97">
        <v>0.20738100000000001</v>
      </c>
      <c r="Q49" s="97">
        <v>0.21725800000000001</v>
      </c>
      <c r="R49" s="97">
        <v>0.227242</v>
      </c>
      <c r="S49" s="97">
        <v>0.23796500000000001</v>
      </c>
      <c r="T49" s="97">
        <v>0.2487</v>
      </c>
      <c r="U49" s="97">
        <v>0.25990799999999997</v>
      </c>
      <c r="V49" s="97">
        <v>0.27201700000000001</v>
      </c>
      <c r="W49" s="97">
        <v>0.28448499999999999</v>
      </c>
      <c r="X49" s="97">
        <v>0.29792400000000002</v>
      </c>
      <c r="Y49" s="97">
        <v>0.31203399999999998</v>
      </c>
      <c r="Z49" s="97">
        <v>0.326403</v>
      </c>
      <c r="AA49" s="97">
        <v>0.34159400000000001</v>
      </c>
      <c r="AB49" s="97">
        <v>0.35733300000000001</v>
      </c>
      <c r="AC49" s="97">
        <v>0.37381300000000001</v>
      </c>
      <c r="AD49" s="97">
        <v>0.39113999999999999</v>
      </c>
      <c r="AE49" s="97">
        <v>0.40933199999999997</v>
      </c>
      <c r="AF49" s="97">
        <v>0.42791299999999999</v>
      </c>
      <c r="AG49" s="93">
        <v>5.2596999999999998E-2</v>
      </c>
    </row>
    <row r="50" spans="1:33" ht="15" customHeight="1" x14ac:dyDescent="0.3">
      <c r="A50" s="92" t="s">
        <v>2738</v>
      </c>
      <c r="B50" s="91" t="s">
        <v>2739</v>
      </c>
      <c r="C50" s="96">
        <v>5.0852079999999997</v>
      </c>
      <c r="D50" s="96">
        <v>4.9886799999999996</v>
      </c>
      <c r="E50" s="96">
        <v>5.1019800000000002</v>
      </c>
      <c r="F50" s="96">
        <v>5.1361999999999997</v>
      </c>
      <c r="G50" s="96">
        <v>5.1680349999999997</v>
      </c>
      <c r="H50" s="96">
        <v>5.1907569999999996</v>
      </c>
      <c r="I50" s="96">
        <v>5.2071839999999998</v>
      </c>
      <c r="J50" s="96">
        <v>5.2282460000000004</v>
      </c>
      <c r="K50" s="96">
        <v>5.2497379999999998</v>
      </c>
      <c r="L50" s="96">
        <v>5.2705929999999999</v>
      </c>
      <c r="M50" s="96">
        <v>5.2920429999999996</v>
      </c>
      <c r="N50" s="96">
        <v>5.3172280000000001</v>
      </c>
      <c r="O50" s="96">
        <v>5.3442309999999997</v>
      </c>
      <c r="P50" s="96">
        <v>5.3710820000000004</v>
      </c>
      <c r="Q50" s="96">
        <v>5.4066929999999997</v>
      </c>
      <c r="R50" s="96">
        <v>5.4488219999999998</v>
      </c>
      <c r="S50" s="96">
        <v>5.4945240000000002</v>
      </c>
      <c r="T50" s="96">
        <v>5.5405170000000004</v>
      </c>
      <c r="U50" s="96">
        <v>5.5872039999999998</v>
      </c>
      <c r="V50" s="96">
        <v>5.6279659999999998</v>
      </c>
      <c r="W50" s="96">
        <v>5.6688510000000001</v>
      </c>
      <c r="X50" s="96">
        <v>5.7107580000000002</v>
      </c>
      <c r="Y50" s="96">
        <v>5.755922</v>
      </c>
      <c r="Z50" s="96">
        <v>5.8037739999999998</v>
      </c>
      <c r="AA50" s="96">
        <v>5.8512089999999999</v>
      </c>
      <c r="AB50" s="96">
        <v>5.9039840000000003</v>
      </c>
      <c r="AC50" s="96">
        <v>5.9561339999999996</v>
      </c>
      <c r="AD50" s="96">
        <v>6.0095029999999996</v>
      </c>
      <c r="AE50" s="96">
        <v>6.0642149999999999</v>
      </c>
      <c r="AF50" s="96">
        <v>6.125299</v>
      </c>
      <c r="AG50" s="89">
        <v>6.4380000000000001E-3</v>
      </c>
    </row>
    <row r="51" spans="1:33" ht="15" customHeigh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</row>
    <row r="52" spans="1:33" ht="15" customHeight="1" x14ac:dyDescent="0.35">
      <c r="B52" s="91" t="s">
        <v>74</v>
      </c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</row>
    <row r="53" spans="1:33" ht="15" customHeight="1" x14ac:dyDescent="0.35">
      <c r="A53" s="92" t="s">
        <v>75</v>
      </c>
      <c r="B53" s="95" t="s">
        <v>49</v>
      </c>
      <c r="C53" s="97">
        <v>3.5826090000000002</v>
      </c>
      <c r="D53" s="97">
        <v>3.6539090000000001</v>
      </c>
      <c r="E53" s="97">
        <v>3.5638010000000002</v>
      </c>
      <c r="F53" s="97">
        <v>3.5655670000000002</v>
      </c>
      <c r="G53" s="97">
        <v>3.5666760000000002</v>
      </c>
      <c r="H53" s="97">
        <v>3.5590609999999998</v>
      </c>
      <c r="I53" s="97">
        <v>3.54636</v>
      </c>
      <c r="J53" s="97">
        <v>3.5272049999999999</v>
      </c>
      <c r="K53" s="97">
        <v>3.5034510000000001</v>
      </c>
      <c r="L53" s="97">
        <v>3.4796740000000002</v>
      </c>
      <c r="M53" s="97">
        <v>3.457192</v>
      </c>
      <c r="N53" s="97">
        <v>3.4345560000000002</v>
      </c>
      <c r="O53" s="97">
        <v>3.41188</v>
      </c>
      <c r="P53" s="97">
        <v>3.391613</v>
      </c>
      <c r="Q53" s="97">
        <v>3.3750499999999999</v>
      </c>
      <c r="R53" s="97">
        <v>3.3605010000000002</v>
      </c>
      <c r="S53" s="97">
        <v>3.3456640000000002</v>
      </c>
      <c r="T53" s="97">
        <v>3.3309380000000002</v>
      </c>
      <c r="U53" s="97">
        <v>3.3162180000000001</v>
      </c>
      <c r="V53" s="97">
        <v>3.302915</v>
      </c>
      <c r="W53" s="97">
        <v>3.288789</v>
      </c>
      <c r="X53" s="97">
        <v>3.275674</v>
      </c>
      <c r="Y53" s="97">
        <v>3.2639529999999999</v>
      </c>
      <c r="Z53" s="97">
        <v>3.25278</v>
      </c>
      <c r="AA53" s="97">
        <v>3.2411940000000001</v>
      </c>
      <c r="AB53" s="97">
        <v>3.228952</v>
      </c>
      <c r="AC53" s="97">
        <v>3.2157650000000002</v>
      </c>
      <c r="AD53" s="97">
        <v>3.201775</v>
      </c>
      <c r="AE53" s="97">
        <v>3.1866300000000001</v>
      </c>
      <c r="AF53" s="97">
        <v>3.1708769999999999</v>
      </c>
      <c r="AG53" s="93">
        <v>-4.2009999999999999E-3</v>
      </c>
    </row>
    <row r="54" spans="1:33" ht="15" customHeight="1" x14ac:dyDescent="0.35">
      <c r="A54" s="92" t="s">
        <v>76</v>
      </c>
      <c r="B54" s="95" t="s">
        <v>51</v>
      </c>
      <c r="C54" s="97">
        <v>5.6049000000000002E-2</v>
      </c>
      <c r="D54" s="97">
        <v>5.2447000000000001E-2</v>
      </c>
      <c r="E54" s="97">
        <v>5.9926E-2</v>
      </c>
      <c r="F54" s="97">
        <v>6.0000999999999999E-2</v>
      </c>
      <c r="G54" s="97">
        <v>6.0075999999999997E-2</v>
      </c>
      <c r="H54" s="97">
        <v>6.0092E-2</v>
      </c>
      <c r="I54" s="97">
        <v>6.0003000000000001E-2</v>
      </c>
      <c r="J54" s="97">
        <v>5.9853999999999997E-2</v>
      </c>
      <c r="K54" s="97">
        <v>5.9641E-2</v>
      </c>
      <c r="L54" s="97">
        <v>5.9434000000000001E-2</v>
      </c>
      <c r="M54" s="97">
        <v>5.9221999999999997E-2</v>
      </c>
      <c r="N54" s="97">
        <v>5.8951000000000003E-2</v>
      </c>
      <c r="O54" s="97">
        <v>5.8714000000000002E-2</v>
      </c>
      <c r="P54" s="97">
        <v>5.8524E-2</v>
      </c>
      <c r="Q54" s="97">
        <v>5.8457000000000002E-2</v>
      </c>
      <c r="R54" s="97">
        <v>5.8520000000000003E-2</v>
      </c>
      <c r="S54" s="97">
        <v>5.8701999999999997E-2</v>
      </c>
      <c r="T54" s="97">
        <v>5.8900000000000001E-2</v>
      </c>
      <c r="U54" s="97">
        <v>5.9114E-2</v>
      </c>
      <c r="V54" s="97">
        <v>5.9310000000000002E-2</v>
      </c>
      <c r="W54" s="97">
        <v>5.9503E-2</v>
      </c>
      <c r="X54" s="97">
        <v>5.9704E-2</v>
      </c>
      <c r="Y54" s="97">
        <v>5.9915000000000003E-2</v>
      </c>
      <c r="Z54" s="97">
        <v>6.0152999999999998E-2</v>
      </c>
      <c r="AA54" s="97">
        <v>6.0398E-2</v>
      </c>
      <c r="AB54" s="97">
        <v>6.0630999999999997E-2</v>
      </c>
      <c r="AC54" s="97">
        <v>6.0880999999999998E-2</v>
      </c>
      <c r="AD54" s="97">
        <v>6.1128000000000002E-2</v>
      </c>
      <c r="AE54" s="97">
        <v>6.1364000000000002E-2</v>
      </c>
      <c r="AF54" s="97">
        <v>6.1579000000000002E-2</v>
      </c>
      <c r="AG54" s="93">
        <v>3.2499999999999999E-3</v>
      </c>
    </row>
    <row r="55" spans="1:33" ht="15" customHeight="1" x14ac:dyDescent="0.35">
      <c r="A55" s="92" t="s">
        <v>77</v>
      </c>
      <c r="B55" s="95" t="s">
        <v>53</v>
      </c>
      <c r="C55" s="97">
        <v>0.99475999999999998</v>
      </c>
      <c r="D55" s="97">
        <v>0.99115799999999998</v>
      </c>
      <c r="E55" s="97">
        <v>0.99432100000000001</v>
      </c>
      <c r="F55" s="97">
        <v>1.0041020000000001</v>
      </c>
      <c r="G55" s="97">
        <v>1.0158389999999999</v>
      </c>
      <c r="H55" s="97">
        <v>1.0271490000000001</v>
      </c>
      <c r="I55" s="97">
        <v>1.0381050000000001</v>
      </c>
      <c r="J55" s="97">
        <v>1.04741</v>
      </c>
      <c r="K55" s="97">
        <v>1.055631</v>
      </c>
      <c r="L55" s="97">
        <v>1.0640499999999999</v>
      </c>
      <c r="M55" s="97">
        <v>1.071957</v>
      </c>
      <c r="N55" s="97">
        <v>1.077596</v>
      </c>
      <c r="O55" s="97">
        <v>1.0831040000000001</v>
      </c>
      <c r="P55" s="97">
        <v>1.089137</v>
      </c>
      <c r="Q55" s="97">
        <v>1.09581</v>
      </c>
      <c r="R55" s="97">
        <v>1.1024860000000001</v>
      </c>
      <c r="S55" s="97">
        <v>1.1084039999999999</v>
      </c>
      <c r="T55" s="97">
        <v>1.1135349999999999</v>
      </c>
      <c r="U55" s="97">
        <v>1.1181639999999999</v>
      </c>
      <c r="V55" s="97">
        <v>1.12266</v>
      </c>
      <c r="W55" s="97">
        <v>1.1265609999999999</v>
      </c>
      <c r="X55" s="97">
        <v>1.1306830000000001</v>
      </c>
      <c r="Y55" s="97">
        <v>1.135351</v>
      </c>
      <c r="Z55" s="97">
        <v>1.1403350000000001</v>
      </c>
      <c r="AA55" s="97">
        <v>1.1456189999999999</v>
      </c>
      <c r="AB55" s="97">
        <v>1.1508910000000001</v>
      </c>
      <c r="AC55" s="97">
        <v>1.156156</v>
      </c>
      <c r="AD55" s="97">
        <v>1.1613439999999999</v>
      </c>
      <c r="AE55" s="97">
        <v>1.1662790000000001</v>
      </c>
      <c r="AF55" s="97">
        <v>1.1710229999999999</v>
      </c>
      <c r="AG55" s="93">
        <v>5.6410000000000002E-3</v>
      </c>
    </row>
    <row r="56" spans="1:33" ht="15" customHeight="1" x14ac:dyDescent="0.35">
      <c r="A56" s="92" t="s">
        <v>78</v>
      </c>
      <c r="B56" s="95" t="s">
        <v>57</v>
      </c>
      <c r="C56" s="97">
        <v>0.103405</v>
      </c>
      <c r="D56" s="97">
        <v>0.103508</v>
      </c>
      <c r="E56" s="97">
        <v>0.103562</v>
      </c>
      <c r="F56" s="97">
        <v>0.103635</v>
      </c>
      <c r="G56" s="97">
        <v>0.103716</v>
      </c>
      <c r="H56" s="97">
        <v>0.10377400000000001</v>
      </c>
      <c r="I56" s="97">
        <v>0.103822</v>
      </c>
      <c r="J56" s="97">
        <v>0.103907</v>
      </c>
      <c r="K56" s="97">
        <v>0.104072</v>
      </c>
      <c r="L56" s="97">
        <v>0.10431</v>
      </c>
      <c r="M56" s="97">
        <v>0.104629</v>
      </c>
      <c r="N56" s="97">
        <v>0.105071</v>
      </c>
      <c r="O56" s="97">
        <v>0.10562000000000001</v>
      </c>
      <c r="P56" s="97">
        <v>0.106207</v>
      </c>
      <c r="Q56" s="97">
        <v>0.10684399999999999</v>
      </c>
      <c r="R56" s="97">
        <v>0.107526</v>
      </c>
      <c r="S56" s="97">
        <v>0.108255</v>
      </c>
      <c r="T56" s="97">
        <v>0.109012</v>
      </c>
      <c r="U56" s="97">
        <v>0.109796</v>
      </c>
      <c r="V56" s="97">
        <v>0.11061</v>
      </c>
      <c r="W56" s="97">
        <v>0.111447</v>
      </c>
      <c r="X56" s="97">
        <v>0.112306</v>
      </c>
      <c r="Y56" s="97">
        <v>0.11318599999999999</v>
      </c>
      <c r="Z56" s="97">
        <v>0.11408799999999999</v>
      </c>
      <c r="AA56" s="97">
        <v>0.115007</v>
      </c>
      <c r="AB56" s="97">
        <v>0.115935</v>
      </c>
      <c r="AC56" s="97">
        <v>0.116865</v>
      </c>
      <c r="AD56" s="97">
        <v>0.117784</v>
      </c>
      <c r="AE56" s="97">
        <v>0.118685</v>
      </c>
      <c r="AF56" s="97">
        <v>0.119559</v>
      </c>
      <c r="AG56" s="93">
        <v>5.0179999999999999E-3</v>
      </c>
    </row>
    <row r="57" spans="1:33" ht="15" customHeight="1" x14ac:dyDescent="0.35">
      <c r="A57" s="92" t="s">
        <v>79</v>
      </c>
      <c r="B57" s="95" t="s">
        <v>59</v>
      </c>
      <c r="C57" s="97">
        <v>3.9669999999999997E-2</v>
      </c>
      <c r="D57" s="97">
        <v>3.9942999999999999E-2</v>
      </c>
      <c r="E57" s="97">
        <v>4.0480000000000002E-2</v>
      </c>
      <c r="F57" s="97">
        <v>4.1263000000000001E-2</v>
      </c>
      <c r="G57" s="97">
        <v>4.2118000000000003E-2</v>
      </c>
      <c r="H57" s="97">
        <v>4.2955E-2</v>
      </c>
      <c r="I57" s="97">
        <v>4.3791999999999998E-2</v>
      </c>
      <c r="J57" s="97">
        <v>4.4510000000000001E-2</v>
      </c>
      <c r="K57" s="97">
        <v>4.5144999999999998E-2</v>
      </c>
      <c r="L57" s="97">
        <v>4.5762999999999998E-2</v>
      </c>
      <c r="M57" s="97">
        <v>4.6392999999999997E-2</v>
      </c>
      <c r="N57" s="97">
        <v>4.6927000000000003E-2</v>
      </c>
      <c r="O57" s="97">
        <v>4.7469999999999998E-2</v>
      </c>
      <c r="P57" s="97">
        <v>4.8056000000000001E-2</v>
      </c>
      <c r="Q57" s="97">
        <v>4.8680000000000001E-2</v>
      </c>
      <c r="R57" s="97">
        <v>4.9311000000000001E-2</v>
      </c>
      <c r="S57" s="97">
        <v>4.9953999999999998E-2</v>
      </c>
      <c r="T57" s="97">
        <v>5.0604999999999997E-2</v>
      </c>
      <c r="U57" s="97">
        <v>5.1264999999999998E-2</v>
      </c>
      <c r="V57" s="97">
        <v>5.1942000000000002E-2</v>
      </c>
      <c r="W57" s="97">
        <v>5.2610999999999998E-2</v>
      </c>
      <c r="X57" s="97">
        <v>5.33E-2</v>
      </c>
      <c r="Y57" s="97">
        <v>5.4015000000000001E-2</v>
      </c>
      <c r="Z57" s="97">
        <v>5.4737000000000001E-2</v>
      </c>
      <c r="AA57" s="97">
        <v>5.5459000000000001E-2</v>
      </c>
      <c r="AB57" s="97">
        <v>5.6162999999999998E-2</v>
      </c>
      <c r="AC57" s="97">
        <v>5.6853000000000001E-2</v>
      </c>
      <c r="AD57" s="97">
        <v>5.7528000000000003E-2</v>
      </c>
      <c r="AE57" s="97">
        <v>5.8180999999999997E-2</v>
      </c>
      <c r="AF57" s="97">
        <v>5.8823E-2</v>
      </c>
      <c r="AG57" s="93">
        <v>1.3676000000000001E-2</v>
      </c>
    </row>
    <row r="58" spans="1:33" ht="15" customHeight="1" x14ac:dyDescent="0.35">
      <c r="A58" s="92" t="s">
        <v>80</v>
      </c>
      <c r="B58" s="95" t="s">
        <v>2659</v>
      </c>
      <c r="C58" s="97">
        <v>0.230883</v>
      </c>
      <c r="D58" s="97">
        <v>0.22923199999999999</v>
      </c>
      <c r="E58" s="97">
        <v>0.22867999999999999</v>
      </c>
      <c r="F58" s="97">
        <v>0.229301</v>
      </c>
      <c r="G58" s="97">
        <v>0.23025699999999999</v>
      </c>
      <c r="H58" s="97">
        <v>0.231045</v>
      </c>
      <c r="I58" s="97">
        <v>0.23161599999999999</v>
      </c>
      <c r="J58" s="97">
        <v>0.231519</v>
      </c>
      <c r="K58" s="97">
        <v>0.230958</v>
      </c>
      <c r="L58" s="97">
        <v>0.230297</v>
      </c>
      <c r="M58" s="97">
        <v>0.22970599999999999</v>
      </c>
      <c r="N58" s="97">
        <v>0.228467</v>
      </c>
      <c r="O58" s="97">
        <v>0.22737399999999999</v>
      </c>
      <c r="P58" s="97">
        <v>0.226629</v>
      </c>
      <c r="Q58" s="97">
        <v>0.226192</v>
      </c>
      <c r="R58" s="97">
        <v>0.22590399999999999</v>
      </c>
      <c r="S58" s="97">
        <v>0.22559399999999999</v>
      </c>
      <c r="T58" s="97">
        <v>0.22525100000000001</v>
      </c>
      <c r="U58" s="97">
        <v>0.22487799999999999</v>
      </c>
      <c r="V58" s="97">
        <v>0.22451499999999999</v>
      </c>
      <c r="W58" s="97">
        <v>0.22409000000000001</v>
      </c>
      <c r="X58" s="97">
        <v>0.223721</v>
      </c>
      <c r="Y58" s="97">
        <v>0.22345699999999999</v>
      </c>
      <c r="Z58" s="97">
        <v>0.22323799999999999</v>
      </c>
      <c r="AA58" s="97">
        <v>0.22303999999999999</v>
      </c>
      <c r="AB58" s="97">
        <v>0.22281200000000001</v>
      </c>
      <c r="AC58" s="97">
        <v>0.222557</v>
      </c>
      <c r="AD58" s="97">
        <v>0.22228400000000001</v>
      </c>
      <c r="AE58" s="97">
        <v>0.221969</v>
      </c>
      <c r="AF58" s="97">
        <v>0.22164500000000001</v>
      </c>
      <c r="AG58" s="93">
        <v>-1.407E-3</v>
      </c>
    </row>
    <row r="59" spans="1:33" ht="15" customHeight="1" x14ac:dyDescent="0.3">
      <c r="A59" s="92" t="s">
        <v>82</v>
      </c>
      <c r="B59" s="91" t="s">
        <v>73</v>
      </c>
      <c r="C59" s="96">
        <v>5.0073759999999998</v>
      </c>
      <c r="D59" s="96">
        <v>5.0701960000000001</v>
      </c>
      <c r="E59" s="96">
        <v>4.9907700000000004</v>
      </c>
      <c r="F59" s="96">
        <v>5.0038710000000002</v>
      </c>
      <c r="G59" s="96">
        <v>5.0186830000000002</v>
      </c>
      <c r="H59" s="96">
        <v>5.0240770000000001</v>
      </c>
      <c r="I59" s="96">
        <v>5.0236980000000004</v>
      </c>
      <c r="J59" s="96">
        <v>5.014405</v>
      </c>
      <c r="K59" s="96">
        <v>4.9988989999999998</v>
      </c>
      <c r="L59" s="96">
        <v>4.9835289999999999</v>
      </c>
      <c r="M59" s="96">
        <v>4.9690989999999999</v>
      </c>
      <c r="N59" s="96">
        <v>4.951568</v>
      </c>
      <c r="O59" s="96">
        <v>4.9341609999999996</v>
      </c>
      <c r="P59" s="96">
        <v>4.9201649999999999</v>
      </c>
      <c r="Q59" s="96">
        <v>4.911035</v>
      </c>
      <c r="R59" s="96">
        <v>4.9042500000000002</v>
      </c>
      <c r="S59" s="96">
        <v>4.8965740000000002</v>
      </c>
      <c r="T59" s="96">
        <v>4.8882409999999998</v>
      </c>
      <c r="U59" s="96">
        <v>4.879435</v>
      </c>
      <c r="V59" s="96">
        <v>4.8719530000000004</v>
      </c>
      <c r="W59" s="96">
        <v>4.8630019999999998</v>
      </c>
      <c r="X59" s="96">
        <v>4.8553889999999997</v>
      </c>
      <c r="Y59" s="96">
        <v>4.8498780000000004</v>
      </c>
      <c r="Z59" s="96">
        <v>4.845332</v>
      </c>
      <c r="AA59" s="96">
        <v>4.8407159999999996</v>
      </c>
      <c r="AB59" s="96">
        <v>4.8353849999999996</v>
      </c>
      <c r="AC59" s="96">
        <v>4.8290759999999997</v>
      </c>
      <c r="AD59" s="96">
        <v>4.8218430000000003</v>
      </c>
      <c r="AE59" s="96">
        <v>4.8131089999999999</v>
      </c>
      <c r="AF59" s="96">
        <v>4.8035059999999996</v>
      </c>
      <c r="AG59" s="89">
        <v>-1.4319999999999999E-3</v>
      </c>
    </row>
    <row r="60" spans="1:33" ht="15" customHeight="1" x14ac:dyDescent="0.3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</row>
    <row r="61" spans="1:33" ht="15" customHeight="1" x14ac:dyDescent="0.35">
      <c r="B61" s="91" t="s">
        <v>2740</v>
      </c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</row>
    <row r="62" spans="1:33" ht="15" customHeight="1" x14ac:dyDescent="0.35">
      <c r="A62" s="92" t="s">
        <v>83</v>
      </c>
      <c r="B62" s="95" t="s">
        <v>49</v>
      </c>
      <c r="C62" s="97">
        <v>0.36505799999999999</v>
      </c>
      <c r="D62" s="97">
        <v>0.38913999999999999</v>
      </c>
      <c r="E62" s="97">
        <v>0.36434</v>
      </c>
      <c r="F62" s="97">
        <v>0.35612899999999997</v>
      </c>
      <c r="G62" s="97">
        <v>0.34764899999999999</v>
      </c>
      <c r="H62" s="97">
        <v>0.33928900000000001</v>
      </c>
      <c r="I62" s="97">
        <v>0.33138200000000001</v>
      </c>
      <c r="J62" s="97">
        <v>0.32439499999999999</v>
      </c>
      <c r="K62" s="97">
        <v>0.31809999999999999</v>
      </c>
      <c r="L62" s="97">
        <v>0.31240000000000001</v>
      </c>
      <c r="M62" s="97">
        <v>0.30679000000000001</v>
      </c>
      <c r="N62" s="97">
        <v>0.30127700000000002</v>
      </c>
      <c r="O62" s="97">
        <v>0.29595700000000003</v>
      </c>
      <c r="P62" s="97">
        <v>0.29095599999999999</v>
      </c>
      <c r="Q62" s="97">
        <v>0.28611900000000001</v>
      </c>
      <c r="R62" s="97">
        <v>0.28138099999999999</v>
      </c>
      <c r="S62" s="97">
        <v>0.27668199999999998</v>
      </c>
      <c r="T62" s="97">
        <v>0.27211200000000002</v>
      </c>
      <c r="U62" s="97">
        <v>0.26768599999999998</v>
      </c>
      <c r="V62" s="97">
        <v>0.26330999999999999</v>
      </c>
      <c r="W62" s="97">
        <v>0.25894499999999998</v>
      </c>
      <c r="X62" s="97">
        <v>0.25467800000000002</v>
      </c>
      <c r="Y62" s="97">
        <v>0.25026599999999999</v>
      </c>
      <c r="Z62" s="97">
        <v>0.24578</v>
      </c>
      <c r="AA62" s="97">
        <v>0.24150099999999999</v>
      </c>
      <c r="AB62" s="97">
        <v>0.23723900000000001</v>
      </c>
      <c r="AC62" s="97">
        <v>0.23309299999999999</v>
      </c>
      <c r="AD62" s="97">
        <v>0.22903899999999999</v>
      </c>
      <c r="AE62" s="97">
        <v>0.22495699999999999</v>
      </c>
      <c r="AF62" s="97">
        <v>0.22097700000000001</v>
      </c>
      <c r="AG62" s="93">
        <v>-1.7160999999999999E-2</v>
      </c>
    </row>
    <row r="63" spans="1:33" ht="15" customHeight="1" x14ac:dyDescent="0.35">
      <c r="A63" s="92" t="s">
        <v>84</v>
      </c>
      <c r="B63" s="95" t="s">
        <v>53</v>
      </c>
      <c r="C63" s="97">
        <v>4.6672999999999999E-2</v>
      </c>
      <c r="D63" s="97">
        <v>4.4477000000000003E-2</v>
      </c>
      <c r="E63" s="97">
        <v>4.2646999999999997E-2</v>
      </c>
      <c r="F63" s="97">
        <v>4.0967000000000003E-2</v>
      </c>
      <c r="G63" s="97">
        <v>3.9448999999999998E-2</v>
      </c>
      <c r="H63" s="97">
        <v>3.8122999999999997E-2</v>
      </c>
      <c r="I63" s="97">
        <v>3.7006999999999998E-2</v>
      </c>
      <c r="J63" s="97">
        <v>3.6151999999999997E-2</v>
      </c>
      <c r="K63" s="97">
        <v>3.5534999999999997E-2</v>
      </c>
      <c r="L63" s="97">
        <v>3.5140999999999999E-2</v>
      </c>
      <c r="M63" s="97">
        <v>3.4687000000000003E-2</v>
      </c>
      <c r="N63" s="97">
        <v>3.4202999999999997E-2</v>
      </c>
      <c r="O63" s="97">
        <v>3.3702000000000003E-2</v>
      </c>
      <c r="P63" s="97">
        <v>3.3202000000000002E-2</v>
      </c>
      <c r="Q63" s="97">
        <v>3.2689999999999997E-2</v>
      </c>
      <c r="R63" s="97">
        <v>3.2163999999999998E-2</v>
      </c>
      <c r="S63" s="97">
        <v>3.1626000000000001E-2</v>
      </c>
      <c r="T63" s="97">
        <v>3.1085000000000002E-2</v>
      </c>
      <c r="U63" s="97">
        <v>3.0557000000000001E-2</v>
      </c>
      <c r="V63" s="97">
        <v>3.0027000000000002E-2</v>
      </c>
      <c r="W63" s="97">
        <v>2.9505E-2</v>
      </c>
      <c r="X63" s="97">
        <v>2.9010999999999999E-2</v>
      </c>
      <c r="Y63" s="97">
        <v>2.8523E-2</v>
      </c>
      <c r="Z63" s="97">
        <v>2.8049000000000001E-2</v>
      </c>
      <c r="AA63" s="97">
        <v>2.7616999999999999E-2</v>
      </c>
      <c r="AB63" s="97">
        <v>2.7202E-2</v>
      </c>
      <c r="AC63" s="97">
        <v>2.6817000000000001E-2</v>
      </c>
      <c r="AD63" s="97">
        <v>2.6457000000000001E-2</v>
      </c>
      <c r="AE63" s="97">
        <v>2.6103999999999999E-2</v>
      </c>
      <c r="AF63" s="97">
        <v>2.5767000000000002E-2</v>
      </c>
      <c r="AG63" s="93">
        <v>-2.0275999999999999E-2</v>
      </c>
    </row>
    <row r="64" spans="1:33" ht="15" customHeight="1" x14ac:dyDescent="0.35">
      <c r="A64" s="92" t="s">
        <v>85</v>
      </c>
      <c r="B64" s="95" t="s">
        <v>2741</v>
      </c>
      <c r="C64" s="97">
        <v>7.8150000000000008E-3</v>
      </c>
      <c r="D64" s="97">
        <v>7.7609999999999997E-3</v>
      </c>
      <c r="E64" s="97">
        <v>7.7320000000000002E-3</v>
      </c>
      <c r="F64" s="97">
        <v>7.6930000000000002E-3</v>
      </c>
      <c r="G64" s="97">
        <v>7.6449999999999999E-3</v>
      </c>
      <c r="H64" s="97">
        <v>7.5960000000000003E-3</v>
      </c>
      <c r="I64" s="97">
        <v>7.5510000000000004E-3</v>
      </c>
      <c r="J64" s="97">
        <v>7.5180000000000004E-3</v>
      </c>
      <c r="K64" s="97">
        <v>7.4939999999999998E-3</v>
      </c>
      <c r="L64" s="97">
        <v>7.4770000000000001E-3</v>
      </c>
      <c r="M64" s="97">
        <v>7.4580000000000002E-3</v>
      </c>
      <c r="N64" s="97">
        <v>7.437E-3</v>
      </c>
      <c r="O64" s="97">
        <v>7.417E-3</v>
      </c>
      <c r="P64" s="97">
        <v>7.4000000000000003E-3</v>
      </c>
      <c r="Q64" s="97">
        <v>7.3850000000000001E-3</v>
      </c>
      <c r="R64" s="97">
        <v>7.3699999999999998E-3</v>
      </c>
      <c r="S64" s="97">
        <v>7.352E-3</v>
      </c>
      <c r="T64" s="97">
        <v>7.3330000000000001E-3</v>
      </c>
      <c r="U64" s="97">
        <v>7.3159999999999996E-3</v>
      </c>
      <c r="V64" s="97">
        <v>7.2960000000000004E-3</v>
      </c>
      <c r="W64" s="97">
        <v>7.2750000000000002E-3</v>
      </c>
      <c r="X64" s="97">
        <v>7.2560000000000003E-3</v>
      </c>
      <c r="Y64" s="97">
        <v>7.2350000000000001E-3</v>
      </c>
      <c r="Z64" s="97">
        <v>7.2110000000000004E-3</v>
      </c>
      <c r="AA64" s="97">
        <v>7.1929999999999997E-3</v>
      </c>
      <c r="AB64" s="97">
        <v>7.1739999999999998E-3</v>
      </c>
      <c r="AC64" s="97">
        <v>7.1599999999999997E-3</v>
      </c>
      <c r="AD64" s="97">
        <v>7.1479999999999998E-3</v>
      </c>
      <c r="AE64" s="97">
        <v>7.1349999999999998E-3</v>
      </c>
      <c r="AF64" s="97">
        <v>7.1240000000000001E-3</v>
      </c>
      <c r="AG64" s="93">
        <v>-3.186E-3</v>
      </c>
    </row>
    <row r="65" spans="1:33" ht="15" customHeight="1" x14ac:dyDescent="0.3">
      <c r="A65" s="92" t="s">
        <v>87</v>
      </c>
      <c r="B65" s="91" t="s">
        <v>73</v>
      </c>
      <c r="C65" s="96">
        <v>0.41954599999999997</v>
      </c>
      <c r="D65" s="96">
        <v>0.44137799999999999</v>
      </c>
      <c r="E65" s="96">
        <v>0.414719</v>
      </c>
      <c r="F65" s="96">
        <v>0.40478900000000001</v>
      </c>
      <c r="G65" s="96">
        <v>0.39474300000000001</v>
      </c>
      <c r="H65" s="96">
        <v>0.38500800000000002</v>
      </c>
      <c r="I65" s="96">
        <v>0.37594100000000003</v>
      </c>
      <c r="J65" s="96">
        <v>0.368066</v>
      </c>
      <c r="K65" s="96">
        <v>0.36113000000000001</v>
      </c>
      <c r="L65" s="96">
        <v>0.355018</v>
      </c>
      <c r="M65" s="96">
        <v>0.348935</v>
      </c>
      <c r="N65" s="96">
        <v>0.34291700000000003</v>
      </c>
      <c r="O65" s="96">
        <v>0.33707500000000001</v>
      </c>
      <c r="P65" s="96">
        <v>0.33155800000000002</v>
      </c>
      <c r="Q65" s="96">
        <v>0.32619399999999998</v>
      </c>
      <c r="R65" s="96">
        <v>0.32091500000000001</v>
      </c>
      <c r="S65" s="96">
        <v>0.31565900000000002</v>
      </c>
      <c r="T65" s="96">
        <v>0.31052999999999997</v>
      </c>
      <c r="U65" s="96">
        <v>0.30555900000000003</v>
      </c>
      <c r="V65" s="96">
        <v>0.30063299999999998</v>
      </c>
      <c r="W65" s="96">
        <v>0.29572500000000002</v>
      </c>
      <c r="X65" s="96">
        <v>0.29094500000000001</v>
      </c>
      <c r="Y65" s="96">
        <v>0.286024</v>
      </c>
      <c r="Z65" s="96">
        <v>0.28104099999999999</v>
      </c>
      <c r="AA65" s="96">
        <v>0.27631099999999997</v>
      </c>
      <c r="AB65" s="96">
        <v>0.27161600000000002</v>
      </c>
      <c r="AC65" s="96">
        <v>0.26706999999999997</v>
      </c>
      <c r="AD65" s="96">
        <v>0.26264399999999999</v>
      </c>
      <c r="AE65" s="96">
        <v>0.25819500000000001</v>
      </c>
      <c r="AF65" s="96">
        <v>0.25387799999999999</v>
      </c>
      <c r="AG65" s="89">
        <v>-1.7172E-2</v>
      </c>
    </row>
    <row r="66" spans="1:33" ht="14.5" x14ac:dyDescent="0.3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</row>
    <row r="67" spans="1:33" ht="15" customHeight="1" x14ac:dyDescent="0.35">
      <c r="B67" s="91" t="s">
        <v>88</v>
      </c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</row>
    <row r="68" spans="1:33" ht="15" customHeight="1" x14ac:dyDescent="0.35">
      <c r="A68" s="92" t="s">
        <v>89</v>
      </c>
      <c r="B68" s="95" t="s">
        <v>49</v>
      </c>
      <c r="C68" s="97">
        <v>0.325206</v>
      </c>
      <c r="D68" s="97">
        <v>0.33110499999999998</v>
      </c>
      <c r="E68" s="97">
        <v>0.31375199999999998</v>
      </c>
      <c r="F68" s="97">
        <v>0.31013400000000002</v>
      </c>
      <c r="G68" s="97">
        <v>0.30696699999999999</v>
      </c>
      <c r="H68" s="97">
        <v>0.30363299999999999</v>
      </c>
      <c r="I68" s="97">
        <v>0.30011900000000002</v>
      </c>
      <c r="J68" s="97">
        <v>0.296431</v>
      </c>
      <c r="K68" s="97">
        <v>0.29259499999999999</v>
      </c>
      <c r="L68" s="97">
        <v>0.288823</v>
      </c>
      <c r="M68" s="97">
        <v>0.28520200000000001</v>
      </c>
      <c r="N68" s="97">
        <v>0.281692</v>
      </c>
      <c r="O68" s="97">
        <v>0.27834399999999998</v>
      </c>
      <c r="P68" s="97">
        <v>0.27527699999999999</v>
      </c>
      <c r="Q68" s="97">
        <v>0.27251700000000001</v>
      </c>
      <c r="R68" s="97">
        <v>0.26999099999999998</v>
      </c>
      <c r="S68" s="97">
        <v>0.267538</v>
      </c>
      <c r="T68" s="97">
        <v>0.26513999999999999</v>
      </c>
      <c r="U68" s="97">
        <v>0.26279799999999998</v>
      </c>
      <c r="V68" s="97">
        <v>0.260515</v>
      </c>
      <c r="W68" s="97">
        <v>0.258239</v>
      </c>
      <c r="X68" s="97">
        <v>0.25594</v>
      </c>
      <c r="Y68" s="97">
        <v>0.253577</v>
      </c>
      <c r="Z68" s="97">
        <v>0.25120999999999999</v>
      </c>
      <c r="AA68" s="97">
        <v>0.24895100000000001</v>
      </c>
      <c r="AB68" s="97">
        <v>0.24688099999999999</v>
      </c>
      <c r="AC68" s="97">
        <v>0.24496899999999999</v>
      </c>
      <c r="AD68" s="97">
        <v>0.243116</v>
      </c>
      <c r="AE68" s="97">
        <v>0.241254</v>
      </c>
      <c r="AF68" s="97">
        <v>0.239429</v>
      </c>
      <c r="AG68" s="93">
        <v>-1.0503E-2</v>
      </c>
    </row>
    <row r="69" spans="1:33" ht="15" customHeight="1" x14ac:dyDescent="0.35">
      <c r="A69" s="92" t="s">
        <v>90</v>
      </c>
      <c r="B69" s="95" t="s">
        <v>53</v>
      </c>
      <c r="C69" s="97">
        <v>6.3187999999999994E-2</v>
      </c>
      <c r="D69" s="97">
        <v>6.0481E-2</v>
      </c>
      <c r="E69" s="97">
        <v>5.8305000000000003E-2</v>
      </c>
      <c r="F69" s="97">
        <v>5.6653000000000002E-2</v>
      </c>
      <c r="G69" s="97">
        <v>5.5284E-2</v>
      </c>
      <c r="H69" s="97">
        <v>5.4059999999999997E-2</v>
      </c>
      <c r="I69" s="97">
        <v>5.2935000000000003E-2</v>
      </c>
      <c r="J69" s="97">
        <v>5.1905E-2</v>
      </c>
      <c r="K69" s="97">
        <v>5.0991000000000002E-2</v>
      </c>
      <c r="L69" s="97">
        <v>5.0228000000000002E-2</v>
      </c>
      <c r="M69" s="97">
        <v>4.9378999999999999E-2</v>
      </c>
      <c r="N69" s="97">
        <v>4.8453000000000003E-2</v>
      </c>
      <c r="O69" s="97">
        <v>4.7503999999999998E-2</v>
      </c>
      <c r="P69" s="97">
        <v>4.6557000000000001E-2</v>
      </c>
      <c r="Q69" s="97">
        <v>4.5630999999999998E-2</v>
      </c>
      <c r="R69" s="97">
        <v>4.4726000000000002E-2</v>
      </c>
      <c r="S69" s="97">
        <v>4.3829E-2</v>
      </c>
      <c r="T69" s="97">
        <v>4.2937999999999997E-2</v>
      </c>
      <c r="U69" s="97">
        <v>4.2074E-2</v>
      </c>
      <c r="V69" s="97">
        <v>4.1237999999999997E-2</v>
      </c>
      <c r="W69" s="97">
        <v>4.0431000000000002E-2</v>
      </c>
      <c r="X69" s="97">
        <v>3.9662000000000003E-2</v>
      </c>
      <c r="Y69" s="97">
        <v>3.8927999999999997E-2</v>
      </c>
      <c r="Z69" s="97">
        <v>3.8238000000000001E-2</v>
      </c>
      <c r="AA69" s="97">
        <v>3.7615000000000003E-2</v>
      </c>
      <c r="AB69" s="97">
        <v>3.7062999999999999E-2</v>
      </c>
      <c r="AC69" s="97">
        <v>3.6569999999999998E-2</v>
      </c>
      <c r="AD69" s="97">
        <v>3.6110000000000003E-2</v>
      </c>
      <c r="AE69" s="97">
        <v>3.5671000000000001E-2</v>
      </c>
      <c r="AF69" s="97">
        <v>3.5249999999999997E-2</v>
      </c>
      <c r="AG69" s="93">
        <v>-1.9924999999999998E-2</v>
      </c>
    </row>
    <row r="70" spans="1:33" ht="15" customHeight="1" x14ac:dyDescent="0.35">
      <c r="A70" s="92" t="s">
        <v>91</v>
      </c>
      <c r="B70" s="95" t="s">
        <v>57</v>
      </c>
      <c r="C70" s="97">
        <v>1.6974E-2</v>
      </c>
      <c r="D70" s="97">
        <v>1.6801E-2</v>
      </c>
      <c r="E70" s="97">
        <v>1.6618000000000001E-2</v>
      </c>
      <c r="F70" s="97">
        <v>1.6431000000000001E-2</v>
      </c>
      <c r="G70" s="97">
        <v>1.6239E-2</v>
      </c>
      <c r="H70" s="97">
        <v>1.6036000000000002E-2</v>
      </c>
      <c r="I70" s="97">
        <v>1.5817999999999999E-2</v>
      </c>
      <c r="J70" s="97">
        <v>1.559E-2</v>
      </c>
      <c r="K70" s="97">
        <v>1.5353E-2</v>
      </c>
      <c r="L70" s="97">
        <v>1.5106E-2</v>
      </c>
      <c r="M70" s="97">
        <v>1.4852000000000001E-2</v>
      </c>
      <c r="N70" s="97">
        <v>1.4593E-2</v>
      </c>
      <c r="O70" s="97">
        <v>1.4376E-2</v>
      </c>
      <c r="P70" s="97">
        <v>1.4196E-2</v>
      </c>
      <c r="Q70" s="97">
        <v>1.4057999999999999E-2</v>
      </c>
      <c r="R70" s="97">
        <v>1.3963E-2</v>
      </c>
      <c r="S70" s="97">
        <v>1.3908999999999999E-2</v>
      </c>
      <c r="T70" s="97">
        <v>1.3849999999999999E-2</v>
      </c>
      <c r="U70" s="97">
        <v>1.3786E-2</v>
      </c>
      <c r="V70" s="97">
        <v>1.3716000000000001E-2</v>
      </c>
      <c r="W70" s="97">
        <v>1.3639999999999999E-2</v>
      </c>
      <c r="X70" s="97">
        <v>1.3559999999999999E-2</v>
      </c>
      <c r="Y70" s="97">
        <v>1.3476E-2</v>
      </c>
      <c r="Z70" s="97">
        <v>1.3391E-2</v>
      </c>
      <c r="AA70" s="97">
        <v>1.3309E-2</v>
      </c>
      <c r="AB70" s="97">
        <v>1.323E-2</v>
      </c>
      <c r="AC70" s="97">
        <v>1.3157E-2</v>
      </c>
      <c r="AD70" s="97">
        <v>1.3088000000000001E-2</v>
      </c>
      <c r="AE70" s="97">
        <v>1.3024000000000001E-2</v>
      </c>
      <c r="AF70" s="97">
        <v>1.2962E-2</v>
      </c>
      <c r="AG70" s="93">
        <v>-9.2569999999999996E-3</v>
      </c>
    </row>
    <row r="71" spans="1:33" ht="15" customHeight="1" x14ac:dyDescent="0.35">
      <c r="A71" s="92" t="s">
        <v>92</v>
      </c>
      <c r="B71" s="95" t="s">
        <v>2742</v>
      </c>
      <c r="C71" s="97">
        <v>7.3318999999999995E-2</v>
      </c>
      <c r="D71" s="97">
        <v>7.4316999999999994E-2</v>
      </c>
      <c r="E71" s="97">
        <v>7.5613E-2</v>
      </c>
      <c r="F71" s="97">
        <v>7.7313999999999994E-2</v>
      </c>
      <c r="G71" s="97">
        <v>7.9147999999999996E-2</v>
      </c>
      <c r="H71" s="97">
        <v>8.0949999999999994E-2</v>
      </c>
      <c r="I71" s="97">
        <v>8.2686999999999997E-2</v>
      </c>
      <c r="J71" s="97">
        <v>8.4347000000000005E-2</v>
      </c>
      <c r="K71" s="97">
        <v>8.5945999999999995E-2</v>
      </c>
      <c r="L71" s="97">
        <v>8.7522000000000003E-2</v>
      </c>
      <c r="M71" s="97">
        <v>8.9096999999999996E-2</v>
      </c>
      <c r="N71" s="97">
        <v>9.0658000000000002E-2</v>
      </c>
      <c r="O71" s="97">
        <v>9.2254000000000003E-2</v>
      </c>
      <c r="P71" s="97">
        <v>9.3904000000000001E-2</v>
      </c>
      <c r="Q71" s="97">
        <v>9.5626000000000003E-2</v>
      </c>
      <c r="R71" s="97">
        <v>9.7406000000000006E-2</v>
      </c>
      <c r="S71" s="97">
        <v>9.9199999999999997E-2</v>
      </c>
      <c r="T71" s="97">
        <v>0.10098699999999999</v>
      </c>
      <c r="U71" s="97">
        <v>0.102788</v>
      </c>
      <c r="V71" s="97">
        <v>0.10458199999999999</v>
      </c>
      <c r="W71" s="97">
        <v>0.106361</v>
      </c>
      <c r="X71" s="97">
        <v>0.10813300000000001</v>
      </c>
      <c r="Y71" s="97">
        <v>0.109885</v>
      </c>
      <c r="Z71" s="97">
        <v>0.111636</v>
      </c>
      <c r="AA71" s="97">
        <v>0.11344600000000001</v>
      </c>
      <c r="AB71" s="97">
        <v>0.11534999999999999</v>
      </c>
      <c r="AC71" s="97">
        <v>0.117329</v>
      </c>
      <c r="AD71" s="97">
        <v>0.11933100000000001</v>
      </c>
      <c r="AE71" s="97">
        <v>0.121325</v>
      </c>
      <c r="AF71" s="97">
        <v>0.123316</v>
      </c>
      <c r="AG71" s="93">
        <v>1.8089999999999998E-2</v>
      </c>
    </row>
    <row r="72" spans="1:33" ht="15" customHeight="1" x14ac:dyDescent="0.3">
      <c r="A72" s="92" t="s">
        <v>93</v>
      </c>
      <c r="B72" s="91" t="s">
        <v>73</v>
      </c>
      <c r="C72" s="96">
        <v>0.478688</v>
      </c>
      <c r="D72" s="96">
        <v>0.48270299999999999</v>
      </c>
      <c r="E72" s="96">
        <v>0.46428799999999998</v>
      </c>
      <c r="F72" s="96">
        <v>0.46053100000000002</v>
      </c>
      <c r="G72" s="96">
        <v>0.45763900000000002</v>
      </c>
      <c r="H72" s="96">
        <v>0.454679</v>
      </c>
      <c r="I72" s="96">
        <v>0.45155899999999999</v>
      </c>
      <c r="J72" s="96">
        <v>0.44827299999999998</v>
      </c>
      <c r="K72" s="96">
        <v>0.444886</v>
      </c>
      <c r="L72" s="96">
        <v>0.44168000000000002</v>
      </c>
      <c r="M72" s="96">
        <v>0.438529</v>
      </c>
      <c r="N72" s="96">
        <v>0.43539699999999998</v>
      </c>
      <c r="O72" s="96">
        <v>0.432479</v>
      </c>
      <c r="P72" s="96">
        <v>0.42993500000000001</v>
      </c>
      <c r="Q72" s="96">
        <v>0.42783199999999999</v>
      </c>
      <c r="R72" s="96">
        <v>0.42608699999999999</v>
      </c>
      <c r="S72" s="96">
        <v>0.42447600000000002</v>
      </c>
      <c r="T72" s="96">
        <v>0.42291499999999999</v>
      </c>
      <c r="U72" s="96">
        <v>0.42144599999999999</v>
      </c>
      <c r="V72" s="96">
        <v>0.42004999999999998</v>
      </c>
      <c r="W72" s="96">
        <v>0.41867199999999999</v>
      </c>
      <c r="X72" s="96">
        <v>0.41729500000000003</v>
      </c>
      <c r="Y72" s="96">
        <v>0.41586600000000001</v>
      </c>
      <c r="Z72" s="96">
        <v>0.41447600000000001</v>
      </c>
      <c r="AA72" s="96">
        <v>0.41332099999999999</v>
      </c>
      <c r="AB72" s="96">
        <v>0.41252299999999997</v>
      </c>
      <c r="AC72" s="96">
        <v>0.41202299999999997</v>
      </c>
      <c r="AD72" s="96">
        <v>0.41164600000000001</v>
      </c>
      <c r="AE72" s="96">
        <v>0.411273</v>
      </c>
      <c r="AF72" s="96">
        <v>0.41095599999999999</v>
      </c>
      <c r="AG72" s="89">
        <v>-5.2469999999999999E-3</v>
      </c>
    </row>
    <row r="73" spans="1:33" ht="14.5" x14ac:dyDescent="0.3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</row>
    <row r="74" spans="1:33" ht="15" customHeight="1" x14ac:dyDescent="0.35">
      <c r="A74" s="92" t="s">
        <v>94</v>
      </c>
      <c r="B74" s="95" t="s">
        <v>2743</v>
      </c>
      <c r="C74" s="97">
        <v>0.463756</v>
      </c>
      <c r="D74" s="97">
        <v>0.48347000000000001</v>
      </c>
      <c r="E74" s="97">
        <v>0.45056499999999999</v>
      </c>
      <c r="F74" s="97">
        <v>0.44564500000000001</v>
      </c>
      <c r="G74" s="97">
        <v>0.44262699999999999</v>
      </c>
      <c r="H74" s="97">
        <v>0.43996499999999999</v>
      </c>
      <c r="I74" s="97">
        <v>0.43640200000000001</v>
      </c>
      <c r="J74" s="97">
        <v>0.43136099999999999</v>
      </c>
      <c r="K74" s="97">
        <v>0.42503099999999999</v>
      </c>
      <c r="L74" s="97">
        <v>0.41720099999999999</v>
      </c>
      <c r="M74" s="97">
        <v>0.40995500000000001</v>
      </c>
      <c r="N74" s="97">
        <v>0.40315299999999998</v>
      </c>
      <c r="O74" s="97">
        <v>0.395951</v>
      </c>
      <c r="P74" s="97">
        <v>0.38813300000000001</v>
      </c>
      <c r="Q74" s="97">
        <v>0.38009500000000002</v>
      </c>
      <c r="R74" s="97">
        <v>0.37219799999999997</v>
      </c>
      <c r="S74" s="97">
        <v>0.365149</v>
      </c>
      <c r="T74" s="97">
        <v>0.35866100000000001</v>
      </c>
      <c r="U74" s="97">
        <v>0.352049</v>
      </c>
      <c r="V74" s="97">
        <v>0.34626299999999999</v>
      </c>
      <c r="W74" s="97">
        <v>0.34099299999999999</v>
      </c>
      <c r="X74" s="97">
        <v>0.335841</v>
      </c>
      <c r="Y74" s="97">
        <v>0.331453</v>
      </c>
      <c r="Z74" s="97">
        <v>0.32778600000000002</v>
      </c>
      <c r="AA74" s="97">
        <v>0.32377099999999998</v>
      </c>
      <c r="AB74" s="97">
        <v>0.320077</v>
      </c>
      <c r="AC74" s="97">
        <v>0.31587799999999999</v>
      </c>
      <c r="AD74" s="97">
        <v>0.311247</v>
      </c>
      <c r="AE74" s="97">
        <v>0.30682100000000001</v>
      </c>
      <c r="AF74" s="97">
        <v>0.30205900000000002</v>
      </c>
      <c r="AG74" s="93">
        <v>-1.4675000000000001E-2</v>
      </c>
    </row>
    <row r="75" spans="1:33" ht="15" customHeight="1" x14ac:dyDescent="0.3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</row>
    <row r="76" spans="1:33" ht="15" customHeight="1" x14ac:dyDescent="0.35">
      <c r="B76" s="91" t="s">
        <v>2744</v>
      </c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</row>
    <row r="77" spans="1:33" ht="15" customHeight="1" x14ac:dyDescent="0.35">
      <c r="A77" s="92" t="s">
        <v>95</v>
      </c>
      <c r="B77" s="95" t="s">
        <v>96</v>
      </c>
      <c r="C77" s="97">
        <v>5.440906</v>
      </c>
      <c r="D77" s="97">
        <v>5.5777520000000003</v>
      </c>
      <c r="E77" s="97">
        <v>5.3682379999999998</v>
      </c>
      <c r="F77" s="97">
        <v>5.3497669999999999</v>
      </c>
      <c r="G77" s="97">
        <v>5.3320489999999996</v>
      </c>
      <c r="H77" s="97">
        <v>5.3042040000000004</v>
      </c>
      <c r="I77" s="97">
        <v>5.2695970000000001</v>
      </c>
      <c r="J77" s="97">
        <v>5.2281360000000001</v>
      </c>
      <c r="K77" s="97">
        <v>5.1811550000000004</v>
      </c>
      <c r="L77" s="97">
        <v>5.1333140000000004</v>
      </c>
      <c r="M77" s="97">
        <v>5.0875690000000002</v>
      </c>
      <c r="N77" s="97">
        <v>5.0423970000000002</v>
      </c>
      <c r="O77" s="97">
        <v>4.997147</v>
      </c>
      <c r="P77" s="97">
        <v>4.9545589999999997</v>
      </c>
      <c r="Q77" s="97">
        <v>4.916893</v>
      </c>
      <c r="R77" s="97">
        <v>4.8823499999999997</v>
      </c>
      <c r="S77" s="97">
        <v>4.8487159999999996</v>
      </c>
      <c r="T77" s="97">
        <v>4.8158180000000002</v>
      </c>
      <c r="U77" s="97">
        <v>4.7828039999999996</v>
      </c>
      <c r="V77" s="97">
        <v>4.7520360000000004</v>
      </c>
      <c r="W77" s="97">
        <v>4.720758</v>
      </c>
      <c r="X77" s="97">
        <v>4.6906569999999999</v>
      </c>
      <c r="Y77" s="97">
        <v>4.6628210000000001</v>
      </c>
      <c r="Z77" s="97">
        <v>4.6362509999999997</v>
      </c>
      <c r="AA77" s="97">
        <v>4.6089140000000004</v>
      </c>
      <c r="AB77" s="97">
        <v>4.5818880000000002</v>
      </c>
      <c r="AC77" s="97">
        <v>4.5534059999999998</v>
      </c>
      <c r="AD77" s="97">
        <v>4.5238490000000002</v>
      </c>
      <c r="AE77" s="97">
        <v>4.4933500000000004</v>
      </c>
      <c r="AF77" s="97">
        <v>4.4623759999999999</v>
      </c>
      <c r="AG77" s="93">
        <v>-6.8129999999999996E-3</v>
      </c>
    </row>
    <row r="78" spans="1:33" ht="15" customHeight="1" x14ac:dyDescent="0.35">
      <c r="A78" s="92" t="s">
        <v>97</v>
      </c>
      <c r="B78" s="95" t="s">
        <v>98</v>
      </c>
      <c r="C78" s="97">
        <v>0.857989</v>
      </c>
      <c r="D78" s="97">
        <v>0.79062399999999999</v>
      </c>
      <c r="E78" s="97">
        <v>0.93113800000000002</v>
      </c>
      <c r="F78" s="97">
        <v>0.94632799999999995</v>
      </c>
      <c r="G78" s="97">
        <v>0.96193099999999998</v>
      </c>
      <c r="H78" s="97">
        <v>0.976352</v>
      </c>
      <c r="I78" s="97">
        <v>0.988896</v>
      </c>
      <c r="J78" s="97">
        <v>1.0015080000000001</v>
      </c>
      <c r="K78" s="97">
        <v>1.013757</v>
      </c>
      <c r="L78" s="97">
        <v>1.026524</v>
      </c>
      <c r="M78" s="97">
        <v>1.040106</v>
      </c>
      <c r="N78" s="97">
        <v>1.05487</v>
      </c>
      <c r="O78" s="97">
        <v>1.0704210000000001</v>
      </c>
      <c r="P78" s="97">
        <v>1.0865560000000001</v>
      </c>
      <c r="Q78" s="97">
        <v>1.105062</v>
      </c>
      <c r="R78" s="97">
        <v>1.125518</v>
      </c>
      <c r="S78" s="97">
        <v>1.147705</v>
      </c>
      <c r="T78" s="97">
        <v>1.1695439999999999</v>
      </c>
      <c r="U78" s="97">
        <v>1.1915560000000001</v>
      </c>
      <c r="V78" s="97">
        <v>1.212747</v>
      </c>
      <c r="W78" s="97">
        <v>1.234294</v>
      </c>
      <c r="X78" s="97">
        <v>1.2562040000000001</v>
      </c>
      <c r="Y78" s="97">
        <v>1.2790360000000001</v>
      </c>
      <c r="Z78" s="97">
        <v>1.3026219999999999</v>
      </c>
      <c r="AA78" s="97">
        <v>1.3258460000000001</v>
      </c>
      <c r="AB78" s="97">
        <v>1.350222</v>
      </c>
      <c r="AC78" s="97">
        <v>1.3745620000000001</v>
      </c>
      <c r="AD78" s="97">
        <v>1.3993610000000001</v>
      </c>
      <c r="AE78" s="97">
        <v>1.4240699999999999</v>
      </c>
      <c r="AF78" s="97">
        <v>1.4494050000000001</v>
      </c>
      <c r="AG78" s="93">
        <v>1.8244E-2</v>
      </c>
    </row>
    <row r="79" spans="1:33" ht="14.5" x14ac:dyDescent="0.35">
      <c r="A79" s="92" t="s">
        <v>99</v>
      </c>
      <c r="B79" s="95" t="s">
        <v>100</v>
      </c>
      <c r="C79" s="97">
        <v>1.7047909999999999</v>
      </c>
      <c r="D79" s="97">
        <v>1.698159</v>
      </c>
      <c r="E79" s="97">
        <v>1.6982619999999999</v>
      </c>
      <c r="F79" s="97">
        <v>1.70642</v>
      </c>
      <c r="G79" s="97">
        <v>1.716375</v>
      </c>
      <c r="H79" s="97">
        <v>1.7245619999999999</v>
      </c>
      <c r="I79" s="97">
        <v>1.7321869999999999</v>
      </c>
      <c r="J79" s="97">
        <v>1.73858</v>
      </c>
      <c r="K79" s="97">
        <v>1.7442489999999999</v>
      </c>
      <c r="L79" s="97">
        <v>1.750694</v>
      </c>
      <c r="M79" s="97">
        <v>1.7567459999999999</v>
      </c>
      <c r="N79" s="97">
        <v>1.760915</v>
      </c>
      <c r="O79" s="97">
        <v>1.76511</v>
      </c>
      <c r="P79" s="97">
        <v>1.770106</v>
      </c>
      <c r="Q79" s="97">
        <v>1.7770220000000001</v>
      </c>
      <c r="R79" s="97">
        <v>1.7847569999999999</v>
      </c>
      <c r="S79" s="97">
        <v>1.792082</v>
      </c>
      <c r="T79" s="97">
        <v>1.798616</v>
      </c>
      <c r="U79" s="97">
        <v>1.8043689999999999</v>
      </c>
      <c r="V79" s="97">
        <v>1.8093809999999999</v>
      </c>
      <c r="W79" s="97">
        <v>1.813761</v>
      </c>
      <c r="X79" s="97">
        <v>1.8182320000000001</v>
      </c>
      <c r="Y79" s="97">
        <v>1.823682</v>
      </c>
      <c r="Z79" s="97">
        <v>1.8296730000000001</v>
      </c>
      <c r="AA79" s="97">
        <v>1.8358829999999999</v>
      </c>
      <c r="AB79" s="97">
        <v>1.8427150000000001</v>
      </c>
      <c r="AC79" s="97">
        <v>1.849485</v>
      </c>
      <c r="AD79" s="97">
        <v>1.856358</v>
      </c>
      <c r="AE79" s="97">
        <v>1.8631089999999999</v>
      </c>
      <c r="AF79" s="97">
        <v>1.8701680000000001</v>
      </c>
      <c r="AG79" s="93">
        <v>3.1979999999999999E-3</v>
      </c>
    </row>
    <row r="80" spans="1:33" ht="15" customHeight="1" x14ac:dyDescent="0.35">
      <c r="A80" s="92" t="s">
        <v>101</v>
      </c>
      <c r="B80" s="95" t="s">
        <v>102</v>
      </c>
      <c r="C80" s="97">
        <v>0.29633300000000001</v>
      </c>
      <c r="D80" s="97">
        <v>0.294545</v>
      </c>
      <c r="E80" s="97">
        <v>0.29242699999999999</v>
      </c>
      <c r="F80" s="97">
        <v>0.29052699999999998</v>
      </c>
      <c r="G80" s="97">
        <v>0.288802</v>
      </c>
      <c r="H80" s="97">
        <v>0.28720200000000001</v>
      </c>
      <c r="I80" s="97">
        <v>0.285773</v>
      </c>
      <c r="J80" s="97">
        <v>0.284609</v>
      </c>
      <c r="K80" s="97">
        <v>0.28368599999999999</v>
      </c>
      <c r="L80" s="97">
        <v>0.28299099999999999</v>
      </c>
      <c r="M80" s="97">
        <v>0.28257300000000002</v>
      </c>
      <c r="N80" s="97">
        <v>0.28259699999999999</v>
      </c>
      <c r="O80" s="97">
        <v>0.28294999999999998</v>
      </c>
      <c r="P80" s="97">
        <v>0.28357199999999999</v>
      </c>
      <c r="Q80" s="97">
        <v>0.284499</v>
      </c>
      <c r="R80" s="97">
        <v>0.285744</v>
      </c>
      <c r="S80" s="97">
        <v>0.28731299999999999</v>
      </c>
      <c r="T80" s="97">
        <v>0.28921599999999997</v>
      </c>
      <c r="U80" s="97">
        <v>0.29142499999999999</v>
      </c>
      <c r="V80" s="97">
        <v>0.29393900000000001</v>
      </c>
      <c r="W80" s="97">
        <v>0.29672999999999999</v>
      </c>
      <c r="X80" s="97">
        <v>0.299757</v>
      </c>
      <c r="Y80" s="97">
        <v>0.30272900000000003</v>
      </c>
      <c r="Z80" s="97">
        <v>0.305641</v>
      </c>
      <c r="AA80" s="97">
        <v>0.30848599999999998</v>
      </c>
      <c r="AB80" s="97">
        <v>0.31125799999999998</v>
      </c>
      <c r="AC80" s="97">
        <v>0.31395200000000001</v>
      </c>
      <c r="AD80" s="97">
        <v>0.31654700000000002</v>
      </c>
      <c r="AE80" s="97">
        <v>0.31905</v>
      </c>
      <c r="AF80" s="97">
        <v>0.32145000000000001</v>
      </c>
      <c r="AG80" s="93">
        <v>2.8089999999999999E-3</v>
      </c>
    </row>
    <row r="81" spans="1:33" ht="14.5" x14ac:dyDescent="0.35">
      <c r="A81" s="92" t="s">
        <v>103</v>
      </c>
      <c r="B81" s="95" t="s">
        <v>104</v>
      </c>
      <c r="C81" s="97">
        <v>0.17573</v>
      </c>
      <c r="D81" s="97">
        <v>0.175926</v>
      </c>
      <c r="E81" s="97">
        <v>0.17602200000000001</v>
      </c>
      <c r="F81" s="97">
        <v>0.17612700000000001</v>
      </c>
      <c r="G81" s="97">
        <v>0.17622599999999999</v>
      </c>
      <c r="H81" s="97">
        <v>0.17627200000000001</v>
      </c>
      <c r="I81" s="97">
        <v>0.17627799999999999</v>
      </c>
      <c r="J81" s="97">
        <v>0.17630999999999999</v>
      </c>
      <c r="K81" s="97">
        <v>0.17639099999999999</v>
      </c>
      <c r="L81" s="97">
        <v>0.17650199999999999</v>
      </c>
      <c r="M81" s="97">
        <v>0.176647</v>
      </c>
      <c r="N81" s="97">
        <v>0.17689299999999999</v>
      </c>
      <c r="O81" s="97">
        <v>0.17729900000000001</v>
      </c>
      <c r="P81" s="97">
        <v>0.17780000000000001</v>
      </c>
      <c r="Q81" s="97">
        <v>0.17841899999999999</v>
      </c>
      <c r="R81" s="97">
        <v>0.17915900000000001</v>
      </c>
      <c r="S81" s="97">
        <v>0.180033</v>
      </c>
      <c r="T81" s="97">
        <v>0.180923</v>
      </c>
      <c r="U81" s="97">
        <v>0.18183099999999999</v>
      </c>
      <c r="V81" s="97">
        <v>0.182758</v>
      </c>
      <c r="W81" s="97">
        <v>0.18369199999999999</v>
      </c>
      <c r="X81" s="97">
        <v>0.18462500000000001</v>
      </c>
      <c r="Y81" s="97">
        <v>0.18556500000000001</v>
      </c>
      <c r="Z81" s="97">
        <v>0.18651200000000001</v>
      </c>
      <c r="AA81" s="97">
        <v>0.187469</v>
      </c>
      <c r="AB81" s="97">
        <v>0.18842999999999999</v>
      </c>
      <c r="AC81" s="97">
        <v>0.189392</v>
      </c>
      <c r="AD81" s="97">
        <v>0.19034200000000001</v>
      </c>
      <c r="AE81" s="97">
        <v>0.191277</v>
      </c>
      <c r="AF81" s="97">
        <v>0.192188</v>
      </c>
      <c r="AG81" s="93">
        <v>3.0920000000000001E-3</v>
      </c>
    </row>
    <row r="82" spans="1:33" ht="15" customHeight="1" x14ac:dyDescent="0.35">
      <c r="A82" s="92" t="s">
        <v>105</v>
      </c>
      <c r="B82" s="95" t="s">
        <v>106</v>
      </c>
      <c r="C82" s="97">
        <v>0.25878499999999999</v>
      </c>
      <c r="D82" s="97">
        <v>0.26327699999999998</v>
      </c>
      <c r="E82" s="97">
        <v>0.26744299999999999</v>
      </c>
      <c r="F82" s="97">
        <v>0.27184399999999997</v>
      </c>
      <c r="G82" s="97">
        <v>0.276175</v>
      </c>
      <c r="H82" s="97">
        <v>0.27988400000000002</v>
      </c>
      <c r="I82" s="97">
        <v>0.28326000000000001</v>
      </c>
      <c r="J82" s="97">
        <v>0.28659699999999999</v>
      </c>
      <c r="K82" s="97">
        <v>0.28988000000000003</v>
      </c>
      <c r="L82" s="97">
        <v>0.29319800000000001</v>
      </c>
      <c r="M82" s="97">
        <v>0.296487</v>
      </c>
      <c r="N82" s="97">
        <v>0.29978900000000003</v>
      </c>
      <c r="O82" s="97">
        <v>0.30311700000000003</v>
      </c>
      <c r="P82" s="97">
        <v>0.30663499999999999</v>
      </c>
      <c r="Q82" s="97">
        <v>0.31064399999999998</v>
      </c>
      <c r="R82" s="97">
        <v>0.31497399999999998</v>
      </c>
      <c r="S82" s="97">
        <v>0.31931599999999999</v>
      </c>
      <c r="T82" s="97">
        <v>0.32355200000000001</v>
      </c>
      <c r="U82" s="97">
        <v>0.32775700000000002</v>
      </c>
      <c r="V82" s="97">
        <v>0.33176499999999998</v>
      </c>
      <c r="W82" s="97">
        <v>0.33573199999999997</v>
      </c>
      <c r="X82" s="97">
        <v>0.33960699999999999</v>
      </c>
      <c r="Y82" s="97">
        <v>0.343636</v>
      </c>
      <c r="Z82" s="97">
        <v>0.34769299999999997</v>
      </c>
      <c r="AA82" s="97">
        <v>0.35158699999999998</v>
      </c>
      <c r="AB82" s="97">
        <v>0.35564000000000001</v>
      </c>
      <c r="AC82" s="97">
        <v>0.359545</v>
      </c>
      <c r="AD82" s="97">
        <v>0.36343799999999998</v>
      </c>
      <c r="AE82" s="97">
        <v>0.36730099999999999</v>
      </c>
      <c r="AF82" s="97">
        <v>0.371307</v>
      </c>
      <c r="AG82" s="93">
        <v>1.2527E-2</v>
      </c>
    </row>
    <row r="83" spans="1:33" ht="15" customHeight="1" x14ac:dyDescent="0.35">
      <c r="A83" s="92" t="s">
        <v>107</v>
      </c>
      <c r="B83" s="95" t="s">
        <v>108</v>
      </c>
      <c r="C83" s="97">
        <v>6.9045999999999996E-2</v>
      </c>
      <c r="D83" s="97">
        <v>6.8857000000000002E-2</v>
      </c>
      <c r="E83" s="97">
        <v>6.8612999999999993E-2</v>
      </c>
      <c r="F83" s="97">
        <v>6.8351999999999996E-2</v>
      </c>
      <c r="G83" s="97">
        <v>6.8066000000000002E-2</v>
      </c>
      <c r="H83" s="97">
        <v>6.7743999999999999E-2</v>
      </c>
      <c r="I83" s="97">
        <v>6.7393999999999996E-2</v>
      </c>
      <c r="J83" s="97">
        <v>6.7074999999999996E-2</v>
      </c>
      <c r="K83" s="97">
        <v>6.6782999999999995E-2</v>
      </c>
      <c r="L83" s="97">
        <v>6.651E-2</v>
      </c>
      <c r="M83" s="97">
        <v>6.6253999999999993E-2</v>
      </c>
      <c r="N83" s="97">
        <v>6.6043000000000004E-2</v>
      </c>
      <c r="O83" s="97">
        <v>6.5856999999999999E-2</v>
      </c>
      <c r="P83" s="97">
        <v>6.5687999999999996E-2</v>
      </c>
      <c r="Q83" s="97">
        <v>6.5540000000000001E-2</v>
      </c>
      <c r="R83" s="97">
        <v>6.5424999999999997E-2</v>
      </c>
      <c r="S83" s="97">
        <v>6.5340999999999996E-2</v>
      </c>
      <c r="T83" s="97">
        <v>6.5294000000000005E-2</v>
      </c>
      <c r="U83" s="97">
        <v>6.5282999999999994E-2</v>
      </c>
      <c r="V83" s="97">
        <v>6.5309000000000006E-2</v>
      </c>
      <c r="W83" s="97">
        <v>6.5374000000000002E-2</v>
      </c>
      <c r="X83" s="97">
        <v>6.5471000000000001E-2</v>
      </c>
      <c r="Y83" s="97">
        <v>6.5610000000000002E-2</v>
      </c>
      <c r="Z83" s="97">
        <v>6.5795999999999993E-2</v>
      </c>
      <c r="AA83" s="97">
        <v>6.6031000000000006E-2</v>
      </c>
      <c r="AB83" s="97">
        <v>6.6314999999999999E-2</v>
      </c>
      <c r="AC83" s="97">
        <v>6.6638000000000003E-2</v>
      </c>
      <c r="AD83" s="97">
        <v>6.6954E-2</v>
      </c>
      <c r="AE83" s="97">
        <v>6.7264000000000004E-2</v>
      </c>
      <c r="AF83" s="97">
        <v>6.7567000000000002E-2</v>
      </c>
      <c r="AG83" s="93">
        <v>-7.4700000000000005E-4</v>
      </c>
    </row>
    <row r="84" spans="1:33" ht="15" customHeight="1" x14ac:dyDescent="0.35">
      <c r="A84" s="92" t="s">
        <v>109</v>
      </c>
      <c r="B84" s="95" t="s">
        <v>110</v>
      </c>
      <c r="C84" s="97">
        <v>0.20247000000000001</v>
      </c>
      <c r="D84" s="97">
        <v>0.200929</v>
      </c>
      <c r="E84" s="97">
        <v>0.20061300000000001</v>
      </c>
      <c r="F84" s="97">
        <v>0.20100100000000001</v>
      </c>
      <c r="G84" s="97">
        <v>0.199933</v>
      </c>
      <c r="H84" s="97">
        <v>0.19875300000000001</v>
      </c>
      <c r="I84" s="97">
        <v>0.198154</v>
      </c>
      <c r="J84" s="97">
        <v>0.198273</v>
      </c>
      <c r="K84" s="97">
        <v>0.19869400000000001</v>
      </c>
      <c r="L84" s="97">
        <v>0.196717</v>
      </c>
      <c r="M84" s="97">
        <v>0.19527900000000001</v>
      </c>
      <c r="N84" s="97">
        <v>0.19428300000000001</v>
      </c>
      <c r="O84" s="97">
        <v>0.19358500000000001</v>
      </c>
      <c r="P84" s="97">
        <v>0.193249</v>
      </c>
      <c r="Q84" s="97">
        <v>0.19348499999999999</v>
      </c>
      <c r="R84" s="97">
        <v>0.193991</v>
      </c>
      <c r="S84" s="97">
        <v>0.19454299999999999</v>
      </c>
      <c r="T84" s="97">
        <v>0.19508400000000001</v>
      </c>
      <c r="U84" s="97">
        <v>0.195661</v>
      </c>
      <c r="V84" s="97">
        <v>0.19287699999999999</v>
      </c>
      <c r="W84" s="97">
        <v>0.19070699999999999</v>
      </c>
      <c r="X84" s="97">
        <v>0.18893599999999999</v>
      </c>
      <c r="Y84" s="97">
        <v>0.187697</v>
      </c>
      <c r="Z84" s="97">
        <v>0.186858</v>
      </c>
      <c r="AA84" s="97">
        <v>0.18615999999999999</v>
      </c>
      <c r="AB84" s="97">
        <v>0.185692</v>
      </c>
      <c r="AC84" s="97">
        <v>0.18520400000000001</v>
      </c>
      <c r="AD84" s="97">
        <v>0.18476899999999999</v>
      </c>
      <c r="AE84" s="97">
        <v>0.18436900000000001</v>
      </c>
      <c r="AF84" s="97">
        <v>0.18429899999999999</v>
      </c>
      <c r="AG84" s="93">
        <v>-3.2369999999999999E-3</v>
      </c>
    </row>
    <row r="85" spans="1:33" ht="15" customHeight="1" x14ac:dyDescent="0.35">
      <c r="A85" s="92" t="s">
        <v>111</v>
      </c>
      <c r="B85" s="95" t="s">
        <v>2745</v>
      </c>
      <c r="C85" s="97">
        <v>3.6983000000000002E-2</v>
      </c>
      <c r="D85" s="97">
        <v>3.7259E-2</v>
      </c>
      <c r="E85" s="97">
        <v>3.7506999999999999E-2</v>
      </c>
      <c r="F85" s="97">
        <v>3.7760000000000002E-2</v>
      </c>
      <c r="G85" s="97">
        <v>3.8008E-2</v>
      </c>
      <c r="H85" s="97">
        <v>3.8244E-2</v>
      </c>
      <c r="I85" s="97">
        <v>3.8471999999999999E-2</v>
      </c>
      <c r="J85" s="97">
        <v>3.8712999999999997E-2</v>
      </c>
      <c r="K85" s="97">
        <v>3.8960000000000002E-2</v>
      </c>
      <c r="L85" s="97">
        <v>3.9227999999999999E-2</v>
      </c>
      <c r="M85" s="97">
        <v>3.9495000000000002E-2</v>
      </c>
      <c r="N85" s="97">
        <v>3.9780999999999997E-2</v>
      </c>
      <c r="O85" s="97">
        <v>4.0072000000000003E-2</v>
      </c>
      <c r="P85" s="97">
        <v>4.0356000000000003E-2</v>
      </c>
      <c r="Q85" s="97">
        <v>4.0635999999999999E-2</v>
      </c>
      <c r="R85" s="97">
        <v>4.0911999999999997E-2</v>
      </c>
      <c r="S85" s="97">
        <v>4.1188000000000002E-2</v>
      </c>
      <c r="T85" s="97">
        <v>4.1466000000000003E-2</v>
      </c>
      <c r="U85" s="97">
        <v>4.1744000000000003E-2</v>
      </c>
      <c r="V85" s="97">
        <v>4.2023999999999999E-2</v>
      </c>
      <c r="W85" s="97">
        <v>4.2299999999999997E-2</v>
      </c>
      <c r="X85" s="97">
        <v>4.2569000000000003E-2</v>
      </c>
      <c r="Y85" s="97">
        <v>4.2833000000000003E-2</v>
      </c>
      <c r="Z85" s="97">
        <v>4.3091999999999998E-2</v>
      </c>
      <c r="AA85" s="97">
        <v>4.3347999999999998E-2</v>
      </c>
      <c r="AB85" s="97">
        <v>4.36E-2</v>
      </c>
      <c r="AC85" s="97">
        <v>4.3848999999999999E-2</v>
      </c>
      <c r="AD85" s="97">
        <v>4.4091999999999999E-2</v>
      </c>
      <c r="AE85" s="97">
        <v>4.4331000000000002E-2</v>
      </c>
      <c r="AF85" s="97">
        <v>4.4566000000000001E-2</v>
      </c>
      <c r="AG85" s="93">
        <v>6.4520000000000003E-3</v>
      </c>
    </row>
    <row r="86" spans="1:33" ht="15" customHeight="1" x14ac:dyDescent="0.35">
      <c r="A86" s="92" t="s">
        <v>112</v>
      </c>
      <c r="B86" s="95" t="s">
        <v>2746</v>
      </c>
      <c r="C86" s="97">
        <v>2.7088999999999998E-2</v>
      </c>
      <c r="D86" s="97">
        <v>2.7503E-2</v>
      </c>
      <c r="E86" s="97">
        <v>2.7888E-2</v>
      </c>
      <c r="F86" s="97">
        <v>2.8265999999999999E-2</v>
      </c>
      <c r="G86" s="97">
        <v>2.8629999999999999E-2</v>
      </c>
      <c r="H86" s="97">
        <v>2.8972000000000001E-2</v>
      </c>
      <c r="I86" s="97">
        <v>2.9294000000000001E-2</v>
      </c>
      <c r="J86" s="97">
        <v>2.9659999999999999E-2</v>
      </c>
      <c r="K86" s="97">
        <v>3.0065000000000001E-2</v>
      </c>
      <c r="L86" s="97">
        <v>3.0504E-2</v>
      </c>
      <c r="M86" s="97">
        <v>3.0976E-2</v>
      </c>
      <c r="N86" s="97">
        <v>3.1502000000000002E-2</v>
      </c>
      <c r="O86" s="97">
        <v>3.2071000000000002E-2</v>
      </c>
      <c r="P86" s="97">
        <v>3.2677999999999999E-2</v>
      </c>
      <c r="Q86" s="97">
        <v>3.3278000000000002E-2</v>
      </c>
      <c r="R86" s="97">
        <v>3.3873E-2</v>
      </c>
      <c r="S86" s="97">
        <v>3.4467999999999999E-2</v>
      </c>
      <c r="T86" s="97">
        <v>3.5062999999999997E-2</v>
      </c>
      <c r="U86" s="97">
        <v>3.5658000000000002E-2</v>
      </c>
      <c r="V86" s="97">
        <v>3.6253000000000001E-2</v>
      </c>
      <c r="W86" s="97">
        <v>3.6844000000000002E-2</v>
      </c>
      <c r="X86" s="97">
        <v>3.7429999999999998E-2</v>
      </c>
      <c r="Y86" s="97">
        <v>3.8011999999999997E-2</v>
      </c>
      <c r="Z86" s="97">
        <v>3.8589999999999999E-2</v>
      </c>
      <c r="AA86" s="97">
        <v>3.9163999999999997E-2</v>
      </c>
      <c r="AB86" s="97">
        <v>3.9734999999999999E-2</v>
      </c>
      <c r="AC86" s="97">
        <v>4.0302999999999999E-2</v>
      </c>
      <c r="AD86" s="97">
        <v>4.0866E-2</v>
      </c>
      <c r="AE86" s="97">
        <v>4.1425999999999998E-2</v>
      </c>
      <c r="AF86" s="97">
        <v>4.1980000000000003E-2</v>
      </c>
      <c r="AG86" s="93">
        <v>1.5221E-2</v>
      </c>
    </row>
    <row r="87" spans="1:33" ht="15" customHeight="1" x14ac:dyDescent="0.35">
      <c r="A87" s="92" t="s">
        <v>113</v>
      </c>
      <c r="B87" s="95" t="s">
        <v>2747</v>
      </c>
      <c r="C87" s="97">
        <v>0.19058900000000001</v>
      </c>
      <c r="D87" s="97">
        <v>0.18588499999999999</v>
      </c>
      <c r="E87" s="97">
        <v>0.18157300000000001</v>
      </c>
      <c r="F87" s="97">
        <v>0.177533</v>
      </c>
      <c r="G87" s="97">
        <v>0.173564</v>
      </c>
      <c r="H87" s="97">
        <v>0.16933100000000001</v>
      </c>
      <c r="I87" s="97">
        <v>0.16511300000000001</v>
      </c>
      <c r="J87" s="97">
        <v>0.16119700000000001</v>
      </c>
      <c r="K87" s="97">
        <v>0.15751399999999999</v>
      </c>
      <c r="L87" s="97">
        <v>0.15406400000000001</v>
      </c>
      <c r="M87" s="97">
        <v>0.15079200000000001</v>
      </c>
      <c r="N87" s="97">
        <v>0.147725</v>
      </c>
      <c r="O87" s="97">
        <v>0.14485999999999999</v>
      </c>
      <c r="P87" s="97">
        <v>0.142206</v>
      </c>
      <c r="Q87" s="97">
        <v>0.14000699999999999</v>
      </c>
      <c r="R87" s="97">
        <v>0.13813600000000001</v>
      </c>
      <c r="S87" s="97">
        <v>0.136488</v>
      </c>
      <c r="T87" s="97">
        <v>0.135023</v>
      </c>
      <c r="U87" s="97">
        <v>0.13378000000000001</v>
      </c>
      <c r="V87" s="97">
        <v>0.13266700000000001</v>
      </c>
      <c r="W87" s="97">
        <v>0.13175500000000001</v>
      </c>
      <c r="X87" s="97">
        <v>0.13100999999999999</v>
      </c>
      <c r="Y87" s="97">
        <v>0.13051299999999999</v>
      </c>
      <c r="Z87" s="97">
        <v>0.130242</v>
      </c>
      <c r="AA87" s="97">
        <v>0.130137</v>
      </c>
      <c r="AB87" s="97">
        <v>0.13028100000000001</v>
      </c>
      <c r="AC87" s="97">
        <v>0.13052900000000001</v>
      </c>
      <c r="AD87" s="97">
        <v>0.13089000000000001</v>
      </c>
      <c r="AE87" s="97">
        <v>0.131355</v>
      </c>
      <c r="AF87" s="97">
        <v>0.131991</v>
      </c>
      <c r="AG87" s="93">
        <v>-1.2588999999999999E-2</v>
      </c>
    </row>
    <row r="88" spans="1:33" ht="15" customHeight="1" x14ac:dyDescent="0.35">
      <c r="A88" s="92" t="s">
        <v>114</v>
      </c>
      <c r="B88" s="95" t="s">
        <v>2748</v>
      </c>
      <c r="C88" s="97">
        <v>0.12254</v>
      </c>
      <c r="D88" s="97">
        <v>0.120642</v>
      </c>
      <c r="E88" s="97">
        <v>0.118626</v>
      </c>
      <c r="F88" s="97">
        <v>0.11645999999999999</v>
      </c>
      <c r="G88" s="97">
        <v>0.11401799999999999</v>
      </c>
      <c r="H88" s="97">
        <v>0.111151</v>
      </c>
      <c r="I88" s="97">
        <v>0.108074</v>
      </c>
      <c r="J88" s="97">
        <v>0.105006</v>
      </c>
      <c r="K88" s="97">
        <v>0.101909</v>
      </c>
      <c r="L88" s="97">
        <v>9.8815E-2</v>
      </c>
      <c r="M88" s="97">
        <v>9.5691999999999999E-2</v>
      </c>
      <c r="N88" s="97">
        <v>9.2605000000000007E-2</v>
      </c>
      <c r="O88" s="97">
        <v>8.9555999999999997E-2</v>
      </c>
      <c r="P88" s="97">
        <v>8.6572999999999997E-2</v>
      </c>
      <c r="Q88" s="97">
        <v>8.3811999999999998E-2</v>
      </c>
      <c r="R88" s="97">
        <v>8.1226999999999994E-2</v>
      </c>
      <c r="S88" s="97">
        <v>7.8728999999999993E-2</v>
      </c>
      <c r="T88" s="97">
        <v>7.6351000000000002E-2</v>
      </c>
      <c r="U88" s="97">
        <v>7.4117000000000002E-2</v>
      </c>
      <c r="V88" s="97">
        <v>7.1984999999999993E-2</v>
      </c>
      <c r="W88" s="97">
        <v>7.0014999999999994E-2</v>
      </c>
      <c r="X88" s="97">
        <v>6.8220000000000003E-2</v>
      </c>
      <c r="Y88" s="97">
        <v>6.6650000000000001E-2</v>
      </c>
      <c r="Z88" s="97">
        <v>6.5319000000000002E-2</v>
      </c>
      <c r="AA88" s="97">
        <v>6.4184000000000005E-2</v>
      </c>
      <c r="AB88" s="97">
        <v>6.3372999999999999E-2</v>
      </c>
      <c r="AC88" s="97">
        <v>6.2765000000000001E-2</v>
      </c>
      <c r="AD88" s="97">
        <v>6.2357000000000003E-2</v>
      </c>
      <c r="AE88" s="97">
        <v>6.2153E-2</v>
      </c>
      <c r="AF88" s="97">
        <v>6.2146E-2</v>
      </c>
      <c r="AG88" s="93">
        <v>-2.3140000000000001E-2</v>
      </c>
    </row>
    <row r="89" spans="1:33" ht="15" customHeight="1" x14ac:dyDescent="0.35">
      <c r="A89" s="92" t="s">
        <v>115</v>
      </c>
      <c r="B89" s="95" t="s">
        <v>116</v>
      </c>
      <c r="C89" s="97">
        <v>8.1726999999999994E-2</v>
      </c>
      <c r="D89" s="97">
        <v>8.6350999999999997E-2</v>
      </c>
      <c r="E89" s="97">
        <v>8.1643999999999994E-2</v>
      </c>
      <c r="F89" s="97">
        <v>8.2217999999999999E-2</v>
      </c>
      <c r="G89" s="97">
        <v>8.2794999999999994E-2</v>
      </c>
      <c r="H89" s="97">
        <v>8.3181000000000005E-2</v>
      </c>
      <c r="I89" s="97">
        <v>8.3486000000000005E-2</v>
      </c>
      <c r="J89" s="97">
        <v>8.3602999999999997E-2</v>
      </c>
      <c r="K89" s="97">
        <v>8.3548999999999998E-2</v>
      </c>
      <c r="L89" s="97">
        <v>8.3384E-2</v>
      </c>
      <c r="M89" s="97">
        <v>8.3085999999999993E-2</v>
      </c>
      <c r="N89" s="97">
        <v>8.2588999999999996E-2</v>
      </c>
      <c r="O89" s="97">
        <v>8.1886E-2</v>
      </c>
      <c r="P89" s="97">
        <v>8.1034999999999996E-2</v>
      </c>
      <c r="Q89" s="97">
        <v>8.0085000000000003E-2</v>
      </c>
      <c r="R89" s="97">
        <v>7.9031000000000004E-2</v>
      </c>
      <c r="S89" s="97">
        <v>7.7850000000000003E-2</v>
      </c>
      <c r="T89" s="97">
        <v>7.6550000000000007E-2</v>
      </c>
      <c r="U89" s="97">
        <v>7.5212000000000001E-2</v>
      </c>
      <c r="V89" s="97">
        <v>7.3925000000000005E-2</v>
      </c>
      <c r="W89" s="97">
        <v>7.2672E-2</v>
      </c>
      <c r="X89" s="97">
        <v>7.1480000000000002E-2</v>
      </c>
      <c r="Y89" s="97">
        <v>7.0406999999999997E-2</v>
      </c>
      <c r="Z89" s="97">
        <v>6.9449999999999998E-2</v>
      </c>
      <c r="AA89" s="97">
        <v>6.8598000000000006E-2</v>
      </c>
      <c r="AB89" s="97">
        <v>6.7849999999999994E-2</v>
      </c>
      <c r="AC89" s="97">
        <v>6.7191000000000001E-2</v>
      </c>
      <c r="AD89" s="97">
        <v>6.6628000000000007E-2</v>
      </c>
      <c r="AE89" s="97">
        <v>6.6155000000000005E-2</v>
      </c>
      <c r="AF89" s="97">
        <v>6.5777000000000002E-2</v>
      </c>
      <c r="AG89" s="93">
        <v>-7.4590000000000004E-3</v>
      </c>
    </row>
    <row r="90" spans="1:33" ht="15" customHeight="1" x14ac:dyDescent="0.35">
      <c r="A90" s="92" t="s">
        <v>117</v>
      </c>
      <c r="B90" s="95" t="s">
        <v>2749</v>
      </c>
      <c r="C90" s="97">
        <v>2.0863679999999998</v>
      </c>
      <c r="D90" s="97">
        <v>2.0457679999999998</v>
      </c>
      <c r="E90" s="97">
        <v>2.0896919999999999</v>
      </c>
      <c r="F90" s="97">
        <v>2.1236329999999999</v>
      </c>
      <c r="G90" s="97">
        <v>2.1578330000000001</v>
      </c>
      <c r="H90" s="97">
        <v>2.1886969999999999</v>
      </c>
      <c r="I90" s="97">
        <v>2.2162510000000002</v>
      </c>
      <c r="J90" s="97">
        <v>2.2462300000000002</v>
      </c>
      <c r="K90" s="97">
        <v>2.2761779999999998</v>
      </c>
      <c r="L90" s="97">
        <v>2.3067069999999998</v>
      </c>
      <c r="M90" s="97">
        <v>2.3363619999999998</v>
      </c>
      <c r="N90" s="97">
        <v>2.366425</v>
      </c>
      <c r="O90" s="97">
        <v>2.397418</v>
      </c>
      <c r="P90" s="97">
        <v>2.4272399999999998</v>
      </c>
      <c r="Q90" s="97">
        <v>2.459724</v>
      </c>
      <c r="R90" s="97">
        <v>2.4944160000000002</v>
      </c>
      <c r="S90" s="97">
        <v>2.5305749999999998</v>
      </c>
      <c r="T90" s="97">
        <v>2.5670660000000001</v>
      </c>
      <c r="U90" s="97">
        <v>2.604403</v>
      </c>
      <c r="V90" s="97">
        <v>2.6412170000000001</v>
      </c>
      <c r="W90" s="97">
        <v>2.6770930000000002</v>
      </c>
      <c r="X90" s="97">
        <v>2.7139540000000002</v>
      </c>
      <c r="Y90" s="97">
        <v>2.751986</v>
      </c>
      <c r="Z90" s="97">
        <v>2.7910699999999999</v>
      </c>
      <c r="AA90" s="97">
        <v>2.8311139999999999</v>
      </c>
      <c r="AB90" s="97">
        <v>2.87392</v>
      </c>
      <c r="AC90" s="97">
        <v>2.917173</v>
      </c>
      <c r="AD90" s="97">
        <v>2.96157</v>
      </c>
      <c r="AE90" s="97">
        <v>3.0077389999999999</v>
      </c>
      <c r="AF90" s="97">
        <v>3.0583819999999999</v>
      </c>
      <c r="AG90" s="93">
        <v>1.3276E-2</v>
      </c>
    </row>
    <row r="91" spans="1:33" ht="15" customHeight="1" x14ac:dyDescent="0.3">
      <c r="A91" s="92" t="s">
        <v>2750</v>
      </c>
      <c r="B91" s="91" t="s">
        <v>2751</v>
      </c>
      <c r="C91" s="96">
        <v>11.551346000000001</v>
      </c>
      <c r="D91" s="96">
        <v>11.573475999999999</v>
      </c>
      <c r="E91" s="96">
        <v>11.539688</v>
      </c>
      <c r="F91" s="96">
        <v>11.576233999999999</v>
      </c>
      <c r="G91" s="96">
        <v>11.614405</v>
      </c>
      <c r="H91" s="96">
        <v>11.634548000000001</v>
      </c>
      <c r="I91" s="96">
        <v>11.642229</v>
      </c>
      <c r="J91" s="96">
        <v>11.645496</v>
      </c>
      <c r="K91" s="96">
        <v>11.642771</v>
      </c>
      <c r="L91" s="96">
        <v>11.639153</v>
      </c>
      <c r="M91" s="96">
        <v>11.638062</v>
      </c>
      <c r="N91" s="96">
        <v>11.638413</v>
      </c>
      <c r="O91" s="96">
        <v>11.641349</v>
      </c>
      <c r="P91" s="96">
        <v>11.648254</v>
      </c>
      <c r="Q91" s="96">
        <v>11.669105</v>
      </c>
      <c r="R91" s="96">
        <v>11.699512</v>
      </c>
      <c r="S91" s="96">
        <v>11.734348000000001</v>
      </c>
      <c r="T91" s="96">
        <v>11.769564000000001</v>
      </c>
      <c r="U91" s="96">
        <v>11.8056</v>
      </c>
      <c r="V91" s="96">
        <v>11.838881000000001</v>
      </c>
      <c r="W91" s="96">
        <v>11.871727999999999</v>
      </c>
      <c r="X91" s="96">
        <v>11.908151999999999</v>
      </c>
      <c r="Y91" s="96">
        <v>11.951174999999999</v>
      </c>
      <c r="Z91" s="96">
        <v>11.998811999999999</v>
      </c>
      <c r="AA91" s="96">
        <v>12.046920999999999</v>
      </c>
      <c r="AB91" s="96">
        <v>12.100917000000001</v>
      </c>
      <c r="AC91" s="96">
        <v>12.153995</v>
      </c>
      <c r="AD91" s="96">
        <v>12.208019999999999</v>
      </c>
      <c r="AE91" s="96">
        <v>12.262948</v>
      </c>
      <c r="AF91" s="96">
        <v>12.323603</v>
      </c>
      <c r="AG91" s="89">
        <v>2.2339999999999999E-3</v>
      </c>
    </row>
    <row r="92" spans="1:33" ht="14.5" x14ac:dyDescent="0.35">
      <c r="A92" s="92" t="s">
        <v>2752</v>
      </c>
      <c r="B92" s="95" t="s">
        <v>2753</v>
      </c>
      <c r="C92" s="97">
        <v>9.6773999999999999E-2</v>
      </c>
      <c r="D92" s="97">
        <v>0.10704900000000001</v>
      </c>
      <c r="E92" s="97">
        <v>0.117365</v>
      </c>
      <c r="F92" s="97">
        <v>0.125197</v>
      </c>
      <c r="G92" s="97">
        <v>0.13267799999999999</v>
      </c>
      <c r="H92" s="97">
        <v>0.14006299999999999</v>
      </c>
      <c r="I92" s="97">
        <v>0.14744599999999999</v>
      </c>
      <c r="J92" s="97">
        <v>0.15514800000000001</v>
      </c>
      <c r="K92" s="97">
        <v>0.16309000000000001</v>
      </c>
      <c r="L92" s="97">
        <v>0.17113300000000001</v>
      </c>
      <c r="M92" s="97">
        <v>0.179503</v>
      </c>
      <c r="N92" s="97">
        <v>0.18815100000000001</v>
      </c>
      <c r="O92" s="97">
        <v>0.19745199999999999</v>
      </c>
      <c r="P92" s="97">
        <v>0.20738100000000001</v>
      </c>
      <c r="Q92" s="97">
        <v>0.21725800000000001</v>
      </c>
      <c r="R92" s="97">
        <v>0.227242</v>
      </c>
      <c r="S92" s="97">
        <v>0.23796500000000001</v>
      </c>
      <c r="T92" s="97">
        <v>0.2487</v>
      </c>
      <c r="U92" s="97">
        <v>0.25990799999999997</v>
      </c>
      <c r="V92" s="97">
        <v>0.27201700000000001</v>
      </c>
      <c r="W92" s="97">
        <v>0.28448499999999999</v>
      </c>
      <c r="X92" s="97">
        <v>0.29792400000000002</v>
      </c>
      <c r="Y92" s="97">
        <v>0.31203399999999998</v>
      </c>
      <c r="Z92" s="97">
        <v>0.326403</v>
      </c>
      <c r="AA92" s="97">
        <v>0.34159400000000001</v>
      </c>
      <c r="AB92" s="97">
        <v>0.35733300000000001</v>
      </c>
      <c r="AC92" s="97">
        <v>0.37381300000000001</v>
      </c>
      <c r="AD92" s="97">
        <v>0.39113999999999999</v>
      </c>
      <c r="AE92" s="97">
        <v>0.40933199999999997</v>
      </c>
      <c r="AF92" s="97">
        <v>0.42791299999999999</v>
      </c>
      <c r="AG92" s="93">
        <v>5.2596999999999998E-2</v>
      </c>
    </row>
    <row r="93" spans="1:33" ht="15" customHeight="1" x14ac:dyDescent="0.3">
      <c r="A93" s="92" t="s">
        <v>118</v>
      </c>
      <c r="B93" s="91" t="s">
        <v>2754</v>
      </c>
      <c r="C93" s="96">
        <v>11.454572000000001</v>
      </c>
      <c r="D93" s="96">
        <v>11.466426999999999</v>
      </c>
      <c r="E93" s="96">
        <v>11.422323</v>
      </c>
      <c r="F93" s="96">
        <v>11.451036999999999</v>
      </c>
      <c r="G93" s="96">
        <v>11.481726999999999</v>
      </c>
      <c r="H93" s="96">
        <v>11.494484999999999</v>
      </c>
      <c r="I93" s="96">
        <v>11.494783</v>
      </c>
      <c r="J93" s="96">
        <v>11.490349</v>
      </c>
      <c r="K93" s="96">
        <v>11.479680999999999</v>
      </c>
      <c r="L93" s="96">
        <v>11.468021</v>
      </c>
      <c r="M93" s="96">
        <v>11.458558999999999</v>
      </c>
      <c r="N93" s="96">
        <v>11.450262</v>
      </c>
      <c r="O93" s="96">
        <v>11.443897</v>
      </c>
      <c r="P93" s="96">
        <v>11.440873</v>
      </c>
      <c r="Q93" s="96">
        <v>11.451846</v>
      </c>
      <c r="R93" s="96">
        <v>11.47227</v>
      </c>
      <c r="S93" s="96">
        <v>11.496383</v>
      </c>
      <c r="T93" s="96">
        <v>11.520864</v>
      </c>
      <c r="U93" s="96">
        <v>11.545692000000001</v>
      </c>
      <c r="V93" s="96">
        <v>11.566865</v>
      </c>
      <c r="W93" s="96">
        <v>11.587243000000001</v>
      </c>
      <c r="X93" s="96">
        <v>11.610227999999999</v>
      </c>
      <c r="Y93" s="96">
        <v>11.639139999999999</v>
      </c>
      <c r="Z93" s="96">
        <v>11.672408000000001</v>
      </c>
      <c r="AA93" s="96">
        <v>11.705327</v>
      </c>
      <c r="AB93" s="96">
        <v>11.743584999999999</v>
      </c>
      <c r="AC93" s="96">
        <v>11.780181000000001</v>
      </c>
      <c r="AD93" s="96">
        <v>11.816879999999999</v>
      </c>
      <c r="AE93" s="96">
        <v>11.853616000000001</v>
      </c>
      <c r="AF93" s="96">
        <v>11.89569</v>
      </c>
      <c r="AG93" s="89">
        <v>1.304E-3</v>
      </c>
    </row>
    <row r="94" spans="1:33" ht="15" customHeight="1" x14ac:dyDescent="0.3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</row>
    <row r="95" spans="1:33" ht="15" customHeight="1" x14ac:dyDescent="0.3">
      <c r="A95" s="92" t="s">
        <v>119</v>
      </c>
      <c r="B95" s="91" t="s">
        <v>120</v>
      </c>
      <c r="C95" s="96">
        <v>9.377542</v>
      </c>
      <c r="D95" s="96">
        <v>9.1963310000000007</v>
      </c>
      <c r="E95" s="96">
        <v>9.3147649999999995</v>
      </c>
      <c r="F95" s="96">
        <v>9.184469</v>
      </c>
      <c r="G95" s="96">
        <v>9.0870949999999997</v>
      </c>
      <c r="H95" s="96">
        <v>9.0249279999999992</v>
      </c>
      <c r="I95" s="96">
        <v>8.956861</v>
      </c>
      <c r="J95" s="96">
        <v>8.8754849999999994</v>
      </c>
      <c r="K95" s="96">
        <v>8.864312</v>
      </c>
      <c r="L95" s="96">
        <v>8.8607410000000009</v>
      </c>
      <c r="M95" s="96">
        <v>8.8675859999999993</v>
      </c>
      <c r="N95" s="96">
        <v>8.8757260000000002</v>
      </c>
      <c r="O95" s="96">
        <v>8.8423300000000005</v>
      </c>
      <c r="P95" s="96">
        <v>8.8421749999999992</v>
      </c>
      <c r="Q95" s="96">
        <v>8.8506970000000003</v>
      </c>
      <c r="R95" s="96">
        <v>8.8824009999999998</v>
      </c>
      <c r="S95" s="96">
        <v>8.9188469999999995</v>
      </c>
      <c r="T95" s="96">
        <v>8.9518529999999998</v>
      </c>
      <c r="U95" s="96">
        <v>9.0008339999999993</v>
      </c>
      <c r="V95" s="96">
        <v>9.0408740000000005</v>
      </c>
      <c r="W95" s="96">
        <v>9.0822369999999992</v>
      </c>
      <c r="X95" s="96">
        <v>9.1199980000000007</v>
      </c>
      <c r="Y95" s="96">
        <v>9.1570750000000007</v>
      </c>
      <c r="Z95" s="96">
        <v>9.2039639999999991</v>
      </c>
      <c r="AA95" s="96">
        <v>9.2492990000000006</v>
      </c>
      <c r="AB95" s="96">
        <v>9.2903389999999995</v>
      </c>
      <c r="AC95" s="96">
        <v>9.3359839999999998</v>
      </c>
      <c r="AD95" s="96">
        <v>9.39344</v>
      </c>
      <c r="AE95" s="96">
        <v>9.4465240000000001</v>
      </c>
      <c r="AF95" s="96">
        <v>9.5187679999999997</v>
      </c>
      <c r="AG95" s="89">
        <v>5.1599999999999997E-4</v>
      </c>
    </row>
    <row r="96" spans="1:33" ht="15" customHeight="1" x14ac:dyDescent="0.3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</row>
    <row r="97" spans="1:33" ht="15" customHeight="1" x14ac:dyDescent="0.35">
      <c r="B97" s="91" t="s">
        <v>2755</v>
      </c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</row>
    <row r="98" spans="1:33" ht="15" customHeight="1" x14ac:dyDescent="0.35">
      <c r="A98" s="92" t="s">
        <v>122</v>
      </c>
      <c r="B98" s="95" t="s">
        <v>96</v>
      </c>
      <c r="C98" s="97">
        <v>6.7396729999999998</v>
      </c>
      <c r="D98" s="97">
        <v>6.9052930000000003</v>
      </c>
      <c r="E98" s="97">
        <v>6.6020500000000002</v>
      </c>
      <c r="F98" s="97">
        <v>6.5519759999999998</v>
      </c>
      <c r="G98" s="97">
        <v>6.5068700000000002</v>
      </c>
      <c r="H98" s="97">
        <v>6.4556680000000002</v>
      </c>
      <c r="I98" s="97">
        <v>6.3968670000000003</v>
      </c>
      <c r="J98" s="97">
        <v>6.3294779999999999</v>
      </c>
      <c r="K98" s="97">
        <v>6.2651849999999998</v>
      </c>
      <c r="L98" s="97">
        <v>6.2012489999999998</v>
      </c>
      <c r="M98" s="97">
        <v>6.1406330000000002</v>
      </c>
      <c r="N98" s="97">
        <v>6.0802319999999996</v>
      </c>
      <c r="O98" s="97">
        <v>6.0147589999999997</v>
      </c>
      <c r="P98" s="97">
        <v>5.9564769999999996</v>
      </c>
      <c r="Q98" s="97">
        <v>5.9042190000000003</v>
      </c>
      <c r="R98" s="97">
        <v>5.8576750000000004</v>
      </c>
      <c r="S98" s="97">
        <v>5.8124390000000004</v>
      </c>
      <c r="T98" s="97">
        <v>5.7674599999999998</v>
      </c>
      <c r="U98" s="97">
        <v>5.7237419999999997</v>
      </c>
      <c r="V98" s="97">
        <v>5.6822499999999998</v>
      </c>
      <c r="W98" s="97">
        <v>5.6400940000000004</v>
      </c>
      <c r="X98" s="97">
        <v>5.5986269999999996</v>
      </c>
      <c r="Y98" s="97">
        <v>5.5594530000000004</v>
      </c>
      <c r="Z98" s="97">
        <v>5.5223120000000003</v>
      </c>
      <c r="AA98" s="97">
        <v>5.4839060000000002</v>
      </c>
      <c r="AB98" s="97">
        <v>5.4454200000000004</v>
      </c>
      <c r="AC98" s="97">
        <v>5.4056889999999997</v>
      </c>
      <c r="AD98" s="97">
        <v>5.3658999999999999</v>
      </c>
      <c r="AE98" s="97">
        <v>5.3247559999999998</v>
      </c>
      <c r="AF98" s="97">
        <v>5.2845560000000003</v>
      </c>
      <c r="AG98" s="93">
        <v>-8.352E-3</v>
      </c>
    </row>
    <row r="99" spans="1:33" ht="15" customHeight="1" x14ac:dyDescent="0.35">
      <c r="A99" s="92" t="s">
        <v>123</v>
      </c>
      <c r="B99" s="95" t="s">
        <v>98</v>
      </c>
      <c r="C99" s="97">
        <v>2.3368630000000001</v>
      </c>
      <c r="D99" s="97">
        <v>2.1514389999999999</v>
      </c>
      <c r="E99" s="97">
        <v>2.52176</v>
      </c>
      <c r="F99" s="97">
        <v>2.5312800000000002</v>
      </c>
      <c r="G99" s="97">
        <v>2.5477259999999999</v>
      </c>
      <c r="H99" s="97">
        <v>2.5694539999999999</v>
      </c>
      <c r="I99" s="97">
        <v>2.5867260000000001</v>
      </c>
      <c r="J99" s="97">
        <v>2.6001099999999999</v>
      </c>
      <c r="K99" s="97">
        <v>2.6248550000000002</v>
      </c>
      <c r="L99" s="97">
        <v>2.6524160000000001</v>
      </c>
      <c r="M99" s="97">
        <v>2.6837740000000001</v>
      </c>
      <c r="N99" s="97">
        <v>2.717355</v>
      </c>
      <c r="O99" s="97">
        <v>2.7444090000000001</v>
      </c>
      <c r="P99" s="97">
        <v>2.779026</v>
      </c>
      <c r="Q99" s="97">
        <v>2.8184100000000001</v>
      </c>
      <c r="R99" s="97">
        <v>2.8649580000000001</v>
      </c>
      <c r="S99" s="97">
        <v>2.9154779999999998</v>
      </c>
      <c r="T99" s="97">
        <v>2.9641009999999999</v>
      </c>
      <c r="U99" s="97">
        <v>3.0159750000000001</v>
      </c>
      <c r="V99" s="97">
        <v>3.065741</v>
      </c>
      <c r="W99" s="97">
        <v>3.116555</v>
      </c>
      <c r="X99" s="97">
        <v>3.1670950000000002</v>
      </c>
      <c r="Y99" s="97">
        <v>3.2186360000000001</v>
      </c>
      <c r="Z99" s="97">
        <v>3.2731140000000001</v>
      </c>
      <c r="AA99" s="97">
        <v>3.3263199999999999</v>
      </c>
      <c r="AB99" s="97">
        <v>3.3796059999999999</v>
      </c>
      <c r="AC99" s="97">
        <v>3.4338289999999998</v>
      </c>
      <c r="AD99" s="97">
        <v>3.4912860000000001</v>
      </c>
      <c r="AE99" s="97">
        <v>3.5469650000000001</v>
      </c>
      <c r="AF99" s="97">
        <v>3.606249</v>
      </c>
      <c r="AG99" s="93">
        <v>1.5073E-2</v>
      </c>
    </row>
    <row r="100" spans="1:33" ht="15" customHeight="1" x14ac:dyDescent="0.35">
      <c r="A100" s="92" t="s">
        <v>124</v>
      </c>
      <c r="B100" s="95" t="s">
        <v>100</v>
      </c>
      <c r="C100" s="97">
        <v>2.8115770000000002</v>
      </c>
      <c r="D100" s="97">
        <v>2.8080129999999999</v>
      </c>
      <c r="E100" s="97">
        <v>2.7991739999999998</v>
      </c>
      <c r="F100" s="97">
        <v>2.7877550000000002</v>
      </c>
      <c r="G100" s="97">
        <v>2.7816000000000001</v>
      </c>
      <c r="H100" s="97">
        <v>2.7768760000000001</v>
      </c>
      <c r="I100" s="97">
        <v>2.7713960000000002</v>
      </c>
      <c r="J100" s="97">
        <v>2.7624559999999998</v>
      </c>
      <c r="K100" s="97">
        <v>2.7609279999999998</v>
      </c>
      <c r="L100" s="97">
        <v>2.761568</v>
      </c>
      <c r="M100" s="97">
        <v>2.7633760000000001</v>
      </c>
      <c r="N100" s="97">
        <v>2.7635999999999998</v>
      </c>
      <c r="O100" s="97">
        <v>2.759204</v>
      </c>
      <c r="P100" s="97">
        <v>2.7598889999999998</v>
      </c>
      <c r="Q100" s="97">
        <v>2.7639860000000001</v>
      </c>
      <c r="R100" s="97">
        <v>2.7716599999999998</v>
      </c>
      <c r="S100" s="97">
        <v>2.7794080000000001</v>
      </c>
      <c r="T100" s="97">
        <v>2.7859500000000001</v>
      </c>
      <c r="U100" s="97">
        <v>2.7928649999999999</v>
      </c>
      <c r="V100" s="97">
        <v>2.7981099999999999</v>
      </c>
      <c r="W100" s="97">
        <v>2.8027479999999998</v>
      </c>
      <c r="X100" s="97">
        <v>2.8066200000000001</v>
      </c>
      <c r="Y100" s="97">
        <v>2.8114919999999999</v>
      </c>
      <c r="Z100" s="97">
        <v>2.817796</v>
      </c>
      <c r="AA100" s="97">
        <v>2.8239589999999999</v>
      </c>
      <c r="AB100" s="97">
        <v>2.8302830000000001</v>
      </c>
      <c r="AC100" s="97">
        <v>2.836954</v>
      </c>
      <c r="AD100" s="97">
        <v>2.8450000000000002</v>
      </c>
      <c r="AE100" s="97">
        <v>2.8524310000000002</v>
      </c>
      <c r="AF100" s="97">
        <v>2.8618929999999998</v>
      </c>
      <c r="AG100" s="93">
        <v>6.1200000000000002E-4</v>
      </c>
    </row>
    <row r="101" spans="1:33" ht="14.5" x14ac:dyDescent="0.35">
      <c r="A101" s="92" t="s">
        <v>125</v>
      </c>
      <c r="B101" s="95" t="s">
        <v>102</v>
      </c>
      <c r="C101" s="97">
        <v>0.84280699999999997</v>
      </c>
      <c r="D101" s="97">
        <v>0.837534</v>
      </c>
      <c r="E101" s="97">
        <v>0.82632799999999995</v>
      </c>
      <c r="F101" s="97">
        <v>0.81005400000000005</v>
      </c>
      <c r="G101" s="97">
        <v>0.796624</v>
      </c>
      <c r="H101" s="97">
        <v>0.78655900000000001</v>
      </c>
      <c r="I101" s="97">
        <v>0.77734400000000003</v>
      </c>
      <c r="J101" s="97">
        <v>0.76777700000000004</v>
      </c>
      <c r="K101" s="97">
        <v>0.76271199999999995</v>
      </c>
      <c r="L101" s="97">
        <v>0.75876200000000005</v>
      </c>
      <c r="M101" s="97">
        <v>0.75608200000000003</v>
      </c>
      <c r="N101" s="97">
        <v>0.75433499999999998</v>
      </c>
      <c r="O101" s="97">
        <v>0.75112400000000001</v>
      </c>
      <c r="P101" s="97">
        <v>0.75042299999999995</v>
      </c>
      <c r="Q101" s="97">
        <v>0.75024000000000002</v>
      </c>
      <c r="R101" s="97">
        <v>0.75156800000000001</v>
      </c>
      <c r="S101" s="97">
        <v>0.75370800000000004</v>
      </c>
      <c r="T101" s="97">
        <v>0.756525</v>
      </c>
      <c r="U101" s="97">
        <v>0.76092400000000004</v>
      </c>
      <c r="V101" s="97">
        <v>0.76615</v>
      </c>
      <c r="W101" s="97">
        <v>0.77215400000000001</v>
      </c>
      <c r="X101" s="97">
        <v>0.77848899999999999</v>
      </c>
      <c r="Y101" s="97">
        <v>0.78436600000000001</v>
      </c>
      <c r="Z101" s="97">
        <v>0.79037199999999996</v>
      </c>
      <c r="AA101" s="97">
        <v>0.79615499999999995</v>
      </c>
      <c r="AB101" s="97">
        <v>0.80107499999999998</v>
      </c>
      <c r="AC101" s="97">
        <v>0.80608800000000003</v>
      </c>
      <c r="AD101" s="97">
        <v>0.81137199999999998</v>
      </c>
      <c r="AE101" s="97">
        <v>0.81608199999999997</v>
      </c>
      <c r="AF101" s="97">
        <v>0.82101999999999997</v>
      </c>
      <c r="AG101" s="93">
        <v>-9.0300000000000005E-4</v>
      </c>
    </row>
    <row r="102" spans="1:33" ht="14.5" x14ac:dyDescent="0.35">
      <c r="A102" s="92" t="s">
        <v>126</v>
      </c>
      <c r="B102" s="95" t="s">
        <v>104</v>
      </c>
      <c r="C102" s="97">
        <v>0.277804</v>
      </c>
      <c r="D102" s="97">
        <v>0.27845500000000001</v>
      </c>
      <c r="E102" s="97">
        <v>0.27797500000000003</v>
      </c>
      <c r="F102" s="97">
        <v>0.27637800000000001</v>
      </c>
      <c r="G102" s="97">
        <v>0.275171</v>
      </c>
      <c r="H102" s="97">
        <v>0.27444000000000002</v>
      </c>
      <c r="I102" s="97">
        <v>0.27370299999999997</v>
      </c>
      <c r="J102" s="97">
        <v>0.27275899999999997</v>
      </c>
      <c r="K102" s="97">
        <v>0.27258300000000002</v>
      </c>
      <c r="L102" s="97">
        <v>0.272476</v>
      </c>
      <c r="M102" s="97">
        <v>0.27244000000000002</v>
      </c>
      <c r="N102" s="97">
        <v>0.272424</v>
      </c>
      <c r="O102" s="97">
        <v>0.27211600000000002</v>
      </c>
      <c r="P102" s="97">
        <v>0.27229399999999998</v>
      </c>
      <c r="Q102" s="97">
        <v>0.27257599999999998</v>
      </c>
      <c r="R102" s="97">
        <v>0.27317399999999997</v>
      </c>
      <c r="S102" s="97">
        <v>0.27397100000000002</v>
      </c>
      <c r="T102" s="97">
        <v>0.27473799999999998</v>
      </c>
      <c r="U102" s="97">
        <v>0.275675</v>
      </c>
      <c r="V102" s="97">
        <v>0.27662999999999999</v>
      </c>
      <c r="W102" s="97">
        <v>0.27758699999999997</v>
      </c>
      <c r="X102" s="97">
        <v>0.27846900000000002</v>
      </c>
      <c r="Y102" s="97">
        <v>0.27927800000000003</v>
      </c>
      <c r="Z102" s="97">
        <v>0.280136</v>
      </c>
      <c r="AA102" s="97">
        <v>0.28098099999999998</v>
      </c>
      <c r="AB102" s="97">
        <v>0.28169300000000003</v>
      </c>
      <c r="AC102" s="97">
        <v>0.28245900000000002</v>
      </c>
      <c r="AD102" s="97">
        <v>0.283306</v>
      </c>
      <c r="AE102" s="97">
        <v>0.284076</v>
      </c>
      <c r="AF102" s="97">
        <v>0.284918</v>
      </c>
      <c r="AG102" s="93">
        <v>8.7200000000000005E-4</v>
      </c>
    </row>
    <row r="103" spans="1:33" ht="15" customHeight="1" x14ac:dyDescent="0.35">
      <c r="A103" s="92" t="s">
        <v>127</v>
      </c>
      <c r="B103" s="95" t="s">
        <v>106</v>
      </c>
      <c r="C103" s="97">
        <v>0.66285799999999995</v>
      </c>
      <c r="D103" s="97">
        <v>0.67498899999999995</v>
      </c>
      <c r="E103" s="97">
        <v>0.68182200000000004</v>
      </c>
      <c r="F103" s="97">
        <v>0.68417499999999998</v>
      </c>
      <c r="G103" s="97">
        <v>0.68773600000000001</v>
      </c>
      <c r="H103" s="97">
        <v>0.691832</v>
      </c>
      <c r="I103" s="97">
        <v>0.69518000000000002</v>
      </c>
      <c r="J103" s="97">
        <v>0.69757599999999997</v>
      </c>
      <c r="K103" s="97">
        <v>0.70313300000000001</v>
      </c>
      <c r="L103" s="97">
        <v>0.70919100000000002</v>
      </c>
      <c r="M103" s="97">
        <v>0.71557099999999996</v>
      </c>
      <c r="N103" s="97">
        <v>0.72189199999999998</v>
      </c>
      <c r="O103" s="97">
        <v>0.72611400000000004</v>
      </c>
      <c r="P103" s="97">
        <v>0.73233899999999996</v>
      </c>
      <c r="Q103" s="97">
        <v>0.73949399999999998</v>
      </c>
      <c r="R103" s="97">
        <v>0.74806099999999998</v>
      </c>
      <c r="S103" s="97">
        <v>0.75656999999999996</v>
      </c>
      <c r="T103" s="97">
        <v>0.76457200000000003</v>
      </c>
      <c r="U103" s="97">
        <v>0.77319800000000005</v>
      </c>
      <c r="V103" s="97">
        <v>0.78129800000000005</v>
      </c>
      <c r="W103" s="97">
        <v>0.78935200000000005</v>
      </c>
      <c r="X103" s="97">
        <v>0.79685899999999998</v>
      </c>
      <c r="Y103" s="97">
        <v>0.80441700000000005</v>
      </c>
      <c r="Z103" s="97">
        <v>0.81230500000000005</v>
      </c>
      <c r="AA103" s="97">
        <v>0.81971899999999998</v>
      </c>
      <c r="AB103" s="97">
        <v>0.82691599999999998</v>
      </c>
      <c r="AC103" s="97">
        <v>0.83403099999999997</v>
      </c>
      <c r="AD103" s="97">
        <v>0.84163699999999997</v>
      </c>
      <c r="AE103" s="97">
        <v>0.84886300000000003</v>
      </c>
      <c r="AF103" s="97">
        <v>0.85694499999999996</v>
      </c>
      <c r="AG103" s="93">
        <v>8.8950000000000001E-3</v>
      </c>
    </row>
    <row r="104" spans="1:33" ht="15" customHeight="1" x14ac:dyDescent="0.35">
      <c r="A104" s="92" t="s">
        <v>128</v>
      </c>
      <c r="B104" s="95" t="s">
        <v>108</v>
      </c>
      <c r="C104" s="97">
        <v>0.196376</v>
      </c>
      <c r="D104" s="97">
        <v>0.195794</v>
      </c>
      <c r="E104" s="97">
        <v>0.193883</v>
      </c>
      <c r="F104" s="97">
        <v>0.190581</v>
      </c>
      <c r="G104" s="97">
        <v>0.187752</v>
      </c>
      <c r="H104" s="97">
        <v>0.185532</v>
      </c>
      <c r="I104" s="97">
        <v>0.18332100000000001</v>
      </c>
      <c r="J104" s="97">
        <v>0.180946</v>
      </c>
      <c r="K104" s="97">
        <v>0.17955099999999999</v>
      </c>
      <c r="L104" s="97">
        <v>0.17832899999999999</v>
      </c>
      <c r="M104" s="97">
        <v>0.17727499999999999</v>
      </c>
      <c r="N104" s="97">
        <v>0.176288</v>
      </c>
      <c r="O104" s="97">
        <v>0.17482600000000001</v>
      </c>
      <c r="P104" s="97">
        <v>0.17383100000000001</v>
      </c>
      <c r="Q104" s="97">
        <v>0.17283299999999999</v>
      </c>
      <c r="R104" s="97">
        <v>0.17208100000000001</v>
      </c>
      <c r="S104" s="97">
        <v>0.171408</v>
      </c>
      <c r="T104" s="97">
        <v>0.170794</v>
      </c>
      <c r="U104" s="97">
        <v>0.170457</v>
      </c>
      <c r="V104" s="97">
        <v>0.17022699999999999</v>
      </c>
      <c r="W104" s="97">
        <v>0.17011699999999999</v>
      </c>
      <c r="X104" s="97">
        <v>0.17003299999999999</v>
      </c>
      <c r="Y104" s="97">
        <v>0.16999400000000001</v>
      </c>
      <c r="Z104" s="97">
        <v>0.17014599999999999</v>
      </c>
      <c r="AA104" s="97">
        <v>0.17041600000000001</v>
      </c>
      <c r="AB104" s="97">
        <v>0.17067199999999999</v>
      </c>
      <c r="AC104" s="97">
        <v>0.171097</v>
      </c>
      <c r="AD104" s="97">
        <v>0.17161699999999999</v>
      </c>
      <c r="AE104" s="97">
        <v>0.17205200000000001</v>
      </c>
      <c r="AF104" s="97">
        <v>0.172573</v>
      </c>
      <c r="AG104" s="93">
        <v>-4.4460000000000003E-3</v>
      </c>
    </row>
    <row r="105" spans="1:33" ht="15" customHeight="1" x14ac:dyDescent="0.35">
      <c r="A105" s="92" t="s">
        <v>129</v>
      </c>
      <c r="B105" s="95" t="s">
        <v>110</v>
      </c>
      <c r="C105" s="97">
        <v>0.57584800000000003</v>
      </c>
      <c r="D105" s="97">
        <v>0.57133599999999996</v>
      </c>
      <c r="E105" s="97">
        <v>0.56688400000000005</v>
      </c>
      <c r="F105" s="97">
        <v>0.56043699999999996</v>
      </c>
      <c r="G105" s="97">
        <v>0.55148900000000001</v>
      </c>
      <c r="H105" s="97">
        <v>0.54432400000000003</v>
      </c>
      <c r="I105" s="97">
        <v>0.53900800000000004</v>
      </c>
      <c r="J105" s="97">
        <v>0.53487200000000001</v>
      </c>
      <c r="K105" s="97">
        <v>0.53420400000000001</v>
      </c>
      <c r="L105" s="97">
        <v>0.52744199999999997</v>
      </c>
      <c r="M105" s="97">
        <v>0.522509</v>
      </c>
      <c r="N105" s="97">
        <v>0.518598</v>
      </c>
      <c r="O105" s="97">
        <v>0.51389399999999996</v>
      </c>
      <c r="P105" s="97">
        <v>0.51139999999999997</v>
      </c>
      <c r="Q105" s="97">
        <v>0.51023099999999999</v>
      </c>
      <c r="R105" s="97">
        <v>0.51023799999999997</v>
      </c>
      <c r="S105" s="97">
        <v>0.51034199999999996</v>
      </c>
      <c r="T105" s="97">
        <v>0.510297</v>
      </c>
      <c r="U105" s="97">
        <v>0.51088</v>
      </c>
      <c r="V105" s="97">
        <v>0.50273299999999999</v>
      </c>
      <c r="W105" s="97">
        <v>0.49626100000000001</v>
      </c>
      <c r="X105" s="97">
        <v>0.49067899999999998</v>
      </c>
      <c r="Y105" s="97">
        <v>0.486321</v>
      </c>
      <c r="Z105" s="97">
        <v>0.48320600000000002</v>
      </c>
      <c r="AA105" s="97">
        <v>0.48044999999999999</v>
      </c>
      <c r="AB105" s="97">
        <v>0.47791</v>
      </c>
      <c r="AC105" s="97">
        <v>0.475522</v>
      </c>
      <c r="AD105" s="97">
        <v>0.47360099999999999</v>
      </c>
      <c r="AE105" s="97">
        <v>0.47158899999999998</v>
      </c>
      <c r="AF105" s="97">
        <v>0.47072199999999997</v>
      </c>
      <c r="AG105" s="93">
        <v>-6.927E-3</v>
      </c>
    </row>
    <row r="106" spans="1:33" ht="15" customHeight="1" x14ac:dyDescent="0.35">
      <c r="A106" s="92" t="s">
        <v>130</v>
      </c>
      <c r="B106" s="95" t="s">
        <v>2745</v>
      </c>
      <c r="C106" s="97">
        <v>0.105185</v>
      </c>
      <c r="D106" s="97">
        <v>0.105945</v>
      </c>
      <c r="E106" s="97">
        <v>0.105986</v>
      </c>
      <c r="F106" s="97">
        <v>0.105282</v>
      </c>
      <c r="G106" s="97">
        <v>0.104841</v>
      </c>
      <c r="H106" s="97">
        <v>0.104739</v>
      </c>
      <c r="I106" s="97">
        <v>0.10465000000000001</v>
      </c>
      <c r="J106" s="97">
        <v>0.104433</v>
      </c>
      <c r="K106" s="97">
        <v>0.10474799999999999</v>
      </c>
      <c r="L106" s="97">
        <v>0.10517899999999999</v>
      </c>
      <c r="M106" s="97">
        <v>0.10567600000000001</v>
      </c>
      <c r="N106" s="97">
        <v>0.106188</v>
      </c>
      <c r="O106" s="97">
        <v>0.106375</v>
      </c>
      <c r="P106" s="97">
        <v>0.106796</v>
      </c>
      <c r="Q106" s="97">
        <v>0.107159</v>
      </c>
      <c r="R106" s="97">
        <v>0.10760599999999999</v>
      </c>
      <c r="S106" s="97">
        <v>0.10804800000000001</v>
      </c>
      <c r="T106" s="97">
        <v>0.10846500000000001</v>
      </c>
      <c r="U106" s="97">
        <v>0.108997</v>
      </c>
      <c r="V106" s="97">
        <v>0.10953499999999999</v>
      </c>
      <c r="W106" s="97">
        <v>0.110073</v>
      </c>
      <c r="X106" s="97">
        <v>0.110554</v>
      </c>
      <c r="Y106" s="97">
        <v>0.11097899999999999</v>
      </c>
      <c r="Z106" s="97">
        <v>0.11143400000000001</v>
      </c>
      <c r="AA106" s="97">
        <v>0.111874</v>
      </c>
      <c r="AB106" s="97">
        <v>0.11221200000000001</v>
      </c>
      <c r="AC106" s="97">
        <v>0.112584</v>
      </c>
      <c r="AD106" s="97">
        <v>0.11301600000000001</v>
      </c>
      <c r="AE106" s="97">
        <v>0.11339299999999999</v>
      </c>
      <c r="AF106" s="97">
        <v>0.113827</v>
      </c>
      <c r="AG106" s="93">
        <v>2.7260000000000001E-3</v>
      </c>
    </row>
    <row r="107" spans="1:33" ht="15" customHeight="1" x14ac:dyDescent="0.35">
      <c r="A107" s="92" t="s">
        <v>131</v>
      </c>
      <c r="B107" s="95" t="s">
        <v>2746</v>
      </c>
      <c r="C107" s="97">
        <v>7.7044000000000001E-2</v>
      </c>
      <c r="D107" s="97">
        <v>7.8203999999999996E-2</v>
      </c>
      <c r="E107" s="97">
        <v>7.8805E-2</v>
      </c>
      <c r="F107" s="97">
        <v>7.8811000000000006E-2</v>
      </c>
      <c r="G107" s="97">
        <v>7.8971E-2</v>
      </c>
      <c r="H107" s="97">
        <v>7.9343999999999998E-2</v>
      </c>
      <c r="I107" s="97">
        <v>7.9685000000000006E-2</v>
      </c>
      <c r="J107" s="97">
        <v>8.0013000000000001E-2</v>
      </c>
      <c r="K107" s="97">
        <v>8.0833000000000002E-2</v>
      </c>
      <c r="L107" s="97">
        <v>8.1786999999999999E-2</v>
      </c>
      <c r="M107" s="97">
        <v>8.2882999999999998E-2</v>
      </c>
      <c r="N107" s="97">
        <v>8.4087999999999996E-2</v>
      </c>
      <c r="O107" s="97">
        <v>8.5135000000000002E-2</v>
      </c>
      <c r="P107" s="97">
        <v>8.6474999999999996E-2</v>
      </c>
      <c r="Q107" s="97">
        <v>8.7756000000000001E-2</v>
      </c>
      <c r="R107" s="97">
        <v>8.9094000000000007E-2</v>
      </c>
      <c r="S107" s="97">
        <v>9.042E-2</v>
      </c>
      <c r="T107" s="97">
        <v>9.1716000000000006E-2</v>
      </c>
      <c r="U107" s="97">
        <v>9.3104000000000006E-2</v>
      </c>
      <c r="V107" s="97">
        <v>9.4492000000000007E-2</v>
      </c>
      <c r="W107" s="97">
        <v>9.5877000000000004E-2</v>
      </c>
      <c r="X107" s="97">
        <v>9.7209000000000004E-2</v>
      </c>
      <c r="Y107" s="97">
        <v>9.8488000000000006E-2</v>
      </c>
      <c r="Z107" s="97">
        <v>9.9791000000000005E-2</v>
      </c>
      <c r="AA107" s="97">
        <v>0.101077</v>
      </c>
      <c r="AB107" s="97">
        <v>0.10226499999999999</v>
      </c>
      <c r="AC107" s="97">
        <v>0.103481</v>
      </c>
      <c r="AD107" s="97">
        <v>0.10474899999999999</v>
      </c>
      <c r="AE107" s="97">
        <v>0.105961</v>
      </c>
      <c r="AF107" s="97">
        <v>0.107223</v>
      </c>
      <c r="AG107" s="93">
        <v>1.1462999999999999E-2</v>
      </c>
    </row>
    <row r="108" spans="1:33" ht="15" customHeight="1" x14ac:dyDescent="0.35">
      <c r="A108" s="92" t="s">
        <v>132</v>
      </c>
      <c r="B108" s="95" t="s">
        <v>2747</v>
      </c>
      <c r="C108" s="97">
        <v>0.54205899999999996</v>
      </c>
      <c r="D108" s="97">
        <v>0.52856000000000003</v>
      </c>
      <c r="E108" s="97">
        <v>0.51308299999999996</v>
      </c>
      <c r="F108" s="97">
        <v>0.49500300000000003</v>
      </c>
      <c r="G108" s="97">
        <v>0.47875400000000001</v>
      </c>
      <c r="H108" s="97">
        <v>0.46374599999999999</v>
      </c>
      <c r="I108" s="97">
        <v>0.44913199999999998</v>
      </c>
      <c r="J108" s="97">
        <v>0.43485400000000002</v>
      </c>
      <c r="K108" s="97">
        <v>0.42348799999999998</v>
      </c>
      <c r="L108" s="97">
        <v>0.413078</v>
      </c>
      <c r="M108" s="97">
        <v>0.403474</v>
      </c>
      <c r="N108" s="97">
        <v>0.39432299999999998</v>
      </c>
      <c r="O108" s="97">
        <v>0.384548</v>
      </c>
      <c r="P108" s="97">
        <v>0.37632199999999999</v>
      </c>
      <c r="Q108" s="97">
        <v>0.36920700000000001</v>
      </c>
      <c r="R108" s="97">
        <v>0.36332900000000001</v>
      </c>
      <c r="S108" s="97">
        <v>0.358047</v>
      </c>
      <c r="T108" s="97">
        <v>0.35318899999999998</v>
      </c>
      <c r="U108" s="97">
        <v>0.34930699999999998</v>
      </c>
      <c r="V108" s="97">
        <v>0.34579500000000002</v>
      </c>
      <c r="W108" s="97">
        <v>0.34285399999999999</v>
      </c>
      <c r="X108" s="97">
        <v>0.34024199999999999</v>
      </c>
      <c r="Y108" s="97">
        <v>0.33815800000000001</v>
      </c>
      <c r="Z108" s="97">
        <v>0.33679900000000002</v>
      </c>
      <c r="AA108" s="97">
        <v>0.335864</v>
      </c>
      <c r="AB108" s="97">
        <v>0.33529900000000001</v>
      </c>
      <c r="AC108" s="97">
        <v>0.33514100000000002</v>
      </c>
      <c r="AD108" s="97">
        <v>0.33549699999999999</v>
      </c>
      <c r="AE108" s="97">
        <v>0.33598699999999998</v>
      </c>
      <c r="AF108" s="97">
        <v>0.337121</v>
      </c>
      <c r="AG108" s="93">
        <v>-1.6244000000000001E-2</v>
      </c>
    </row>
    <row r="109" spans="1:33" ht="15" customHeight="1" x14ac:dyDescent="0.35">
      <c r="A109" s="92" t="s">
        <v>133</v>
      </c>
      <c r="B109" s="95" t="s">
        <v>2748</v>
      </c>
      <c r="C109" s="97">
        <v>0.34851799999999999</v>
      </c>
      <c r="D109" s="97">
        <v>0.34304200000000001</v>
      </c>
      <c r="E109" s="97">
        <v>0.33520899999999998</v>
      </c>
      <c r="F109" s="97">
        <v>0.324716</v>
      </c>
      <c r="G109" s="97">
        <v>0.31450499999999998</v>
      </c>
      <c r="H109" s="97">
        <v>0.30441099999999999</v>
      </c>
      <c r="I109" s="97">
        <v>0.29397800000000002</v>
      </c>
      <c r="J109" s="97">
        <v>0.283271</v>
      </c>
      <c r="K109" s="97">
        <v>0.27399099999999998</v>
      </c>
      <c r="L109" s="97">
        <v>0.26494600000000001</v>
      </c>
      <c r="M109" s="97">
        <v>0.25604199999999999</v>
      </c>
      <c r="N109" s="97">
        <v>0.24719099999999999</v>
      </c>
      <c r="O109" s="97">
        <v>0.237736</v>
      </c>
      <c r="P109" s="97">
        <v>0.229099</v>
      </c>
      <c r="Q109" s="97">
        <v>0.22101699999999999</v>
      </c>
      <c r="R109" s="97">
        <v>0.213644</v>
      </c>
      <c r="S109" s="97">
        <v>0.20652899999999999</v>
      </c>
      <c r="T109" s="97">
        <v>0.19971800000000001</v>
      </c>
      <c r="U109" s="97">
        <v>0.193523</v>
      </c>
      <c r="V109" s="97">
        <v>0.18762899999999999</v>
      </c>
      <c r="W109" s="97">
        <v>0.18219299999999999</v>
      </c>
      <c r="X109" s="97">
        <v>0.177173</v>
      </c>
      <c r="Y109" s="97">
        <v>0.17268900000000001</v>
      </c>
      <c r="Z109" s="97">
        <v>0.16891300000000001</v>
      </c>
      <c r="AA109" s="97">
        <v>0.16564799999999999</v>
      </c>
      <c r="AB109" s="97">
        <v>0.163101</v>
      </c>
      <c r="AC109" s="97">
        <v>0.16115299999999999</v>
      </c>
      <c r="AD109" s="97">
        <v>0.159834</v>
      </c>
      <c r="AE109" s="97">
        <v>0.15897800000000001</v>
      </c>
      <c r="AF109" s="97">
        <v>0.15872800000000001</v>
      </c>
      <c r="AG109" s="93">
        <v>-2.6755999999999999E-2</v>
      </c>
    </row>
    <row r="110" spans="1:33" ht="15" customHeight="1" x14ac:dyDescent="0.35">
      <c r="A110" s="92" t="s">
        <v>134</v>
      </c>
      <c r="B110" s="95" t="s">
        <v>116</v>
      </c>
      <c r="C110" s="97">
        <v>0.23244200000000001</v>
      </c>
      <c r="D110" s="97">
        <v>0.24553800000000001</v>
      </c>
      <c r="E110" s="97">
        <v>0.23070599999999999</v>
      </c>
      <c r="F110" s="97">
        <v>0.229242</v>
      </c>
      <c r="G110" s="97">
        <v>0.22838</v>
      </c>
      <c r="H110" s="97">
        <v>0.22780900000000001</v>
      </c>
      <c r="I110" s="97">
        <v>0.22709299999999999</v>
      </c>
      <c r="J110" s="97">
        <v>0.22553100000000001</v>
      </c>
      <c r="K110" s="97">
        <v>0.22462799999999999</v>
      </c>
      <c r="L110" s="97">
        <v>0.22357199999999999</v>
      </c>
      <c r="M110" s="97">
        <v>0.22231200000000001</v>
      </c>
      <c r="N110" s="97">
        <v>0.22045400000000001</v>
      </c>
      <c r="O110" s="97">
        <v>0.21737699999999999</v>
      </c>
      <c r="P110" s="97">
        <v>0.214444</v>
      </c>
      <c r="Q110" s="97">
        <v>0.21118899999999999</v>
      </c>
      <c r="R110" s="97">
        <v>0.20787</v>
      </c>
      <c r="S110" s="97">
        <v>0.20422299999999999</v>
      </c>
      <c r="T110" s="97">
        <v>0.200237</v>
      </c>
      <c r="U110" s="97">
        <v>0.196383</v>
      </c>
      <c r="V110" s="97">
        <v>0.192685</v>
      </c>
      <c r="W110" s="97">
        <v>0.189109</v>
      </c>
      <c r="X110" s="97">
        <v>0.185638</v>
      </c>
      <c r="Y110" s="97">
        <v>0.182423</v>
      </c>
      <c r="Z110" s="97">
        <v>0.179595</v>
      </c>
      <c r="AA110" s="97">
        <v>0.17704</v>
      </c>
      <c r="AB110" s="97">
        <v>0.174623</v>
      </c>
      <c r="AC110" s="97">
        <v>0.172518</v>
      </c>
      <c r="AD110" s="97">
        <v>0.17078099999999999</v>
      </c>
      <c r="AE110" s="97">
        <v>0.169214</v>
      </c>
      <c r="AF110" s="97">
        <v>0.16800300000000001</v>
      </c>
      <c r="AG110" s="93">
        <v>-1.1133000000000001E-2</v>
      </c>
    </row>
    <row r="111" spans="1:33" ht="15" customHeight="1" x14ac:dyDescent="0.35">
      <c r="A111" s="92" t="s">
        <v>135</v>
      </c>
      <c r="B111" s="95" t="s">
        <v>2749</v>
      </c>
      <c r="C111" s="97">
        <v>5.3584769999999997</v>
      </c>
      <c r="D111" s="97">
        <v>5.2432049999999997</v>
      </c>
      <c r="E111" s="97">
        <v>5.3352789999999999</v>
      </c>
      <c r="F111" s="97">
        <v>5.3591160000000002</v>
      </c>
      <c r="G111" s="97">
        <v>5.3946120000000004</v>
      </c>
      <c r="H111" s="97">
        <v>5.4385130000000004</v>
      </c>
      <c r="I111" s="97">
        <v>5.4748869999999998</v>
      </c>
      <c r="J111" s="97">
        <v>5.5105550000000001</v>
      </c>
      <c r="K111" s="97">
        <v>5.5719079999999996</v>
      </c>
      <c r="L111" s="97">
        <v>5.6378969999999997</v>
      </c>
      <c r="M111" s="97">
        <v>5.7046939999999999</v>
      </c>
      <c r="N111" s="97">
        <v>5.7715639999999997</v>
      </c>
      <c r="O111" s="97">
        <v>5.8230940000000002</v>
      </c>
      <c r="P111" s="97">
        <v>5.8833700000000002</v>
      </c>
      <c r="Q111" s="97">
        <v>5.9475020000000001</v>
      </c>
      <c r="R111" s="97">
        <v>6.0217790000000004</v>
      </c>
      <c r="S111" s="97">
        <v>6.0992749999999996</v>
      </c>
      <c r="T111" s="97">
        <v>6.1759000000000004</v>
      </c>
      <c r="U111" s="97">
        <v>6.260548</v>
      </c>
      <c r="V111" s="97">
        <v>6.343909</v>
      </c>
      <c r="W111" s="97">
        <v>6.4252500000000001</v>
      </c>
      <c r="X111" s="97">
        <v>6.506742</v>
      </c>
      <c r="Y111" s="97">
        <v>6.588495</v>
      </c>
      <c r="Z111" s="97">
        <v>6.675033</v>
      </c>
      <c r="AA111" s="97">
        <v>6.7633570000000001</v>
      </c>
      <c r="AB111" s="97">
        <v>6.8530660000000001</v>
      </c>
      <c r="AC111" s="97">
        <v>6.9459910000000002</v>
      </c>
      <c r="AD111" s="97">
        <v>7.0459079999999998</v>
      </c>
      <c r="AE111" s="97">
        <v>7.1474399999999996</v>
      </c>
      <c r="AF111" s="97">
        <v>7.2642860000000002</v>
      </c>
      <c r="AG111" s="93">
        <v>1.0548E-2</v>
      </c>
    </row>
    <row r="112" spans="1:33" ht="15" customHeight="1" x14ac:dyDescent="0.3">
      <c r="A112" s="92" t="s">
        <v>136</v>
      </c>
      <c r="B112" s="91" t="s">
        <v>2756</v>
      </c>
      <c r="C112" s="96">
        <v>21.107531000000002</v>
      </c>
      <c r="D112" s="96">
        <v>20.967345999999999</v>
      </c>
      <c r="E112" s="96">
        <v>21.068943000000001</v>
      </c>
      <c r="F112" s="96">
        <v>20.984804</v>
      </c>
      <c r="G112" s="96">
        <v>20.935032</v>
      </c>
      <c r="H112" s="96">
        <v>20.903248000000001</v>
      </c>
      <c r="I112" s="96">
        <v>20.852969999999999</v>
      </c>
      <c r="J112" s="96">
        <v>20.78463</v>
      </c>
      <c r="K112" s="96">
        <v>20.782748999999999</v>
      </c>
      <c r="L112" s="96">
        <v>20.787890999999998</v>
      </c>
      <c r="M112" s="96">
        <v>20.806743999999998</v>
      </c>
      <c r="N112" s="96">
        <v>20.828531000000002</v>
      </c>
      <c r="O112" s="96">
        <v>20.810711000000001</v>
      </c>
      <c r="P112" s="96">
        <v>20.832186</v>
      </c>
      <c r="Q112" s="96">
        <v>20.875820000000001</v>
      </c>
      <c r="R112" s="96">
        <v>20.952736000000002</v>
      </c>
      <c r="S112" s="96">
        <v>21.039867000000001</v>
      </c>
      <c r="T112" s="96">
        <v>21.123660999999998</v>
      </c>
      <c r="U112" s="96">
        <v>21.225576</v>
      </c>
      <c r="V112" s="96">
        <v>21.317184000000001</v>
      </c>
      <c r="W112" s="96">
        <v>21.410222999999998</v>
      </c>
      <c r="X112" s="96">
        <v>21.504428999999998</v>
      </c>
      <c r="Y112" s="96">
        <v>21.60519</v>
      </c>
      <c r="Z112" s="96">
        <v>21.720953000000002</v>
      </c>
      <c r="AA112" s="96">
        <v>21.836766999999998</v>
      </c>
      <c r="AB112" s="96">
        <v>21.954139999999999</v>
      </c>
      <c r="AC112" s="96">
        <v>22.076533999999999</v>
      </c>
      <c r="AD112" s="96">
        <v>22.213502999999999</v>
      </c>
      <c r="AE112" s="96">
        <v>22.347785999999999</v>
      </c>
      <c r="AF112" s="96">
        <v>22.508064000000001</v>
      </c>
      <c r="AG112" s="89">
        <v>2.2179999999999999E-3</v>
      </c>
    </row>
    <row r="113" spans="1:33" ht="15" customHeight="1" x14ac:dyDescent="0.35">
      <c r="A113" s="92" t="s">
        <v>2757</v>
      </c>
      <c r="B113" s="95" t="s">
        <v>2758</v>
      </c>
      <c r="C113" s="97">
        <v>9.6773999999999999E-2</v>
      </c>
      <c r="D113" s="97">
        <v>0.10704900000000001</v>
      </c>
      <c r="E113" s="97">
        <v>0.117365</v>
      </c>
      <c r="F113" s="97">
        <v>0.125197</v>
      </c>
      <c r="G113" s="97">
        <v>0.13267799999999999</v>
      </c>
      <c r="H113" s="97">
        <v>0.14006299999999999</v>
      </c>
      <c r="I113" s="97">
        <v>0.14744599999999999</v>
      </c>
      <c r="J113" s="97">
        <v>0.15514800000000001</v>
      </c>
      <c r="K113" s="97">
        <v>0.16309000000000001</v>
      </c>
      <c r="L113" s="97">
        <v>0.17113300000000001</v>
      </c>
      <c r="M113" s="97">
        <v>0.179503</v>
      </c>
      <c r="N113" s="97">
        <v>0.18815100000000001</v>
      </c>
      <c r="O113" s="97">
        <v>0.19745199999999999</v>
      </c>
      <c r="P113" s="97">
        <v>0.20738100000000001</v>
      </c>
      <c r="Q113" s="97">
        <v>0.21725800000000001</v>
      </c>
      <c r="R113" s="97">
        <v>0.227242</v>
      </c>
      <c r="S113" s="97">
        <v>0.23796500000000001</v>
      </c>
      <c r="T113" s="97">
        <v>0.2487</v>
      </c>
      <c r="U113" s="97">
        <v>0.25990799999999997</v>
      </c>
      <c r="V113" s="97">
        <v>0.27201700000000001</v>
      </c>
      <c r="W113" s="97">
        <v>0.28448499999999999</v>
      </c>
      <c r="X113" s="97">
        <v>0.29792400000000002</v>
      </c>
      <c r="Y113" s="97">
        <v>0.31203399999999998</v>
      </c>
      <c r="Z113" s="97">
        <v>0.326403</v>
      </c>
      <c r="AA113" s="97">
        <v>0.34159400000000001</v>
      </c>
      <c r="AB113" s="97">
        <v>0.35733300000000001</v>
      </c>
      <c r="AC113" s="97">
        <v>0.37381300000000001</v>
      </c>
      <c r="AD113" s="97">
        <v>0.39113999999999999</v>
      </c>
      <c r="AE113" s="97">
        <v>0.40933199999999997</v>
      </c>
      <c r="AF113" s="97">
        <v>0.42791299999999999</v>
      </c>
      <c r="AG113" s="93">
        <v>5.2596999999999998E-2</v>
      </c>
    </row>
    <row r="114" spans="1:33" ht="15" customHeight="1" x14ac:dyDescent="0.3">
      <c r="A114" s="92" t="s">
        <v>2759</v>
      </c>
      <c r="B114" s="91" t="s">
        <v>2760</v>
      </c>
      <c r="C114" s="96">
        <v>21.010757000000002</v>
      </c>
      <c r="D114" s="96">
        <v>20.860296000000002</v>
      </c>
      <c r="E114" s="96">
        <v>20.951578000000001</v>
      </c>
      <c r="F114" s="96">
        <v>20.859608000000001</v>
      </c>
      <c r="G114" s="96">
        <v>20.802353</v>
      </c>
      <c r="H114" s="96">
        <v>20.763186000000001</v>
      </c>
      <c r="I114" s="96">
        <v>20.705524</v>
      </c>
      <c r="J114" s="96">
        <v>20.629481999999999</v>
      </c>
      <c r="K114" s="96">
        <v>20.619658999999999</v>
      </c>
      <c r="L114" s="96">
        <v>20.616758000000001</v>
      </c>
      <c r="M114" s="96">
        <v>20.627241000000001</v>
      </c>
      <c r="N114" s="96">
        <v>20.640381000000001</v>
      </c>
      <c r="O114" s="96">
        <v>20.61326</v>
      </c>
      <c r="P114" s="96">
        <v>20.624804999999999</v>
      </c>
      <c r="Q114" s="96">
        <v>20.658562</v>
      </c>
      <c r="R114" s="96">
        <v>20.725494000000001</v>
      </c>
      <c r="S114" s="96">
        <v>20.801902999999999</v>
      </c>
      <c r="T114" s="96">
        <v>20.874962</v>
      </c>
      <c r="U114" s="96">
        <v>20.965668000000001</v>
      </c>
      <c r="V114" s="96">
        <v>21.045168</v>
      </c>
      <c r="W114" s="96">
        <v>21.125737999999998</v>
      </c>
      <c r="X114" s="96">
        <v>21.206505</v>
      </c>
      <c r="Y114" s="96">
        <v>21.293156</v>
      </c>
      <c r="Z114" s="96">
        <v>21.394549999999999</v>
      </c>
      <c r="AA114" s="96">
        <v>21.495173999999999</v>
      </c>
      <c r="AB114" s="96">
        <v>21.596806999999998</v>
      </c>
      <c r="AC114" s="96">
        <v>21.702721</v>
      </c>
      <c r="AD114" s="96">
        <v>21.822362999999999</v>
      </c>
      <c r="AE114" s="96">
        <v>21.938454</v>
      </c>
      <c r="AF114" s="96">
        <v>22.080151000000001</v>
      </c>
      <c r="AG114" s="89">
        <v>1.7129999999999999E-3</v>
      </c>
    </row>
    <row r="115" spans="1:33" ht="15" customHeight="1" x14ac:dyDescent="0.3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</row>
    <row r="116" spans="1:33" ht="15" customHeight="1" x14ac:dyDescent="0.35">
      <c r="B116" s="91" t="s">
        <v>2761</v>
      </c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</row>
    <row r="117" spans="1:33" ht="15" customHeight="1" x14ac:dyDescent="0.35">
      <c r="A117" s="92" t="s">
        <v>137</v>
      </c>
      <c r="B117" s="95" t="s">
        <v>138</v>
      </c>
      <c r="C117" s="97">
        <v>1.3916E-2</v>
      </c>
      <c r="D117" s="97">
        <v>1.5650000000000001E-2</v>
      </c>
      <c r="E117" s="97">
        <v>1.7245E-2</v>
      </c>
      <c r="F117" s="97">
        <v>1.8103999999999999E-2</v>
      </c>
      <c r="G117" s="97">
        <v>1.9044999999999999E-2</v>
      </c>
      <c r="H117" s="97">
        <v>1.9845999999999999E-2</v>
      </c>
      <c r="I117" s="97">
        <v>2.0566000000000001E-2</v>
      </c>
      <c r="J117" s="97">
        <v>2.1271999999999999E-2</v>
      </c>
      <c r="K117" s="97">
        <v>2.197E-2</v>
      </c>
      <c r="L117" s="97">
        <v>2.2662999999999999E-2</v>
      </c>
      <c r="M117" s="97">
        <v>2.3252999999999999E-2</v>
      </c>
      <c r="N117" s="97">
        <v>2.3845000000000002E-2</v>
      </c>
      <c r="O117" s="97">
        <v>2.4421000000000002E-2</v>
      </c>
      <c r="P117" s="97">
        <v>2.4924999999999999E-2</v>
      </c>
      <c r="Q117" s="97">
        <v>2.5409999999999999E-2</v>
      </c>
      <c r="R117" s="97">
        <v>2.5918E-2</v>
      </c>
      <c r="S117" s="97">
        <v>2.6393E-2</v>
      </c>
      <c r="T117" s="97">
        <v>2.6922999999999999E-2</v>
      </c>
      <c r="U117" s="97">
        <v>2.7501999999999999E-2</v>
      </c>
      <c r="V117" s="97">
        <v>2.8138E-2</v>
      </c>
      <c r="W117" s="97">
        <v>2.8794E-2</v>
      </c>
      <c r="X117" s="97">
        <v>2.9492000000000001E-2</v>
      </c>
      <c r="Y117" s="97">
        <v>3.0227E-2</v>
      </c>
      <c r="Z117" s="97">
        <v>3.0984000000000001E-2</v>
      </c>
      <c r="AA117" s="97">
        <v>3.1743E-2</v>
      </c>
      <c r="AB117" s="97">
        <v>3.2532999999999999E-2</v>
      </c>
      <c r="AC117" s="97">
        <v>3.3385999999999999E-2</v>
      </c>
      <c r="AD117" s="97">
        <v>3.4241000000000001E-2</v>
      </c>
      <c r="AE117" s="97">
        <v>3.5097999999999997E-2</v>
      </c>
      <c r="AF117" s="97">
        <v>3.5983000000000001E-2</v>
      </c>
      <c r="AG117" s="93">
        <v>3.3300999999999997E-2</v>
      </c>
    </row>
    <row r="118" spans="1:33" ht="15" customHeight="1" x14ac:dyDescent="0.35">
      <c r="A118" s="92" t="s">
        <v>139</v>
      </c>
      <c r="B118" s="95" t="s">
        <v>140</v>
      </c>
      <c r="C118" s="97">
        <v>4.8445000000000002E-2</v>
      </c>
      <c r="D118" s="97">
        <v>5.4163000000000003E-2</v>
      </c>
      <c r="E118" s="97">
        <v>5.7647999999999998E-2</v>
      </c>
      <c r="F118" s="97">
        <v>5.7015000000000003E-2</v>
      </c>
      <c r="G118" s="97">
        <v>5.6885999999999999E-2</v>
      </c>
      <c r="H118" s="97">
        <v>5.6571999999999997E-2</v>
      </c>
      <c r="I118" s="97">
        <v>5.6569000000000001E-2</v>
      </c>
      <c r="J118" s="97">
        <v>5.6689999999999997E-2</v>
      </c>
      <c r="K118" s="97">
        <v>5.6779000000000003E-2</v>
      </c>
      <c r="L118" s="97">
        <v>5.6772999999999997E-2</v>
      </c>
      <c r="M118" s="97">
        <v>5.6855999999999997E-2</v>
      </c>
      <c r="N118" s="97">
        <v>5.7213E-2</v>
      </c>
      <c r="O118" s="97">
        <v>5.7431000000000003E-2</v>
      </c>
      <c r="P118" s="97">
        <v>5.7514999999999997E-2</v>
      </c>
      <c r="Q118" s="97">
        <v>5.7547000000000001E-2</v>
      </c>
      <c r="R118" s="97">
        <v>5.7618999999999997E-2</v>
      </c>
      <c r="S118" s="97">
        <v>5.7757999999999997E-2</v>
      </c>
      <c r="T118" s="97">
        <v>5.8098999999999998E-2</v>
      </c>
      <c r="U118" s="97">
        <v>5.8430999999999997E-2</v>
      </c>
      <c r="V118" s="97">
        <v>5.8702999999999998E-2</v>
      </c>
      <c r="W118" s="97">
        <v>5.8959999999999999E-2</v>
      </c>
      <c r="X118" s="97">
        <v>5.9111999999999998E-2</v>
      </c>
      <c r="Y118" s="97">
        <v>5.9450999999999997E-2</v>
      </c>
      <c r="Z118" s="97">
        <v>5.9602000000000002E-2</v>
      </c>
      <c r="AA118" s="97">
        <v>5.9852000000000002E-2</v>
      </c>
      <c r="AB118" s="97">
        <v>6.0192000000000002E-2</v>
      </c>
      <c r="AC118" s="97">
        <v>6.0316000000000002E-2</v>
      </c>
      <c r="AD118" s="97">
        <v>6.0858000000000002E-2</v>
      </c>
      <c r="AE118" s="97">
        <v>6.0950999999999998E-2</v>
      </c>
      <c r="AF118" s="97">
        <v>6.1275000000000003E-2</v>
      </c>
      <c r="AG118" s="93">
        <v>8.1349999999999999E-3</v>
      </c>
    </row>
    <row r="119" spans="1:33" ht="15" customHeight="1" x14ac:dyDescent="0.35">
      <c r="A119" s="92" t="s">
        <v>141</v>
      </c>
      <c r="B119" s="95" t="s">
        <v>142</v>
      </c>
      <c r="C119" s="97">
        <v>0.277555</v>
      </c>
      <c r="D119" s="97">
        <v>0.30805700000000003</v>
      </c>
      <c r="E119" s="97">
        <v>0.33670600000000001</v>
      </c>
      <c r="F119" s="97">
        <v>0.35755799999999999</v>
      </c>
      <c r="G119" s="97">
        <v>0.37832300000000002</v>
      </c>
      <c r="H119" s="97">
        <v>0.39463399999999998</v>
      </c>
      <c r="I119" s="97">
        <v>0.41504400000000002</v>
      </c>
      <c r="J119" s="97">
        <v>0.43620300000000001</v>
      </c>
      <c r="K119" s="97">
        <v>0.45814700000000003</v>
      </c>
      <c r="L119" s="97">
        <v>0.47954799999999997</v>
      </c>
      <c r="M119" s="97">
        <v>0.50221400000000005</v>
      </c>
      <c r="N119" s="97">
        <v>0.52819899999999997</v>
      </c>
      <c r="O119" s="97">
        <v>0.55421299999999996</v>
      </c>
      <c r="P119" s="97">
        <v>0.58063399999999998</v>
      </c>
      <c r="Q119" s="97">
        <v>0.60695299999999996</v>
      </c>
      <c r="R119" s="97">
        <v>0.63433300000000004</v>
      </c>
      <c r="S119" s="97">
        <v>0.66400499999999996</v>
      </c>
      <c r="T119" s="97">
        <v>0.69608300000000001</v>
      </c>
      <c r="U119" s="97">
        <v>0.72950300000000001</v>
      </c>
      <c r="V119" s="97">
        <v>0.76487899999999998</v>
      </c>
      <c r="W119" s="97">
        <v>0.800346</v>
      </c>
      <c r="X119" s="97">
        <v>0.83840899999999996</v>
      </c>
      <c r="Y119" s="97">
        <v>0.88090900000000005</v>
      </c>
      <c r="Z119" s="97">
        <v>0.92092300000000005</v>
      </c>
      <c r="AA119" s="97">
        <v>0.96540300000000001</v>
      </c>
      <c r="AB119" s="97">
        <v>1.0121260000000001</v>
      </c>
      <c r="AC119" s="97">
        <v>1.058214</v>
      </c>
      <c r="AD119" s="97">
        <v>1.1136360000000001</v>
      </c>
      <c r="AE119" s="97">
        <v>1.164774</v>
      </c>
      <c r="AF119" s="97">
        <v>1.2198960000000001</v>
      </c>
      <c r="AG119" s="93">
        <v>5.2377E-2</v>
      </c>
    </row>
    <row r="120" spans="1:33" ht="15" customHeight="1" x14ac:dyDescent="0.35">
      <c r="A120" s="92" t="s">
        <v>143</v>
      </c>
      <c r="B120" s="95" t="s">
        <v>144</v>
      </c>
      <c r="C120" s="97">
        <v>1.7200000000000001E-4</v>
      </c>
      <c r="D120" s="97">
        <v>1.7200000000000001E-4</v>
      </c>
      <c r="E120" s="97">
        <v>1.7000000000000001E-4</v>
      </c>
      <c r="F120" s="97">
        <v>1.6799999999999999E-4</v>
      </c>
      <c r="G120" s="97">
        <v>1.6699999999999999E-4</v>
      </c>
      <c r="H120" s="97">
        <v>1.65E-4</v>
      </c>
      <c r="I120" s="97">
        <v>1.64E-4</v>
      </c>
      <c r="J120" s="97">
        <v>1.64E-4</v>
      </c>
      <c r="K120" s="97">
        <v>1.6200000000000001E-4</v>
      </c>
      <c r="L120" s="97">
        <v>1.6200000000000001E-4</v>
      </c>
      <c r="M120" s="97">
        <v>1.6200000000000001E-4</v>
      </c>
      <c r="N120" s="97">
        <v>1.6200000000000001E-4</v>
      </c>
      <c r="O120" s="97">
        <v>1.6100000000000001E-4</v>
      </c>
      <c r="P120" s="97">
        <v>1.6100000000000001E-4</v>
      </c>
      <c r="Q120" s="97">
        <v>1.6000000000000001E-4</v>
      </c>
      <c r="R120" s="97">
        <v>1.6000000000000001E-4</v>
      </c>
      <c r="S120" s="97">
        <v>1.6000000000000001E-4</v>
      </c>
      <c r="T120" s="97">
        <v>1.6000000000000001E-4</v>
      </c>
      <c r="U120" s="97">
        <v>1.6000000000000001E-4</v>
      </c>
      <c r="V120" s="97">
        <v>1.6200000000000001E-4</v>
      </c>
      <c r="W120" s="97">
        <v>1.63E-4</v>
      </c>
      <c r="X120" s="97">
        <v>1.65E-4</v>
      </c>
      <c r="Y120" s="97">
        <v>1.6699999999999999E-4</v>
      </c>
      <c r="Z120" s="97">
        <v>1.6899999999999999E-4</v>
      </c>
      <c r="AA120" s="97">
        <v>1.7100000000000001E-4</v>
      </c>
      <c r="AB120" s="97">
        <v>1.7200000000000001E-4</v>
      </c>
      <c r="AC120" s="97">
        <v>1.74E-4</v>
      </c>
      <c r="AD120" s="97">
        <v>1.76E-4</v>
      </c>
      <c r="AE120" s="97">
        <v>1.7799999999999999E-4</v>
      </c>
      <c r="AF120" s="97">
        <v>1.8000000000000001E-4</v>
      </c>
      <c r="AG120" s="93">
        <v>1.6050000000000001E-3</v>
      </c>
    </row>
    <row r="121" spans="1:33" ht="15" customHeight="1" x14ac:dyDescent="0.3">
      <c r="A121" s="92" t="s">
        <v>145</v>
      </c>
      <c r="B121" s="91" t="s">
        <v>146</v>
      </c>
      <c r="C121" s="96">
        <v>0.34008899999999997</v>
      </c>
      <c r="D121" s="96">
        <v>0.37804300000000002</v>
      </c>
      <c r="E121" s="96">
        <v>0.411769</v>
      </c>
      <c r="F121" s="96">
        <v>0.43284600000000001</v>
      </c>
      <c r="G121" s="96">
        <v>0.45442199999999999</v>
      </c>
      <c r="H121" s="96">
        <v>0.47121800000000003</v>
      </c>
      <c r="I121" s="96">
        <v>0.49234299999999998</v>
      </c>
      <c r="J121" s="96">
        <v>0.51432800000000001</v>
      </c>
      <c r="K121" s="96">
        <v>0.53705800000000004</v>
      </c>
      <c r="L121" s="96">
        <v>0.55914600000000003</v>
      </c>
      <c r="M121" s="96">
        <v>0.58248500000000003</v>
      </c>
      <c r="N121" s="96">
        <v>0.60941900000000004</v>
      </c>
      <c r="O121" s="96">
        <v>0.63622699999999999</v>
      </c>
      <c r="P121" s="96">
        <v>0.66323500000000002</v>
      </c>
      <c r="Q121" s="96">
        <v>0.69007099999999999</v>
      </c>
      <c r="R121" s="96">
        <v>0.71802900000000003</v>
      </c>
      <c r="S121" s="96">
        <v>0.74831499999999995</v>
      </c>
      <c r="T121" s="96">
        <v>0.78126399999999996</v>
      </c>
      <c r="U121" s="96">
        <v>0.81559700000000002</v>
      </c>
      <c r="V121" s="96">
        <v>0.85188200000000003</v>
      </c>
      <c r="W121" s="96">
        <v>0.88826300000000002</v>
      </c>
      <c r="X121" s="96">
        <v>0.92717899999999998</v>
      </c>
      <c r="Y121" s="96">
        <v>0.97075500000000003</v>
      </c>
      <c r="Z121" s="96">
        <v>1.0116780000000001</v>
      </c>
      <c r="AA121" s="96">
        <v>1.057169</v>
      </c>
      <c r="AB121" s="96">
        <v>1.1050230000000001</v>
      </c>
      <c r="AC121" s="96">
        <v>1.1520900000000001</v>
      </c>
      <c r="AD121" s="96">
        <v>1.208912</v>
      </c>
      <c r="AE121" s="96">
        <v>1.261002</v>
      </c>
      <c r="AF121" s="96">
        <v>1.3173349999999999</v>
      </c>
      <c r="AG121" s="89">
        <v>4.7802999999999998E-2</v>
      </c>
    </row>
    <row r="122" spans="1:33" ht="15" customHeight="1" x14ac:dyDescent="0.3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</row>
    <row r="123" spans="1:33" ht="15" customHeight="1" x14ac:dyDescent="0.35">
      <c r="B123" s="91" t="s">
        <v>147</v>
      </c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</row>
    <row r="124" spans="1:33" ht="15" customHeight="1" x14ac:dyDescent="0.35">
      <c r="A124" s="92" t="s">
        <v>148</v>
      </c>
      <c r="B124" s="95" t="s">
        <v>149</v>
      </c>
      <c r="C124" s="94">
        <v>5890</v>
      </c>
      <c r="D124" s="94">
        <v>6269</v>
      </c>
      <c r="E124" s="94">
        <v>6083</v>
      </c>
      <c r="F124" s="94">
        <v>6065</v>
      </c>
      <c r="G124" s="94">
        <v>6048</v>
      </c>
      <c r="H124" s="94">
        <v>6030</v>
      </c>
      <c r="I124" s="94">
        <v>6012</v>
      </c>
      <c r="J124" s="94">
        <v>5994</v>
      </c>
      <c r="K124" s="94">
        <v>5976</v>
      </c>
      <c r="L124" s="94">
        <v>5958</v>
      </c>
      <c r="M124" s="94">
        <v>5940</v>
      </c>
      <c r="N124" s="94">
        <v>5922</v>
      </c>
      <c r="O124" s="94">
        <v>5904</v>
      </c>
      <c r="P124" s="94">
        <v>5886</v>
      </c>
      <c r="Q124" s="94">
        <v>5868</v>
      </c>
      <c r="R124" s="94">
        <v>5850</v>
      </c>
      <c r="S124" s="94">
        <v>5832</v>
      </c>
      <c r="T124" s="94">
        <v>5814</v>
      </c>
      <c r="U124" s="94">
        <v>5795</v>
      </c>
      <c r="V124" s="94">
        <v>5777</v>
      </c>
      <c r="W124" s="94">
        <v>5759</v>
      </c>
      <c r="X124" s="94">
        <v>5741</v>
      </c>
      <c r="Y124" s="94">
        <v>5723</v>
      </c>
      <c r="Z124" s="94">
        <v>5704</v>
      </c>
      <c r="AA124" s="94">
        <v>5686</v>
      </c>
      <c r="AB124" s="94">
        <v>5668</v>
      </c>
      <c r="AC124" s="94">
        <v>5650</v>
      </c>
      <c r="AD124" s="94">
        <v>5632</v>
      </c>
      <c r="AE124" s="94">
        <v>5614</v>
      </c>
      <c r="AF124" s="94">
        <v>5595</v>
      </c>
      <c r="AG124" s="93">
        <v>-1.7700000000000001E-3</v>
      </c>
    </row>
    <row r="125" spans="1:33" ht="15" customHeight="1" x14ac:dyDescent="0.35">
      <c r="A125" s="92" t="s">
        <v>150</v>
      </c>
      <c r="B125" s="95" t="s">
        <v>151</v>
      </c>
      <c r="C125" s="94">
        <v>5356</v>
      </c>
      <c r="D125" s="94">
        <v>5620</v>
      </c>
      <c r="E125" s="94">
        <v>5448</v>
      </c>
      <c r="F125" s="94">
        <v>5431</v>
      </c>
      <c r="G125" s="94">
        <v>5414</v>
      </c>
      <c r="H125" s="94">
        <v>5397</v>
      </c>
      <c r="I125" s="94">
        <v>5380</v>
      </c>
      <c r="J125" s="94">
        <v>5363</v>
      </c>
      <c r="K125" s="94">
        <v>5347</v>
      </c>
      <c r="L125" s="94">
        <v>5330</v>
      </c>
      <c r="M125" s="94">
        <v>5313</v>
      </c>
      <c r="N125" s="94">
        <v>5296</v>
      </c>
      <c r="O125" s="94">
        <v>5279</v>
      </c>
      <c r="P125" s="94">
        <v>5262</v>
      </c>
      <c r="Q125" s="94">
        <v>5245</v>
      </c>
      <c r="R125" s="94">
        <v>5228</v>
      </c>
      <c r="S125" s="94">
        <v>5211</v>
      </c>
      <c r="T125" s="94">
        <v>5194</v>
      </c>
      <c r="U125" s="94">
        <v>5177</v>
      </c>
      <c r="V125" s="94">
        <v>5160</v>
      </c>
      <c r="W125" s="94">
        <v>5143</v>
      </c>
      <c r="X125" s="94">
        <v>5127</v>
      </c>
      <c r="Y125" s="94">
        <v>5110</v>
      </c>
      <c r="Z125" s="94">
        <v>5093</v>
      </c>
      <c r="AA125" s="94">
        <v>5076</v>
      </c>
      <c r="AB125" s="94">
        <v>5059</v>
      </c>
      <c r="AC125" s="94">
        <v>5042</v>
      </c>
      <c r="AD125" s="94">
        <v>5025</v>
      </c>
      <c r="AE125" s="94">
        <v>5008</v>
      </c>
      <c r="AF125" s="94">
        <v>4991</v>
      </c>
      <c r="AG125" s="93">
        <v>-2.431E-3</v>
      </c>
    </row>
    <row r="126" spans="1:33" ht="15" customHeight="1" x14ac:dyDescent="0.35">
      <c r="A126" s="92" t="s">
        <v>152</v>
      </c>
      <c r="B126" s="95" t="s">
        <v>153</v>
      </c>
      <c r="C126" s="94">
        <v>5925</v>
      </c>
      <c r="D126" s="94">
        <v>6246</v>
      </c>
      <c r="E126" s="94">
        <v>6075</v>
      </c>
      <c r="F126" s="94">
        <v>6065</v>
      </c>
      <c r="G126" s="94">
        <v>6055</v>
      </c>
      <c r="H126" s="94">
        <v>6045</v>
      </c>
      <c r="I126" s="94">
        <v>6035</v>
      </c>
      <c r="J126" s="94">
        <v>6026</v>
      </c>
      <c r="K126" s="94">
        <v>6016</v>
      </c>
      <c r="L126" s="94">
        <v>6006</v>
      </c>
      <c r="M126" s="94">
        <v>5996</v>
      </c>
      <c r="N126" s="94">
        <v>5986</v>
      </c>
      <c r="O126" s="94">
        <v>5976</v>
      </c>
      <c r="P126" s="94">
        <v>5966</v>
      </c>
      <c r="Q126" s="94">
        <v>5956</v>
      </c>
      <c r="R126" s="94">
        <v>5946</v>
      </c>
      <c r="S126" s="94">
        <v>5936</v>
      </c>
      <c r="T126" s="94">
        <v>5926</v>
      </c>
      <c r="U126" s="94">
        <v>5916</v>
      </c>
      <c r="V126" s="94">
        <v>5906</v>
      </c>
      <c r="W126" s="94">
        <v>5896</v>
      </c>
      <c r="X126" s="94">
        <v>5886</v>
      </c>
      <c r="Y126" s="94">
        <v>5876</v>
      </c>
      <c r="Z126" s="94">
        <v>5867</v>
      </c>
      <c r="AA126" s="94">
        <v>5857</v>
      </c>
      <c r="AB126" s="94">
        <v>5847</v>
      </c>
      <c r="AC126" s="94">
        <v>5837</v>
      </c>
      <c r="AD126" s="94">
        <v>5827</v>
      </c>
      <c r="AE126" s="94">
        <v>5817</v>
      </c>
      <c r="AF126" s="94">
        <v>5807</v>
      </c>
      <c r="AG126" s="93">
        <v>-6.9300000000000004E-4</v>
      </c>
    </row>
    <row r="127" spans="1:33" ht="15" customHeight="1" x14ac:dyDescent="0.35">
      <c r="A127" s="92" t="s">
        <v>154</v>
      </c>
      <c r="B127" s="95" t="s">
        <v>155</v>
      </c>
      <c r="C127" s="94">
        <v>6356</v>
      </c>
      <c r="D127" s="94">
        <v>6592</v>
      </c>
      <c r="E127" s="94">
        <v>6430</v>
      </c>
      <c r="F127" s="94">
        <v>6425</v>
      </c>
      <c r="G127" s="94">
        <v>6419</v>
      </c>
      <c r="H127" s="94">
        <v>6413</v>
      </c>
      <c r="I127" s="94">
        <v>6407</v>
      </c>
      <c r="J127" s="94">
        <v>6401</v>
      </c>
      <c r="K127" s="94">
        <v>6394</v>
      </c>
      <c r="L127" s="94">
        <v>6388</v>
      </c>
      <c r="M127" s="94">
        <v>6381</v>
      </c>
      <c r="N127" s="94">
        <v>6375</v>
      </c>
      <c r="O127" s="94">
        <v>6368</v>
      </c>
      <c r="P127" s="94">
        <v>6361</v>
      </c>
      <c r="Q127" s="94">
        <v>6355</v>
      </c>
      <c r="R127" s="94">
        <v>6348</v>
      </c>
      <c r="S127" s="94">
        <v>6341</v>
      </c>
      <c r="T127" s="94">
        <v>6334</v>
      </c>
      <c r="U127" s="94">
        <v>6328</v>
      </c>
      <c r="V127" s="94">
        <v>6321</v>
      </c>
      <c r="W127" s="94">
        <v>6314</v>
      </c>
      <c r="X127" s="94">
        <v>6307</v>
      </c>
      <c r="Y127" s="94">
        <v>6300</v>
      </c>
      <c r="Z127" s="94">
        <v>6293</v>
      </c>
      <c r="AA127" s="94">
        <v>6286</v>
      </c>
      <c r="AB127" s="94">
        <v>6279</v>
      </c>
      <c r="AC127" s="94">
        <v>6272</v>
      </c>
      <c r="AD127" s="94">
        <v>6265</v>
      </c>
      <c r="AE127" s="94">
        <v>6257</v>
      </c>
      <c r="AF127" s="94">
        <v>6250</v>
      </c>
      <c r="AG127" s="93">
        <v>-5.8E-4</v>
      </c>
    </row>
    <row r="128" spans="1:33" ht="15" customHeight="1" x14ac:dyDescent="0.35">
      <c r="A128" s="92" t="s">
        <v>156</v>
      </c>
      <c r="B128" s="95" t="s">
        <v>157</v>
      </c>
      <c r="C128" s="94">
        <v>2454</v>
      </c>
      <c r="D128" s="94">
        <v>2507</v>
      </c>
      <c r="E128" s="94">
        <v>2434</v>
      </c>
      <c r="F128" s="94">
        <v>2420</v>
      </c>
      <c r="G128" s="94">
        <v>2406</v>
      </c>
      <c r="H128" s="94">
        <v>2393</v>
      </c>
      <c r="I128" s="94">
        <v>2379</v>
      </c>
      <c r="J128" s="94">
        <v>2366</v>
      </c>
      <c r="K128" s="94">
        <v>2352</v>
      </c>
      <c r="L128" s="94">
        <v>2338</v>
      </c>
      <c r="M128" s="94">
        <v>2325</v>
      </c>
      <c r="N128" s="94">
        <v>2311</v>
      </c>
      <c r="O128" s="94">
        <v>2297</v>
      </c>
      <c r="P128" s="94">
        <v>2284</v>
      </c>
      <c r="Q128" s="94">
        <v>2270</v>
      </c>
      <c r="R128" s="94">
        <v>2257</v>
      </c>
      <c r="S128" s="94">
        <v>2243</v>
      </c>
      <c r="T128" s="94">
        <v>2230</v>
      </c>
      <c r="U128" s="94">
        <v>2216</v>
      </c>
      <c r="V128" s="94">
        <v>2203</v>
      </c>
      <c r="W128" s="94">
        <v>2189</v>
      </c>
      <c r="X128" s="94">
        <v>2176</v>
      </c>
      <c r="Y128" s="94">
        <v>2162</v>
      </c>
      <c r="Z128" s="94">
        <v>2149</v>
      </c>
      <c r="AA128" s="94">
        <v>2136</v>
      </c>
      <c r="AB128" s="94">
        <v>2122</v>
      </c>
      <c r="AC128" s="94">
        <v>2109</v>
      </c>
      <c r="AD128" s="94">
        <v>2096</v>
      </c>
      <c r="AE128" s="94">
        <v>2082</v>
      </c>
      <c r="AF128" s="94">
        <v>2069</v>
      </c>
      <c r="AG128" s="93">
        <v>-5.8669999999999998E-3</v>
      </c>
    </row>
    <row r="129" spans="1:33" ht="15" customHeight="1" x14ac:dyDescent="0.35">
      <c r="A129" s="92" t="s">
        <v>158</v>
      </c>
      <c r="B129" s="95" t="s">
        <v>159</v>
      </c>
      <c r="C129" s="94">
        <v>3318</v>
      </c>
      <c r="D129" s="94">
        <v>3345</v>
      </c>
      <c r="E129" s="94">
        <v>3230</v>
      </c>
      <c r="F129" s="94">
        <v>3221</v>
      </c>
      <c r="G129" s="94">
        <v>3211</v>
      </c>
      <c r="H129" s="94">
        <v>3202</v>
      </c>
      <c r="I129" s="94">
        <v>3192</v>
      </c>
      <c r="J129" s="94">
        <v>3183</v>
      </c>
      <c r="K129" s="94">
        <v>3173</v>
      </c>
      <c r="L129" s="94">
        <v>3163</v>
      </c>
      <c r="M129" s="94">
        <v>3154</v>
      </c>
      <c r="N129" s="94">
        <v>3144</v>
      </c>
      <c r="O129" s="94">
        <v>3134</v>
      </c>
      <c r="P129" s="94">
        <v>3124</v>
      </c>
      <c r="Q129" s="94">
        <v>3114</v>
      </c>
      <c r="R129" s="94">
        <v>3104</v>
      </c>
      <c r="S129" s="94">
        <v>3094</v>
      </c>
      <c r="T129" s="94">
        <v>3084</v>
      </c>
      <c r="U129" s="94">
        <v>3074</v>
      </c>
      <c r="V129" s="94">
        <v>3064</v>
      </c>
      <c r="W129" s="94">
        <v>3054</v>
      </c>
      <c r="X129" s="94">
        <v>3044</v>
      </c>
      <c r="Y129" s="94">
        <v>3034</v>
      </c>
      <c r="Z129" s="94">
        <v>3024</v>
      </c>
      <c r="AA129" s="94">
        <v>3014</v>
      </c>
      <c r="AB129" s="94">
        <v>3004</v>
      </c>
      <c r="AC129" s="94">
        <v>2994</v>
      </c>
      <c r="AD129" s="94">
        <v>2984</v>
      </c>
      <c r="AE129" s="94">
        <v>2974</v>
      </c>
      <c r="AF129" s="94">
        <v>2963</v>
      </c>
      <c r="AG129" s="93">
        <v>-3.8939999999999999E-3</v>
      </c>
    </row>
    <row r="130" spans="1:33" ht="15" customHeight="1" x14ac:dyDescent="0.35">
      <c r="A130" s="92" t="s">
        <v>160</v>
      </c>
      <c r="B130" s="95" t="s">
        <v>161</v>
      </c>
      <c r="C130" s="94">
        <v>2149</v>
      </c>
      <c r="D130" s="94">
        <v>2015</v>
      </c>
      <c r="E130" s="94">
        <v>1961</v>
      </c>
      <c r="F130" s="94">
        <v>1953</v>
      </c>
      <c r="G130" s="94">
        <v>1945</v>
      </c>
      <c r="H130" s="94">
        <v>1937</v>
      </c>
      <c r="I130" s="94">
        <v>1929</v>
      </c>
      <c r="J130" s="94">
        <v>1921</v>
      </c>
      <c r="K130" s="94">
        <v>1913</v>
      </c>
      <c r="L130" s="94">
        <v>1905</v>
      </c>
      <c r="M130" s="94">
        <v>1897</v>
      </c>
      <c r="N130" s="94">
        <v>1889</v>
      </c>
      <c r="O130" s="94">
        <v>1881</v>
      </c>
      <c r="P130" s="94">
        <v>1873</v>
      </c>
      <c r="Q130" s="94">
        <v>1866</v>
      </c>
      <c r="R130" s="94">
        <v>1858</v>
      </c>
      <c r="S130" s="94">
        <v>1850</v>
      </c>
      <c r="T130" s="94">
        <v>1842</v>
      </c>
      <c r="U130" s="94">
        <v>1834</v>
      </c>
      <c r="V130" s="94">
        <v>1827</v>
      </c>
      <c r="W130" s="94">
        <v>1819</v>
      </c>
      <c r="X130" s="94">
        <v>1811</v>
      </c>
      <c r="Y130" s="94">
        <v>1804</v>
      </c>
      <c r="Z130" s="94">
        <v>1796</v>
      </c>
      <c r="AA130" s="94">
        <v>1788</v>
      </c>
      <c r="AB130" s="94">
        <v>1781</v>
      </c>
      <c r="AC130" s="94">
        <v>1773</v>
      </c>
      <c r="AD130" s="94">
        <v>1765</v>
      </c>
      <c r="AE130" s="94">
        <v>1758</v>
      </c>
      <c r="AF130" s="94">
        <v>1750</v>
      </c>
      <c r="AG130" s="93">
        <v>-7.0569999999999999E-3</v>
      </c>
    </row>
    <row r="131" spans="1:33" ht="15" customHeight="1" x14ac:dyDescent="0.35">
      <c r="A131" s="92" t="s">
        <v>162</v>
      </c>
      <c r="B131" s="95" t="s">
        <v>163</v>
      </c>
      <c r="C131" s="94">
        <v>4954</v>
      </c>
      <c r="D131" s="94">
        <v>4959</v>
      </c>
      <c r="E131" s="94">
        <v>4809</v>
      </c>
      <c r="F131" s="94">
        <v>4797</v>
      </c>
      <c r="G131" s="94">
        <v>4785</v>
      </c>
      <c r="H131" s="94">
        <v>4773</v>
      </c>
      <c r="I131" s="94">
        <v>4761</v>
      </c>
      <c r="J131" s="94">
        <v>4748</v>
      </c>
      <c r="K131" s="94">
        <v>4736</v>
      </c>
      <c r="L131" s="94">
        <v>4723</v>
      </c>
      <c r="M131" s="94">
        <v>4710</v>
      </c>
      <c r="N131" s="94">
        <v>4698</v>
      </c>
      <c r="O131" s="94">
        <v>4685</v>
      </c>
      <c r="P131" s="94">
        <v>4672</v>
      </c>
      <c r="Q131" s="94">
        <v>4659</v>
      </c>
      <c r="R131" s="94">
        <v>4645</v>
      </c>
      <c r="S131" s="94">
        <v>4632</v>
      </c>
      <c r="T131" s="94">
        <v>4619</v>
      </c>
      <c r="U131" s="94">
        <v>4606</v>
      </c>
      <c r="V131" s="94">
        <v>4593</v>
      </c>
      <c r="W131" s="94">
        <v>4580</v>
      </c>
      <c r="X131" s="94">
        <v>4566</v>
      </c>
      <c r="Y131" s="94">
        <v>4553</v>
      </c>
      <c r="Z131" s="94">
        <v>4540</v>
      </c>
      <c r="AA131" s="94">
        <v>4527</v>
      </c>
      <c r="AB131" s="94">
        <v>4514</v>
      </c>
      <c r="AC131" s="94">
        <v>4500</v>
      </c>
      <c r="AD131" s="94">
        <v>4487</v>
      </c>
      <c r="AE131" s="94">
        <v>4474</v>
      </c>
      <c r="AF131" s="94">
        <v>4461</v>
      </c>
      <c r="AG131" s="93">
        <v>-3.6080000000000001E-3</v>
      </c>
    </row>
    <row r="132" spans="1:33" ht="15" customHeight="1" x14ac:dyDescent="0.35">
      <c r="A132" s="92" t="s">
        <v>164</v>
      </c>
      <c r="B132" s="95" t="s">
        <v>165</v>
      </c>
      <c r="C132" s="94">
        <v>3424</v>
      </c>
      <c r="D132" s="94">
        <v>3480</v>
      </c>
      <c r="E132" s="94">
        <v>3247</v>
      </c>
      <c r="F132" s="94">
        <v>3237</v>
      </c>
      <c r="G132" s="94">
        <v>3228</v>
      </c>
      <c r="H132" s="94">
        <v>3218</v>
      </c>
      <c r="I132" s="94">
        <v>3208</v>
      </c>
      <c r="J132" s="94">
        <v>3198</v>
      </c>
      <c r="K132" s="94">
        <v>3188</v>
      </c>
      <c r="L132" s="94">
        <v>3178</v>
      </c>
      <c r="M132" s="94">
        <v>3167</v>
      </c>
      <c r="N132" s="94">
        <v>3157</v>
      </c>
      <c r="O132" s="94">
        <v>3147</v>
      </c>
      <c r="P132" s="94">
        <v>3137</v>
      </c>
      <c r="Q132" s="94">
        <v>3127</v>
      </c>
      <c r="R132" s="94">
        <v>3116</v>
      </c>
      <c r="S132" s="94">
        <v>3106</v>
      </c>
      <c r="T132" s="94">
        <v>3096</v>
      </c>
      <c r="U132" s="94">
        <v>3085</v>
      </c>
      <c r="V132" s="94">
        <v>3075</v>
      </c>
      <c r="W132" s="94">
        <v>3065</v>
      </c>
      <c r="X132" s="94">
        <v>3054</v>
      </c>
      <c r="Y132" s="94">
        <v>3044</v>
      </c>
      <c r="Z132" s="94">
        <v>3034</v>
      </c>
      <c r="AA132" s="94">
        <v>3023</v>
      </c>
      <c r="AB132" s="94">
        <v>3013</v>
      </c>
      <c r="AC132" s="94">
        <v>3003</v>
      </c>
      <c r="AD132" s="94">
        <v>2992</v>
      </c>
      <c r="AE132" s="94">
        <v>2982</v>
      </c>
      <c r="AF132" s="94">
        <v>2972</v>
      </c>
      <c r="AG132" s="93">
        <v>-4.8700000000000002E-3</v>
      </c>
    </row>
    <row r="133" spans="1:33" ht="15" customHeight="1" x14ac:dyDescent="0.3">
      <c r="A133" s="92" t="s">
        <v>166</v>
      </c>
      <c r="B133" s="91" t="s">
        <v>167</v>
      </c>
      <c r="C133" s="90">
        <v>4071.6916500000002</v>
      </c>
      <c r="D133" s="90">
        <v>4181.7236329999996</v>
      </c>
      <c r="E133" s="90">
        <v>4034.5815429999998</v>
      </c>
      <c r="F133" s="90">
        <v>4018.084961</v>
      </c>
      <c r="G133" s="90">
        <v>4001.724365</v>
      </c>
      <c r="H133" s="90">
        <v>3985.4624020000001</v>
      </c>
      <c r="I133" s="90">
        <v>3968.9880370000001</v>
      </c>
      <c r="J133" s="90">
        <v>3952.8745119999999</v>
      </c>
      <c r="K133" s="90">
        <v>3936.5290530000002</v>
      </c>
      <c r="L133" s="90">
        <v>3920.0708009999998</v>
      </c>
      <c r="M133" s="90">
        <v>3903.6604000000002</v>
      </c>
      <c r="N133" s="90">
        <v>3887.3151859999998</v>
      </c>
      <c r="O133" s="90">
        <v>3870.8471679999998</v>
      </c>
      <c r="P133" s="90">
        <v>3854.6083979999999</v>
      </c>
      <c r="Q133" s="90">
        <v>3838.3706050000001</v>
      </c>
      <c r="R133" s="90">
        <v>3821.8947750000002</v>
      </c>
      <c r="S133" s="90">
        <v>3805.4589839999999</v>
      </c>
      <c r="T133" s="90">
        <v>3789.2316890000002</v>
      </c>
      <c r="U133" s="90">
        <v>3772.6372070000002</v>
      </c>
      <c r="V133" s="90">
        <v>3756.5234380000002</v>
      </c>
      <c r="W133" s="90">
        <v>3740.0522460000002</v>
      </c>
      <c r="X133" s="90">
        <v>3723.6364749999998</v>
      </c>
      <c r="Y133" s="90">
        <v>3707.2749020000001</v>
      </c>
      <c r="Z133" s="90">
        <v>3691.0686040000001</v>
      </c>
      <c r="AA133" s="90">
        <v>3674.6044919999999</v>
      </c>
      <c r="AB133" s="90">
        <v>3658.2719729999999</v>
      </c>
      <c r="AC133" s="90">
        <v>3642.0092770000001</v>
      </c>
      <c r="AD133" s="90">
        <v>3625.7854000000002</v>
      </c>
      <c r="AE133" s="90">
        <v>3609.7651369999999</v>
      </c>
      <c r="AF133" s="90">
        <v>3593.8842770000001</v>
      </c>
      <c r="AG133" s="89">
        <v>-4.2950000000000002E-3</v>
      </c>
    </row>
    <row r="134" spans="1:33" ht="15" customHeight="1" x14ac:dyDescent="0.3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</row>
    <row r="135" spans="1:33" ht="15" customHeight="1" x14ac:dyDescent="0.35">
      <c r="B135" s="91" t="s">
        <v>168</v>
      </c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</row>
    <row r="136" spans="1:33" ht="15" customHeight="1" x14ac:dyDescent="0.35">
      <c r="A136" s="92" t="s">
        <v>169</v>
      </c>
      <c r="B136" s="95" t="s">
        <v>149</v>
      </c>
      <c r="C136" s="94">
        <v>600</v>
      </c>
      <c r="D136" s="94">
        <v>485</v>
      </c>
      <c r="E136" s="94">
        <v>598</v>
      </c>
      <c r="F136" s="94">
        <v>604</v>
      </c>
      <c r="G136" s="94">
        <v>611</v>
      </c>
      <c r="H136" s="94">
        <v>618</v>
      </c>
      <c r="I136" s="94">
        <v>624</v>
      </c>
      <c r="J136" s="94">
        <v>631</v>
      </c>
      <c r="K136" s="94">
        <v>638</v>
      </c>
      <c r="L136" s="94">
        <v>644</v>
      </c>
      <c r="M136" s="94">
        <v>651</v>
      </c>
      <c r="N136" s="94">
        <v>658</v>
      </c>
      <c r="O136" s="94">
        <v>664</v>
      </c>
      <c r="P136" s="94">
        <v>671</v>
      </c>
      <c r="Q136" s="94">
        <v>678</v>
      </c>
      <c r="R136" s="94">
        <v>685</v>
      </c>
      <c r="S136" s="94">
        <v>691</v>
      </c>
      <c r="T136" s="94">
        <v>698</v>
      </c>
      <c r="U136" s="94">
        <v>705</v>
      </c>
      <c r="V136" s="94">
        <v>712</v>
      </c>
      <c r="W136" s="94">
        <v>718</v>
      </c>
      <c r="X136" s="94">
        <v>725</v>
      </c>
      <c r="Y136" s="94">
        <v>732</v>
      </c>
      <c r="Z136" s="94">
        <v>739</v>
      </c>
      <c r="AA136" s="94">
        <v>745</v>
      </c>
      <c r="AB136" s="94">
        <v>752</v>
      </c>
      <c r="AC136" s="94">
        <v>759</v>
      </c>
      <c r="AD136" s="94">
        <v>766</v>
      </c>
      <c r="AE136" s="94">
        <v>772</v>
      </c>
      <c r="AF136" s="94">
        <v>779</v>
      </c>
      <c r="AG136" s="93">
        <v>9.0430000000000007E-3</v>
      </c>
    </row>
    <row r="137" spans="1:33" ht="15" customHeight="1" x14ac:dyDescent="0.35">
      <c r="A137" s="92" t="s">
        <v>170</v>
      </c>
      <c r="B137" s="95" t="s">
        <v>151</v>
      </c>
      <c r="C137" s="94">
        <v>835</v>
      </c>
      <c r="D137" s="94">
        <v>682</v>
      </c>
      <c r="E137" s="94">
        <v>839</v>
      </c>
      <c r="F137" s="94">
        <v>847</v>
      </c>
      <c r="G137" s="94">
        <v>856</v>
      </c>
      <c r="H137" s="94">
        <v>864</v>
      </c>
      <c r="I137" s="94">
        <v>872</v>
      </c>
      <c r="J137" s="94">
        <v>881</v>
      </c>
      <c r="K137" s="94">
        <v>889</v>
      </c>
      <c r="L137" s="94">
        <v>897</v>
      </c>
      <c r="M137" s="94">
        <v>906</v>
      </c>
      <c r="N137" s="94">
        <v>914</v>
      </c>
      <c r="O137" s="94">
        <v>922</v>
      </c>
      <c r="P137" s="94">
        <v>931</v>
      </c>
      <c r="Q137" s="94">
        <v>939</v>
      </c>
      <c r="R137" s="94">
        <v>947</v>
      </c>
      <c r="S137" s="94">
        <v>956</v>
      </c>
      <c r="T137" s="94">
        <v>964</v>
      </c>
      <c r="U137" s="94">
        <v>972</v>
      </c>
      <c r="V137" s="94">
        <v>981</v>
      </c>
      <c r="W137" s="94">
        <v>989</v>
      </c>
      <c r="X137" s="94">
        <v>998</v>
      </c>
      <c r="Y137" s="94">
        <v>1006</v>
      </c>
      <c r="Z137" s="94">
        <v>1014</v>
      </c>
      <c r="AA137" s="94">
        <v>1023</v>
      </c>
      <c r="AB137" s="94">
        <v>1031</v>
      </c>
      <c r="AC137" s="94">
        <v>1039</v>
      </c>
      <c r="AD137" s="94">
        <v>1048</v>
      </c>
      <c r="AE137" s="94">
        <v>1056</v>
      </c>
      <c r="AF137" s="94">
        <v>1064</v>
      </c>
      <c r="AG137" s="93">
        <v>8.3920000000000002E-3</v>
      </c>
    </row>
    <row r="138" spans="1:33" ht="15" customHeight="1" x14ac:dyDescent="0.35">
      <c r="A138" s="92" t="s">
        <v>171</v>
      </c>
      <c r="B138" s="95" t="s">
        <v>153</v>
      </c>
      <c r="C138" s="94">
        <v>909</v>
      </c>
      <c r="D138" s="94">
        <v>733</v>
      </c>
      <c r="E138" s="94">
        <v>856</v>
      </c>
      <c r="F138" s="94">
        <v>862</v>
      </c>
      <c r="G138" s="94">
        <v>868</v>
      </c>
      <c r="H138" s="94">
        <v>873</v>
      </c>
      <c r="I138" s="94">
        <v>879</v>
      </c>
      <c r="J138" s="94">
        <v>885</v>
      </c>
      <c r="K138" s="94">
        <v>891</v>
      </c>
      <c r="L138" s="94">
        <v>897</v>
      </c>
      <c r="M138" s="94">
        <v>902</v>
      </c>
      <c r="N138" s="94">
        <v>908</v>
      </c>
      <c r="O138" s="94">
        <v>914</v>
      </c>
      <c r="P138" s="94">
        <v>920</v>
      </c>
      <c r="Q138" s="94">
        <v>926</v>
      </c>
      <c r="R138" s="94">
        <v>931</v>
      </c>
      <c r="S138" s="94">
        <v>937</v>
      </c>
      <c r="T138" s="94">
        <v>943</v>
      </c>
      <c r="U138" s="94">
        <v>949</v>
      </c>
      <c r="V138" s="94">
        <v>955</v>
      </c>
      <c r="W138" s="94">
        <v>960</v>
      </c>
      <c r="X138" s="94">
        <v>966</v>
      </c>
      <c r="Y138" s="94">
        <v>972</v>
      </c>
      <c r="Z138" s="94">
        <v>978</v>
      </c>
      <c r="AA138" s="94">
        <v>984</v>
      </c>
      <c r="AB138" s="94">
        <v>990</v>
      </c>
      <c r="AC138" s="94">
        <v>995</v>
      </c>
      <c r="AD138" s="94">
        <v>1001</v>
      </c>
      <c r="AE138" s="94">
        <v>1007</v>
      </c>
      <c r="AF138" s="94">
        <v>1013</v>
      </c>
      <c r="AG138" s="93">
        <v>3.7420000000000001E-3</v>
      </c>
    </row>
    <row r="139" spans="1:33" ht="15" customHeight="1" x14ac:dyDescent="0.35">
      <c r="A139" s="92" t="s">
        <v>172</v>
      </c>
      <c r="B139" s="95" t="s">
        <v>155</v>
      </c>
      <c r="C139" s="94">
        <v>1089</v>
      </c>
      <c r="D139" s="94">
        <v>918</v>
      </c>
      <c r="E139" s="94">
        <v>1036</v>
      </c>
      <c r="F139" s="94">
        <v>1042</v>
      </c>
      <c r="G139" s="94">
        <v>1047</v>
      </c>
      <c r="H139" s="94">
        <v>1053</v>
      </c>
      <c r="I139" s="94">
        <v>1058</v>
      </c>
      <c r="J139" s="94">
        <v>1064</v>
      </c>
      <c r="K139" s="94">
        <v>1070</v>
      </c>
      <c r="L139" s="94">
        <v>1076</v>
      </c>
      <c r="M139" s="94">
        <v>1081</v>
      </c>
      <c r="N139" s="94">
        <v>1087</v>
      </c>
      <c r="O139" s="94">
        <v>1093</v>
      </c>
      <c r="P139" s="94">
        <v>1099</v>
      </c>
      <c r="Q139" s="94">
        <v>1104</v>
      </c>
      <c r="R139" s="94">
        <v>1110</v>
      </c>
      <c r="S139" s="94">
        <v>1116</v>
      </c>
      <c r="T139" s="94">
        <v>1122</v>
      </c>
      <c r="U139" s="94">
        <v>1128</v>
      </c>
      <c r="V139" s="94">
        <v>1134</v>
      </c>
      <c r="W139" s="94">
        <v>1139</v>
      </c>
      <c r="X139" s="94">
        <v>1145</v>
      </c>
      <c r="Y139" s="94">
        <v>1151</v>
      </c>
      <c r="Z139" s="94">
        <v>1157</v>
      </c>
      <c r="AA139" s="94">
        <v>1163</v>
      </c>
      <c r="AB139" s="94">
        <v>1169</v>
      </c>
      <c r="AC139" s="94">
        <v>1175</v>
      </c>
      <c r="AD139" s="94">
        <v>1180</v>
      </c>
      <c r="AE139" s="94">
        <v>1186</v>
      </c>
      <c r="AF139" s="94">
        <v>1192</v>
      </c>
      <c r="AG139" s="93">
        <v>3.1210000000000001E-3</v>
      </c>
    </row>
    <row r="140" spans="1:33" ht="15" customHeight="1" x14ac:dyDescent="0.35">
      <c r="A140" s="92" t="s">
        <v>173</v>
      </c>
      <c r="B140" s="95" t="s">
        <v>157</v>
      </c>
      <c r="C140" s="94">
        <v>2213</v>
      </c>
      <c r="D140" s="94">
        <v>2190</v>
      </c>
      <c r="E140" s="94">
        <v>2386</v>
      </c>
      <c r="F140" s="94">
        <v>2402</v>
      </c>
      <c r="G140" s="94">
        <v>2418</v>
      </c>
      <c r="H140" s="94">
        <v>2435</v>
      </c>
      <c r="I140" s="94">
        <v>2451</v>
      </c>
      <c r="J140" s="94">
        <v>2467</v>
      </c>
      <c r="K140" s="94">
        <v>2483</v>
      </c>
      <c r="L140" s="94">
        <v>2500</v>
      </c>
      <c r="M140" s="94">
        <v>2516</v>
      </c>
      <c r="N140" s="94">
        <v>2532</v>
      </c>
      <c r="O140" s="94">
        <v>2549</v>
      </c>
      <c r="P140" s="94">
        <v>2565</v>
      </c>
      <c r="Q140" s="94">
        <v>2582</v>
      </c>
      <c r="R140" s="94">
        <v>2598</v>
      </c>
      <c r="S140" s="94">
        <v>2615</v>
      </c>
      <c r="T140" s="94">
        <v>2631</v>
      </c>
      <c r="U140" s="94">
        <v>2648</v>
      </c>
      <c r="V140" s="94">
        <v>2664</v>
      </c>
      <c r="W140" s="94">
        <v>2681</v>
      </c>
      <c r="X140" s="94">
        <v>2698</v>
      </c>
      <c r="Y140" s="94">
        <v>2714</v>
      </c>
      <c r="Z140" s="94">
        <v>2731</v>
      </c>
      <c r="AA140" s="94">
        <v>2748</v>
      </c>
      <c r="AB140" s="94">
        <v>2764</v>
      </c>
      <c r="AC140" s="94">
        <v>2781</v>
      </c>
      <c r="AD140" s="94">
        <v>2798</v>
      </c>
      <c r="AE140" s="94">
        <v>2815</v>
      </c>
      <c r="AF140" s="94">
        <v>2831</v>
      </c>
      <c r="AG140" s="93">
        <v>8.5290000000000001E-3</v>
      </c>
    </row>
    <row r="141" spans="1:33" ht="14.5" x14ac:dyDescent="0.35">
      <c r="A141" s="92" t="s">
        <v>174</v>
      </c>
      <c r="B141" s="95" t="s">
        <v>159</v>
      </c>
      <c r="C141" s="94">
        <v>1605</v>
      </c>
      <c r="D141" s="94">
        <v>1628</v>
      </c>
      <c r="E141" s="94">
        <v>1803</v>
      </c>
      <c r="F141" s="94">
        <v>1813</v>
      </c>
      <c r="G141" s="94">
        <v>1822</v>
      </c>
      <c r="H141" s="94">
        <v>1832</v>
      </c>
      <c r="I141" s="94">
        <v>1841</v>
      </c>
      <c r="J141" s="94">
        <v>1851</v>
      </c>
      <c r="K141" s="94">
        <v>1860</v>
      </c>
      <c r="L141" s="94">
        <v>1870</v>
      </c>
      <c r="M141" s="94">
        <v>1880</v>
      </c>
      <c r="N141" s="94">
        <v>1889</v>
      </c>
      <c r="O141" s="94">
        <v>1899</v>
      </c>
      <c r="P141" s="94">
        <v>1909</v>
      </c>
      <c r="Q141" s="94">
        <v>1919</v>
      </c>
      <c r="R141" s="94">
        <v>1928</v>
      </c>
      <c r="S141" s="94">
        <v>1938</v>
      </c>
      <c r="T141" s="94">
        <v>1948</v>
      </c>
      <c r="U141" s="94">
        <v>1958</v>
      </c>
      <c r="V141" s="94">
        <v>1967</v>
      </c>
      <c r="W141" s="94">
        <v>1977</v>
      </c>
      <c r="X141" s="94">
        <v>1987</v>
      </c>
      <c r="Y141" s="94">
        <v>1997</v>
      </c>
      <c r="Z141" s="94">
        <v>2007</v>
      </c>
      <c r="AA141" s="94">
        <v>2016</v>
      </c>
      <c r="AB141" s="94">
        <v>2026</v>
      </c>
      <c r="AC141" s="94">
        <v>2036</v>
      </c>
      <c r="AD141" s="94">
        <v>2046</v>
      </c>
      <c r="AE141" s="94">
        <v>2056</v>
      </c>
      <c r="AF141" s="94">
        <v>2065</v>
      </c>
      <c r="AG141" s="93">
        <v>8.7279999999999996E-3</v>
      </c>
    </row>
    <row r="142" spans="1:33" ht="14.5" x14ac:dyDescent="0.35">
      <c r="A142" s="92" t="s">
        <v>175</v>
      </c>
      <c r="B142" s="95" t="s">
        <v>161</v>
      </c>
      <c r="C142" s="94">
        <v>2605</v>
      </c>
      <c r="D142" s="94">
        <v>2648</v>
      </c>
      <c r="E142" s="94">
        <v>2872</v>
      </c>
      <c r="F142" s="94">
        <v>2887</v>
      </c>
      <c r="G142" s="94">
        <v>2901</v>
      </c>
      <c r="H142" s="94">
        <v>2916</v>
      </c>
      <c r="I142" s="94">
        <v>2930</v>
      </c>
      <c r="J142" s="94">
        <v>2945</v>
      </c>
      <c r="K142" s="94">
        <v>2960</v>
      </c>
      <c r="L142" s="94">
        <v>2974</v>
      </c>
      <c r="M142" s="94">
        <v>2989</v>
      </c>
      <c r="N142" s="94">
        <v>3003</v>
      </c>
      <c r="O142" s="94">
        <v>3018</v>
      </c>
      <c r="P142" s="94">
        <v>3033</v>
      </c>
      <c r="Q142" s="94">
        <v>3047</v>
      </c>
      <c r="R142" s="94">
        <v>3062</v>
      </c>
      <c r="S142" s="94">
        <v>3076</v>
      </c>
      <c r="T142" s="94">
        <v>3091</v>
      </c>
      <c r="U142" s="94">
        <v>3106</v>
      </c>
      <c r="V142" s="94">
        <v>3120</v>
      </c>
      <c r="W142" s="94">
        <v>3135</v>
      </c>
      <c r="X142" s="94">
        <v>3149</v>
      </c>
      <c r="Y142" s="94">
        <v>3164</v>
      </c>
      <c r="Z142" s="94">
        <v>3178</v>
      </c>
      <c r="AA142" s="94">
        <v>3193</v>
      </c>
      <c r="AB142" s="94">
        <v>3207</v>
      </c>
      <c r="AC142" s="94">
        <v>3222</v>
      </c>
      <c r="AD142" s="94">
        <v>3237</v>
      </c>
      <c r="AE142" s="94">
        <v>3251</v>
      </c>
      <c r="AF142" s="94">
        <v>3266</v>
      </c>
      <c r="AG142" s="93">
        <v>7.8279999999999999E-3</v>
      </c>
    </row>
    <row r="143" spans="1:33" ht="14.5" x14ac:dyDescent="0.35">
      <c r="A143" s="92" t="s">
        <v>176</v>
      </c>
      <c r="B143" s="95" t="s">
        <v>163</v>
      </c>
      <c r="C143" s="94">
        <v>1561</v>
      </c>
      <c r="D143" s="94">
        <v>1450</v>
      </c>
      <c r="E143" s="94">
        <v>1575</v>
      </c>
      <c r="F143" s="94">
        <v>1585</v>
      </c>
      <c r="G143" s="94">
        <v>1594</v>
      </c>
      <c r="H143" s="94">
        <v>1604</v>
      </c>
      <c r="I143" s="94">
        <v>1614</v>
      </c>
      <c r="J143" s="94">
        <v>1624</v>
      </c>
      <c r="K143" s="94">
        <v>1634</v>
      </c>
      <c r="L143" s="94">
        <v>1643</v>
      </c>
      <c r="M143" s="94">
        <v>1654</v>
      </c>
      <c r="N143" s="94">
        <v>1664</v>
      </c>
      <c r="O143" s="94">
        <v>1674</v>
      </c>
      <c r="P143" s="94">
        <v>1684</v>
      </c>
      <c r="Q143" s="94">
        <v>1694</v>
      </c>
      <c r="R143" s="94">
        <v>1705</v>
      </c>
      <c r="S143" s="94">
        <v>1715</v>
      </c>
      <c r="T143" s="94">
        <v>1725</v>
      </c>
      <c r="U143" s="94">
        <v>1735</v>
      </c>
      <c r="V143" s="94">
        <v>1746</v>
      </c>
      <c r="W143" s="94">
        <v>1756</v>
      </c>
      <c r="X143" s="94">
        <v>1767</v>
      </c>
      <c r="Y143" s="94">
        <v>1777</v>
      </c>
      <c r="Z143" s="94">
        <v>1788</v>
      </c>
      <c r="AA143" s="94">
        <v>1798</v>
      </c>
      <c r="AB143" s="94">
        <v>1808</v>
      </c>
      <c r="AC143" s="94">
        <v>1819</v>
      </c>
      <c r="AD143" s="94">
        <v>1829</v>
      </c>
      <c r="AE143" s="94">
        <v>1840</v>
      </c>
      <c r="AF143" s="94">
        <v>1850</v>
      </c>
      <c r="AG143" s="93">
        <v>5.8739999999999999E-3</v>
      </c>
    </row>
    <row r="144" spans="1:33" ht="14.5" x14ac:dyDescent="0.35">
      <c r="A144" s="92" t="s">
        <v>177</v>
      </c>
      <c r="B144" s="95" t="s">
        <v>165</v>
      </c>
      <c r="C144" s="94">
        <v>1017</v>
      </c>
      <c r="D144" s="94">
        <v>853</v>
      </c>
      <c r="E144" s="94">
        <v>990</v>
      </c>
      <c r="F144" s="94">
        <v>997</v>
      </c>
      <c r="G144" s="94">
        <v>1004</v>
      </c>
      <c r="H144" s="94">
        <v>1012</v>
      </c>
      <c r="I144" s="94">
        <v>1019</v>
      </c>
      <c r="J144" s="94">
        <v>1026</v>
      </c>
      <c r="K144" s="94">
        <v>1033</v>
      </c>
      <c r="L144" s="94">
        <v>1041</v>
      </c>
      <c r="M144" s="94">
        <v>1048</v>
      </c>
      <c r="N144" s="94">
        <v>1055</v>
      </c>
      <c r="O144" s="94">
        <v>1063</v>
      </c>
      <c r="P144" s="94">
        <v>1070</v>
      </c>
      <c r="Q144" s="94">
        <v>1077</v>
      </c>
      <c r="R144" s="94">
        <v>1085</v>
      </c>
      <c r="S144" s="94">
        <v>1092</v>
      </c>
      <c r="T144" s="94">
        <v>1100</v>
      </c>
      <c r="U144" s="94">
        <v>1107</v>
      </c>
      <c r="V144" s="94">
        <v>1114</v>
      </c>
      <c r="W144" s="94">
        <v>1122</v>
      </c>
      <c r="X144" s="94">
        <v>1129</v>
      </c>
      <c r="Y144" s="94">
        <v>1137</v>
      </c>
      <c r="Z144" s="94">
        <v>1144</v>
      </c>
      <c r="AA144" s="94">
        <v>1151</v>
      </c>
      <c r="AB144" s="94">
        <v>1159</v>
      </c>
      <c r="AC144" s="94">
        <v>1166</v>
      </c>
      <c r="AD144" s="94">
        <v>1174</v>
      </c>
      <c r="AE144" s="94">
        <v>1181</v>
      </c>
      <c r="AF144" s="94">
        <v>1188</v>
      </c>
      <c r="AG144" s="93">
        <v>5.3730000000000002E-3</v>
      </c>
    </row>
    <row r="145" spans="1:33" x14ac:dyDescent="0.3">
      <c r="A145" s="92" t="s">
        <v>178</v>
      </c>
      <c r="B145" s="91" t="s">
        <v>167</v>
      </c>
      <c r="C145" s="90">
        <v>1480.0982670000001</v>
      </c>
      <c r="D145" s="90">
        <v>1388.9644780000001</v>
      </c>
      <c r="E145" s="90">
        <v>1550.6990969999999</v>
      </c>
      <c r="F145" s="90">
        <v>1563.199707</v>
      </c>
      <c r="G145" s="90">
        <v>1575.5548100000001</v>
      </c>
      <c r="H145" s="90">
        <v>1588.360962</v>
      </c>
      <c r="I145" s="90">
        <v>1600.6530760000001</v>
      </c>
      <c r="J145" s="90">
        <v>1613.3710940000001</v>
      </c>
      <c r="K145" s="90">
        <v>1625.9259030000001</v>
      </c>
      <c r="L145" s="90">
        <v>1638.6750489999999</v>
      </c>
      <c r="M145" s="90">
        <v>1651.329712</v>
      </c>
      <c r="N145" s="90">
        <v>1663.8204350000001</v>
      </c>
      <c r="O145" s="90">
        <v>1676.8538820000001</v>
      </c>
      <c r="P145" s="90">
        <v>1689.6938479999999</v>
      </c>
      <c r="Q145" s="90">
        <v>1702.456543</v>
      </c>
      <c r="R145" s="90">
        <v>1715.2974850000001</v>
      </c>
      <c r="S145" s="90">
        <v>1728.24585</v>
      </c>
      <c r="T145" s="90">
        <v>1741.2354740000001</v>
      </c>
      <c r="U145" s="90">
        <v>1754.2924800000001</v>
      </c>
      <c r="V145" s="90">
        <v>1767.1669919999999</v>
      </c>
      <c r="W145" s="90">
        <v>1780.2073969999999</v>
      </c>
      <c r="X145" s="90">
        <v>1793.3945309999999</v>
      </c>
      <c r="Y145" s="90">
        <v>1806.5004879999999</v>
      </c>
      <c r="Z145" s="90">
        <v>1819.6241460000001</v>
      </c>
      <c r="AA145" s="90">
        <v>1832.8323969999999</v>
      </c>
      <c r="AB145" s="90">
        <v>1845.8476559999999</v>
      </c>
      <c r="AC145" s="90">
        <v>1859.011841</v>
      </c>
      <c r="AD145" s="90">
        <v>1872.3980710000001</v>
      </c>
      <c r="AE145" s="90">
        <v>1885.389404</v>
      </c>
      <c r="AF145" s="90">
        <v>1898.128052</v>
      </c>
      <c r="AG145" s="89">
        <v>8.6149999999999994E-3</v>
      </c>
    </row>
    <row r="146" spans="1:33" ht="12.5" thickBot="1" x14ac:dyDescent="0.35"/>
    <row r="147" spans="1:33" x14ac:dyDescent="0.3">
      <c r="B147" s="88" t="s">
        <v>2762</v>
      </c>
    </row>
    <row r="148" spans="1:33" x14ac:dyDescent="0.3">
      <c r="B148" s="87" t="s">
        <v>2763</v>
      </c>
    </row>
    <row r="149" spans="1:33" x14ac:dyDescent="0.3">
      <c r="B149" s="87" t="s">
        <v>2764</v>
      </c>
    </row>
    <row r="150" spans="1:33" ht="15" customHeight="1" x14ac:dyDescent="0.3">
      <c r="B150" s="87" t="s">
        <v>2873</v>
      </c>
    </row>
    <row r="151" spans="1:33" ht="15" customHeight="1" x14ac:dyDescent="0.3">
      <c r="B151" s="87" t="s">
        <v>2765</v>
      </c>
    </row>
    <row r="152" spans="1:33" ht="15" customHeight="1" x14ac:dyDescent="0.3">
      <c r="B152" s="87" t="s">
        <v>2766</v>
      </c>
    </row>
    <row r="153" spans="1:33" ht="15" customHeight="1" x14ac:dyDescent="0.3">
      <c r="B153" s="87" t="s">
        <v>179</v>
      </c>
    </row>
    <row r="154" spans="1:33" ht="15" customHeight="1" x14ac:dyDescent="0.3">
      <c r="B154" s="87" t="s">
        <v>2767</v>
      </c>
    </row>
    <row r="155" spans="1:33" ht="15" customHeight="1" x14ac:dyDescent="0.3">
      <c r="B155" s="87" t="s">
        <v>2768</v>
      </c>
    </row>
    <row r="156" spans="1:33" ht="15" customHeight="1" x14ac:dyDescent="0.3">
      <c r="B156" s="87" t="s">
        <v>2769</v>
      </c>
    </row>
    <row r="157" spans="1:33" ht="15" customHeight="1" x14ac:dyDescent="0.3">
      <c r="B157" s="87" t="s">
        <v>2770</v>
      </c>
    </row>
    <row r="158" spans="1:33" ht="15" customHeight="1" x14ac:dyDescent="0.3">
      <c r="B158" s="87" t="s">
        <v>2771</v>
      </c>
    </row>
    <row r="159" spans="1:33" ht="15" customHeight="1" x14ac:dyDescent="0.3">
      <c r="B159" s="87" t="s">
        <v>180</v>
      </c>
    </row>
    <row r="160" spans="1:33" ht="15" customHeight="1" x14ac:dyDescent="0.3">
      <c r="B160" s="87" t="s">
        <v>2772</v>
      </c>
    </row>
    <row r="161" spans="2:2" ht="15" customHeight="1" x14ac:dyDescent="0.3">
      <c r="B161" s="87" t="s">
        <v>2773</v>
      </c>
    </row>
    <row r="162" spans="2:2" ht="15" customHeight="1" x14ac:dyDescent="0.3">
      <c r="B162" s="87" t="s">
        <v>2774</v>
      </c>
    </row>
    <row r="163" spans="2:2" ht="15" customHeight="1" x14ac:dyDescent="0.3">
      <c r="B163" s="87" t="s">
        <v>2775</v>
      </c>
    </row>
    <row r="164" spans="2:2" ht="15" customHeight="1" x14ac:dyDescent="0.3">
      <c r="B164" s="87" t="s">
        <v>2776</v>
      </c>
    </row>
    <row r="165" spans="2:2" x14ac:dyDescent="0.3">
      <c r="B165" s="87" t="s">
        <v>2777</v>
      </c>
    </row>
    <row r="166" spans="2:2" ht="15" customHeight="1" x14ac:dyDescent="0.3">
      <c r="B166" s="87" t="s">
        <v>2872</v>
      </c>
    </row>
    <row r="167" spans="2:2" ht="15" customHeight="1" x14ac:dyDescent="0.3">
      <c r="B167" s="87" t="s">
        <v>2871</v>
      </c>
    </row>
    <row r="168" spans="2:2" ht="15" customHeight="1" x14ac:dyDescent="0.3"/>
    <row r="169" spans="2:2" ht="15" customHeight="1" x14ac:dyDescent="0.3"/>
    <row r="170" spans="2:2" ht="15" customHeight="1" x14ac:dyDescent="0.3"/>
    <row r="171" spans="2:2" ht="15" customHeight="1" x14ac:dyDescent="0.3"/>
    <row r="172" spans="2:2" ht="15" customHeight="1" x14ac:dyDescent="0.3"/>
    <row r="173" spans="2:2" ht="15" customHeight="1" x14ac:dyDescent="0.3"/>
    <row r="174" spans="2:2" ht="15" customHeight="1" x14ac:dyDescent="0.3"/>
    <row r="175" spans="2:2" ht="15" customHeight="1" x14ac:dyDescent="0.3"/>
    <row r="176" spans="2:2" ht="15" customHeight="1" x14ac:dyDescent="0.3"/>
    <row r="177" ht="15" customHeight="1" x14ac:dyDescent="0.3"/>
    <row r="178" ht="15" customHeight="1" x14ac:dyDescent="0.3"/>
    <row r="179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4" ht="15" customHeight="1" x14ac:dyDescent="0.3"/>
    <row r="225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spans="2:33" ht="15" customHeight="1" x14ac:dyDescent="0.3"/>
    <row r="306" spans="2:33" ht="15" customHeight="1" x14ac:dyDescent="0.3"/>
    <row r="307" spans="2:33" ht="15" customHeight="1" x14ac:dyDescent="0.3"/>
    <row r="308" spans="2:33" ht="15" customHeight="1" x14ac:dyDescent="0.3"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  <c r="AB308" s="184"/>
      <c r="AC308" s="184"/>
      <c r="AD308" s="184"/>
      <c r="AE308" s="184"/>
      <c r="AF308" s="184"/>
      <c r="AG308" s="184"/>
    </row>
    <row r="309" spans="2:33" ht="15" customHeight="1" x14ac:dyDescent="0.3"/>
    <row r="310" spans="2:33" ht="15" customHeight="1" x14ac:dyDescent="0.3"/>
    <row r="311" spans="2:33" ht="15" customHeight="1" x14ac:dyDescent="0.3"/>
    <row r="312" spans="2:33" ht="15" customHeight="1" x14ac:dyDescent="0.3"/>
    <row r="313" spans="2:33" ht="15" customHeight="1" x14ac:dyDescent="0.3"/>
    <row r="314" spans="2:33" ht="15" customHeight="1" x14ac:dyDescent="0.3"/>
    <row r="315" spans="2:33" ht="15" customHeight="1" x14ac:dyDescent="0.3"/>
    <row r="316" spans="2:33" ht="15" customHeight="1" x14ac:dyDescent="0.3"/>
    <row r="317" spans="2:33" ht="15" customHeight="1" x14ac:dyDescent="0.3"/>
    <row r="318" spans="2:33" ht="15" customHeight="1" x14ac:dyDescent="0.3"/>
    <row r="319" spans="2:33" ht="15" customHeight="1" x14ac:dyDescent="0.3"/>
    <row r="320" spans="2:33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spans="2:33" ht="15" customHeight="1" x14ac:dyDescent="0.3"/>
    <row r="498" spans="2:33" ht="15" customHeight="1" x14ac:dyDescent="0.3"/>
    <row r="500" spans="2:33" ht="15" customHeight="1" x14ac:dyDescent="0.3"/>
    <row r="501" spans="2:33" ht="15" customHeight="1" x14ac:dyDescent="0.3"/>
    <row r="502" spans="2:33" ht="15" customHeight="1" x14ac:dyDescent="0.3"/>
    <row r="503" spans="2:33" ht="15" customHeight="1" x14ac:dyDescent="0.3"/>
    <row r="504" spans="2:33" ht="15" customHeight="1" x14ac:dyDescent="0.3"/>
    <row r="505" spans="2:33" ht="15" customHeight="1" x14ac:dyDescent="0.3"/>
    <row r="506" spans="2:33" ht="15" customHeight="1" x14ac:dyDescent="0.3"/>
    <row r="507" spans="2:33" ht="15" customHeight="1" x14ac:dyDescent="0.3"/>
    <row r="508" spans="2:33" ht="15" customHeight="1" x14ac:dyDescent="0.3"/>
    <row r="510" spans="2:33" ht="15" customHeight="1" x14ac:dyDescent="0.3"/>
    <row r="511" spans="2:33" ht="15" customHeight="1" x14ac:dyDescent="0.3"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  <c r="AB511" s="184"/>
      <c r="AC511" s="184"/>
      <c r="AD511" s="184"/>
      <c r="AE511" s="184"/>
      <c r="AF511" s="184"/>
      <c r="AG511" s="184"/>
    </row>
    <row r="512" spans="2:33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7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9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60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spans="2:33" ht="15" customHeight="1" x14ac:dyDescent="0.3"/>
    <row r="706" spans="2:33" ht="15" customHeight="1" x14ac:dyDescent="0.3"/>
    <row r="707" spans="2:33" ht="15" customHeight="1" x14ac:dyDescent="0.3"/>
    <row r="708" spans="2:33" ht="15" customHeight="1" x14ac:dyDescent="0.3"/>
    <row r="709" spans="2:33" ht="15" customHeight="1" x14ac:dyDescent="0.3"/>
    <row r="710" spans="2:33" ht="15" customHeight="1" x14ac:dyDescent="0.3"/>
    <row r="711" spans="2:33" ht="15" customHeight="1" x14ac:dyDescent="0.3"/>
    <row r="712" spans="2:33" ht="15" customHeight="1" x14ac:dyDescent="0.3"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184"/>
      <c r="AF712" s="184"/>
      <c r="AG712" s="184"/>
    </row>
    <row r="713" spans="2:33" ht="15" customHeight="1" x14ac:dyDescent="0.3"/>
    <row r="714" spans="2:33" ht="15" customHeight="1" x14ac:dyDescent="0.3"/>
    <row r="715" spans="2:33" ht="15" customHeight="1" x14ac:dyDescent="0.3"/>
    <row r="716" spans="2:33" ht="15" customHeight="1" x14ac:dyDescent="0.3"/>
    <row r="717" spans="2:33" ht="15" customHeight="1" x14ac:dyDescent="0.3"/>
    <row r="718" spans="2:33" ht="15" customHeight="1" x14ac:dyDescent="0.3"/>
    <row r="719" spans="2:33" ht="15" customHeight="1" x14ac:dyDescent="0.3"/>
    <row r="720" spans="2:33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2" ht="15" customHeight="1" x14ac:dyDescent="0.3"/>
    <row r="823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40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spans="2:33" ht="15" customHeight="1" x14ac:dyDescent="0.3"/>
    <row r="882" spans="2:33" ht="15" customHeight="1" x14ac:dyDescent="0.3"/>
    <row r="883" spans="2:33" ht="15" customHeight="1" x14ac:dyDescent="0.3"/>
    <row r="884" spans="2:33" ht="15" customHeight="1" x14ac:dyDescent="0.3"/>
    <row r="885" spans="2:33" ht="15" customHeight="1" x14ac:dyDescent="0.3"/>
    <row r="886" spans="2:33" ht="15" customHeight="1" x14ac:dyDescent="0.3"/>
    <row r="887" spans="2:33" ht="15" customHeight="1" x14ac:dyDescent="0.3"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184"/>
      <c r="AE887" s="184"/>
      <c r="AF887" s="184"/>
      <c r="AG887" s="184"/>
    </row>
    <row r="888" spans="2:33" ht="15" customHeight="1" x14ac:dyDescent="0.3"/>
    <row r="889" spans="2:33" ht="15" customHeight="1" x14ac:dyDescent="0.3"/>
    <row r="890" spans="2:33" ht="15" customHeight="1" x14ac:dyDescent="0.3"/>
    <row r="891" spans="2:33" ht="15" customHeight="1" x14ac:dyDescent="0.3"/>
    <row r="892" spans="2:33" ht="15" customHeight="1" x14ac:dyDescent="0.3"/>
    <row r="893" spans="2:33" ht="15" customHeight="1" x14ac:dyDescent="0.3"/>
    <row r="894" spans="2:33" ht="15" customHeight="1" x14ac:dyDescent="0.3"/>
    <row r="895" spans="2:33" ht="15" customHeight="1" x14ac:dyDescent="0.3"/>
    <row r="896" spans="2:33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03" ht="15" customHeight="1" x14ac:dyDescent="0.3"/>
    <row r="1004" ht="15" customHeight="1" x14ac:dyDescent="0.3"/>
    <row r="1005" ht="15" customHeight="1" x14ac:dyDescent="0.3"/>
    <row r="1006" ht="15" customHeight="1" x14ac:dyDescent="0.3"/>
    <row r="1007" ht="15" customHeight="1" x14ac:dyDescent="0.3"/>
    <row r="1008" ht="15" customHeight="1" x14ac:dyDescent="0.3"/>
    <row r="1009" ht="15" customHeight="1" x14ac:dyDescent="0.3"/>
    <row r="1010" ht="15" customHeight="1" x14ac:dyDescent="0.3"/>
    <row r="1011" ht="15" customHeight="1" x14ac:dyDescent="0.3"/>
    <row r="1012" ht="15" customHeight="1" x14ac:dyDescent="0.3"/>
    <row r="1013" ht="15" customHeight="1" x14ac:dyDescent="0.3"/>
    <row r="1016" ht="15" customHeight="1" x14ac:dyDescent="0.3"/>
    <row r="1017" ht="15" customHeight="1" x14ac:dyDescent="0.3"/>
    <row r="1018" ht="15" customHeight="1" x14ac:dyDescent="0.3"/>
    <row r="1019" ht="15" customHeight="1" x14ac:dyDescent="0.3"/>
    <row r="1020" ht="15" customHeight="1" x14ac:dyDescent="0.3"/>
    <row r="1021" ht="15" customHeight="1" x14ac:dyDescent="0.3"/>
    <row r="1022" ht="15" customHeight="1" x14ac:dyDescent="0.3"/>
    <row r="1023" ht="15" customHeight="1" x14ac:dyDescent="0.3"/>
    <row r="1024" ht="15" customHeight="1" x14ac:dyDescent="0.3"/>
    <row r="1025" ht="15" customHeight="1" x14ac:dyDescent="0.3"/>
    <row r="1026" ht="15" customHeight="1" x14ac:dyDescent="0.3"/>
    <row r="1027" ht="15" customHeight="1" x14ac:dyDescent="0.3"/>
    <row r="1028" ht="15" customHeight="1" x14ac:dyDescent="0.3"/>
    <row r="1029" ht="15" customHeight="1" x14ac:dyDescent="0.3"/>
    <row r="1030" ht="15" customHeight="1" x14ac:dyDescent="0.3"/>
    <row r="1031" ht="15" customHeight="1" x14ac:dyDescent="0.3"/>
    <row r="1032" ht="15" customHeight="1" x14ac:dyDescent="0.3"/>
    <row r="1033" ht="15" customHeight="1" x14ac:dyDescent="0.3"/>
    <row r="1034" ht="15" customHeight="1" x14ac:dyDescent="0.3"/>
    <row r="1035" ht="15" customHeight="1" x14ac:dyDescent="0.3"/>
    <row r="1037" ht="15" customHeight="1" x14ac:dyDescent="0.3"/>
    <row r="1038" ht="15" customHeight="1" x14ac:dyDescent="0.3"/>
    <row r="1039" ht="15" customHeight="1" x14ac:dyDescent="0.3"/>
    <row r="1040" ht="15" customHeight="1" x14ac:dyDescent="0.3"/>
    <row r="1041" ht="15" customHeight="1" x14ac:dyDescent="0.3"/>
    <row r="1042" ht="15" customHeight="1" x14ac:dyDescent="0.3"/>
    <row r="1043" ht="15" customHeight="1" x14ac:dyDescent="0.3"/>
    <row r="1044" ht="15" customHeight="1" x14ac:dyDescent="0.3"/>
    <row r="1045" ht="15" customHeight="1" x14ac:dyDescent="0.3"/>
    <row r="1046" ht="15" customHeight="1" x14ac:dyDescent="0.3"/>
    <row r="1047" ht="15" customHeight="1" x14ac:dyDescent="0.3"/>
    <row r="1048" ht="15" customHeight="1" x14ac:dyDescent="0.3"/>
    <row r="1049" ht="15" customHeight="1" x14ac:dyDescent="0.3"/>
    <row r="1050" ht="15" customHeight="1" x14ac:dyDescent="0.3"/>
    <row r="1051" ht="15" customHeight="1" x14ac:dyDescent="0.3"/>
    <row r="1052" ht="15" customHeight="1" x14ac:dyDescent="0.3"/>
    <row r="1053" ht="15" customHeight="1" x14ac:dyDescent="0.3"/>
    <row r="1054" ht="15" customHeight="1" x14ac:dyDescent="0.3"/>
    <row r="1055" ht="15" customHeight="1" x14ac:dyDescent="0.3"/>
    <row r="1056" ht="15" customHeight="1" x14ac:dyDescent="0.3"/>
    <row r="1057" ht="15" customHeight="1" x14ac:dyDescent="0.3"/>
    <row r="1058" ht="15" customHeight="1" x14ac:dyDescent="0.3"/>
    <row r="1059" ht="15" customHeight="1" x14ac:dyDescent="0.3"/>
    <row r="1060" ht="15" customHeight="1" x14ac:dyDescent="0.3"/>
    <row r="1061" ht="15" customHeight="1" x14ac:dyDescent="0.3"/>
    <row r="1062" ht="15" customHeight="1" x14ac:dyDescent="0.3"/>
    <row r="1063" ht="15" customHeight="1" x14ac:dyDescent="0.3"/>
    <row r="1064" ht="15" customHeight="1" x14ac:dyDescent="0.3"/>
    <row r="1066" ht="15" customHeight="1" x14ac:dyDescent="0.3"/>
    <row r="1067" ht="15" customHeight="1" x14ac:dyDescent="0.3"/>
    <row r="1068" ht="15" customHeight="1" x14ac:dyDescent="0.3"/>
    <row r="1069" ht="15" customHeight="1" x14ac:dyDescent="0.3"/>
    <row r="1070" ht="15" customHeight="1" x14ac:dyDescent="0.3"/>
    <row r="1071" ht="15" customHeight="1" x14ac:dyDescent="0.3"/>
    <row r="1072" ht="15" customHeight="1" x14ac:dyDescent="0.3"/>
    <row r="1073" ht="15" customHeight="1" x14ac:dyDescent="0.3"/>
    <row r="1074" ht="15" customHeight="1" x14ac:dyDescent="0.3"/>
    <row r="1075" ht="15" customHeight="1" x14ac:dyDescent="0.3"/>
    <row r="1076" ht="15" customHeight="1" x14ac:dyDescent="0.3"/>
    <row r="1077" ht="15" customHeight="1" x14ac:dyDescent="0.3"/>
    <row r="1078" ht="15" customHeight="1" x14ac:dyDescent="0.3"/>
    <row r="1079" ht="15" customHeight="1" x14ac:dyDescent="0.3"/>
    <row r="1080" ht="15" customHeight="1" x14ac:dyDescent="0.3"/>
    <row r="1081" ht="15" customHeight="1" x14ac:dyDescent="0.3"/>
    <row r="1082" ht="15" customHeight="1" x14ac:dyDescent="0.3"/>
    <row r="1083" ht="15" customHeight="1" x14ac:dyDescent="0.3"/>
    <row r="1084" ht="15" customHeight="1" x14ac:dyDescent="0.3"/>
    <row r="1085" ht="15" customHeight="1" x14ac:dyDescent="0.3"/>
    <row r="1086" ht="15" customHeight="1" x14ac:dyDescent="0.3"/>
    <row r="1087" ht="15" customHeight="1" x14ac:dyDescent="0.3"/>
    <row r="1088" ht="15" customHeight="1" x14ac:dyDescent="0.3"/>
    <row r="1089" spans="2:33" ht="15" customHeight="1" x14ac:dyDescent="0.3"/>
    <row r="1090" spans="2:33" ht="15" customHeight="1" x14ac:dyDescent="0.3"/>
    <row r="1091" spans="2:33" ht="15" customHeight="1" x14ac:dyDescent="0.3"/>
    <row r="1092" spans="2:33" ht="15" customHeight="1" x14ac:dyDescent="0.3"/>
    <row r="1093" spans="2:33" ht="15" customHeight="1" x14ac:dyDescent="0.3"/>
    <row r="1094" spans="2:33" ht="15" customHeight="1" x14ac:dyDescent="0.3"/>
    <row r="1096" spans="2:33" ht="15" customHeight="1" x14ac:dyDescent="0.3"/>
    <row r="1097" spans="2:33" ht="15" customHeight="1" x14ac:dyDescent="0.3"/>
    <row r="1098" spans="2:33" ht="15" customHeight="1" x14ac:dyDescent="0.3"/>
    <row r="1099" spans="2:33" ht="15" customHeight="1" x14ac:dyDescent="0.3"/>
    <row r="1100" spans="2:33" ht="15" customHeight="1" x14ac:dyDescent="0.3">
      <c r="B1100" s="184"/>
      <c r="C1100" s="184"/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4"/>
      <c r="AE1100" s="184"/>
      <c r="AF1100" s="184"/>
      <c r="AG1100" s="184"/>
    </row>
    <row r="1101" spans="2:33" ht="15" customHeight="1" x14ac:dyDescent="0.3"/>
    <row r="1102" spans="2:33" ht="15" customHeight="1" x14ac:dyDescent="0.3"/>
    <row r="1103" spans="2:33" ht="15" customHeight="1" x14ac:dyDescent="0.3"/>
    <row r="1104" spans="2:33" ht="15" customHeight="1" x14ac:dyDescent="0.3"/>
    <row r="1105" ht="15" customHeight="1" x14ac:dyDescent="0.3"/>
    <row r="1106" ht="15" customHeight="1" x14ac:dyDescent="0.3"/>
    <row r="1107" ht="15" customHeight="1" x14ac:dyDescent="0.3"/>
    <row r="1108" ht="15" customHeight="1" x14ac:dyDescent="0.3"/>
    <row r="1109" ht="15" customHeight="1" x14ac:dyDescent="0.3"/>
    <row r="1110" ht="15" customHeight="1" x14ac:dyDescent="0.3"/>
    <row r="1111" ht="15" customHeight="1" x14ac:dyDescent="0.3"/>
    <row r="1150" ht="15" customHeight="1" x14ac:dyDescent="0.3"/>
    <row r="1151" ht="15" customHeight="1" x14ac:dyDescent="0.3"/>
    <row r="1152" ht="15" customHeight="1" x14ac:dyDescent="0.3"/>
    <row r="1153" ht="15" customHeight="1" x14ac:dyDescent="0.3"/>
    <row r="1154" ht="15" customHeight="1" x14ac:dyDescent="0.3"/>
    <row r="1155" ht="15" customHeight="1" x14ac:dyDescent="0.3"/>
    <row r="1156" ht="15" customHeight="1" x14ac:dyDescent="0.3"/>
    <row r="1157" ht="15" customHeight="1" x14ac:dyDescent="0.3"/>
    <row r="1158" ht="15" customHeight="1" x14ac:dyDescent="0.3"/>
    <row r="1159" ht="15" customHeight="1" x14ac:dyDescent="0.3"/>
    <row r="1160" ht="15" customHeight="1" x14ac:dyDescent="0.3"/>
    <row r="1161" ht="15" customHeight="1" x14ac:dyDescent="0.3"/>
    <row r="1162" ht="15" customHeight="1" x14ac:dyDescent="0.3"/>
    <row r="1163" ht="15" customHeight="1" x14ac:dyDescent="0.3"/>
    <row r="1164" ht="15" customHeight="1" x14ac:dyDescent="0.3"/>
    <row r="1165" ht="15" customHeight="1" x14ac:dyDescent="0.3"/>
    <row r="1166" ht="15" customHeight="1" x14ac:dyDescent="0.3"/>
    <row r="1167" ht="15" customHeight="1" x14ac:dyDescent="0.3"/>
    <row r="1168" ht="15" customHeight="1" x14ac:dyDescent="0.3"/>
    <row r="1170" ht="15" customHeight="1" x14ac:dyDescent="0.3"/>
    <row r="1171" ht="15" customHeight="1" x14ac:dyDescent="0.3"/>
    <row r="1172" ht="15" customHeight="1" x14ac:dyDescent="0.3"/>
    <row r="1173" ht="15" customHeight="1" x14ac:dyDescent="0.3"/>
    <row r="1174" ht="15" customHeight="1" x14ac:dyDescent="0.3"/>
    <row r="1175" ht="15" customHeight="1" x14ac:dyDescent="0.3"/>
    <row r="1176" ht="15" customHeight="1" x14ac:dyDescent="0.3"/>
    <row r="1177" ht="15" customHeight="1" x14ac:dyDescent="0.3"/>
    <row r="1178" ht="15" customHeight="1" x14ac:dyDescent="0.3"/>
    <row r="1179" ht="15" customHeight="1" x14ac:dyDescent="0.3"/>
    <row r="1180" ht="15" customHeight="1" x14ac:dyDescent="0.3"/>
    <row r="1181" ht="15" customHeight="1" x14ac:dyDescent="0.3"/>
    <row r="1182" ht="15" customHeight="1" x14ac:dyDescent="0.3"/>
    <row r="1183" ht="15" customHeight="1" x14ac:dyDescent="0.3"/>
    <row r="1184" ht="15" customHeight="1" x14ac:dyDescent="0.3"/>
    <row r="1185" ht="15" customHeight="1" x14ac:dyDescent="0.3"/>
    <row r="1186" ht="15" customHeight="1" x14ac:dyDescent="0.3"/>
    <row r="1187" ht="15" customHeight="1" x14ac:dyDescent="0.3"/>
    <row r="1188" ht="15" customHeight="1" x14ac:dyDescent="0.3"/>
    <row r="1189" ht="15" customHeight="1" x14ac:dyDescent="0.3"/>
    <row r="1190" ht="15" customHeight="1" x14ac:dyDescent="0.3"/>
    <row r="1191" ht="15" customHeight="1" x14ac:dyDescent="0.3"/>
    <row r="1192" ht="15" customHeight="1" x14ac:dyDescent="0.3"/>
    <row r="1194" ht="15" customHeight="1" x14ac:dyDescent="0.3"/>
    <row r="1195" ht="15" customHeight="1" x14ac:dyDescent="0.3"/>
    <row r="1196" ht="15" customHeight="1" x14ac:dyDescent="0.3"/>
    <row r="1197" ht="15" customHeight="1" x14ac:dyDescent="0.3"/>
    <row r="1198" ht="15" customHeight="1" x14ac:dyDescent="0.3"/>
    <row r="1199" ht="15" customHeight="1" x14ac:dyDescent="0.3"/>
    <row r="1200" ht="15" customHeight="1" x14ac:dyDescent="0.3"/>
    <row r="1201" ht="15" customHeight="1" x14ac:dyDescent="0.3"/>
    <row r="1202" ht="15" customHeight="1" x14ac:dyDescent="0.3"/>
    <row r="1203" ht="15" customHeight="1" x14ac:dyDescent="0.3"/>
    <row r="1204" ht="15" customHeight="1" x14ac:dyDescent="0.3"/>
    <row r="1205" ht="15" customHeight="1" x14ac:dyDescent="0.3"/>
    <row r="1206" ht="15" customHeight="1" x14ac:dyDescent="0.3"/>
    <row r="1207" ht="15" customHeight="1" x14ac:dyDescent="0.3"/>
    <row r="1208" ht="15" customHeight="1" x14ac:dyDescent="0.3"/>
    <row r="1209" ht="15" customHeight="1" x14ac:dyDescent="0.3"/>
    <row r="1211" ht="15" customHeight="1" x14ac:dyDescent="0.3"/>
    <row r="1212" ht="15" customHeight="1" x14ac:dyDescent="0.3"/>
    <row r="1213" ht="15" customHeight="1" x14ac:dyDescent="0.3"/>
    <row r="1214" ht="15" customHeight="1" x14ac:dyDescent="0.3"/>
    <row r="1215" ht="15" customHeight="1" x14ac:dyDescent="0.3"/>
    <row r="1216" ht="15" customHeight="1" x14ac:dyDescent="0.3"/>
    <row r="1217" spans="2:33" ht="15" customHeight="1" x14ac:dyDescent="0.3"/>
    <row r="1218" spans="2:33" ht="15" customHeight="1" x14ac:dyDescent="0.3"/>
    <row r="1219" spans="2:33" ht="15" customHeight="1" x14ac:dyDescent="0.3"/>
    <row r="1220" spans="2:33" ht="15" customHeight="1" x14ac:dyDescent="0.3"/>
    <row r="1221" spans="2:33" ht="15" customHeight="1" x14ac:dyDescent="0.3"/>
    <row r="1222" spans="2:33" ht="15" customHeight="1" x14ac:dyDescent="0.3"/>
    <row r="1223" spans="2:33" ht="15" customHeight="1" x14ac:dyDescent="0.3"/>
    <row r="1224" spans="2:33" ht="15" customHeight="1" x14ac:dyDescent="0.3"/>
    <row r="1225" spans="2:33" ht="15" customHeight="1" x14ac:dyDescent="0.3"/>
    <row r="1226" spans="2:33" ht="15" customHeight="1" x14ac:dyDescent="0.3"/>
    <row r="1227" spans="2:33" ht="15" customHeight="1" x14ac:dyDescent="0.3">
      <c r="B1227" s="184"/>
      <c r="C1227" s="184"/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4"/>
      <c r="AE1227" s="184"/>
      <c r="AF1227" s="184"/>
      <c r="AG1227" s="184"/>
    </row>
    <row r="1228" spans="2:33" ht="15" customHeight="1" x14ac:dyDescent="0.3"/>
    <row r="1229" spans="2:33" ht="15" customHeight="1" x14ac:dyDescent="0.3"/>
    <row r="1230" spans="2:33" ht="15" customHeight="1" x14ac:dyDescent="0.3"/>
    <row r="1231" spans="2:33" ht="15" customHeight="1" x14ac:dyDescent="0.3"/>
    <row r="1232" spans="2:33" ht="15" customHeight="1" x14ac:dyDescent="0.3"/>
    <row r="1233" ht="15" customHeight="1" x14ac:dyDescent="0.3"/>
    <row r="1234" ht="15" customHeight="1" x14ac:dyDescent="0.3"/>
    <row r="1235" ht="15" customHeight="1" x14ac:dyDescent="0.3"/>
    <row r="1236" ht="15" customHeight="1" x14ac:dyDescent="0.3"/>
    <row r="1237" ht="15" customHeight="1" x14ac:dyDescent="0.3"/>
    <row r="1300" ht="15" customHeight="1" x14ac:dyDescent="0.3"/>
    <row r="1301" ht="15" customHeight="1" x14ac:dyDescent="0.3"/>
    <row r="1302" ht="15" customHeight="1" x14ac:dyDescent="0.3"/>
    <row r="1303" ht="15" customHeight="1" x14ac:dyDescent="0.3"/>
    <row r="1304" ht="15" customHeight="1" x14ac:dyDescent="0.3"/>
    <row r="1305" ht="15" customHeight="1" x14ac:dyDescent="0.3"/>
    <row r="1307" ht="15" customHeight="1" x14ac:dyDescent="0.3"/>
    <row r="1308" ht="15" customHeight="1" x14ac:dyDescent="0.3"/>
    <row r="1309" ht="15" customHeight="1" x14ac:dyDescent="0.3"/>
    <row r="1310" ht="15" customHeight="1" x14ac:dyDescent="0.3"/>
    <row r="1311" ht="15" customHeight="1" x14ac:dyDescent="0.3"/>
    <row r="1312" ht="15" customHeight="1" x14ac:dyDescent="0.3"/>
    <row r="1313" ht="15" customHeight="1" x14ac:dyDescent="0.3"/>
    <row r="1314" ht="15" customHeight="1" x14ac:dyDescent="0.3"/>
    <row r="1315" ht="15" customHeight="1" x14ac:dyDescent="0.3"/>
    <row r="1316" ht="15" customHeight="1" x14ac:dyDescent="0.3"/>
    <row r="1317" ht="15" customHeight="1" x14ac:dyDescent="0.3"/>
    <row r="1318" ht="15" customHeight="1" x14ac:dyDescent="0.3"/>
    <row r="1319" ht="15" customHeight="1" x14ac:dyDescent="0.3"/>
    <row r="1320" ht="15" customHeight="1" x14ac:dyDescent="0.3"/>
    <row r="1321" ht="15" customHeight="1" x14ac:dyDescent="0.3"/>
    <row r="1322" ht="15" customHeight="1" x14ac:dyDescent="0.3"/>
    <row r="1323" ht="15" customHeight="1" x14ac:dyDescent="0.3"/>
    <row r="1324" ht="15" customHeight="1" x14ac:dyDescent="0.3"/>
    <row r="1325" ht="15" customHeight="1" x14ac:dyDescent="0.3"/>
    <row r="1327" ht="15" customHeight="1" x14ac:dyDescent="0.3"/>
    <row r="1329" ht="15" customHeight="1" x14ac:dyDescent="0.3"/>
    <row r="1330" ht="15" customHeight="1" x14ac:dyDescent="0.3"/>
    <row r="1331" ht="15" customHeight="1" x14ac:dyDescent="0.3"/>
    <row r="1332" ht="15" customHeight="1" x14ac:dyDescent="0.3"/>
    <row r="1333" ht="15" customHeight="1" x14ac:dyDescent="0.3"/>
    <row r="1334" ht="15" customHeight="1" x14ac:dyDescent="0.3"/>
    <row r="1335" ht="15" customHeight="1" x14ac:dyDescent="0.3"/>
    <row r="1336" ht="15" customHeight="1" x14ac:dyDescent="0.3"/>
    <row r="1337" ht="15" customHeight="1" x14ac:dyDescent="0.3"/>
    <row r="1338" ht="15" customHeight="1" x14ac:dyDescent="0.3"/>
    <row r="1340" ht="15" customHeight="1" x14ac:dyDescent="0.3"/>
    <row r="1341" ht="15" customHeight="1" x14ac:dyDescent="0.3"/>
    <row r="1342" ht="15" customHeight="1" x14ac:dyDescent="0.3"/>
    <row r="1343" ht="15" customHeight="1" x14ac:dyDescent="0.3"/>
    <row r="1344" ht="15" customHeight="1" x14ac:dyDescent="0.3"/>
    <row r="1345" ht="15" customHeight="1" x14ac:dyDescent="0.3"/>
    <row r="1346" ht="15" customHeight="1" x14ac:dyDescent="0.3"/>
    <row r="1347" ht="15" customHeight="1" x14ac:dyDescent="0.3"/>
    <row r="1348" ht="15" customHeight="1" x14ac:dyDescent="0.3"/>
    <row r="1350" ht="15" customHeight="1" x14ac:dyDescent="0.3"/>
    <row r="1352" ht="15" customHeight="1" x14ac:dyDescent="0.3"/>
    <row r="1353" ht="15" customHeight="1" x14ac:dyDescent="0.3"/>
    <row r="1354" ht="15" customHeight="1" x14ac:dyDescent="0.3"/>
    <row r="1355" ht="15" customHeight="1" x14ac:dyDescent="0.3"/>
    <row r="1356" ht="15" customHeight="1" x14ac:dyDescent="0.3"/>
    <row r="1357" ht="15" customHeight="1" x14ac:dyDescent="0.3"/>
    <row r="1358" ht="15" customHeight="1" x14ac:dyDescent="0.3"/>
    <row r="1359" ht="15" customHeight="1" x14ac:dyDescent="0.3"/>
    <row r="1361" ht="15" customHeight="1" x14ac:dyDescent="0.3"/>
    <row r="1362" ht="15" customHeight="1" x14ac:dyDescent="0.3"/>
    <row r="1363" ht="15" customHeight="1" x14ac:dyDescent="0.3"/>
    <row r="1364" ht="15" customHeight="1" x14ac:dyDescent="0.3"/>
    <row r="1365" ht="15" customHeight="1" x14ac:dyDescent="0.3"/>
    <row r="1366" ht="15" customHeight="1" x14ac:dyDescent="0.3"/>
    <row r="1367" ht="15" customHeight="1" x14ac:dyDescent="0.3"/>
    <row r="1368" ht="15" customHeight="1" x14ac:dyDescent="0.3"/>
    <row r="1369" ht="15" customHeight="1" x14ac:dyDescent="0.3"/>
    <row r="1370" ht="15" customHeight="1" x14ac:dyDescent="0.3"/>
    <row r="1371" ht="15" customHeight="1" x14ac:dyDescent="0.3"/>
    <row r="1372" ht="15" customHeight="1" x14ac:dyDescent="0.3"/>
    <row r="1373" ht="15" customHeight="1" x14ac:dyDescent="0.3"/>
    <row r="1375" ht="15" customHeight="1" x14ac:dyDescent="0.3"/>
    <row r="1376" ht="15" customHeight="1" x14ac:dyDescent="0.3"/>
    <row r="1377" spans="2:33" ht="15" customHeight="1" x14ac:dyDescent="0.3"/>
    <row r="1378" spans="2:33" ht="15" customHeight="1" x14ac:dyDescent="0.3"/>
    <row r="1379" spans="2:33" ht="15" customHeight="1" x14ac:dyDescent="0.3"/>
    <row r="1380" spans="2:33" ht="15" customHeight="1" x14ac:dyDescent="0.3"/>
    <row r="1381" spans="2:33" ht="15" customHeight="1" x14ac:dyDescent="0.3"/>
    <row r="1382" spans="2:33" ht="15" customHeight="1" x14ac:dyDescent="0.3"/>
    <row r="1383" spans="2:33" ht="15" customHeight="1" x14ac:dyDescent="0.3"/>
    <row r="1385" spans="2:33" ht="15" customHeight="1" x14ac:dyDescent="0.3"/>
    <row r="1386" spans="2:33" ht="15" customHeight="1" x14ac:dyDescent="0.3"/>
    <row r="1387" spans="2:33" ht="15" customHeight="1" x14ac:dyDescent="0.3"/>
    <row r="1388" spans="2:33" ht="15" customHeight="1" x14ac:dyDescent="0.3"/>
    <row r="1389" spans="2:33" ht="15" customHeight="1" x14ac:dyDescent="0.3"/>
    <row r="1390" spans="2:33" ht="15" customHeight="1" x14ac:dyDescent="0.3">
      <c r="B1390" s="184"/>
      <c r="C1390" s="184"/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4"/>
      <c r="AE1390" s="184"/>
      <c r="AF1390" s="184"/>
      <c r="AG1390" s="184"/>
    </row>
    <row r="1391" spans="2:33" ht="15" customHeight="1" x14ac:dyDescent="0.3"/>
    <row r="1392" spans="2:33" ht="15" customHeight="1" x14ac:dyDescent="0.3"/>
    <row r="1393" ht="15" customHeight="1" x14ac:dyDescent="0.3"/>
    <row r="1394" ht="15" customHeight="1" x14ac:dyDescent="0.3"/>
    <row r="1395" ht="15" customHeight="1" x14ac:dyDescent="0.3"/>
    <row r="1396" ht="15" customHeight="1" x14ac:dyDescent="0.3"/>
    <row r="1397" ht="15" customHeight="1" x14ac:dyDescent="0.3"/>
    <row r="1398" ht="15" customHeight="1" x14ac:dyDescent="0.3"/>
    <row r="1399" ht="15" customHeight="1" x14ac:dyDescent="0.3"/>
    <row r="1400" ht="15" customHeight="1" x14ac:dyDescent="0.3"/>
    <row r="1401" ht="15" customHeight="1" x14ac:dyDescent="0.3"/>
    <row r="1402" ht="15" customHeight="1" x14ac:dyDescent="0.3"/>
    <row r="1403" ht="15" customHeight="1" x14ac:dyDescent="0.3"/>
    <row r="1404" ht="15" customHeight="1" x14ac:dyDescent="0.3"/>
    <row r="1405" ht="15" customHeight="1" x14ac:dyDescent="0.3"/>
    <row r="1406" ht="15" customHeight="1" x14ac:dyDescent="0.3"/>
    <row r="1407" ht="15" customHeight="1" x14ac:dyDescent="0.3"/>
    <row r="1408" ht="15" customHeight="1" x14ac:dyDescent="0.3"/>
    <row r="1409" ht="15" customHeight="1" x14ac:dyDescent="0.3"/>
    <row r="1410" ht="15" customHeight="1" x14ac:dyDescent="0.3"/>
    <row r="1425" ht="15" customHeight="1" x14ac:dyDescent="0.3"/>
    <row r="1426" ht="15" customHeight="1" x14ac:dyDescent="0.3"/>
    <row r="1427" ht="15" customHeight="1" x14ac:dyDescent="0.3"/>
    <row r="1428" ht="15" customHeight="1" x14ac:dyDescent="0.3"/>
    <row r="1429" ht="15" customHeight="1" x14ac:dyDescent="0.3"/>
    <row r="1430" ht="15" customHeight="1" x14ac:dyDescent="0.3"/>
    <row r="1431" ht="15" customHeight="1" x14ac:dyDescent="0.3"/>
    <row r="1432" ht="15" customHeight="1" x14ac:dyDescent="0.3"/>
    <row r="1433" ht="15" customHeight="1" x14ac:dyDescent="0.3"/>
    <row r="1434" ht="15" customHeight="1" x14ac:dyDescent="0.3"/>
    <row r="1435" ht="15" customHeight="1" x14ac:dyDescent="0.3"/>
    <row r="1436" ht="15" customHeight="1" x14ac:dyDescent="0.3"/>
    <row r="1437" ht="15" customHeight="1" x14ac:dyDescent="0.3"/>
    <row r="1438" ht="15" customHeight="1" x14ac:dyDescent="0.3"/>
    <row r="1439" ht="15" customHeight="1" x14ac:dyDescent="0.3"/>
    <row r="1440" ht="15" customHeight="1" x14ac:dyDescent="0.3"/>
    <row r="1441" ht="15" customHeight="1" x14ac:dyDescent="0.3"/>
    <row r="1442" ht="15" customHeight="1" x14ac:dyDescent="0.3"/>
    <row r="1443" ht="15" customHeight="1" x14ac:dyDescent="0.3"/>
    <row r="1444" ht="15" customHeight="1" x14ac:dyDescent="0.3"/>
    <row r="1445" ht="15" customHeight="1" x14ac:dyDescent="0.3"/>
    <row r="1446" ht="15" customHeight="1" x14ac:dyDescent="0.3"/>
    <row r="1447" ht="15" customHeight="1" x14ac:dyDescent="0.3"/>
    <row r="1448" ht="15" customHeight="1" x14ac:dyDescent="0.3"/>
    <row r="1449" ht="15" customHeight="1" x14ac:dyDescent="0.3"/>
    <row r="1451" ht="15" customHeight="1" x14ac:dyDescent="0.3"/>
    <row r="1452" ht="15" customHeight="1" x14ac:dyDescent="0.3"/>
    <row r="1453" ht="15" customHeight="1" x14ac:dyDescent="0.3"/>
    <row r="1454" ht="15" customHeight="1" x14ac:dyDescent="0.3"/>
    <row r="1455" ht="15" customHeight="1" x14ac:dyDescent="0.3"/>
    <row r="1456" ht="15" customHeight="1" x14ac:dyDescent="0.3"/>
    <row r="1457" ht="15" customHeight="1" x14ac:dyDescent="0.3"/>
    <row r="1458" ht="15" customHeight="1" x14ac:dyDescent="0.3"/>
    <row r="1459" ht="15" customHeight="1" x14ac:dyDescent="0.3"/>
    <row r="1460" ht="15" customHeight="1" x14ac:dyDescent="0.3"/>
    <row r="1461" ht="15" customHeight="1" x14ac:dyDescent="0.3"/>
    <row r="1462" ht="15" customHeight="1" x14ac:dyDescent="0.3"/>
    <row r="1463" ht="15" customHeight="1" x14ac:dyDescent="0.3"/>
    <row r="1464" ht="15" customHeight="1" x14ac:dyDescent="0.3"/>
    <row r="1465" ht="15" customHeight="1" x14ac:dyDescent="0.3"/>
    <row r="1466" ht="15" customHeight="1" x14ac:dyDescent="0.3"/>
    <row r="1467" ht="15" customHeight="1" x14ac:dyDescent="0.3"/>
    <row r="1468" ht="15" customHeight="1" x14ac:dyDescent="0.3"/>
    <row r="1469" ht="15" customHeight="1" x14ac:dyDescent="0.3"/>
    <row r="1470" ht="15" customHeight="1" x14ac:dyDescent="0.3"/>
    <row r="1471" ht="15" customHeight="1" x14ac:dyDescent="0.3"/>
    <row r="1472" ht="15" customHeight="1" x14ac:dyDescent="0.3"/>
    <row r="1473" ht="15" customHeight="1" x14ac:dyDescent="0.3"/>
    <row r="1474" ht="15" customHeight="1" x14ac:dyDescent="0.3"/>
    <row r="1475" ht="15" customHeight="1" x14ac:dyDescent="0.3"/>
    <row r="1477" ht="15" customHeight="1" x14ac:dyDescent="0.3"/>
    <row r="1478" ht="15" customHeight="1" x14ac:dyDescent="0.3"/>
    <row r="1479" ht="15" customHeight="1" x14ac:dyDescent="0.3"/>
    <row r="1480" ht="15" customHeight="1" x14ac:dyDescent="0.3"/>
    <row r="1481" ht="15" customHeight="1" x14ac:dyDescent="0.3"/>
    <row r="1482" ht="15" customHeight="1" x14ac:dyDescent="0.3"/>
    <row r="1483" ht="15" customHeight="1" x14ac:dyDescent="0.3"/>
    <row r="1484" ht="15" customHeight="1" x14ac:dyDescent="0.3"/>
    <row r="1485" ht="15" customHeight="1" x14ac:dyDescent="0.3"/>
    <row r="1486" ht="15" customHeight="1" x14ac:dyDescent="0.3"/>
    <row r="1487" ht="15" customHeight="1" x14ac:dyDescent="0.3"/>
    <row r="1489" spans="2:33" ht="15" customHeight="1" x14ac:dyDescent="0.3"/>
    <row r="1491" spans="2:33" ht="15" customHeight="1" x14ac:dyDescent="0.3"/>
    <row r="1492" spans="2:33" ht="15" customHeight="1" x14ac:dyDescent="0.3"/>
    <row r="1493" spans="2:33" ht="15" customHeight="1" x14ac:dyDescent="0.3"/>
    <row r="1494" spans="2:33" ht="15" customHeight="1" x14ac:dyDescent="0.3"/>
    <row r="1495" spans="2:33" ht="15" customHeight="1" x14ac:dyDescent="0.3"/>
    <row r="1496" spans="2:33" ht="15" customHeight="1" x14ac:dyDescent="0.3"/>
    <row r="1497" spans="2:33" ht="15" customHeight="1" x14ac:dyDescent="0.3"/>
    <row r="1498" spans="2:33" ht="15" customHeight="1" x14ac:dyDescent="0.3"/>
    <row r="1500" spans="2:33" ht="15" customHeight="1" x14ac:dyDescent="0.3"/>
    <row r="1501" spans="2:33" ht="15" customHeight="1" x14ac:dyDescent="0.3"/>
    <row r="1502" spans="2:33" ht="15" customHeight="1" x14ac:dyDescent="0.3">
      <c r="B1502" s="184"/>
      <c r="C1502" s="184"/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4"/>
      <c r="AE1502" s="184"/>
      <c r="AF1502" s="184"/>
      <c r="AG1502" s="184"/>
    </row>
    <row r="1503" spans="2:33" ht="15" customHeight="1" x14ac:dyDescent="0.3"/>
    <row r="1504" spans="2:33" ht="15" customHeight="1" x14ac:dyDescent="0.3"/>
    <row r="1505" ht="15" customHeight="1" x14ac:dyDescent="0.3"/>
    <row r="1506" ht="15" customHeight="1" x14ac:dyDescent="0.3"/>
    <row r="1507" ht="15" customHeight="1" x14ac:dyDescent="0.3"/>
    <row r="1508" ht="15" customHeight="1" x14ac:dyDescent="0.3"/>
    <row r="1509" ht="15" customHeight="1" x14ac:dyDescent="0.3"/>
    <row r="1510" ht="15" customHeight="1" x14ac:dyDescent="0.3"/>
    <row r="1511" ht="15" customHeight="1" x14ac:dyDescent="0.3"/>
    <row r="1512" ht="15" customHeight="1" x14ac:dyDescent="0.3"/>
    <row r="1513" ht="15" customHeight="1" x14ac:dyDescent="0.3"/>
    <row r="1514" ht="15" customHeight="1" x14ac:dyDescent="0.3"/>
    <row r="1515" ht="15" customHeight="1" x14ac:dyDescent="0.3"/>
    <row r="1516" ht="15" customHeight="1" x14ac:dyDescent="0.3"/>
    <row r="1517" ht="15" customHeight="1" x14ac:dyDescent="0.3"/>
    <row r="1518" ht="15" customHeight="1" x14ac:dyDescent="0.3"/>
    <row r="1519" ht="15" customHeight="1" x14ac:dyDescent="0.3"/>
    <row r="1520" ht="15" customHeight="1" x14ac:dyDescent="0.3"/>
    <row r="1521" ht="15" customHeight="1" x14ac:dyDescent="0.3"/>
    <row r="1522" ht="15" customHeight="1" x14ac:dyDescent="0.3"/>
    <row r="1523" ht="15" customHeight="1" x14ac:dyDescent="0.3"/>
    <row r="1524" ht="15" customHeight="1" x14ac:dyDescent="0.3"/>
    <row r="1525" ht="15" customHeight="1" x14ac:dyDescent="0.3"/>
    <row r="1526" ht="15" customHeight="1" x14ac:dyDescent="0.3"/>
    <row r="1575" ht="15" customHeight="1" x14ac:dyDescent="0.3"/>
    <row r="1576" ht="15" customHeight="1" x14ac:dyDescent="0.3"/>
    <row r="1577" ht="15" customHeight="1" x14ac:dyDescent="0.3"/>
    <row r="1578" ht="15" customHeight="1" x14ac:dyDescent="0.3"/>
    <row r="1579" ht="15" customHeight="1" x14ac:dyDescent="0.3"/>
    <row r="1580" ht="15" customHeight="1" x14ac:dyDescent="0.3"/>
    <row r="1582" ht="15" customHeight="1" x14ac:dyDescent="0.3"/>
    <row r="1583" ht="15" customHeight="1" x14ac:dyDescent="0.3"/>
    <row r="1584" ht="15" customHeight="1" x14ac:dyDescent="0.3"/>
    <row r="1585" ht="15" customHeight="1" x14ac:dyDescent="0.3"/>
    <row r="1587" ht="15" customHeight="1" x14ac:dyDescent="0.3"/>
    <row r="1588" ht="15" customHeight="1" x14ac:dyDescent="0.3"/>
    <row r="1589" ht="15" customHeight="1" x14ac:dyDescent="0.3"/>
    <row r="1590" ht="15" customHeight="1" x14ac:dyDescent="0.3"/>
    <row r="1592" ht="15" customHeight="1" x14ac:dyDescent="0.3"/>
    <row r="1594" ht="15" customHeight="1" x14ac:dyDescent="0.3"/>
    <row r="1595" ht="15" customHeight="1" x14ac:dyDescent="0.3"/>
    <row r="1596" ht="15" customHeight="1" x14ac:dyDescent="0.3"/>
    <row r="1597" ht="15" customHeight="1" x14ac:dyDescent="0.3"/>
    <row r="1599" ht="15" customHeight="1" x14ac:dyDescent="0.3"/>
    <row r="1600" ht="15" customHeight="1" x14ac:dyDescent="0.3"/>
    <row r="1601" spans="2:33" ht="15" customHeight="1" x14ac:dyDescent="0.3"/>
    <row r="1602" spans="2:33" ht="15" customHeight="1" x14ac:dyDescent="0.3"/>
    <row r="1603" spans="2:33" ht="15" customHeight="1" x14ac:dyDescent="0.3"/>
    <row r="1604" spans="2:33" ht="15" customHeight="1" x14ac:dyDescent="0.3">
      <c r="B1604" s="184"/>
      <c r="C1604" s="184"/>
      <c r="D1604" s="184"/>
      <c r="E1604" s="184"/>
      <c r="F1604" s="184"/>
      <c r="G1604" s="184"/>
      <c r="H1604" s="184"/>
      <c r="I1604" s="184"/>
      <c r="J1604" s="184"/>
      <c r="K1604" s="184"/>
      <c r="L1604" s="184"/>
      <c r="M1604" s="184"/>
      <c r="N1604" s="184"/>
      <c r="O1604" s="184"/>
      <c r="P1604" s="184"/>
      <c r="Q1604" s="184"/>
      <c r="R1604" s="184"/>
      <c r="S1604" s="184"/>
      <c r="T1604" s="184"/>
      <c r="U1604" s="184"/>
      <c r="V1604" s="184"/>
      <c r="W1604" s="184"/>
      <c r="X1604" s="184"/>
      <c r="Y1604" s="184"/>
      <c r="Z1604" s="184"/>
      <c r="AA1604" s="184"/>
      <c r="AB1604" s="184"/>
      <c r="AC1604" s="184"/>
      <c r="AD1604" s="184"/>
      <c r="AE1604" s="184"/>
      <c r="AF1604" s="184"/>
      <c r="AG1604" s="184"/>
    </row>
    <row r="1605" spans="2:33" ht="15" customHeight="1" x14ac:dyDescent="0.3"/>
    <row r="1606" spans="2:33" ht="15" customHeight="1" x14ac:dyDescent="0.3"/>
    <row r="1607" spans="2:33" ht="15" customHeight="1" x14ac:dyDescent="0.3"/>
    <row r="1608" spans="2:33" ht="15" customHeight="1" x14ac:dyDescent="0.3"/>
    <row r="1609" spans="2:33" ht="15" customHeight="1" x14ac:dyDescent="0.3"/>
    <row r="1610" spans="2:33" ht="15" customHeight="1" x14ac:dyDescent="0.3"/>
    <row r="1611" spans="2:33" ht="15" customHeight="1" x14ac:dyDescent="0.3"/>
    <row r="1625" ht="15" customHeight="1" x14ac:dyDescent="0.3"/>
    <row r="1626" ht="15" customHeight="1" x14ac:dyDescent="0.3"/>
    <row r="1627" ht="15" customHeight="1" x14ac:dyDescent="0.3"/>
    <row r="1628" ht="15" customHeight="1" x14ac:dyDescent="0.3"/>
    <row r="1629" ht="15" customHeight="1" x14ac:dyDescent="0.3"/>
    <row r="1630" ht="15" customHeight="1" x14ac:dyDescent="0.3"/>
    <row r="1631" ht="15" customHeight="1" x14ac:dyDescent="0.3"/>
    <row r="1632" ht="15" customHeight="1" x14ac:dyDescent="0.3"/>
    <row r="1633" ht="15" customHeight="1" x14ac:dyDescent="0.3"/>
    <row r="1634" ht="15" customHeight="1" x14ac:dyDescent="0.3"/>
    <row r="1635" ht="15" customHeight="1" x14ac:dyDescent="0.3"/>
    <row r="1636" ht="15" customHeight="1" x14ac:dyDescent="0.3"/>
    <row r="1637" ht="15" customHeight="1" x14ac:dyDescent="0.3"/>
    <row r="1638" ht="15" customHeight="1" x14ac:dyDescent="0.3"/>
    <row r="1640" ht="15" customHeight="1" x14ac:dyDescent="0.3"/>
    <row r="1641" ht="15" customHeight="1" x14ac:dyDescent="0.3"/>
    <row r="1642" ht="15" customHeight="1" x14ac:dyDescent="0.3"/>
    <row r="1643" ht="15" customHeight="1" x14ac:dyDescent="0.3"/>
    <row r="1644" ht="15" customHeight="1" x14ac:dyDescent="0.3"/>
    <row r="1645" ht="15" customHeight="1" x14ac:dyDescent="0.3"/>
    <row r="1646" ht="15" customHeight="1" x14ac:dyDescent="0.3"/>
    <row r="1647" ht="15" customHeight="1" x14ac:dyDescent="0.3"/>
    <row r="1648" ht="15" customHeight="1" x14ac:dyDescent="0.3"/>
    <row r="1649" ht="15" customHeight="1" x14ac:dyDescent="0.3"/>
    <row r="1650" ht="15" customHeight="1" x14ac:dyDescent="0.3"/>
    <row r="1651" ht="15" customHeight="1" x14ac:dyDescent="0.3"/>
    <row r="1652" ht="15" customHeight="1" x14ac:dyDescent="0.3"/>
    <row r="1653" ht="15" customHeight="1" x14ac:dyDescent="0.3"/>
    <row r="1654" ht="15" customHeight="1" x14ac:dyDescent="0.3"/>
    <row r="1655" ht="15" customHeight="1" x14ac:dyDescent="0.3"/>
    <row r="1656" ht="15" customHeight="1" x14ac:dyDescent="0.3"/>
    <row r="1657" ht="15" customHeight="1" x14ac:dyDescent="0.3"/>
    <row r="1658" ht="15" customHeight="1" x14ac:dyDescent="0.3"/>
    <row r="1659" ht="15" customHeight="1" x14ac:dyDescent="0.3"/>
    <row r="1660" ht="15" customHeight="1" x14ac:dyDescent="0.3"/>
    <row r="1661" ht="15" customHeight="1" x14ac:dyDescent="0.3"/>
    <row r="1662" ht="15" customHeight="1" x14ac:dyDescent="0.3"/>
    <row r="1663" ht="15" customHeight="1" x14ac:dyDescent="0.3"/>
    <row r="1665" ht="15" customHeight="1" x14ac:dyDescent="0.3"/>
    <row r="1668" ht="15" customHeight="1" x14ac:dyDescent="0.3"/>
    <row r="1669" ht="15" customHeight="1" x14ac:dyDescent="0.3"/>
    <row r="1670" ht="15" customHeight="1" x14ac:dyDescent="0.3"/>
    <row r="1671" ht="15" customHeight="1" x14ac:dyDescent="0.3"/>
    <row r="1672" ht="15" customHeight="1" x14ac:dyDescent="0.3"/>
    <row r="1673" ht="15" customHeight="1" x14ac:dyDescent="0.3"/>
    <row r="1674" ht="15" customHeight="1" x14ac:dyDescent="0.3"/>
    <row r="1675" ht="15" customHeight="1" x14ac:dyDescent="0.3"/>
    <row r="1676" ht="15" customHeight="1" x14ac:dyDescent="0.3"/>
    <row r="1677" ht="15" customHeight="1" x14ac:dyDescent="0.3"/>
    <row r="1678" ht="15" customHeight="1" x14ac:dyDescent="0.3"/>
    <row r="1679" ht="15" customHeight="1" x14ac:dyDescent="0.3"/>
    <row r="1680" ht="15" customHeight="1" x14ac:dyDescent="0.3"/>
    <row r="1681" ht="15" customHeight="1" x14ac:dyDescent="0.3"/>
    <row r="1682" ht="15" customHeight="1" x14ac:dyDescent="0.3"/>
    <row r="1683" ht="15" customHeight="1" x14ac:dyDescent="0.3"/>
    <row r="1684" ht="15" customHeight="1" x14ac:dyDescent="0.3"/>
    <row r="1686" ht="15" customHeight="1" x14ac:dyDescent="0.3"/>
    <row r="1688" ht="15" customHeight="1" x14ac:dyDescent="0.3"/>
    <row r="1689" ht="15" customHeight="1" x14ac:dyDescent="0.3"/>
    <row r="1690" ht="15" customHeight="1" x14ac:dyDescent="0.3"/>
    <row r="1691" ht="15" customHeight="1" x14ac:dyDescent="0.3"/>
    <row r="1692" ht="15" customHeight="1" x14ac:dyDescent="0.3"/>
    <row r="1693" ht="15" customHeight="1" x14ac:dyDescent="0.3"/>
    <row r="1694" ht="15" customHeight="1" x14ac:dyDescent="0.3"/>
    <row r="1695" ht="15" customHeight="1" x14ac:dyDescent="0.3"/>
    <row r="1697" spans="2:33" ht="15" customHeight="1" x14ac:dyDescent="0.3"/>
    <row r="1698" spans="2:33" ht="15" customHeight="1" x14ac:dyDescent="0.3">
      <c r="B1698" s="184"/>
      <c r="C1698" s="184"/>
      <c r="D1698" s="184"/>
      <c r="E1698" s="184"/>
      <c r="F1698" s="184"/>
      <c r="G1698" s="184"/>
      <c r="H1698" s="184"/>
      <c r="I1698" s="184"/>
      <c r="J1698" s="184"/>
      <c r="K1698" s="184"/>
      <c r="L1698" s="184"/>
      <c r="M1698" s="184"/>
      <c r="N1698" s="184"/>
      <c r="O1698" s="184"/>
      <c r="P1698" s="184"/>
      <c r="Q1698" s="184"/>
      <c r="R1698" s="184"/>
      <c r="S1698" s="184"/>
      <c r="T1698" s="184"/>
      <c r="U1698" s="184"/>
      <c r="V1698" s="184"/>
      <c r="W1698" s="184"/>
      <c r="X1698" s="184"/>
      <c r="Y1698" s="184"/>
      <c r="Z1698" s="184"/>
      <c r="AA1698" s="184"/>
      <c r="AB1698" s="184"/>
      <c r="AC1698" s="184"/>
      <c r="AD1698" s="184"/>
      <c r="AE1698" s="184"/>
      <c r="AF1698" s="184"/>
      <c r="AG1698" s="184"/>
    </row>
    <row r="1699" spans="2:33" ht="15" customHeight="1" x14ac:dyDescent="0.3"/>
    <row r="1700" spans="2:33" ht="15" customHeight="1" x14ac:dyDescent="0.3"/>
    <row r="1701" spans="2:33" ht="15" customHeight="1" x14ac:dyDescent="0.3"/>
    <row r="1702" spans="2:33" ht="15" customHeight="1" x14ac:dyDescent="0.3"/>
    <row r="1703" spans="2:33" ht="15" customHeight="1" x14ac:dyDescent="0.3"/>
    <row r="1704" spans="2:33" ht="15" customHeight="1" x14ac:dyDescent="0.3"/>
    <row r="1705" spans="2:33" ht="15" customHeight="1" x14ac:dyDescent="0.3"/>
    <row r="1706" spans="2:33" ht="15" customHeight="1" x14ac:dyDescent="0.3"/>
    <row r="1707" spans="2:33" ht="15" customHeight="1" x14ac:dyDescent="0.3"/>
    <row r="1708" spans="2:33" ht="15" customHeight="1" x14ac:dyDescent="0.3"/>
    <row r="1709" spans="2:33" ht="15" customHeight="1" x14ac:dyDescent="0.3"/>
    <row r="1710" spans="2:33" ht="15" customHeight="1" x14ac:dyDescent="0.3"/>
    <row r="1711" spans="2:33" ht="15" customHeight="1" x14ac:dyDescent="0.3"/>
    <row r="1712" spans="2:33" ht="15" customHeight="1" x14ac:dyDescent="0.3"/>
    <row r="1713" ht="15" customHeight="1" x14ac:dyDescent="0.3"/>
    <row r="1714" ht="15" customHeight="1" x14ac:dyDescent="0.3"/>
    <row r="1715" ht="15" customHeight="1" x14ac:dyDescent="0.3"/>
    <row r="1716" ht="15" customHeight="1" x14ac:dyDescent="0.3"/>
    <row r="1717" ht="15" customHeight="1" x14ac:dyDescent="0.3"/>
    <row r="1718" ht="15" customHeight="1" x14ac:dyDescent="0.3"/>
    <row r="1719" ht="15" customHeight="1" x14ac:dyDescent="0.3"/>
    <row r="1720" ht="15" customHeight="1" x14ac:dyDescent="0.3"/>
    <row r="1721" ht="15" customHeight="1" x14ac:dyDescent="0.3"/>
    <row r="1722" ht="15" customHeight="1" x14ac:dyDescent="0.3"/>
    <row r="1723" ht="15" customHeight="1" x14ac:dyDescent="0.3"/>
    <row r="1724" ht="15" customHeight="1" x14ac:dyDescent="0.3"/>
    <row r="1725" ht="15" customHeight="1" x14ac:dyDescent="0.3"/>
    <row r="1726" ht="15" customHeight="1" x14ac:dyDescent="0.3"/>
    <row r="1850" ht="15" customHeight="1" x14ac:dyDescent="0.3"/>
    <row r="1851" ht="15" customHeight="1" x14ac:dyDescent="0.3"/>
    <row r="1852" ht="15" customHeight="1" x14ac:dyDescent="0.3"/>
    <row r="1853" ht="15" customHeight="1" x14ac:dyDescent="0.3"/>
    <row r="1854" ht="15" customHeight="1" x14ac:dyDescent="0.3"/>
    <row r="1855" ht="15" customHeight="1" x14ac:dyDescent="0.3"/>
    <row r="1856" ht="15" customHeight="1" x14ac:dyDescent="0.3"/>
    <row r="1857" ht="15" customHeight="1" x14ac:dyDescent="0.3"/>
    <row r="1858" ht="15" customHeight="1" x14ac:dyDescent="0.3"/>
    <row r="1859" ht="15" customHeight="1" x14ac:dyDescent="0.3"/>
    <row r="1861" ht="15" customHeight="1" x14ac:dyDescent="0.3"/>
    <row r="1863" ht="15" customHeight="1" x14ac:dyDescent="0.3"/>
    <row r="1864" ht="15" customHeight="1" x14ac:dyDescent="0.3"/>
    <row r="1865" ht="15" customHeight="1" x14ac:dyDescent="0.3"/>
    <row r="1867" ht="15" customHeight="1" x14ac:dyDescent="0.3"/>
    <row r="1868" ht="15" customHeight="1" x14ac:dyDescent="0.3"/>
    <row r="1869" ht="15" customHeight="1" x14ac:dyDescent="0.3"/>
    <row r="1870" ht="15" customHeight="1" x14ac:dyDescent="0.3"/>
    <row r="1872" ht="15" customHeight="1" x14ac:dyDescent="0.3"/>
    <row r="1873" ht="15" customHeight="1" x14ac:dyDescent="0.3"/>
    <row r="1874" ht="15" customHeight="1" x14ac:dyDescent="0.3"/>
    <row r="1875" ht="15" customHeight="1" x14ac:dyDescent="0.3"/>
    <row r="1876" ht="15" customHeight="1" x14ac:dyDescent="0.3"/>
    <row r="1878" ht="15" customHeight="1" x14ac:dyDescent="0.3"/>
    <row r="1879" ht="15" customHeight="1" x14ac:dyDescent="0.3"/>
    <row r="1880" ht="15" customHeight="1" x14ac:dyDescent="0.3"/>
    <row r="1881" ht="15" customHeight="1" x14ac:dyDescent="0.3"/>
    <row r="1882" ht="15" customHeight="1" x14ac:dyDescent="0.3"/>
    <row r="1883" ht="15" customHeight="1" x14ac:dyDescent="0.3"/>
    <row r="1884" ht="15" customHeight="1" x14ac:dyDescent="0.3"/>
    <row r="1885" ht="15" customHeight="1" x14ac:dyDescent="0.3"/>
    <row r="1886" ht="15" customHeight="1" x14ac:dyDescent="0.3"/>
    <row r="1888" ht="15" customHeight="1" x14ac:dyDescent="0.3"/>
    <row r="1889" ht="15" customHeight="1" x14ac:dyDescent="0.3"/>
    <row r="1890" ht="15" customHeight="1" x14ac:dyDescent="0.3"/>
    <row r="1891" ht="15" customHeight="1" x14ac:dyDescent="0.3"/>
    <row r="1893" ht="15" customHeight="1" x14ac:dyDescent="0.3"/>
    <row r="1894" ht="15" customHeight="1" x14ac:dyDescent="0.3"/>
    <row r="1895" ht="15" customHeight="1" x14ac:dyDescent="0.3"/>
    <row r="1896" ht="15" customHeight="1" x14ac:dyDescent="0.3"/>
    <row r="1897" ht="15" customHeight="1" x14ac:dyDescent="0.3"/>
    <row r="1898" ht="15" customHeight="1" x14ac:dyDescent="0.3"/>
    <row r="1899" ht="15" customHeight="1" x14ac:dyDescent="0.3"/>
    <row r="1900" ht="15" customHeight="1" x14ac:dyDescent="0.3"/>
    <row r="1903" ht="15" customHeight="1" x14ac:dyDescent="0.3"/>
    <row r="1904" ht="15" customHeight="1" x14ac:dyDescent="0.3"/>
    <row r="1905" ht="15" customHeight="1" x14ac:dyDescent="0.3"/>
    <row r="1906" ht="15" customHeight="1" x14ac:dyDescent="0.3"/>
    <row r="1907" ht="15" customHeight="1" x14ac:dyDescent="0.3"/>
    <row r="1909" ht="15" customHeight="1" x14ac:dyDescent="0.3"/>
    <row r="1910" ht="15" customHeight="1" x14ac:dyDescent="0.3"/>
    <row r="1911" ht="15" customHeight="1" x14ac:dyDescent="0.3"/>
    <row r="1912" ht="15" customHeight="1" x14ac:dyDescent="0.3"/>
    <row r="1913" ht="15" customHeight="1" x14ac:dyDescent="0.3"/>
    <row r="1915" ht="15" customHeight="1" x14ac:dyDescent="0.3"/>
    <row r="1916" ht="15" customHeight="1" x14ac:dyDescent="0.3"/>
    <row r="1917" ht="15" customHeight="1" x14ac:dyDescent="0.3"/>
    <row r="1919" ht="15" customHeight="1" x14ac:dyDescent="0.3"/>
    <row r="1920" ht="15" customHeight="1" x14ac:dyDescent="0.3"/>
    <row r="1921" ht="15" customHeight="1" x14ac:dyDescent="0.3"/>
    <row r="1922" ht="15" customHeight="1" x14ac:dyDescent="0.3"/>
    <row r="1924" ht="15" customHeight="1" x14ac:dyDescent="0.3"/>
    <row r="1925" ht="15" customHeight="1" x14ac:dyDescent="0.3"/>
    <row r="1926" ht="15" customHeight="1" x14ac:dyDescent="0.3"/>
    <row r="1927" ht="15" customHeight="1" x14ac:dyDescent="0.3"/>
    <row r="1928" ht="15" customHeight="1" x14ac:dyDescent="0.3"/>
    <row r="1929" ht="15" customHeight="1" x14ac:dyDescent="0.3"/>
    <row r="1930" ht="15" customHeight="1" x14ac:dyDescent="0.3"/>
    <row r="1931" ht="15" customHeight="1" x14ac:dyDescent="0.3"/>
    <row r="1933" ht="15" customHeight="1" x14ac:dyDescent="0.3"/>
    <row r="1934" ht="15" customHeight="1" x14ac:dyDescent="0.3"/>
    <row r="1935" ht="15" customHeight="1" x14ac:dyDescent="0.3"/>
    <row r="1937" spans="2:33" ht="15" customHeight="1" x14ac:dyDescent="0.3"/>
    <row r="1938" spans="2:33" ht="15" customHeight="1" x14ac:dyDescent="0.3"/>
    <row r="1939" spans="2:33" ht="15" customHeight="1" x14ac:dyDescent="0.3"/>
    <row r="1940" spans="2:33" ht="15" customHeight="1" x14ac:dyDescent="0.3"/>
    <row r="1941" spans="2:33" ht="15" customHeight="1" x14ac:dyDescent="0.3"/>
    <row r="1942" spans="2:33" ht="15" customHeight="1" x14ac:dyDescent="0.3"/>
    <row r="1943" spans="2:33" ht="15" customHeight="1" x14ac:dyDescent="0.3"/>
    <row r="1944" spans="2:33" ht="15" customHeight="1" x14ac:dyDescent="0.3"/>
    <row r="1945" spans="2:33" ht="15" customHeight="1" x14ac:dyDescent="0.3">
      <c r="B1945" s="184"/>
      <c r="C1945" s="184"/>
      <c r="D1945" s="184"/>
      <c r="E1945" s="184"/>
      <c r="F1945" s="184"/>
      <c r="G1945" s="184"/>
      <c r="H1945" s="184"/>
      <c r="I1945" s="184"/>
      <c r="J1945" s="184"/>
      <c r="K1945" s="184"/>
      <c r="L1945" s="184"/>
      <c r="M1945" s="184"/>
      <c r="N1945" s="184"/>
      <c r="O1945" s="184"/>
      <c r="P1945" s="184"/>
      <c r="Q1945" s="184"/>
      <c r="R1945" s="184"/>
      <c r="S1945" s="184"/>
      <c r="T1945" s="184"/>
      <c r="U1945" s="184"/>
      <c r="V1945" s="184"/>
      <c r="W1945" s="184"/>
      <c r="X1945" s="184"/>
      <c r="Y1945" s="184"/>
      <c r="Z1945" s="184"/>
      <c r="AA1945" s="184"/>
      <c r="AB1945" s="184"/>
      <c r="AC1945" s="184"/>
      <c r="AD1945" s="184"/>
      <c r="AE1945" s="184"/>
      <c r="AF1945" s="184"/>
      <c r="AG1945" s="184"/>
    </row>
    <row r="1946" spans="2:33" ht="15" customHeight="1" x14ac:dyDescent="0.3"/>
    <row r="1947" spans="2:33" ht="15" customHeight="1" x14ac:dyDescent="0.3"/>
    <row r="1948" spans="2:33" ht="15" customHeight="1" x14ac:dyDescent="0.3"/>
    <row r="1949" spans="2:33" ht="15" customHeight="1" x14ac:dyDescent="0.3"/>
    <row r="1950" spans="2:33" ht="15" customHeight="1" x14ac:dyDescent="0.3"/>
    <row r="1951" spans="2:33" ht="15" customHeight="1" x14ac:dyDescent="0.3"/>
    <row r="1952" spans="2:33" ht="15" customHeight="1" x14ac:dyDescent="0.3"/>
    <row r="1953" ht="15" customHeight="1" x14ac:dyDescent="0.3"/>
    <row r="1954" ht="15" customHeight="1" x14ac:dyDescent="0.3"/>
    <row r="1955" ht="15" customHeight="1" x14ac:dyDescent="0.3"/>
    <row r="1975" ht="15" customHeight="1" x14ac:dyDescent="0.3"/>
    <row r="1976" ht="15" customHeight="1" x14ac:dyDescent="0.3"/>
    <row r="1977" ht="15" customHeight="1" x14ac:dyDescent="0.3"/>
    <row r="1978" ht="15" customHeight="1" x14ac:dyDescent="0.3"/>
    <row r="1979" ht="15" customHeight="1" x14ac:dyDescent="0.3"/>
    <row r="1980" ht="15" customHeight="1" x14ac:dyDescent="0.3"/>
    <row r="1981" ht="15" customHeight="1" x14ac:dyDescent="0.3"/>
    <row r="1982" ht="15" customHeight="1" x14ac:dyDescent="0.3"/>
    <row r="1984" ht="15" customHeight="1" x14ac:dyDescent="0.3"/>
    <row r="1985" ht="15" customHeight="1" x14ac:dyDescent="0.3"/>
    <row r="1986" ht="15" customHeight="1" x14ac:dyDescent="0.3"/>
    <row r="1988" ht="15" customHeight="1" x14ac:dyDescent="0.3"/>
    <row r="1990" ht="15" customHeight="1" x14ac:dyDescent="0.3"/>
    <row r="1991" ht="15" customHeight="1" x14ac:dyDescent="0.3"/>
    <row r="1992" ht="15" customHeight="1" x14ac:dyDescent="0.3"/>
    <row r="1993" ht="15" customHeight="1" x14ac:dyDescent="0.3"/>
    <row r="1994" ht="15" customHeight="1" x14ac:dyDescent="0.3"/>
    <row r="1995" ht="15" customHeight="1" x14ac:dyDescent="0.3"/>
    <row r="1996" ht="15" customHeight="1" x14ac:dyDescent="0.3"/>
    <row r="1997" ht="15" customHeight="1" x14ac:dyDescent="0.3"/>
    <row r="1998" ht="15" customHeight="1" x14ac:dyDescent="0.3"/>
    <row r="1999" ht="15" customHeight="1" x14ac:dyDescent="0.3"/>
    <row r="2000" ht="15" customHeight="1" x14ac:dyDescent="0.3"/>
    <row r="2001" ht="15" customHeight="1" x14ac:dyDescent="0.3"/>
    <row r="2002" ht="15" customHeight="1" x14ac:dyDescent="0.3"/>
    <row r="2004" ht="15" customHeight="1" x14ac:dyDescent="0.3"/>
    <row r="2006" ht="15" customHeight="1" x14ac:dyDescent="0.3"/>
    <row r="2008" ht="15" customHeight="1" x14ac:dyDescent="0.3"/>
    <row r="2009" ht="15" customHeight="1" x14ac:dyDescent="0.3"/>
    <row r="2011" ht="15" customHeight="1" x14ac:dyDescent="0.3"/>
    <row r="2012" ht="15" customHeight="1" x14ac:dyDescent="0.3"/>
    <row r="2013" ht="15" customHeight="1" x14ac:dyDescent="0.3"/>
    <row r="2014" ht="15" customHeight="1" x14ac:dyDescent="0.3"/>
    <row r="2015" ht="15" customHeight="1" x14ac:dyDescent="0.3"/>
    <row r="2016" ht="15" customHeight="1" x14ac:dyDescent="0.3"/>
    <row r="2017" spans="2:33" ht="15" customHeight="1" x14ac:dyDescent="0.3"/>
    <row r="2018" spans="2:33" ht="15" customHeight="1" x14ac:dyDescent="0.3"/>
    <row r="2019" spans="2:33" ht="15" customHeight="1" x14ac:dyDescent="0.3"/>
    <row r="2020" spans="2:33" ht="15" customHeight="1" x14ac:dyDescent="0.3"/>
    <row r="2022" spans="2:33" ht="15" customHeight="1" x14ac:dyDescent="0.3"/>
    <row r="2023" spans="2:33" ht="15" customHeight="1" x14ac:dyDescent="0.3"/>
    <row r="2024" spans="2:33" ht="15" customHeight="1" x14ac:dyDescent="0.3"/>
    <row r="2025" spans="2:33" ht="15" customHeight="1" x14ac:dyDescent="0.3"/>
    <row r="2026" spans="2:33" ht="15" customHeight="1" x14ac:dyDescent="0.3"/>
    <row r="2027" spans="2:33" ht="15" customHeight="1" x14ac:dyDescent="0.3"/>
    <row r="2028" spans="2:33" ht="15" customHeight="1" x14ac:dyDescent="0.3"/>
    <row r="2029" spans="2:33" ht="15" customHeight="1" x14ac:dyDescent="0.3"/>
    <row r="2030" spans="2:33" ht="15" customHeight="1" x14ac:dyDescent="0.3"/>
    <row r="2031" spans="2:33" ht="15" customHeight="1" x14ac:dyDescent="0.3">
      <c r="B2031" s="184"/>
      <c r="C2031" s="184"/>
      <c r="D2031" s="184"/>
      <c r="E2031" s="184"/>
      <c r="F2031" s="184"/>
      <c r="G2031" s="184"/>
      <c r="H2031" s="184"/>
      <c r="I2031" s="184"/>
      <c r="J2031" s="184"/>
      <c r="K2031" s="184"/>
      <c r="L2031" s="184"/>
      <c r="M2031" s="184"/>
      <c r="N2031" s="184"/>
      <c r="O2031" s="184"/>
      <c r="P2031" s="184"/>
      <c r="Q2031" s="184"/>
      <c r="R2031" s="184"/>
      <c r="S2031" s="184"/>
      <c r="T2031" s="184"/>
      <c r="U2031" s="184"/>
      <c r="V2031" s="184"/>
      <c r="W2031" s="184"/>
      <c r="X2031" s="184"/>
      <c r="Y2031" s="184"/>
      <c r="Z2031" s="184"/>
      <c r="AA2031" s="184"/>
      <c r="AB2031" s="184"/>
      <c r="AC2031" s="184"/>
      <c r="AD2031" s="184"/>
      <c r="AE2031" s="184"/>
      <c r="AF2031" s="184"/>
      <c r="AG2031" s="184"/>
    </row>
    <row r="2032" spans="2:33" ht="15" customHeight="1" x14ac:dyDescent="0.3"/>
    <row r="2033" ht="15" customHeight="1" x14ac:dyDescent="0.3"/>
    <row r="2034" ht="15" customHeight="1" x14ac:dyDescent="0.3"/>
    <row r="2035" ht="15" customHeight="1" x14ac:dyDescent="0.3"/>
    <row r="2036" ht="15" customHeight="1" x14ac:dyDescent="0.3"/>
    <row r="2037" ht="15" customHeight="1" x14ac:dyDescent="0.3"/>
    <row r="2038" ht="15" customHeight="1" x14ac:dyDescent="0.3"/>
    <row r="2039" ht="15" customHeight="1" x14ac:dyDescent="0.3"/>
    <row r="2040" ht="15" customHeight="1" x14ac:dyDescent="0.3"/>
    <row r="2041" ht="15" customHeight="1" x14ac:dyDescent="0.3"/>
    <row r="2042" ht="15" customHeight="1" x14ac:dyDescent="0.3"/>
    <row r="2043" ht="15" customHeight="1" x14ac:dyDescent="0.3"/>
    <row r="2044" ht="15" customHeight="1" x14ac:dyDescent="0.3"/>
    <row r="2045" ht="15" customHeight="1" x14ac:dyDescent="0.3"/>
    <row r="2046" ht="15" customHeight="1" x14ac:dyDescent="0.3"/>
    <row r="2047" ht="15" customHeight="1" x14ac:dyDescent="0.3"/>
    <row r="2048" ht="15" customHeight="1" x14ac:dyDescent="0.3"/>
    <row r="2049" ht="15" customHeight="1" x14ac:dyDescent="0.3"/>
    <row r="2050" ht="15" customHeight="1" x14ac:dyDescent="0.3"/>
    <row r="2051" ht="15" customHeight="1" x14ac:dyDescent="0.3"/>
    <row r="2052" ht="15" customHeight="1" x14ac:dyDescent="0.3"/>
    <row r="2053" ht="15" customHeight="1" x14ac:dyDescent="0.3"/>
    <row r="2100" ht="15" customHeight="1" x14ac:dyDescent="0.3"/>
    <row r="2101" ht="15" customHeight="1" x14ac:dyDescent="0.3"/>
    <row r="2102" ht="15" customHeight="1" x14ac:dyDescent="0.3"/>
    <row r="2103" ht="15" customHeight="1" x14ac:dyDescent="0.3"/>
    <row r="2104" ht="15" customHeight="1" x14ac:dyDescent="0.3"/>
    <row r="2105" ht="15" customHeight="1" x14ac:dyDescent="0.3"/>
    <row r="2107" ht="15" customHeight="1" x14ac:dyDescent="0.3"/>
    <row r="2108" ht="15" customHeight="1" x14ac:dyDescent="0.3"/>
    <row r="2110" ht="15" customHeight="1" x14ac:dyDescent="0.3"/>
    <row r="2111" ht="15" customHeight="1" x14ac:dyDescent="0.3"/>
    <row r="2112" ht="15" customHeight="1" x14ac:dyDescent="0.3"/>
    <row r="2113" ht="15" customHeight="1" x14ac:dyDescent="0.3"/>
    <row r="2114" ht="15" customHeight="1" x14ac:dyDescent="0.3"/>
    <row r="2115" ht="15" customHeight="1" x14ac:dyDescent="0.3"/>
    <row r="2116" ht="15" customHeight="1" x14ac:dyDescent="0.3"/>
    <row r="2117" ht="15" customHeight="1" x14ac:dyDescent="0.3"/>
    <row r="2118" ht="15" customHeight="1" x14ac:dyDescent="0.3"/>
    <row r="2119" ht="15" customHeight="1" x14ac:dyDescent="0.3"/>
    <row r="2120" ht="15" customHeight="1" x14ac:dyDescent="0.3"/>
    <row r="2121" ht="15" customHeight="1" x14ac:dyDescent="0.3"/>
    <row r="2122" ht="15" customHeight="1" x14ac:dyDescent="0.3"/>
    <row r="2124" ht="15" customHeight="1" x14ac:dyDescent="0.3"/>
    <row r="2125" ht="15" customHeight="1" x14ac:dyDescent="0.3"/>
    <row r="2126" ht="15" customHeight="1" x14ac:dyDescent="0.3"/>
    <row r="2127" ht="15" customHeight="1" x14ac:dyDescent="0.3"/>
    <row r="2128" ht="15" customHeight="1" x14ac:dyDescent="0.3"/>
    <row r="2129" ht="15" customHeight="1" x14ac:dyDescent="0.3"/>
    <row r="2131" ht="15" customHeight="1" x14ac:dyDescent="0.3"/>
    <row r="2133" ht="15" customHeight="1" x14ac:dyDescent="0.3"/>
    <row r="2134" ht="15" customHeight="1" x14ac:dyDescent="0.3"/>
    <row r="2136" ht="15" customHeight="1" x14ac:dyDescent="0.3"/>
    <row r="2137" ht="15" customHeight="1" x14ac:dyDescent="0.3"/>
    <row r="2138" ht="15" customHeight="1" x14ac:dyDescent="0.3"/>
    <row r="2139" ht="15" customHeight="1" x14ac:dyDescent="0.3"/>
    <row r="2140" ht="15" customHeight="1" x14ac:dyDescent="0.3"/>
    <row r="2141" ht="15" customHeight="1" x14ac:dyDescent="0.3"/>
    <row r="2142" ht="15" customHeight="1" x14ac:dyDescent="0.3"/>
    <row r="2143" ht="15" customHeight="1" x14ac:dyDescent="0.3"/>
    <row r="2144" ht="15" customHeight="1" x14ac:dyDescent="0.3"/>
    <row r="2145" spans="2:33" ht="15" customHeight="1" x14ac:dyDescent="0.3"/>
    <row r="2146" spans="2:33" ht="15" customHeight="1" x14ac:dyDescent="0.3"/>
    <row r="2148" spans="2:33" ht="15" customHeight="1" x14ac:dyDescent="0.3"/>
    <row r="2151" spans="2:33" ht="15" customHeight="1" x14ac:dyDescent="0.3"/>
    <row r="2152" spans="2:33" ht="15" customHeight="1" x14ac:dyDescent="0.3"/>
    <row r="2153" spans="2:33" ht="15" customHeight="1" x14ac:dyDescent="0.3">
      <c r="B2153" s="184"/>
      <c r="C2153" s="184"/>
      <c r="D2153" s="184"/>
      <c r="E2153" s="184"/>
      <c r="F2153" s="184"/>
      <c r="G2153" s="184"/>
      <c r="H2153" s="184"/>
      <c r="I2153" s="184"/>
      <c r="J2153" s="184"/>
      <c r="K2153" s="184"/>
      <c r="L2153" s="184"/>
      <c r="M2153" s="184"/>
      <c r="N2153" s="184"/>
      <c r="O2153" s="184"/>
      <c r="P2153" s="184"/>
      <c r="Q2153" s="184"/>
      <c r="R2153" s="184"/>
      <c r="S2153" s="184"/>
      <c r="T2153" s="184"/>
      <c r="U2153" s="184"/>
      <c r="V2153" s="184"/>
      <c r="W2153" s="184"/>
      <c r="X2153" s="184"/>
      <c r="Y2153" s="184"/>
      <c r="Z2153" s="184"/>
      <c r="AA2153" s="184"/>
      <c r="AB2153" s="184"/>
      <c r="AC2153" s="184"/>
      <c r="AD2153" s="184"/>
      <c r="AE2153" s="184"/>
      <c r="AF2153" s="184"/>
      <c r="AG2153" s="184"/>
    </row>
    <row r="2154" spans="2:33" ht="15" customHeight="1" x14ac:dyDescent="0.3"/>
    <row r="2155" spans="2:33" ht="15" customHeight="1" x14ac:dyDescent="0.3"/>
    <row r="2156" spans="2:33" ht="15" customHeight="1" x14ac:dyDescent="0.3"/>
    <row r="2157" spans="2:33" ht="15" customHeight="1" x14ac:dyDescent="0.3"/>
    <row r="2158" spans="2:33" ht="15" customHeight="1" x14ac:dyDescent="0.3"/>
    <row r="2159" spans="2:33" ht="15" customHeight="1" x14ac:dyDescent="0.3"/>
    <row r="2160" spans="2:33" ht="15" customHeight="1" x14ac:dyDescent="0.3"/>
    <row r="2161" ht="15" customHeight="1" x14ac:dyDescent="0.3"/>
    <row r="2162" ht="15" customHeight="1" x14ac:dyDescent="0.3"/>
    <row r="2250" ht="15" customHeight="1" x14ac:dyDescent="0.3"/>
    <row r="2251" ht="15" customHeight="1" x14ac:dyDescent="0.3"/>
    <row r="2252" ht="15" customHeight="1" x14ac:dyDescent="0.3"/>
    <row r="2253" ht="15" customHeight="1" x14ac:dyDescent="0.3"/>
    <row r="2254" ht="15" customHeight="1" x14ac:dyDescent="0.3"/>
    <row r="2255" ht="15" customHeight="1" x14ac:dyDescent="0.3"/>
    <row r="2256" ht="15" customHeight="1" x14ac:dyDescent="0.3"/>
    <row r="2257" ht="15" customHeight="1" x14ac:dyDescent="0.3"/>
    <row r="2258" ht="15" customHeight="1" x14ac:dyDescent="0.3"/>
    <row r="2260" ht="15" customHeight="1" x14ac:dyDescent="0.3"/>
    <row r="2261" ht="15" customHeight="1" x14ac:dyDescent="0.3"/>
    <row r="2262" ht="15" customHeight="1" x14ac:dyDescent="0.3"/>
    <row r="2264" ht="15" customHeight="1" x14ac:dyDescent="0.3"/>
    <row r="2266" ht="15" customHeight="1" x14ac:dyDescent="0.3"/>
    <row r="2267" ht="15" customHeight="1" x14ac:dyDescent="0.3"/>
    <row r="2268" ht="15" customHeight="1" x14ac:dyDescent="0.3"/>
    <row r="2269" ht="15" customHeight="1" x14ac:dyDescent="0.3"/>
    <row r="2271" ht="15" customHeight="1" x14ac:dyDescent="0.3"/>
    <row r="2273" ht="15" customHeight="1" x14ac:dyDescent="0.3"/>
    <row r="2274" ht="15" customHeight="1" x14ac:dyDescent="0.3"/>
    <row r="2275" ht="15" customHeight="1" x14ac:dyDescent="0.3"/>
    <row r="2276" ht="15" customHeight="1" x14ac:dyDescent="0.3"/>
    <row r="2277" ht="15" customHeight="1" x14ac:dyDescent="0.3"/>
    <row r="2278" ht="15" customHeight="1" x14ac:dyDescent="0.3"/>
    <row r="2279" ht="15" customHeight="1" x14ac:dyDescent="0.3"/>
    <row r="2280" ht="15" customHeight="1" x14ac:dyDescent="0.3"/>
    <row r="2282" ht="15" customHeight="1" x14ac:dyDescent="0.3"/>
    <row r="2284" ht="15" customHeight="1" x14ac:dyDescent="0.3"/>
    <row r="2285" ht="15" customHeight="1" x14ac:dyDescent="0.3"/>
    <row r="2286" ht="15" customHeight="1" x14ac:dyDescent="0.3"/>
    <row r="2288" ht="15" customHeight="1" x14ac:dyDescent="0.3"/>
    <row r="2289" ht="15" customHeight="1" x14ac:dyDescent="0.3"/>
    <row r="2290" ht="15" customHeight="1" x14ac:dyDescent="0.3"/>
    <row r="2291" ht="15" customHeight="1" x14ac:dyDescent="0.3"/>
    <row r="2292" ht="15" customHeight="1" x14ac:dyDescent="0.3"/>
    <row r="2293" ht="15" customHeight="1" x14ac:dyDescent="0.3"/>
    <row r="2294" ht="15" customHeight="1" x14ac:dyDescent="0.3"/>
    <row r="2295" ht="15" customHeight="1" x14ac:dyDescent="0.3"/>
    <row r="2296" ht="15" customHeight="1" x14ac:dyDescent="0.3"/>
    <row r="2297" ht="15" customHeight="1" x14ac:dyDescent="0.3"/>
    <row r="2298" ht="15" customHeight="1" x14ac:dyDescent="0.3"/>
    <row r="2301" ht="15" customHeight="1" x14ac:dyDescent="0.3"/>
    <row r="2302" ht="15" customHeight="1" x14ac:dyDescent="0.3"/>
    <row r="2303" ht="15" customHeight="1" x14ac:dyDescent="0.3"/>
    <row r="2305" spans="2:33" ht="15" customHeight="1" x14ac:dyDescent="0.3"/>
    <row r="2306" spans="2:33" ht="15" customHeight="1" x14ac:dyDescent="0.3"/>
    <row r="2307" spans="2:33" ht="15" customHeight="1" x14ac:dyDescent="0.3"/>
    <row r="2308" spans="2:33" ht="15" customHeight="1" x14ac:dyDescent="0.3"/>
    <row r="2309" spans="2:33" ht="15" customHeight="1" x14ac:dyDescent="0.3"/>
    <row r="2310" spans="2:33" ht="15" customHeight="1" x14ac:dyDescent="0.3"/>
    <row r="2311" spans="2:33" ht="15" customHeight="1" x14ac:dyDescent="0.3"/>
    <row r="2312" spans="2:33" ht="15" customHeight="1" x14ac:dyDescent="0.3"/>
    <row r="2313" spans="2:33" ht="15" customHeight="1" x14ac:dyDescent="0.3"/>
    <row r="2314" spans="2:33" ht="15" customHeight="1" x14ac:dyDescent="0.3"/>
    <row r="2315" spans="2:33" ht="15" customHeight="1" x14ac:dyDescent="0.3"/>
    <row r="2316" spans="2:33" ht="15" customHeight="1" x14ac:dyDescent="0.3"/>
    <row r="2317" spans="2:33" ht="15" customHeight="1" x14ac:dyDescent="0.3">
      <c r="B2317" s="184"/>
      <c r="C2317" s="184"/>
      <c r="D2317" s="184"/>
      <c r="E2317" s="184"/>
      <c r="F2317" s="184"/>
      <c r="G2317" s="184"/>
      <c r="H2317" s="184"/>
      <c r="I2317" s="184"/>
      <c r="J2317" s="184"/>
      <c r="K2317" s="184"/>
      <c r="L2317" s="184"/>
      <c r="M2317" s="184"/>
      <c r="N2317" s="184"/>
      <c r="O2317" s="184"/>
      <c r="P2317" s="184"/>
      <c r="Q2317" s="184"/>
      <c r="R2317" s="184"/>
      <c r="S2317" s="184"/>
      <c r="T2317" s="184"/>
      <c r="U2317" s="184"/>
      <c r="V2317" s="184"/>
      <c r="W2317" s="184"/>
      <c r="X2317" s="184"/>
      <c r="Y2317" s="184"/>
      <c r="Z2317" s="184"/>
      <c r="AA2317" s="184"/>
      <c r="AB2317" s="184"/>
      <c r="AC2317" s="184"/>
      <c r="AD2317" s="184"/>
      <c r="AE2317" s="184"/>
      <c r="AF2317" s="184"/>
      <c r="AG2317" s="184"/>
    </row>
    <row r="2318" spans="2:33" ht="15" customHeight="1" x14ac:dyDescent="0.3"/>
    <row r="2319" spans="2:33" ht="15" customHeight="1" x14ac:dyDescent="0.3"/>
    <row r="2320" spans="2:33" ht="15" customHeight="1" x14ac:dyDescent="0.3"/>
    <row r="2321" ht="15" customHeight="1" x14ac:dyDescent="0.3"/>
    <row r="2322" ht="15" customHeight="1" x14ac:dyDescent="0.3"/>
    <row r="2323" ht="15" customHeight="1" x14ac:dyDescent="0.3"/>
    <row r="2324" ht="15" customHeight="1" x14ac:dyDescent="0.3"/>
    <row r="2325" ht="15" customHeight="1" x14ac:dyDescent="0.3"/>
    <row r="2326" ht="15" customHeight="1" x14ac:dyDescent="0.3"/>
    <row r="2327" ht="15" customHeight="1" x14ac:dyDescent="0.3"/>
    <row r="2328" ht="15" customHeight="1" x14ac:dyDescent="0.3"/>
    <row r="2329" ht="15" customHeight="1" x14ac:dyDescent="0.3"/>
    <row r="2330" ht="15" customHeight="1" x14ac:dyDescent="0.3"/>
    <row r="2331" ht="15" customHeight="1" x14ac:dyDescent="0.3"/>
    <row r="2332" ht="15" customHeight="1" x14ac:dyDescent="0.3"/>
    <row r="2333" ht="15" customHeight="1" x14ac:dyDescent="0.3"/>
    <row r="2334" ht="15" customHeight="1" x14ac:dyDescent="0.3"/>
    <row r="2350" ht="15" customHeight="1" x14ac:dyDescent="0.3"/>
    <row r="2351" ht="15" customHeight="1" x14ac:dyDescent="0.3"/>
    <row r="2352" ht="15" customHeight="1" x14ac:dyDescent="0.3"/>
    <row r="2353" ht="15" customHeight="1" x14ac:dyDescent="0.3"/>
    <row r="2354" ht="15" customHeight="1" x14ac:dyDescent="0.3"/>
    <row r="2355" ht="15" customHeight="1" x14ac:dyDescent="0.3"/>
    <row r="2356" ht="15" customHeight="1" x14ac:dyDescent="0.3"/>
    <row r="2357" ht="15" customHeight="1" x14ac:dyDescent="0.3"/>
    <row r="2358" ht="15" customHeight="1" x14ac:dyDescent="0.3"/>
    <row r="2359" ht="15" customHeight="1" x14ac:dyDescent="0.3"/>
    <row r="2360" ht="15" customHeight="1" x14ac:dyDescent="0.3"/>
    <row r="2361" ht="15" customHeight="1" x14ac:dyDescent="0.3"/>
    <row r="2362" ht="15" customHeight="1" x14ac:dyDescent="0.3"/>
    <row r="2363" ht="15" customHeight="1" x14ac:dyDescent="0.3"/>
    <row r="2364" ht="15" customHeight="1" x14ac:dyDescent="0.3"/>
    <row r="2365" ht="15" customHeight="1" x14ac:dyDescent="0.3"/>
    <row r="2367" ht="15" customHeight="1" x14ac:dyDescent="0.3"/>
    <row r="2368" ht="15" customHeight="1" x14ac:dyDescent="0.3"/>
    <row r="2369" ht="15" customHeight="1" x14ac:dyDescent="0.3"/>
    <row r="2370" ht="15" customHeight="1" x14ac:dyDescent="0.3"/>
    <row r="2371" ht="15" customHeight="1" x14ac:dyDescent="0.3"/>
    <row r="2372" ht="15" customHeight="1" x14ac:dyDescent="0.3"/>
    <row r="2373" ht="15" customHeight="1" x14ac:dyDescent="0.3"/>
    <row r="2374" ht="15" customHeight="1" x14ac:dyDescent="0.3"/>
    <row r="2375" ht="15" customHeight="1" x14ac:dyDescent="0.3"/>
    <row r="2376" ht="15" customHeight="1" x14ac:dyDescent="0.3"/>
    <row r="2377" ht="15" customHeight="1" x14ac:dyDescent="0.3"/>
    <row r="2378" ht="15" customHeight="1" x14ac:dyDescent="0.3"/>
    <row r="2380" ht="15" customHeight="1" x14ac:dyDescent="0.3"/>
    <row r="2381" ht="15" customHeight="1" x14ac:dyDescent="0.3"/>
    <row r="2382" ht="15" customHeight="1" x14ac:dyDescent="0.3"/>
    <row r="2383" ht="15" customHeight="1" x14ac:dyDescent="0.3"/>
    <row r="2384" ht="15" customHeight="1" x14ac:dyDescent="0.3"/>
    <row r="2385" ht="15" customHeight="1" x14ac:dyDescent="0.3"/>
    <row r="2386" ht="15" customHeight="1" x14ac:dyDescent="0.3"/>
    <row r="2387" ht="15" customHeight="1" x14ac:dyDescent="0.3"/>
    <row r="2388" ht="15" customHeight="1" x14ac:dyDescent="0.3"/>
    <row r="2390" ht="15" customHeight="1" x14ac:dyDescent="0.3"/>
    <row r="2391" ht="15" customHeight="1" x14ac:dyDescent="0.3"/>
    <row r="2392" ht="15" customHeight="1" x14ac:dyDescent="0.3"/>
    <row r="2393" ht="15" customHeight="1" x14ac:dyDescent="0.3"/>
    <row r="2394" ht="15" customHeight="1" x14ac:dyDescent="0.3"/>
    <row r="2395" ht="15" customHeight="1" x14ac:dyDescent="0.3"/>
    <row r="2396" ht="15" customHeight="1" x14ac:dyDescent="0.3"/>
    <row r="2397" ht="15" customHeight="1" x14ac:dyDescent="0.3"/>
    <row r="2400" ht="15" customHeight="1" x14ac:dyDescent="0.3"/>
    <row r="2401" ht="15" customHeight="1" x14ac:dyDescent="0.3"/>
    <row r="2402" ht="15" customHeight="1" x14ac:dyDescent="0.3"/>
    <row r="2403" ht="15" customHeight="1" x14ac:dyDescent="0.3"/>
    <row r="2404" ht="15" customHeight="1" x14ac:dyDescent="0.3"/>
    <row r="2405" ht="15" customHeight="1" x14ac:dyDescent="0.3"/>
    <row r="2406" ht="15" customHeight="1" x14ac:dyDescent="0.3"/>
    <row r="2407" ht="15" customHeight="1" x14ac:dyDescent="0.3"/>
    <row r="2408" ht="15" customHeight="1" x14ac:dyDescent="0.3"/>
    <row r="2410" ht="15" customHeight="1" x14ac:dyDescent="0.3"/>
    <row r="2411" ht="15" customHeight="1" x14ac:dyDescent="0.3"/>
    <row r="2412" ht="15" customHeight="1" x14ac:dyDescent="0.3"/>
    <row r="2413" ht="15" customHeight="1" x14ac:dyDescent="0.3"/>
    <row r="2414" ht="15" customHeight="1" x14ac:dyDescent="0.3"/>
    <row r="2415" ht="15" customHeight="1" x14ac:dyDescent="0.3"/>
    <row r="2416" ht="15" customHeight="1" x14ac:dyDescent="0.3"/>
    <row r="2417" spans="2:33" ht="15" customHeight="1" x14ac:dyDescent="0.3"/>
    <row r="2418" spans="2:33" ht="15" customHeight="1" x14ac:dyDescent="0.3"/>
    <row r="2419" spans="2:33" ht="15" customHeight="1" x14ac:dyDescent="0.3">
      <c r="B2419" s="184"/>
      <c r="C2419" s="184"/>
      <c r="D2419" s="184"/>
      <c r="E2419" s="184"/>
      <c r="F2419" s="184"/>
      <c r="G2419" s="184"/>
      <c r="H2419" s="184"/>
      <c r="I2419" s="184"/>
      <c r="J2419" s="184"/>
      <c r="K2419" s="184"/>
      <c r="L2419" s="184"/>
      <c r="M2419" s="184"/>
      <c r="N2419" s="184"/>
      <c r="O2419" s="184"/>
      <c r="P2419" s="184"/>
      <c r="Q2419" s="184"/>
      <c r="R2419" s="184"/>
      <c r="S2419" s="184"/>
      <c r="T2419" s="184"/>
      <c r="U2419" s="184"/>
      <c r="V2419" s="184"/>
      <c r="W2419" s="184"/>
      <c r="X2419" s="184"/>
      <c r="Y2419" s="184"/>
      <c r="Z2419" s="184"/>
      <c r="AA2419" s="184"/>
      <c r="AB2419" s="184"/>
      <c r="AC2419" s="184"/>
      <c r="AD2419" s="184"/>
      <c r="AE2419" s="184"/>
      <c r="AF2419" s="184"/>
      <c r="AG2419" s="184"/>
    </row>
    <row r="2420" spans="2:33" ht="15" customHeight="1" x14ac:dyDescent="0.3"/>
    <row r="2421" spans="2:33" ht="15" customHeight="1" x14ac:dyDescent="0.3"/>
    <row r="2422" spans="2:33" ht="15" customHeight="1" x14ac:dyDescent="0.3"/>
    <row r="2423" spans="2:33" ht="15" customHeight="1" x14ac:dyDescent="0.3"/>
    <row r="2424" spans="2:33" ht="15" customHeight="1" x14ac:dyDescent="0.3"/>
    <row r="2425" spans="2:33" ht="15" customHeight="1" x14ac:dyDescent="0.3"/>
    <row r="2426" spans="2:33" ht="15" customHeight="1" x14ac:dyDescent="0.3"/>
    <row r="2427" spans="2:33" ht="15" customHeight="1" x14ac:dyDescent="0.3"/>
    <row r="2428" spans="2:33" ht="15" customHeight="1" x14ac:dyDescent="0.3"/>
    <row r="2429" spans="2:33" ht="15" customHeight="1" x14ac:dyDescent="0.3"/>
    <row r="2430" spans="2:33" ht="15" customHeight="1" x14ac:dyDescent="0.3"/>
    <row r="2431" spans="2:33" ht="15" customHeight="1" x14ac:dyDescent="0.3"/>
    <row r="2432" spans="2:33" ht="15" customHeight="1" x14ac:dyDescent="0.3"/>
    <row r="2433" ht="15" customHeight="1" x14ac:dyDescent="0.3"/>
    <row r="2434" ht="15" customHeight="1" x14ac:dyDescent="0.3"/>
    <row r="2435" ht="15" customHeight="1" x14ac:dyDescent="0.3"/>
    <row r="2436" ht="15" customHeight="1" x14ac:dyDescent="0.3"/>
    <row r="2437" ht="15" customHeight="1" x14ac:dyDescent="0.3"/>
    <row r="2438" ht="15" customHeight="1" x14ac:dyDescent="0.3"/>
    <row r="2450" ht="15" customHeight="1" x14ac:dyDescent="0.3"/>
    <row r="2451" ht="15" customHeight="1" x14ac:dyDescent="0.3"/>
    <row r="2452" ht="15" customHeight="1" x14ac:dyDescent="0.3"/>
    <row r="2453" ht="15" customHeight="1" x14ac:dyDescent="0.3"/>
    <row r="2454" ht="15" customHeight="1" x14ac:dyDescent="0.3"/>
    <row r="2455" ht="15" customHeight="1" x14ac:dyDescent="0.3"/>
    <row r="2457" ht="15" customHeight="1" x14ac:dyDescent="0.3"/>
    <row r="2459" ht="15" customHeight="1" x14ac:dyDescent="0.3"/>
    <row r="2461" ht="15" customHeight="1" x14ac:dyDescent="0.3"/>
    <row r="2462" ht="15" customHeight="1" x14ac:dyDescent="0.3"/>
    <row r="2463" ht="15" customHeight="1" x14ac:dyDescent="0.3"/>
    <row r="2464" ht="15" customHeight="1" x14ac:dyDescent="0.3"/>
    <row r="2465" ht="15" customHeight="1" x14ac:dyDescent="0.3"/>
    <row r="2467" ht="15" customHeight="1" x14ac:dyDescent="0.3"/>
    <row r="2468" ht="15" customHeight="1" x14ac:dyDescent="0.3"/>
    <row r="2469" ht="15" customHeight="1" x14ac:dyDescent="0.3"/>
    <row r="2470" ht="15" customHeight="1" x14ac:dyDescent="0.3"/>
    <row r="2471" ht="15" customHeight="1" x14ac:dyDescent="0.3"/>
    <row r="2472" ht="15" customHeight="1" x14ac:dyDescent="0.3"/>
    <row r="2473" ht="15" customHeight="1" x14ac:dyDescent="0.3"/>
    <row r="2475" ht="15" customHeight="1" x14ac:dyDescent="0.3"/>
    <row r="2476" ht="15" customHeight="1" x14ac:dyDescent="0.3"/>
    <row r="2477" ht="15" customHeight="1" x14ac:dyDescent="0.3"/>
    <row r="2478" ht="15" customHeight="1" x14ac:dyDescent="0.3"/>
    <row r="2479" ht="15" customHeight="1" x14ac:dyDescent="0.3"/>
    <row r="2480" ht="15" customHeight="1" x14ac:dyDescent="0.3"/>
    <row r="2481" ht="15" customHeight="1" x14ac:dyDescent="0.3"/>
    <row r="2482" ht="15" customHeight="1" x14ac:dyDescent="0.3"/>
    <row r="2483" ht="15" customHeight="1" x14ac:dyDescent="0.3"/>
    <row r="2484" ht="15" customHeight="1" x14ac:dyDescent="0.3"/>
    <row r="2486" ht="15" customHeight="1" x14ac:dyDescent="0.3"/>
    <row r="2488" ht="15" customHeight="1" x14ac:dyDescent="0.3"/>
    <row r="2489" ht="15" customHeight="1" x14ac:dyDescent="0.3"/>
    <row r="2490" ht="15" customHeight="1" x14ac:dyDescent="0.3"/>
    <row r="2491" ht="15" customHeight="1" x14ac:dyDescent="0.3"/>
    <row r="2492" ht="15" customHeight="1" x14ac:dyDescent="0.3"/>
    <row r="2495" ht="15" customHeight="1" x14ac:dyDescent="0.3"/>
    <row r="2496" ht="15" customHeight="1" x14ac:dyDescent="0.3"/>
    <row r="2498" spans="2:33" ht="15" customHeight="1" x14ac:dyDescent="0.3"/>
    <row r="2499" spans="2:33" ht="15" customHeight="1" x14ac:dyDescent="0.3"/>
    <row r="2500" spans="2:33" ht="15" customHeight="1" x14ac:dyDescent="0.3"/>
    <row r="2501" spans="2:33" ht="15" customHeight="1" x14ac:dyDescent="0.3"/>
    <row r="2502" spans="2:33" ht="15" customHeight="1" x14ac:dyDescent="0.3"/>
    <row r="2504" spans="2:33" ht="15" customHeight="1" x14ac:dyDescent="0.3"/>
    <row r="2505" spans="2:33" ht="15" customHeight="1" x14ac:dyDescent="0.3"/>
    <row r="2506" spans="2:33" ht="15" customHeight="1" x14ac:dyDescent="0.3"/>
    <row r="2507" spans="2:33" ht="15" customHeight="1" x14ac:dyDescent="0.3"/>
    <row r="2508" spans="2:33" ht="15" customHeight="1" x14ac:dyDescent="0.3"/>
    <row r="2509" spans="2:33" ht="15" customHeight="1" x14ac:dyDescent="0.3">
      <c r="B2509" s="184"/>
      <c r="C2509" s="184"/>
      <c r="D2509" s="184"/>
      <c r="E2509" s="184"/>
      <c r="F2509" s="184"/>
      <c r="G2509" s="184"/>
      <c r="H2509" s="184"/>
      <c r="I2509" s="184"/>
      <c r="J2509" s="184"/>
      <c r="K2509" s="184"/>
      <c r="L2509" s="184"/>
      <c r="M2509" s="184"/>
      <c r="N2509" s="184"/>
      <c r="O2509" s="184"/>
      <c r="P2509" s="184"/>
      <c r="Q2509" s="184"/>
      <c r="R2509" s="184"/>
      <c r="S2509" s="184"/>
      <c r="T2509" s="184"/>
      <c r="U2509" s="184"/>
      <c r="V2509" s="184"/>
      <c r="W2509" s="184"/>
      <c r="X2509" s="184"/>
      <c r="Y2509" s="184"/>
      <c r="Z2509" s="184"/>
      <c r="AA2509" s="184"/>
      <c r="AB2509" s="184"/>
      <c r="AC2509" s="184"/>
      <c r="AD2509" s="184"/>
      <c r="AE2509" s="184"/>
      <c r="AF2509" s="184"/>
      <c r="AG2509" s="184"/>
    </row>
    <row r="2510" spans="2:33" ht="15" customHeight="1" x14ac:dyDescent="0.3"/>
    <row r="2511" spans="2:33" ht="15" customHeight="1" x14ac:dyDescent="0.3"/>
    <row r="2512" spans="2:33" ht="15" customHeight="1" x14ac:dyDescent="0.3"/>
    <row r="2513" ht="15" customHeight="1" x14ac:dyDescent="0.3"/>
    <row r="2514" ht="15" customHeight="1" x14ac:dyDescent="0.3"/>
    <row r="2515" ht="15" customHeight="1" x14ac:dyDescent="0.3"/>
    <row r="2516" ht="15" customHeight="1" x14ac:dyDescent="0.3"/>
    <row r="2517" ht="15" customHeight="1" x14ac:dyDescent="0.3"/>
    <row r="2518" ht="15" customHeight="1" x14ac:dyDescent="0.3"/>
    <row r="2519" ht="15" customHeight="1" x14ac:dyDescent="0.3"/>
    <row r="2520" ht="15" customHeight="1" x14ac:dyDescent="0.3"/>
    <row r="2521" ht="15" customHeight="1" x14ac:dyDescent="0.3"/>
    <row r="2522" ht="15" customHeight="1" x14ac:dyDescent="0.3"/>
    <row r="2523" ht="15" customHeight="1" x14ac:dyDescent="0.3"/>
    <row r="2524" ht="15" customHeight="1" x14ac:dyDescent="0.3"/>
    <row r="2525" ht="15" customHeight="1" x14ac:dyDescent="0.3"/>
    <row r="2526" ht="15" customHeight="1" x14ac:dyDescent="0.3"/>
    <row r="2527" ht="15" customHeight="1" x14ac:dyDescent="0.3"/>
    <row r="2528" ht="15" customHeight="1" x14ac:dyDescent="0.3"/>
    <row r="2529" ht="15" customHeight="1" x14ac:dyDescent="0.3"/>
    <row r="2550" ht="15" customHeight="1" x14ac:dyDescent="0.3"/>
    <row r="2551" ht="15" customHeight="1" x14ac:dyDescent="0.3"/>
    <row r="2552" ht="15" customHeight="1" x14ac:dyDescent="0.3"/>
    <row r="2553" ht="15" customHeight="1" x14ac:dyDescent="0.3"/>
    <row r="2554" ht="15" customHeight="1" x14ac:dyDescent="0.3"/>
    <row r="2555" ht="15" customHeight="1" x14ac:dyDescent="0.3"/>
    <row r="2556" ht="15" customHeight="1" x14ac:dyDescent="0.3"/>
    <row r="2557" ht="15" customHeight="1" x14ac:dyDescent="0.3"/>
    <row r="2558" ht="15" customHeight="1" x14ac:dyDescent="0.3"/>
    <row r="2559" ht="15" customHeight="1" x14ac:dyDescent="0.3"/>
    <row r="2561" ht="15" customHeight="1" x14ac:dyDescent="0.3"/>
    <row r="2562" ht="15" customHeight="1" x14ac:dyDescent="0.3"/>
    <row r="2563" ht="15" customHeight="1" x14ac:dyDescent="0.3"/>
    <row r="2564" ht="15" customHeight="1" x14ac:dyDescent="0.3"/>
    <row r="2565" ht="15" customHeight="1" x14ac:dyDescent="0.3"/>
    <row r="2566" ht="15" customHeight="1" x14ac:dyDescent="0.3"/>
    <row r="2568" ht="15" customHeight="1" x14ac:dyDescent="0.3"/>
    <row r="2569" ht="15" customHeight="1" x14ac:dyDescent="0.3"/>
    <row r="2570" ht="15" customHeight="1" x14ac:dyDescent="0.3"/>
    <row r="2571" ht="15" customHeight="1" x14ac:dyDescent="0.3"/>
    <row r="2572" ht="15" customHeight="1" x14ac:dyDescent="0.3"/>
    <row r="2573" ht="15" customHeight="1" x14ac:dyDescent="0.3"/>
    <row r="2575" ht="15" customHeight="1" x14ac:dyDescent="0.3"/>
    <row r="2576" ht="15" customHeight="1" x14ac:dyDescent="0.3"/>
    <row r="2577" ht="15" customHeight="1" x14ac:dyDescent="0.3"/>
    <row r="2578" ht="15" customHeight="1" x14ac:dyDescent="0.3"/>
    <row r="2579" ht="15" customHeight="1" x14ac:dyDescent="0.3"/>
    <row r="2581" ht="15" customHeight="1" x14ac:dyDescent="0.3"/>
    <row r="2582" ht="15" customHeight="1" x14ac:dyDescent="0.3"/>
    <row r="2583" ht="15" customHeight="1" x14ac:dyDescent="0.3"/>
    <row r="2584" ht="15" customHeight="1" x14ac:dyDescent="0.3"/>
    <row r="2585" ht="15" customHeight="1" x14ac:dyDescent="0.3"/>
    <row r="2586" ht="15" customHeight="1" x14ac:dyDescent="0.3"/>
    <row r="2588" ht="15" customHeight="1" x14ac:dyDescent="0.3"/>
    <row r="2589" ht="15" customHeight="1" x14ac:dyDescent="0.3"/>
    <row r="2590" ht="15" customHeight="1" x14ac:dyDescent="0.3"/>
    <row r="2591" ht="15" customHeight="1" x14ac:dyDescent="0.3"/>
    <row r="2592" ht="15" customHeight="1" x14ac:dyDescent="0.3"/>
    <row r="2593" spans="2:33" ht="15" customHeight="1" x14ac:dyDescent="0.3"/>
    <row r="2595" spans="2:33" ht="15" customHeight="1" x14ac:dyDescent="0.3"/>
    <row r="2596" spans="2:33" ht="15" customHeight="1" x14ac:dyDescent="0.3"/>
    <row r="2597" spans="2:33" ht="15" customHeight="1" x14ac:dyDescent="0.3"/>
    <row r="2598" spans="2:33" ht="15" customHeight="1" x14ac:dyDescent="0.3">
      <c r="B2598" s="184"/>
      <c r="C2598" s="184"/>
      <c r="D2598" s="184"/>
      <c r="E2598" s="184"/>
      <c r="F2598" s="184"/>
      <c r="G2598" s="184"/>
      <c r="H2598" s="184"/>
      <c r="I2598" s="184"/>
      <c r="J2598" s="184"/>
      <c r="K2598" s="184"/>
      <c r="L2598" s="184"/>
      <c r="M2598" s="184"/>
      <c r="N2598" s="184"/>
      <c r="O2598" s="184"/>
      <c r="P2598" s="184"/>
      <c r="Q2598" s="184"/>
      <c r="R2598" s="184"/>
      <c r="S2598" s="184"/>
      <c r="T2598" s="184"/>
      <c r="U2598" s="184"/>
      <c r="V2598" s="184"/>
      <c r="W2598" s="184"/>
      <c r="X2598" s="184"/>
      <c r="Y2598" s="184"/>
      <c r="Z2598" s="184"/>
      <c r="AA2598" s="184"/>
      <c r="AB2598" s="184"/>
      <c r="AC2598" s="184"/>
      <c r="AD2598" s="184"/>
      <c r="AE2598" s="184"/>
      <c r="AF2598" s="184"/>
      <c r="AG2598" s="184"/>
    </row>
    <row r="2599" spans="2:33" ht="15" customHeight="1" x14ac:dyDescent="0.3"/>
    <row r="2600" spans="2:33" ht="15" customHeight="1" x14ac:dyDescent="0.3"/>
    <row r="2601" spans="2:33" ht="15" customHeight="1" x14ac:dyDescent="0.3"/>
    <row r="2602" spans="2:33" ht="15" customHeight="1" x14ac:dyDescent="0.3"/>
    <row r="2603" spans="2:33" ht="15" customHeight="1" x14ac:dyDescent="0.3"/>
    <row r="2604" spans="2:33" ht="15" customHeight="1" x14ac:dyDescent="0.3"/>
    <row r="2605" spans="2:33" ht="15" customHeight="1" x14ac:dyDescent="0.3"/>
    <row r="2606" spans="2:33" ht="15" customHeight="1" x14ac:dyDescent="0.3"/>
    <row r="2607" spans="2:33" ht="15" customHeight="1" x14ac:dyDescent="0.3"/>
    <row r="2608" spans="2:33" ht="15" customHeight="1" x14ac:dyDescent="0.3"/>
    <row r="2609" ht="15" customHeight="1" x14ac:dyDescent="0.3"/>
    <row r="2610" ht="15" customHeight="1" x14ac:dyDescent="0.3"/>
    <row r="2611" ht="15" customHeight="1" x14ac:dyDescent="0.3"/>
    <row r="2612" ht="15" customHeight="1" x14ac:dyDescent="0.3"/>
    <row r="2613" ht="15" customHeight="1" x14ac:dyDescent="0.3"/>
    <row r="2614" ht="15" customHeight="1" x14ac:dyDescent="0.3"/>
    <row r="2625" ht="15" customHeight="1" x14ac:dyDescent="0.3"/>
    <row r="2626" ht="15" customHeight="1" x14ac:dyDescent="0.3"/>
    <row r="2627" ht="15" customHeight="1" x14ac:dyDescent="0.3"/>
    <row r="2628" ht="15" customHeight="1" x14ac:dyDescent="0.3"/>
    <row r="2629" ht="15" customHeight="1" x14ac:dyDescent="0.3"/>
    <row r="2630" ht="15" customHeight="1" x14ac:dyDescent="0.3"/>
    <row r="2631" ht="15" customHeight="1" x14ac:dyDescent="0.3"/>
    <row r="2632" ht="15" customHeight="1" x14ac:dyDescent="0.3"/>
    <row r="2633" ht="15" customHeight="1" x14ac:dyDescent="0.3"/>
    <row r="2634" ht="15" customHeight="1" x14ac:dyDescent="0.3"/>
    <row r="2635" ht="15" customHeight="1" x14ac:dyDescent="0.3"/>
    <row r="2636" ht="15" customHeight="1" x14ac:dyDescent="0.3"/>
    <row r="2637" ht="15" customHeight="1" x14ac:dyDescent="0.3"/>
    <row r="2638" ht="15" customHeight="1" x14ac:dyDescent="0.3"/>
    <row r="2639" ht="15" customHeight="1" x14ac:dyDescent="0.3"/>
    <row r="2640" ht="15" customHeight="1" x14ac:dyDescent="0.3"/>
    <row r="2641" ht="15" customHeight="1" x14ac:dyDescent="0.3"/>
    <row r="2642" ht="15" customHeight="1" x14ac:dyDescent="0.3"/>
    <row r="2643" ht="15" customHeight="1" x14ac:dyDescent="0.3"/>
    <row r="2644" ht="15" customHeight="1" x14ac:dyDescent="0.3"/>
    <row r="2645" ht="15" customHeight="1" x14ac:dyDescent="0.3"/>
    <row r="2646" ht="15" customHeight="1" x14ac:dyDescent="0.3"/>
    <row r="2648" ht="15" customHeight="1" x14ac:dyDescent="0.3"/>
    <row r="2649" ht="15" customHeight="1" x14ac:dyDescent="0.3"/>
    <row r="2650" ht="15" customHeight="1" x14ac:dyDescent="0.3"/>
    <row r="2651" ht="15" customHeight="1" x14ac:dyDescent="0.3"/>
    <row r="2652" ht="15" customHeight="1" x14ac:dyDescent="0.3"/>
    <row r="2653" ht="15" customHeight="1" x14ac:dyDescent="0.3"/>
    <row r="2654" ht="15" customHeight="1" x14ac:dyDescent="0.3"/>
    <row r="2655" ht="15" customHeight="1" x14ac:dyDescent="0.3"/>
    <row r="2656" ht="15" customHeight="1" x14ac:dyDescent="0.3"/>
    <row r="2657" ht="15" customHeight="1" x14ac:dyDescent="0.3"/>
    <row r="2658" ht="15" customHeight="1" x14ac:dyDescent="0.3"/>
    <row r="2659" ht="15" customHeight="1" x14ac:dyDescent="0.3"/>
    <row r="2662" ht="15" customHeight="1" x14ac:dyDescent="0.3"/>
    <row r="2663" ht="15" customHeight="1" x14ac:dyDescent="0.3"/>
    <row r="2664" ht="15" customHeight="1" x14ac:dyDescent="0.3"/>
    <row r="2665" ht="15" customHeight="1" x14ac:dyDescent="0.3"/>
    <row r="2666" ht="15" customHeight="1" x14ac:dyDescent="0.3"/>
    <row r="2667" ht="15" customHeight="1" x14ac:dyDescent="0.3"/>
    <row r="2668" ht="15" customHeight="1" x14ac:dyDescent="0.3"/>
    <row r="2669" ht="15" customHeight="1" x14ac:dyDescent="0.3"/>
    <row r="2670" ht="15" customHeight="1" x14ac:dyDescent="0.3"/>
    <row r="2671" ht="15" customHeight="1" x14ac:dyDescent="0.3"/>
    <row r="2672" ht="15" customHeight="1" x14ac:dyDescent="0.3"/>
    <row r="2673" ht="15" customHeight="1" x14ac:dyDescent="0.3"/>
    <row r="2674" ht="15" customHeight="1" x14ac:dyDescent="0.3"/>
    <row r="2675" ht="15" customHeight="1" x14ac:dyDescent="0.3"/>
    <row r="2676" ht="15" customHeight="1" x14ac:dyDescent="0.3"/>
    <row r="2677" ht="15" customHeight="1" x14ac:dyDescent="0.3"/>
    <row r="2678" ht="15" customHeight="1" x14ac:dyDescent="0.3"/>
    <row r="2679" ht="15" customHeight="1" x14ac:dyDescent="0.3"/>
    <row r="2680" ht="15" customHeight="1" x14ac:dyDescent="0.3"/>
    <row r="2681" ht="15" customHeight="1" x14ac:dyDescent="0.3"/>
    <row r="2682" ht="15" customHeight="1" x14ac:dyDescent="0.3"/>
    <row r="2683" ht="15" customHeight="1" x14ac:dyDescent="0.3"/>
    <row r="2684" ht="15" customHeight="1" x14ac:dyDescent="0.3"/>
    <row r="2685" ht="15" customHeight="1" x14ac:dyDescent="0.3"/>
    <row r="2686" ht="15" customHeight="1" x14ac:dyDescent="0.3"/>
    <row r="2687" ht="15" customHeight="1" x14ac:dyDescent="0.3"/>
    <row r="2689" ht="15" customHeight="1" x14ac:dyDescent="0.3"/>
    <row r="2690" ht="15" customHeight="1" x14ac:dyDescent="0.3"/>
    <row r="2691" ht="15" customHeight="1" x14ac:dyDescent="0.3"/>
    <row r="2692" ht="15" customHeight="1" x14ac:dyDescent="0.3"/>
    <row r="2693" ht="15" customHeight="1" x14ac:dyDescent="0.3"/>
    <row r="2694" ht="15" customHeight="1" x14ac:dyDescent="0.3"/>
    <row r="2695" ht="15" customHeight="1" x14ac:dyDescent="0.3"/>
    <row r="2696" ht="15" customHeight="1" x14ac:dyDescent="0.3"/>
    <row r="2697" ht="15" customHeight="1" x14ac:dyDescent="0.3"/>
    <row r="2698" ht="15" customHeight="1" x14ac:dyDescent="0.3"/>
    <row r="2699" ht="15" customHeight="1" x14ac:dyDescent="0.3"/>
    <row r="2700" ht="15" customHeight="1" x14ac:dyDescent="0.3"/>
    <row r="2701" ht="15" customHeight="1" x14ac:dyDescent="0.3"/>
    <row r="2702" ht="15" customHeight="1" x14ac:dyDescent="0.3"/>
    <row r="2703" ht="15" customHeight="1" x14ac:dyDescent="0.3"/>
    <row r="2704" ht="15" customHeight="1" x14ac:dyDescent="0.3"/>
    <row r="2707" spans="2:33" ht="15" customHeight="1" x14ac:dyDescent="0.3"/>
    <row r="2708" spans="2:33" ht="15" customHeight="1" x14ac:dyDescent="0.3"/>
    <row r="2709" spans="2:33" ht="15" customHeight="1" x14ac:dyDescent="0.3"/>
    <row r="2710" spans="2:33" ht="15" customHeight="1" x14ac:dyDescent="0.3"/>
    <row r="2711" spans="2:33" ht="15" customHeight="1" x14ac:dyDescent="0.3"/>
    <row r="2712" spans="2:33" ht="15" customHeight="1" x14ac:dyDescent="0.3"/>
    <row r="2713" spans="2:33" ht="15" customHeight="1" x14ac:dyDescent="0.3"/>
    <row r="2714" spans="2:33" ht="15" customHeight="1" x14ac:dyDescent="0.3"/>
    <row r="2715" spans="2:33" ht="15" customHeight="1" x14ac:dyDescent="0.3"/>
    <row r="2716" spans="2:33" ht="15" customHeight="1" x14ac:dyDescent="0.3"/>
    <row r="2717" spans="2:33" ht="15" customHeight="1" x14ac:dyDescent="0.3"/>
    <row r="2718" spans="2:33" ht="15" customHeight="1" x14ac:dyDescent="0.3"/>
    <row r="2719" spans="2:33" ht="15" customHeight="1" x14ac:dyDescent="0.3">
      <c r="B2719" s="184"/>
      <c r="C2719" s="184"/>
      <c r="D2719" s="184"/>
      <c r="E2719" s="184"/>
      <c r="F2719" s="184"/>
      <c r="G2719" s="184"/>
      <c r="H2719" s="184"/>
      <c r="I2719" s="184"/>
      <c r="J2719" s="184"/>
      <c r="K2719" s="184"/>
      <c r="L2719" s="184"/>
      <c r="M2719" s="184"/>
      <c r="N2719" s="184"/>
      <c r="O2719" s="184"/>
      <c r="P2719" s="184"/>
      <c r="Q2719" s="184"/>
      <c r="R2719" s="184"/>
      <c r="S2719" s="184"/>
      <c r="T2719" s="184"/>
      <c r="U2719" s="184"/>
      <c r="V2719" s="184"/>
      <c r="W2719" s="184"/>
      <c r="X2719" s="184"/>
      <c r="Y2719" s="184"/>
      <c r="Z2719" s="184"/>
      <c r="AA2719" s="184"/>
      <c r="AB2719" s="184"/>
      <c r="AC2719" s="184"/>
      <c r="AD2719" s="184"/>
      <c r="AE2719" s="184"/>
      <c r="AF2719" s="184"/>
      <c r="AG2719" s="184"/>
    </row>
    <row r="2720" spans="2:33" ht="15" customHeight="1" x14ac:dyDescent="0.3"/>
    <row r="2721" ht="15" customHeight="1" x14ac:dyDescent="0.3"/>
    <row r="2722" ht="15" customHeight="1" x14ac:dyDescent="0.3"/>
    <row r="2723" ht="15" customHeight="1" x14ac:dyDescent="0.3"/>
    <row r="2724" ht="15" customHeight="1" x14ac:dyDescent="0.3"/>
    <row r="2725" ht="15" customHeight="1" x14ac:dyDescent="0.3"/>
    <row r="2726" ht="15" customHeight="1" x14ac:dyDescent="0.3"/>
    <row r="2727" ht="15" customHeight="1" x14ac:dyDescent="0.3"/>
    <row r="2728" ht="15" customHeight="1" x14ac:dyDescent="0.3"/>
    <row r="2729" ht="15" customHeight="1" x14ac:dyDescent="0.3"/>
    <row r="2730" ht="15" customHeight="1" x14ac:dyDescent="0.3"/>
    <row r="2731" ht="15" customHeight="1" x14ac:dyDescent="0.3"/>
    <row r="2732" ht="15" customHeight="1" x14ac:dyDescent="0.3"/>
    <row r="2733" ht="15" customHeight="1" x14ac:dyDescent="0.3"/>
    <row r="2734" ht="15" customHeight="1" x14ac:dyDescent="0.3"/>
    <row r="2735" ht="15" customHeight="1" x14ac:dyDescent="0.3"/>
    <row r="2736" ht="15" customHeight="1" x14ac:dyDescent="0.3"/>
    <row r="2737" ht="15" customHeight="1" x14ac:dyDescent="0.3"/>
    <row r="2738" ht="15" customHeight="1" x14ac:dyDescent="0.3"/>
    <row r="2739" ht="15" customHeight="1" x14ac:dyDescent="0.3"/>
    <row r="2740" ht="15" customHeight="1" x14ac:dyDescent="0.3"/>
    <row r="2741" ht="15" customHeight="1" x14ac:dyDescent="0.3"/>
    <row r="2742" ht="15" customHeight="1" x14ac:dyDescent="0.3"/>
    <row r="2775" ht="15" customHeight="1" x14ac:dyDescent="0.3"/>
    <row r="2776" ht="15" customHeight="1" x14ac:dyDescent="0.3"/>
    <row r="2777" ht="15" customHeight="1" x14ac:dyDescent="0.3"/>
    <row r="2778" ht="15" customHeight="1" x14ac:dyDescent="0.3"/>
    <row r="2779" ht="15" customHeight="1" x14ac:dyDescent="0.3"/>
    <row r="2780" ht="15" customHeight="1" x14ac:dyDescent="0.3"/>
    <row r="2781" ht="15" customHeight="1" x14ac:dyDescent="0.3"/>
    <row r="2782" ht="15" customHeight="1" x14ac:dyDescent="0.3"/>
    <row r="2783" ht="15" customHeight="1" x14ac:dyDescent="0.3"/>
    <row r="2784" ht="15" customHeight="1" x14ac:dyDescent="0.3"/>
    <row r="2785" ht="15" customHeight="1" x14ac:dyDescent="0.3"/>
    <row r="2786" ht="15" customHeight="1" x14ac:dyDescent="0.3"/>
    <row r="2788" ht="15" customHeight="1" x14ac:dyDescent="0.3"/>
    <row r="2789" ht="15" customHeight="1" x14ac:dyDescent="0.3"/>
    <row r="2790" ht="15" customHeight="1" x14ac:dyDescent="0.3"/>
    <row r="2791" ht="15" customHeight="1" x14ac:dyDescent="0.3"/>
    <row r="2793" ht="15" customHeight="1" x14ac:dyDescent="0.3"/>
    <row r="2794" ht="15" customHeight="1" x14ac:dyDescent="0.3"/>
    <row r="2795" ht="15" customHeight="1" x14ac:dyDescent="0.3"/>
    <row r="2796" ht="15" customHeight="1" x14ac:dyDescent="0.3"/>
    <row r="2797" ht="15" customHeight="1" x14ac:dyDescent="0.3"/>
    <row r="2798" ht="15" customHeight="1" x14ac:dyDescent="0.3"/>
    <row r="2799" ht="15" customHeight="1" x14ac:dyDescent="0.3"/>
    <row r="2800" ht="15" customHeight="1" x14ac:dyDescent="0.3"/>
    <row r="2801" ht="15" customHeight="1" x14ac:dyDescent="0.3"/>
    <row r="2802" ht="15" customHeight="1" x14ac:dyDescent="0.3"/>
    <row r="2804" ht="15" customHeight="1" x14ac:dyDescent="0.3"/>
    <row r="2805" ht="15" customHeight="1" x14ac:dyDescent="0.3"/>
    <row r="2806" ht="15" customHeight="1" x14ac:dyDescent="0.3"/>
    <row r="2807" ht="15" customHeight="1" x14ac:dyDescent="0.3"/>
    <row r="2809" ht="15" customHeight="1" x14ac:dyDescent="0.3"/>
    <row r="2810" ht="15" customHeight="1" x14ac:dyDescent="0.3"/>
    <row r="2811" ht="15" customHeight="1" x14ac:dyDescent="0.3"/>
    <row r="2812" ht="15" customHeight="1" x14ac:dyDescent="0.3"/>
    <row r="2813" ht="15" customHeight="1" x14ac:dyDescent="0.3"/>
    <row r="2814" ht="15" customHeight="1" x14ac:dyDescent="0.3"/>
    <row r="2815" ht="15" customHeight="1" x14ac:dyDescent="0.3"/>
    <row r="2816" ht="15" customHeight="1" x14ac:dyDescent="0.3"/>
    <row r="2818" ht="15" customHeight="1" x14ac:dyDescent="0.3"/>
    <row r="2819" ht="15" customHeight="1" x14ac:dyDescent="0.3"/>
    <row r="2820" ht="15" customHeight="1" x14ac:dyDescent="0.3"/>
    <row r="2821" ht="15" customHeight="1" x14ac:dyDescent="0.3"/>
    <row r="2822" ht="15" customHeight="1" x14ac:dyDescent="0.3"/>
    <row r="2823" ht="15" customHeight="1" x14ac:dyDescent="0.3"/>
    <row r="2825" ht="15" customHeight="1" x14ac:dyDescent="0.3"/>
    <row r="2826" ht="15" customHeight="1" x14ac:dyDescent="0.3"/>
    <row r="2827" ht="15" customHeight="1" x14ac:dyDescent="0.3"/>
    <row r="2828" ht="15" customHeight="1" x14ac:dyDescent="0.3"/>
    <row r="2831" ht="15" customHeight="1" x14ac:dyDescent="0.3"/>
    <row r="2832" ht="15" customHeight="1" x14ac:dyDescent="0.3"/>
    <row r="2833" spans="2:33" ht="15" customHeight="1" x14ac:dyDescent="0.3"/>
    <row r="2834" spans="2:33" ht="15" customHeight="1" x14ac:dyDescent="0.3"/>
    <row r="2835" spans="2:33" ht="15" customHeight="1" x14ac:dyDescent="0.3"/>
    <row r="2836" spans="2:33" ht="15" customHeight="1" x14ac:dyDescent="0.3"/>
    <row r="2837" spans="2:33" ht="15" customHeight="1" x14ac:dyDescent="0.3">
      <c r="B2837" s="184"/>
      <c r="C2837" s="184"/>
      <c r="D2837" s="184"/>
      <c r="E2837" s="184"/>
      <c r="F2837" s="184"/>
      <c r="G2837" s="184"/>
      <c r="H2837" s="184"/>
      <c r="I2837" s="184"/>
      <c r="J2837" s="184"/>
      <c r="K2837" s="184"/>
      <c r="L2837" s="184"/>
      <c r="M2837" s="184"/>
      <c r="N2837" s="184"/>
      <c r="O2837" s="184"/>
      <c r="P2837" s="184"/>
      <c r="Q2837" s="184"/>
      <c r="R2837" s="184"/>
      <c r="S2837" s="184"/>
      <c r="T2837" s="184"/>
      <c r="U2837" s="184"/>
      <c r="V2837" s="184"/>
      <c r="W2837" s="184"/>
      <c r="X2837" s="184"/>
      <c r="Y2837" s="184"/>
      <c r="Z2837" s="184"/>
      <c r="AA2837" s="184"/>
      <c r="AB2837" s="184"/>
      <c r="AC2837" s="184"/>
      <c r="AD2837" s="184"/>
      <c r="AE2837" s="184"/>
      <c r="AF2837" s="184"/>
      <c r="AG2837" s="184"/>
    </row>
    <row r="2838" spans="2:33" ht="15" customHeight="1" x14ac:dyDescent="0.3"/>
    <row r="2839" spans="2:33" ht="15" customHeight="1" x14ac:dyDescent="0.3"/>
    <row r="2840" spans="2:33" ht="15" customHeight="1" x14ac:dyDescent="0.3"/>
    <row r="2841" spans="2:33" ht="15" customHeight="1" x14ac:dyDescent="0.3"/>
  </sheetData>
  <mergeCells count="19"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  <mergeCell ref="B2509:AG2509"/>
    <mergeCell ref="B2598:AG2598"/>
    <mergeCell ref="B2719:AG2719"/>
    <mergeCell ref="B2837:AG2837"/>
    <mergeCell ref="B1945:AG1945"/>
    <mergeCell ref="B2031:AG2031"/>
    <mergeCell ref="B2153:AG2153"/>
    <mergeCell ref="B2317:AG2317"/>
    <mergeCell ref="B2419:AG241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7A882-1901-46F2-BA28-1CDA7694DB67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AH2836"/>
    </sheetView>
  </sheetViews>
  <sheetFormatPr defaultColWidth="8.7265625" defaultRowHeight="15" customHeight="1" x14ac:dyDescent="0.3"/>
  <cols>
    <col min="1" max="1" width="19.54296875" style="86" bestFit="1" customWidth="1"/>
    <col min="2" max="2" width="107.54296875" style="86" bestFit="1" customWidth="1"/>
    <col min="3" max="3" width="11.7265625" style="86" bestFit="1" customWidth="1"/>
    <col min="4" max="4" width="24" style="86" bestFit="1" customWidth="1"/>
    <col min="5" max="5" width="10.81640625" style="86" bestFit="1" customWidth="1"/>
    <col min="6" max="6" width="5.453125" style="86" bestFit="1" customWidth="1"/>
    <col min="7" max="7" width="9.1796875" style="86" bestFit="1" customWidth="1"/>
    <col min="8" max="20" width="5.453125" style="86" bestFit="1" customWidth="1"/>
    <col min="21" max="32" width="6.453125" style="86" bestFit="1" customWidth="1"/>
    <col min="33" max="33" width="8.26953125" style="86" bestFit="1" customWidth="1"/>
    <col min="34" max="16384" width="8.7265625" style="86"/>
  </cols>
  <sheetData>
    <row r="1" spans="1:33" ht="15" customHeight="1" thickBot="1" x14ac:dyDescent="0.35">
      <c r="B1" s="103" t="s">
        <v>2891</v>
      </c>
      <c r="C1" s="100">
        <v>2022</v>
      </c>
      <c r="D1" s="100">
        <v>2023</v>
      </c>
      <c r="E1" s="100">
        <v>2024</v>
      </c>
      <c r="F1" s="100">
        <v>2025</v>
      </c>
      <c r="G1" s="100">
        <v>2026</v>
      </c>
      <c r="H1" s="100">
        <v>2027</v>
      </c>
      <c r="I1" s="100">
        <v>2028</v>
      </c>
      <c r="J1" s="100">
        <v>2029</v>
      </c>
      <c r="K1" s="100">
        <v>2030</v>
      </c>
      <c r="L1" s="100">
        <v>2031</v>
      </c>
      <c r="M1" s="100">
        <v>2032</v>
      </c>
      <c r="N1" s="100">
        <v>2033</v>
      </c>
      <c r="O1" s="100">
        <v>2034</v>
      </c>
      <c r="P1" s="100">
        <v>2035</v>
      </c>
      <c r="Q1" s="100">
        <v>2036</v>
      </c>
      <c r="R1" s="100">
        <v>2037</v>
      </c>
      <c r="S1" s="100">
        <v>2038</v>
      </c>
      <c r="T1" s="100">
        <v>2039</v>
      </c>
      <c r="U1" s="100">
        <v>2040</v>
      </c>
      <c r="V1" s="100">
        <v>2041</v>
      </c>
      <c r="W1" s="100">
        <v>2042</v>
      </c>
      <c r="X1" s="100">
        <v>2043</v>
      </c>
      <c r="Y1" s="100">
        <v>2044</v>
      </c>
      <c r="Z1" s="100">
        <v>2045</v>
      </c>
      <c r="AA1" s="100">
        <v>2046</v>
      </c>
      <c r="AB1" s="100">
        <v>2047</v>
      </c>
      <c r="AC1" s="100">
        <v>2048</v>
      </c>
      <c r="AD1" s="100">
        <v>2049</v>
      </c>
      <c r="AE1" s="100">
        <v>2050</v>
      </c>
    </row>
    <row r="2" spans="1:33" ht="15" customHeight="1" thickTop="1" x14ac:dyDescent="0.3"/>
    <row r="3" spans="1:33" ht="15" customHeight="1" x14ac:dyDescent="0.3">
      <c r="C3" s="138" t="s">
        <v>20</v>
      </c>
      <c r="D3" s="138" t="s">
        <v>2892</v>
      </c>
      <c r="E3" s="105"/>
      <c r="F3" s="105"/>
      <c r="G3" s="105"/>
    </row>
    <row r="4" spans="1:33" ht="15" customHeight="1" x14ac:dyDescent="0.3">
      <c r="C4" s="138" t="s">
        <v>21</v>
      </c>
      <c r="D4" s="138" t="s">
        <v>2893</v>
      </c>
      <c r="E4" s="105"/>
      <c r="F4" s="105"/>
      <c r="G4" s="138" t="s">
        <v>2880</v>
      </c>
    </row>
    <row r="5" spans="1:33" ht="15" customHeight="1" x14ac:dyDescent="0.3">
      <c r="C5" s="138" t="s">
        <v>22</v>
      </c>
      <c r="D5" s="138" t="s">
        <v>2894</v>
      </c>
      <c r="E5" s="105"/>
      <c r="F5" s="105"/>
      <c r="G5" s="105"/>
    </row>
    <row r="6" spans="1:33" ht="15" customHeight="1" x14ac:dyDescent="0.3">
      <c r="C6" s="138" t="s">
        <v>23</v>
      </c>
      <c r="D6" s="105"/>
      <c r="E6" s="138" t="s">
        <v>2895</v>
      </c>
      <c r="F6" s="105"/>
      <c r="G6" s="105"/>
    </row>
    <row r="7" spans="1:33" ht="12" x14ac:dyDescent="0.3"/>
    <row r="8" spans="1:33" ht="12" x14ac:dyDescent="0.3"/>
    <row r="9" spans="1:33" ht="12" x14ac:dyDescent="0.3"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</row>
    <row r="10" spans="1:33" ht="15" customHeight="1" x14ac:dyDescent="0.35">
      <c r="A10" s="92" t="s">
        <v>24</v>
      </c>
      <c r="B10" s="124" t="s">
        <v>25</v>
      </c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101" t="s">
        <v>2877</v>
      </c>
      <c r="AG10" s="87"/>
    </row>
    <row r="11" spans="1:33" ht="15" customHeight="1" x14ac:dyDescent="0.3">
      <c r="B11" s="125" t="s">
        <v>26</v>
      </c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101" t="s">
        <v>2876</v>
      </c>
      <c r="AG11" s="87"/>
    </row>
    <row r="12" spans="1:33" ht="15" customHeight="1" x14ac:dyDescent="0.3">
      <c r="B12" s="125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01" t="s">
        <v>2875</v>
      </c>
      <c r="AG12" s="87"/>
    </row>
    <row r="13" spans="1:33" ht="15" customHeight="1" thickBot="1" x14ac:dyDescent="0.35">
      <c r="B13" s="127" t="s">
        <v>28</v>
      </c>
      <c r="C13" s="127">
        <v>2022</v>
      </c>
      <c r="D13" s="127">
        <v>2023</v>
      </c>
      <c r="E13" s="127">
        <v>2024</v>
      </c>
      <c r="F13" s="127">
        <v>2025</v>
      </c>
      <c r="G13" s="127">
        <v>2026</v>
      </c>
      <c r="H13" s="127">
        <v>2027</v>
      </c>
      <c r="I13" s="127">
        <v>2028</v>
      </c>
      <c r="J13" s="127">
        <v>2029</v>
      </c>
      <c r="K13" s="127">
        <v>2030</v>
      </c>
      <c r="L13" s="127">
        <v>2031</v>
      </c>
      <c r="M13" s="127">
        <v>2032</v>
      </c>
      <c r="N13" s="127">
        <v>2033</v>
      </c>
      <c r="O13" s="127">
        <v>2034</v>
      </c>
      <c r="P13" s="127">
        <v>2035</v>
      </c>
      <c r="Q13" s="127">
        <v>2036</v>
      </c>
      <c r="R13" s="127">
        <v>2037</v>
      </c>
      <c r="S13" s="127">
        <v>2038</v>
      </c>
      <c r="T13" s="127">
        <v>2039</v>
      </c>
      <c r="U13" s="127">
        <v>2040</v>
      </c>
      <c r="V13" s="127">
        <v>2041</v>
      </c>
      <c r="W13" s="127">
        <v>2042</v>
      </c>
      <c r="X13" s="127">
        <v>2043</v>
      </c>
      <c r="Y13" s="127">
        <v>2044</v>
      </c>
      <c r="Z13" s="127">
        <v>2045</v>
      </c>
      <c r="AA13" s="127">
        <v>2046</v>
      </c>
      <c r="AB13" s="127">
        <v>2047</v>
      </c>
      <c r="AC13" s="127">
        <v>2048</v>
      </c>
      <c r="AD13" s="127">
        <v>2049</v>
      </c>
      <c r="AE13" s="127">
        <v>2050</v>
      </c>
      <c r="AF13" s="128" t="s">
        <v>2896</v>
      </c>
      <c r="AG13" s="87"/>
    </row>
    <row r="14" spans="1:33" ht="15" customHeight="1" thickTop="1" x14ac:dyDescent="0.3"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</row>
    <row r="15" spans="1:33" ht="15" customHeight="1" x14ac:dyDescent="0.3">
      <c r="B15" s="129" t="s">
        <v>29</v>
      </c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</row>
    <row r="16" spans="1:33" ht="15" customHeight="1" x14ac:dyDescent="0.3">
      <c r="B16" s="129" t="s">
        <v>30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</row>
    <row r="17" spans="1:33" ht="15" customHeight="1" x14ac:dyDescent="0.3">
      <c r="A17" s="92" t="s">
        <v>31</v>
      </c>
      <c r="B17" s="130" t="s">
        <v>32</v>
      </c>
      <c r="C17" s="131">
        <v>86.924255000000002</v>
      </c>
      <c r="D17" s="131">
        <v>87.748610999999997</v>
      </c>
      <c r="E17" s="131">
        <v>88.618674999999996</v>
      </c>
      <c r="F17" s="131">
        <v>89.519981000000001</v>
      </c>
      <c r="G17" s="131">
        <v>90.411308000000005</v>
      </c>
      <c r="H17" s="131">
        <v>91.302132</v>
      </c>
      <c r="I17" s="131">
        <v>92.198265000000006</v>
      </c>
      <c r="J17" s="131">
        <v>93.091507000000007</v>
      </c>
      <c r="K17" s="131">
        <v>93.970618999999999</v>
      </c>
      <c r="L17" s="131">
        <v>94.836555000000004</v>
      </c>
      <c r="M17" s="131">
        <v>95.694557000000003</v>
      </c>
      <c r="N17" s="131">
        <v>96.533203</v>
      </c>
      <c r="O17" s="131">
        <v>97.347885000000005</v>
      </c>
      <c r="P17" s="131">
        <v>98.154381000000001</v>
      </c>
      <c r="Q17" s="131">
        <v>98.959145000000007</v>
      </c>
      <c r="R17" s="131">
        <v>99.757239999999996</v>
      </c>
      <c r="S17" s="131">
        <v>100.55006400000001</v>
      </c>
      <c r="T17" s="131">
        <v>101.334656</v>
      </c>
      <c r="U17" s="131">
        <v>102.12499200000001</v>
      </c>
      <c r="V17" s="131">
        <v>102.91761</v>
      </c>
      <c r="W17" s="131">
        <v>103.69783</v>
      </c>
      <c r="X17" s="131">
        <v>104.47331200000001</v>
      </c>
      <c r="Y17" s="131">
        <v>105.24597199999999</v>
      </c>
      <c r="Z17" s="131">
        <v>106.016052</v>
      </c>
      <c r="AA17" s="131">
        <v>106.78051000000001</v>
      </c>
      <c r="AB17" s="131">
        <v>107.538147</v>
      </c>
      <c r="AC17" s="131">
        <v>108.286224</v>
      </c>
      <c r="AD17" s="131">
        <v>109.022423</v>
      </c>
      <c r="AE17" s="131">
        <v>109.74867999999999</v>
      </c>
      <c r="AF17" s="132">
        <v>8.3619999999999996E-3</v>
      </c>
      <c r="AG17" s="87"/>
    </row>
    <row r="18" spans="1:33" ht="15" customHeight="1" x14ac:dyDescent="0.3">
      <c r="A18" s="92" t="s">
        <v>33</v>
      </c>
      <c r="B18" s="130" t="s">
        <v>34</v>
      </c>
      <c r="C18" s="131">
        <v>32.842151999999999</v>
      </c>
      <c r="D18" s="131">
        <v>33.209229000000001</v>
      </c>
      <c r="E18" s="131">
        <v>33.535468999999999</v>
      </c>
      <c r="F18" s="131">
        <v>33.858150000000002</v>
      </c>
      <c r="G18" s="131">
        <v>34.181629000000001</v>
      </c>
      <c r="H18" s="131">
        <v>34.507632999999998</v>
      </c>
      <c r="I18" s="131">
        <v>34.834254999999999</v>
      </c>
      <c r="J18" s="131">
        <v>35.155056000000002</v>
      </c>
      <c r="K18" s="131">
        <v>35.465130000000002</v>
      </c>
      <c r="L18" s="131">
        <v>35.769081</v>
      </c>
      <c r="M18" s="131">
        <v>36.071800000000003</v>
      </c>
      <c r="N18" s="131">
        <v>36.366607999999999</v>
      </c>
      <c r="O18" s="131">
        <v>36.650593000000001</v>
      </c>
      <c r="P18" s="131">
        <v>36.930110999999997</v>
      </c>
      <c r="Q18" s="131">
        <v>37.212017000000003</v>
      </c>
      <c r="R18" s="131">
        <v>37.496158999999999</v>
      </c>
      <c r="S18" s="131">
        <v>37.783923999999999</v>
      </c>
      <c r="T18" s="131">
        <v>38.073307</v>
      </c>
      <c r="U18" s="131">
        <v>38.36647</v>
      </c>
      <c r="V18" s="131">
        <v>38.656506</v>
      </c>
      <c r="W18" s="131">
        <v>38.941955999999998</v>
      </c>
      <c r="X18" s="131">
        <v>39.223990999999998</v>
      </c>
      <c r="Y18" s="131">
        <v>39.501944999999999</v>
      </c>
      <c r="Z18" s="131">
        <v>39.776778999999998</v>
      </c>
      <c r="AA18" s="131">
        <v>40.048442999999999</v>
      </c>
      <c r="AB18" s="131">
        <v>40.322777000000002</v>
      </c>
      <c r="AC18" s="131">
        <v>40.595905000000002</v>
      </c>
      <c r="AD18" s="131">
        <v>40.869537000000001</v>
      </c>
      <c r="AE18" s="131">
        <v>41.144089000000001</v>
      </c>
      <c r="AF18" s="132">
        <v>8.0809999999999996E-3</v>
      </c>
      <c r="AG18" s="87"/>
    </row>
    <row r="19" spans="1:33" ht="15" customHeight="1" x14ac:dyDescent="0.3">
      <c r="A19" s="92" t="s">
        <v>35</v>
      </c>
      <c r="B19" s="130" t="s">
        <v>36</v>
      </c>
      <c r="C19" s="131">
        <v>6.6483759999999998</v>
      </c>
      <c r="D19" s="131">
        <v>6.6544350000000003</v>
      </c>
      <c r="E19" s="131">
        <v>6.6577469999999996</v>
      </c>
      <c r="F19" s="131">
        <v>6.6602829999999997</v>
      </c>
      <c r="G19" s="131">
        <v>6.66859</v>
      </c>
      <c r="H19" s="131">
        <v>6.680898</v>
      </c>
      <c r="I19" s="131">
        <v>6.6957050000000002</v>
      </c>
      <c r="J19" s="131">
        <v>6.7098389999999997</v>
      </c>
      <c r="K19" s="131">
        <v>6.7178110000000002</v>
      </c>
      <c r="L19" s="131">
        <v>6.7220909999999998</v>
      </c>
      <c r="M19" s="131">
        <v>6.7270110000000001</v>
      </c>
      <c r="N19" s="131">
        <v>6.7340980000000004</v>
      </c>
      <c r="O19" s="131">
        <v>6.7406730000000001</v>
      </c>
      <c r="P19" s="131">
        <v>6.7449050000000002</v>
      </c>
      <c r="Q19" s="131">
        <v>6.7499500000000001</v>
      </c>
      <c r="R19" s="131">
        <v>6.7524220000000001</v>
      </c>
      <c r="S19" s="131">
        <v>6.7519479999999996</v>
      </c>
      <c r="T19" s="131">
        <v>6.7501660000000001</v>
      </c>
      <c r="U19" s="131">
        <v>6.7508609999999996</v>
      </c>
      <c r="V19" s="131">
        <v>6.7531869999999996</v>
      </c>
      <c r="W19" s="131">
        <v>6.7562660000000001</v>
      </c>
      <c r="X19" s="131">
        <v>6.759341</v>
      </c>
      <c r="Y19" s="131">
        <v>6.7618809999999998</v>
      </c>
      <c r="Z19" s="131">
        <v>6.7638369999999997</v>
      </c>
      <c r="AA19" s="131">
        <v>6.7644349999999998</v>
      </c>
      <c r="AB19" s="131">
        <v>6.7655010000000004</v>
      </c>
      <c r="AC19" s="131">
        <v>6.7664489999999997</v>
      </c>
      <c r="AD19" s="131">
        <v>6.7667669999999998</v>
      </c>
      <c r="AE19" s="131">
        <v>6.7672350000000003</v>
      </c>
      <c r="AF19" s="132">
        <v>6.3299999999999999E-4</v>
      </c>
      <c r="AG19" s="87"/>
    </row>
    <row r="20" spans="1:33" ht="15" customHeight="1" x14ac:dyDescent="0.3">
      <c r="A20" s="92" t="s">
        <v>37</v>
      </c>
      <c r="B20" s="129" t="s">
        <v>38</v>
      </c>
      <c r="C20" s="133">
        <v>126.41477999999999</v>
      </c>
      <c r="D20" s="133">
        <v>127.612274</v>
      </c>
      <c r="E20" s="133">
        <v>128.81189000000001</v>
      </c>
      <c r="F20" s="133">
        <v>130.03840600000001</v>
      </c>
      <c r="G20" s="133">
        <v>131.26153600000001</v>
      </c>
      <c r="H20" s="133">
        <v>132.49066199999999</v>
      </c>
      <c r="I20" s="133">
        <v>133.72822600000001</v>
      </c>
      <c r="J20" s="133">
        <v>134.95640599999999</v>
      </c>
      <c r="K20" s="133">
        <v>136.153549</v>
      </c>
      <c r="L20" s="133">
        <v>137.32772800000001</v>
      </c>
      <c r="M20" s="133">
        <v>138.49336199999999</v>
      </c>
      <c r="N20" s="133">
        <v>139.63391100000001</v>
      </c>
      <c r="O20" s="133">
        <v>140.73915099999999</v>
      </c>
      <c r="P20" s="133">
        <v>141.82939099999999</v>
      </c>
      <c r="Q20" s="133">
        <v>142.92111199999999</v>
      </c>
      <c r="R20" s="133">
        <v>144.00582900000001</v>
      </c>
      <c r="S20" s="133">
        <v>145.085938</v>
      </c>
      <c r="T20" s="133">
        <v>146.15812700000001</v>
      </c>
      <c r="U20" s="133">
        <v>147.24231</v>
      </c>
      <c r="V20" s="133">
        <v>148.32730100000001</v>
      </c>
      <c r="W20" s="133">
        <v>149.39605700000001</v>
      </c>
      <c r="X20" s="133">
        <v>150.45663500000001</v>
      </c>
      <c r="Y20" s="133">
        <v>151.50981100000001</v>
      </c>
      <c r="Z20" s="133">
        <v>152.55667099999999</v>
      </c>
      <c r="AA20" s="133">
        <v>153.59338399999999</v>
      </c>
      <c r="AB20" s="133">
        <v>154.62643399999999</v>
      </c>
      <c r="AC20" s="133">
        <v>155.64857499999999</v>
      </c>
      <c r="AD20" s="133">
        <v>156.658737</v>
      </c>
      <c r="AE20" s="133">
        <v>157.66000399999999</v>
      </c>
      <c r="AF20" s="134">
        <v>7.92E-3</v>
      </c>
      <c r="AG20" s="87"/>
    </row>
    <row r="21" spans="1:33" ht="15" customHeight="1" x14ac:dyDescent="0.3"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</row>
    <row r="22" spans="1:33" ht="15" customHeight="1" x14ac:dyDescent="0.3">
      <c r="A22" s="92" t="s">
        <v>39</v>
      </c>
      <c r="B22" s="129" t="s">
        <v>40</v>
      </c>
      <c r="C22" s="137">
        <v>1798.9157709999999</v>
      </c>
      <c r="D22" s="137">
        <v>1803.520874</v>
      </c>
      <c r="E22" s="137">
        <v>1808.4263920000001</v>
      </c>
      <c r="F22" s="137">
        <v>1813.318481</v>
      </c>
      <c r="G22" s="137">
        <v>1818.0804439999999</v>
      </c>
      <c r="H22" s="137">
        <v>1822.7229</v>
      </c>
      <c r="I22" s="137">
        <v>1827.2777100000001</v>
      </c>
      <c r="J22" s="137">
        <v>1831.8000489999999</v>
      </c>
      <c r="K22" s="137">
        <v>1836.3393550000001</v>
      </c>
      <c r="L22" s="137">
        <v>1840.849487</v>
      </c>
      <c r="M22" s="137">
        <v>1845.2855219999999</v>
      </c>
      <c r="N22" s="137">
        <v>1849.6773679999999</v>
      </c>
      <c r="O22" s="137">
        <v>1854.0607910000001</v>
      </c>
      <c r="P22" s="137">
        <v>1858.411255</v>
      </c>
      <c r="Q22" s="137">
        <v>1862.6759030000001</v>
      </c>
      <c r="R22" s="137">
        <v>1866.8663329999999</v>
      </c>
      <c r="S22" s="137">
        <v>1870.9754640000001</v>
      </c>
      <c r="T22" s="137">
        <v>1875.0113530000001</v>
      </c>
      <c r="U22" s="137">
        <v>1878.957764</v>
      </c>
      <c r="V22" s="137">
        <v>1882.868408</v>
      </c>
      <c r="W22" s="137">
        <v>1886.739746</v>
      </c>
      <c r="X22" s="137">
        <v>1890.5778809999999</v>
      </c>
      <c r="Y22" s="137">
        <v>1894.3920900000001</v>
      </c>
      <c r="Z22" s="137">
        <v>1898.1798100000001</v>
      </c>
      <c r="AA22" s="137">
        <v>1901.9388429999999</v>
      </c>
      <c r="AB22" s="137">
        <v>1905.62085</v>
      </c>
      <c r="AC22" s="137">
        <v>1909.2523189999999</v>
      </c>
      <c r="AD22" s="137">
        <v>1912.822876</v>
      </c>
      <c r="AE22" s="137">
        <v>1916.330322</v>
      </c>
      <c r="AF22" s="134">
        <v>2.261E-3</v>
      </c>
      <c r="AG22" s="87"/>
    </row>
    <row r="23" spans="1:33" ht="15" customHeight="1" x14ac:dyDescent="0.3"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</row>
    <row r="24" spans="1:33" ht="15" customHeight="1" x14ac:dyDescent="0.3">
      <c r="B24" s="129" t="s">
        <v>41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</row>
    <row r="25" spans="1:33" ht="15" customHeight="1" x14ac:dyDescent="0.3">
      <c r="B25" s="129" t="s">
        <v>42</v>
      </c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</row>
    <row r="26" spans="1:33" ht="15" customHeight="1" x14ac:dyDescent="0.3">
      <c r="A26" s="92" t="s">
        <v>43</v>
      </c>
      <c r="B26" s="130" t="s">
        <v>2728</v>
      </c>
      <c r="C26" s="136">
        <v>93.909476999999995</v>
      </c>
      <c r="D26" s="136">
        <v>92.769119000000003</v>
      </c>
      <c r="E26" s="136">
        <v>89.479934999999998</v>
      </c>
      <c r="F26" s="136">
        <v>89.052955999999995</v>
      </c>
      <c r="G26" s="136">
        <v>88.647407999999999</v>
      </c>
      <c r="H26" s="136">
        <v>88.231392</v>
      </c>
      <c r="I26" s="136">
        <v>87.719673</v>
      </c>
      <c r="J26" s="136">
        <v>87.082458000000003</v>
      </c>
      <c r="K26" s="136">
        <v>86.372932000000006</v>
      </c>
      <c r="L26" s="136">
        <v>85.637900999999999</v>
      </c>
      <c r="M26" s="136">
        <v>84.930008000000001</v>
      </c>
      <c r="N26" s="136">
        <v>84.330368000000007</v>
      </c>
      <c r="O26" s="136">
        <v>83.726021000000003</v>
      </c>
      <c r="P26" s="136">
        <v>83.229088000000004</v>
      </c>
      <c r="Q26" s="136">
        <v>82.803543000000005</v>
      </c>
      <c r="R26" s="136">
        <v>82.429969999999997</v>
      </c>
      <c r="S26" s="136">
        <v>82.039726000000002</v>
      </c>
      <c r="T26" s="136">
        <v>81.693481000000006</v>
      </c>
      <c r="U26" s="136">
        <v>81.360573000000002</v>
      </c>
      <c r="V26" s="136">
        <v>81.060019999999994</v>
      </c>
      <c r="W26" s="136">
        <v>80.817672999999999</v>
      </c>
      <c r="X26" s="136">
        <v>80.633194000000003</v>
      </c>
      <c r="Y26" s="136">
        <v>80.500007999999994</v>
      </c>
      <c r="Z26" s="136">
        <v>80.389549000000002</v>
      </c>
      <c r="AA26" s="136">
        <v>80.279944999999998</v>
      </c>
      <c r="AB26" s="136">
        <v>80.223388999999997</v>
      </c>
      <c r="AC26" s="136">
        <v>80.211196999999999</v>
      </c>
      <c r="AD26" s="136">
        <v>80.229491999999993</v>
      </c>
      <c r="AE26" s="136">
        <v>80.285049000000001</v>
      </c>
      <c r="AF26" s="132">
        <v>-5.5830000000000003E-3</v>
      </c>
      <c r="AG26" s="87"/>
    </row>
    <row r="27" spans="1:33" ht="15" customHeight="1" x14ac:dyDescent="0.3">
      <c r="A27" s="92" t="s">
        <v>44</v>
      </c>
      <c r="B27" s="130" t="s">
        <v>2711</v>
      </c>
      <c r="C27" s="136">
        <v>93.023323000000005</v>
      </c>
      <c r="D27" s="136">
        <v>91.801674000000006</v>
      </c>
      <c r="E27" s="136">
        <v>88.420021000000006</v>
      </c>
      <c r="F27" s="136">
        <v>87.901168999999996</v>
      </c>
      <c r="G27" s="136">
        <v>87.405547999999996</v>
      </c>
      <c r="H27" s="136">
        <v>86.898582000000005</v>
      </c>
      <c r="I27" s="136">
        <v>86.294922</v>
      </c>
      <c r="J27" s="136">
        <v>85.563857999999996</v>
      </c>
      <c r="K27" s="136">
        <v>84.758437999999998</v>
      </c>
      <c r="L27" s="136">
        <v>83.924873000000005</v>
      </c>
      <c r="M27" s="136">
        <v>83.114104999999995</v>
      </c>
      <c r="N27" s="136">
        <v>82.411513999999997</v>
      </c>
      <c r="O27" s="136">
        <v>81.703484000000003</v>
      </c>
      <c r="P27" s="136">
        <v>81.117576999999997</v>
      </c>
      <c r="Q27" s="136">
        <v>80.600104999999999</v>
      </c>
      <c r="R27" s="136">
        <v>80.131668000000005</v>
      </c>
      <c r="S27" s="136">
        <v>79.641068000000004</v>
      </c>
      <c r="T27" s="136">
        <v>79.188064999999995</v>
      </c>
      <c r="U27" s="136">
        <v>78.743117999999996</v>
      </c>
      <c r="V27" s="136">
        <v>78.324791000000005</v>
      </c>
      <c r="W27" s="136">
        <v>77.958663999999999</v>
      </c>
      <c r="X27" s="136">
        <v>77.644553999999999</v>
      </c>
      <c r="Y27" s="136">
        <v>77.377632000000006</v>
      </c>
      <c r="Z27" s="136">
        <v>77.127983</v>
      </c>
      <c r="AA27" s="136">
        <v>76.874870000000001</v>
      </c>
      <c r="AB27" s="136">
        <v>76.670601000000005</v>
      </c>
      <c r="AC27" s="136">
        <v>76.504470999999995</v>
      </c>
      <c r="AD27" s="136">
        <v>76.365882999999997</v>
      </c>
      <c r="AE27" s="136">
        <v>76.260413999999997</v>
      </c>
      <c r="AF27" s="132">
        <v>-7.071E-3</v>
      </c>
      <c r="AG27" s="87"/>
    </row>
    <row r="28" spans="1:33" ht="15" customHeight="1" x14ac:dyDescent="0.3">
      <c r="B28" s="129" t="s">
        <v>45</v>
      </c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</row>
    <row r="29" spans="1:33" ht="15" customHeight="1" x14ac:dyDescent="0.3">
      <c r="A29" s="92" t="s">
        <v>46</v>
      </c>
      <c r="B29" s="130" t="s">
        <v>2728</v>
      </c>
      <c r="C29" s="136">
        <v>52.203377000000003</v>
      </c>
      <c r="D29" s="136">
        <v>51.437781999999999</v>
      </c>
      <c r="E29" s="136">
        <v>49.479443000000003</v>
      </c>
      <c r="F29" s="136">
        <v>49.110489000000001</v>
      </c>
      <c r="G29" s="136">
        <v>48.758792999999997</v>
      </c>
      <c r="H29" s="136">
        <v>48.406364000000004</v>
      </c>
      <c r="I29" s="136">
        <v>48.005661000000003</v>
      </c>
      <c r="J29" s="136">
        <v>47.539284000000002</v>
      </c>
      <c r="K29" s="136">
        <v>47.035389000000002</v>
      </c>
      <c r="L29" s="136">
        <v>46.520859000000002</v>
      </c>
      <c r="M29" s="136">
        <v>46.025402</v>
      </c>
      <c r="N29" s="136">
        <v>45.591934000000002</v>
      </c>
      <c r="O29" s="136">
        <v>45.158183999999999</v>
      </c>
      <c r="P29" s="136">
        <v>44.785075999999997</v>
      </c>
      <c r="Q29" s="136">
        <v>44.454079</v>
      </c>
      <c r="R29" s="136">
        <v>44.15419</v>
      </c>
      <c r="S29" s="136">
        <v>43.848636999999997</v>
      </c>
      <c r="T29" s="136">
        <v>43.569595</v>
      </c>
      <c r="U29" s="136">
        <v>43.300902999999998</v>
      </c>
      <c r="V29" s="136">
        <v>43.051346000000002</v>
      </c>
      <c r="W29" s="136">
        <v>42.834560000000003</v>
      </c>
      <c r="X29" s="136">
        <v>42.650024000000002</v>
      </c>
      <c r="Y29" s="136">
        <v>42.493847000000002</v>
      </c>
      <c r="Z29" s="136">
        <v>42.350861000000002</v>
      </c>
      <c r="AA29" s="136">
        <v>42.209533999999998</v>
      </c>
      <c r="AB29" s="136">
        <v>42.098292999999998</v>
      </c>
      <c r="AC29" s="136">
        <v>42.011837</v>
      </c>
      <c r="AD29" s="136">
        <v>41.942982000000001</v>
      </c>
      <c r="AE29" s="136">
        <v>41.895203000000002</v>
      </c>
      <c r="AF29" s="132">
        <v>-7.8250000000000004E-3</v>
      </c>
      <c r="AG29" s="87"/>
    </row>
    <row r="30" spans="1:33" ht="15" customHeight="1" x14ac:dyDescent="0.3">
      <c r="A30" s="92" t="s">
        <v>47</v>
      </c>
      <c r="B30" s="130" t="s">
        <v>2711</v>
      </c>
      <c r="C30" s="136">
        <v>51.710773000000003</v>
      </c>
      <c r="D30" s="136">
        <v>50.901363000000003</v>
      </c>
      <c r="E30" s="136">
        <v>48.893349000000001</v>
      </c>
      <c r="F30" s="136">
        <v>48.475307000000001</v>
      </c>
      <c r="G30" s="136">
        <v>48.075733</v>
      </c>
      <c r="H30" s="136">
        <v>47.675148</v>
      </c>
      <c r="I30" s="136">
        <v>47.225948000000002</v>
      </c>
      <c r="J30" s="136">
        <v>46.710258000000003</v>
      </c>
      <c r="K30" s="136">
        <v>46.156193000000002</v>
      </c>
      <c r="L30" s="136">
        <v>45.590297999999997</v>
      </c>
      <c r="M30" s="136">
        <v>45.041325000000001</v>
      </c>
      <c r="N30" s="136">
        <v>44.554535000000001</v>
      </c>
      <c r="O30" s="136">
        <v>44.067314000000003</v>
      </c>
      <c r="P30" s="136">
        <v>43.648884000000002</v>
      </c>
      <c r="Q30" s="136">
        <v>43.271141</v>
      </c>
      <c r="R30" s="136">
        <v>42.923088</v>
      </c>
      <c r="S30" s="136">
        <v>42.566600999999999</v>
      </c>
      <c r="T30" s="136">
        <v>42.233378999999999</v>
      </c>
      <c r="U30" s="136">
        <v>41.907867000000003</v>
      </c>
      <c r="V30" s="136">
        <v>41.598655999999998</v>
      </c>
      <c r="W30" s="136">
        <v>41.319248000000002</v>
      </c>
      <c r="X30" s="136">
        <v>41.069217999999999</v>
      </c>
      <c r="Y30" s="136">
        <v>40.845627</v>
      </c>
      <c r="Z30" s="136">
        <v>40.632603000000003</v>
      </c>
      <c r="AA30" s="136">
        <v>40.419212000000002</v>
      </c>
      <c r="AB30" s="136">
        <v>40.233921000000002</v>
      </c>
      <c r="AC30" s="136">
        <v>40.070380999999998</v>
      </c>
      <c r="AD30" s="136">
        <v>39.923133999999997</v>
      </c>
      <c r="AE30" s="136">
        <v>39.795025000000003</v>
      </c>
      <c r="AF30" s="132">
        <v>-9.3109999999999998E-3</v>
      </c>
      <c r="AG30" s="87"/>
    </row>
    <row r="31" spans="1:33" ht="12" x14ac:dyDescent="0.3"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</row>
    <row r="32" spans="1:33" ht="12" x14ac:dyDescent="0.3">
      <c r="B32" s="129" t="s">
        <v>2729</v>
      </c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</row>
    <row r="33" spans="1:33" ht="12" x14ac:dyDescent="0.3">
      <c r="B33" s="129" t="s">
        <v>2730</v>
      </c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</row>
    <row r="34" spans="1:33" ht="12" x14ac:dyDescent="0.3">
      <c r="A34" s="92" t="s">
        <v>48</v>
      </c>
      <c r="B34" s="130" t="s">
        <v>49</v>
      </c>
      <c r="C34" s="131">
        <v>0.74561999999999995</v>
      </c>
      <c r="D34" s="131">
        <v>0.74402500000000005</v>
      </c>
      <c r="E34" s="131">
        <v>0.65757200000000005</v>
      </c>
      <c r="F34" s="131">
        <v>0.65694900000000001</v>
      </c>
      <c r="G34" s="131">
        <v>0.65573199999999998</v>
      </c>
      <c r="H34" s="131">
        <v>0.65321499999999999</v>
      </c>
      <c r="I34" s="131">
        <v>0.64940799999999999</v>
      </c>
      <c r="J34" s="131">
        <v>0.64433799999999997</v>
      </c>
      <c r="K34" s="131">
        <v>0.63785099999999995</v>
      </c>
      <c r="L34" s="131">
        <v>0.63049299999999997</v>
      </c>
      <c r="M34" s="131">
        <v>0.62302299999999999</v>
      </c>
      <c r="N34" s="131">
        <v>0.61513200000000001</v>
      </c>
      <c r="O34" s="131">
        <v>0.606908</v>
      </c>
      <c r="P34" s="131">
        <v>0.59983799999999998</v>
      </c>
      <c r="Q34" s="131">
        <v>0.59312200000000004</v>
      </c>
      <c r="R34" s="131">
        <v>0.58654700000000004</v>
      </c>
      <c r="S34" s="131">
        <v>0.57942300000000002</v>
      </c>
      <c r="T34" s="131">
        <v>0.57227499999999998</v>
      </c>
      <c r="U34" s="131">
        <v>0.56561099999999997</v>
      </c>
      <c r="V34" s="131">
        <v>0.55932499999999996</v>
      </c>
      <c r="W34" s="131">
        <v>0.55341399999999996</v>
      </c>
      <c r="X34" s="131">
        <v>0.54783000000000004</v>
      </c>
      <c r="Y34" s="131">
        <v>0.54221399999999997</v>
      </c>
      <c r="Z34" s="131">
        <v>0.53667600000000004</v>
      </c>
      <c r="AA34" s="131">
        <v>0.53138099999999999</v>
      </c>
      <c r="AB34" s="131">
        <v>0.526393</v>
      </c>
      <c r="AC34" s="131">
        <v>0.52143200000000001</v>
      </c>
      <c r="AD34" s="131">
        <v>0.51668800000000004</v>
      </c>
      <c r="AE34" s="131">
        <v>0.51238399999999995</v>
      </c>
      <c r="AF34" s="132">
        <v>-1.3309E-2</v>
      </c>
      <c r="AG34" s="87"/>
    </row>
    <row r="35" spans="1:33" ht="12" x14ac:dyDescent="0.3">
      <c r="A35" s="92" t="s">
        <v>50</v>
      </c>
      <c r="B35" s="130" t="s">
        <v>51</v>
      </c>
      <c r="C35" s="131">
        <v>0.85358699999999998</v>
      </c>
      <c r="D35" s="131">
        <v>0.73519199999999996</v>
      </c>
      <c r="E35" s="131">
        <v>0.89090899999999995</v>
      </c>
      <c r="F35" s="131">
        <v>0.91105000000000003</v>
      </c>
      <c r="G35" s="131">
        <v>0.93018100000000004</v>
      </c>
      <c r="H35" s="131">
        <v>0.95014200000000004</v>
      </c>
      <c r="I35" s="131">
        <v>0.96970900000000004</v>
      </c>
      <c r="J35" s="131">
        <v>0.98822399999999999</v>
      </c>
      <c r="K35" s="131">
        <v>1.0044709999999999</v>
      </c>
      <c r="L35" s="131">
        <v>1.019774</v>
      </c>
      <c r="M35" s="131">
        <v>1.0362020000000001</v>
      </c>
      <c r="N35" s="131">
        <v>1.052583</v>
      </c>
      <c r="O35" s="131">
        <v>1.069291</v>
      </c>
      <c r="P35" s="131">
        <v>1.088333</v>
      </c>
      <c r="Q35" s="131">
        <v>1.1091219999999999</v>
      </c>
      <c r="R35" s="131">
        <v>1.130924</v>
      </c>
      <c r="S35" s="131">
        <v>1.152515</v>
      </c>
      <c r="T35" s="131">
        <v>1.1745490000000001</v>
      </c>
      <c r="U35" s="131">
        <v>1.1969080000000001</v>
      </c>
      <c r="V35" s="131">
        <v>1.2194160000000001</v>
      </c>
      <c r="W35" s="131">
        <v>1.2425580000000001</v>
      </c>
      <c r="X35" s="131">
        <v>1.266365</v>
      </c>
      <c r="Y35" s="131">
        <v>1.29112</v>
      </c>
      <c r="Z35" s="131">
        <v>1.3168</v>
      </c>
      <c r="AA35" s="131">
        <v>1.344624</v>
      </c>
      <c r="AB35" s="131">
        <v>1.373569</v>
      </c>
      <c r="AC35" s="131">
        <v>1.4030819999999999</v>
      </c>
      <c r="AD35" s="131">
        <v>1.4325289999999999</v>
      </c>
      <c r="AE35" s="131">
        <v>1.4631479999999999</v>
      </c>
      <c r="AF35" s="132">
        <v>1.9432999999999999E-2</v>
      </c>
      <c r="AG35" s="87"/>
    </row>
    <row r="36" spans="1:33" ht="12" x14ac:dyDescent="0.3">
      <c r="A36" s="92" t="s">
        <v>52</v>
      </c>
      <c r="B36" s="130" t="s">
        <v>53</v>
      </c>
      <c r="C36" s="131">
        <v>0.59979700000000002</v>
      </c>
      <c r="D36" s="131">
        <v>0.59884499999999996</v>
      </c>
      <c r="E36" s="131">
        <v>0.59878600000000004</v>
      </c>
      <c r="F36" s="131">
        <v>0.59958199999999995</v>
      </c>
      <c r="G36" s="131">
        <v>0.59953599999999996</v>
      </c>
      <c r="H36" s="131">
        <v>0.59912500000000002</v>
      </c>
      <c r="I36" s="131">
        <v>0.59802</v>
      </c>
      <c r="J36" s="131">
        <v>0.596113</v>
      </c>
      <c r="K36" s="131">
        <v>0.59322299999999994</v>
      </c>
      <c r="L36" s="131">
        <v>0.58991099999999996</v>
      </c>
      <c r="M36" s="131">
        <v>0.58684700000000001</v>
      </c>
      <c r="N36" s="131">
        <v>0.58612399999999998</v>
      </c>
      <c r="O36" s="131">
        <v>0.58614599999999994</v>
      </c>
      <c r="P36" s="131">
        <v>0.58855199999999996</v>
      </c>
      <c r="Q36" s="131">
        <v>0.59146399999999999</v>
      </c>
      <c r="R36" s="131">
        <v>0.59436500000000003</v>
      </c>
      <c r="S36" s="131">
        <v>0.59693099999999999</v>
      </c>
      <c r="T36" s="131">
        <v>0.59932099999999999</v>
      </c>
      <c r="U36" s="131">
        <v>0.60179499999999997</v>
      </c>
      <c r="V36" s="131">
        <v>0.604464</v>
      </c>
      <c r="W36" s="131">
        <v>0.60740400000000005</v>
      </c>
      <c r="X36" s="131">
        <v>0.61058400000000002</v>
      </c>
      <c r="Y36" s="131">
        <v>0.61373800000000001</v>
      </c>
      <c r="Z36" s="131">
        <v>0.61683500000000002</v>
      </c>
      <c r="AA36" s="131">
        <v>0.620251</v>
      </c>
      <c r="AB36" s="131">
        <v>0.62392099999999995</v>
      </c>
      <c r="AC36" s="131">
        <v>0.62766699999999997</v>
      </c>
      <c r="AD36" s="131">
        <v>0.63161800000000001</v>
      </c>
      <c r="AE36" s="131">
        <v>0.63607999999999998</v>
      </c>
      <c r="AF36" s="132">
        <v>2.0999999999999999E-3</v>
      </c>
      <c r="AG36" s="87"/>
    </row>
    <row r="37" spans="1:33" ht="12" x14ac:dyDescent="0.3">
      <c r="A37" s="92" t="s">
        <v>54</v>
      </c>
      <c r="B37" s="130" t="s">
        <v>55</v>
      </c>
      <c r="C37" s="131">
        <v>0.29555799999999999</v>
      </c>
      <c r="D37" s="131">
        <v>0.293987</v>
      </c>
      <c r="E37" s="131">
        <v>0.29266799999999998</v>
      </c>
      <c r="F37" s="131">
        <v>0.29163</v>
      </c>
      <c r="G37" s="131">
        <v>0.29078300000000001</v>
      </c>
      <c r="H37" s="131">
        <v>0.29015800000000003</v>
      </c>
      <c r="I37" s="131">
        <v>0.28977799999999998</v>
      </c>
      <c r="J37" s="131">
        <v>0.28961500000000001</v>
      </c>
      <c r="K37" s="131">
        <v>0.289659</v>
      </c>
      <c r="L37" s="131">
        <v>0.28998600000000002</v>
      </c>
      <c r="M37" s="131">
        <v>0.29063</v>
      </c>
      <c r="N37" s="131">
        <v>0.29157</v>
      </c>
      <c r="O37" s="131">
        <v>0.29279500000000003</v>
      </c>
      <c r="P37" s="131">
        <v>0.29434300000000002</v>
      </c>
      <c r="Q37" s="131">
        <v>0.29624200000000001</v>
      </c>
      <c r="R37" s="131">
        <v>0.29844700000000002</v>
      </c>
      <c r="S37" s="131">
        <v>0.30096000000000001</v>
      </c>
      <c r="T37" s="131">
        <v>0.30374499999999999</v>
      </c>
      <c r="U37" s="131">
        <v>0.30684800000000001</v>
      </c>
      <c r="V37" s="131">
        <v>0.310249</v>
      </c>
      <c r="W37" s="131">
        <v>0.313888</v>
      </c>
      <c r="X37" s="131">
        <v>0.31748199999999999</v>
      </c>
      <c r="Y37" s="131">
        <v>0.32102399999999998</v>
      </c>
      <c r="Z37" s="131">
        <v>0.32450699999999999</v>
      </c>
      <c r="AA37" s="131">
        <v>0.32791500000000001</v>
      </c>
      <c r="AB37" s="131">
        <v>0.33124999999999999</v>
      </c>
      <c r="AC37" s="131">
        <v>0.33449600000000002</v>
      </c>
      <c r="AD37" s="131">
        <v>0.33764499999999997</v>
      </c>
      <c r="AE37" s="131">
        <v>0.340702</v>
      </c>
      <c r="AF37" s="132">
        <v>5.0899999999999999E-3</v>
      </c>
      <c r="AG37" s="87"/>
    </row>
    <row r="38" spans="1:33" ht="12" x14ac:dyDescent="0.3">
      <c r="A38" s="92" t="s">
        <v>56</v>
      </c>
      <c r="B38" s="130" t="s">
        <v>57</v>
      </c>
      <c r="C38" s="131">
        <v>5.5863000000000003E-2</v>
      </c>
      <c r="D38" s="131">
        <v>5.6202000000000002E-2</v>
      </c>
      <c r="E38" s="131">
        <v>5.6536000000000003E-2</v>
      </c>
      <c r="F38" s="131">
        <v>5.6875000000000002E-2</v>
      </c>
      <c r="G38" s="131">
        <v>5.7204999999999999E-2</v>
      </c>
      <c r="H38" s="131">
        <v>5.7529999999999998E-2</v>
      </c>
      <c r="I38" s="131">
        <v>5.7847999999999997E-2</v>
      </c>
      <c r="J38" s="131">
        <v>5.8138000000000002E-2</v>
      </c>
      <c r="K38" s="131">
        <v>5.8390999999999998E-2</v>
      </c>
      <c r="L38" s="131">
        <v>5.8604000000000003E-2</v>
      </c>
      <c r="M38" s="131">
        <v>5.8781E-2</v>
      </c>
      <c r="N38" s="131">
        <v>5.8965999999999998E-2</v>
      </c>
      <c r="O38" s="131">
        <v>5.917E-2</v>
      </c>
      <c r="P38" s="131">
        <v>5.9403999999999998E-2</v>
      </c>
      <c r="Q38" s="131">
        <v>5.9679999999999997E-2</v>
      </c>
      <c r="R38" s="131">
        <v>5.9996000000000001E-2</v>
      </c>
      <c r="S38" s="131">
        <v>6.0304000000000003E-2</v>
      </c>
      <c r="T38" s="131">
        <v>6.0601000000000002E-2</v>
      </c>
      <c r="U38" s="131">
        <v>6.0894999999999998E-2</v>
      </c>
      <c r="V38" s="131">
        <v>6.1182E-2</v>
      </c>
      <c r="W38" s="131">
        <v>6.1454000000000002E-2</v>
      </c>
      <c r="X38" s="131">
        <v>6.1713999999999998E-2</v>
      </c>
      <c r="Y38" s="131">
        <v>6.1963999999999998E-2</v>
      </c>
      <c r="Z38" s="131">
        <v>6.2203000000000001E-2</v>
      </c>
      <c r="AA38" s="131">
        <v>6.2434000000000003E-2</v>
      </c>
      <c r="AB38" s="131">
        <v>6.2659000000000006E-2</v>
      </c>
      <c r="AC38" s="131">
        <v>6.2880000000000005E-2</v>
      </c>
      <c r="AD38" s="131">
        <v>6.3098000000000001E-2</v>
      </c>
      <c r="AE38" s="131">
        <v>6.3319E-2</v>
      </c>
      <c r="AF38" s="132">
        <v>4.4850000000000003E-3</v>
      </c>
      <c r="AG38" s="87"/>
    </row>
    <row r="39" spans="1:33" ht="12" x14ac:dyDescent="0.3">
      <c r="A39" s="92" t="s">
        <v>58</v>
      </c>
      <c r="B39" s="130" t="s">
        <v>59</v>
      </c>
      <c r="C39" s="131">
        <v>0.222467</v>
      </c>
      <c r="D39" s="131">
        <v>0.227024</v>
      </c>
      <c r="E39" s="131">
        <v>0.23189100000000001</v>
      </c>
      <c r="F39" s="131">
        <v>0.23729500000000001</v>
      </c>
      <c r="G39" s="131">
        <v>0.242448</v>
      </c>
      <c r="H39" s="131">
        <v>0.24726600000000001</v>
      </c>
      <c r="I39" s="131">
        <v>0.25179299999999999</v>
      </c>
      <c r="J39" s="131">
        <v>0.25596000000000002</v>
      </c>
      <c r="K39" s="131">
        <v>0.25967099999999999</v>
      </c>
      <c r="L39" s="131">
        <v>0.263071</v>
      </c>
      <c r="M39" s="131">
        <v>0.26643600000000001</v>
      </c>
      <c r="N39" s="131">
        <v>0.26939200000000002</v>
      </c>
      <c r="O39" s="131">
        <v>0.27234199999999997</v>
      </c>
      <c r="P39" s="131">
        <v>0.275723</v>
      </c>
      <c r="Q39" s="131">
        <v>0.27934199999999998</v>
      </c>
      <c r="R39" s="131">
        <v>0.28279900000000002</v>
      </c>
      <c r="S39" s="131">
        <v>0.28596300000000002</v>
      </c>
      <c r="T39" s="131">
        <v>0.28907500000000003</v>
      </c>
      <c r="U39" s="131">
        <v>0.29220600000000002</v>
      </c>
      <c r="V39" s="131">
        <v>0.29541099999999998</v>
      </c>
      <c r="W39" s="131">
        <v>0.29872300000000002</v>
      </c>
      <c r="X39" s="131">
        <v>0.30215999999999998</v>
      </c>
      <c r="Y39" s="131">
        <v>0.30563499999999999</v>
      </c>
      <c r="Z39" s="131">
        <v>0.30910900000000002</v>
      </c>
      <c r="AA39" s="131">
        <v>0.31273000000000001</v>
      </c>
      <c r="AB39" s="131">
        <v>0.31651000000000001</v>
      </c>
      <c r="AC39" s="131">
        <v>0.32030700000000001</v>
      </c>
      <c r="AD39" s="131">
        <v>0.32417200000000002</v>
      </c>
      <c r="AE39" s="131">
        <v>0.32827800000000001</v>
      </c>
      <c r="AF39" s="132">
        <v>1.3993E-2</v>
      </c>
      <c r="AG39" s="87"/>
    </row>
    <row r="40" spans="1:33" ht="12" x14ac:dyDescent="0.3">
      <c r="A40" s="92" t="s">
        <v>60</v>
      </c>
      <c r="B40" s="130" t="s">
        <v>61</v>
      </c>
      <c r="C40" s="131">
        <v>6.9006999999999999E-2</v>
      </c>
      <c r="D40" s="131">
        <v>6.8849999999999995E-2</v>
      </c>
      <c r="E40" s="131">
        <v>6.8686999999999998E-2</v>
      </c>
      <c r="F40" s="131">
        <v>6.8515999999999994E-2</v>
      </c>
      <c r="G40" s="131">
        <v>6.8318000000000004E-2</v>
      </c>
      <c r="H40" s="131">
        <v>6.8104999999999999E-2</v>
      </c>
      <c r="I40" s="131">
        <v>6.7921999999999996E-2</v>
      </c>
      <c r="J40" s="131">
        <v>6.7761000000000002E-2</v>
      </c>
      <c r="K40" s="131">
        <v>6.7614999999999995E-2</v>
      </c>
      <c r="L40" s="131">
        <v>6.7486000000000004E-2</v>
      </c>
      <c r="M40" s="131">
        <v>6.7377000000000006E-2</v>
      </c>
      <c r="N40" s="131">
        <v>6.7287E-2</v>
      </c>
      <c r="O40" s="131">
        <v>6.7215999999999998E-2</v>
      </c>
      <c r="P40" s="131">
        <v>6.7169000000000006E-2</v>
      </c>
      <c r="Q40" s="131">
        <v>6.7158999999999996E-2</v>
      </c>
      <c r="R40" s="131">
        <v>6.7178000000000002E-2</v>
      </c>
      <c r="S40" s="131">
        <v>6.7228999999999997E-2</v>
      </c>
      <c r="T40" s="131">
        <v>6.7310999999999996E-2</v>
      </c>
      <c r="U40" s="131">
        <v>6.7431000000000005E-2</v>
      </c>
      <c r="V40" s="131">
        <v>6.7596000000000003E-2</v>
      </c>
      <c r="W40" s="131">
        <v>6.7793999999999993E-2</v>
      </c>
      <c r="X40" s="131">
        <v>6.8035999999999999E-2</v>
      </c>
      <c r="Y40" s="131">
        <v>6.8325999999999998E-2</v>
      </c>
      <c r="Z40" s="131">
        <v>6.8666000000000005E-2</v>
      </c>
      <c r="AA40" s="131">
        <v>6.9053000000000003E-2</v>
      </c>
      <c r="AB40" s="131">
        <v>6.9481000000000001E-2</v>
      </c>
      <c r="AC40" s="131">
        <v>6.9903999999999994E-2</v>
      </c>
      <c r="AD40" s="131">
        <v>7.0319000000000007E-2</v>
      </c>
      <c r="AE40" s="131">
        <v>7.0729E-2</v>
      </c>
      <c r="AF40" s="132">
        <v>8.8099999999999995E-4</v>
      </c>
      <c r="AG40" s="87"/>
    </row>
    <row r="41" spans="1:33" ht="12" x14ac:dyDescent="0.3">
      <c r="A41" s="92" t="s">
        <v>62</v>
      </c>
      <c r="B41" s="130" t="s">
        <v>63</v>
      </c>
      <c r="C41" s="131">
        <v>0.22927</v>
      </c>
      <c r="D41" s="131">
        <v>0.21315999999999999</v>
      </c>
      <c r="E41" s="131">
        <v>0.20679400000000001</v>
      </c>
      <c r="F41" s="131">
        <v>0.20512900000000001</v>
      </c>
      <c r="G41" s="131">
        <v>0.20519999999999999</v>
      </c>
      <c r="H41" s="131">
        <v>0.206404</v>
      </c>
      <c r="I41" s="131">
        <v>0.20832999999999999</v>
      </c>
      <c r="J41" s="131">
        <v>0.210226</v>
      </c>
      <c r="K41" s="131">
        <v>0.209704</v>
      </c>
      <c r="L41" s="131">
        <v>0.20916399999999999</v>
      </c>
      <c r="M41" s="131">
        <v>0.20885500000000001</v>
      </c>
      <c r="N41" s="131">
        <v>0.208568</v>
      </c>
      <c r="O41" s="131">
        <v>0.208536</v>
      </c>
      <c r="P41" s="131">
        <v>0.20901600000000001</v>
      </c>
      <c r="Q41" s="131">
        <v>0.20962700000000001</v>
      </c>
      <c r="R41" s="131">
        <v>0.210178</v>
      </c>
      <c r="S41" s="131">
        <v>0.210558</v>
      </c>
      <c r="T41" s="131">
        <v>0.210954</v>
      </c>
      <c r="U41" s="131">
        <v>0.207703</v>
      </c>
      <c r="V41" s="131">
        <v>0.205012</v>
      </c>
      <c r="W41" s="131">
        <v>0.20291100000000001</v>
      </c>
      <c r="X41" s="131">
        <v>0.20146700000000001</v>
      </c>
      <c r="Y41" s="131">
        <v>0.200848</v>
      </c>
      <c r="Z41" s="131">
        <v>0.20064000000000001</v>
      </c>
      <c r="AA41" s="131">
        <v>0.20059199999999999</v>
      </c>
      <c r="AB41" s="131">
        <v>0.20072999999999999</v>
      </c>
      <c r="AC41" s="131">
        <v>0.200991</v>
      </c>
      <c r="AD41" s="131">
        <v>0.20142299999999999</v>
      </c>
      <c r="AE41" s="131">
        <v>0.20205600000000001</v>
      </c>
      <c r="AF41" s="132">
        <v>-4.5030000000000001E-3</v>
      </c>
      <c r="AG41" s="87"/>
    </row>
    <row r="42" spans="1:33" ht="12" x14ac:dyDescent="0.3">
      <c r="A42" s="92" t="s">
        <v>64</v>
      </c>
      <c r="B42" s="130" t="s">
        <v>2731</v>
      </c>
      <c r="C42" s="131">
        <v>3.7489000000000001E-2</v>
      </c>
      <c r="D42" s="131">
        <v>3.7812999999999999E-2</v>
      </c>
      <c r="E42" s="131">
        <v>3.8143999999999997E-2</v>
      </c>
      <c r="F42" s="131">
        <v>3.8485999999999999E-2</v>
      </c>
      <c r="G42" s="131">
        <v>3.8827E-2</v>
      </c>
      <c r="H42" s="131">
        <v>3.9168000000000001E-2</v>
      </c>
      <c r="I42" s="131">
        <v>3.9518999999999999E-2</v>
      </c>
      <c r="J42" s="131">
        <v>3.9875000000000001E-2</v>
      </c>
      <c r="K42" s="131">
        <v>4.0245999999999997E-2</v>
      </c>
      <c r="L42" s="131">
        <v>4.0617E-2</v>
      </c>
      <c r="M42" s="131">
        <v>4.0992000000000001E-2</v>
      </c>
      <c r="N42" s="131">
        <v>4.1364999999999999E-2</v>
      </c>
      <c r="O42" s="131">
        <v>4.1732999999999999E-2</v>
      </c>
      <c r="P42" s="131">
        <v>4.2098999999999998E-2</v>
      </c>
      <c r="Q42" s="131">
        <v>4.2465000000000003E-2</v>
      </c>
      <c r="R42" s="131">
        <v>4.2827999999999998E-2</v>
      </c>
      <c r="S42" s="131">
        <v>4.3187000000000003E-2</v>
      </c>
      <c r="T42" s="131">
        <v>4.3541999999999997E-2</v>
      </c>
      <c r="U42" s="131">
        <v>4.3898E-2</v>
      </c>
      <c r="V42" s="131">
        <v>4.4252E-2</v>
      </c>
      <c r="W42" s="131">
        <v>4.4599E-2</v>
      </c>
      <c r="X42" s="131">
        <v>4.4942000000000003E-2</v>
      </c>
      <c r="Y42" s="131">
        <v>4.5282000000000003E-2</v>
      </c>
      <c r="Z42" s="131">
        <v>4.5619E-2</v>
      </c>
      <c r="AA42" s="131">
        <v>4.5952E-2</v>
      </c>
      <c r="AB42" s="131">
        <v>4.6282999999999998E-2</v>
      </c>
      <c r="AC42" s="131">
        <v>4.6611E-2</v>
      </c>
      <c r="AD42" s="131">
        <v>4.6935999999999999E-2</v>
      </c>
      <c r="AE42" s="131">
        <v>4.7258000000000001E-2</v>
      </c>
      <c r="AF42" s="132">
        <v>8.3049999999999999E-3</v>
      </c>
      <c r="AG42" s="87"/>
    </row>
    <row r="43" spans="1:33" ht="12" x14ac:dyDescent="0.3">
      <c r="A43" s="92" t="s">
        <v>65</v>
      </c>
      <c r="B43" s="130" t="s">
        <v>2732</v>
      </c>
      <c r="C43" s="131">
        <v>2.7618E-2</v>
      </c>
      <c r="D43" s="131">
        <v>2.8063999999999999E-2</v>
      </c>
      <c r="E43" s="131">
        <v>2.8506E-2</v>
      </c>
      <c r="F43" s="131">
        <v>2.8944999999999999E-2</v>
      </c>
      <c r="G43" s="131">
        <v>2.937E-2</v>
      </c>
      <c r="H43" s="131">
        <v>2.9781999999999999E-2</v>
      </c>
      <c r="I43" s="131">
        <v>3.0232999999999999E-2</v>
      </c>
      <c r="J43" s="131">
        <v>3.0721999999999999E-2</v>
      </c>
      <c r="K43" s="131">
        <v>3.1241999999999999E-2</v>
      </c>
      <c r="L43" s="131">
        <v>3.1796999999999999E-2</v>
      </c>
      <c r="M43" s="131">
        <v>3.2391999999999997E-2</v>
      </c>
      <c r="N43" s="131">
        <v>3.3027000000000001E-2</v>
      </c>
      <c r="O43" s="131">
        <v>3.3702000000000003E-2</v>
      </c>
      <c r="P43" s="131">
        <v>3.4373000000000001E-2</v>
      </c>
      <c r="Q43" s="131">
        <v>3.5042999999999998E-2</v>
      </c>
      <c r="R43" s="131">
        <v>3.5709999999999999E-2</v>
      </c>
      <c r="S43" s="131">
        <v>3.6374999999999998E-2</v>
      </c>
      <c r="T43" s="131">
        <v>3.7035999999999999E-2</v>
      </c>
      <c r="U43" s="131">
        <v>3.7698000000000002E-2</v>
      </c>
      <c r="V43" s="131">
        <v>3.8358999999999997E-2</v>
      </c>
      <c r="W43" s="131">
        <v>3.9015000000000001E-2</v>
      </c>
      <c r="X43" s="131">
        <v>3.9667000000000001E-2</v>
      </c>
      <c r="Y43" s="131">
        <v>4.0315999999999998E-2</v>
      </c>
      <c r="Z43" s="131">
        <v>4.0961999999999998E-2</v>
      </c>
      <c r="AA43" s="131">
        <v>4.1605000000000003E-2</v>
      </c>
      <c r="AB43" s="131">
        <v>4.2244999999999998E-2</v>
      </c>
      <c r="AC43" s="131">
        <v>4.2882000000000003E-2</v>
      </c>
      <c r="AD43" s="131">
        <v>4.3513999999999997E-2</v>
      </c>
      <c r="AE43" s="131">
        <v>4.4143000000000002E-2</v>
      </c>
      <c r="AF43" s="132">
        <v>1.6889999999999999E-2</v>
      </c>
      <c r="AG43" s="87"/>
    </row>
    <row r="44" spans="1:33" ht="12" x14ac:dyDescent="0.3">
      <c r="A44" s="92" t="s">
        <v>66</v>
      </c>
      <c r="B44" s="130" t="s">
        <v>2733</v>
      </c>
      <c r="C44" s="131">
        <v>0.18509200000000001</v>
      </c>
      <c r="D44" s="131">
        <v>0.181559</v>
      </c>
      <c r="E44" s="131">
        <v>0.178365</v>
      </c>
      <c r="F44" s="131">
        <v>0.17569199999999999</v>
      </c>
      <c r="G44" s="131">
        <v>0.17295099999999999</v>
      </c>
      <c r="H44" s="131">
        <v>0.17014299999999999</v>
      </c>
      <c r="I44" s="131">
        <v>0.16719800000000001</v>
      </c>
      <c r="J44" s="131">
        <v>0.16413900000000001</v>
      </c>
      <c r="K44" s="131">
        <v>0.16098699999999999</v>
      </c>
      <c r="L44" s="131">
        <v>0.15786700000000001</v>
      </c>
      <c r="M44" s="131">
        <v>0.154866</v>
      </c>
      <c r="N44" s="131">
        <v>0.151867</v>
      </c>
      <c r="O44" s="131">
        <v>0.14899799999999999</v>
      </c>
      <c r="P44" s="131">
        <v>0.14658499999999999</v>
      </c>
      <c r="Q44" s="131">
        <v>0.14447299999999999</v>
      </c>
      <c r="R44" s="131">
        <v>0.142566</v>
      </c>
      <c r="S44" s="131">
        <v>0.14076</v>
      </c>
      <c r="T44" s="131">
        <v>0.13918900000000001</v>
      </c>
      <c r="U44" s="131">
        <v>0.13791</v>
      </c>
      <c r="V44" s="131">
        <v>0.136911</v>
      </c>
      <c r="W44" s="131">
        <v>0.13620699999999999</v>
      </c>
      <c r="X44" s="131">
        <v>0.13575499999999999</v>
      </c>
      <c r="Y44" s="131">
        <v>0.13553699999999999</v>
      </c>
      <c r="Z44" s="131">
        <v>0.13555200000000001</v>
      </c>
      <c r="AA44" s="131">
        <v>0.13580200000000001</v>
      </c>
      <c r="AB44" s="131">
        <v>0.136265</v>
      </c>
      <c r="AC44" s="131">
        <v>0.13685</v>
      </c>
      <c r="AD44" s="131">
        <v>0.13759299999999999</v>
      </c>
      <c r="AE44" s="131">
        <v>0.13852700000000001</v>
      </c>
      <c r="AF44" s="132">
        <v>-1.0296E-2</v>
      </c>
      <c r="AG44" s="87"/>
    </row>
    <row r="45" spans="1:33" ht="12" x14ac:dyDescent="0.3">
      <c r="A45" s="92" t="s">
        <v>67</v>
      </c>
      <c r="B45" s="130" t="s">
        <v>2734</v>
      </c>
      <c r="C45" s="131">
        <v>0.120106</v>
      </c>
      <c r="D45" s="131">
        <v>0.118562</v>
      </c>
      <c r="E45" s="131">
        <v>0.11693099999999999</v>
      </c>
      <c r="F45" s="131">
        <v>0.11536299999999999</v>
      </c>
      <c r="G45" s="131">
        <v>0.113493</v>
      </c>
      <c r="H45" s="131">
        <v>0.111328</v>
      </c>
      <c r="I45" s="131">
        <v>0.108857</v>
      </c>
      <c r="J45" s="131">
        <v>0.106117</v>
      </c>
      <c r="K45" s="131">
        <v>0.103168</v>
      </c>
      <c r="L45" s="131">
        <v>0.100088</v>
      </c>
      <c r="M45" s="131">
        <v>9.6979999999999997E-2</v>
      </c>
      <c r="N45" s="131">
        <v>9.3785999999999994E-2</v>
      </c>
      <c r="O45" s="131">
        <v>9.0609999999999996E-2</v>
      </c>
      <c r="P45" s="131">
        <v>8.7647000000000003E-2</v>
      </c>
      <c r="Q45" s="131">
        <v>8.4848000000000007E-2</v>
      </c>
      <c r="R45" s="131">
        <v>8.2132999999999998E-2</v>
      </c>
      <c r="S45" s="131">
        <v>7.9492999999999994E-2</v>
      </c>
      <c r="T45" s="131">
        <v>7.7007999999999993E-2</v>
      </c>
      <c r="U45" s="131">
        <v>7.4726000000000001E-2</v>
      </c>
      <c r="V45" s="131">
        <v>7.2651999999999994E-2</v>
      </c>
      <c r="W45" s="131">
        <v>7.0824999999999999E-2</v>
      </c>
      <c r="X45" s="131">
        <v>6.9226999999999997E-2</v>
      </c>
      <c r="Y45" s="131">
        <v>6.7875000000000005E-2</v>
      </c>
      <c r="Z45" s="131">
        <v>6.6753000000000007E-2</v>
      </c>
      <c r="AA45" s="131">
        <v>6.5956000000000001E-2</v>
      </c>
      <c r="AB45" s="131">
        <v>6.5417000000000003E-2</v>
      </c>
      <c r="AC45" s="131">
        <v>6.5087000000000006E-2</v>
      </c>
      <c r="AD45" s="131">
        <v>6.4992999999999995E-2</v>
      </c>
      <c r="AE45" s="131">
        <v>6.5106999999999998E-2</v>
      </c>
      <c r="AF45" s="132">
        <v>-2.1631999999999998E-2</v>
      </c>
      <c r="AG45" s="87"/>
    </row>
    <row r="46" spans="1:33" ht="12" x14ac:dyDescent="0.3">
      <c r="A46" s="92" t="s">
        <v>68</v>
      </c>
      <c r="B46" s="130" t="s">
        <v>69</v>
      </c>
      <c r="C46" s="131">
        <v>8.9175000000000004E-2</v>
      </c>
      <c r="D46" s="131">
        <v>8.8249999999999995E-2</v>
      </c>
      <c r="E46" s="131">
        <v>7.9128000000000004E-2</v>
      </c>
      <c r="F46" s="131">
        <v>8.0093999999999999E-2</v>
      </c>
      <c r="G46" s="131">
        <v>8.0979999999999996E-2</v>
      </c>
      <c r="H46" s="131">
        <v>8.1729999999999997E-2</v>
      </c>
      <c r="I46" s="131">
        <v>8.2280000000000006E-2</v>
      </c>
      <c r="J46" s="131">
        <v>8.2540000000000002E-2</v>
      </c>
      <c r="K46" s="131">
        <v>8.2561999999999997E-2</v>
      </c>
      <c r="L46" s="131">
        <v>8.2343E-2</v>
      </c>
      <c r="M46" s="131">
        <v>8.1923999999999997E-2</v>
      </c>
      <c r="N46" s="131">
        <v>8.1309000000000006E-2</v>
      </c>
      <c r="O46" s="131">
        <v>8.0431000000000002E-2</v>
      </c>
      <c r="P46" s="131">
        <v>7.9390000000000002E-2</v>
      </c>
      <c r="Q46" s="131">
        <v>7.8254000000000004E-2</v>
      </c>
      <c r="R46" s="131">
        <v>7.7045000000000002E-2</v>
      </c>
      <c r="S46" s="131">
        <v>7.5693999999999997E-2</v>
      </c>
      <c r="T46" s="131">
        <v>7.4348999999999998E-2</v>
      </c>
      <c r="U46" s="131">
        <v>7.3050000000000004E-2</v>
      </c>
      <c r="V46" s="131">
        <v>7.1817000000000006E-2</v>
      </c>
      <c r="W46" s="131">
        <v>7.0639999999999994E-2</v>
      </c>
      <c r="X46" s="131">
        <v>6.9587999999999997E-2</v>
      </c>
      <c r="Y46" s="131">
        <v>6.8662000000000001E-2</v>
      </c>
      <c r="Z46" s="131">
        <v>6.7822999999999994E-2</v>
      </c>
      <c r="AA46" s="131">
        <v>6.7005999999999996E-2</v>
      </c>
      <c r="AB46" s="131">
        <v>6.6321000000000005E-2</v>
      </c>
      <c r="AC46" s="131">
        <v>6.5775E-2</v>
      </c>
      <c r="AD46" s="131">
        <v>6.5343999999999999E-2</v>
      </c>
      <c r="AE46" s="131">
        <v>6.4996999999999999E-2</v>
      </c>
      <c r="AF46" s="132">
        <v>-1.1231E-2</v>
      </c>
      <c r="AG46" s="87"/>
    </row>
    <row r="47" spans="1:33" ht="12" x14ac:dyDescent="0.3">
      <c r="A47" s="92" t="s">
        <v>70</v>
      </c>
      <c r="B47" s="130" t="s">
        <v>81</v>
      </c>
      <c r="C47" s="131">
        <v>1.7289920000000001</v>
      </c>
      <c r="D47" s="131">
        <v>1.778594</v>
      </c>
      <c r="E47" s="131">
        <v>1.805526</v>
      </c>
      <c r="F47" s="131">
        <v>1.8416680000000001</v>
      </c>
      <c r="G47" s="131">
        <v>1.877618</v>
      </c>
      <c r="H47" s="131">
        <v>1.9181360000000001</v>
      </c>
      <c r="I47" s="131">
        <v>1.9534260000000001</v>
      </c>
      <c r="J47" s="131">
        <v>1.984526</v>
      </c>
      <c r="K47" s="131">
        <v>2.015298</v>
      </c>
      <c r="L47" s="131">
        <v>2.045995</v>
      </c>
      <c r="M47" s="131">
        <v>2.0771999999999999</v>
      </c>
      <c r="N47" s="131">
        <v>2.1083090000000002</v>
      </c>
      <c r="O47" s="131">
        <v>2.1370680000000002</v>
      </c>
      <c r="P47" s="131">
        <v>2.1696040000000001</v>
      </c>
      <c r="Q47" s="131">
        <v>2.2045029999999999</v>
      </c>
      <c r="R47" s="131">
        <v>2.2416749999999999</v>
      </c>
      <c r="S47" s="131">
        <v>2.277666</v>
      </c>
      <c r="T47" s="131">
        <v>2.3144999999999998</v>
      </c>
      <c r="U47" s="131">
        <v>2.3536220000000001</v>
      </c>
      <c r="V47" s="131">
        <v>2.393605</v>
      </c>
      <c r="W47" s="131">
        <v>2.4362240000000002</v>
      </c>
      <c r="X47" s="131">
        <v>2.4803709999999999</v>
      </c>
      <c r="Y47" s="131">
        <v>2.5261019999999998</v>
      </c>
      <c r="Z47" s="131">
        <v>2.5735540000000001</v>
      </c>
      <c r="AA47" s="131">
        <v>2.6229239999999998</v>
      </c>
      <c r="AB47" s="131">
        <v>2.6745640000000002</v>
      </c>
      <c r="AC47" s="131">
        <v>2.727255</v>
      </c>
      <c r="AD47" s="131">
        <v>2.7817340000000002</v>
      </c>
      <c r="AE47" s="131">
        <v>2.8402690000000002</v>
      </c>
      <c r="AF47" s="132">
        <v>1.7885000000000002E-2</v>
      </c>
      <c r="AG47" s="87"/>
    </row>
    <row r="48" spans="1:33" ht="12" x14ac:dyDescent="0.3">
      <c r="A48" s="92" t="s">
        <v>72</v>
      </c>
      <c r="B48" s="129" t="s">
        <v>2735</v>
      </c>
      <c r="C48" s="133">
        <v>5.2596420000000004</v>
      </c>
      <c r="D48" s="133">
        <v>5.1701290000000002</v>
      </c>
      <c r="E48" s="133">
        <v>5.2504400000000002</v>
      </c>
      <c r="F48" s="133">
        <v>5.3072759999999999</v>
      </c>
      <c r="G48" s="133">
        <v>5.3626420000000001</v>
      </c>
      <c r="H48" s="133">
        <v>5.4222320000000002</v>
      </c>
      <c r="I48" s="133">
        <v>5.4743199999999996</v>
      </c>
      <c r="J48" s="133">
        <v>5.5182950000000002</v>
      </c>
      <c r="K48" s="133">
        <v>5.5540880000000001</v>
      </c>
      <c r="L48" s="133">
        <v>5.5871940000000002</v>
      </c>
      <c r="M48" s="133">
        <v>5.6225040000000002</v>
      </c>
      <c r="N48" s="133">
        <v>5.6592840000000004</v>
      </c>
      <c r="O48" s="133">
        <v>5.694947</v>
      </c>
      <c r="P48" s="133">
        <v>5.742076</v>
      </c>
      <c r="Q48" s="133">
        <v>5.7953429999999999</v>
      </c>
      <c r="R48" s="133">
        <v>5.8523889999999996</v>
      </c>
      <c r="S48" s="133">
        <v>5.9070590000000003</v>
      </c>
      <c r="T48" s="133">
        <v>5.9634539999999996</v>
      </c>
      <c r="U48" s="133">
        <v>6.0202999999999998</v>
      </c>
      <c r="V48" s="133">
        <v>6.0802500000000004</v>
      </c>
      <c r="W48" s="133">
        <v>6.1456559999999998</v>
      </c>
      <c r="X48" s="133">
        <v>6.2151889999999996</v>
      </c>
      <c r="Y48" s="133">
        <v>6.2886449999999998</v>
      </c>
      <c r="Z48" s="133">
        <v>6.3656980000000001</v>
      </c>
      <c r="AA48" s="133">
        <v>6.4482220000000003</v>
      </c>
      <c r="AB48" s="133">
        <v>6.5356100000000001</v>
      </c>
      <c r="AC48" s="133">
        <v>6.6252180000000003</v>
      </c>
      <c r="AD48" s="133">
        <v>6.7176070000000001</v>
      </c>
      <c r="AE48" s="133">
        <v>6.816999</v>
      </c>
      <c r="AF48" s="134">
        <v>9.306E-3</v>
      </c>
      <c r="AG48" s="87"/>
    </row>
    <row r="49" spans="1:33" ht="12" x14ac:dyDescent="0.3">
      <c r="A49" s="92" t="s">
        <v>2736</v>
      </c>
      <c r="B49" s="130" t="s">
        <v>2897</v>
      </c>
      <c r="C49" s="131">
        <v>0.112023</v>
      </c>
      <c r="D49" s="131">
        <v>0.123458</v>
      </c>
      <c r="E49" s="131">
        <v>0.13652900000000001</v>
      </c>
      <c r="F49" s="131">
        <v>0.14977699999999999</v>
      </c>
      <c r="G49" s="131">
        <v>0.16300899999999999</v>
      </c>
      <c r="H49" s="131">
        <v>0.17658499999999999</v>
      </c>
      <c r="I49" s="131">
        <v>0.19053</v>
      </c>
      <c r="J49" s="131">
        <v>0.20494499999999999</v>
      </c>
      <c r="K49" s="131">
        <v>0.21981999999999999</v>
      </c>
      <c r="L49" s="131">
        <v>0.23524600000000001</v>
      </c>
      <c r="M49" s="131">
        <v>0.25148999999999999</v>
      </c>
      <c r="N49" s="131">
        <v>0.26793699999999998</v>
      </c>
      <c r="O49" s="131">
        <v>0.28465000000000001</v>
      </c>
      <c r="P49" s="131">
        <v>0.29947400000000002</v>
      </c>
      <c r="Q49" s="131">
        <v>0.31491799999999998</v>
      </c>
      <c r="R49" s="131">
        <v>0.33096799999999998</v>
      </c>
      <c r="S49" s="131">
        <v>0.34801199999999999</v>
      </c>
      <c r="T49" s="131">
        <v>0.36618699999999998</v>
      </c>
      <c r="U49" s="131">
        <v>0.38540000000000002</v>
      </c>
      <c r="V49" s="131">
        <v>0.40570899999999999</v>
      </c>
      <c r="W49" s="131">
        <v>0.427124</v>
      </c>
      <c r="X49" s="131">
        <v>0.44966</v>
      </c>
      <c r="Y49" s="131">
        <v>0.47307100000000002</v>
      </c>
      <c r="Z49" s="131">
        <v>0.49757400000000002</v>
      </c>
      <c r="AA49" s="131">
        <v>0.52299700000000005</v>
      </c>
      <c r="AB49" s="131">
        <v>0.54935500000000004</v>
      </c>
      <c r="AC49" s="131">
        <v>0.57694599999999996</v>
      </c>
      <c r="AD49" s="131">
        <v>0.60526800000000003</v>
      </c>
      <c r="AE49" s="131">
        <v>0.63452399999999998</v>
      </c>
      <c r="AF49" s="132">
        <v>6.3893000000000005E-2</v>
      </c>
      <c r="AG49" s="87"/>
    </row>
    <row r="50" spans="1:33" ht="15" customHeight="1" x14ac:dyDescent="0.3">
      <c r="A50" s="92" t="s">
        <v>2738</v>
      </c>
      <c r="B50" s="129" t="s">
        <v>2739</v>
      </c>
      <c r="C50" s="133">
        <v>5.1476179999999996</v>
      </c>
      <c r="D50" s="133">
        <v>5.0466709999999999</v>
      </c>
      <c r="E50" s="133">
        <v>5.1139109999999999</v>
      </c>
      <c r="F50" s="133">
        <v>5.1574989999999996</v>
      </c>
      <c r="G50" s="133">
        <v>5.1996339999999996</v>
      </c>
      <c r="H50" s="133">
        <v>5.2456469999999999</v>
      </c>
      <c r="I50" s="133">
        <v>5.2837899999999998</v>
      </c>
      <c r="J50" s="133">
        <v>5.3133499999999998</v>
      </c>
      <c r="K50" s="133">
        <v>5.3342679999999998</v>
      </c>
      <c r="L50" s="133">
        <v>5.3519490000000003</v>
      </c>
      <c r="M50" s="133">
        <v>5.3710139999999997</v>
      </c>
      <c r="N50" s="133">
        <v>5.3913460000000004</v>
      </c>
      <c r="O50" s="133">
        <v>5.4102969999999999</v>
      </c>
      <c r="P50" s="133">
        <v>5.4426019999999999</v>
      </c>
      <c r="Q50" s="133">
        <v>5.4804250000000003</v>
      </c>
      <c r="R50" s="133">
        <v>5.5214210000000001</v>
      </c>
      <c r="S50" s="133">
        <v>5.5590469999999996</v>
      </c>
      <c r="T50" s="133">
        <v>5.5972670000000004</v>
      </c>
      <c r="U50" s="133">
        <v>5.6349</v>
      </c>
      <c r="V50" s="133">
        <v>5.6745409999999996</v>
      </c>
      <c r="W50" s="133">
        <v>5.7185319999999997</v>
      </c>
      <c r="X50" s="133">
        <v>5.7655289999999999</v>
      </c>
      <c r="Y50" s="133">
        <v>5.8155739999999998</v>
      </c>
      <c r="Z50" s="133">
        <v>5.8681239999999999</v>
      </c>
      <c r="AA50" s="133">
        <v>5.9252250000000002</v>
      </c>
      <c r="AB50" s="133">
        <v>5.9862549999999999</v>
      </c>
      <c r="AC50" s="133">
        <v>6.0482719999999999</v>
      </c>
      <c r="AD50" s="133">
        <v>6.1123390000000004</v>
      </c>
      <c r="AE50" s="133">
        <v>6.1824750000000002</v>
      </c>
      <c r="AF50" s="134">
        <v>6.5640000000000004E-3</v>
      </c>
      <c r="AG50" s="87"/>
    </row>
    <row r="51" spans="1:33" ht="15" customHeight="1" x14ac:dyDescent="0.3"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</row>
    <row r="52" spans="1:33" ht="15" customHeight="1" x14ac:dyDescent="0.3">
      <c r="B52" s="129" t="s">
        <v>74</v>
      </c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</row>
    <row r="53" spans="1:33" ht="15" customHeight="1" x14ac:dyDescent="0.3">
      <c r="A53" s="92" t="s">
        <v>75</v>
      </c>
      <c r="B53" s="130" t="s">
        <v>49</v>
      </c>
      <c r="C53" s="131">
        <v>3.7369300000000001</v>
      </c>
      <c r="D53" s="131">
        <v>3.7861340000000001</v>
      </c>
      <c r="E53" s="131">
        <v>3.5242059999999999</v>
      </c>
      <c r="F53" s="131">
        <v>3.5347719999999998</v>
      </c>
      <c r="G53" s="131">
        <v>3.5407920000000002</v>
      </c>
      <c r="H53" s="131">
        <v>3.5382799999999999</v>
      </c>
      <c r="I53" s="131">
        <v>3.5293040000000002</v>
      </c>
      <c r="J53" s="131">
        <v>3.510945</v>
      </c>
      <c r="K53" s="131">
        <v>3.4878969999999998</v>
      </c>
      <c r="L53" s="131">
        <v>3.4622350000000002</v>
      </c>
      <c r="M53" s="131">
        <v>3.4365359999999998</v>
      </c>
      <c r="N53" s="131">
        <v>3.41919</v>
      </c>
      <c r="O53" s="131">
        <v>3.3989539999999998</v>
      </c>
      <c r="P53" s="131">
        <v>3.379413</v>
      </c>
      <c r="Q53" s="131">
        <v>3.362053</v>
      </c>
      <c r="R53" s="131">
        <v>3.3461120000000002</v>
      </c>
      <c r="S53" s="131">
        <v>3.3294380000000001</v>
      </c>
      <c r="T53" s="131">
        <v>3.3147989999999998</v>
      </c>
      <c r="U53" s="131">
        <v>3.3015089999999998</v>
      </c>
      <c r="V53" s="131">
        <v>3.2886820000000001</v>
      </c>
      <c r="W53" s="131">
        <v>3.2766220000000001</v>
      </c>
      <c r="X53" s="131">
        <v>3.2663669999999998</v>
      </c>
      <c r="Y53" s="131">
        <v>3.2576480000000001</v>
      </c>
      <c r="Z53" s="131">
        <v>3.2478159999999998</v>
      </c>
      <c r="AA53" s="131">
        <v>3.2346270000000001</v>
      </c>
      <c r="AB53" s="131">
        <v>3.2227749999999999</v>
      </c>
      <c r="AC53" s="131">
        <v>3.212637</v>
      </c>
      <c r="AD53" s="131">
        <v>3.2025510000000001</v>
      </c>
      <c r="AE53" s="131">
        <v>3.191122</v>
      </c>
      <c r="AF53" s="132">
        <v>-5.6230000000000004E-3</v>
      </c>
      <c r="AG53" s="87"/>
    </row>
    <row r="54" spans="1:33" ht="15" customHeight="1" x14ac:dyDescent="0.3">
      <c r="A54" s="92" t="s">
        <v>76</v>
      </c>
      <c r="B54" s="130" t="s">
        <v>51</v>
      </c>
      <c r="C54" s="131">
        <v>5.8888000000000003E-2</v>
      </c>
      <c r="D54" s="131">
        <v>5.0529999999999999E-2</v>
      </c>
      <c r="E54" s="131">
        <v>5.9461E-2</v>
      </c>
      <c r="F54" s="131">
        <v>5.9824000000000002E-2</v>
      </c>
      <c r="G54" s="131">
        <v>6.0086000000000001E-2</v>
      </c>
      <c r="H54" s="131">
        <v>6.0236999999999999E-2</v>
      </c>
      <c r="I54" s="131">
        <v>6.0283000000000003E-2</v>
      </c>
      <c r="J54" s="131">
        <v>6.0234999999999997E-2</v>
      </c>
      <c r="K54" s="131">
        <v>6.0099E-2</v>
      </c>
      <c r="L54" s="131">
        <v>5.9889999999999999E-2</v>
      </c>
      <c r="M54" s="131">
        <v>5.9665999999999997E-2</v>
      </c>
      <c r="N54" s="131">
        <v>5.9420000000000001E-2</v>
      </c>
      <c r="O54" s="131">
        <v>5.9214999999999997E-2</v>
      </c>
      <c r="P54" s="131">
        <v>5.9098999999999999E-2</v>
      </c>
      <c r="Q54" s="131">
        <v>5.9116000000000002E-2</v>
      </c>
      <c r="R54" s="131">
        <v>5.9265999999999999E-2</v>
      </c>
      <c r="S54" s="131">
        <v>5.9430999999999998E-2</v>
      </c>
      <c r="T54" s="131">
        <v>5.9636000000000002E-2</v>
      </c>
      <c r="U54" s="131">
        <v>5.9840999999999998E-2</v>
      </c>
      <c r="V54" s="131">
        <v>6.0023E-2</v>
      </c>
      <c r="W54" s="131">
        <v>6.0231E-2</v>
      </c>
      <c r="X54" s="131">
        <v>6.0454000000000001E-2</v>
      </c>
      <c r="Y54" s="131">
        <v>6.0706000000000003E-2</v>
      </c>
      <c r="Z54" s="131">
        <v>6.0935999999999997E-2</v>
      </c>
      <c r="AA54" s="131">
        <v>6.1136999999999997E-2</v>
      </c>
      <c r="AB54" s="131">
        <v>6.1339999999999999E-2</v>
      </c>
      <c r="AC54" s="131">
        <v>6.1596999999999999E-2</v>
      </c>
      <c r="AD54" s="131">
        <v>6.1870000000000001E-2</v>
      </c>
      <c r="AE54" s="131">
        <v>6.2121999999999997E-2</v>
      </c>
      <c r="AF54" s="132">
        <v>1.9109999999999999E-3</v>
      </c>
      <c r="AG54" s="87"/>
    </row>
    <row r="55" spans="1:33" ht="15" customHeight="1" x14ac:dyDescent="0.3">
      <c r="A55" s="92" t="s">
        <v>77</v>
      </c>
      <c r="B55" s="130" t="s">
        <v>53</v>
      </c>
      <c r="C55" s="131">
        <v>0.98298799999999997</v>
      </c>
      <c r="D55" s="131">
        <v>0.980209</v>
      </c>
      <c r="E55" s="131">
        <v>0.98977099999999996</v>
      </c>
      <c r="F55" s="131">
        <v>1.0055149999999999</v>
      </c>
      <c r="G55" s="131">
        <v>1.0222389999999999</v>
      </c>
      <c r="H55" s="131">
        <v>1.038243</v>
      </c>
      <c r="I55" s="131">
        <v>1.0537510000000001</v>
      </c>
      <c r="J55" s="131">
        <v>1.066705</v>
      </c>
      <c r="K55" s="131">
        <v>1.078192</v>
      </c>
      <c r="L55" s="131">
        <v>1.087593</v>
      </c>
      <c r="M55" s="131">
        <v>1.096298</v>
      </c>
      <c r="N55" s="131">
        <v>1.1049169999999999</v>
      </c>
      <c r="O55" s="131">
        <v>1.1131009999999999</v>
      </c>
      <c r="P55" s="131">
        <v>1.121259</v>
      </c>
      <c r="Q55" s="131">
        <v>1.1294930000000001</v>
      </c>
      <c r="R55" s="131">
        <v>1.13727</v>
      </c>
      <c r="S55" s="131">
        <v>1.1440520000000001</v>
      </c>
      <c r="T55" s="131">
        <v>1.1511439999999999</v>
      </c>
      <c r="U55" s="131">
        <v>1.158029</v>
      </c>
      <c r="V55" s="131">
        <v>1.1645909999999999</v>
      </c>
      <c r="W55" s="131">
        <v>1.1712849999999999</v>
      </c>
      <c r="X55" s="131">
        <v>1.178668</v>
      </c>
      <c r="Y55" s="131">
        <v>1.186804</v>
      </c>
      <c r="Z55" s="131">
        <v>1.1945509999999999</v>
      </c>
      <c r="AA55" s="131">
        <v>1.1994590000000001</v>
      </c>
      <c r="AB55" s="131">
        <v>1.205508</v>
      </c>
      <c r="AC55" s="131">
        <v>1.2130890000000001</v>
      </c>
      <c r="AD55" s="131">
        <v>1.221263</v>
      </c>
      <c r="AE55" s="131">
        <v>1.2289669999999999</v>
      </c>
      <c r="AF55" s="132">
        <v>8.0079999999999995E-3</v>
      </c>
      <c r="AG55" s="87"/>
    </row>
    <row r="56" spans="1:33" ht="15" customHeight="1" x14ac:dyDescent="0.3">
      <c r="A56" s="92" t="s">
        <v>78</v>
      </c>
      <c r="B56" s="130" t="s">
        <v>57</v>
      </c>
      <c r="C56" s="131">
        <v>0.10353900000000001</v>
      </c>
      <c r="D56" s="131">
        <v>0.10372099999999999</v>
      </c>
      <c r="E56" s="131">
        <v>0.10392999999999999</v>
      </c>
      <c r="F56" s="131">
        <v>0.104173</v>
      </c>
      <c r="G56" s="131">
        <v>0.104412</v>
      </c>
      <c r="H56" s="131">
        <v>0.10465000000000001</v>
      </c>
      <c r="I56" s="131">
        <v>0.10492</v>
      </c>
      <c r="J56" s="131">
        <v>0.105265</v>
      </c>
      <c r="K56" s="131">
        <v>0.10567799999999999</v>
      </c>
      <c r="L56" s="131">
        <v>0.10617600000000001</v>
      </c>
      <c r="M56" s="131">
        <v>0.10677300000000001</v>
      </c>
      <c r="N56" s="131">
        <v>0.107469</v>
      </c>
      <c r="O56" s="131">
        <v>0.108208</v>
      </c>
      <c r="P56" s="131">
        <v>0.109004</v>
      </c>
      <c r="Q56" s="131">
        <v>0.10985200000000001</v>
      </c>
      <c r="R56" s="131">
        <v>0.11074299999999999</v>
      </c>
      <c r="S56" s="131">
        <v>0.111655</v>
      </c>
      <c r="T56" s="131">
        <v>0.11258700000000001</v>
      </c>
      <c r="U56" s="131">
        <v>0.113552</v>
      </c>
      <c r="V56" s="131">
        <v>0.11454499999999999</v>
      </c>
      <c r="W56" s="131">
        <v>0.11555799999999999</v>
      </c>
      <c r="X56" s="131">
        <v>0.116595</v>
      </c>
      <c r="Y56" s="131">
        <v>0.117656</v>
      </c>
      <c r="Z56" s="131">
        <v>0.11873599999999999</v>
      </c>
      <c r="AA56" s="131">
        <v>0.119822</v>
      </c>
      <c r="AB56" s="131">
        <v>0.120911</v>
      </c>
      <c r="AC56" s="131">
        <v>0.121992</v>
      </c>
      <c r="AD56" s="131">
        <v>0.123053</v>
      </c>
      <c r="AE56" s="131">
        <v>0.12409000000000001</v>
      </c>
      <c r="AF56" s="132">
        <v>6.4869999999999997E-3</v>
      </c>
      <c r="AG56" s="87"/>
    </row>
    <row r="57" spans="1:33" ht="15" customHeight="1" x14ac:dyDescent="0.3">
      <c r="A57" s="92" t="s">
        <v>79</v>
      </c>
      <c r="B57" s="130" t="s">
        <v>59</v>
      </c>
      <c r="C57" s="131">
        <v>3.9712999999999998E-2</v>
      </c>
      <c r="D57" s="131">
        <v>4.0030999999999997E-2</v>
      </c>
      <c r="E57" s="131">
        <v>4.0827000000000002E-2</v>
      </c>
      <c r="F57" s="131">
        <v>4.1871999999999999E-2</v>
      </c>
      <c r="G57" s="131">
        <v>4.2965000000000003E-2</v>
      </c>
      <c r="H57" s="131">
        <v>4.4041999999999998E-2</v>
      </c>
      <c r="I57" s="131">
        <v>4.5060000000000003E-2</v>
      </c>
      <c r="J57" s="131">
        <v>4.5927000000000003E-2</v>
      </c>
      <c r="K57" s="131">
        <v>4.6698000000000003E-2</v>
      </c>
      <c r="L57" s="131">
        <v>4.7412999999999997E-2</v>
      </c>
      <c r="M57" s="131">
        <v>4.8115999999999999E-2</v>
      </c>
      <c r="N57" s="131">
        <v>4.879E-2</v>
      </c>
      <c r="O57" s="131">
        <v>4.9444000000000002E-2</v>
      </c>
      <c r="P57" s="131">
        <v>5.008E-2</v>
      </c>
      <c r="Q57" s="131">
        <v>5.0721000000000002E-2</v>
      </c>
      <c r="R57" s="131">
        <v>5.1386000000000001E-2</v>
      </c>
      <c r="S57" s="131">
        <v>5.2047999999999997E-2</v>
      </c>
      <c r="T57" s="131">
        <v>5.2755000000000003E-2</v>
      </c>
      <c r="U57" s="131">
        <v>5.3475000000000002E-2</v>
      </c>
      <c r="V57" s="131">
        <v>5.4198000000000003E-2</v>
      </c>
      <c r="W57" s="131">
        <v>5.4938000000000001E-2</v>
      </c>
      <c r="X57" s="131">
        <v>5.5710999999999997E-2</v>
      </c>
      <c r="Y57" s="131">
        <v>5.6512E-2</v>
      </c>
      <c r="Z57" s="131">
        <v>5.7282E-2</v>
      </c>
      <c r="AA57" s="131">
        <v>5.7895000000000002E-2</v>
      </c>
      <c r="AB57" s="131">
        <v>5.8550999999999999E-2</v>
      </c>
      <c r="AC57" s="131">
        <v>5.9274E-2</v>
      </c>
      <c r="AD57" s="131">
        <v>6.0025000000000002E-2</v>
      </c>
      <c r="AE57" s="131">
        <v>6.0749999999999998E-2</v>
      </c>
      <c r="AF57" s="132">
        <v>1.5298000000000001E-2</v>
      </c>
      <c r="AG57" s="87"/>
    </row>
    <row r="58" spans="1:33" ht="15" customHeight="1" x14ac:dyDescent="0.3">
      <c r="A58" s="92" t="s">
        <v>80</v>
      </c>
      <c r="B58" s="130" t="s">
        <v>2659</v>
      </c>
      <c r="C58" s="131">
        <v>0.22733500000000001</v>
      </c>
      <c r="D58" s="131">
        <v>0.225826</v>
      </c>
      <c r="E58" s="131">
        <v>0.22627800000000001</v>
      </c>
      <c r="F58" s="131">
        <v>0.22780500000000001</v>
      </c>
      <c r="G58" s="131">
        <v>0.22943</v>
      </c>
      <c r="H58" s="131">
        <v>0.23081199999999999</v>
      </c>
      <c r="I58" s="131">
        <v>0.23187099999999999</v>
      </c>
      <c r="J58" s="131">
        <v>0.23214099999999999</v>
      </c>
      <c r="K58" s="131">
        <v>0.23191100000000001</v>
      </c>
      <c r="L58" s="131">
        <v>0.23139599999999999</v>
      </c>
      <c r="M58" s="131">
        <v>0.23083100000000001</v>
      </c>
      <c r="N58" s="131">
        <v>0.23017299999999999</v>
      </c>
      <c r="O58" s="131">
        <v>0.22950300000000001</v>
      </c>
      <c r="P58" s="131">
        <v>0.22885800000000001</v>
      </c>
      <c r="Q58" s="131">
        <v>0.22833500000000001</v>
      </c>
      <c r="R58" s="131">
        <v>0.22784299999999999</v>
      </c>
      <c r="S58" s="131">
        <v>0.227266</v>
      </c>
      <c r="T58" s="131">
        <v>0.22681899999999999</v>
      </c>
      <c r="U58" s="131">
        <v>0.226353</v>
      </c>
      <c r="V58" s="131">
        <v>0.225855</v>
      </c>
      <c r="W58" s="131">
        <v>0.225413</v>
      </c>
      <c r="X58" s="131">
        <v>0.22509299999999999</v>
      </c>
      <c r="Y58" s="131">
        <v>0.22487799999999999</v>
      </c>
      <c r="Z58" s="131">
        <v>0.22455700000000001</v>
      </c>
      <c r="AA58" s="131">
        <v>0.22354599999999999</v>
      </c>
      <c r="AB58" s="131">
        <v>0.222772</v>
      </c>
      <c r="AC58" s="131">
        <v>0.22233800000000001</v>
      </c>
      <c r="AD58" s="131">
        <v>0.22208800000000001</v>
      </c>
      <c r="AE58" s="131">
        <v>0.22178899999999999</v>
      </c>
      <c r="AF58" s="132">
        <v>-8.8199999999999997E-4</v>
      </c>
      <c r="AG58" s="87"/>
    </row>
    <row r="59" spans="1:33" ht="15" customHeight="1" x14ac:dyDescent="0.3">
      <c r="A59" s="92" t="s">
        <v>82</v>
      </c>
      <c r="B59" s="129" t="s">
        <v>73</v>
      </c>
      <c r="C59" s="133">
        <v>5.1493919999999997</v>
      </c>
      <c r="D59" s="133">
        <v>5.1864509999999999</v>
      </c>
      <c r="E59" s="133">
        <v>4.9444739999999996</v>
      </c>
      <c r="F59" s="133">
        <v>4.9739610000000001</v>
      </c>
      <c r="G59" s="133">
        <v>4.9999250000000002</v>
      </c>
      <c r="H59" s="133">
        <v>5.0162659999999999</v>
      </c>
      <c r="I59" s="133">
        <v>5.0251890000000001</v>
      </c>
      <c r="J59" s="133">
        <v>5.021217</v>
      </c>
      <c r="K59" s="133">
        <v>5.0104759999999997</v>
      </c>
      <c r="L59" s="133">
        <v>4.9947030000000003</v>
      </c>
      <c r="M59" s="133">
        <v>4.9782209999999996</v>
      </c>
      <c r="N59" s="133">
        <v>4.9699590000000002</v>
      </c>
      <c r="O59" s="133">
        <v>4.9584260000000002</v>
      </c>
      <c r="P59" s="133">
        <v>4.9477130000000002</v>
      </c>
      <c r="Q59" s="133">
        <v>4.9395699999999998</v>
      </c>
      <c r="R59" s="133">
        <v>4.9326210000000001</v>
      </c>
      <c r="S59" s="133">
        <v>4.9238910000000002</v>
      </c>
      <c r="T59" s="133">
        <v>4.9177400000000002</v>
      </c>
      <c r="U59" s="133">
        <v>4.9127590000000003</v>
      </c>
      <c r="V59" s="133">
        <v>4.9078949999999999</v>
      </c>
      <c r="W59" s="133">
        <v>4.9040470000000003</v>
      </c>
      <c r="X59" s="133">
        <v>4.9028879999999999</v>
      </c>
      <c r="Y59" s="133">
        <v>4.904204</v>
      </c>
      <c r="Z59" s="133">
        <v>4.9038760000000003</v>
      </c>
      <c r="AA59" s="133">
        <v>4.8964850000000002</v>
      </c>
      <c r="AB59" s="133">
        <v>4.8918569999999999</v>
      </c>
      <c r="AC59" s="133">
        <v>4.8909269999999996</v>
      </c>
      <c r="AD59" s="133">
        <v>4.8908509999999996</v>
      </c>
      <c r="AE59" s="133">
        <v>4.8888410000000002</v>
      </c>
      <c r="AF59" s="134">
        <v>-1.853E-3</v>
      </c>
      <c r="AG59" s="87"/>
    </row>
    <row r="60" spans="1:33" ht="15" customHeight="1" x14ac:dyDescent="0.3"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87"/>
      <c r="AF60" s="87"/>
      <c r="AG60" s="87"/>
    </row>
    <row r="61" spans="1:33" ht="15" customHeight="1" x14ac:dyDescent="0.3">
      <c r="B61" s="129" t="s">
        <v>2740</v>
      </c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</row>
    <row r="62" spans="1:33" ht="15" customHeight="1" x14ac:dyDescent="0.3">
      <c r="A62" s="92" t="s">
        <v>83</v>
      </c>
      <c r="B62" s="130" t="s">
        <v>49</v>
      </c>
      <c r="C62" s="131">
        <v>0.38192500000000001</v>
      </c>
      <c r="D62" s="131">
        <v>0.38353599999999999</v>
      </c>
      <c r="E62" s="131">
        <v>0.32749</v>
      </c>
      <c r="F62" s="131">
        <v>0.323264</v>
      </c>
      <c r="G62" s="131">
        <v>0.31815500000000002</v>
      </c>
      <c r="H62" s="131">
        <v>0.31265199999999999</v>
      </c>
      <c r="I62" s="131">
        <v>0.30687900000000001</v>
      </c>
      <c r="J62" s="131">
        <v>0.300867</v>
      </c>
      <c r="K62" s="131">
        <v>0.29493999999999998</v>
      </c>
      <c r="L62" s="131">
        <v>0.289076</v>
      </c>
      <c r="M62" s="131">
        <v>0.28336600000000001</v>
      </c>
      <c r="N62" s="131">
        <v>0.27821800000000002</v>
      </c>
      <c r="O62" s="131">
        <v>0.273003</v>
      </c>
      <c r="P62" s="131">
        <v>0.26784599999999997</v>
      </c>
      <c r="Q62" s="131">
        <v>0.26289899999999999</v>
      </c>
      <c r="R62" s="131">
        <v>0.25812299999999999</v>
      </c>
      <c r="S62" s="131">
        <v>0.25350699999999998</v>
      </c>
      <c r="T62" s="131">
        <v>0.24901699999999999</v>
      </c>
      <c r="U62" s="131">
        <v>0.24471499999999999</v>
      </c>
      <c r="V62" s="131">
        <v>0.240453</v>
      </c>
      <c r="W62" s="131">
        <v>0.236259</v>
      </c>
      <c r="X62" s="131">
        <v>0.232016</v>
      </c>
      <c r="Y62" s="131">
        <v>0.22792000000000001</v>
      </c>
      <c r="Z62" s="131">
        <v>0.223829</v>
      </c>
      <c r="AA62" s="131">
        <v>0.219666</v>
      </c>
      <c r="AB62" s="131">
        <v>0.21551799999999999</v>
      </c>
      <c r="AC62" s="131">
        <v>0.21145800000000001</v>
      </c>
      <c r="AD62" s="131">
        <v>0.20741999999999999</v>
      </c>
      <c r="AE62" s="131">
        <v>0.203485</v>
      </c>
      <c r="AF62" s="132">
        <v>-2.2235999999999999E-2</v>
      </c>
      <c r="AG62" s="87"/>
    </row>
    <row r="63" spans="1:33" ht="15" customHeight="1" x14ac:dyDescent="0.3">
      <c r="A63" s="92" t="s">
        <v>84</v>
      </c>
      <c r="B63" s="130" t="s">
        <v>53</v>
      </c>
      <c r="C63" s="131">
        <v>4.3041000000000003E-2</v>
      </c>
      <c r="D63" s="131">
        <v>4.0314999999999997E-2</v>
      </c>
      <c r="E63" s="131">
        <v>3.8573000000000003E-2</v>
      </c>
      <c r="F63" s="131">
        <v>3.7465999999999999E-2</v>
      </c>
      <c r="G63" s="131">
        <v>3.6442000000000002E-2</v>
      </c>
      <c r="H63" s="131">
        <v>3.5552E-2</v>
      </c>
      <c r="I63" s="131">
        <v>3.4810000000000001E-2</v>
      </c>
      <c r="J63" s="131">
        <v>3.4218999999999999E-2</v>
      </c>
      <c r="K63" s="131">
        <v>3.3803E-2</v>
      </c>
      <c r="L63" s="131">
        <v>3.3316999999999999E-2</v>
      </c>
      <c r="M63" s="131">
        <v>3.2805000000000001E-2</v>
      </c>
      <c r="N63" s="131">
        <v>3.227E-2</v>
      </c>
      <c r="O63" s="131">
        <v>3.1734999999999999E-2</v>
      </c>
      <c r="P63" s="131">
        <v>3.1182000000000001E-2</v>
      </c>
      <c r="Q63" s="131">
        <v>3.0637000000000001E-2</v>
      </c>
      <c r="R63" s="131">
        <v>3.0092000000000001E-2</v>
      </c>
      <c r="S63" s="131">
        <v>2.9555999999999999E-2</v>
      </c>
      <c r="T63" s="131">
        <v>2.9034000000000001E-2</v>
      </c>
      <c r="U63" s="131">
        <v>2.8531000000000001E-2</v>
      </c>
      <c r="V63" s="131">
        <v>2.8038E-2</v>
      </c>
      <c r="W63" s="131">
        <v>2.7574000000000001E-2</v>
      </c>
      <c r="X63" s="131">
        <v>2.7129E-2</v>
      </c>
      <c r="Y63" s="131">
        <v>2.6714999999999999E-2</v>
      </c>
      <c r="Z63" s="131">
        <v>2.6321000000000001E-2</v>
      </c>
      <c r="AA63" s="131">
        <v>2.5933000000000001E-2</v>
      </c>
      <c r="AB63" s="131">
        <v>2.5562999999999999E-2</v>
      </c>
      <c r="AC63" s="131">
        <v>2.5212999999999999E-2</v>
      </c>
      <c r="AD63" s="131">
        <v>2.4871000000000001E-2</v>
      </c>
      <c r="AE63" s="131">
        <v>2.4542000000000001E-2</v>
      </c>
      <c r="AF63" s="132">
        <v>-1.9862999999999999E-2</v>
      </c>
      <c r="AG63" s="87"/>
    </row>
    <row r="64" spans="1:33" ht="15" customHeight="1" x14ac:dyDescent="0.3">
      <c r="A64" s="92" t="s">
        <v>85</v>
      </c>
      <c r="B64" s="130" t="s">
        <v>2741</v>
      </c>
      <c r="C64" s="131">
        <v>7.5310000000000004E-3</v>
      </c>
      <c r="D64" s="131">
        <v>7.3670000000000003E-3</v>
      </c>
      <c r="E64" s="131">
        <v>7.3299999999999997E-3</v>
      </c>
      <c r="F64" s="131">
        <v>7.3689999999999997E-3</v>
      </c>
      <c r="G64" s="131">
        <v>7.3889999999999997E-3</v>
      </c>
      <c r="H64" s="131">
        <v>7.3969999999999999E-3</v>
      </c>
      <c r="I64" s="131">
        <v>7.3959999999999998E-3</v>
      </c>
      <c r="J64" s="131">
        <v>7.3850000000000001E-3</v>
      </c>
      <c r="K64" s="131">
        <v>7.3699999999999998E-3</v>
      </c>
      <c r="L64" s="131">
        <v>7.3499999999999998E-3</v>
      </c>
      <c r="M64" s="131">
        <v>7.3309999999999998E-3</v>
      </c>
      <c r="N64" s="131">
        <v>7.3119999999999999E-3</v>
      </c>
      <c r="O64" s="131">
        <v>7.293E-3</v>
      </c>
      <c r="P64" s="131">
        <v>7.2750000000000002E-3</v>
      </c>
      <c r="Q64" s="131">
        <v>7.2570000000000004E-3</v>
      </c>
      <c r="R64" s="131">
        <v>7.2389999999999998E-3</v>
      </c>
      <c r="S64" s="131">
        <v>7.2220000000000001E-3</v>
      </c>
      <c r="T64" s="131">
        <v>7.2049999999999996E-3</v>
      </c>
      <c r="U64" s="131">
        <v>7.1890000000000001E-3</v>
      </c>
      <c r="V64" s="131">
        <v>7.1710000000000003E-3</v>
      </c>
      <c r="W64" s="131">
        <v>7.1549999999999999E-3</v>
      </c>
      <c r="X64" s="131">
        <v>7.1390000000000004E-3</v>
      </c>
      <c r="Y64" s="131">
        <v>7.1250000000000003E-3</v>
      </c>
      <c r="Z64" s="131">
        <v>7.1110000000000001E-3</v>
      </c>
      <c r="AA64" s="131">
        <v>7.0930000000000003E-3</v>
      </c>
      <c r="AB64" s="131">
        <v>7.0759999999999998E-3</v>
      </c>
      <c r="AC64" s="131">
        <v>7.0609999999999996E-3</v>
      </c>
      <c r="AD64" s="131">
        <v>7.0470000000000003E-3</v>
      </c>
      <c r="AE64" s="131">
        <v>7.0330000000000002E-3</v>
      </c>
      <c r="AF64" s="132">
        <v>-2.4420000000000002E-3</v>
      </c>
      <c r="AG64" s="87"/>
    </row>
    <row r="65" spans="1:33" ht="15" customHeight="1" x14ac:dyDescent="0.3">
      <c r="A65" s="92" t="s">
        <v>87</v>
      </c>
      <c r="B65" s="129" t="s">
        <v>73</v>
      </c>
      <c r="C65" s="133">
        <v>0.43249700000000002</v>
      </c>
      <c r="D65" s="133">
        <v>0.43121700000000002</v>
      </c>
      <c r="E65" s="133">
        <v>0.37339299999999997</v>
      </c>
      <c r="F65" s="133">
        <v>0.36809900000000001</v>
      </c>
      <c r="G65" s="133">
        <v>0.36198599999999997</v>
      </c>
      <c r="H65" s="133">
        <v>0.355601</v>
      </c>
      <c r="I65" s="133">
        <v>0.34908499999999998</v>
      </c>
      <c r="J65" s="133">
        <v>0.34247100000000003</v>
      </c>
      <c r="K65" s="133">
        <v>0.336113</v>
      </c>
      <c r="L65" s="133">
        <v>0.32974399999999998</v>
      </c>
      <c r="M65" s="133">
        <v>0.32350200000000001</v>
      </c>
      <c r="N65" s="133">
        <v>0.317799</v>
      </c>
      <c r="O65" s="133">
        <v>0.31203199999999998</v>
      </c>
      <c r="P65" s="133">
        <v>0.30630299999999999</v>
      </c>
      <c r="Q65" s="133">
        <v>0.30079400000000001</v>
      </c>
      <c r="R65" s="133">
        <v>0.29545399999999999</v>
      </c>
      <c r="S65" s="133">
        <v>0.29028399999999999</v>
      </c>
      <c r="T65" s="133">
        <v>0.28525600000000001</v>
      </c>
      <c r="U65" s="133">
        <v>0.28043400000000002</v>
      </c>
      <c r="V65" s="133">
        <v>0.27566299999999999</v>
      </c>
      <c r="W65" s="133">
        <v>0.27098800000000001</v>
      </c>
      <c r="X65" s="133">
        <v>0.26628299999999999</v>
      </c>
      <c r="Y65" s="133">
        <v>0.26175999999999999</v>
      </c>
      <c r="Z65" s="133">
        <v>0.25726100000000002</v>
      </c>
      <c r="AA65" s="133">
        <v>0.25269200000000003</v>
      </c>
      <c r="AB65" s="133">
        <v>0.24818499999999999</v>
      </c>
      <c r="AC65" s="133">
        <v>0.24379000000000001</v>
      </c>
      <c r="AD65" s="133">
        <v>0.239424</v>
      </c>
      <c r="AE65" s="133">
        <v>0.23517399999999999</v>
      </c>
      <c r="AF65" s="134">
        <v>-2.1524000000000001E-2</v>
      </c>
      <c r="AG65" s="87"/>
    </row>
    <row r="66" spans="1:33" ht="12" x14ac:dyDescent="0.3"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</row>
    <row r="67" spans="1:33" ht="15" customHeight="1" x14ac:dyDescent="0.3">
      <c r="B67" s="129" t="s">
        <v>88</v>
      </c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7"/>
      <c r="AB67" s="87"/>
      <c r="AC67" s="87"/>
      <c r="AD67" s="87"/>
      <c r="AE67" s="87"/>
      <c r="AF67" s="87"/>
      <c r="AG67" s="87"/>
    </row>
    <row r="68" spans="1:33" ht="15" customHeight="1" x14ac:dyDescent="0.3">
      <c r="A68" s="92" t="s">
        <v>89</v>
      </c>
      <c r="B68" s="130" t="s">
        <v>49</v>
      </c>
      <c r="C68" s="131">
        <v>0.340393</v>
      </c>
      <c r="D68" s="131">
        <v>0.32860299999999998</v>
      </c>
      <c r="E68" s="131">
        <v>0.298348</v>
      </c>
      <c r="F68" s="131">
        <v>0.29450799999999999</v>
      </c>
      <c r="G68" s="131">
        <v>0.29172100000000001</v>
      </c>
      <c r="H68" s="131">
        <v>0.28928799999999999</v>
      </c>
      <c r="I68" s="131">
        <v>0.28668399999999999</v>
      </c>
      <c r="J68" s="131">
        <v>0.283808</v>
      </c>
      <c r="K68" s="131">
        <v>0.28064499999999998</v>
      </c>
      <c r="L68" s="131">
        <v>0.27730500000000002</v>
      </c>
      <c r="M68" s="131">
        <v>0.27384999999999998</v>
      </c>
      <c r="N68" s="131">
        <v>0.27067099999999999</v>
      </c>
      <c r="O68" s="131">
        <v>0.26741599999999999</v>
      </c>
      <c r="P68" s="131">
        <v>0.26435500000000001</v>
      </c>
      <c r="Q68" s="131">
        <v>0.26152700000000001</v>
      </c>
      <c r="R68" s="131">
        <v>0.25891500000000001</v>
      </c>
      <c r="S68" s="131">
        <v>0.25636999999999999</v>
      </c>
      <c r="T68" s="131">
        <v>0.25396800000000003</v>
      </c>
      <c r="U68" s="131">
        <v>0.25170300000000001</v>
      </c>
      <c r="V68" s="131">
        <v>0.24954599999999999</v>
      </c>
      <c r="W68" s="131">
        <v>0.247417</v>
      </c>
      <c r="X68" s="131">
        <v>0.24538499999999999</v>
      </c>
      <c r="Y68" s="131">
        <v>0.24345900000000001</v>
      </c>
      <c r="Z68" s="131">
        <v>0.241594</v>
      </c>
      <c r="AA68" s="131">
        <v>0.239707</v>
      </c>
      <c r="AB68" s="131">
        <v>0.23788400000000001</v>
      </c>
      <c r="AC68" s="131">
        <v>0.23608100000000001</v>
      </c>
      <c r="AD68" s="131">
        <v>0.23432800000000001</v>
      </c>
      <c r="AE68" s="131">
        <v>0.23263400000000001</v>
      </c>
      <c r="AF68" s="132">
        <v>-1.3502E-2</v>
      </c>
      <c r="AG68" s="87"/>
    </row>
    <row r="69" spans="1:33" ht="15" customHeight="1" x14ac:dyDescent="0.3">
      <c r="A69" s="92" t="s">
        <v>90</v>
      </c>
      <c r="B69" s="130" t="s">
        <v>53</v>
      </c>
      <c r="C69" s="131">
        <v>6.0220999999999997E-2</v>
      </c>
      <c r="D69" s="131">
        <v>5.7038999999999999E-2</v>
      </c>
      <c r="E69" s="131">
        <v>5.4758000000000001E-2</v>
      </c>
      <c r="F69" s="131">
        <v>5.3261999999999997E-2</v>
      </c>
      <c r="G69" s="131">
        <v>5.2171000000000002E-2</v>
      </c>
      <c r="H69" s="131">
        <v>5.1295E-2</v>
      </c>
      <c r="I69" s="131">
        <v>5.0535999999999998E-2</v>
      </c>
      <c r="J69" s="131">
        <v>4.9869999999999998E-2</v>
      </c>
      <c r="K69" s="131">
        <v>4.9292999999999997E-2</v>
      </c>
      <c r="L69" s="131">
        <v>4.8556000000000002E-2</v>
      </c>
      <c r="M69" s="131">
        <v>4.7706999999999999E-2</v>
      </c>
      <c r="N69" s="131">
        <v>4.6803999999999998E-2</v>
      </c>
      <c r="O69" s="131">
        <v>4.5865999999999997E-2</v>
      </c>
      <c r="P69" s="131">
        <v>4.4928000000000003E-2</v>
      </c>
      <c r="Q69" s="131">
        <v>4.4021999999999999E-2</v>
      </c>
      <c r="R69" s="131">
        <v>4.3145000000000003E-2</v>
      </c>
      <c r="S69" s="131">
        <v>4.2285999999999997E-2</v>
      </c>
      <c r="T69" s="131">
        <v>4.1473000000000003E-2</v>
      </c>
      <c r="U69" s="131">
        <v>4.0703999999999997E-2</v>
      </c>
      <c r="V69" s="131">
        <v>3.9976999999999999E-2</v>
      </c>
      <c r="W69" s="131">
        <v>3.9300000000000002E-2</v>
      </c>
      <c r="X69" s="131">
        <v>3.8684999999999997E-2</v>
      </c>
      <c r="Y69" s="131">
        <v>3.8130999999999998E-2</v>
      </c>
      <c r="Z69" s="131">
        <v>3.7622999999999997E-2</v>
      </c>
      <c r="AA69" s="131">
        <v>3.7130000000000003E-2</v>
      </c>
      <c r="AB69" s="131">
        <v>3.6677000000000001E-2</v>
      </c>
      <c r="AC69" s="131">
        <v>3.6255999999999997E-2</v>
      </c>
      <c r="AD69" s="131">
        <v>3.5862999999999999E-2</v>
      </c>
      <c r="AE69" s="131">
        <v>3.5496E-2</v>
      </c>
      <c r="AF69" s="132">
        <v>-1.8702E-2</v>
      </c>
      <c r="AG69" s="87"/>
    </row>
    <row r="70" spans="1:33" ht="15" customHeight="1" x14ac:dyDescent="0.3">
      <c r="A70" s="92" t="s">
        <v>91</v>
      </c>
      <c r="B70" s="130" t="s">
        <v>57</v>
      </c>
      <c r="C70" s="131">
        <v>1.6931000000000002E-2</v>
      </c>
      <c r="D70" s="131">
        <v>1.6749E-2</v>
      </c>
      <c r="E70" s="131">
        <v>1.6560999999999999E-2</v>
      </c>
      <c r="F70" s="131">
        <v>1.6368000000000001E-2</v>
      </c>
      <c r="G70" s="131">
        <v>1.6164999999999999E-2</v>
      </c>
      <c r="H70" s="131">
        <v>1.5948E-2</v>
      </c>
      <c r="I70" s="131">
        <v>1.5723000000000001E-2</v>
      </c>
      <c r="J70" s="131">
        <v>1.5488999999999999E-2</v>
      </c>
      <c r="K70" s="131">
        <v>1.5245E-2</v>
      </c>
      <c r="L70" s="131">
        <v>1.4994E-2</v>
      </c>
      <c r="M70" s="131">
        <v>1.4737E-2</v>
      </c>
      <c r="N70" s="131">
        <v>1.4520999999999999E-2</v>
      </c>
      <c r="O70" s="131">
        <v>1.4345E-2</v>
      </c>
      <c r="P70" s="131">
        <v>1.421E-2</v>
      </c>
      <c r="Q70" s="131">
        <v>1.4119E-2</v>
      </c>
      <c r="R70" s="131">
        <v>1.4071E-2</v>
      </c>
      <c r="S70" s="131">
        <v>1.4016000000000001E-2</v>
      </c>
      <c r="T70" s="131">
        <v>1.3956E-2</v>
      </c>
      <c r="U70" s="131">
        <v>1.389E-2</v>
      </c>
      <c r="V70" s="131">
        <v>1.3818E-2</v>
      </c>
      <c r="W70" s="131">
        <v>1.3741E-2</v>
      </c>
      <c r="X70" s="131">
        <v>1.3661E-2</v>
      </c>
      <c r="Y70" s="131">
        <v>1.3580999999999999E-2</v>
      </c>
      <c r="Z70" s="131">
        <v>1.3502E-2</v>
      </c>
      <c r="AA70" s="131">
        <v>1.3427E-2</v>
      </c>
      <c r="AB70" s="131">
        <v>1.3357000000000001E-2</v>
      </c>
      <c r="AC70" s="131">
        <v>1.3292999999999999E-2</v>
      </c>
      <c r="AD70" s="131">
        <v>1.3233E-2</v>
      </c>
      <c r="AE70" s="131">
        <v>1.3174999999999999E-2</v>
      </c>
      <c r="AF70" s="132">
        <v>-8.9169999999999996E-3</v>
      </c>
      <c r="AG70" s="87"/>
    </row>
    <row r="71" spans="1:33" ht="15" customHeight="1" x14ac:dyDescent="0.3">
      <c r="A71" s="92" t="s">
        <v>92</v>
      </c>
      <c r="B71" s="130" t="s">
        <v>2742</v>
      </c>
      <c r="C71" s="131">
        <v>7.3539999999999994E-2</v>
      </c>
      <c r="D71" s="131">
        <v>7.3881000000000002E-2</v>
      </c>
      <c r="E71" s="131">
        <v>7.5037999999999994E-2</v>
      </c>
      <c r="F71" s="131">
        <v>7.6966999999999994E-2</v>
      </c>
      <c r="G71" s="131">
        <v>7.9217999999999997E-2</v>
      </c>
      <c r="H71" s="131">
        <v>8.1564999999999999E-2</v>
      </c>
      <c r="I71" s="131">
        <v>8.3859000000000003E-2</v>
      </c>
      <c r="J71" s="131">
        <v>8.6046999999999998E-2</v>
      </c>
      <c r="K71" s="131">
        <v>8.8106000000000004E-2</v>
      </c>
      <c r="L71" s="131">
        <v>9.0053999999999995E-2</v>
      </c>
      <c r="M71" s="131">
        <v>9.1918E-2</v>
      </c>
      <c r="N71" s="131">
        <v>9.3709000000000001E-2</v>
      </c>
      <c r="O71" s="131">
        <v>9.5459000000000002E-2</v>
      </c>
      <c r="P71" s="131">
        <v>9.7230999999999998E-2</v>
      </c>
      <c r="Q71" s="131">
        <v>9.9066000000000001E-2</v>
      </c>
      <c r="R71" s="131">
        <v>0.10094500000000001</v>
      </c>
      <c r="S71" s="131">
        <v>0.102823</v>
      </c>
      <c r="T71" s="131">
        <v>0.104744</v>
      </c>
      <c r="U71" s="131">
        <v>0.10668800000000001</v>
      </c>
      <c r="V71" s="131">
        <v>0.10864500000000001</v>
      </c>
      <c r="W71" s="131">
        <v>0.110621</v>
      </c>
      <c r="X71" s="131">
        <v>0.112653</v>
      </c>
      <c r="Y71" s="131">
        <v>0.114748</v>
      </c>
      <c r="Z71" s="131">
        <v>0.116869</v>
      </c>
      <c r="AA71" s="131">
        <v>0.118934</v>
      </c>
      <c r="AB71" s="131">
        <v>0.121035</v>
      </c>
      <c r="AC71" s="131">
        <v>0.12316199999999999</v>
      </c>
      <c r="AD71" s="131">
        <v>0.12532199999999999</v>
      </c>
      <c r="AE71" s="131">
        <v>0.12750900000000001</v>
      </c>
      <c r="AF71" s="132">
        <v>1.985E-2</v>
      </c>
      <c r="AG71" s="87"/>
    </row>
    <row r="72" spans="1:33" ht="15" customHeight="1" x14ac:dyDescent="0.3">
      <c r="A72" s="92" t="s">
        <v>93</v>
      </c>
      <c r="B72" s="129" t="s">
        <v>73</v>
      </c>
      <c r="C72" s="133">
        <v>0.49108499999999999</v>
      </c>
      <c r="D72" s="133">
        <v>0.47627199999999997</v>
      </c>
      <c r="E72" s="133">
        <v>0.44470500000000002</v>
      </c>
      <c r="F72" s="133">
        <v>0.44110500000000002</v>
      </c>
      <c r="G72" s="133">
        <v>0.43927500000000003</v>
      </c>
      <c r="H72" s="133">
        <v>0.43809599999999999</v>
      </c>
      <c r="I72" s="133">
        <v>0.43680099999999999</v>
      </c>
      <c r="J72" s="133">
        <v>0.43521399999999999</v>
      </c>
      <c r="K72" s="133">
        <v>0.43328899999999998</v>
      </c>
      <c r="L72" s="133">
        <v>0.43090899999999999</v>
      </c>
      <c r="M72" s="133">
        <v>0.42821300000000001</v>
      </c>
      <c r="N72" s="133">
        <v>0.425705</v>
      </c>
      <c r="O72" s="133">
        <v>0.42308499999999999</v>
      </c>
      <c r="P72" s="133">
        <v>0.42072399999999999</v>
      </c>
      <c r="Q72" s="133">
        <v>0.418734</v>
      </c>
      <c r="R72" s="133">
        <v>0.417076</v>
      </c>
      <c r="S72" s="133">
        <v>0.415495</v>
      </c>
      <c r="T72" s="133">
        <v>0.41414200000000001</v>
      </c>
      <c r="U72" s="133">
        <v>0.41298400000000002</v>
      </c>
      <c r="V72" s="133">
        <v>0.41198600000000002</v>
      </c>
      <c r="W72" s="133">
        <v>0.41108</v>
      </c>
      <c r="X72" s="133">
        <v>0.410385</v>
      </c>
      <c r="Y72" s="133">
        <v>0.40991899999999998</v>
      </c>
      <c r="Z72" s="133">
        <v>0.40958800000000001</v>
      </c>
      <c r="AA72" s="133">
        <v>0.40919800000000001</v>
      </c>
      <c r="AB72" s="133">
        <v>0.40895199999999998</v>
      </c>
      <c r="AC72" s="133">
        <v>0.40879199999999999</v>
      </c>
      <c r="AD72" s="133">
        <v>0.408746</v>
      </c>
      <c r="AE72" s="133">
        <v>0.40881400000000001</v>
      </c>
      <c r="AF72" s="134">
        <v>-6.5269999999999998E-3</v>
      </c>
      <c r="AG72" s="87"/>
    </row>
    <row r="73" spans="1:33" ht="12" x14ac:dyDescent="0.3"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87"/>
      <c r="AF73" s="87"/>
      <c r="AG73" s="87"/>
    </row>
    <row r="74" spans="1:33" ht="15" customHeight="1" x14ac:dyDescent="0.3">
      <c r="A74" s="92" t="s">
        <v>94</v>
      </c>
      <c r="B74" s="130" t="s">
        <v>2743</v>
      </c>
      <c r="C74" s="131">
        <v>0.53893199999999997</v>
      </c>
      <c r="D74" s="131">
        <v>0.57440999999999998</v>
      </c>
      <c r="E74" s="131">
        <v>0.51306799999999997</v>
      </c>
      <c r="F74" s="131">
        <v>0.48986400000000002</v>
      </c>
      <c r="G74" s="131">
        <v>0.47216399999999997</v>
      </c>
      <c r="H74" s="131">
        <v>0.45763999999999999</v>
      </c>
      <c r="I74" s="131">
        <v>0.44519999999999998</v>
      </c>
      <c r="J74" s="131">
        <v>0.435137</v>
      </c>
      <c r="K74" s="131">
        <v>0.42601699999999998</v>
      </c>
      <c r="L74" s="131">
        <v>0.41790899999999997</v>
      </c>
      <c r="M74" s="131">
        <v>0.409804</v>
      </c>
      <c r="N74" s="131">
        <v>0.40263100000000002</v>
      </c>
      <c r="O74" s="131">
        <v>0.39503899999999997</v>
      </c>
      <c r="P74" s="131">
        <v>0.38751400000000003</v>
      </c>
      <c r="Q74" s="131">
        <v>0.37993500000000002</v>
      </c>
      <c r="R74" s="131">
        <v>0.37285699999999999</v>
      </c>
      <c r="S74" s="131">
        <v>0.36608299999999999</v>
      </c>
      <c r="T74" s="131">
        <v>0.35957499999999998</v>
      </c>
      <c r="U74" s="131">
        <v>0.35324100000000003</v>
      </c>
      <c r="V74" s="131">
        <v>0.34762199999999999</v>
      </c>
      <c r="W74" s="131">
        <v>0.34207100000000001</v>
      </c>
      <c r="X74" s="131">
        <v>0.33705400000000002</v>
      </c>
      <c r="Y74" s="131">
        <v>0.332011</v>
      </c>
      <c r="Z74" s="131">
        <v>0.327538</v>
      </c>
      <c r="AA74" s="131">
        <v>0.32387199999999999</v>
      </c>
      <c r="AB74" s="131">
        <v>0.32008300000000001</v>
      </c>
      <c r="AC74" s="131">
        <v>0.31608900000000001</v>
      </c>
      <c r="AD74" s="131">
        <v>0.31211100000000003</v>
      </c>
      <c r="AE74" s="131">
        <v>0.30802400000000002</v>
      </c>
      <c r="AF74" s="132">
        <v>-1.9781E-2</v>
      </c>
      <c r="AG74" s="87"/>
    </row>
    <row r="75" spans="1:33" ht="15" customHeight="1" x14ac:dyDescent="0.3"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7"/>
      <c r="AB75" s="87"/>
      <c r="AC75" s="87"/>
      <c r="AD75" s="87"/>
      <c r="AE75" s="87"/>
      <c r="AF75" s="87"/>
      <c r="AG75" s="87"/>
    </row>
    <row r="76" spans="1:33" ht="15" customHeight="1" x14ac:dyDescent="0.3">
      <c r="B76" s="129" t="s">
        <v>2744</v>
      </c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87"/>
      <c r="AC76" s="87"/>
      <c r="AD76" s="87"/>
      <c r="AE76" s="87"/>
      <c r="AF76" s="87"/>
      <c r="AG76" s="87"/>
    </row>
    <row r="77" spans="1:33" ht="15" customHeight="1" x14ac:dyDescent="0.3">
      <c r="A77" s="92" t="s">
        <v>95</v>
      </c>
      <c r="B77" s="130" t="s">
        <v>96</v>
      </c>
      <c r="C77" s="131">
        <v>5.7437990000000001</v>
      </c>
      <c r="D77" s="131">
        <v>5.8167090000000004</v>
      </c>
      <c r="E77" s="131">
        <v>5.3206829999999998</v>
      </c>
      <c r="F77" s="131">
        <v>5.2993560000000004</v>
      </c>
      <c r="G77" s="131">
        <v>5.2785640000000003</v>
      </c>
      <c r="H77" s="131">
        <v>5.2510760000000003</v>
      </c>
      <c r="I77" s="131">
        <v>5.2174740000000002</v>
      </c>
      <c r="J77" s="131">
        <v>5.1750949999999998</v>
      </c>
      <c r="K77" s="131">
        <v>5.127351</v>
      </c>
      <c r="L77" s="131">
        <v>5.0770179999999998</v>
      </c>
      <c r="M77" s="131">
        <v>5.02658</v>
      </c>
      <c r="N77" s="131">
        <v>4.9858409999999997</v>
      </c>
      <c r="O77" s="131">
        <v>4.9413200000000002</v>
      </c>
      <c r="P77" s="131">
        <v>4.8989659999999997</v>
      </c>
      <c r="Q77" s="131">
        <v>4.8595360000000003</v>
      </c>
      <c r="R77" s="131">
        <v>4.8225550000000004</v>
      </c>
      <c r="S77" s="131">
        <v>4.784821</v>
      </c>
      <c r="T77" s="131">
        <v>4.7496340000000004</v>
      </c>
      <c r="U77" s="131">
        <v>4.7167779999999997</v>
      </c>
      <c r="V77" s="131">
        <v>4.6856280000000003</v>
      </c>
      <c r="W77" s="131">
        <v>4.6557829999999996</v>
      </c>
      <c r="X77" s="131">
        <v>4.628654</v>
      </c>
      <c r="Y77" s="131">
        <v>4.6032520000000003</v>
      </c>
      <c r="Z77" s="131">
        <v>4.5774530000000002</v>
      </c>
      <c r="AA77" s="131">
        <v>4.5492520000000001</v>
      </c>
      <c r="AB77" s="131">
        <v>4.522653</v>
      </c>
      <c r="AC77" s="131">
        <v>4.4976979999999998</v>
      </c>
      <c r="AD77" s="131">
        <v>4.4730980000000002</v>
      </c>
      <c r="AE77" s="131">
        <v>4.4476490000000002</v>
      </c>
      <c r="AF77" s="132">
        <v>-9.0919999999999994E-3</v>
      </c>
      <c r="AG77" s="87"/>
    </row>
    <row r="78" spans="1:33" ht="15" customHeight="1" x14ac:dyDescent="0.3">
      <c r="A78" s="92" t="s">
        <v>97</v>
      </c>
      <c r="B78" s="130" t="s">
        <v>98</v>
      </c>
      <c r="C78" s="131">
        <v>0.91247500000000004</v>
      </c>
      <c r="D78" s="131">
        <v>0.78572200000000003</v>
      </c>
      <c r="E78" s="131">
        <v>0.95037000000000005</v>
      </c>
      <c r="F78" s="131">
        <v>0.97087400000000001</v>
      </c>
      <c r="G78" s="131">
        <v>0.99026800000000004</v>
      </c>
      <c r="H78" s="131">
        <v>1.0103789999999999</v>
      </c>
      <c r="I78" s="131">
        <v>1.029992</v>
      </c>
      <c r="J78" s="131">
        <v>1.048459</v>
      </c>
      <c r="K78" s="131">
        <v>1.0645690000000001</v>
      </c>
      <c r="L78" s="131">
        <v>1.079664</v>
      </c>
      <c r="M78" s="131">
        <v>1.0958680000000001</v>
      </c>
      <c r="N78" s="131">
        <v>1.1120030000000001</v>
      </c>
      <c r="O78" s="131">
        <v>1.1285069999999999</v>
      </c>
      <c r="P78" s="131">
        <v>1.147432</v>
      </c>
      <c r="Q78" s="131">
        <v>1.1682380000000001</v>
      </c>
      <c r="R78" s="131">
        <v>1.1901900000000001</v>
      </c>
      <c r="S78" s="131">
        <v>1.2119450000000001</v>
      </c>
      <c r="T78" s="131">
        <v>1.2341850000000001</v>
      </c>
      <c r="U78" s="131">
        <v>1.2567489999999999</v>
      </c>
      <c r="V78" s="131">
        <v>1.279439</v>
      </c>
      <c r="W78" s="131">
        <v>1.302789</v>
      </c>
      <c r="X78" s="131">
        <v>1.326819</v>
      </c>
      <c r="Y78" s="131">
        <v>1.351826</v>
      </c>
      <c r="Z78" s="131">
        <v>1.3777349999999999</v>
      </c>
      <c r="AA78" s="131">
        <v>1.405762</v>
      </c>
      <c r="AB78" s="131">
        <v>1.434909</v>
      </c>
      <c r="AC78" s="131">
        <v>1.4646790000000001</v>
      </c>
      <c r="AD78" s="131">
        <v>1.494399</v>
      </c>
      <c r="AE78" s="131">
        <v>1.5252699999999999</v>
      </c>
      <c r="AF78" s="132">
        <v>1.8518E-2</v>
      </c>
      <c r="AG78" s="87"/>
    </row>
    <row r="79" spans="1:33" ht="12" x14ac:dyDescent="0.3">
      <c r="A79" s="92" t="s">
        <v>99</v>
      </c>
      <c r="B79" s="130" t="s">
        <v>100</v>
      </c>
      <c r="C79" s="131">
        <v>1.6860470000000001</v>
      </c>
      <c r="D79" s="131">
        <v>1.6764079999999999</v>
      </c>
      <c r="E79" s="131">
        <v>1.681888</v>
      </c>
      <c r="F79" s="131">
        <v>1.6958260000000001</v>
      </c>
      <c r="G79" s="131">
        <v>1.710388</v>
      </c>
      <c r="H79" s="131">
        <v>1.7242150000000001</v>
      </c>
      <c r="I79" s="131">
        <v>1.737117</v>
      </c>
      <c r="J79" s="131">
        <v>1.746907</v>
      </c>
      <c r="K79" s="131">
        <v>1.75451</v>
      </c>
      <c r="L79" s="131">
        <v>1.759377</v>
      </c>
      <c r="M79" s="131">
        <v>1.763657</v>
      </c>
      <c r="N79" s="131">
        <v>1.7701150000000001</v>
      </c>
      <c r="O79" s="131">
        <v>1.776848</v>
      </c>
      <c r="P79" s="131">
        <v>1.7859210000000001</v>
      </c>
      <c r="Q79" s="131">
        <v>1.7956160000000001</v>
      </c>
      <c r="R79" s="131">
        <v>1.8048709999999999</v>
      </c>
      <c r="S79" s="131">
        <v>1.8128249999999999</v>
      </c>
      <c r="T79" s="131">
        <v>1.820973</v>
      </c>
      <c r="U79" s="131">
        <v>1.8290569999999999</v>
      </c>
      <c r="V79" s="131">
        <v>1.8370709999999999</v>
      </c>
      <c r="W79" s="131">
        <v>1.8455630000000001</v>
      </c>
      <c r="X79" s="131">
        <v>1.8550660000000001</v>
      </c>
      <c r="Y79" s="131">
        <v>1.865388</v>
      </c>
      <c r="Z79" s="131">
        <v>1.8753299999999999</v>
      </c>
      <c r="AA79" s="131">
        <v>1.8827719999999999</v>
      </c>
      <c r="AB79" s="131">
        <v>1.891669</v>
      </c>
      <c r="AC79" s="131">
        <v>1.9022250000000001</v>
      </c>
      <c r="AD79" s="131">
        <v>1.9136150000000001</v>
      </c>
      <c r="AE79" s="131">
        <v>1.9250860000000001</v>
      </c>
      <c r="AF79" s="132">
        <v>4.7460000000000002E-3</v>
      </c>
      <c r="AG79" s="87"/>
    </row>
    <row r="80" spans="1:33" ht="15" customHeight="1" x14ac:dyDescent="0.3">
      <c r="A80" s="92" t="s">
        <v>101</v>
      </c>
      <c r="B80" s="130" t="s">
        <v>102</v>
      </c>
      <c r="C80" s="131">
        <v>0.29555799999999999</v>
      </c>
      <c r="D80" s="131">
        <v>0.293987</v>
      </c>
      <c r="E80" s="131">
        <v>0.29266799999999998</v>
      </c>
      <c r="F80" s="131">
        <v>0.29163</v>
      </c>
      <c r="G80" s="131">
        <v>0.29078300000000001</v>
      </c>
      <c r="H80" s="131">
        <v>0.29015800000000003</v>
      </c>
      <c r="I80" s="131">
        <v>0.28977799999999998</v>
      </c>
      <c r="J80" s="131">
        <v>0.28961500000000001</v>
      </c>
      <c r="K80" s="131">
        <v>0.289659</v>
      </c>
      <c r="L80" s="131">
        <v>0.28998600000000002</v>
      </c>
      <c r="M80" s="131">
        <v>0.29063</v>
      </c>
      <c r="N80" s="131">
        <v>0.29157</v>
      </c>
      <c r="O80" s="131">
        <v>0.29279500000000003</v>
      </c>
      <c r="P80" s="131">
        <v>0.29434300000000002</v>
      </c>
      <c r="Q80" s="131">
        <v>0.29624200000000001</v>
      </c>
      <c r="R80" s="131">
        <v>0.29844700000000002</v>
      </c>
      <c r="S80" s="131">
        <v>0.30096000000000001</v>
      </c>
      <c r="T80" s="131">
        <v>0.30374499999999999</v>
      </c>
      <c r="U80" s="131">
        <v>0.30684800000000001</v>
      </c>
      <c r="V80" s="131">
        <v>0.310249</v>
      </c>
      <c r="W80" s="131">
        <v>0.313888</v>
      </c>
      <c r="X80" s="131">
        <v>0.31748199999999999</v>
      </c>
      <c r="Y80" s="131">
        <v>0.32102399999999998</v>
      </c>
      <c r="Z80" s="131">
        <v>0.32450699999999999</v>
      </c>
      <c r="AA80" s="131">
        <v>0.32791500000000001</v>
      </c>
      <c r="AB80" s="131">
        <v>0.33124999999999999</v>
      </c>
      <c r="AC80" s="131">
        <v>0.33449600000000002</v>
      </c>
      <c r="AD80" s="131">
        <v>0.33764499999999997</v>
      </c>
      <c r="AE80" s="131">
        <v>0.340702</v>
      </c>
      <c r="AF80" s="132">
        <v>5.0899999999999999E-3</v>
      </c>
      <c r="AG80" s="87"/>
    </row>
    <row r="81" spans="1:33" ht="12" x14ac:dyDescent="0.3">
      <c r="A81" s="92" t="s">
        <v>103</v>
      </c>
      <c r="B81" s="130" t="s">
        <v>104</v>
      </c>
      <c r="C81" s="131">
        <v>0.17633199999999999</v>
      </c>
      <c r="D81" s="131">
        <v>0.176672</v>
      </c>
      <c r="E81" s="131">
        <v>0.17702799999999999</v>
      </c>
      <c r="F81" s="131">
        <v>0.17741699999999999</v>
      </c>
      <c r="G81" s="131">
        <v>0.177783</v>
      </c>
      <c r="H81" s="131">
        <v>0.17812800000000001</v>
      </c>
      <c r="I81" s="131">
        <v>0.17849000000000001</v>
      </c>
      <c r="J81" s="131">
        <v>0.178893</v>
      </c>
      <c r="K81" s="131">
        <v>0.179315</v>
      </c>
      <c r="L81" s="131">
        <v>0.17977399999999999</v>
      </c>
      <c r="M81" s="131">
        <v>0.18029100000000001</v>
      </c>
      <c r="N81" s="131">
        <v>0.18095600000000001</v>
      </c>
      <c r="O81" s="131">
        <v>0.181724</v>
      </c>
      <c r="P81" s="131">
        <v>0.182619</v>
      </c>
      <c r="Q81" s="131">
        <v>0.18365200000000001</v>
      </c>
      <c r="R81" s="131">
        <v>0.18481</v>
      </c>
      <c r="S81" s="131">
        <v>0.185975</v>
      </c>
      <c r="T81" s="131">
        <v>0.187144</v>
      </c>
      <c r="U81" s="131">
        <v>0.188336</v>
      </c>
      <c r="V81" s="131">
        <v>0.18954399999999999</v>
      </c>
      <c r="W81" s="131">
        <v>0.190752</v>
      </c>
      <c r="X81" s="131">
        <v>0.191971</v>
      </c>
      <c r="Y81" s="131">
        <v>0.19320100000000001</v>
      </c>
      <c r="Z81" s="131">
        <v>0.194441</v>
      </c>
      <c r="AA81" s="131">
        <v>0.19568199999999999</v>
      </c>
      <c r="AB81" s="131">
        <v>0.19692699999999999</v>
      </c>
      <c r="AC81" s="131">
        <v>0.19816400000000001</v>
      </c>
      <c r="AD81" s="131">
        <v>0.19938400000000001</v>
      </c>
      <c r="AE81" s="131">
        <v>0.20058400000000001</v>
      </c>
      <c r="AF81" s="132">
        <v>4.6129999999999999E-3</v>
      </c>
      <c r="AG81" s="87"/>
    </row>
    <row r="82" spans="1:33" ht="15" customHeight="1" x14ac:dyDescent="0.3">
      <c r="A82" s="92" t="s">
        <v>105</v>
      </c>
      <c r="B82" s="130" t="s">
        <v>106</v>
      </c>
      <c r="C82" s="131">
        <v>0.262179</v>
      </c>
      <c r="D82" s="131">
        <v>0.26705499999999999</v>
      </c>
      <c r="E82" s="131">
        <v>0.27271800000000002</v>
      </c>
      <c r="F82" s="131">
        <v>0.27916600000000003</v>
      </c>
      <c r="G82" s="131">
        <v>0.28541299999999997</v>
      </c>
      <c r="H82" s="131">
        <v>0.29130800000000001</v>
      </c>
      <c r="I82" s="131">
        <v>0.29685299999999998</v>
      </c>
      <c r="J82" s="131">
        <v>0.30188700000000002</v>
      </c>
      <c r="K82" s="131">
        <v>0.306369</v>
      </c>
      <c r="L82" s="131">
        <v>0.31048399999999998</v>
      </c>
      <c r="M82" s="131">
        <v>0.314552</v>
      </c>
      <c r="N82" s="131">
        <v>0.31818200000000002</v>
      </c>
      <c r="O82" s="131">
        <v>0.32178600000000002</v>
      </c>
      <c r="P82" s="131">
        <v>0.32580300000000001</v>
      </c>
      <c r="Q82" s="131">
        <v>0.330063</v>
      </c>
      <c r="R82" s="131">
        <v>0.33418500000000001</v>
      </c>
      <c r="S82" s="131">
        <v>0.33801199999999998</v>
      </c>
      <c r="T82" s="131">
        <v>0.34182899999999999</v>
      </c>
      <c r="U82" s="131">
        <v>0.34568100000000002</v>
      </c>
      <c r="V82" s="131">
        <v>0.349609</v>
      </c>
      <c r="W82" s="131">
        <v>0.353661</v>
      </c>
      <c r="X82" s="131">
        <v>0.35787099999999999</v>
      </c>
      <c r="Y82" s="131">
        <v>0.362147</v>
      </c>
      <c r="Z82" s="131">
        <v>0.36639100000000002</v>
      </c>
      <c r="AA82" s="131">
        <v>0.37062499999999998</v>
      </c>
      <c r="AB82" s="131">
        <v>0.37506099999999998</v>
      </c>
      <c r="AC82" s="131">
        <v>0.379581</v>
      </c>
      <c r="AD82" s="131">
        <v>0.38419700000000001</v>
      </c>
      <c r="AE82" s="131">
        <v>0.38902799999999998</v>
      </c>
      <c r="AF82" s="132">
        <v>1.4194E-2</v>
      </c>
      <c r="AG82" s="87"/>
    </row>
    <row r="83" spans="1:33" ht="15" customHeight="1" x14ac:dyDescent="0.3">
      <c r="A83" s="92" t="s">
        <v>107</v>
      </c>
      <c r="B83" s="130" t="s">
        <v>108</v>
      </c>
      <c r="C83" s="131">
        <v>6.9006999999999999E-2</v>
      </c>
      <c r="D83" s="131">
        <v>6.8849999999999995E-2</v>
      </c>
      <c r="E83" s="131">
        <v>6.8686999999999998E-2</v>
      </c>
      <c r="F83" s="131">
        <v>6.8515999999999994E-2</v>
      </c>
      <c r="G83" s="131">
        <v>6.8318000000000004E-2</v>
      </c>
      <c r="H83" s="131">
        <v>6.8104999999999999E-2</v>
      </c>
      <c r="I83" s="131">
        <v>6.7921999999999996E-2</v>
      </c>
      <c r="J83" s="131">
        <v>6.7761000000000002E-2</v>
      </c>
      <c r="K83" s="131">
        <v>6.7614999999999995E-2</v>
      </c>
      <c r="L83" s="131">
        <v>6.7486000000000004E-2</v>
      </c>
      <c r="M83" s="131">
        <v>6.7377000000000006E-2</v>
      </c>
      <c r="N83" s="131">
        <v>6.7287E-2</v>
      </c>
      <c r="O83" s="131">
        <v>6.7215999999999998E-2</v>
      </c>
      <c r="P83" s="131">
        <v>6.7169000000000006E-2</v>
      </c>
      <c r="Q83" s="131">
        <v>6.7158999999999996E-2</v>
      </c>
      <c r="R83" s="131">
        <v>6.7178000000000002E-2</v>
      </c>
      <c r="S83" s="131">
        <v>6.7228999999999997E-2</v>
      </c>
      <c r="T83" s="131">
        <v>6.7310999999999996E-2</v>
      </c>
      <c r="U83" s="131">
        <v>6.7431000000000005E-2</v>
      </c>
      <c r="V83" s="131">
        <v>6.7596000000000003E-2</v>
      </c>
      <c r="W83" s="131">
        <v>6.7793999999999993E-2</v>
      </c>
      <c r="X83" s="131">
        <v>6.8035999999999999E-2</v>
      </c>
      <c r="Y83" s="131">
        <v>6.8325999999999998E-2</v>
      </c>
      <c r="Z83" s="131">
        <v>6.8666000000000005E-2</v>
      </c>
      <c r="AA83" s="131">
        <v>6.9053000000000003E-2</v>
      </c>
      <c r="AB83" s="131">
        <v>6.9481000000000001E-2</v>
      </c>
      <c r="AC83" s="131">
        <v>6.9903999999999994E-2</v>
      </c>
      <c r="AD83" s="131">
        <v>7.0319000000000007E-2</v>
      </c>
      <c r="AE83" s="131">
        <v>7.0729E-2</v>
      </c>
      <c r="AF83" s="132">
        <v>8.8099999999999995E-4</v>
      </c>
      <c r="AG83" s="87"/>
    </row>
    <row r="84" spans="1:33" ht="15" customHeight="1" x14ac:dyDescent="0.3">
      <c r="A84" s="92" t="s">
        <v>109</v>
      </c>
      <c r="B84" s="130" t="s">
        <v>110</v>
      </c>
      <c r="C84" s="131">
        <v>0.22927</v>
      </c>
      <c r="D84" s="131">
        <v>0.21315999999999999</v>
      </c>
      <c r="E84" s="131">
        <v>0.20679400000000001</v>
      </c>
      <c r="F84" s="131">
        <v>0.20512900000000001</v>
      </c>
      <c r="G84" s="131">
        <v>0.20519999999999999</v>
      </c>
      <c r="H84" s="131">
        <v>0.206404</v>
      </c>
      <c r="I84" s="131">
        <v>0.20832999999999999</v>
      </c>
      <c r="J84" s="131">
        <v>0.210226</v>
      </c>
      <c r="K84" s="131">
        <v>0.209704</v>
      </c>
      <c r="L84" s="131">
        <v>0.20916399999999999</v>
      </c>
      <c r="M84" s="131">
        <v>0.20885500000000001</v>
      </c>
      <c r="N84" s="131">
        <v>0.208568</v>
      </c>
      <c r="O84" s="131">
        <v>0.208536</v>
      </c>
      <c r="P84" s="131">
        <v>0.20901600000000001</v>
      </c>
      <c r="Q84" s="131">
        <v>0.20962700000000001</v>
      </c>
      <c r="R84" s="131">
        <v>0.210178</v>
      </c>
      <c r="S84" s="131">
        <v>0.210558</v>
      </c>
      <c r="T84" s="131">
        <v>0.210954</v>
      </c>
      <c r="U84" s="131">
        <v>0.207703</v>
      </c>
      <c r="V84" s="131">
        <v>0.205012</v>
      </c>
      <c r="W84" s="131">
        <v>0.20291100000000001</v>
      </c>
      <c r="X84" s="131">
        <v>0.20146700000000001</v>
      </c>
      <c r="Y84" s="131">
        <v>0.200848</v>
      </c>
      <c r="Z84" s="131">
        <v>0.20064000000000001</v>
      </c>
      <c r="AA84" s="131">
        <v>0.20059199999999999</v>
      </c>
      <c r="AB84" s="131">
        <v>0.20072999999999999</v>
      </c>
      <c r="AC84" s="131">
        <v>0.200991</v>
      </c>
      <c r="AD84" s="131">
        <v>0.20142299999999999</v>
      </c>
      <c r="AE84" s="131">
        <v>0.20205600000000001</v>
      </c>
      <c r="AF84" s="132">
        <v>-4.5030000000000001E-3</v>
      </c>
      <c r="AG84" s="87"/>
    </row>
    <row r="85" spans="1:33" ht="15" customHeight="1" x14ac:dyDescent="0.3">
      <c r="A85" s="92" t="s">
        <v>111</v>
      </c>
      <c r="B85" s="130" t="s">
        <v>2745</v>
      </c>
      <c r="C85" s="131">
        <v>3.7489000000000001E-2</v>
      </c>
      <c r="D85" s="131">
        <v>3.7812999999999999E-2</v>
      </c>
      <c r="E85" s="131">
        <v>3.8143999999999997E-2</v>
      </c>
      <c r="F85" s="131">
        <v>3.8485999999999999E-2</v>
      </c>
      <c r="G85" s="131">
        <v>3.8827E-2</v>
      </c>
      <c r="H85" s="131">
        <v>3.9168000000000001E-2</v>
      </c>
      <c r="I85" s="131">
        <v>3.9518999999999999E-2</v>
      </c>
      <c r="J85" s="131">
        <v>3.9875000000000001E-2</v>
      </c>
      <c r="K85" s="131">
        <v>4.0245999999999997E-2</v>
      </c>
      <c r="L85" s="131">
        <v>4.0617E-2</v>
      </c>
      <c r="M85" s="131">
        <v>4.0992000000000001E-2</v>
      </c>
      <c r="N85" s="131">
        <v>4.1364999999999999E-2</v>
      </c>
      <c r="O85" s="131">
        <v>4.1732999999999999E-2</v>
      </c>
      <c r="P85" s="131">
        <v>4.2098999999999998E-2</v>
      </c>
      <c r="Q85" s="131">
        <v>4.2465000000000003E-2</v>
      </c>
      <c r="R85" s="131">
        <v>4.2827999999999998E-2</v>
      </c>
      <c r="S85" s="131">
        <v>4.3187000000000003E-2</v>
      </c>
      <c r="T85" s="131">
        <v>4.3541999999999997E-2</v>
      </c>
      <c r="U85" s="131">
        <v>4.3898E-2</v>
      </c>
      <c r="V85" s="131">
        <v>4.4252E-2</v>
      </c>
      <c r="W85" s="131">
        <v>4.4599E-2</v>
      </c>
      <c r="X85" s="131">
        <v>4.4942000000000003E-2</v>
      </c>
      <c r="Y85" s="131">
        <v>4.5282000000000003E-2</v>
      </c>
      <c r="Z85" s="131">
        <v>4.5619E-2</v>
      </c>
      <c r="AA85" s="131">
        <v>4.5952E-2</v>
      </c>
      <c r="AB85" s="131">
        <v>4.6282999999999998E-2</v>
      </c>
      <c r="AC85" s="131">
        <v>4.6611E-2</v>
      </c>
      <c r="AD85" s="131">
        <v>4.6935999999999999E-2</v>
      </c>
      <c r="AE85" s="131">
        <v>4.7258000000000001E-2</v>
      </c>
      <c r="AF85" s="132">
        <v>8.3049999999999999E-3</v>
      </c>
      <c r="AG85" s="87"/>
    </row>
    <row r="86" spans="1:33" ht="15" customHeight="1" x14ac:dyDescent="0.3">
      <c r="A86" s="92" t="s">
        <v>112</v>
      </c>
      <c r="B86" s="130" t="s">
        <v>2746</v>
      </c>
      <c r="C86" s="131">
        <v>2.7618E-2</v>
      </c>
      <c r="D86" s="131">
        <v>2.8063999999999999E-2</v>
      </c>
      <c r="E86" s="131">
        <v>2.8506E-2</v>
      </c>
      <c r="F86" s="131">
        <v>2.8944999999999999E-2</v>
      </c>
      <c r="G86" s="131">
        <v>2.937E-2</v>
      </c>
      <c r="H86" s="131">
        <v>2.9781999999999999E-2</v>
      </c>
      <c r="I86" s="131">
        <v>3.0232999999999999E-2</v>
      </c>
      <c r="J86" s="131">
        <v>3.0721999999999999E-2</v>
      </c>
      <c r="K86" s="131">
        <v>3.1241999999999999E-2</v>
      </c>
      <c r="L86" s="131">
        <v>3.1796999999999999E-2</v>
      </c>
      <c r="M86" s="131">
        <v>3.2391999999999997E-2</v>
      </c>
      <c r="N86" s="131">
        <v>3.3027000000000001E-2</v>
      </c>
      <c r="O86" s="131">
        <v>3.3702000000000003E-2</v>
      </c>
      <c r="P86" s="131">
        <v>3.4373000000000001E-2</v>
      </c>
      <c r="Q86" s="131">
        <v>3.5042999999999998E-2</v>
      </c>
      <c r="R86" s="131">
        <v>3.5709999999999999E-2</v>
      </c>
      <c r="S86" s="131">
        <v>3.6374999999999998E-2</v>
      </c>
      <c r="T86" s="131">
        <v>3.7035999999999999E-2</v>
      </c>
      <c r="U86" s="131">
        <v>3.7698000000000002E-2</v>
      </c>
      <c r="V86" s="131">
        <v>3.8358999999999997E-2</v>
      </c>
      <c r="W86" s="131">
        <v>3.9015000000000001E-2</v>
      </c>
      <c r="X86" s="131">
        <v>3.9667000000000001E-2</v>
      </c>
      <c r="Y86" s="131">
        <v>4.0315999999999998E-2</v>
      </c>
      <c r="Z86" s="131">
        <v>4.0961999999999998E-2</v>
      </c>
      <c r="AA86" s="131">
        <v>4.1605000000000003E-2</v>
      </c>
      <c r="AB86" s="131">
        <v>4.2244999999999998E-2</v>
      </c>
      <c r="AC86" s="131">
        <v>4.2882000000000003E-2</v>
      </c>
      <c r="AD86" s="131">
        <v>4.3513999999999997E-2</v>
      </c>
      <c r="AE86" s="131">
        <v>4.4143000000000002E-2</v>
      </c>
      <c r="AF86" s="132">
        <v>1.6889999999999999E-2</v>
      </c>
      <c r="AG86" s="87"/>
    </row>
    <row r="87" spans="1:33" ht="15" customHeight="1" x14ac:dyDescent="0.3">
      <c r="A87" s="92" t="s">
        <v>113</v>
      </c>
      <c r="B87" s="130" t="s">
        <v>2747</v>
      </c>
      <c r="C87" s="131">
        <v>0.18509200000000001</v>
      </c>
      <c r="D87" s="131">
        <v>0.181559</v>
      </c>
      <c r="E87" s="131">
        <v>0.178365</v>
      </c>
      <c r="F87" s="131">
        <v>0.17569199999999999</v>
      </c>
      <c r="G87" s="131">
        <v>0.17295099999999999</v>
      </c>
      <c r="H87" s="131">
        <v>0.17014299999999999</v>
      </c>
      <c r="I87" s="131">
        <v>0.16719800000000001</v>
      </c>
      <c r="J87" s="131">
        <v>0.16413900000000001</v>
      </c>
      <c r="K87" s="131">
        <v>0.16098699999999999</v>
      </c>
      <c r="L87" s="131">
        <v>0.15786700000000001</v>
      </c>
      <c r="M87" s="131">
        <v>0.154866</v>
      </c>
      <c r="N87" s="131">
        <v>0.151867</v>
      </c>
      <c r="O87" s="131">
        <v>0.14899799999999999</v>
      </c>
      <c r="P87" s="131">
        <v>0.14658499999999999</v>
      </c>
      <c r="Q87" s="131">
        <v>0.14447299999999999</v>
      </c>
      <c r="R87" s="131">
        <v>0.142566</v>
      </c>
      <c r="S87" s="131">
        <v>0.14076</v>
      </c>
      <c r="T87" s="131">
        <v>0.13918900000000001</v>
      </c>
      <c r="U87" s="131">
        <v>0.13791</v>
      </c>
      <c r="V87" s="131">
        <v>0.136911</v>
      </c>
      <c r="W87" s="131">
        <v>0.13620699999999999</v>
      </c>
      <c r="X87" s="131">
        <v>0.13575499999999999</v>
      </c>
      <c r="Y87" s="131">
        <v>0.13553699999999999</v>
      </c>
      <c r="Z87" s="131">
        <v>0.13555200000000001</v>
      </c>
      <c r="AA87" s="131">
        <v>0.13580200000000001</v>
      </c>
      <c r="AB87" s="131">
        <v>0.136265</v>
      </c>
      <c r="AC87" s="131">
        <v>0.13685</v>
      </c>
      <c r="AD87" s="131">
        <v>0.13759299999999999</v>
      </c>
      <c r="AE87" s="131">
        <v>0.13852700000000001</v>
      </c>
      <c r="AF87" s="132">
        <v>-1.0296E-2</v>
      </c>
      <c r="AG87" s="87"/>
    </row>
    <row r="88" spans="1:33" ht="15" customHeight="1" x14ac:dyDescent="0.3">
      <c r="A88" s="92" t="s">
        <v>114</v>
      </c>
      <c r="B88" s="130" t="s">
        <v>2748</v>
      </c>
      <c r="C88" s="131">
        <v>0.120106</v>
      </c>
      <c r="D88" s="131">
        <v>0.118562</v>
      </c>
      <c r="E88" s="131">
        <v>0.11693099999999999</v>
      </c>
      <c r="F88" s="131">
        <v>0.11536299999999999</v>
      </c>
      <c r="G88" s="131">
        <v>0.113493</v>
      </c>
      <c r="H88" s="131">
        <v>0.111328</v>
      </c>
      <c r="I88" s="131">
        <v>0.108857</v>
      </c>
      <c r="J88" s="131">
        <v>0.106117</v>
      </c>
      <c r="K88" s="131">
        <v>0.103168</v>
      </c>
      <c r="L88" s="131">
        <v>0.100088</v>
      </c>
      <c r="M88" s="131">
        <v>9.6979999999999997E-2</v>
      </c>
      <c r="N88" s="131">
        <v>9.3785999999999994E-2</v>
      </c>
      <c r="O88" s="131">
        <v>9.0609999999999996E-2</v>
      </c>
      <c r="P88" s="131">
        <v>8.7647000000000003E-2</v>
      </c>
      <c r="Q88" s="131">
        <v>8.4848000000000007E-2</v>
      </c>
      <c r="R88" s="131">
        <v>8.2132999999999998E-2</v>
      </c>
      <c r="S88" s="131">
        <v>7.9492999999999994E-2</v>
      </c>
      <c r="T88" s="131">
        <v>7.7007999999999993E-2</v>
      </c>
      <c r="U88" s="131">
        <v>7.4726000000000001E-2</v>
      </c>
      <c r="V88" s="131">
        <v>7.2651999999999994E-2</v>
      </c>
      <c r="W88" s="131">
        <v>7.0824999999999999E-2</v>
      </c>
      <c r="X88" s="131">
        <v>6.9226999999999997E-2</v>
      </c>
      <c r="Y88" s="131">
        <v>6.7875000000000005E-2</v>
      </c>
      <c r="Z88" s="131">
        <v>6.6753000000000007E-2</v>
      </c>
      <c r="AA88" s="131">
        <v>6.5956000000000001E-2</v>
      </c>
      <c r="AB88" s="131">
        <v>6.5417000000000003E-2</v>
      </c>
      <c r="AC88" s="131">
        <v>6.5087000000000006E-2</v>
      </c>
      <c r="AD88" s="131">
        <v>6.4992999999999995E-2</v>
      </c>
      <c r="AE88" s="131">
        <v>6.5106999999999998E-2</v>
      </c>
      <c r="AF88" s="132">
        <v>-2.1631999999999998E-2</v>
      </c>
      <c r="AG88" s="87"/>
    </row>
    <row r="89" spans="1:33" ht="15" customHeight="1" x14ac:dyDescent="0.3">
      <c r="A89" s="92" t="s">
        <v>115</v>
      </c>
      <c r="B89" s="130" t="s">
        <v>116</v>
      </c>
      <c r="C89" s="131">
        <v>8.9175000000000004E-2</v>
      </c>
      <c r="D89" s="131">
        <v>8.8249999999999995E-2</v>
      </c>
      <c r="E89" s="131">
        <v>7.9128000000000004E-2</v>
      </c>
      <c r="F89" s="131">
        <v>8.0093999999999999E-2</v>
      </c>
      <c r="G89" s="131">
        <v>8.0979999999999996E-2</v>
      </c>
      <c r="H89" s="131">
        <v>8.1729999999999997E-2</v>
      </c>
      <c r="I89" s="131">
        <v>8.2280000000000006E-2</v>
      </c>
      <c r="J89" s="131">
        <v>8.2540000000000002E-2</v>
      </c>
      <c r="K89" s="131">
        <v>8.2561999999999997E-2</v>
      </c>
      <c r="L89" s="131">
        <v>8.2343E-2</v>
      </c>
      <c r="M89" s="131">
        <v>8.1923999999999997E-2</v>
      </c>
      <c r="N89" s="131">
        <v>8.1309000000000006E-2</v>
      </c>
      <c r="O89" s="131">
        <v>8.0431000000000002E-2</v>
      </c>
      <c r="P89" s="131">
        <v>7.9390000000000002E-2</v>
      </c>
      <c r="Q89" s="131">
        <v>7.8254000000000004E-2</v>
      </c>
      <c r="R89" s="131">
        <v>7.7045000000000002E-2</v>
      </c>
      <c r="S89" s="131">
        <v>7.5693999999999997E-2</v>
      </c>
      <c r="T89" s="131">
        <v>7.4348999999999998E-2</v>
      </c>
      <c r="U89" s="131">
        <v>7.3050000000000004E-2</v>
      </c>
      <c r="V89" s="131">
        <v>7.1817000000000006E-2</v>
      </c>
      <c r="W89" s="131">
        <v>7.0639999999999994E-2</v>
      </c>
      <c r="X89" s="131">
        <v>6.9587999999999997E-2</v>
      </c>
      <c r="Y89" s="131">
        <v>6.8662000000000001E-2</v>
      </c>
      <c r="Z89" s="131">
        <v>6.7822999999999994E-2</v>
      </c>
      <c r="AA89" s="131">
        <v>6.7005999999999996E-2</v>
      </c>
      <c r="AB89" s="131">
        <v>6.6321000000000005E-2</v>
      </c>
      <c r="AC89" s="131">
        <v>6.5775E-2</v>
      </c>
      <c r="AD89" s="131">
        <v>6.5343999999999999E-2</v>
      </c>
      <c r="AE89" s="131">
        <v>6.4996999999999999E-2</v>
      </c>
      <c r="AF89" s="132">
        <v>-1.1231E-2</v>
      </c>
      <c r="AG89" s="87"/>
    </row>
    <row r="90" spans="1:33" ht="15" customHeight="1" x14ac:dyDescent="0.3">
      <c r="A90" s="92" t="s">
        <v>117</v>
      </c>
      <c r="B90" s="130" t="s">
        <v>2749</v>
      </c>
      <c r="C90" s="131">
        <v>2.037398</v>
      </c>
      <c r="D90" s="131">
        <v>2.0856680000000001</v>
      </c>
      <c r="E90" s="131">
        <v>2.1141719999999999</v>
      </c>
      <c r="F90" s="131">
        <v>2.15381</v>
      </c>
      <c r="G90" s="131">
        <v>2.1936559999999998</v>
      </c>
      <c r="H90" s="131">
        <v>2.237911</v>
      </c>
      <c r="I90" s="131">
        <v>2.2765520000000001</v>
      </c>
      <c r="J90" s="131">
        <v>2.3100990000000001</v>
      </c>
      <c r="K90" s="131">
        <v>2.3426849999999999</v>
      </c>
      <c r="L90" s="131">
        <v>2.3747950000000002</v>
      </c>
      <c r="M90" s="131">
        <v>2.4072800000000001</v>
      </c>
      <c r="N90" s="131">
        <v>2.4395030000000002</v>
      </c>
      <c r="O90" s="131">
        <v>2.4693230000000002</v>
      </c>
      <c r="P90" s="131">
        <v>2.5029680000000001</v>
      </c>
      <c r="Q90" s="131">
        <v>2.5391620000000001</v>
      </c>
      <c r="R90" s="131">
        <v>2.5777019999999999</v>
      </c>
      <c r="S90" s="131">
        <v>2.614976</v>
      </c>
      <c r="T90" s="131">
        <v>2.6532680000000002</v>
      </c>
      <c r="U90" s="131">
        <v>2.693851</v>
      </c>
      <c r="V90" s="131">
        <v>2.7352759999999998</v>
      </c>
      <c r="W90" s="131">
        <v>2.7794129999999999</v>
      </c>
      <c r="X90" s="131">
        <v>2.825256</v>
      </c>
      <c r="Y90" s="131">
        <v>2.8728530000000001</v>
      </c>
      <c r="Z90" s="131">
        <v>2.9220899999999999</v>
      </c>
      <c r="AA90" s="131">
        <v>2.9724970000000002</v>
      </c>
      <c r="AB90" s="131">
        <v>3.0254470000000002</v>
      </c>
      <c r="AC90" s="131">
        <v>3.079815</v>
      </c>
      <c r="AD90" s="131">
        <v>3.1361910000000002</v>
      </c>
      <c r="AE90" s="131">
        <v>3.196599</v>
      </c>
      <c r="AF90" s="132">
        <v>1.6216000000000001E-2</v>
      </c>
      <c r="AG90" s="87"/>
    </row>
    <row r="91" spans="1:33" ht="15" customHeight="1" x14ac:dyDescent="0.3">
      <c r="A91" s="92" t="s">
        <v>2750</v>
      </c>
      <c r="B91" s="129" t="s">
        <v>2751</v>
      </c>
      <c r="C91" s="133">
        <v>11.871544999999999</v>
      </c>
      <c r="D91" s="133">
        <v>11.838481</v>
      </c>
      <c r="E91" s="133">
        <v>11.526081</v>
      </c>
      <c r="F91" s="133">
        <v>11.580304999999999</v>
      </c>
      <c r="G91" s="133">
        <v>11.635992999999999</v>
      </c>
      <c r="H91" s="133">
        <v>11.689837000000001</v>
      </c>
      <c r="I91" s="133">
        <v>11.730596</v>
      </c>
      <c r="J91" s="133">
        <v>11.752335</v>
      </c>
      <c r="K91" s="133">
        <v>11.759981</v>
      </c>
      <c r="L91" s="133">
        <v>11.76046</v>
      </c>
      <c r="M91" s="133">
        <v>11.762243</v>
      </c>
      <c r="N91" s="133">
        <v>11.775377000000001</v>
      </c>
      <c r="O91" s="133">
        <v>11.783529</v>
      </c>
      <c r="P91" s="133">
        <v>11.804330999999999</v>
      </c>
      <c r="Q91" s="133">
        <v>11.834376000000001</v>
      </c>
      <c r="R91" s="133">
        <v>11.870398</v>
      </c>
      <c r="S91" s="133">
        <v>11.902811</v>
      </c>
      <c r="T91" s="133">
        <v>11.940166</v>
      </c>
      <c r="U91" s="133">
        <v>11.979717000000001</v>
      </c>
      <c r="V91" s="133">
        <v>12.023415</v>
      </c>
      <c r="W91" s="133">
        <v>12.073841</v>
      </c>
      <c r="X91" s="133">
        <v>12.131802</v>
      </c>
      <c r="Y91" s="133">
        <v>12.196539</v>
      </c>
      <c r="Z91" s="133">
        <v>12.263961999999999</v>
      </c>
      <c r="AA91" s="133">
        <v>12.330469000000001</v>
      </c>
      <c r="AB91" s="133">
        <v>12.404661000000001</v>
      </c>
      <c r="AC91" s="133">
        <v>12.484757999999999</v>
      </c>
      <c r="AD91" s="133">
        <v>12.568652999999999</v>
      </c>
      <c r="AE91" s="133">
        <v>12.657738</v>
      </c>
      <c r="AF91" s="134">
        <v>2.2929999999999999E-3</v>
      </c>
      <c r="AG91" s="87"/>
    </row>
    <row r="92" spans="1:33" ht="12" x14ac:dyDescent="0.3">
      <c r="A92" s="92" t="s">
        <v>2752</v>
      </c>
      <c r="B92" s="130" t="s">
        <v>2898</v>
      </c>
      <c r="C92" s="131">
        <v>0.112023</v>
      </c>
      <c r="D92" s="131">
        <v>0.123458</v>
      </c>
      <c r="E92" s="131">
        <v>0.13652900000000001</v>
      </c>
      <c r="F92" s="131">
        <v>0.14977699999999999</v>
      </c>
      <c r="G92" s="131">
        <v>0.16300899999999999</v>
      </c>
      <c r="H92" s="131">
        <v>0.17658499999999999</v>
      </c>
      <c r="I92" s="131">
        <v>0.19053</v>
      </c>
      <c r="J92" s="131">
        <v>0.20494499999999999</v>
      </c>
      <c r="K92" s="131">
        <v>0.21981999999999999</v>
      </c>
      <c r="L92" s="131">
        <v>0.23524600000000001</v>
      </c>
      <c r="M92" s="131">
        <v>0.25148999999999999</v>
      </c>
      <c r="N92" s="131">
        <v>0.26793699999999998</v>
      </c>
      <c r="O92" s="131">
        <v>0.28465000000000001</v>
      </c>
      <c r="P92" s="131">
        <v>0.29947400000000002</v>
      </c>
      <c r="Q92" s="131">
        <v>0.31491799999999998</v>
      </c>
      <c r="R92" s="131">
        <v>0.33096799999999998</v>
      </c>
      <c r="S92" s="131">
        <v>0.34801199999999999</v>
      </c>
      <c r="T92" s="131">
        <v>0.36618699999999998</v>
      </c>
      <c r="U92" s="131">
        <v>0.38540000000000002</v>
      </c>
      <c r="V92" s="131">
        <v>0.40570899999999999</v>
      </c>
      <c r="W92" s="131">
        <v>0.427124</v>
      </c>
      <c r="X92" s="131">
        <v>0.44966</v>
      </c>
      <c r="Y92" s="131">
        <v>0.47307100000000002</v>
      </c>
      <c r="Z92" s="131">
        <v>0.49757400000000002</v>
      </c>
      <c r="AA92" s="131">
        <v>0.52299700000000005</v>
      </c>
      <c r="AB92" s="131">
        <v>0.54935500000000004</v>
      </c>
      <c r="AC92" s="131">
        <v>0.57694599999999996</v>
      </c>
      <c r="AD92" s="131">
        <v>0.60526800000000003</v>
      </c>
      <c r="AE92" s="131">
        <v>0.63452399999999998</v>
      </c>
      <c r="AF92" s="132">
        <v>6.3893000000000005E-2</v>
      </c>
      <c r="AG92" s="87"/>
    </row>
    <row r="93" spans="1:33" ht="15" customHeight="1" x14ac:dyDescent="0.3">
      <c r="A93" s="92" t="s">
        <v>118</v>
      </c>
      <c r="B93" s="129" t="s">
        <v>2754</v>
      </c>
      <c r="C93" s="133">
        <v>11.759520999999999</v>
      </c>
      <c r="D93" s="133">
        <v>11.715023</v>
      </c>
      <c r="E93" s="133">
        <v>11.389552</v>
      </c>
      <c r="F93" s="133">
        <v>11.430529</v>
      </c>
      <c r="G93" s="133">
        <v>11.472984</v>
      </c>
      <c r="H93" s="133">
        <v>11.513251</v>
      </c>
      <c r="I93" s="133">
        <v>11.540065999999999</v>
      </c>
      <c r="J93" s="133">
        <v>11.547389000000001</v>
      </c>
      <c r="K93" s="133">
        <v>11.540160999999999</v>
      </c>
      <c r="L93" s="133">
        <v>11.525214</v>
      </c>
      <c r="M93" s="133">
        <v>11.510754</v>
      </c>
      <c r="N93" s="133">
        <v>11.507440000000001</v>
      </c>
      <c r="O93" s="133">
        <v>11.498879000000001</v>
      </c>
      <c r="P93" s="133">
        <v>11.504856</v>
      </c>
      <c r="Q93" s="133">
        <v>11.519458999999999</v>
      </c>
      <c r="R93" s="133">
        <v>11.539429</v>
      </c>
      <c r="S93" s="133">
        <v>11.554798999999999</v>
      </c>
      <c r="T93" s="133">
        <v>11.573979</v>
      </c>
      <c r="U93" s="133">
        <v>11.594315999999999</v>
      </c>
      <c r="V93" s="133">
        <v>11.617705000000001</v>
      </c>
      <c r="W93" s="133">
        <v>11.646717000000001</v>
      </c>
      <c r="X93" s="133">
        <v>11.682141</v>
      </c>
      <c r="Y93" s="133">
        <v>11.723468</v>
      </c>
      <c r="Z93" s="133">
        <v>11.766387999999999</v>
      </c>
      <c r="AA93" s="133">
        <v>11.807472000000001</v>
      </c>
      <c r="AB93" s="133">
        <v>11.855307</v>
      </c>
      <c r="AC93" s="133">
        <v>11.907812</v>
      </c>
      <c r="AD93" s="133">
        <v>11.963385000000001</v>
      </c>
      <c r="AE93" s="133">
        <v>12.023213</v>
      </c>
      <c r="AF93" s="134">
        <v>7.9199999999999995E-4</v>
      </c>
      <c r="AG93" s="87"/>
    </row>
    <row r="94" spans="1:33" ht="15" customHeight="1" x14ac:dyDescent="0.3"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</row>
    <row r="95" spans="1:33" ht="15" customHeight="1" x14ac:dyDescent="0.3">
      <c r="A95" s="92" t="s">
        <v>119</v>
      </c>
      <c r="B95" s="129" t="s">
        <v>120</v>
      </c>
      <c r="C95" s="133">
        <v>9.4318840000000002</v>
      </c>
      <c r="D95" s="133">
        <v>9.0614460000000001</v>
      </c>
      <c r="E95" s="133">
        <v>9.2159829999999996</v>
      </c>
      <c r="F95" s="133">
        <v>9.2775800000000004</v>
      </c>
      <c r="G95" s="133">
        <v>9.2647940000000002</v>
      </c>
      <c r="H95" s="133">
        <v>9.2480410000000006</v>
      </c>
      <c r="I95" s="133">
        <v>9.2045560000000002</v>
      </c>
      <c r="J95" s="133">
        <v>9.1618700000000004</v>
      </c>
      <c r="K95" s="133">
        <v>9.1329999999999991</v>
      </c>
      <c r="L95" s="133">
        <v>9.1532210000000003</v>
      </c>
      <c r="M95" s="133">
        <v>9.2185980000000001</v>
      </c>
      <c r="N95" s="133">
        <v>9.2462999999999997</v>
      </c>
      <c r="O95" s="133">
        <v>9.3134979999999992</v>
      </c>
      <c r="P95" s="133">
        <v>9.3774160000000002</v>
      </c>
      <c r="Q95" s="133">
        <v>9.4475390000000008</v>
      </c>
      <c r="R95" s="133">
        <v>9.487012</v>
      </c>
      <c r="S95" s="133">
        <v>9.4913959999999999</v>
      </c>
      <c r="T95" s="133">
        <v>9.4915699999999994</v>
      </c>
      <c r="U95" s="133">
        <v>9.5147720000000007</v>
      </c>
      <c r="V95" s="133">
        <v>9.5577690000000004</v>
      </c>
      <c r="W95" s="133">
        <v>9.6436150000000005</v>
      </c>
      <c r="X95" s="133">
        <v>9.717905</v>
      </c>
      <c r="Y95" s="133">
        <v>9.8050350000000002</v>
      </c>
      <c r="Z95" s="133">
        <v>9.9067640000000008</v>
      </c>
      <c r="AA95" s="133">
        <v>9.9749020000000002</v>
      </c>
      <c r="AB95" s="133">
        <v>10.062101999999999</v>
      </c>
      <c r="AC95" s="133">
        <v>10.154728</v>
      </c>
      <c r="AD95" s="133">
        <v>10.235389</v>
      </c>
      <c r="AE95" s="133">
        <v>10.336385</v>
      </c>
      <c r="AF95" s="134">
        <v>3.2759999999999998E-3</v>
      </c>
      <c r="AG95" s="87"/>
    </row>
    <row r="96" spans="1:33" ht="15" customHeight="1" x14ac:dyDescent="0.3"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  <c r="AB96" s="87"/>
      <c r="AC96" s="87"/>
      <c r="AD96" s="87"/>
      <c r="AE96" s="87"/>
      <c r="AF96" s="87"/>
      <c r="AG96" s="87"/>
    </row>
    <row r="97" spans="1:33" ht="15" customHeight="1" x14ac:dyDescent="0.3">
      <c r="B97" s="129" t="s">
        <v>2755</v>
      </c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  <c r="AG97" s="87"/>
    </row>
    <row r="98" spans="1:33" ht="15" customHeight="1" x14ac:dyDescent="0.3">
      <c r="A98" s="92" t="s">
        <v>122</v>
      </c>
      <c r="B98" s="130" t="s">
        <v>96</v>
      </c>
      <c r="C98" s="131">
        <v>7.1100149999999998</v>
      </c>
      <c r="D98" s="131">
        <v>7.1526610000000002</v>
      </c>
      <c r="E98" s="131">
        <v>6.5057520000000002</v>
      </c>
      <c r="F98" s="131">
        <v>6.4811459999999999</v>
      </c>
      <c r="G98" s="131">
        <v>6.4469950000000003</v>
      </c>
      <c r="H98" s="131">
        <v>6.4027279999999998</v>
      </c>
      <c r="I98" s="131">
        <v>6.3488069999999999</v>
      </c>
      <c r="J98" s="131">
        <v>6.2861770000000003</v>
      </c>
      <c r="K98" s="131">
        <v>6.2194839999999996</v>
      </c>
      <c r="L98" s="131">
        <v>6.1553719999999998</v>
      </c>
      <c r="M98" s="131">
        <v>6.0959630000000002</v>
      </c>
      <c r="N98" s="131">
        <v>6.0408600000000003</v>
      </c>
      <c r="O98" s="131">
        <v>5.9861310000000003</v>
      </c>
      <c r="P98" s="131">
        <v>5.9325229999999998</v>
      </c>
      <c r="Q98" s="131">
        <v>5.8820589999999999</v>
      </c>
      <c r="R98" s="131">
        <v>5.8304309999999999</v>
      </c>
      <c r="S98" s="131">
        <v>5.774178</v>
      </c>
      <c r="T98" s="131">
        <v>5.7201329999999997</v>
      </c>
      <c r="U98" s="131">
        <v>5.6719030000000004</v>
      </c>
      <c r="V98" s="131">
        <v>5.6277799999999996</v>
      </c>
      <c r="W98" s="131">
        <v>5.5891190000000002</v>
      </c>
      <c r="X98" s="131">
        <v>5.5521039999999999</v>
      </c>
      <c r="Y98" s="131">
        <v>5.5174979999999998</v>
      </c>
      <c r="Z98" s="131">
        <v>5.4835640000000003</v>
      </c>
      <c r="AA98" s="131">
        <v>5.4438909999999998</v>
      </c>
      <c r="AB98" s="131">
        <v>5.4075309999999996</v>
      </c>
      <c r="AC98" s="131">
        <v>5.3732379999999997</v>
      </c>
      <c r="AD98" s="131">
        <v>5.3384010000000002</v>
      </c>
      <c r="AE98" s="131">
        <v>5.3043849999999999</v>
      </c>
      <c r="AF98" s="132">
        <v>-1.0409E-2</v>
      </c>
      <c r="AG98" s="87"/>
    </row>
    <row r="99" spans="1:33" ht="15" customHeight="1" x14ac:dyDescent="0.3">
      <c r="A99" s="92" t="s">
        <v>123</v>
      </c>
      <c r="B99" s="130" t="s">
        <v>98</v>
      </c>
      <c r="C99" s="131">
        <v>2.4765199999999998</v>
      </c>
      <c r="D99" s="131">
        <v>2.1058129999999999</v>
      </c>
      <c r="E99" s="131">
        <v>2.555955</v>
      </c>
      <c r="F99" s="131">
        <v>2.6097670000000002</v>
      </c>
      <c r="G99" s="131">
        <v>2.647732</v>
      </c>
      <c r="H99" s="131">
        <v>2.6855289999999998</v>
      </c>
      <c r="I99" s="131">
        <v>2.7193200000000002</v>
      </c>
      <c r="J99" s="131">
        <v>2.7525309999999998</v>
      </c>
      <c r="K99" s="131">
        <v>2.7844319999999998</v>
      </c>
      <c r="L99" s="131">
        <v>2.8238189999999999</v>
      </c>
      <c r="M99" s="131">
        <v>2.8744489999999998</v>
      </c>
      <c r="N99" s="131">
        <v>2.9172989999999999</v>
      </c>
      <c r="O99" s="131">
        <v>2.9693239999999999</v>
      </c>
      <c r="P99" s="131">
        <v>3.0226950000000001</v>
      </c>
      <c r="Q99" s="131">
        <v>3.0803289999999999</v>
      </c>
      <c r="R99" s="131">
        <v>3.1334810000000002</v>
      </c>
      <c r="S99" s="131">
        <v>3.1798470000000001</v>
      </c>
      <c r="T99" s="131">
        <v>3.226057</v>
      </c>
      <c r="U99" s="131">
        <v>3.2779180000000001</v>
      </c>
      <c r="V99" s="131">
        <v>3.3334779999999999</v>
      </c>
      <c r="W99" s="131">
        <v>3.3983690000000002</v>
      </c>
      <c r="X99" s="131">
        <v>3.461468</v>
      </c>
      <c r="Y99" s="131">
        <v>3.5288270000000002</v>
      </c>
      <c r="Z99" s="131">
        <v>3.6009890000000002</v>
      </c>
      <c r="AA99" s="131">
        <v>3.6695880000000001</v>
      </c>
      <c r="AB99" s="131">
        <v>3.7439070000000001</v>
      </c>
      <c r="AC99" s="131">
        <v>3.820605</v>
      </c>
      <c r="AD99" s="131">
        <v>3.8934709999999999</v>
      </c>
      <c r="AE99" s="131">
        <v>3.9717359999999999</v>
      </c>
      <c r="AF99" s="132">
        <v>1.7013E-2</v>
      </c>
      <c r="AG99" s="87"/>
    </row>
    <row r="100" spans="1:33" ht="15" customHeight="1" x14ac:dyDescent="0.3">
      <c r="A100" s="92" t="s">
        <v>124</v>
      </c>
      <c r="B100" s="130" t="s">
        <v>100</v>
      </c>
      <c r="C100" s="131">
        <v>2.785069</v>
      </c>
      <c r="D100" s="131">
        <v>2.7516790000000002</v>
      </c>
      <c r="E100" s="131">
        <v>2.7610139999999999</v>
      </c>
      <c r="F100" s="131">
        <v>2.7744179999999998</v>
      </c>
      <c r="G100" s="131">
        <v>2.778686</v>
      </c>
      <c r="H100" s="131">
        <v>2.7805049999999998</v>
      </c>
      <c r="I100" s="131">
        <v>2.7789269999999999</v>
      </c>
      <c r="J100" s="131">
        <v>2.7748309999999998</v>
      </c>
      <c r="K100" s="131">
        <v>2.7702309999999999</v>
      </c>
      <c r="L100" s="131">
        <v>2.7683219999999999</v>
      </c>
      <c r="M100" s="131">
        <v>2.770947</v>
      </c>
      <c r="N100" s="131">
        <v>2.7753830000000002</v>
      </c>
      <c r="O100" s="131">
        <v>2.7859159999999998</v>
      </c>
      <c r="P100" s="131">
        <v>2.8000310000000002</v>
      </c>
      <c r="Q100" s="131">
        <v>2.8152810000000001</v>
      </c>
      <c r="R100" s="131">
        <v>2.8261799999999999</v>
      </c>
      <c r="S100" s="131">
        <v>2.832077</v>
      </c>
      <c r="T100" s="131">
        <v>2.8373390000000001</v>
      </c>
      <c r="U100" s="131">
        <v>2.8452839999999999</v>
      </c>
      <c r="V100" s="131">
        <v>2.8552569999999999</v>
      </c>
      <c r="W100" s="131">
        <v>2.8699539999999999</v>
      </c>
      <c r="X100" s="131">
        <v>2.884296</v>
      </c>
      <c r="Y100" s="131">
        <v>2.9002319999999999</v>
      </c>
      <c r="Z100" s="131">
        <v>2.9167800000000002</v>
      </c>
      <c r="AA100" s="131">
        <v>2.9270330000000002</v>
      </c>
      <c r="AB100" s="131">
        <v>2.9404949999999999</v>
      </c>
      <c r="AC100" s="131">
        <v>2.9561459999999999</v>
      </c>
      <c r="AD100" s="131">
        <v>2.971393</v>
      </c>
      <c r="AE100" s="131">
        <v>2.988648</v>
      </c>
      <c r="AF100" s="132">
        <v>2.5230000000000001E-3</v>
      </c>
      <c r="AG100" s="87"/>
    </row>
    <row r="101" spans="1:33" ht="12" x14ac:dyDescent="0.3">
      <c r="A101" s="92" t="s">
        <v>125</v>
      </c>
      <c r="B101" s="130" t="s">
        <v>102</v>
      </c>
      <c r="C101" s="131">
        <v>0.83711599999999997</v>
      </c>
      <c r="D101" s="131">
        <v>0.82186300000000001</v>
      </c>
      <c r="E101" s="131">
        <v>0.82011000000000001</v>
      </c>
      <c r="F101" s="131">
        <v>0.81624399999999997</v>
      </c>
      <c r="G101" s="131">
        <v>0.80891999999999997</v>
      </c>
      <c r="H101" s="131">
        <v>0.80172299999999996</v>
      </c>
      <c r="I101" s="131">
        <v>0.79459900000000006</v>
      </c>
      <c r="J101" s="131">
        <v>0.78902099999999997</v>
      </c>
      <c r="K101" s="131">
        <v>0.78561499999999995</v>
      </c>
      <c r="L101" s="131">
        <v>0.78595899999999996</v>
      </c>
      <c r="M101" s="131">
        <v>0.78947999999999996</v>
      </c>
      <c r="N101" s="131">
        <v>0.79164599999999996</v>
      </c>
      <c r="O101" s="131">
        <v>0.79685099999999998</v>
      </c>
      <c r="P101" s="131">
        <v>0.80151399999999995</v>
      </c>
      <c r="Q101" s="131">
        <v>0.80695399999999995</v>
      </c>
      <c r="R101" s="131">
        <v>0.81127400000000005</v>
      </c>
      <c r="S101" s="131">
        <v>0.81484500000000004</v>
      </c>
      <c r="T101" s="131">
        <v>0.818855</v>
      </c>
      <c r="U101" s="131">
        <v>0.82500899999999999</v>
      </c>
      <c r="V101" s="131">
        <v>0.83284599999999998</v>
      </c>
      <c r="W101" s="131">
        <v>0.84326100000000004</v>
      </c>
      <c r="X101" s="131">
        <v>0.85264499999999999</v>
      </c>
      <c r="Y101" s="131">
        <v>0.862313</v>
      </c>
      <c r="Z101" s="131">
        <v>0.87239699999999998</v>
      </c>
      <c r="AA101" s="131">
        <v>0.879996</v>
      </c>
      <c r="AB101" s="131">
        <v>0.88808900000000002</v>
      </c>
      <c r="AC101" s="131">
        <v>0.89615100000000003</v>
      </c>
      <c r="AD101" s="131">
        <v>0.90310299999999999</v>
      </c>
      <c r="AE101" s="131">
        <v>0.91037599999999996</v>
      </c>
      <c r="AF101" s="132">
        <v>3.0010000000000002E-3</v>
      </c>
      <c r="AG101" s="87"/>
    </row>
    <row r="102" spans="1:33" ht="12" x14ac:dyDescent="0.3">
      <c r="A102" s="92" t="s">
        <v>126</v>
      </c>
      <c r="B102" s="130" t="s">
        <v>104</v>
      </c>
      <c r="C102" s="131">
        <v>0.27869100000000002</v>
      </c>
      <c r="D102" s="131">
        <v>0.277586</v>
      </c>
      <c r="E102" s="131">
        <v>0.278916</v>
      </c>
      <c r="F102" s="131">
        <v>0.27972900000000001</v>
      </c>
      <c r="G102" s="131">
        <v>0.27971499999999999</v>
      </c>
      <c r="H102" s="131">
        <v>0.27955600000000003</v>
      </c>
      <c r="I102" s="131">
        <v>0.27926699999999999</v>
      </c>
      <c r="J102" s="131">
        <v>0.27914499999999998</v>
      </c>
      <c r="K102" s="131">
        <v>0.27929199999999998</v>
      </c>
      <c r="L102" s="131">
        <v>0.28000700000000001</v>
      </c>
      <c r="M102" s="131">
        <v>0.28118500000000002</v>
      </c>
      <c r="N102" s="131">
        <v>0.28208899999999998</v>
      </c>
      <c r="O102" s="131">
        <v>0.28358800000000001</v>
      </c>
      <c r="P102" s="131">
        <v>0.28497600000000001</v>
      </c>
      <c r="Q102" s="131">
        <v>0.28653800000000001</v>
      </c>
      <c r="R102" s="131">
        <v>0.28790199999999999</v>
      </c>
      <c r="S102" s="131">
        <v>0.28894199999999998</v>
      </c>
      <c r="T102" s="131">
        <v>0.28991400000000001</v>
      </c>
      <c r="U102" s="131">
        <v>0.29116700000000001</v>
      </c>
      <c r="V102" s="131">
        <v>0.292601</v>
      </c>
      <c r="W102" s="131">
        <v>0.29439500000000002</v>
      </c>
      <c r="X102" s="131">
        <v>0.29599999999999999</v>
      </c>
      <c r="Y102" s="131">
        <v>0.29768</v>
      </c>
      <c r="Z102" s="131">
        <v>0.29946400000000001</v>
      </c>
      <c r="AA102" s="131">
        <v>0.30079600000000001</v>
      </c>
      <c r="AB102" s="131">
        <v>0.30225800000000003</v>
      </c>
      <c r="AC102" s="131">
        <v>0.30374600000000002</v>
      </c>
      <c r="AD102" s="131">
        <v>0.30505599999999999</v>
      </c>
      <c r="AE102" s="131">
        <v>0.30645699999999998</v>
      </c>
      <c r="AF102" s="132">
        <v>3.398E-3</v>
      </c>
      <c r="AG102" s="87"/>
    </row>
    <row r="103" spans="1:33" ht="15" customHeight="1" x14ac:dyDescent="0.3">
      <c r="A103" s="92" t="s">
        <v>127</v>
      </c>
      <c r="B103" s="130" t="s">
        <v>106</v>
      </c>
      <c r="C103" s="131">
        <v>0.66981000000000002</v>
      </c>
      <c r="D103" s="131">
        <v>0.67469400000000002</v>
      </c>
      <c r="E103" s="131">
        <v>0.69062800000000002</v>
      </c>
      <c r="F103" s="131">
        <v>0.70603700000000003</v>
      </c>
      <c r="G103" s="131">
        <v>0.71742399999999995</v>
      </c>
      <c r="H103" s="131">
        <v>0.72725099999999998</v>
      </c>
      <c r="I103" s="131">
        <v>0.73550199999999999</v>
      </c>
      <c r="J103" s="131">
        <v>0.743259</v>
      </c>
      <c r="K103" s="131">
        <v>0.75097999999999998</v>
      </c>
      <c r="L103" s="131">
        <v>0.76042200000000004</v>
      </c>
      <c r="M103" s="131">
        <v>0.77187300000000003</v>
      </c>
      <c r="N103" s="131">
        <v>0.780219</v>
      </c>
      <c r="O103" s="131">
        <v>0.79063000000000005</v>
      </c>
      <c r="P103" s="131">
        <v>0.80088999999999999</v>
      </c>
      <c r="Q103" s="131">
        <v>0.811639</v>
      </c>
      <c r="R103" s="131">
        <v>0.82012600000000002</v>
      </c>
      <c r="S103" s="131">
        <v>0.82628999999999997</v>
      </c>
      <c r="T103" s="131">
        <v>0.83206000000000002</v>
      </c>
      <c r="U103" s="131">
        <v>0.839117</v>
      </c>
      <c r="V103" s="131">
        <v>0.84721199999999997</v>
      </c>
      <c r="W103" s="131">
        <v>0.85745899999999997</v>
      </c>
      <c r="X103" s="131">
        <v>0.86720699999999995</v>
      </c>
      <c r="Y103" s="131">
        <v>0.87748899999999996</v>
      </c>
      <c r="Z103" s="131">
        <v>0.88828300000000004</v>
      </c>
      <c r="AA103" s="131">
        <v>0.89714099999999997</v>
      </c>
      <c r="AB103" s="131">
        <v>0.90712099999999996</v>
      </c>
      <c r="AC103" s="131">
        <v>0.91741099999999998</v>
      </c>
      <c r="AD103" s="131">
        <v>0.927091</v>
      </c>
      <c r="AE103" s="131">
        <v>0.93792699999999996</v>
      </c>
      <c r="AF103" s="132">
        <v>1.2097E-2</v>
      </c>
      <c r="AG103" s="87"/>
    </row>
    <row r="104" spans="1:33" ht="15" customHeight="1" x14ac:dyDescent="0.3">
      <c r="A104" s="92" t="s">
        <v>128</v>
      </c>
      <c r="B104" s="130" t="s">
        <v>108</v>
      </c>
      <c r="C104" s="131">
        <v>0.19544900000000001</v>
      </c>
      <c r="D104" s="131">
        <v>0.19247400000000001</v>
      </c>
      <c r="E104" s="131">
        <v>0.19247300000000001</v>
      </c>
      <c r="F104" s="131">
        <v>0.191769</v>
      </c>
      <c r="G104" s="131">
        <v>0.190053</v>
      </c>
      <c r="H104" s="131">
        <v>0.18817800000000001</v>
      </c>
      <c r="I104" s="131">
        <v>0.186248</v>
      </c>
      <c r="J104" s="131">
        <v>0.18460599999999999</v>
      </c>
      <c r="K104" s="131">
        <v>0.18338699999999999</v>
      </c>
      <c r="L104" s="131">
        <v>0.18290899999999999</v>
      </c>
      <c r="M104" s="131">
        <v>0.18302499999999999</v>
      </c>
      <c r="N104" s="131">
        <v>0.18269299999999999</v>
      </c>
      <c r="O104" s="131">
        <v>0.18293100000000001</v>
      </c>
      <c r="P104" s="131">
        <v>0.18290400000000001</v>
      </c>
      <c r="Q104" s="131">
        <v>0.18293799999999999</v>
      </c>
      <c r="R104" s="131">
        <v>0.18260999999999999</v>
      </c>
      <c r="S104" s="131">
        <v>0.18202199999999999</v>
      </c>
      <c r="T104" s="131">
        <v>0.18146000000000001</v>
      </c>
      <c r="U104" s="131">
        <v>0.18129899999999999</v>
      </c>
      <c r="V104" s="131">
        <v>0.18145800000000001</v>
      </c>
      <c r="W104" s="131">
        <v>0.18212900000000001</v>
      </c>
      <c r="X104" s="131">
        <v>0.18271999999999999</v>
      </c>
      <c r="Y104" s="131">
        <v>0.183532</v>
      </c>
      <c r="Z104" s="131">
        <v>0.18459900000000001</v>
      </c>
      <c r="AA104" s="131">
        <v>0.185312</v>
      </c>
      <c r="AB104" s="131">
        <v>0.186281</v>
      </c>
      <c r="AC104" s="131">
        <v>0.18728</v>
      </c>
      <c r="AD104" s="131">
        <v>0.188084</v>
      </c>
      <c r="AE104" s="131">
        <v>0.18899299999999999</v>
      </c>
      <c r="AF104" s="132">
        <v>-1.199E-3</v>
      </c>
      <c r="AG104" s="87"/>
    </row>
    <row r="105" spans="1:33" ht="15" customHeight="1" x14ac:dyDescent="0.3">
      <c r="A105" s="92" t="s">
        <v>129</v>
      </c>
      <c r="B105" s="130" t="s">
        <v>110</v>
      </c>
      <c r="C105" s="131">
        <v>0.64936700000000003</v>
      </c>
      <c r="D105" s="131">
        <v>0.59590500000000002</v>
      </c>
      <c r="E105" s="131">
        <v>0.57947400000000004</v>
      </c>
      <c r="F105" s="131">
        <v>0.57413700000000001</v>
      </c>
      <c r="G105" s="131">
        <v>0.57083899999999999</v>
      </c>
      <c r="H105" s="131">
        <v>0.57030599999999998</v>
      </c>
      <c r="I105" s="131">
        <v>0.57125999999999999</v>
      </c>
      <c r="J105" s="131">
        <v>0.57273600000000002</v>
      </c>
      <c r="K105" s="131">
        <v>0.56876000000000004</v>
      </c>
      <c r="L105" s="131">
        <v>0.56690600000000002</v>
      </c>
      <c r="M105" s="131">
        <v>0.56734200000000001</v>
      </c>
      <c r="N105" s="131">
        <v>0.56628500000000004</v>
      </c>
      <c r="O105" s="131">
        <v>0.56753699999999996</v>
      </c>
      <c r="P105" s="131">
        <v>0.56916199999999995</v>
      </c>
      <c r="Q105" s="131">
        <v>0.57101800000000003</v>
      </c>
      <c r="R105" s="131">
        <v>0.57133199999999995</v>
      </c>
      <c r="S105" s="131">
        <v>0.57008400000000004</v>
      </c>
      <c r="T105" s="131">
        <v>0.56870299999999996</v>
      </c>
      <c r="U105" s="131">
        <v>0.55844300000000002</v>
      </c>
      <c r="V105" s="131">
        <v>0.550342</v>
      </c>
      <c r="W105" s="131">
        <v>0.545122</v>
      </c>
      <c r="X105" s="131">
        <v>0.54107000000000005</v>
      </c>
      <c r="Y105" s="131">
        <v>0.53950600000000004</v>
      </c>
      <c r="Z105" s="131">
        <v>0.53939599999999999</v>
      </c>
      <c r="AA105" s="131">
        <v>0.53831099999999998</v>
      </c>
      <c r="AB105" s="131">
        <v>0.53816200000000003</v>
      </c>
      <c r="AC105" s="131">
        <v>0.53847599999999995</v>
      </c>
      <c r="AD105" s="131">
        <v>0.53874900000000003</v>
      </c>
      <c r="AE105" s="131">
        <v>0.539906</v>
      </c>
      <c r="AF105" s="132">
        <v>-6.5709999999999996E-3</v>
      </c>
      <c r="AG105" s="87"/>
    </row>
    <row r="106" spans="1:33" ht="15" customHeight="1" x14ac:dyDescent="0.3">
      <c r="A106" s="92" t="s">
        <v>130</v>
      </c>
      <c r="B106" s="130" t="s">
        <v>2745</v>
      </c>
      <c r="C106" s="131">
        <v>0.106182</v>
      </c>
      <c r="D106" s="131">
        <v>0.105708</v>
      </c>
      <c r="E106" s="131">
        <v>0.10688499999999999</v>
      </c>
      <c r="F106" s="131">
        <v>0.107719</v>
      </c>
      <c r="G106" s="131">
        <v>0.108011</v>
      </c>
      <c r="H106" s="131">
        <v>0.108223</v>
      </c>
      <c r="I106" s="131">
        <v>0.108365</v>
      </c>
      <c r="J106" s="131">
        <v>0.10863399999999999</v>
      </c>
      <c r="K106" s="131">
        <v>0.109156</v>
      </c>
      <c r="L106" s="131">
        <v>0.110086</v>
      </c>
      <c r="M106" s="131">
        <v>0.11135200000000001</v>
      </c>
      <c r="N106" s="131">
        <v>0.11230999999999999</v>
      </c>
      <c r="O106" s="131">
        <v>0.113578</v>
      </c>
      <c r="P106" s="131">
        <v>0.114638</v>
      </c>
      <c r="Q106" s="131">
        <v>0.115674</v>
      </c>
      <c r="R106" s="131">
        <v>0.11642</v>
      </c>
      <c r="S106" s="131">
        <v>0.11692900000000001</v>
      </c>
      <c r="T106" s="131">
        <v>0.117383</v>
      </c>
      <c r="U106" s="131">
        <v>0.11802600000000001</v>
      </c>
      <c r="V106" s="131">
        <v>0.11879199999999999</v>
      </c>
      <c r="W106" s="131">
        <v>0.11981600000000001</v>
      </c>
      <c r="X106" s="131">
        <v>0.1207</v>
      </c>
      <c r="Y106" s="131">
        <v>0.12163400000000001</v>
      </c>
      <c r="Z106" s="131">
        <v>0.12264</v>
      </c>
      <c r="AA106" s="131">
        <v>0.123317</v>
      </c>
      <c r="AB106" s="131">
        <v>0.124087</v>
      </c>
      <c r="AC106" s="131">
        <v>0.124877</v>
      </c>
      <c r="AD106" s="131">
        <v>0.12554000000000001</v>
      </c>
      <c r="AE106" s="131">
        <v>0.126277</v>
      </c>
      <c r="AF106" s="132">
        <v>6.2090000000000001E-3</v>
      </c>
      <c r="AG106" s="87"/>
    </row>
    <row r="107" spans="1:33" ht="15" customHeight="1" x14ac:dyDescent="0.3">
      <c r="A107" s="92" t="s">
        <v>131</v>
      </c>
      <c r="B107" s="130" t="s">
        <v>2746</v>
      </c>
      <c r="C107" s="131">
        <v>7.8223000000000001E-2</v>
      </c>
      <c r="D107" s="131">
        <v>7.8455999999999998E-2</v>
      </c>
      <c r="E107" s="131">
        <v>7.9879000000000006E-2</v>
      </c>
      <c r="F107" s="131">
        <v>8.1015000000000004E-2</v>
      </c>
      <c r="G107" s="131">
        <v>8.1703999999999999E-2</v>
      </c>
      <c r="H107" s="131">
        <v>8.2288E-2</v>
      </c>
      <c r="I107" s="131">
        <v>8.2902000000000003E-2</v>
      </c>
      <c r="J107" s="131">
        <v>8.3697999999999995E-2</v>
      </c>
      <c r="K107" s="131">
        <v>8.4734000000000004E-2</v>
      </c>
      <c r="L107" s="131">
        <v>8.6179000000000006E-2</v>
      </c>
      <c r="M107" s="131">
        <v>8.7991E-2</v>
      </c>
      <c r="N107" s="131">
        <v>8.9672000000000002E-2</v>
      </c>
      <c r="O107" s="131">
        <v>9.1721999999999998E-2</v>
      </c>
      <c r="P107" s="131">
        <v>9.3600000000000003E-2</v>
      </c>
      <c r="Q107" s="131">
        <v>9.5455999999999999E-2</v>
      </c>
      <c r="R107" s="131">
        <v>9.7072000000000006E-2</v>
      </c>
      <c r="S107" s="131">
        <v>9.8484000000000002E-2</v>
      </c>
      <c r="T107" s="131">
        <v>9.9843000000000001E-2</v>
      </c>
      <c r="U107" s="131">
        <v>0.101357</v>
      </c>
      <c r="V107" s="131">
        <v>0.102973</v>
      </c>
      <c r="W107" s="131">
        <v>0.104813</v>
      </c>
      <c r="X107" s="131">
        <v>0.106531</v>
      </c>
      <c r="Y107" s="131">
        <v>0.108293</v>
      </c>
      <c r="Z107" s="131">
        <v>0.110121</v>
      </c>
      <c r="AA107" s="131">
        <v>0.111651</v>
      </c>
      <c r="AB107" s="131">
        <v>0.11326</v>
      </c>
      <c r="AC107" s="131">
        <v>0.114884</v>
      </c>
      <c r="AD107" s="131">
        <v>0.116387</v>
      </c>
      <c r="AE107" s="131">
        <v>0.117952</v>
      </c>
      <c r="AF107" s="132">
        <v>1.4777E-2</v>
      </c>
      <c r="AG107" s="87"/>
    </row>
    <row r="108" spans="1:33" ht="15" customHeight="1" x14ac:dyDescent="0.3">
      <c r="A108" s="92" t="s">
        <v>132</v>
      </c>
      <c r="B108" s="130" t="s">
        <v>2747</v>
      </c>
      <c r="C108" s="131">
        <v>0.52424099999999996</v>
      </c>
      <c r="D108" s="131">
        <v>0.50756000000000001</v>
      </c>
      <c r="E108" s="131">
        <v>0.49981199999999998</v>
      </c>
      <c r="F108" s="131">
        <v>0.49174499999999999</v>
      </c>
      <c r="G108" s="131">
        <v>0.48112700000000003</v>
      </c>
      <c r="H108" s="131">
        <v>0.47011500000000001</v>
      </c>
      <c r="I108" s="131">
        <v>0.45847399999999999</v>
      </c>
      <c r="J108" s="131">
        <v>0.44717800000000002</v>
      </c>
      <c r="K108" s="131">
        <v>0.43663000000000002</v>
      </c>
      <c r="L108" s="131">
        <v>0.42787199999999997</v>
      </c>
      <c r="M108" s="131">
        <v>0.42068299999999997</v>
      </c>
      <c r="N108" s="131">
        <v>0.41233599999999998</v>
      </c>
      <c r="O108" s="131">
        <v>0.40550199999999997</v>
      </c>
      <c r="P108" s="131">
        <v>0.39916000000000001</v>
      </c>
      <c r="Q108" s="131">
        <v>0.39354099999999997</v>
      </c>
      <c r="R108" s="131">
        <v>0.38753900000000002</v>
      </c>
      <c r="S108" s="131">
        <v>0.381106</v>
      </c>
      <c r="T108" s="131">
        <v>0.37523499999999999</v>
      </c>
      <c r="U108" s="131">
        <v>0.37079299999999998</v>
      </c>
      <c r="V108" s="131">
        <v>0.36753000000000002</v>
      </c>
      <c r="W108" s="131">
        <v>0.36592000000000002</v>
      </c>
      <c r="X108" s="131">
        <v>0.36459000000000003</v>
      </c>
      <c r="Y108" s="131">
        <v>0.36407099999999998</v>
      </c>
      <c r="Z108" s="131">
        <v>0.36441600000000002</v>
      </c>
      <c r="AA108" s="131">
        <v>0.36443900000000001</v>
      </c>
      <c r="AB108" s="131">
        <v>0.36532999999999999</v>
      </c>
      <c r="AC108" s="131">
        <v>0.36663499999999999</v>
      </c>
      <c r="AD108" s="131">
        <v>0.36802099999999999</v>
      </c>
      <c r="AE108" s="131">
        <v>0.37015199999999998</v>
      </c>
      <c r="AF108" s="132">
        <v>-1.2352999999999999E-2</v>
      </c>
      <c r="AG108" s="87"/>
    </row>
    <row r="109" spans="1:33" ht="15" customHeight="1" x14ac:dyDescent="0.3">
      <c r="A109" s="92" t="s">
        <v>133</v>
      </c>
      <c r="B109" s="130" t="s">
        <v>2748</v>
      </c>
      <c r="C109" s="131">
        <v>0.34017799999999998</v>
      </c>
      <c r="D109" s="131">
        <v>0.33145000000000002</v>
      </c>
      <c r="E109" s="131">
        <v>0.32766200000000001</v>
      </c>
      <c r="F109" s="131">
        <v>0.32289099999999998</v>
      </c>
      <c r="G109" s="131">
        <v>0.31572299999999998</v>
      </c>
      <c r="H109" s="131">
        <v>0.30760500000000002</v>
      </c>
      <c r="I109" s="131">
        <v>0.29849799999999999</v>
      </c>
      <c r="J109" s="131">
        <v>0.28910400000000003</v>
      </c>
      <c r="K109" s="131">
        <v>0.27981200000000001</v>
      </c>
      <c r="L109" s="131">
        <v>0.27127299999999999</v>
      </c>
      <c r="M109" s="131">
        <v>0.26343899999999998</v>
      </c>
      <c r="N109" s="131">
        <v>0.25463999999999998</v>
      </c>
      <c r="O109" s="131">
        <v>0.24659700000000001</v>
      </c>
      <c r="P109" s="131">
        <v>0.23866799999999999</v>
      </c>
      <c r="Q109" s="131">
        <v>0.23112199999999999</v>
      </c>
      <c r="R109" s="131">
        <v>0.22326399999999999</v>
      </c>
      <c r="S109" s="131">
        <v>0.215225</v>
      </c>
      <c r="T109" s="131">
        <v>0.20760400000000001</v>
      </c>
      <c r="U109" s="131">
        <v>0.20091200000000001</v>
      </c>
      <c r="V109" s="131">
        <v>0.19502900000000001</v>
      </c>
      <c r="W109" s="131">
        <v>0.190272</v>
      </c>
      <c r="X109" s="131">
        <v>0.18592</v>
      </c>
      <c r="Y109" s="131">
        <v>0.18232200000000001</v>
      </c>
      <c r="Z109" s="131">
        <v>0.17945700000000001</v>
      </c>
      <c r="AA109" s="131">
        <v>0.17699999999999999</v>
      </c>
      <c r="AB109" s="131">
        <v>0.17538599999999999</v>
      </c>
      <c r="AC109" s="131">
        <v>0.174376</v>
      </c>
      <c r="AD109" s="131">
        <v>0.17383799999999999</v>
      </c>
      <c r="AE109" s="131">
        <v>0.17397000000000001</v>
      </c>
      <c r="AF109" s="132">
        <v>-2.3664999999999999E-2</v>
      </c>
      <c r="AG109" s="87"/>
    </row>
    <row r="110" spans="1:33" ht="15" customHeight="1" x14ac:dyDescent="0.3">
      <c r="A110" s="92" t="s">
        <v>134</v>
      </c>
      <c r="B110" s="130" t="s">
        <v>116</v>
      </c>
      <c r="C110" s="131">
        <v>0.25257299999999999</v>
      </c>
      <c r="D110" s="131">
        <v>0.24671000000000001</v>
      </c>
      <c r="E110" s="131">
        <v>0.22173100000000001</v>
      </c>
      <c r="F110" s="131">
        <v>0.22417599999999999</v>
      </c>
      <c r="G110" s="131">
        <v>0.225276</v>
      </c>
      <c r="H110" s="131">
        <v>0.225825</v>
      </c>
      <c r="I110" s="131">
        <v>0.22562099999999999</v>
      </c>
      <c r="J110" s="131">
        <v>0.22486900000000001</v>
      </c>
      <c r="K110" s="131">
        <v>0.22392599999999999</v>
      </c>
      <c r="L110" s="131">
        <v>0.22317799999999999</v>
      </c>
      <c r="M110" s="131">
        <v>0.22254199999999999</v>
      </c>
      <c r="N110" s="131">
        <v>0.22076200000000001</v>
      </c>
      <c r="O110" s="131">
        <v>0.21889700000000001</v>
      </c>
      <c r="P110" s="131">
        <v>0.21618299999999999</v>
      </c>
      <c r="Q110" s="131">
        <v>0.21316199999999999</v>
      </c>
      <c r="R110" s="131">
        <v>0.20943300000000001</v>
      </c>
      <c r="S110" s="131">
        <v>0.20494000000000001</v>
      </c>
      <c r="T110" s="131">
        <v>0.200434</v>
      </c>
      <c r="U110" s="131">
        <v>0.196406</v>
      </c>
      <c r="V110" s="131">
        <v>0.19278899999999999</v>
      </c>
      <c r="W110" s="131">
        <v>0.189775</v>
      </c>
      <c r="X110" s="131">
        <v>0.18689</v>
      </c>
      <c r="Y110" s="131">
        <v>0.18443599999999999</v>
      </c>
      <c r="Z110" s="131">
        <v>0.182334</v>
      </c>
      <c r="AA110" s="131">
        <v>0.17981900000000001</v>
      </c>
      <c r="AB110" s="131">
        <v>0.17780699999999999</v>
      </c>
      <c r="AC110" s="131">
        <v>0.17621899999999999</v>
      </c>
      <c r="AD110" s="131">
        <v>0.17477599999999999</v>
      </c>
      <c r="AE110" s="131">
        <v>0.173677</v>
      </c>
      <c r="AF110" s="132">
        <v>-1.3285999999999999E-2</v>
      </c>
      <c r="AG110" s="87"/>
    </row>
    <row r="111" spans="1:33" ht="15" customHeight="1" x14ac:dyDescent="0.3">
      <c r="A111" s="92" t="s">
        <v>135</v>
      </c>
      <c r="B111" s="130" t="s">
        <v>2749</v>
      </c>
      <c r="C111" s="131">
        <v>5.2054660000000004</v>
      </c>
      <c r="D111" s="131">
        <v>5.2792649999999997</v>
      </c>
      <c r="E111" s="131">
        <v>5.3680680000000001</v>
      </c>
      <c r="F111" s="131">
        <v>5.4667950000000003</v>
      </c>
      <c r="G111" s="131">
        <v>5.5393330000000001</v>
      </c>
      <c r="H111" s="131">
        <v>5.6196859999999997</v>
      </c>
      <c r="I111" s="131">
        <v>5.6796139999999999</v>
      </c>
      <c r="J111" s="131">
        <v>5.7321720000000003</v>
      </c>
      <c r="K111" s="131">
        <v>5.7932949999999996</v>
      </c>
      <c r="L111" s="131">
        <v>5.8741300000000001</v>
      </c>
      <c r="M111" s="131">
        <v>5.9726720000000002</v>
      </c>
      <c r="N111" s="131">
        <v>6.0554870000000003</v>
      </c>
      <c r="O111" s="131">
        <v>6.1483489999999996</v>
      </c>
      <c r="P111" s="131">
        <v>6.2413259999999999</v>
      </c>
      <c r="Q111" s="131">
        <v>6.3396559999999997</v>
      </c>
      <c r="R111" s="131">
        <v>6.4296220000000002</v>
      </c>
      <c r="S111" s="131">
        <v>6.5040570000000004</v>
      </c>
      <c r="T111" s="131">
        <v>6.5783399999999999</v>
      </c>
      <c r="U111" s="131">
        <v>6.6683149999999998</v>
      </c>
      <c r="V111" s="131">
        <v>6.7671700000000001</v>
      </c>
      <c r="W111" s="131">
        <v>6.8881180000000004</v>
      </c>
      <c r="X111" s="131">
        <v>7.0062930000000003</v>
      </c>
      <c r="Y111" s="131">
        <v>7.1321969999999997</v>
      </c>
      <c r="Z111" s="131">
        <v>7.2672169999999996</v>
      </c>
      <c r="AA111" s="131">
        <v>7.3884829999999999</v>
      </c>
      <c r="AB111" s="131">
        <v>7.5214470000000002</v>
      </c>
      <c r="AC111" s="131">
        <v>7.6591680000000002</v>
      </c>
      <c r="AD111" s="131">
        <v>7.7947930000000003</v>
      </c>
      <c r="AE111" s="131">
        <v>7.9456879999999996</v>
      </c>
      <c r="AF111" s="132">
        <v>1.5219E-2</v>
      </c>
      <c r="AG111" s="87"/>
    </row>
    <row r="112" spans="1:33" ht="15" customHeight="1" x14ac:dyDescent="0.3">
      <c r="A112" s="92" t="s">
        <v>136</v>
      </c>
      <c r="B112" s="129" t="s">
        <v>2756</v>
      </c>
      <c r="C112" s="141">
        <v>21.508896</v>
      </c>
      <c r="D112" s="141">
        <v>21.121822000000002</v>
      </c>
      <c r="E112" s="141">
        <v>20.988358000000002</v>
      </c>
      <c r="F112" s="141">
        <v>21.127586000000001</v>
      </c>
      <c r="G112" s="141">
        <v>21.191535999999999</v>
      </c>
      <c r="H112" s="141">
        <v>21.249516</v>
      </c>
      <c r="I112" s="141">
        <v>21.267403000000002</v>
      </c>
      <c r="J112" s="141">
        <v>21.267963000000002</v>
      </c>
      <c r="K112" s="141">
        <v>21.269732999999999</v>
      </c>
      <c r="L112" s="141">
        <v>21.316433</v>
      </c>
      <c r="M112" s="141">
        <v>21.412941</v>
      </c>
      <c r="N112" s="141">
        <v>21.481677999999999</v>
      </c>
      <c r="O112" s="141">
        <v>21.587553</v>
      </c>
      <c r="P112" s="141">
        <v>21.698273</v>
      </c>
      <c r="Q112" s="141">
        <v>21.825367</v>
      </c>
      <c r="R112" s="141">
        <v>21.926689</v>
      </c>
      <c r="S112" s="141">
        <v>21.989027</v>
      </c>
      <c r="T112" s="141">
        <v>22.053360000000001</v>
      </c>
      <c r="U112" s="141">
        <v>22.145949999999999</v>
      </c>
      <c r="V112" s="141">
        <v>22.265259</v>
      </c>
      <c r="W112" s="141">
        <v>22.438521999999999</v>
      </c>
      <c r="X112" s="141">
        <v>22.608433000000002</v>
      </c>
      <c r="Y112" s="141">
        <v>22.800034</v>
      </c>
      <c r="Z112" s="141">
        <v>23.011658000000001</v>
      </c>
      <c r="AA112" s="141">
        <v>23.186775000000001</v>
      </c>
      <c r="AB112" s="141">
        <v>23.391161</v>
      </c>
      <c r="AC112" s="141">
        <v>23.609210999999998</v>
      </c>
      <c r="AD112" s="141">
        <v>23.818702999999999</v>
      </c>
      <c r="AE112" s="141">
        <v>24.056145000000001</v>
      </c>
      <c r="AF112" s="142">
        <v>4.0049999999999999E-3</v>
      </c>
      <c r="AG112" s="87"/>
    </row>
    <row r="113" spans="1:33" ht="15" customHeight="1" x14ac:dyDescent="0.3">
      <c r="A113" s="92" t="s">
        <v>2757</v>
      </c>
      <c r="B113" s="130" t="s">
        <v>2758</v>
      </c>
      <c r="C113" s="131">
        <v>0.112023</v>
      </c>
      <c r="D113" s="131">
        <v>0.123458</v>
      </c>
      <c r="E113" s="131">
        <v>0.13652900000000001</v>
      </c>
      <c r="F113" s="131">
        <v>0.14977699999999999</v>
      </c>
      <c r="G113" s="131">
        <v>0.16300899999999999</v>
      </c>
      <c r="H113" s="131">
        <v>0.17658499999999999</v>
      </c>
      <c r="I113" s="131">
        <v>0.19053</v>
      </c>
      <c r="J113" s="131">
        <v>0.20494499999999999</v>
      </c>
      <c r="K113" s="131">
        <v>0.21981999999999999</v>
      </c>
      <c r="L113" s="131">
        <v>0.23524600000000001</v>
      </c>
      <c r="M113" s="131">
        <v>0.25148999999999999</v>
      </c>
      <c r="N113" s="131">
        <v>0.26793699999999998</v>
      </c>
      <c r="O113" s="131">
        <v>0.28465000000000001</v>
      </c>
      <c r="P113" s="131">
        <v>0.29947400000000002</v>
      </c>
      <c r="Q113" s="131">
        <v>0.31491799999999998</v>
      </c>
      <c r="R113" s="131">
        <v>0.33096799999999998</v>
      </c>
      <c r="S113" s="131">
        <v>0.34801199999999999</v>
      </c>
      <c r="T113" s="131">
        <v>0.36618699999999998</v>
      </c>
      <c r="U113" s="131">
        <v>0.38540000000000002</v>
      </c>
      <c r="V113" s="131">
        <v>0.40570899999999999</v>
      </c>
      <c r="W113" s="131">
        <v>0.427124</v>
      </c>
      <c r="X113" s="131">
        <v>0.44966</v>
      </c>
      <c r="Y113" s="131">
        <v>0.47307100000000002</v>
      </c>
      <c r="Z113" s="131">
        <v>0.49757400000000002</v>
      </c>
      <c r="AA113" s="131">
        <v>0.52299700000000005</v>
      </c>
      <c r="AB113" s="131">
        <v>0.54935500000000004</v>
      </c>
      <c r="AC113" s="131">
        <v>0.57694599999999996</v>
      </c>
      <c r="AD113" s="131">
        <v>0.60526800000000003</v>
      </c>
      <c r="AE113" s="131">
        <v>0.63452399999999998</v>
      </c>
      <c r="AF113" s="132">
        <v>6.3893000000000005E-2</v>
      </c>
      <c r="AG113" s="87"/>
    </row>
    <row r="114" spans="1:33" ht="15" customHeight="1" x14ac:dyDescent="0.3">
      <c r="A114" s="92" t="s">
        <v>2759</v>
      </c>
      <c r="B114" s="129" t="s">
        <v>2760</v>
      </c>
      <c r="C114" s="133">
        <v>21.396872999999999</v>
      </c>
      <c r="D114" s="133">
        <v>20.998363000000001</v>
      </c>
      <c r="E114" s="133">
        <v>20.851828000000001</v>
      </c>
      <c r="F114" s="133">
        <v>20.977810000000002</v>
      </c>
      <c r="G114" s="133">
        <v>21.028528000000001</v>
      </c>
      <c r="H114" s="133">
        <v>21.072931000000001</v>
      </c>
      <c r="I114" s="133">
        <v>21.076872000000002</v>
      </c>
      <c r="J114" s="133">
        <v>21.063019000000001</v>
      </c>
      <c r="K114" s="133">
        <v>21.049913</v>
      </c>
      <c r="L114" s="133">
        <v>21.081185999999999</v>
      </c>
      <c r="M114" s="133">
        <v>21.161451</v>
      </c>
      <c r="N114" s="133">
        <v>21.213740999999999</v>
      </c>
      <c r="O114" s="133">
        <v>21.302902</v>
      </c>
      <c r="P114" s="133">
        <v>21.398797999999999</v>
      </c>
      <c r="Q114" s="133">
        <v>21.510448</v>
      </c>
      <c r="R114" s="133">
        <v>21.59572</v>
      </c>
      <c r="S114" s="133">
        <v>21.641013999999998</v>
      </c>
      <c r="T114" s="133">
        <v>21.687172</v>
      </c>
      <c r="U114" s="133">
        <v>21.760549999999999</v>
      </c>
      <c r="V114" s="133">
        <v>21.859549000000001</v>
      </c>
      <c r="W114" s="133">
        <v>22.011398</v>
      </c>
      <c r="X114" s="133">
        <v>22.158773</v>
      </c>
      <c r="Y114" s="133">
        <v>22.326962999999999</v>
      </c>
      <c r="Z114" s="133">
        <v>22.514084</v>
      </c>
      <c r="AA114" s="133">
        <v>22.663778000000001</v>
      </c>
      <c r="AB114" s="133">
        <v>22.841805999999998</v>
      </c>
      <c r="AC114" s="133">
        <v>23.032264999999999</v>
      </c>
      <c r="AD114" s="133">
        <v>23.213433999999999</v>
      </c>
      <c r="AE114" s="133">
        <v>23.421619</v>
      </c>
      <c r="AF114" s="134">
        <v>3.2339999999999999E-3</v>
      </c>
      <c r="AG114" s="87"/>
    </row>
    <row r="115" spans="1:33" ht="15" customHeight="1" x14ac:dyDescent="0.3"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  <c r="AA115" s="87"/>
      <c r="AB115" s="87"/>
      <c r="AC115" s="87"/>
      <c r="AD115" s="87"/>
      <c r="AE115" s="87"/>
      <c r="AF115" s="87"/>
      <c r="AG115" s="87"/>
    </row>
    <row r="116" spans="1:33" ht="15" customHeight="1" x14ac:dyDescent="0.3">
      <c r="B116" s="129" t="s">
        <v>2761</v>
      </c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  <c r="AA116" s="87"/>
      <c r="AB116" s="87"/>
      <c r="AC116" s="87"/>
      <c r="AD116" s="87"/>
      <c r="AE116" s="87"/>
      <c r="AF116" s="87"/>
      <c r="AG116" s="87"/>
    </row>
    <row r="117" spans="1:33" ht="15" customHeight="1" x14ac:dyDescent="0.3">
      <c r="A117" s="92" t="s">
        <v>137</v>
      </c>
      <c r="B117" s="130" t="s">
        <v>138</v>
      </c>
      <c r="C117" s="131">
        <v>1.4845000000000001E-2</v>
      </c>
      <c r="D117" s="131">
        <v>1.5337E-2</v>
      </c>
      <c r="E117" s="131">
        <v>1.7392999999999999E-2</v>
      </c>
      <c r="F117" s="131">
        <v>1.9101E-2</v>
      </c>
      <c r="G117" s="131">
        <v>2.0705000000000001E-2</v>
      </c>
      <c r="H117" s="131">
        <v>2.2252999999999998E-2</v>
      </c>
      <c r="I117" s="131">
        <v>2.3747000000000001E-2</v>
      </c>
      <c r="J117" s="131">
        <v>2.5304E-2</v>
      </c>
      <c r="K117" s="131">
        <v>2.6698E-2</v>
      </c>
      <c r="L117" s="131">
        <v>2.8160000000000001E-2</v>
      </c>
      <c r="M117" s="131">
        <v>2.9547E-2</v>
      </c>
      <c r="N117" s="131">
        <v>3.0886E-2</v>
      </c>
      <c r="O117" s="131">
        <v>3.2044999999999997E-2</v>
      </c>
      <c r="P117" s="131">
        <v>3.2747999999999999E-2</v>
      </c>
      <c r="Q117" s="131">
        <v>3.3270000000000001E-2</v>
      </c>
      <c r="R117" s="131">
        <v>3.3674000000000003E-2</v>
      </c>
      <c r="S117" s="131">
        <v>3.3866E-2</v>
      </c>
      <c r="T117" s="131">
        <v>3.424E-2</v>
      </c>
      <c r="U117" s="131">
        <v>3.4597999999999997E-2</v>
      </c>
      <c r="V117" s="131">
        <v>3.5140999999999999E-2</v>
      </c>
      <c r="W117" s="131">
        <v>3.5660999999999998E-2</v>
      </c>
      <c r="X117" s="131">
        <v>3.6152999999999998E-2</v>
      </c>
      <c r="Y117" s="131">
        <v>3.6614000000000001E-2</v>
      </c>
      <c r="Z117" s="131">
        <v>3.7157999999999997E-2</v>
      </c>
      <c r="AA117" s="131">
        <v>3.7769999999999998E-2</v>
      </c>
      <c r="AB117" s="131">
        <v>3.8505999999999999E-2</v>
      </c>
      <c r="AC117" s="131">
        <v>3.9142999999999997E-2</v>
      </c>
      <c r="AD117" s="131">
        <v>3.9898999999999997E-2</v>
      </c>
      <c r="AE117" s="131">
        <v>4.0578000000000003E-2</v>
      </c>
      <c r="AF117" s="132">
        <v>3.6565E-2</v>
      </c>
      <c r="AG117" s="87"/>
    </row>
    <row r="118" spans="1:33" ht="15" customHeight="1" x14ac:dyDescent="0.3">
      <c r="A118" s="92" t="s">
        <v>139</v>
      </c>
      <c r="B118" s="130" t="s">
        <v>140</v>
      </c>
      <c r="C118" s="131">
        <v>5.7070999999999997E-2</v>
      </c>
      <c r="D118" s="131">
        <v>6.5246999999999999E-2</v>
      </c>
      <c r="E118" s="131">
        <v>7.4490000000000001E-2</v>
      </c>
      <c r="F118" s="131">
        <v>8.2332000000000002E-2</v>
      </c>
      <c r="G118" s="131">
        <v>8.9647000000000004E-2</v>
      </c>
      <c r="H118" s="131">
        <v>9.6698999999999993E-2</v>
      </c>
      <c r="I118" s="131">
        <v>0.103424</v>
      </c>
      <c r="J118" s="131">
        <v>0.110056</v>
      </c>
      <c r="K118" s="131">
        <v>0.11708300000000001</v>
      </c>
      <c r="L118" s="131">
        <v>0.1244</v>
      </c>
      <c r="M118" s="131">
        <v>0.13175400000000001</v>
      </c>
      <c r="N118" s="131">
        <v>0.136737</v>
      </c>
      <c r="O118" s="131">
        <v>0.13999400000000001</v>
      </c>
      <c r="P118" s="131">
        <v>0.13961699999999999</v>
      </c>
      <c r="Q118" s="131">
        <v>0.13946500000000001</v>
      </c>
      <c r="R118" s="131">
        <v>0.13922100000000001</v>
      </c>
      <c r="S118" s="131">
        <v>0.13922000000000001</v>
      </c>
      <c r="T118" s="131">
        <v>0.139213</v>
      </c>
      <c r="U118" s="131">
        <v>0.139127</v>
      </c>
      <c r="V118" s="131">
        <v>0.139539</v>
      </c>
      <c r="W118" s="131">
        <v>0.13955999999999999</v>
      </c>
      <c r="X118" s="131">
        <v>0.13979800000000001</v>
      </c>
      <c r="Y118" s="131">
        <v>0.139983</v>
      </c>
      <c r="Z118" s="131">
        <v>0.14035800000000001</v>
      </c>
      <c r="AA118" s="131">
        <v>0.140489</v>
      </c>
      <c r="AB118" s="131">
        <v>0.140678</v>
      </c>
      <c r="AC118" s="131">
        <v>0.140518</v>
      </c>
      <c r="AD118" s="131">
        <v>0.14077500000000001</v>
      </c>
      <c r="AE118" s="131">
        <v>0.140678</v>
      </c>
      <c r="AF118" s="132">
        <v>3.2745000000000003E-2</v>
      </c>
      <c r="AG118" s="87"/>
    </row>
    <row r="119" spans="1:33" ht="15" customHeight="1" x14ac:dyDescent="0.3">
      <c r="A119" s="92" t="s">
        <v>141</v>
      </c>
      <c r="B119" s="130" t="s">
        <v>142</v>
      </c>
      <c r="C119" s="131">
        <v>0.32074200000000003</v>
      </c>
      <c r="D119" s="131">
        <v>0.35317799999999999</v>
      </c>
      <c r="E119" s="131">
        <v>0.39725199999999999</v>
      </c>
      <c r="F119" s="131">
        <v>0.43442599999999998</v>
      </c>
      <c r="G119" s="131">
        <v>0.47073300000000001</v>
      </c>
      <c r="H119" s="131">
        <v>0.50977799999999995</v>
      </c>
      <c r="I119" s="131">
        <v>0.54817300000000002</v>
      </c>
      <c r="J119" s="131">
        <v>0.58955800000000003</v>
      </c>
      <c r="K119" s="131">
        <v>0.63500900000000005</v>
      </c>
      <c r="L119" s="131">
        <v>0.682952</v>
      </c>
      <c r="M119" s="131">
        <v>0.73329999999999995</v>
      </c>
      <c r="N119" s="131">
        <v>0.78193000000000001</v>
      </c>
      <c r="O119" s="131">
        <v>0.83591400000000005</v>
      </c>
      <c r="P119" s="131">
        <v>0.88302199999999997</v>
      </c>
      <c r="Q119" s="131">
        <v>0.92925899999999995</v>
      </c>
      <c r="R119" s="131">
        <v>0.97457099999999997</v>
      </c>
      <c r="S119" s="131">
        <v>1.022575</v>
      </c>
      <c r="T119" s="131">
        <v>1.0770759999999999</v>
      </c>
      <c r="U119" s="131">
        <v>1.132468</v>
      </c>
      <c r="V119" s="131">
        <v>1.1976089999999999</v>
      </c>
      <c r="W119" s="131">
        <v>1.2617700000000001</v>
      </c>
      <c r="X119" s="131">
        <v>1.3309089999999999</v>
      </c>
      <c r="Y119" s="131">
        <v>1.4054310000000001</v>
      </c>
      <c r="Z119" s="131">
        <v>1.4835309999999999</v>
      </c>
      <c r="AA119" s="131">
        <v>1.559299</v>
      </c>
      <c r="AB119" s="131">
        <v>1.639516</v>
      </c>
      <c r="AC119" s="131">
        <v>1.7206680000000001</v>
      </c>
      <c r="AD119" s="131">
        <v>1.8081609999999999</v>
      </c>
      <c r="AE119" s="131">
        <v>1.890247</v>
      </c>
      <c r="AF119" s="132">
        <v>6.5401000000000001E-2</v>
      </c>
      <c r="AG119" s="87"/>
    </row>
    <row r="120" spans="1:33" ht="15" customHeight="1" x14ac:dyDescent="0.3">
      <c r="A120" s="92" t="s">
        <v>143</v>
      </c>
      <c r="B120" s="130" t="s">
        <v>144</v>
      </c>
      <c r="C120" s="131">
        <v>5.6099999999999998E-4</v>
      </c>
      <c r="D120" s="131">
        <v>6.0300000000000002E-4</v>
      </c>
      <c r="E120" s="131">
        <v>6.5899999999999997E-4</v>
      </c>
      <c r="F120" s="131">
        <v>7.0500000000000001E-4</v>
      </c>
      <c r="G120" s="131">
        <v>7.4799999999999997E-4</v>
      </c>
      <c r="H120" s="131">
        <v>8.0099999999999995E-4</v>
      </c>
      <c r="I120" s="131">
        <v>8.5400000000000005E-4</v>
      </c>
      <c r="J120" s="131">
        <v>9.0700000000000004E-4</v>
      </c>
      <c r="K120" s="131">
        <v>9.6000000000000002E-4</v>
      </c>
      <c r="L120" s="131">
        <v>1.0169999999999999E-3</v>
      </c>
      <c r="M120" s="131">
        <v>1.072E-3</v>
      </c>
      <c r="N120" s="131">
        <v>1.122E-3</v>
      </c>
      <c r="O120" s="131">
        <v>1.122E-3</v>
      </c>
      <c r="P120" s="131">
        <v>1.127E-3</v>
      </c>
      <c r="Q120" s="131">
        <v>1.126E-3</v>
      </c>
      <c r="R120" s="131">
        <v>1.1280000000000001E-3</v>
      </c>
      <c r="S120" s="131">
        <v>1.1280000000000001E-3</v>
      </c>
      <c r="T120" s="131">
        <v>1.1299999999999999E-3</v>
      </c>
      <c r="U120" s="131">
        <v>1.1349999999999999E-3</v>
      </c>
      <c r="V120" s="131">
        <v>1.1440000000000001E-3</v>
      </c>
      <c r="W120" s="131">
        <v>1.1460000000000001E-3</v>
      </c>
      <c r="X120" s="131">
        <v>1.1540000000000001E-3</v>
      </c>
      <c r="Y120" s="131">
        <v>1.1620000000000001E-3</v>
      </c>
      <c r="Z120" s="131">
        <v>1.17E-3</v>
      </c>
      <c r="AA120" s="131">
        <v>1.1770000000000001E-3</v>
      </c>
      <c r="AB120" s="131">
        <v>1.183E-3</v>
      </c>
      <c r="AC120" s="131">
        <v>1.1869999999999999E-3</v>
      </c>
      <c r="AD120" s="131">
        <v>1.194E-3</v>
      </c>
      <c r="AE120" s="131">
        <v>1.1919999999999999E-3</v>
      </c>
      <c r="AF120" s="132">
        <v>2.7265000000000001E-2</v>
      </c>
      <c r="AG120" s="87"/>
    </row>
    <row r="121" spans="1:33" ht="15" customHeight="1" x14ac:dyDescent="0.3">
      <c r="A121" s="92" t="s">
        <v>145</v>
      </c>
      <c r="B121" s="129" t="s">
        <v>146</v>
      </c>
      <c r="C121" s="133">
        <v>0.39321899999999999</v>
      </c>
      <c r="D121" s="133">
        <v>0.43436599999999997</v>
      </c>
      <c r="E121" s="133">
        <v>0.48979299999999998</v>
      </c>
      <c r="F121" s="133">
        <v>0.53656400000000004</v>
      </c>
      <c r="G121" s="133">
        <v>0.58183300000000004</v>
      </c>
      <c r="H121" s="133">
        <v>0.62953099999999995</v>
      </c>
      <c r="I121" s="133">
        <v>0.67619799999999997</v>
      </c>
      <c r="J121" s="133">
        <v>0.72582400000000002</v>
      </c>
      <c r="K121" s="133">
        <v>0.77975099999999997</v>
      </c>
      <c r="L121" s="133">
        <v>0.83652899999999997</v>
      </c>
      <c r="M121" s="133">
        <v>0.89567300000000005</v>
      </c>
      <c r="N121" s="133">
        <v>0.95067500000000005</v>
      </c>
      <c r="O121" s="133">
        <v>1.0090749999999999</v>
      </c>
      <c r="P121" s="133">
        <v>1.056513</v>
      </c>
      <c r="Q121" s="133">
        <v>1.103119</v>
      </c>
      <c r="R121" s="133">
        <v>1.148593</v>
      </c>
      <c r="S121" s="133">
        <v>1.1967890000000001</v>
      </c>
      <c r="T121" s="133">
        <v>1.2516590000000001</v>
      </c>
      <c r="U121" s="133">
        <v>1.307328</v>
      </c>
      <c r="V121" s="133">
        <v>1.3734329999999999</v>
      </c>
      <c r="W121" s="133">
        <v>1.438137</v>
      </c>
      <c r="X121" s="133">
        <v>1.508014</v>
      </c>
      <c r="Y121" s="133">
        <v>1.5831900000000001</v>
      </c>
      <c r="Z121" s="133">
        <v>1.662218</v>
      </c>
      <c r="AA121" s="133">
        <v>1.7387349999999999</v>
      </c>
      <c r="AB121" s="133">
        <v>1.8198840000000001</v>
      </c>
      <c r="AC121" s="133">
        <v>1.9015150000000001</v>
      </c>
      <c r="AD121" s="133">
        <v>1.990029</v>
      </c>
      <c r="AE121" s="133">
        <v>2.072695</v>
      </c>
      <c r="AF121" s="134">
        <v>6.1163000000000002E-2</v>
      </c>
      <c r="AG121" s="87"/>
    </row>
    <row r="122" spans="1:33" ht="15" customHeight="1" x14ac:dyDescent="0.3"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  <c r="AA122" s="87"/>
      <c r="AB122" s="87"/>
      <c r="AC122" s="87"/>
      <c r="AD122" s="87"/>
      <c r="AE122" s="87"/>
      <c r="AF122" s="87"/>
      <c r="AG122" s="87"/>
    </row>
    <row r="123" spans="1:33" ht="15" customHeight="1" x14ac:dyDescent="0.3">
      <c r="B123" s="129" t="s">
        <v>147</v>
      </c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</row>
    <row r="124" spans="1:33" ht="15" customHeight="1" x14ac:dyDescent="0.3">
      <c r="A124" s="92" t="s">
        <v>148</v>
      </c>
      <c r="B124" s="130" t="s">
        <v>149</v>
      </c>
      <c r="C124" s="135">
        <v>6198</v>
      </c>
      <c r="D124" s="135">
        <v>6420</v>
      </c>
      <c r="E124" s="135">
        <v>5972</v>
      </c>
      <c r="F124" s="135">
        <v>5949</v>
      </c>
      <c r="G124" s="135">
        <v>5925</v>
      </c>
      <c r="H124" s="135">
        <v>5902</v>
      </c>
      <c r="I124" s="135">
        <v>5878</v>
      </c>
      <c r="J124" s="135">
        <v>5854</v>
      </c>
      <c r="K124" s="135">
        <v>5830</v>
      </c>
      <c r="L124" s="135">
        <v>5807</v>
      </c>
      <c r="M124" s="135">
        <v>5783</v>
      </c>
      <c r="N124" s="135">
        <v>5759</v>
      </c>
      <c r="O124" s="135">
        <v>5735</v>
      </c>
      <c r="P124" s="135">
        <v>5711</v>
      </c>
      <c r="Q124" s="135">
        <v>5687</v>
      </c>
      <c r="R124" s="135">
        <v>5663</v>
      </c>
      <c r="S124" s="135">
        <v>5639</v>
      </c>
      <c r="T124" s="135">
        <v>5615</v>
      </c>
      <c r="U124" s="135">
        <v>5591</v>
      </c>
      <c r="V124" s="135">
        <v>5567</v>
      </c>
      <c r="W124" s="135">
        <v>5543</v>
      </c>
      <c r="X124" s="135">
        <v>5519</v>
      </c>
      <c r="Y124" s="135">
        <v>5495</v>
      </c>
      <c r="Z124" s="135">
        <v>5471</v>
      </c>
      <c r="AA124" s="135">
        <v>5447</v>
      </c>
      <c r="AB124" s="135">
        <v>5423</v>
      </c>
      <c r="AC124" s="135">
        <v>5399</v>
      </c>
      <c r="AD124" s="135">
        <v>5374</v>
      </c>
      <c r="AE124" s="135">
        <v>5350</v>
      </c>
      <c r="AF124" s="132">
        <v>-5.241E-3</v>
      </c>
      <c r="AG124" s="87"/>
    </row>
    <row r="125" spans="1:33" ht="15" customHeight="1" x14ac:dyDescent="0.3">
      <c r="A125" s="92" t="s">
        <v>150</v>
      </c>
      <c r="B125" s="130" t="s">
        <v>151</v>
      </c>
      <c r="C125" s="135">
        <v>5742</v>
      </c>
      <c r="D125" s="135">
        <v>5779</v>
      </c>
      <c r="E125" s="135">
        <v>5348</v>
      </c>
      <c r="F125" s="135">
        <v>5325</v>
      </c>
      <c r="G125" s="135">
        <v>5303</v>
      </c>
      <c r="H125" s="135">
        <v>5281</v>
      </c>
      <c r="I125" s="135">
        <v>5259</v>
      </c>
      <c r="J125" s="135">
        <v>5236</v>
      </c>
      <c r="K125" s="135">
        <v>5214</v>
      </c>
      <c r="L125" s="135">
        <v>5192</v>
      </c>
      <c r="M125" s="135">
        <v>5169</v>
      </c>
      <c r="N125" s="135">
        <v>5147</v>
      </c>
      <c r="O125" s="135">
        <v>5125</v>
      </c>
      <c r="P125" s="135">
        <v>5102</v>
      </c>
      <c r="Q125" s="135">
        <v>5080</v>
      </c>
      <c r="R125" s="135">
        <v>5058</v>
      </c>
      <c r="S125" s="135">
        <v>5036</v>
      </c>
      <c r="T125" s="135">
        <v>5013</v>
      </c>
      <c r="U125" s="135">
        <v>4991</v>
      </c>
      <c r="V125" s="135">
        <v>4969</v>
      </c>
      <c r="W125" s="135">
        <v>4947</v>
      </c>
      <c r="X125" s="135">
        <v>4924</v>
      </c>
      <c r="Y125" s="135">
        <v>4902</v>
      </c>
      <c r="Z125" s="135">
        <v>4880</v>
      </c>
      <c r="AA125" s="135">
        <v>4858</v>
      </c>
      <c r="AB125" s="135">
        <v>4835</v>
      </c>
      <c r="AC125" s="135">
        <v>4813</v>
      </c>
      <c r="AD125" s="135">
        <v>4791</v>
      </c>
      <c r="AE125" s="135">
        <v>4769</v>
      </c>
      <c r="AF125" s="132">
        <v>-6.6090000000000003E-3</v>
      </c>
      <c r="AG125" s="87"/>
    </row>
    <row r="126" spans="1:33" ht="15" customHeight="1" x14ac:dyDescent="0.3">
      <c r="A126" s="92" t="s">
        <v>152</v>
      </c>
      <c r="B126" s="130" t="s">
        <v>153</v>
      </c>
      <c r="C126" s="135">
        <v>6427</v>
      </c>
      <c r="D126" s="135">
        <v>6306</v>
      </c>
      <c r="E126" s="135">
        <v>5982</v>
      </c>
      <c r="F126" s="135">
        <v>5967</v>
      </c>
      <c r="G126" s="135">
        <v>5953</v>
      </c>
      <c r="H126" s="135">
        <v>5938</v>
      </c>
      <c r="I126" s="135">
        <v>5923</v>
      </c>
      <c r="J126" s="135">
        <v>5908</v>
      </c>
      <c r="K126" s="135">
        <v>5893</v>
      </c>
      <c r="L126" s="135">
        <v>5879</v>
      </c>
      <c r="M126" s="135">
        <v>5864</v>
      </c>
      <c r="N126" s="135">
        <v>5849</v>
      </c>
      <c r="O126" s="135">
        <v>5834</v>
      </c>
      <c r="P126" s="135">
        <v>5819</v>
      </c>
      <c r="Q126" s="135">
        <v>5804</v>
      </c>
      <c r="R126" s="135">
        <v>5790</v>
      </c>
      <c r="S126" s="135">
        <v>5775</v>
      </c>
      <c r="T126" s="135">
        <v>5760</v>
      </c>
      <c r="U126" s="135">
        <v>5745</v>
      </c>
      <c r="V126" s="135">
        <v>5730</v>
      </c>
      <c r="W126" s="135">
        <v>5715</v>
      </c>
      <c r="X126" s="135">
        <v>5701</v>
      </c>
      <c r="Y126" s="135">
        <v>5686</v>
      </c>
      <c r="Z126" s="135">
        <v>5671</v>
      </c>
      <c r="AA126" s="135">
        <v>5656</v>
      </c>
      <c r="AB126" s="135">
        <v>5641</v>
      </c>
      <c r="AC126" s="135">
        <v>5626</v>
      </c>
      <c r="AD126" s="135">
        <v>5611</v>
      </c>
      <c r="AE126" s="135">
        <v>5597</v>
      </c>
      <c r="AF126" s="132">
        <v>-4.9259999999999998E-3</v>
      </c>
      <c r="AG126" s="87"/>
    </row>
    <row r="127" spans="1:33" ht="15" customHeight="1" x14ac:dyDescent="0.3">
      <c r="A127" s="92" t="s">
        <v>154</v>
      </c>
      <c r="B127" s="130" t="s">
        <v>155</v>
      </c>
      <c r="C127" s="135">
        <v>6845</v>
      </c>
      <c r="D127" s="135">
        <v>6601</v>
      </c>
      <c r="E127" s="135">
        <v>6349</v>
      </c>
      <c r="F127" s="135">
        <v>6340</v>
      </c>
      <c r="G127" s="135">
        <v>6330</v>
      </c>
      <c r="H127" s="135">
        <v>6321</v>
      </c>
      <c r="I127" s="135">
        <v>6311</v>
      </c>
      <c r="J127" s="135">
        <v>6301</v>
      </c>
      <c r="K127" s="135">
        <v>6291</v>
      </c>
      <c r="L127" s="135">
        <v>6281</v>
      </c>
      <c r="M127" s="135">
        <v>6271</v>
      </c>
      <c r="N127" s="135">
        <v>6261</v>
      </c>
      <c r="O127" s="135">
        <v>6250</v>
      </c>
      <c r="P127" s="135">
        <v>6240</v>
      </c>
      <c r="Q127" s="135">
        <v>6230</v>
      </c>
      <c r="R127" s="135">
        <v>6219</v>
      </c>
      <c r="S127" s="135">
        <v>6209</v>
      </c>
      <c r="T127" s="135">
        <v>6198</v>
      </c>
      <c r="U127" s="135">
        <v>6188</v>
      </c>
      <c r="V127" s="135">
        <v>6177</v>
      </c>
      <c r="W127" s="135">
        <v>6167</v>
      </c>
      <c r="X127" s="135">
        <v>6156</v>
      </c>
      <c r="Y127" s="135">
        <v>6145</v>
      </c>
      <c r="Z127" s="135">
        <v>6135</v>
      </c>
      <c r="AA127" s="135">
        <v>6124</v>
      </c>
      <c r="AB127" s="135">
        <v>6113</v>
      </c>
      <c r="AC127" s="135">
        <v>6103</v>
      </c>
      <c r="AD127" s="135">
        <v>6092</v>
      </c>
      <c r="AE127" s="135">
        <v>6081</v>
      </c>
      <c r="AF127" s="132">
        <v>-4.2180000000000004E-3</v>
      </c>
      <c r="AG127" s="87"/>
    </row>
    <row r="128" spans="1:33" ht="15" customHeight="1" x14ac:dyDescent="0.3">
      <c r="A128" s="92" t="s">
        <v>156</v>
      </c>
      <c r="B128" s="130" t="s">
        <v>157</v>
      </c>
      <c r="C128" s="135">
        <v>2566</v>
      </c>
      <c r="D128" s="135">
        <v>2600</v>
      </c>
      <c r="E128" s="135">
        <v>2375</v>
      </c>
      <c r="F128" s="135">
        <v>2358</v>
      </c>
      <c r="G128" s="135">
        <v>2342</v>
      </c>
      <c r="H128" s="135">
        <v>2326</v>
      </c>
      <c r="I128" s="135">
        <v>2310</v>
      </c>
      <c r="J128" s="135">
        <v>2294</v>
      </c>
      <c r="K128" s="135">
        <v>2277</v>
      </c>
      <c r="L128" s="135">
        <v>2261</v>
      </c>
      <c r="M128" s="135">
        <v>2245</v>
      </c>
      <c r="N128" s="135">
        <v>2229</v>
      </c>
      <c r="O128" s="135">
        <v>2213</v>
      </c>
      <c r="P128" s="135">
        <v>2197</v>
      </c>
      <c r="Q128" s="135">
        <v>2180</v>
      </c>
      <c r="R128" s="135">
        <v>2164</v>
      </c>
      <c r="S128" s="135">
        <v>2148</v>
      </c>
      <c r="T128" s="135">
        <v>2132</v>
      </c>
      <c r="U128" s="135">
        <v>2116</v>
      </c>
      <c r="V128" s="135">
        <v>2100</v>
      </c>
      <c r="W128" s="135">
        <v>2084</v>
      </c>
      <c r="X128" s="135">
        <v>2068</v>
      </c>
      <c r="Y128" s="135">
        <v>2052</v>
      </c>
      <c r="Z128" s="135">
        <v>2036</v>
      </c>
      <c r="AA128" s="135">
        <v>2020</v>
      </c>
      <c r="AB128" s="135">
        <v>2005</v>
      </c>
      <c r="AC128" s="135">
        <v>1989</v>
      </c>
      <c r="AD128" s="135">
        <v>1973</v>
      </c>
      <c r="AE128" s="135">
        <v>1957</v>
      </c>
      <c r="AF128" s="132">
        <v>-9.6299999999999997E-3</v>
      </c>
      <c r="AG128" s="87"/>
    </row>
    <row r="129" spans="1:33" ht="15" customHeight="1" x14ac:dyDescent="0.3">
      <c r="A129" s="92" t="s">
        <v>158</v>
      </c>
      <c r="B129" s="130" t="s">
        <v>159</v>
      </c>
      <c r="C129" s="135">
        <v>3487</v>
      </c>
      <c r="D129" s="135">
        <v>3442</v>
      </c>
      <c r="E129" s="135">
        <v>3180</v>
      </c>
      <c r="F129" s="135">
        <v>3168</v>
      </c>
      <c r="G129" s="135">
        <v>3156</v>
      </c>
      <c r="H129" s="135">
        <v>3144</v>
      </c>
      <c r="I129" s="135">
        <v>3131</v>
      </c>
      <c r="J129" s="135">
        <v>3119</v>
      </c>
      <c r="K129" s="135">
        <v>3106</v>
      </c>
      <c r="L129" s="135">
        <v>3094</v>
      </c>
      <c r="M129" s="135">
        <v>3081</v>
      </c>
      <c r="N129" s="135">
        <v>3069</v>
      </c>
      <c r="O129" s="135">
        <v>3056</v>
      </c>
      <c r="P129" s="135">
        <v>3043</v>
      </c>
      <c r="Q129" s="135">
        <v>3031</v>
      </c>
      <c r="R129" s="135">
        <v>3018</v>
      </c>
      <c r="S129" s="135">
        <v>3005</v>
      </c>
      <c r="T129" s="135">
        <v>2992</v>
      </c>
      <c r="U129" s="135">
        <v>2980</v>
      </c>
      <c r="V129" s="135">
        <v>2967</v>
      </c>
      <c r="W129" s="135">
        <v>2954</v>
      </c>
      <c r="X129" s="135">
        <v>2941</v>
      </c>
      <c r="Y129" s="135">
        <v>2929</v>
      </c>
      <c r="Z129" s="135">
        <v>2916</v>
      </c>
      <c r="AA129" s="135">
        <v>2903</v>
      </c>
      <c r="AB129" s="135">
        <v>2890</v>
      </c>
      <c r="AC129" s="135">
        <v>2877</v>
      </c>
      <c r="AD129" s="135">
        <v>2865</v>
      </c>
      <c r="AE129" s="135">
        <v>2852</v>
      </c>
      <c r="AF129" s="132">
        <v>-7.1539999999999998E-3</v>
      </c>
      <c r="AG129" s="87"/>
    </row>
    <row r="130" spans="1:33" ht="15" customHeight="1" x14ac:dyDescent="0.3">
      <c r="A130" s="92" t="s">
        <v>160</v>
      </c>
      <c r="B130" s="130" t="s">
        <v>161</v>
      </c>
      <c r="C130" s="135">
        <v>2195</v>
      </c>
      <c r="D130" s="135">
        <v>2056</v>
      </c>
      <c r="E130" s="135">
        <v>1942</v>
      </c>
      <c r="F130" s="135">
        <v>1934</v>
      </c>
      <c r="G130" s="135">
        <v>1925</v>
      </c>
      <c r="H130" s="135">
        <v>1916</v>
      </c>
      <c r="I130" s="135">
        <v>1908</v>
      </c>
      <c r="J130" s="135">
        <v>1899</v>
      </c>
      <c r="K130" s="135">
        <v>1891</v>
      </c>
      <c r="L130" s="135">
        <v>1882</v>
      </c>
      <c r="M130" s="135">
        <v>1874</v>
      </c>
      <c r="N130" s="135">
        <v>1865</v>
      </c>
      <c r="O130" s="135">
        <v>1857</v>
      </c>
      <c r="P130" s="135">
        <v>1849</v>
      </c>
      <c r="Q130" s="135">
        <v>1840</v>
      </c>
      <c r="R130" s="135">
        <v>1832</v>
      </c>
      <c r="S130" s="135">
        <v>1824</v>
      </c>
      <c r="T130" s="135">
        <v>1815</v>
      </c>
      <c r="U130" s="135">
        <v>1807</v>
      </c>
      <c r="V130" s="135">
        <v>1799</v>
      </c>
      <c r="W130" s="135">
        <v>1791</v>
      </c>
      <c r="X130" s="135">
        <v>1783</v>
      </c>
      <c r="Y130" s="135">
        <v>1774</v>
      </c>
      <c r="Z130" s="135">
        <v>1766</v>
      </c>
      <c r="AA130" s="135">
        <v>1758</v>
      </c>
      <c r="AB130" s="135">
        <v>1750</v>
      </c>
      <c r="AC130" s="135">
        <v>1742</v>
      </c>
      <c r="AD130" s="135">
        <v>1734</v>
      </c>
      <c r="AE130" s="135">
        <v>1726</v>
      </c>
      <c r="AF130" s="132">
        <v>-8.548E-3</v>
      </c>
      <c r="AG130" s="87"/>
    </row>
    <row r="131" spans="1:33" ht="15" customHeight="1" x14ac:dyDescent="0.3">
      <c r="A131" s="92" t="s">
        <v>162</v>
      </c>
      <c r="B131" s="130" t="s">
        <v>163</v>
      </c>
      <c r="C131" s="135">
        <v>4970</v>
      </c>
      <c r="D131" s="135">
        <v>4978</v>
      </c>
      <c r="E131" s="135">
        <v>4789</v>
      </c>
      <c r="F131" s="135">
        <v>4776</v>
      </c>
      <c r="G131" s="135">
        <v>4763</v>
      </c>
      <c r="H131" s="135">
        <v>4751</v>
      </c>
      <c r="I131" s="135">
        <v>4738</v>
      </c>
      <c r="J131" s="135">
        <v>4725</v>
      </c>
      <c r="K131" s="135">
        <v>4712</v>
      </c>
      <c r="L131" s="135">
        <v>4698</v>
      </c>
      <c r="M131" s="135">
        <v>4685</v>
      </c>
      <c r="N131" s="135">
        <v>4672</v>
      </c>
      <c r="O131" s="135">
        <v>4658</v>
      </c>
      <c r="P131" s="135">
        <v>4645</v>
      </c>
      <c r="Q131" s="135">
        <v>4632</v>
      </c>
      <c r="R131" s="135">
        <v>4619</v>
      </c>
      <c r="S131" s="135">
        <v>4606</v>
      </c>
      <c r="T131" s="135">
        <v>4593</v>
      </c>
      <c r="U131" s="135">
        <v>4580</v>
      </c>
      <c r="V131" s="135">
        <v>4568</v>
      </c>
      <c r="W131" s="135">
        <v>4555</v>
      </c>
      <c r="X131" s="135">
        <v>4542</v>
      </c>
      <c r="Y131" s="135">
        <v>4530</v>
      </c>
      <c r="Z131" s="135">
        <v>4517</v>
      </c>
      <c r="AA131" s="135">
        <v>4504</v>
      </c>
      <c r="AB131" s="135">
        <v>4492</v>
      </c>
      <c r="AC131" s="135">
        <v>4479</v>
      </c>
      <c r="AD131" s="135">
        <v>4467</v>
      </c>
      <c r="AE131" s="135">
        <v>4454</v>
      </c>
      <c r="AF131" s="132">
        <v>-3.9069999999999999E-3</v>
      </c>
      <c r="AG131" s="87"/>
    </row>
    <row r="132" spans="1:33" ht="15" customHeight="1" x14ac:dyDescent="0.3">
      <c r="A132" s="92" t="s">
        <v>164</v>
      </c>
      <c r="B132" s="130" t="s">
        <v>165</v>
      </c>
      <c r="C132" s="135">
        <v>3212</v>
      </c>
      <c r="D132" s="135">
        <v>3503</v>
      </c>
      <c r="E132" s="135">
        <v>3250</v>
      </c>
      <c r="F132" s="135">
        <v>3241</v>
      </c>
      <c r="G132" s="135">
        <v>3232</v>
      </c>
      <c r="H132" s="135">
        <v>3223</v>
      </c>
      <c r="I132" s="135">
        <v>3213</v>
      </c>
      <c r="J132" s="135">
        <v>3204</v>
      </c>
      <c r="K132" s="135">
        <v>3195</v>
      </c>
      <c r="L132" s="135">
        <v>3185</v>
      </c>
      <c r="M132" s="135">
        <v>3176</v>
      </c>
      <c r="N132" s="135">
        <v>3166</v>
      </c>
      <c r="O132" s="135">
        <v>3157</v>
      </c>
      <c r="P132" s="135">
        <v>3147</v>
      </c>
      <c r="Q132" s="135">
        <v>3137</v>
      </c>
      <c r="R132" s="135">
        <v>3128</v>
      </c>
      <c r="S132" s="135">
        <v>3118</v>
      </c>
      <c r="T132" s="135">
        <v>3108</v>
      </c>
      <c r="U132" s="135">
        <v>3098</v>
      </c>
      <c r="V132" s="135">
        <v>3089</v>
      </c>
      <c r="W132" s="135">
        <v>3079</v>
      </c>
      <c r="X132" s="135">
        <v>3069</v>
      </c>
      <c r="Y132" s="135">
        <v>3059</v>
      </c>
      <c r="Z132" s="135">
        <v>3049</v>
      </c>
      <c r="AA132" s="135">
        <v>3040</v>
      </c>
      <c r="AB132" s="135">
        <v>3030</v>
      </c>
      <c r="AC132" s="135">
        <v>3020</v>
      </c>
      <c r="AD132" s="135">
        <v>3010</v>
      </c>
      <c r="AE132" s="135">
        <v>3000</v>
      </c>
      <c r="AF132" s="132">
        <v>-2.4359999999999998E-3</v>
      </c>
      <c r="AG132" s="87"/>
    </row>
    <row r="133" spans="1:33" ht="15" customHeight="1" x14ac:dyDescent="0.3">
      <c r="A133" s="92" t="s">
        <v>166</v>
      </c>
      <c r="B133" s="129" t="s">
        <v>167</v>
      </c>
      <c r="C133" s="137">
        <v>4234.6137699999999</v>
      </c>
      <c r="D133" s="137">
        <v>4246.6186520000001</v>
      </c>
      <c r="E133" s="137">
        <v>3976.1059570000002</v>
      </c>
      <c r="F133" s="137">
        <v>3957.180664</v>
      </c>
      <c r="G133" s="137">
        <v>3938.5415039999998</v>
      </c>
      <c r="H133" s="137">
        <v>3920.0117190000001</v>
      </c>
      <c r="I133" s="137">
        <v>3901.2561040000001</v>
      </c>
      <c r="J133" s="137">
        <v>3882.5219729999999</v>
      </c>
      <c r="K133" s="137">
        <v>3863.8103030000002</v>
      </c>
      <c r="L133" s="137">
        <v>3845.1889649999998</v>
      </c>
      <c r="M133" s="137">
        <v>3826.626221</v>
      </c>
      <c r="N133" s="137">
        <v>3807.9733890000002</v>
      </c>
      <c r="O133" s="137">
        <v>3789.4521479999999</v>
      </c>
      <c r="P133" s="137">
        <v>3770.821289</v>
      </c>
      <c r="Q133" s="137">
        <v>3752.0329590000001</v>
      </c>
      <c r="R133" s="137">
        <v>3733.780029</v>
      </c>
      <c r="S133" s="137">
        <v>3715.305664</v>
      </c>
      <c r="T133" s="137">
        <v>3696.5273440000001</v>
      </c>
      <c r="U133" s="137">
        <v>3678.117432</v>
      </c>
      <c r="V133" s="137">
        <v>3659.850586</v>
      </c>
      <c r="W133" s="137">
        <v>3641.3955080000001</v>
      </c>
      <c r="X133" s="137">
        <v>3622.8991700000001</v>
      </c>
      <c r="Y133" s="137">
        <v>3604.398682</v>
      </c>
      <c r="Z133" s="137">
        <v>3585.969482</v>
      </c>
      <c r="AA133" s="137">
        <v>3567.7004390000002</v>
      </c>
      <c r="AB133" s="137">
        <v>3549.5581050000001</v>
      </c>
      <c r="AC133" s="137">
        <v>3531.4091800000001</v>
      </c>
      <c r="AD133" s="137">
        <v>3513.482422</v>
      </c>
      <c r="AE133" s="137">
        <v>3495.6748050000001</v>
      </c>
      <c r="AF133" s="134">
        <v>-6.8250000000000003E-3</v>
      </c>
      <c r="AG133" s="87"/>
    </row>
    <row r="134" spans="1:33" ht="15" customHeight="1" x14ac:dyDescent="0.3"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</row>
    <row r="135" spans="1:33" ht="15" customHeight="1" x14ac:dyDescent="0.3">
      <c r="B135" s="129" t="s">
        <v>168</v>
      </c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</row>
    <row r="136" spans="1:33" ht="15" customHeight="1" x14ac:dyDescent="0.3">
      <c r="A136" s="92" t="s">
        <v>169</v>
      </c>
      <c r="B136" s="130" t="s">
        <v>149</v>
      </c>
      <c r="C136" s="135">
        <v>639</v>
      </c>
      <c r="D136" s="135">
        <v>500</v>
      </c>
      <c r="E136" s="135">
        <v>614</v>
      </c>
      <c r="F136" s="135">
        <v>621</v>
      </c>
      <c r="G136" s="135">
        <v>629</v>
      </c>
      <c r="H136" s="135">
        <v>636</v>
      </c>
      <c r="I136" s="135">
        <v>643</v>
      </c>
      <c r="J136" s="135">
        <v>651</v>
      </c>
      <c r="K136" s="135">
        <v>658</v>
      </c>
      <c r="L136" s="135">
        <v>665</v>
      </c>
      <c r="M136" s="135">
        <v>673</v>
      </c>
      <c r="N136" s="135">
        <v>680</v>
      </c>
      <c r="O136" s="135">
        <v>687</v>
      </c>
      <c r="P136" s="135">
        <v>695</v>
      </c>
      <c r="Q136" s="135">
        <v>702</v>
      </c>
      <c r="R136" s="135">
        <v>710</v>
      </c>
      <c r="S136" s="135">
        <v>717</v>
      </c>
      <c r="T136" s="135">
        <v>724</v>
      </c>
      <c r="U136" s="135">
        <v>732</v>
      </c>
      <c r="V136" s="135">
        <v>739</v>
      </c>
      <c r="W136" s="135">
        <v>747</v>
      </c>
      <c r="X136" s="135">
        <v>754</v>
      </c>
      <c r="Y136" s="135">
        <v>761</v>
      </c>
      <c r="Z136" s="135">
        <v>769</v>
      </c>
      <c r="AA136" s="135">
        <v>776</v>
      </c>
      <c r="AB136" s="135">
        <v>784</v>
      </c>
      <c r="AC136" s="135">
        <v>791</v>
      </c>
      <c r="AD136" s="135">
        <v>799</v>
      </c>
      <c r="AE136" s="135">
        <v>806</v>
      </c>
      <c r="AF136" s="132">
        <v>8.3269999999999993E-3</v>
      </c>
      <c r="AG136" s="87"/>
    </row>
    <row r="137" spans="1:33" ht="15" customHeight="1" x14ac:dyDescent="0.3">
      <c r="A137" s="92" t="s">
        <v>170</v>
      </c>
      <c r="B137" s="130" t="s">
        <v>151</v>
      </c>
      <c r="C137" s="135">
        <v>835</v>
      </c>
      <c r="D137" s="135">
        <v>692</v>
      </c>
      <c r="E137" s="135">
        <v>864</v>
      </c>
      <c r="F137" s="135">
        <v>874</v>
      </c>
      <c r="G137" s="135">
        <v>883</v>
      </c>
      <c r="H137" s="135">
        <v>893</v>
      </c>
      <c r="I137" s="135">
        <v>902</v>
      </c>
      <c r="J137" s="135">
        <v>912</v>
      </c>
      <c r="K137" s="135">
        <v>922</v>
      </c>
      <c r="L137" s="135">
        <v>931</v>
      </c>
      <c r="M137" s="135">
        <v>941</v>
      </c>
      <c r="N137" s="135">
        <v>950</v>
      </c>
      <c r="O137" s="135">
        <v>960</v>
      </c>
      <c r="P137" s="135">
        <v>970</v>
      </c>
      <c r="Q137" s="135">
        <v>979</v>
      </c>
      <c r="R137" s="135">
        <v>989</v>
      </c>
      <c r="S137" s="135">
        <v>999</v>
      </c>
      <c r="T137" s="135">
        <v>1008</v>
      </c>
      <c r="U137" s="135">
        <v>1018</v>
      </c>
      <c r="V137" s="135">
        <v>1027</v>
      </c>
      <c r="W137" s="135">
        <v>1037</v>
      </c>
      <c r="X137" s="135">
        <v>1047</v>
      </c>
      <c r="Y137" s="135">
        <v>1056</v>
      </c>
      <c r="Z137" s="135">
        <v>1066</v>
      </c>
      <c r="AA137" s="135">
        <v>1076</v>
      </c>
      <c r="AB137" s="135">
        <v>1085</v>
      </c>
      <c r="AC137" s="135">
        <v>1095</v>
      </c>
      <c r="AD137" s="135">
        <v>1104</v>
      </c>
      <c r="AE137" s="135">
        <v>1114</v>
      </c>
      <c r="AF137" s="132">
        <v>1.0349000000000001E-2</v>
      </c>
      <c r="AG137" s="87"/>
    </row>
    <row r="138" spans="1:33" ht="15" customHeight="1" x14ac:dyDescent="0.3">
      <c r="A138" s="92" t="s">
        <v>171</v>
      </c>
      <c r="B138" s="130" t="s">
        <v>153</v>
      </c>
      <c r="C138" s="135">
        <v>813</v>
      </c>
      <c r="D138" s="135">
        <v>752</v>
      </c>
      <c r="E138" s="135">
        <v>892</v>
      </c>
      <c r="F138" s="135">
        <v>900</v>
      </c>
      <c r="G138" s="135">
        <v>908</v>
      </c>
      <c r="H138" s="135">
        <v>916</v>
      </c>
      <c r="I138" s="135">
        <v>924</v>
      </c>
      <c r="J138" s="135">
        <v>932</v>
      </c>
      <c r="K138" s="135">
        <v>939</v>
      </c>
      <c r="L138" s="135">
        <v>947</v>
      </c>
      <c r="M138" s="135">
        <v>955</v>
      </c>
      <c r="N138" s="135">
        <v>963</v>
      </c>
      <c r="O138" s="135">
        <v>971</v>
      </c>
      <c r="P138" s="135">
        <v>979</v>
      </c>
      <c r="Q138" s="135">
        <v>987</v>
      </c>
      <c r="R138" s="135">
        <v>994</v>
      </c>
      <c r="S138" s="135">
        <v>1002</v>
      </c>
      <c r="T138" s="135">
        <v>1010</v>
      </c>
      <c r="U138" s="135">
        <v>1018</v>
      </c>
      <c r="V138" s="135">
        <v>1026</v>
      </c>
      <c r="W138" s="135">
        <v>1034</v>
      </c>
      <c r="X138" s="135">
        <v>1042</v>
      </c>
      <c r="Y138" s="135">
        <v>1050</v>
      </c>
      <c r="Z138" s="135">
        <v>1058</v>
      </c>
      <c r="AA138" s="135">
        <v>1066</v>
      </c>
      <c r="AB138" s="135">
        <v>1073</v>
      </c>
      <c r="AC138" s="135">
        <v>1081</v>
      </c>
      <c r="AD138" s="135">
        <v>1089</v>
      </c>
      <c r="AE138" s="135">
        <v>1097</v>
      </c>
      <c r="AF138" s="132">
        <v>1.0758E-2</v>
      </c>
      <c r="AG138" s="87"/>
    </row>
    <row r="139" spans="1:33" ht="15" customHeight="1" x14ac:dyDescent="0.3">
      <c r="A139" s="92" t="s">
        <v>172</v>
      </c>
      <c r="B139" s="130" t="s">
        <v>155</v>
      </c>
      <c r="C139" s="135">
        <v>1050</v>
      </c>
      <c r="D139" s="135">
        <v>944</v>
      </c>
      <c r="E139" s="135">
        <v>1069</v>
      </c>
      <c r="F139" s="135">
        <v>1077</v>
      </c>
      <c r="G139" s="135">
        <v>1084</v>
      </c>
      <c r="H139" s="135">
        <v>1091</v>
      </c>
      <c r="I139" s="135">
        <v>1099</v>
      </c>
      <c r="J139" s="135">
        <v>1106</v>
      </c>
      <c r="K139" s="135">
        <v>1114</v>
      </c>
      <c r="L139" s="135">
        <v>1121</v>
      </c>
      <c r="M139" s="135">
        <v>1129</v>
      </c>
      <c r="N139" s="135">
        <v>1136</v>
      </c>
      <c r="O139" s="135">
        <v>1144</v>
      </c>
      <c r="P139" s="135">
        <v>1151</v>
      </c>
      <c r="Q139" s="135">
        <v>1159</v>
      </c>
      <c r="R139" s="135">
        <v>1166</v>
      </c>
      <c r="S139" s="135">
        <v>1174</v>
      </c>
      <c r="T139" s="135">
        <v>1182</v>
      </c>
      <c r="U139" s="135">
        <v>1189</v>
      </c>
      <c r="V139" s="135">
        <v>1197</v>
      </c>
      <c r="W139" s="135">
        <v>1204</v>
      </c>
      <c r="X139" s="135">
        <v>1212</v>
      </c>
      <c r="Y139" s="135">
        <v>1220</v>
      </c>
      <c r="Z139" s="135">
        <v>1227</v>
      </c>
      <c r="AA139" s="135">
        <v>1235</v>
      </c>
      <c r="AB139" s="135">
        <v>1243</v>
      </c>
      <c r="AC139" s="135">
        <v>1250</v>
      </c>
      <c r="AD139" s="135">
        <v>1258</v>
      </c>
      <c r="AE139" s="135">
        <v>1266</v>
      </c>
      <c r="AF139" s="132">
        <v>6.7029999999999998E-3</v>
      </c>
      <c r="AG139" s="87"/>
    </row>
    <row r="140" spans="1:33" ht="15" customHeight="1" x14ac:dyDescent="0.3">
      <c r="A140" s="92" t="s">
        <v>173</v>
      </c>
      <c r="B140" s="130" t="s">
        <v>157</v>
      </c>
      <c r="C140" s="135">
        <v>2264</v>
      </c>
      <c r="D140" s="135">
        <v>2150</v>
      </c>
      <c r="E140" s="135">
        <v>2408</v>
      </c>
      <c r="F140" s="135">
        <v>2426</v>
      </c>
      <c r="G140" s="135">
        <v>2442</v>
      </c>
      <c r="H140" s="135">
        <v>2459</v>
      </c>
      <c r="I140" s="135">
        <v>2476</v>
      </c>
      <c r="J140" s="135">
        <v>2494</v>
      </c>
      <c r="K140" s="135">
        <v>2511</v>
      </c>
      <c r="L140" s="135">
        <v>2528</v>
      </c>
      <c r="M140" s="135">
        <v>2545</v>
      </c>
      <c r="N140" s="135">
        <v>2562</v>
      </c>
      <c r="O140" s="135">
        <v>2579</v>
      </c>
      <c r="P140" s="135">
        <v>2597</v>
      </c>
      <c r="Q140" s="135">
        <v>2614</v>
      </c>
      <c r="R140" s="135">
        <v>2632</v>
      </c>
      <c r="S140" s="135">
        <v>2649</v>
      </c>
      <c r="T140" s="135">
        <v>2666</v>
      </c>
      <c r="U140" s="135">
        <v>2684</v>
      </c>
      <c r="V140" s="135">
        <v>2701</v>
      </c>
      <c r="W140" s="135">
        <v>2719</v>
      </c>
      <c r="X140" s="135">
        <v>2736</v>
      </c>
      <c r="Y140" s="135">
        <v>2754</v>
      </c>
      <c r="Z140" s="135">
        <v>2771</v>
      </c>
      <c r="AA140" s="135">
        <v>2789</v>
      </c>
      <c r="AB140" s="135">
        <v>2806</v>
      </c>
      <c r="AC140" s="135">
        <v>2824</v>
      </c>
      <c r="AD140" s="135">
        <v>2842</v>
      </c>
      <c r="AE140" s="135">
        <v>2859</v>
      </c>
      <c r="AF140" s="132">
        <v>8.3680000000000004E-3</v>
      </c>
      <c r="AG140" s="87"/>
    </row>
    <row r="141" spans="1:33" ht="12" x14ac:dyDescent="0.3">
      <c r="A141" s="92" t="s">
        <v>174</v>
      </c>
      <c r="B141" s="130" t="s">
        <v>159</v>
      </c>
      <c r="C141" s="135">
        <v>1730</v>
      </c>
      <c r="D141" s="135">
        <v>1637</v>
      </c>
      <c r="E141" s="135">
        <v>1805</v>
      </c>
      <c r="F141" s="135">
        <v>1814</v>
      </c>
      <c r="G141" s="135">
        <v>1824</v>
      </c>
      <c r="H141" s="135">
        <v>1834</v>
      </c>
      <c r="I141" s="135">
        <v>1844</v>
      </c>
      <c r="J141" s="135">
        <v>1854</v>
      </c>
      <c r="K141" s="135">
        <v>1864</v>
      </c>
      <c r="L141" s="135">
        <v>1874</v>
      </c>
      <c r="M141" s="135">
        <v>1884</v>
      </c>
      <c r="N141" s="135">
        <v>1894</v>
      </c>
      <c r="O141" s="135">
        <v>1904</v>
      </c>
      <c r="P141" s="135">
        <v>1914</v>
      </c>
      <c r="Q141" s="135">
        <v>1924</v>
      </c>
      <c r="R141" s="135">
        <v>1934</v>
      </c>
      <c r="S141" s="135">
        <v>1944</v>
      </c>
      <c r="T141" s="135">
        <v>1954</v>
      </c>
      <c r="U141" s="135">
        <v>1964</v>
      </c>
      <c r="V141" s="135">
        <v>1974</v>
      </c>
      <c r="W141" s="135">
        <v>1984</v>
      </c>
      <c r="X141" s="135">
        <v>1994</v>
      </c>
      <c r="Y141" s="135">
        <v>2004</v>
      </c>
      <c r="Z141" s="135">
        <v>2014</v>
      </c>
      <c r="AA141" s="135">
        <v>2024</v>
      </c>
      <c r="AB141" s="135">
        <v>2034</v>
      </c>
      <c r="AC141" s="135">
        <v>2044</v>
      </c>
      <c r="AD141" s="135">
        <v>2054</v>
      </c>
      <c r="AE141" s="135">
        <v>2064</v>
      </c>
      <c r="AF141" s="132">
        <v>6.3239999999999998E-3</v>
      </c>
      <c r="AG141" s="87"/>
    </row>
    <row r="142" spans="1:33" ht="12" x14ac:dyDescent="0.3">
      <c r="A142" s="92" t="s">
        <v>175</v>
      </c>
      <c r="B142" s="130" t="s">
        <v>161</v>
      </c>
      <c r="C142" s="135">
        <v>3000</v>
      </c>
      <c r="D142" s="135">
        <v>2658</v>
      </c>
      <c r="E142" s="135">
        <v>2860</v>
      </c>
      <c r="F142" s="135">
        <v>2874</v>
      </c>
      <c r="G142" s="135">
        <v>2887</v>
      </c>
      <c r="H142" s="135">
        <v>2901</v>
      </c>
      <c r="I142" s="135">
        <v>2915</v>
      </c>
      <c r="J142" s="135">
        <v>2928</v>
      </c>
      <c r="K142" s="135">
        <v>2942</v>
      </c>
      <c r="L142" s="135">
        <v>2955</v>
      </c>
      <c r="M142" s="135">
        <v>2969</v>
      </c>
      <c r="N142" s="135">
        <v>2982</v>
      </c>
      <c r="O142" s="135">
        <v>2996</v>
      </c>
      <c r="P142" s="135">
        <v>3009</v>
      </c>
      <c r="Q142" s="135">
        <v>3023</v>
      </c>
      <c r="R142" s="135">
        <v>3036</v>
      </c>
      <c r="S142" s="135">
        <v>3050</v>
      </c>
      <c r="T142" s="135">
        <v>3063</v>
      </c>
      <c r="U142" s="135">
        <v>3076</v>
      </c>
      <c r="V142" s="135">
        <v>3090</v>
      </c>
      <c r="W142" s="135">
        <v>3103</v>
      </c>
      <c r="X142" s="135">
        <v>3117</v>
      </c>
      <c r="Y142" s="135">
        <v>3130</v>
      </c>
      <c r="Z142" s="135">
        <v>3144</v>
      </c>
      <c r="AA142" s="135">
        <v>3157</v>
      </c>
      <c r="AB142" s="135">
        <v>3170</v>
      </c>
      <c r="AC142" s="135">
        <v>3184</v>
      </c>
      <c r="AD142" s="135">
        <v>3197</v>
      </c>
      <c r="AE142" s="135">
        <v>3210</v>
      </c>
      <c r="AF142" s="132">
        <v>2.4190000000000001E-3</v>
      </c>
      <c r="AG142" s="87"/>
    </row>
    <row r="143" spans="1:33" ht="12" x14ac:dyDescent="0.3">
      <c r="A143" s="92" t="s">
        <v>176</v>
      </c>
      <c r="B143" s="130" t="s">
        <v>163</v>
      </c>
      <c r="C143" s="135">
        <v>1578</v>
      </c>
      <c r="D143" s="135">
        <v>1415</v>
      </c>
      <c r="E143" s="135">
        <v>1580</v>
      </c>
      <c r="F143" s="135">
        <v>1589</v>
      </c>
      <c r="G143" s="135">
        <v>1599</v>
      </c>
      <c r="H143" s="135">
        <v>1608</v>
      </c>
      <c r="I143" s="135">
        <v>1618</v>
      </c>
      <c r="J143" s="135">
        <v>1628</v>
      </c>
      <c r="K143" s="135">
        <v>1638</v>
      </c>
      <c r="L143" s="135">
        <v>1647</v>
      </c>
      <c r="M143" s="135">
        <v>1657</v>
      </c>
      <c r="N143" s="135">
        <v>1667</v>
      </c>
      <c r="O143" s="135">
        <v>1677</v>
      </c>
      <c r="P143" s="135">
        <v>1687</v>
      </c>
      <c r="Q143" s="135">
        <v>1697</v>
      </c>
      <c r="R143" s="135">
        <v>1706</v>
      </c>
      <c r="S143" s="135">
        <v>1716</v>
      </c>
      <c r="T143" s="135">
        <v>1726</v>
      </c>
      <c r="U143" s="135">
        <v>1735</v>
      </c>
      <c r="V143" s="135">
        <v>1745</v>
      </c>
      <c r="W143" s="135">
        <v>1755</v>
      </c>
      <c r="X143" s="135">
        <v>1764</v>
      </c>
      <c r="Y143" s="135">
        <v>1774</v>
      </c>
      <c r="Z143" s="135">
        <v>1783</v>
      </c>
      <c r="AA143" s="135">
        <v>1793</v>
      </c>
      <c r="AB143" s="135">
        <v>1802</v>
      </c>
      <c r="AC143" s="135">
        <v>1812</v>
      </c>
      <c r="AD143" s="135">
        <v>1822</v>
      </c>
      <c r="AE143" s="135">
        <v>1831</v>
      </c>
      <c r="AF143" s="132">
        <v>5.3249999999999999E-3</v>
      </c>
      <c r="AG143" s="87"/>
    </row>
    <row r="144" spans="1:33" ht="12" x14ac:dyDescent="0.3">
      <c r="A144" s="92" t="s">
        <v>177</v>
      </c>
      <c r="B144" s="130" t="s">
        <v>165</v>
      </c>
      <c r="C144" s="135">
        <v>1098</v>
      </c>
      <c r="D144" s="135">
        <v>825</v>
      </c>
      <c r="E144" s="135">
        <v>1006</v>
      </c>
      <c r="F144" s="135">
        <v>1013</v>
      </c>
      <c r="G144" s="135">
        <v>1020</v>
      </c>
      <c r="H144" s="135">
        <v>1028</v>
      </c>
      <c r="I144" s="135">
        <v>1035</v>
      </c>
      <c r="J144" s="135">
        <v>1043</v>
      </c>
      <c r="K144" s="135">
        <v>1050</v>
      </c>
      <c r="L144" s="135">
        <v>1058</v>
      </c>
      <c r="M144" s="135">
        <v>1066</v>
      </c>
      <c r="N144" s="135">
        <v>1073</v>
      </c>
      <c r="O144" s="135">
        <v>1081</v>
      </c>
      <c r="P144" s="135">
        <v>1088</v>
      </c>
      <c r="Q144" s="135">
        <v>1096</v>
      </c>
      <c r="R144" s="135">
        <v>1104</v>
      </c>
      <c r="S144" s="135">
        <v>1111</v>
      </c>
      <c r="T144" s="135">
        <v>1119</v>
      </c>
      <c r="U144" s="135">
        <v>1127</v>
      </c>
      <c r="V144" s="135">
        <v>1134</v>
      </c>
      <c r="W144" s="135">
        <v>1142</v>
      </c>
      <c r="X144" s="135">
        <v>1150</v>
      </c>
      <c r="Y144" s="135">
        <v>1157</v>
      </c>
      <c r="Z144" s="135">
        <v>1165</v>
      </c>
      <c r="AA144" s="135">
        <v>1173</v>
      </c>
      <c r="AB144" s="135">
        <v>1181</v>
      </c>
      <c r="AC144" s="135">
        <v>1188</v>
      </c>
      <c r="AD144" s="135">
        <v>1196</v>
      </c>
      <c r="AE144" s="135">
        <v>1204</v>
      </c>
      <c r="AF144" s="132">
        <v>3.297E-3</v>
      </c>
      <c r="AG144" s="87"/>
    </row>
    <row r="145" spans="1:34" ht="12" x14ac:dyDescent="0.3">
      <c r="A145" s="92" t="s">
        <v>178</v>
      </c>
      <c r="B145" s="129" t="s">
        <v>167</v>
      </c>
      <c r="C145" s="137">
        <v>1549.955811</v>
      </c>
      <c r="D145" s="137">
        <v>1383.8479</v>
      </c>
      <c r="E145" s="137">
        <v>1570.0424800000001</v>
      </c>
      <c r="F145" s="137">
        <v>1583.3448490000001</v>
      </c>
      <c r="G145" s="137">
        <v>1596.1142580000001</v>
      </c>
      <c r="H145" s="137">
        <v>1609.38501</v>
      </c>
      <c r="I145" s="137">
        <v>1622.5207519999999</v>
      </c>
      <c r="J145" s="137">
        <v>1636.0070800000001</v>
      </c>
      <c r="K145" s="137">
        <v>1649.149048</v>
      </c>
      <c r="L145" s="137">
        <v>1662.2188719999999</v>
      </c>
      <c r="M145" s="137">
        <v>1675.7426760000001</v>
      </c>
      <c r="N145" s="137">
        <v>1688.762207</v>
      </c>
      <c r="O145" s="137">
        <v>1702.278198</v>
      </c>
      <c r="P145" s="137">
        <v>1715.7017820000001</v>
      </c>
      <c r="Q145" s="137">
        <v>1729.1450199999999</v>
      </c>
      <c r="R145" s="137">
        <v>1742.5604249999999</v>
      </c>
      <c r="S145" s="137">
        <v>1755.9835210000001</v>
      </c>
      <c r="T145" s="137">
        <v>1769.3446039999999</v>
      </c>
      <c r="U145" s="137">
        <v>1782.940063</v>
      </c>
      <c r="V145" s="137">
        <v>1796.302124</v>
      </c>
      <c r="W145" s="137">
        <v>1810.015259</v>
      </c>
      <c r="X145" s="137">
        <v>1823.60437</v>
      </c>
      <c r="Y145" s="137">
        <v>1837.094971</v>
      </c>
      <c r="Z145" s="137">
        <v>1850.6906739999999</v>
      </c>
      <c r="AA145" s="137">
        <v>1864.471436</v>
      </c>
      <c r="AB145" s="137">
        <v>1877.7441409999999</v>
      </c>
      <c r="AC145" s="137">
        <v>1891.3885499999999</v>
      </c>
      <c r="AD145" s="137">
        <v>1904.9642329999999</v>
      </c>
      <c r="AE145" s="137">
        <v>1918.225586</v>
      </c>
      <c r="AF145" s="134">
        <v>7.6420000000000004E-3</v>
      </c>
      <c r="AG145" s="87"/>
    </row>
    <row r="146" spans="1:34" ht="12.5" thickBot="1" x14ac:dyDescent="0.35"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  <c r="AA146" s="87"/>
      <c r="AB146" s="87"/>
      <c r="AC146" s="87"/>
      <c r="AD146" s="87"/>
      <c r="AE146" s="87"/>
      <c r="AF146" s="87"/>
      <c r="AG146" s="87"/>
    </row>
    <row r="147" spans="1:34" ht="12" x14ac:dyDescent="0.3">
      <c r="B147" s="140" t="s">
        <v>2762</v>
      </c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</row>
    <row r="148" spans="1:34" ht="12" x14ac:dyDescent="0.3">
      <c r="B148" s="87" t="s">
        <v>2899</v>
      </c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  <c r="AA148" s="87"/>
      <c r="AB148" s="87"/>
      <c r="AC148" s="87"/>
      <c r="AD148" s="87"/>
      <c r="AE148" s="87"/>
      <c r="AF148" s="87"/>
      <c r="AG148" s="87"/>
    </row>
    <row r="149" spans="1:34" ht="12" x14ac:dyDescent="0.3">
      <c r="B149" s="87" t="s">
        <v>2764</v>
      </c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  <c r="AA149" s="87"/>
      <c r="AB149" s="87"/>
      <c r="AC149" s="87"/>
      <c r="AD149" s="87"/>
      <c r="AE149" s="87"/>
      <c r="AF149" s="87"/>
      <c r="AG149" s="87"/>
    </row>
    <row r="150" spans="1:34" ht="15" customHeight="1" x14ac:dyDescent="0.3">
      <c r="B150" s="87" t="s">
        <v>2873</v>
      </c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</row>
    <row r="151" spans="1:34" ht="15" customHeight="1" x14ac:dyDescent="0.3">
      <c r="B151" s="87" t="s">
        <v>2765</v>
      </c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  <c r="AA151" s="87"/>
      <c r="AB151" s="87"/>
      <c r="AC151" s="87"/>
      <c r="AD151" s="87"/>
      <c r="AE151" s="87"/>
      <c r="AF151" s="87"/>
      <c r="AG151" s="87"/>
    </row>
    <row r="152" spans="1:34" ht="15" customHeight="1" x14ac:dyDescent="0.3">
      <c r="B152" s="87" t="s">
        <v>2900</v>
      </c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  <c r="AA152" s="87"/>
      <c r="AB152" s="87"/>
      <c r="AC152" s="87"/>
      <c r="AD152" s="87"/>
      <c r="AE152" s="87"/>
      <c r="AF152" s="87"/>
      <c r="AG152" s="87"/>
    </row>
    <row r="153" spans="1:34" ht="15" customHeight="1" x14ac:dyDescent="0.3">
      <c r="B153" s="87" t="s">
        <v>2901</v>
      </c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  <c r="AA153" s="87"/>
      <c r="AB153" s="87"/>
      <c r="AC153" s="87"/>
      <c r="AD153" s="87"/>
      <c r="AE153" s="87"/>
      <c r="AF153" s="87"/>
      <c r="AG153" s="87"/>
    </row>
    <row r="154" spans="1:34" ht="15" customHeight="1" x14ac:dyDescent="0.3">
      <c r="B154" s="87" t="s">
        <v>2902</v>
      </c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  <c r="AA154" s="87"/>
      <c r="AB154" s="87"/>
      <c r="AC154" s="87"/>
      <c r="AD154" s="87"/>
      <c r="AE154" s="87"/>
      <c r="AF154" s="87"/>
      <c r="AG154" s="87"/>
    </row>
    <row r="155" spans="1:34" ht="15" customHeight="1" x14ac:dyDescent="0.3">
      <c r="B155" s="87" t="s">
        <v>2903</v>
      </c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  <c r="AA155" s="87"/>
      <c r="AB155" s="87"/>
      <c r="AC155" s="87"/>
      <c r="AD155" s="87"/>
      <c r="AE155" s="87"/>
      <c r="AF155" s="87"/>
      <c r="AG155" s="87"/>
    </row>
    <row r="156" spans="1:34" ht="15" customHeight="1" x14ac:dyDescent="0.3">
      <c r="B156" s="87" t="s">
        <v>2767</v>
      </c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  <c r="AA156" s="87"/>
      <c r="AB156" s="87"/>
      <c r="AC156" s="87"/>
      <c r="AD156" s="87"/>
      <c r="AE156" s="87"/>
      <c r="AF156" s="87"/>
      <c r="AG156" s="87"/>
    </row>
    <row r="157" spans="1:34" ht="15" customHeight="1" x14ac:dyDescent="0.3">
      <c r="B157" s="87" t="s">
        <v>2768</v>
      </c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  <c r="AA157" s="87"/>
      <c r="AB157" s="87"/>
      <c r="AC157" s="87"/>
      <c r="AD157" s="87"/>
      <c r="AE157" s="87"/>
      <c r="AF157" s="87"/>
      <c r="AG157" s="87"/>
    </row>
    <row r="158" spans="1:34" ht="15" customHeight="1" x14ac:dyDescent="0.3">
      <c r="B158" s="87" t="s">
        <v>2769</v>
      </c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</row>
    <row r="159" spans="1:34" ht="15" customHeight="1" x14ac:dyDescent="0.3">
      <c r="B159" s="87" t="s">
        <v>2770</v>
      </c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  <c r="AA159" s="87"/>
      <c r="AB159" s="87"/>
      <c r="AC159" s="87"/>
      <c r="AD159" s="87"/>
      <c r="AE159" s="87"/>
      <c r="AF159" s="87"/>
      <c r="AG159" s="87"/>
    </row>
    <row r="160" spans="1:34" ht="15" customHeight="1" x14ac:dyDescent="0.3">
      <c r="B160" s="87" t="s">
        <v>2771</v>
      </c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  <c r="AA160" s="87"/>
      <c r="AB160" s="87"/>
      <c r="AC160" s="87"/>
      <c r="AD160" s="87"/>
      <c r="AE160" s="87"/>
      <c r="AF160" s="87"/>
      <c r="AG160" s="87"/>
    </row>
    <row r="161" spans="2:33" ht="15" customHeight="1" x14ac:dyDescent="0.3">
      <c r="B161" s="87" t="s">
        <v>180</v>
      </c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  <c r="AB161" s="87"/>
      <c r="AC161" s="87"/>
      <c r="AD161" s="87"/>
      <c r="AE161" s="87"/>
      <c r="AF161" s="87"/>
      <c r="AG161" s="87"/>
    </row>
    <row r="162" spans="2:33" ht="15" customHeight="1" x14ac:dyDescent="0.3">
      <c r="B162" s="87" t="s">
        <v>2904</v>
      </c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  <c r="AB162" s="87"/>
      <c r="AC162" s="87"/>
      <c r="AD162" s="87"/>
      <c r="AE162" s="87"/>
      <c r="AF162" s="87"/>
      <c r="AG162" s="87"/>
    </row>
    <row r="163" spans="2:33" ht="15" customHeight="1" x14ac:dyDescent="0.3">
      <c r="B163" s="87" t="s">
        <v>2905</v>
      </c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  <c r="AB163" s="87"/>
      <c r="AC163" s="87"/>
      <c r="AD163" s="87"/>
      <c r="AE163" s="87"/>
      <c r="AF163" s="87"/>
      <c r="AG163" s="87"/>
    </row>
    <row r="164" spans="2:33" ht="15" customHeight="1" x14ac:dyDescent="0.3">
      <c r="B164" s="87" t="s">
        <v>2906</v>
      </c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</row>
    <row r="165" spans="2:33" ht="12" x14ac:dyDescent="0.3">
      <c r="B165" s="87" t="s">
        <v>2907</v>
      </c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</row>
    <row r="166" spans="2:33" ht="15" customHeight="1" x14ac:dyDescent="0.3">
      <c r="B166" s="87" t="s">
        <v>2774</v>
      </c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</row>
    <row r="167" spans="2:33" ht="15" customHeight="1" x14ac:dyDescent="0.3">
      <c r="B167" s="87" t="s">
        <v>2775</v>
      </c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</row>
    <row r="168" spans="2:33" ht="15" customHeight="1" x14ac:dyDescent="0.3">
      <c r="B168" s="87" t="s">
        <v>2776</v>
      </c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</row>
    <row r="169" spans="2:33" ht="15" customHeight="1" x14ac:dyDescent="0.3">
      <c r="B169" s="87" t="s">
        <v>2777</v>
      </c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</row>
    <row r="170" spans="2:33" ht="15" customHeight="1" x14ac:dyDescent="0.3">
      <c r="B170" s="87" t="s">
        <v>2908</v>
      </c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</row>
    <row r="171" spans="2:33" ht="15" customHeight="1" x14ac:dyDescent="0.3">
      <c r="B171" s="87" t="s">
        <v>2909</v>
      </c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</row>
    <row r="172" spans="2:33" ht="15" customHeight="1" x14ac:dyDescent="0.3"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</row>
    <row r="173" spans="2:33" ht="15" customHeight="1" x14ac:dyDescent="0.3"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</row>
    <row r="174" spans="2:33" ht="15" customHeight="1" x14ac:dyDescent="0.3"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</row>
    <row r="175" spans="2:33" ht="15" customHeight="1" x14ac:dyDescent="0.3"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</row>
    <row r="176" spans="2:33" ht="15" customHeight="1" x14ac:dyDescent="0.3"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</row>
    <row r="177" spans="2:33" ht="15" customHeight="1" x14ac:dyDescent="0.3"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</row>
    <row r="178" spans="2:33" ht="15" customHeight="1" x14ac:dyDescent="0.3"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</row>
    <row r="179" spans="2:33" ht="15" customHeight="1" x14ac:dyDescent="0.3"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</row>
    <row r="180" spans="2:33" ht="12" x14ac:dyDescent="0.3"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</row>
    <row r="181" spans="2:33" ht="15" customHeight="1" x14ac:dyDescent="0.3"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</row>
    <row r="182" spans="2:33" ht="15" customHeight="1" x14ac:dyDescent="0.3"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</row>
    <row r="183" spans="2:33" ht="15" customHeight="1" x14ac:dyDescent="0.3"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</row>
    <row r="184" spans="2:33" ht="15" customHeight="1" x14ac:dyDescent="0.3"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</row>
    <row r="185" spans="2:33" ht="15" customHeight="1" x14ac:dyDescent="0.3"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</row>
    <row r="186" spans="2:33" ht="15" customHeight="1" x14ac:dyDescent="0.3"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</row>
    <row r="187" spans="2:33" ht="15" customHeight="1" x14ac:dyDescent="0.3"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</row>
    <row r="188" spans="2:33" ht="15" customHeight="1" x14ac:dyDescent="0.3"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</row>
    <row r="189" spans="2:33" ht="15" customHeight="1" x14ac:dyDescent="0.3"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</row>
    <row r="190" spans="2:33" ht="15" customHeight="1" x14ac:dyDescent="0.3"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</row>
    <row r="191" spans="2:33" ht="15" customHeight="1" x14ac:dyDescent="0.3"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</row>
    <row r="192" spans="2:33" ht="15" customHeight="1" x14ac:dyDescent="0.3"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</row>
    <row r="193" spans="2:33" ht="15" customHeight="1" x14ac:dyDescent="0.3"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</row>
    <row r="194" spans="2:33" ht="15" customHeight="1" x14ac:dyDescent="0.3"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</row>
    <row r="195" spans="2:33" ht="15" customHeight="1" x14ac:dyDescent="0.3"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</row>
    <row r="196" spans="2:33" ht="15" customHeight="1" x14ac:dyDescent="0.3"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</row>
    <row r="197" spans="2:33" ht="15" customHeight="1" x14ac:dyDescent="0.3"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</row>
    <row r="198" spans="2:33" ht="15" customHeight="1" x14ac:dyDescent="0.3"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</row>
    <row r="199" spans="2:33" ht="15" customHeight="1" x14ac:dyDescent="0.3"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</row>
    <row r="200" spans="2:33" ht="15" customHeight="1" x14ac:dyDescent="0.3"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</row>
    <row r="201" spans="2:33" ht="15" customHeight="1" x14ac:dyDescent="0.3"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</row>
    <row r="202" spans="2:33" ht="15" customHeight="1" x14ac:dyDescent="0.3"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</row>
    <row r="203" spans="2:33" ht="15" customHeight="1" x14ac:dyDescent="0.3"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</row>
    <row r="204" spans="2:33" ht="15" customHeight="1" x14ac:dyDescent="0.3"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</row>
    <row r="205" spans="2:33" ht="12" x14ac:dyDescent="0.3"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</row>
    <row r="206" spans="2:33" ht="12" x14ac:dyDescent="0.3"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</row>
    <row r="207" spans="2:33" ht="15" customHeight="1" x14ac:dyDescent="0.3"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</row>
    <row r="208" spans="2:33" ht="15" customHeight="1" x14ac:dyDescent="0.3"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</row>
    <row r="307" spans="2:32" ht="15" customHeight="1" x14ac:dyDescent="0.3"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  <c r="AB307" s="184"/>
      <c r="AC307" s="184"/>
      <c r="AD307" s="184"/>
      <c r="AE307" s="184"/>
      <c r="AF307" s="184"/>
    </row>
    <row r="510" spans="2:32" ht="15" customHeight="1" x14ac:dyDescent="0.3"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  <c r="AB510" s="184"/>
      <c r="AC510" s="184"/>
      <c r="AD510" s="184"/>
      <c r="AE510" s="184"/>
      <c r="AF510" s="184"/>
    </row>
    <row r="711" spans="2:32" ht="15" customHeight="1" x14ac:dyDescent="0.3"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184"/>
      <c r="AF711" s="184"/>
    </row>
    <row r="886" spans="2:32" ht="15" customHeight="1" x14ac:dyDescent="0.3"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  <c r="AC886" s="184"/>
      <c r="AD886" s="184"/>
      <c r="AE886" s="184"/>
      <c r="AF886" s="184"/>
    </row>
    <row r="1100" spans="2:32" ht="15" customHeight="1" x14ac:dyDescent="0.3">
      <c r="B1100" s="184"/>
      <c r="C1100" s="184"/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4"/>
      <c r="AE1100" s="184"/>
      <c r="AF1100" s="184"/>
    </row>
    <row r="1228" spans="2:32" ht="15" customHeight="1" x14ac:dyDescent="0.3">
      <c r="B1228" s="184"/>
      <c r="C1228" s="184"/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4"/>
      <c r="AE1228" s="184"/>
      <c r="AF1228" s="184"/>
    </row>
    <row r="1389" spans="2:32" ht="15" customHeight="1" x14ac:dyDescent="0.3">
      <c r="B1389" s="184"/>
      <c r="C1389" s="184"/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4"/>
      <c r="AE1389" s="184"/>
      <c r="AF1389" s="184"/>
    </row>
    <row r="1501" spans="2:32" ht="15" customHeight="1" x14ac:dyDescent="0.3">
      <c r="B1501" s="184"/>
      <c r="C1501" s="184"/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4"/>
      <c r="AE1501" s="184"/>
      <c r="AF1501" s="184"/>
    </row>
    <row r="1603" spans="2:32" ht="15" customHeight="1" x14ac:dyDescent="0.3">
      <c r="B1603" s="184"/>
      <c r="C1603" s="184"/>
      <c r="D1603" s="184"/>
      <c r="E1603" s="184"/>
      <c r="F1603" s="184"/>
      <c r="G1603" s="184"/>
      <c r="H1603" s="184"/>
      <c r="I1603" s="184"/>
      <c r="J1603" s="184"/>
      <c r="K1603" s="184"/>
      <c r="L1603" s="184"/>
      <c r="M1603" s="184"/>
      <c r="N1603" s="184"/>
      <c r="O1603" s="184"/>
      <c r="P1603" s="184"/>
      <c r="Q1603" s="184"/>
      <c r="R1603" s="184"/>
      <c r="S1603" s="184"/>
      <c r="T1603" s="184"/>
      <c r="U1603" s="184"/>
      <c r="V1603" s="184"/>
      <c r="W1603" s="184"/>
      <c r="X1603" s="184"/>
      <c r="Y1603" s="184"/>
      <c r="Z1603" s="184"/>
      <c r="AA1603" s="184"/>
      <c r="AB1603" s="184"/>
      <c r="AC1603" s="184"/>
      <c r="AD1603" s="184"/>
      <c r="AE1603" s="184"/>
      <c r="AF1603" s="184"/>
    </row>
    <row r="1698" spans="2:32" ht="15" customHeight="1" x14ac:dyDescent="0.3">
      <c r="B1698" s="184"/>
      <c r="C1698" s="184"/>
      <c r="D1698" s="184"/>
      <c r="E1698" s="184"/>
      <c r="F1698" s="184"/>
      <c r="G1698" s="184"/>
      <c r="H1698" s="184"/>
      <c r="I1698" s="184"/>
      <c r="J1698" s="184"/>
      <c r="K1698" s="184"/>
      <c r="L1698" s="184"/>
      <c r="M1698" s="184"/>
      <c r="N1698" s="184"/>
      <c r="O1698" s="184"/>
      <c r="P1698" s="184"/>
      <c r="Q1698" s="184"/>
      <c r="R1698" s="184"/>
      <c r="S1698" s="184"/>
      <c r="T1698" s="184"/>
      <c r="U1698" s="184"/>
      <c r="V1698" s="184"/>
      <c r="W1698" s="184"/>
      <c r="X1698" s="184"/>
      <c r="Y1698" s="184"/>
      <c r="Z1698" s="184"/>
      <c r="AA1698" s="184"/>
      <c r="AB1698" s="184"/>
      <c r="AC1698" s="184"/>
      <c r="AD1698" s="184"/>
      <c r="AE1698" s="184"/>
      <c r="AF1698" s="184"/>
    </row>
    <row r="1944" spans="2:32" ht="15" customHeight="1" x14ac:dyDescent="0.3">
      <c r="B1944" s="184"/>
      <c r="C1944" s="184"/>
      <c r="D1944" s="184"/>
      <c r="E1944" s="184"/>
      <c r="F1944" s="184"/>
      <c r="G1944" s="184"/>
      <c r="H1944" s="184"/>
      <c r="I1944" s="184"/>
      <c r="J1944" s="184"/>
      <c r="K1944" s="184"/>
      <c r="L1944" s="184"/>
      <c r="M1944" s="184"/>
      <c r="N1944" s="184"/>
      <c r="O1944" s="184"/>
      <c r="P1944" s="184"/>
      <c r="Q1944" s="184"/>
      <c r="R1944" s="184"/>
      <c r="S1944" s="184"/>
      <c r="T1944" s="184"/>
      <c r="U1944" s="184"/>
      <c r="V1944" s="184"/>
      <c r="W1944" s="184"/>
      <c r="X1944" s="184"/>
      <c r="Y1944" s="184"/>
      <c r="Z1944" s="184"/>
      <c r="AA1944" s="184"/>
      <c r="AB1944" s="184"/>
      <c r="AC1944" s="184"/>
      <c r="AD1944" s="184"/>
      <c r="AE1944" s="184"/>
      <c r="AF1944" s="184"/>
    </row>
    <row r="2030" spans="2:32" ht="15" customHeight="1" x14ac:dyDescent="0.3">
      <c r="B2030" s="184"/>
      <c r="C2030" s="184"/>
      <c r="D2030" s="184"/>
      <c r="E2030" s="184"/>
      <c r="F2030" s="184"/>
      <c r="G2030" s="184"/>
      <c r="H2030" s="184"/>
      <c r="I2030" s="184"/>
      <c r="J2030" s="184"/>
      <c r="K2030" s="184"/>
      <c r="L2030" s="184"/>
      <c r="M2030" s="184"/>
      <c r="N2030" s="184"/>
      <c r="O2030" s="184"/>
      <c r="P2030" s="184"/>
      <c r="Q2030" s="184"/>
      <c r="R2030" s="184"/>
      <c r="S2030" s="184"/>
      <c r="T2030" s="184"/>
      <c r="U2030" s="184"/>
      <c r="V2030" s="184"/>
      <c r="W2030" s="184"/>
      <c r="X2030" s="184"/>
      <c r="Y2030" s="184"/>
      <c r="Z2030" s="184"/>
      <c r="AA2030" s="184"/>
      <c r="AB2030" s="184"/>
      <c r="AC2030" s="184"/>
      <c r="AD2030" s="184"/>
      <c r="AE2030" s="184"/>
      <c r="AF2030" s="184"/>
    </row>
    <row r="2152" spans="2:32" ht="15" customHeight="1" x14ac:dyDescent="0.3">
      <c r="B2152" s="184"/>
      <c r="C2152" s="184"/>
      <c r="D2152" s="184"/>
      <c r="E2152" s="184"/>
      <c r="F2152" s="184"/>
      <c r="G2152" s="184"/>
      <c r="H2152" s="184"/>
      <c r="I2152" s="184"/>
      <c r="J2152" s="184"/>
      <c r="K2152" s="184"/>
      <c r="L2152" s="184"/>
      <c r="M2152" s="184"/>
      <c r="N2152" s="184"/>
      <c r="O2152" s="184"/>
      <c r="P2152" s="184"/>
      <c r="Q2152" s="184"/>
      <c r="R2152" s="184"/>
      <c r="S2152" s="184"/>
      <c r="T2152" s="184"/>
      <c r="U2152" s="184"/>
      <c r="V2152" s="184"/>
      <c r="W2152" s="184"/>
      <c r="X2152" s="184"/>
      <c r="Y2152" s="184"/>
      <c r="Z2152" s="184"/>
      <c r="AA2152" s="184"/>
      <c r="AB2152" s="184"/>
      <c r="AC2152" s="184"/>
      <c r="AD2152" s="184"/>
      <c r="AE2152" s="184"/>
      <c r="AF2152" s="184"/>
    </row>
    <row r="2316" spans="2:32" ht="15" customHeight="1" x14ac:dyDescent="0.3">
      <c r="B2316" s="184"/>
      <c r="C2316" s="184"/>
      <c r="D2316" s="184"/>
      <c r="E2316" s="184"/>
      <c r="F2316" s="184"/>
      <c r="G2316" s="184"/>
      <c r="H2316" s="184"/>
      <c r="I2316" s="184"/>
      <c r="J2316" s="184"/>
      <c r="K2316" s="184"/>
      <c r="L2316" s="184"/>
      <c r="M2316" s="184"/>
      <c r="N2316" s="184"/>
      <c r="O2316" s="184"/>
      <c r="P2316" s="184"/>
      <c r="Q2316" s="184"/>
      <c r="R2316" s="184"/>
      <c r="S2316" s="184"/>
      <c r="T2316" s="184"/>
      <c r="U2316" s="184"/>
      <c r="V2316" s="184"/>
      <c r="W2316" s="184"/>
      <c r="X2316" s="184"/>
      <c r="Y2316" s="184"/>
      <c r="Z2316" s="184"/>
      <c r="AA2316" s="184"/>
      <c r="AB2316" s="184"/>
      <c r="AC2316" s="184"/>
      <c r="AD2316" s="184"/>
      <c r="AE2316" s="184"/>
      <c r="AF2316" s="184"/>
    </row>
    <row r="2418" spans="2:32" ht="15" customHeight="1" x14ac:dyDescent="0.3">
      <c r="B2418" s="184"/>
      <c r="C2418" s="184"/>
      <c r="D2418" s="184"/>
      <c r="E2418" s="184"/>
      <c r="F2418" s="184"/>
      <c r="G2418" s="184"/>
      <c r="H2418" s="184"/>
      <c r="I2418" s="184"/>
      <c r="J2418" s="184"/>
      <c r="K2418" s="184"/>
      <c r="L2418" s="184"/>
      <c r="M2418" s="184"/>
      <c r="N2418" s="184"/>
      <c r="O2418" s="184"/>
      <c r="P2418" s="184"/>
      <c r="Q2418" s="184"/>
      <c r="R2418" s="184"/>
      <c r="S2418" s="184"/>
      <c r="T2418" s="184"/>
      <c r="U2418" s="184"/>
      <c r="V2418" s="184"/>
      <c r="W2418" s="184"/>
      <c r="X2418" s="184"/>
      <c r="Y2418" s="184"/>
      <c r="Z2418" s="184"/>
      <c r="AA2418" s="184"/>
      <c r="AB2418" s="184"/>
      <c r="AC2418" s="184"/>
      <c r="AD2418" s="184"/>
      <c r="AE2418" s="184"/>
      <c r="AF2418" s="184"/>
    </row>
    <row r="2508" spans="2:32" ht="15" customHeight="1" x14ac:dyDescent="0.3">
      <c r="B2508" s="184"/>
      <c r="C2508" s="184"/>
      <c r="D2508" s="184"/>
      <c r="E2508" s="184"/>
      <c r="F2508" s="184"/>
      <c r="G2508" s="184"/>
      <c r="H2508" s="184"/>
      <c r="I2508" s="184"/>
      <c r="J2508" s="184"/>
      <c r="K2508" s="184"/>
      <c r="L2508" s="184"/>
      <c r="M2508" s="184"/>
      <c r="N2508" s="184"/>
      <c r="O2508" s="184"/>
      <c r="P2508" s="184"/>
      <c r="Q2508" s="184"/>
      <c r="R2508" s="184"/>
      <c r="S2508" s="184"/>
      <c r="T2508" s="184"/>
      <c r="U2508" s="184"/>
      <c r="V2508" s="184"/>
      <c r="W2508" s="184"/>
      <c r="X2508" s="184"/>
      <c r="Y2508" s="184"/>
      <c r="Z2508" s="184"/>
      <c r="AA2508" s="184"/>
      <c r="AB2508" s="184"/>
      <c r="AC2508" s="184"/>
      <c r="AD2508" s="184"/>
      <c r="AE2508" s="184"/>
      <c r="AF2508" s="184"/>
    </row>
    <row r="2597" spans="2:32" ht="15" customHeight="1" x14ac:dyDescent="0.3">
      <c r="B2597" s="184"/>
      <c r="C2597" s="184"/>
      <c r="D2597" s="184"/>
      <c r="E2597" s="184"/>
      <c r="F2597" s="184"/>
      <c r="G2597" s="184"/>
      <c r="H2597" s="184"/>
      <c r="I2597" s="184"/>
      <c r="J2597" s="184"/>
      <c r="K2597" s="184"/>
      <c r="L2597" s="184"/>
      <c r="M2597" s="184"/>
      <c r="N2597" s="184"/>
      <c r="O2597" s="184"/>
      <c r="P2597" s="184"/>
      <c r="Q2597" s="184"/>
      <c r="R2597" s="184"/>
      <c r="S2597" s="184"/>
      <c r="T2597" s="184"/>
      <c r="U2597" s="184"/>
      <c r="V2597" s="184"/>
      <c r="W2597" s="184"/>
      <c r="X2597" s="184"/>
      <c r="Y2597" s="184"/>
      <c r="Z2597" s="184"/>
      <c r="AA2597" s="184"/>
      <c r="AB2597" s="184"/>
      <c r="AC2597" s="184"/>
      <c r="AD2597" s="184"/>
      <c r="AE2597" s="184"/>
      <c r="AF2597" s="184"/>
    </row>
    <row r="2718" spans="2:32" ht="15" customHeight="1" x14ac:dyDescent="0.3">
      <c r="B2718" s="184"/>
      <c r="C2718" s="184"/>
      <c r="D2718" s="184"/>
      <c r="E2718" s="184"/>
      <c r="F2718" s="184"/>
      <c r="G2718" s="184"/>
      <c r="H2718" s="184"/>
      <c r="I2718" s="184"/>
      <c r="J2718" s="184"/>
      <c r="K2718" s="184"/>
      <c r="L2718" s="184"/>
      <c r="M2718" s="184"/>
      <c r="N2718" s="184"/>
      <c r="O2718" s="184"/>
      <c r="P2718" s="184"/>
      <c r="Q2718" s="184"/>
      <c r="R2718" s="184"/>
      <c r="S2718" s="184"/>
      <c r="T2718" s="184"/>
      <c r="U2718" s="184"/>
      <c r="V2718" s="184"/>
      <c r="W2718" s="184"/>
      <c r="X2718" s="184"/>
      <c r="Y2718" s="184"/>
      <c r="Z2718" s="184"/>
      <c r="AA2718" s="184"/>
      <c r="AB2718" s="184"/>
      <c r="AC2718" s="184"/>
      <c r="AD2718" s="184"/>
      <c r="AE2718" s="184"/>
      <c r="AF2718" s="184"/>
    </row>
    <row r="2836" spans="2:33" ht="15" customHeight="1" x14ac:dyDescent="0.3">
      <c r="B2836" s="184"/>
      <c r="C2836" s="184"/>
      <c r="D2836" s="184"/>
      <c r="E2836" s="184"/>
      <c r="F2836" s="184"/>
      <c r="G2836" s="184"/>
      <c r="H2836" s="184"/>
      <c r="I2836" s="184"/>
      <c r="J2836" s="184"/>
      <c r="K2836" s="184"/>
      <c r="L2836" s="184"/>
      <c r="M2836" s="184"/>
      <c r="N2836" s="184"/>
      <c r="O2836" s="184"/>
      <c r="P2836" s="184"/>
      <c r="Q2836" s="184"/>
      <c r="R2836" s="184"/>
      <c r="S2836" s="184"/>
      <c r="T2836" s="184"/>
      <c r="U2836" s="184"/>
      <c r="V2836" s="184"/>
      <c r="W2836" s="184"/>
      <c r="X2836" s="184"/>
      <c r="Y2836" s="184"/>
      <c r="Z2836" s="184"/>
      <c r="AA2836" s="184"/>
      <c r="AB2836" s="184"/>
      <c r="AC2836" s="184"/>
      <c r="AD2836" s="184"/>
      <c r="AE2836" s="184"/>
      <c r="AF2836" s="184"/>
    </row>
    <row r="2837" spans="2:33" ht="15" customHeight="1" x14ac:dyDescent="0.3">
      <c r="B2837" s="184"/>
      <c r="C2837" s="184"/>
      <c r="D2837" s="184"/>
      <c r="E2837" s="184"/>
      <c r="F2837" s="184"/>
      <c r="G2837" s="184"/>
      <c r="H2837" s="184"/>
      <c r="I2837" s="184"/>
      <c r="J2837" s="184"/>
      <c r="K2837" s="184"/>
      <c r="L2837" s="184"/>
      <c r="M2837" s="184"/>
      <c r="N2837" s="184"/>
      <c r="O2837" s="184"/>
      <c r="P2837" s="184"/>
      <c r="Q2837" s="184"/>
      <c r="R2837" s="184"/>
      <c r="S2837" s="184"/>
      <c r="T2837" s="184"/>
      <c r="U2837" s="184"/>
      <c r="V2837" s="184"/>
      <c r="W2837" s="184"/>
      <c r="X2837" s="184"/>
      <c r="Y2837" s="184"/>
      <c r="Z2837" s="184"/>
      <c r="AA2837" s="184"/>
      <c r="AB2837" s="184"/>
      <c r="AC2837" s="184"/>
      <c r="AD2837" s="184"/>
      <c r="AE2837" s="184"/>
      <c r="AF2837" s="184"/>
      <c r="AG2837" s="184"/>
    </row>
  </sheetData>
  <mergeCells count="20">
    <mergeCell ref="B307:AF307"/>
    <mergeCell ref="B510:AF510"/>
    <mergeCell ref="B711:AF711"/>
    <mergeCell ref="B886:AF886"/>
    <mergeCell ref="B1100:AF1100"/>
    <mergeCell ref="B2837:AG2837"/>
    <mergeCell ref="B1944:AF1944"/>
    <mergeCell ref="B1228:AF1228"/>
    <mergeCell ref="B1389:AF1389"/>
    <mergeCell ref="B1501:AF1501"/>
    <mergeCell ref="B1603:AF1603"/>
    <mergeCell ref="B1698:AF1698"/>
    <mergeCell ref="B2718:AF2718"/>
    <mergeCell ref="B2836:AF2836"/>
    <mergeCell ref="B2030:AF2030"/>
    <mergeCell ref="B2152:AF2152"/>
    <mergeCell ref="B2316:AF2316"/>
    <mergeCell ref="B2418:AF2418"/>
    <mergeCell ref="B2508:AF2508"/>
    <mergeCell ref="B2597:AF2597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6" sqref="D16"/>
    </sheetView>
  </sheetViews>
  <sheetFormatPr defaultColWidth="8.7265625" defaultRowHeight="15" customHeight="1" x14ac:dyDescent="0.3"/>
  <cols>
    <col min="1" max="1" width="19.81640625" style="86" bestFit="1" customWidth="1"/>
    <col min="2" max="2" width="106.1796875" style="86" bestFit="1" customWidth="1"/>
    <col min="3" max="3" width="11.7265625" style="86" bestFit="1" customWidth="1"/>
    <col min="4" max="4" width="24" style="86" bestFit="1" customWidth="1"/>
    <col min="5" max="5" width="10.81640625" style="86" bestFit="1" customWidth="1"/>
    <col min="6" max="6" width="5.26953125" style="86" bestFit="1" customWidth="1"/>
    <col min="7" max="7" width="9.1796875" style="86" bestFit="1" customWidth="1"/>
    <col min="8" max="10" width="5.26953125" style="86" bestFit="1" customWidth="1"/>
    <col min="11" max="32" width="5.453125" style="86" bestFit="1" customWidth="1"/>
    <col min="33" max="33" width="8.26953125" style="86" bestFit="1" customWidth="1"/>
    <col min="34" max="16384" width="8.7265625" style="86"/>
  </cols>
  <sheetData>
    <row r="1" spans="1:33" ht="15" customHeight="1" thickBot="1" x14ac:dyDescent="0.35">
      <c r="B1" s="103" t="s">
        <v>2883</v>
      </c>
      <c r="C1" s="100">
        <v>2021</v>
      </c>
      <c r="D1" s="100">
        <v>2022</v>
      </c>
      <c r="E1" s="100">
        <v>2023</v>
      </c>
      <c r="F1" s="100">
        <v>2024</v>
      </c>
      <c r="G1" s="100">
        <v>2025</v>
      </c>
      <c r="H1" s="100">
        <v>2026</v>
      </c>
      <c r="I1" s="100">
        <v>2027</v>
      </c>
      <c r="J1" s="100">
        <v>2028</v>
      </c>
      <c r="K1" s="100">
        <v>2029</v>
      </c>
      <c r="L1" s="100">
        <v>2030</v>
      </c>
      <c r="M1" s="100">
        <v>2031</v>
      </c>
      <c r="N1" s="100">
        <v>2032</v>
      </c>
      <c r="O1" s="100">
        <v>2033</v>
      </c>
      <c r="P1" s="100">
        <v>2034</v>
      </c>
      <c r="Q1" s="100">
        <v>2035</v>
      </c>
      <c r="R1" s="100">
        <v>2036</v>
      </c>
      <c r="S1" s="100">
        <v>2037</v>
      </c>
      <c r="T1" s="100">
        <v>2038</v>
      </c>
      <c r="U1" s="100">
        <v>2039</v>
      </c>
      <c r="V1" s="100">
        <v>2040</v>
      </c>
      <c r="W1" s="100">
        <v>2041</v>
      </c>
      <c r="X1" s="100">
        <v>2042</v>
      </c>
      <c r="Y1" s="100">
        <v>2043</v>
      </c>
      <c r="Z1" s="100">
        <v>2044</v>
      </c>
      <c r="AA1" s="100">
        <v>2045</v>
      </c>
      <c r="AB1" s="100">
        <v>2046</v>
      </c>
      <c r="AC1" s="100">
        <v>2047</v>
      </c>
      <c r="AD1" s="100">
        <v>2048</v>
      </c>
      <c r="AE1" s="100">
        <v>2049</v>
      </c>
      <c r="AF1" s="100">
        <v>2050</v>
      </c>
    </row>
    <row r="2" spans="1:33" ht="15" customHeight="1" thickTop="1" x14ac:dyDescent="0.3"/>
    <row r="3" spans="1:33" ht="15" customHeight="1" x14ac:dyDescent="0.3">
      <c r="C3" s="105" t="s">
        <v>20</v>
      </c>
      <c r="D3" s="105" t="s">
        <v>2882</v>
      </c>
      <c r="E3" s="105"/>
      <c r="F3" s="105"/>
      <c r="G3" s="105"/>
    </row>
    <row r="4" spans="1:33" ht="15" customHeight="1" x14ac:dyDescent="0.3">
      <c r="C4" s="105" t="s">
        <v>21</v>
      </c>
      <c r="D4" s="105" t="s">
        <v>2881</v>
      </c>
      <c r="E4" s="105"/>
      <c r="F4" s="105"/>
      <c r="G4" s="105" t="s">
        <v>2880</v>
      </c>
    </row>
    <row r="5" spans="1:33" ht="15" customHeight="1" x14ac:dyDescent="0.3">
      <c r="C5" s="105" t="s">
        <v>22</v>
      </c>
      <c r="D5" s="105" t="s">
        <v>2879</v>
      </c>
      <c r="E5" s="105"/>
      <c r="F5" s="105"/>
      <c r="G5" s="105"/>
    </row>
    <row r="6" spans="1:33" ht="15" customHeight="1" x14ac:dyDescent="0.3">
      <c r="C6" s="105" t="s">
        <v>23</v>
      </c>
      <c r="D6" s="105"/>
      <c r="E6" s="105" t="s">
        <v>2878</v>
      </c>
      <c r="F6" s="105"/>
      <c r="G6" s="105"/>
    </row>
    <row r="7" spans="1:33" ht="12" x14ac:dyDescent="0.3"/>
    <row r="8" spans="1:33" ht="12" x14ac:dyDescent="0.3"/>
    <row r="9" spans="1:33" ht="12" x14ac:dyDescent="0.3"/>
    <row r="10" spans="1:33" ht="15" customHeight="1" x14ac:dyDescent="0.35">
      <c r="A10" s="92" t="s">
        <v>2721</v>
      </c>
      <c r="B10" s="104" t="s">
        <v>2720</v>
      </c>
      <c r="AG10" s="101" t="s">
        <v>2877</v>
      </c>
    </row>
    <row r="11" spans="1:33" ht="15" customHeight="1" x14ac:dyDescent="0.3">
      <c r="B11" s="103" t="s">
        <v>26</v>
      </c>
      <c r="AG11" s="101" t="s">
        <v>2876</v>
      </c>
    </row>
    <row r="12" spans="1:33" ht="15" customHeight="1" x14ac:dyDescent="0.3">
      <c r="B12" s="103"/>
      <c r="C12" s="102"/>
      <c r="D12" s="102"/>
      <c r="E12" s="102"/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1" t="s">
        <v>2875</v>
      </c>
    </row>
    <row r="13" spans="1:33" ht="15" customHeight="1" thickBot="1" x14ac:dyDescent="0.35">
      <c r="B13" s="100" t="s">
        <v>28</v>
      </c>
      <c r="C13" s="100">
        <v>2021</v>
      </c>
      <c r="D13" s="100">
        <v>2022</v>
      </c>
      <c r="E13" s="100">
        <v>2023</v>
      </c>
      <c r="F13" s="100">
        <v>2024</v>
      </c>
      <c r="G13" s="100">
        <v>2025</v>
      </c>
      <c r="H13" s="100">
        <v>2026</v>
      </c>
      <c r="I13" s="100">
        <v>2027</v>
      </c>
      <c r="J13" s="100">
        <v>2028</v>
      </c>
      <c r="K13" s="100">
        <v>2029</v>
      </c>
      <c r="L13" s="100">
        <v>2030</v>
      </c>
      <c r="M13" s="100">
        <v>2031</v>
      </c>
      <c r="N13" s="100">
        <v>2032</v>
      </c>
      <c r="O13" s="100">
        <v>2033</v>
      </c>
      <c r="P13" s="100">
        <v>2034</v>
      </c>
      <c r="Q13" s="100">
        <v>2035</v>
      </c>
      <c r="R13" s="100">
        <v>2036</v>
      </c>
      <c r="S13" s="100">
        <v>2037</v>
      </c>
      <c r="T13" s="100">
        <v>2038</v>
      </c>
      <c r="U13" s="100">
        <v>2039</v>
      </c>
      <c r="V13" s="100">
        <v>2040</v>
      </c>
      <c r="W13" s="100">
        <v>2041</v>
      </c>
      <c r="X13" s="100">
        <v>2042</v>
      </c>
      <c r="Y13" s="100">
        <v>2043</v>
      </c>
      <c r="Z13" s="100">
        <v>2044</v>
      </c>
      <c r="AA13" s="100">
        <v>2045</v>
      </c>
      <c r="AB13" s="100">
        <v>2046</v>
      </c>
      <c r="AC13" s="100">
        <v>2047</v>
      </c>
      <c r="AD13" s="100">
        <v>2048</v>
      </c>
      <c r="AE13" s="100">
        <v>2049</v>
      </c>
      <c r="AF13" s="100">
        <v>2050</v>
      </c>
      <c r="AG13" s="99" t="s">
        <v>2874</v>
      </c>
    </row>
    <row r="14" spans="1:33" ht="15" customHeight="1" thickTop="1" x14ac:dyDescent="0.3"/>
    <row r="15" spans="1:33" ht="15" customHeight="1" x14ac:dyDescent="0.3">
      <c r="B15" s="91" t="s">
        <v>29</v>
      </c>
    </row>
    <row r="17" spans="1:33" ht="15" customHeight="1" x14ac:dyDescent="0.3">
      <c r="B17" s="91" t="s">
        <v>2719</v>
      </c>
    </row>
    <row r="18" spans="1:33" ht="15" customHeight="1" x14ac:dyDescent="0.35">
      <c r="A18" s="92" t="s">
        <v>2718</v>
      </c>
      <c r="B18" s="95" t="s">
        <v>2717</v>
      </c>
      <c r="C18" s="98">
        <v>92.493767000000005</v>
      </c>
      <c r="D18" s="98">
        <v>93.353142000000005</v>
      </c>
      <c r="E18" s="98">
        <v>94.389465000000001</v>
      </c>
      <c r="F18" s="98">
        <v>95.436462000000006</v>
      </c>
      <c r="G18" s="98">
        <v>96.532409999999999</v>
      </c>
      <c r="H18" s="98">
        <v>97.628890999999996</v>
      </c>
      <c r="I18" s="98">
        <v>98.757880999999998</v>
      </c>
      <c r="J18" s="98">
        <v>99.889526000000004</v>
      </c>
      <c r="K18" s="98">
        <v>101.01464799999999</v>
      </c>
      <c r="L18" s="98">
        <v>102.13342299999999</v>
      </c>
      <c r="M18" s="98">
        <v>103.25644699999999</v>
      </c>
      <c r="N18" s="98">
        <v>104.387878</v>
      </c>
      <c r="O18" s="98">
        <v>105.523247</v>
      </c>
      <c r="P18" s="98">
        <v>106.661423</v>
      </c>
      <c r="Q18" s="98">
        <v>107.794792</v>
      </c>
      <c r="R18" s="98">
        <v>108.912971</v>
      </c>
      <c r="S18" s="98">
        <v>110.019638</v>
      </c>
      <c r="T18" s="98">
        <v>111.117661</v>
      </c>
      <c r="U18" s="98">
        <v>112.216003</v>
      </c>
      <c r="V18" s="98">
        <v>113.320999</v>
      </c>
      <c r="W18" s="98">
        <v>114.437393</v>
      </c>
      <c r="X18" s="98">
        <v>115.550209</v>
      </c>
      <c r="Y18" s="98">
        <v>116.663391</v>
      </c>
      <c r="Z18" s="98">
        <v>117.77589399999999</v>
      </c>
      <c r="AA18" s="98">
        <v>118.888153</v>
      </c>
      <c r="AB18" s="98">
        <v>120.008492</v>
      </c>
      <c r="AC18" s="98">
        <v>121.140663</v>
      </c>
      <c r="AD18" s="98">
        <v>122.27619900000001</v>
      </c>
      <c r="AE18" s="98">
        <v>123.41364299999999</v>
      </c>
      <c r="AF18" s="98">
        <v>124.557953</v>
      </c>
      <c r="AG18" s="93">
        <v>1.0316000000000001E-2</v>
      </c>
    </row>
    <row r="19" spans="1:33" ht="15" customHeight="1" x14ac:dyDescent="0.35">
      <c r="A19" s="92" t="s">
        <v>2716</v>
      </c>
      <c r="B19" s="95" t="s">
        <v>2715</v>
      </c>
      <c r="C19" s="98">
        <v>1.9560919999999999</v>
      </c>
      <c r="D19" s="98">
        <v>2.142169</v>
      </c>
      <c r="E19" s="98">
        <v>2.162436</v>
      </c>
      <c r="F19" s="98">
        <v>2.221565</v>
      </c>
      <c r="G19" s="98">
        <v>2.232612</v>
      </c>
      <c r="H19" s="98">
        <v>2.2759879999999999</v>
      </c>
      <c r="I19" s="98">
        <v>2.2897729999999998</v>
      </c>
      <c r="J19" s="98">
        <v>2.294559</v>
      </c>
      <c r="K19" s="98">
        <v>2.2996050000000001</v>
      </c>
      <c r="L19" s="98">
        <v>2.3154080000000001</v>
      </c>
      <c r="M19" s="98">
        <v>2.3354949999999999</v>
      </c>
      <c r="N19" s="98">
        <v>2.351267</v>
      </c>
      <c r="O19" s="98">
        <v>2.3660230000000002</v>
      </c>
      <c r="P19" s="98">
        <v>2.3732259999999998</v>
      </c>
      <c r="Q19" s="98">
        <v>2.3700329999999998</v>
      </c>
      <c r="R19" s="98">
        <v>2.3704719999999999</v>
      </c>
      <c r="S19" s="98">
        <v>2.3737469999999998</v>
      </c>
      <c r="T19" s="98">
        <v>2.3859530000000002</v>
      </c>
      <c r="U19" s="98">
        <v>2.40455</v>
      </c>
      <c r="V19" s="98">
        <v>2.4279839999999999</v>
      </c>
      <c r="W19" s="98">
        <v>2.4364669999999999</v>
      </c>
      <c r="X19" s="98">
        <v>2.4488629999999998</v>
      </c>
      <c r="Y19" s="98">
        <v>2.4602729999999999</v>
      </c>
      <c r="Z19" s="98">
        <v>2.4721280000000001</v>
      </c>
      <c r="AA19" s="98">
        <v>2.492327</v>
      </c>
      <c r="AB19" s="98">
        <v>2.5164200000000001</v>
      </c>
      <c r="AC19" s="98">
        <v>2.532063</v>
      </c>
      <c r="AD19" s="98">
        <v>2.5462859999999998</v>
      </c>
      <c r="AE19" s="98">
        <v>2.5655619999999999</v>
      </c>
      <c r="AF19" s="98">
        <v>2.5865809999999998</v>
      </c>
      <c r="AG19" s="93">
        <v>9.6810000000000004E-3</v>
      </c>
    </row>
    <row r="20" spans="1:33" ht="15" customHeight="1" x14ac:dyDescent="0.3">
      <c r="A20" s="92" t="s">
        <v>2714</v>
      </c>
      <c r="B20" s="91" t="s">
        <v>38</v>
      </c>
      <c r="C20" s="106">
        <v>94.449860000000001</v>
      </c>
      <c r="D20" s="106">
        <v>95.495307999999994</v>
      </c>
      <c r="E20" s="106">
        <v>96.551902999999996</v>
      </c>
      <c r="F20" s="106">
        <v>97.658028000000002</v>
      </c>
      <c r="G20" s="106">
        <v>98.765022000000002</v>
      </c>
      <c r="H20" s="106">
        <v>99.904876999999999</v>
      </c>
      <c r="I20" s="106">
        <v>101.047653</v>
      </c>
      <c r="J20" s="106">
        <v>102.184082</v>
      </c>
      <c r="K20" s="106">
        <v>103.314255</v>
      </c>
      <c r="L20" s="106">
        <v>104.44883</v>
      </c>
      <c r="M20" s="106">
        <v>105.591942</v>
      </c>
      <c r="N20" s="106">
        <v>106.739143</v>
      </c>
      <c r="O20" s="106">
        <v>107.889267</v>
      </c>
      <c r="P20" s="106">
        <v>109.03465300000001</v>
      </c>
      <c r="Q20" s="106">
        <v>110.16482499999999</v>
      </c>
      <c r="R20" s="106">
        <v>111.283447</v>
      </c>
      <c r="S20" s="106">
        <v>112.393387</v>
      </c>
      <c r="T20" s="106">
        <v>113.50361599999999</v>
      </c>
      <c r="U20" s="106">
        <v>114.620552</v>
      </c>
      <c r="V20" s="106">
        <v>115.748985</v>
      </c>
      <c r="W20" s="106">
        <v>116.873863</v>
      </c>
      <c r="X20" s="106">
        <v>117.99906900000001</v>
      </c>
      <c r="Y20" s="106">
        <v>119.123665</v>
      </c>
      <c r="Z20" s="106">
        <v>120.248024</v>
      </c>
      <c r="AA20" s="106">
        <v>121.380478</v>
      </c>
      <c r="AB20" s="106">
        <v>122.52491000000001</v>
      </c>
      <c r="AC20" s="106">
        <v>123.672729</v>
      </c>
      <c r="AD20" s="106">
        <v>124.822487</v>
      </c>
      <c r="AE20" s="106">
        <v>125.979202</v>
      </c>
      <c r="AF20" s="106">
        <v>127.144531</v>
      </c>
      <c r="AG20" s="89">
        <v>1.0303E-2</v>
      </c>
    </row>
    <row r="22" spans="1:33" ht="15" customHeight="1" x14ac:dyDescent="0.3">
      <c r="B22" s="91" t="s">
        <v>2713</v>
      </c>
    </row>
    <row r="23" spans="1:33" ht="15" customHeight="1" x14ac:dyDescent="0.3">
      <c r="B23" s="91" t="s">
        <v>45</v>
      </c>
    </row>
    <row r="24" spans="1:33" ht="15" customHeight="1" x14ac:dyDescent="0.35">
      <c r="A24" s="92" t="s">
        <v>2712</v>
      </c>
      <c r="B24" s="95" t="s">
        <v>2728</v>
      </c>
      <c r="C24" s="98">
        <v>95.963547000000005</v>
      </c>
      <c r="D24" s="98">
        <v>97.087836999999993</v>
      </c>
      <c r="E24" s="98">
        <v>96.001487999999995</v>
      </c>
      <c r="F24" s="98">
        <v>95.041709999999995</v>
      </c>
      <c r="G24" s="98">
        <v>94.154594000000003</v>
      </c>
      <c r="H24" s="98">
        <v>93.055205999999998</v>
      </c>
      <c r="I24" s="98">
        <v>92.341414999999998</v>
      </c>
      <c r="J24" s="98">
        <v>91.513023000000004</v>
      </c>
      <c r="K24" s="98">
        <v>90.651970000000006</v>
      </c>
      <c r="L24" s="98">
        <v>89.744888000000003</v>
      </c>
      <c r="M24" s="98">
        <v>88.876457000000002</v>
      </c>
      <c r="N24" s="98">
        <v>88.129677000000001</v>
      </c>
      <c r="O24" s="98">
        <v>87.411231999999998</v>
      </c>
      <c r="P24" s="98">
        <v>86.769256999999996</v>
      </c>
      <c r="Q24" s="98">
        <v>86.247619999999998</v>
      </c>
      <c r="R24" s="98">
        <v>85.783233999999993</v>
      </c>
      <c r="S24" s="98">
        <v>85.319541999999998</v>
      </c>
      <c r="T24" s="98">
        <v>84.884315000000001</v>
      </c>
      <c r="U24" s="98">
        <v>84.448845000000006</v>
      </c>
      <c r="V24" s="98">
        <v>83.983581999999998</v>
      </c>
      <c r="W24" s="98">
        <v>83.601646000000002</v>
      </c>
      <c r="X24" s="98">
        <v>83.246619999999993</v>
      </c>
      <c r="Y24" s="98">
        <v>82.906424999999999</v>
      </c>
      <c r="Z24" s="98">
        <v>82.601348999999999</v>
      </c>
      <c r="AA24" s="98">
        <v>82.303848000000002</v>
      </c>
      <c r="AB24" s="98">
        <v>82.008658999999994</v>
      </c>
      <c r="AC24" s="98">
        <v>81.721901000000003</v>
      </c>
      <c r="AD24" s="98">
        <v>81.453011000000004</v>
      </c>
      <c r="AE24" s="98">
        <v>81.181411999999995</v>
      </c>
      <c r="AF24" s="98">
        <v>80.940185999999997</v>
      </c>
      <c r="AG24" s="93">
        <v>-5.8539999999999998E-3</v>
      </c>
    </row>
    <row r="25" spans="1:33" ht="15" customHeight="1" x14ac:dyDescent="0.35">
      <c r="A25" s="92" t="s">
        <v>2710</v>
      </c>
      <c r="B25" s="95" t="s">
        <v>2711</v>
      </c>
      <c r="C25" s="98">
        <v>94.951149000000001</v>
      </c>
      <c r="D25" s="98">
        <v>95.968879999999999</v>
      </c>
      <c r="E25" s="98">
        <v>94.775986000000003</v>
      </c>
      <c r="F25" s="98">
        <v>93.713791000000001</v>
      </c>
      <c r="G25" s="98">
        <v>92.760788000000005</v>
      </c>
      <c r="H25" s="98">
        <v>91.587631000000002</v>
      </c>
      <c r="I25" s="98">
        <v>90.815819000000005</v>
      </c>
      <c r="J25" s="98">
        <v>89.950241000000005</v>
      </c>
      <c r="K25" s="98">
        <v>89.037627999999998</v>
      </c>
      <c r="L25" s="98">
        <v>88.105118000000004</v>
      </c>
      <c r="M25" s="98">
        <v>87.189650999999998</v>
      </c>
      <c r="N25" s="98">
        <v>86.416718000000003</v>
      </c>
      <c r="O25" s="98">
        <v>85.653571999999997</v>
      </c>
      <c r="P25" s="98">
        <v>84.975845000000007</v>
      </c>
      <c r="Q25" s="98">
        <v>84.449432000000002</v>
      </c>
      <c r="R25" s="98">
        <v>83.942497000000003</v>
      </c>
      <c r="S25" s="98">
        <v>83.437454000000002</v>
      </c>
      <c r="T25" s="98">
        <v>82.966865999999996</v>
      </c>
      <c r="U25" s="98">
        <v>82.469070000000002</v>
      </c>
      <c r="V25" s="98">
        <v>81.949073999999996</v>
      </c>
      <c r="W25" s="98">
        <v>81.526916999999997</v>
      </c>
      <c r="X25" s="98">
        <v>81.120613000000006</v>
      </c>
      <c r="Y25" s="98">
        <v>80.722892999999999</v>
      </c>
      <c r="Z25" s="98">
        <v>80.389717000000005</v>
      </c>
      <c r="AA25" s="98">
        <v>80.032509000000005</v>
      </c>
      <c r="AB25" s="98">
        <v>79.656173999999993</v>
      </c>
      <c r="AC25" s="98">
        <v>79.332260000000005</v>
      </c>
      <c r="AD25" s="98">
        <v>78.999153000000007</v>
      </c>
      <c r="AE25" s="98">
        <v>78.679633999999993</v>
      </c>
      <c r="AF25" s="98">
        <v>78.410362000000006</v>
      </c>
      <c r="AG25" s="93">
        <v>-6.5789999999999998E-3</v>
      </c>
    </row>
    <row r="27" spans="1:33" ht="15" customHeight="1" x14ac:dyDescent="0.3">
      <c r="B27" s="91" t="s">
        <v>2729</v>
      </c>
    </row>
    <row r="28" spans="1:33" ht="15" customHeight="1" x14ac:dyDescent="0.3">
      <c r="B28" s="91" t="s">
        <v>2730</v>
      </c>
    </row>
    <row r="29" spans="1:33" ht="15" customHeight="1" x14ac:dyDescent="0.35">
      <c r="A29" s="92" t="s">
        <v>2709</v>
      </c>
      <c r="B29" s="95" t="s">
        <v>2778</v>
      </c>
      <c r="C29" s="97">
        <v>0.115372</v>
      </c>
      <c r="D29" s="97">
        <v>0.11688</v>
      </c>
      <c r="E29" s="97">
        <v>0.112749</v>
      </c>
      <c r="F29" s="97">
        <v>0.112468</v>
      </c>
      <c r="G29" s="97">
        <v>0.11192100000000001</v>
      </c>
      <c r="H29" s="97">
        <v>0.111126</v>
      </c>
      <c r="I29" s="97">
        <v>0.11013199999999999</v>
      </c>
      <c r="J29" s="97">
        <v>0.10902100000000001</v>
      </c>
      <c r="K29" s="97">
        <v>0.107776</v>
      </c>
      <c r="L29" s="97">
        <v>0.106445</v>
      </c>
      <c r="M29" s="97">
        <v>0.105224</v>
      </c>
      <c r="N29" s="97">
        <v>0.103978</v>
      </c>
      <c r="O29" s="97">
        <v>0.102654</v>
      </c>
      <c r="P29" s="97">
        <v>0.10133399999999999</v>
      </c>
      <c r="Q29" s="97">
        <v>0.100073</v>
      </c>
      <c r="R29" s="97">
        <v>9.8827999999999999E-2</v>
      </c>
      <c r="S29" s="97">
        <v>9.7543000000000005E-2</v>
      </c>
      <c r="T29" s="97">
        <v>9.6225000000000005E-2</v>
      </c>
      <c r="U29" s="97">
        <v>9.4810000000000005E-2</v>
      </c>
      <c r="V29" s="97">
        <v>9.3338000000000004E-2</v>
      </c>
      <c r="W29" s="97">
        <v>9.1958999999999999E-2</v>
      </c>
      <c r="X29" s="97">
        <v>9.0549000000000004E-2</v>
      </c>
      <c r="Y29" s="97">
        <v>8.9121000000000006E-2</v>
      </c>
      <c r="Z29" s="97">
        <v>8.7769E-2</v>
      </c>
      <c r="AA29" s="97">
        <v>8.6362999999999995E-2</v>
      </c>
      <c r="AB29" s="97">
        <v>8.4944000000000006E-2</v>
      </c>
      <c r="AC29" s="97">
        <v>8.3534999999999998E-2</v>
      </c>
      <c r="AD29" s="97">
        <v>8.2083000000000003E-2</v>
      </c>
      <c r="AE29" s="97">
        <v>8.0625000000000002E-2</v>
      </c>
      <c r="AF29" s="97">
        <v>7.9223000000000002E-2</v>
      </c>
      <c r="AG29" s="93">
        <v>-1.2878000000000001E-2</v>
      </c>
    </row>
    <row r="30" spans="1:33" ht="15" customHeight="1" x14ac:dyDescent="0.35">
      <c r="A30" s="92" t="s">
        <v>2708</v>
      </c>
      <c r="B30" s="95" t="s">
        <v>2779</v>
      </c>
      <c r="C30" s="97">
        <v>0.52339899999999995</v>
      </c>
      <c r="D30" s="97">
        <v>0.48430099999999998</v>
      </c>
      <c r="E30" s="97">
        <v>0.54630900000000004</v>
      </c>
      <c r="F30" s="97">
        <v>0.55334899999999998</v>
      </c>
      <c r="G30" s="97">
        <v>0.56007499999999999</v>
      </c>
      <c r="H30" s="97">
        <v>0.565994</v>
      </c>
      <c r="I30" s="97">
        <v>0.570465</v>
      </c>
      <c r="J30" s="97">
        <v>0.57436500000000001</v>
      </c>
      <c r="K30" s="97">
        <v>0.57791199999999998</v>
      </c>
      <c r="L30" s="97">
        <v>0.58161799999999997</v>
      </c>
      <c r="M30" s="97">
        <v>0.58634900000000001</v>
      </c>
      <c r="N30" s="97">
        <v>0.591418</v>
      </c>
      <c r="O30" s="97">
        <v>0.59642600000000001</v>
      </c>
      <c r="P30" s="97">
        <v>0.60132399999999997</v>
      </c>
      <c r="Q30" s="97">
        <v>0.60728300000000002</v>
      </c>
      <c r="R30" s="97">
        <v>0.61354799999999998</v>
      </c>
      <c r="S30" s="97">
        <v>0.62048700000000001</v>
      </c>
      <c r="T30" s="97">
        <v>0.62778999999999996</v>
      </c>
      <c r="U30" s="97">
        <v>0.63476500000000002</v>
      </c>
      <c r="V30" s="97">
        <v>0.64100800000000002</v>
      </c>
      <c r="W30" s="97">
        <v>0.64824400000000004</v>
      </c>
      <c r="X30" s="97">
        <v>0.65574699999999997</v>
      </c>
      <c r="Y30" s="97">
        <v>0.66328500000000001</v>
      </c>
      <c r="Z30" s="97">
        <v>0.67161300000000002</v>
      </c>
      <c r="AA30" s="97">
        <v>0.67989599999999994</v>
      </c>
      <c r="AB30" s="97">
        <v>0.68818000000000001</v>
      </c>
      <c r="AC30" s="97">
        <v>0.69669800000000004</v>
      </c>
      <c r="AD30" s="97">
        <v>0.70520300000000002</v>
      </c>
      <c r="AE30" s="97">
        <v>0.71389899999999995</v>
      </c>
      <c r="AF30" s="97">
        <v>0.72362099999999996</v>
      </c>
      <c r="AG30" s="93">
        <v>1.1232000000000001E-2</v>
      </c>
    </row>
    <row r="31" spans="1:33" ht="14.5" x14ac:dyDescent="0.35">
      <c r="A31" s="92" t="s">
        <v>2707</v>
      </c>
      <c r="B31" s="95" t="s">
        <v>2780</v>
      </c>
      <c r="C31" s="97">
        <v>2.4849E-2</v>
      </c>
      <c r="D31" s="97">
        <v>2.4395E-2</v>
      </c>
      <c r="E31" s="97">
        <v>2.4074000000000002E-2</v>
      </c>
      <c r="F31" s="97">
        <v>2.3880999999999999E-2</v>
      </c>
      <c r="G31" s="97">
        <v>2.3674000000000001E-2</v>
      </c>
      <c r="H31" s="97">
        <v>2.3486E-2</v>
      </c>
      <c r="I31" s="97">
        <v>2.3261E-2</v>
      </c>
      <c r="J31" s="97">
        <v>2.3016000000000002E-2</v>
      </c>
      <c r="K31" s="97">
        <v>2.2764E-2</v>
      </c>
      <c r="L31" s="97">
        <v>2.2519000000000001E-2</v>
      </c>
      <c r="M31" s="97">
        <v>2.2297999999999998E-2</v>
      </c>
      <c r="N31" s="97">
        <v>2.2085E-2</v>
      </c>
      <c r="O31" s="97">
        <v>2.1861999999999999E-2</v>
      </c>
      <c r="P31" s="97">
        <v>2.1635000000000001E-2</v>
      </c>
      <c r="Q31" s="97">
        <v>2.1437999999999999E-2</v>
      </c>
      <c r="R31" s="97">
        <v>2.1250999999999999E-2</v>
      </c>
      <c r="S31" s="97">
        <v>2.1076999999999999E-2</v>
      </c>
      <c r="T31" s="97">
        <v>2.0908E-2</v>
      </c>
      <c r="U31" s="97">
        <v>2.0723999999999999E-2</v>
      </c>
      <c r="V31" s="97">
        <v>2.0532999999999999E-2</v>
      </c>
      <c r="W31" s="97">
        <v>2.0371E-2</v>
      </c>
      <c r="X31" s="97">
        <v>2.0206999999999999E-2</v>
      </c>
      <c r="Y31" s="97">
        <v>2.0042999999999998E-2</v>
      </c>
      <c r="Z31" s="97">
        <v>1.9899E-2</v>
      </c>
      <c r="AA31" s="97">
        <v>1.9744000000000001E-2</v>
      </c>
      <c r="AB31" s="97">
        <v>1.9587E-2</v>
      </c>
      <c r="AC31" s="97">
        <v>1.9435000000000001E-2</v>
      </c>
      <c r="AD31" s="97">
        <v>1.9272999999999998E-2</v>
      </c>
      <c r="AE31" s="97">
        <v>1.9113000000000002E-2</v>
      </c>
      <c r="AF31" s="97">
        <v>1.8977000000000001E-2</v>
      </c>
      <c r="AG31" s="93">
        <v>-9.2530000000000008E-3</v>
      </c>
    </row>
    <row r="32" spans="1:33" ht="14.5" x14ac:dyDescent="0.35">
      <c r="A32" s="92" t="s">
        <v>2706</v>
      </c>
      <c r="B32" s="95" t="s">
        <v>2668</v>
      </c>
      <c r="C32" s="97">
        <v>0.50243300000000002</v>
      </c>
      <c r="D32" s="97">
        <v>0.49899100000000002</v>
      </c>
      <c r="E32" s="97">
        <v>0.49803399999999998</v>
      </c>
      <c r="F32" s="97">
        <v>0.49950800000000001</v>
      </c>
      <c r="G32" s="97">
        <v>0.50023499999999999</v>
      </c>
      <c r="H32" s="97">
        <v>0.49154799999999998</v>
      </c>
      <c r="I32" s="97">
        <v>0.48290499999999997</v>
      </c>
      <c r="J32" s="97">
        <v>0.47470200000000001</v>
      </c>
      <c r="K32" s="97">
        <v>0.46707900000000002</v>
      </c>
      <c r="L32" s="97">
        <v>0.45949899999999999</v>
      </c>
      <c r="M32" s="97">
        <v>0.45295000000000002</v>
      </c>
      <c r="N32" s="97">
        <v>0.44710800000000001</v>
      </c>
      <c r="O32" s="97">
        <v>0.44153300000000001</v>
      </c>
      <c r="P32" s="97">
        <v>0.43646400000000002</v>
      </c>
      <c r="Q32" s="97">
        <v>0.43243599999999999</v>
      </c>
      <c r="R32" s="97">
        <v>0.42907299999999998</v>
      </c>
      <c r="S32" s="97">
        <v>0.42626399999999998</v>
      </c>
      <c r="T32" s="97">
        <v>0.42394300000000001</v>
      </c>
      <c r="U32" s="97">
        <v>0.42161900000000002</v>
      </c>
      <c r="V32" s="97">
        <v>0.41845900000000003</v>
      </c>
      <c r="W32" s="97">
        <v>0.41617100000000001</v>
      </c>
      <c r="X32" s="97">
        <v>0.41419</v>
      </c>
      <c r="Y32" s="97">
        <v>0.41251199999999999</v>
      </c>
      <c r="Z32" s="97">
        <v>0.41157100000000002</v>
      </c>
      <c r="AA32" s="97">
        <v>0.41076499999999999</v>
      </c>
      <c r="AB32" s="97">
        <v>0.41021200000000002</v>
      </c>
      <c r="AC32" s="97">
        <v>0.41009800000000002</v>
      </c>
      <c r="AD32" s="97">
        <v>0.41007300000000002</v>
      </c>
      <c r="AE32" s="97">
        <v>0.41036099999999998</v>
      </c>
      <c r="AF32" s="97">
        <v>0.41134399999999999</v>
      </c>
      <c r="AG32" s="93">
        <v>-6.8739999999999999E-3</v>
      </c>
    </row>
    <row r="33" spans="1:33" ht="14.5" x14ac:dyDescent="0.35">
      <c r="A33" s="92" t="s">
        <v>2705</v>
      </c>
      <c r="B33" s="95" t="s">
        <v>57</v>
      </c>
      <c r="C33" s="97">
        <v>8.4322999999999995E-2</v>
      </c>
      <c r="D33" s="97">
        <v>8.3906999999999995E-2</v>
      </c>
      <c r="E33" s="97">
        <v>8.3880999999999997E-2</v>
      </c>
      <c r="F33" s="97">
        <v>8.4142999999999996E-2</v>
      </c>
      <c r="G33" s="97">
        <v>8.4264000000000006E-2</v>
      </c>
      <c r="H33" s="97">
        <v>8.4212999999999996E-2</v>
      </c>
      <c r="I33" s="97">
        <v>8.4026000000000003E-2</v>
      </c>
      <c r="J33" s="97">
        <v>8.3756999999999998E-2</v>
      </c>
      <c r="K33" s="97">
        <v>8.3446000000000006E-2</v>
      </c>
      <c r="L33" s="97">
        <v>8.3116999999999996E-2</v>
      </c>
      <c r="M33" s="97">
        <v>8.2860000000000003E-2</v>
      </c>
      <c r="N33" s="97">
        <v>8.2617999999999997E-2</v>
      </c>
      <c r="O33" s="97">
        <v>8.2346000000000003E-2</v>
      </c>
      <c r="P33" s="97">
        <v>8.2059999999999994E-2</v>
      </c>
      <c r="Q33" s="97">
        <v>8.1840999999999997E-2</v>
      </c>
      <c r="R33" s="97">
        <v>8.1625000000000003E-2</v>
      </c>
      <c r="S33" s="97">
        <v>8.1424999999999997E-2</v>
      </c>
      <c r="T33" s="97">
        <v>8.1217999999999999E-2</v>
      </c>
      <c r="U33" s="97">
        <v>8.0948000000000006E-2</v>
      </c>
      <c r="V33" s="97">
        <v>8.0638000000000001E-2</v>
      </c>
      <c r="W33" s="97">
        <v>8.0422999999999994E-2</v>
      </c>
      <c r="X33" s="97">
        <v>8.0198000000000005E-2</v>
      </c>
      <c r="Y33" s="97">
        <v>7.9963999999999993E-2</v>
      </c>
      <c r="Z33" s="97">
        <v>7.9766000000000004E-2</v>
      </c>
      <c r="AA33" s="97">
        <v>7.9530000000000003E-2</v>
      </c>
      <c r="AB33" s="97">
        <v>7.9271999999999995E-2</v>
      </c>
      <c r="AC33" s="97">
        <v>7.9005000000000006E-2</v>
      </c>
      <c r="AD33" s="97">
        <v>7.8702999999999995E-2</v>
      </c>
      <c r="AE33" s="97">
        <v>7.8403E-2</v>
      </c>
      <c r="AF33" s="97">
        <v>7.8151999999999999E-2</v>
      </c>
      <c r="AG33" s="93">
        <v>-2.617E-3</v>
      </c>
    </row>
    <row r="34" spans="1:33" ht="14.5" x14ac:dyDescent="0.35">
      <c r="A34" s="92" t="s">
        <v>2704</v>
      </c>
      <c r="B34" s="95" t="s">
        <v>63</v>
      </c>
      <c r="C34" s="97">
        <v>0.51833600000000002</v>
      </c>
      <c r="D34" s="97">
        <v>0.50489300000000004</v>
      </c>
      <c r="E34" s="97">
        <v>0.49493700000000002</v>
      </c>
      <c r="F34" s="97">
        <v>0.48804500000000001</v>
      </c>
      <c r="G34" s="97">
        <v>0.48189199999999999</v>
      </c>
      <c r="H34" s="97">
        <v>0.47619299999999998</v>
      </c>
      <c r="I34" s="97">
        <v>0.47084799999999999</v>
      </c>
      <c r="J34" s="97">
        <v>0.46276400000000001</v>
      </c>
      <c r="K34" s="97">
        <v>0.45572099999999999</v>
      </c>
      <c r="L34" s="97">
        <v>0.44149300000000002</v>
      </c>
      <c r="M34" s="97">
        <v>0.42951299999999998</v>
      </c>
      <c r="N34" s="97">
        <v>0.419101</v>
      </c>
      <c r="O34" s="97">
        <v>0.409914</v>
      </c>
      <c r="P34" s="97">
        <v>0.40182600000000002</v>
      </c>
      <c r="Q34" s="97">
        <v>0.395258</v>
      </c>
      <c r="R34" s="97">
        <v>0.389843</v>
      </c>
      <c r="S34" s="97">
        <v>0.38531599999999999</v>
      </c>
      <c r="T34" s="97">
        <v>0.381525</v>
      </c>
      <c r="U34" s="97">
        <v>0.37787599999999999</v>
      </c>
      <c r="V34" s="97">
        <v>0.37235099999999999</v>
      </c>
      <c r="W34" s="97">
        <v>0.368251</v>
      </c>
      <c r="X34" s="97">
        <v>0.364593</v>
      </c>
      <c r="Y34" s="97">
        <v>0.361238</v>
      </c>
      <c r="Z34" s="97">
        <v>0.35877399999999998</v>
      </c>
      <c r="AA34" s="97">
        <v>0.35661399999999999</v>
      </c>
      <c r="AB34" s="97">
        <v>0.35486099999999998</v>
      </c>
      <c r="AC34" s="97">
        <v>0.35362300000000002</v>
      </c>
      <c r="AD34" s="97">
        <v>0.35255799999999998</v>
      </c>
      <c r="AE34" s="97">
        <v>0.35188700000000001</v>
      </c>
      <c r="AF34" s="97">
        <v>0.35190700000000003</v>
      </c>
      <c r="AG34" s="93">
        <v>-1.3265000000000001E-2</v>
      </c>
    </row>
    <row r="35" spans="1:33" ht="14.5" x14ac:dyDescent="0.35">
      <c r="A35" s="92" t="s">
        <v>2703</v>
      </c>
      <c r="B35" s="95" t="s">
        <v>55</v>
      </c>
      <c r="C35" s="97">
        <v>0.64944999999999997</v>
      </c>
      <c r="D35" s="97">
        <v>0.64615100000000003</v>
      </c>
      <c r="E35" s="97">
        <v>0.64540500000000001</v>
      </c>
      <c r="F35" s="97">
        <v>0.64657100000000001</v>
      </c>
      <c r="G35" s="97">
        <v>0.64801500000000001</v>
      </c>
      <c r="H35" s="97">
        <v>0.64954199999999995</v>
      </c>
      <c r="I35" s="97">
        <v>0.65104899999999999</v>
      </c>
      <c r="J35" s="97">
        <v>0.65264599999999995</v>
      </c>
      <c r="K35" s="97">
        <v>0.65441800000000006</v>
      </c>
      <c r="L35" s="97">
        <v>0.65465200000000001</v>
      </c>
      <c r="M35" s="97">
        <v>0.65605599999999997</v>
      </c>
      <c r="N35" s="97">
        <v>0.65796699999999997</v>
      </c>
      <c r="O35" s="97">
        <v>0.66003100000000003</v>
      </c>
      <c r="P35" s="97">
        <v>0.66227199999999997</v>
      </c>
      <c r="Q35" s="97">
        <v>0.66498100000000004</v>
      </c>
      <c r="R35" s="97">
        <v>0.66793599999999997</v>
      </c>
      <c r="S35" s="97">
        <v>0.67108500000000004</v>
      </c>
      <c r="T35" s="97">
        <v>0.67437100000000005</v>
      </c>
      <c r="U35" s="97">
        <v>0.67749700000000002</v>
      </c>
      <c r="V35" s="97">
        <v>0.68024899999999999</v>
      </c>
      <c r="W35" s="97">
        <v>0.68399399999999999</v>
      </c>
      <c r="X35" s="97">
        <v>0.68776999999999999</v>
      </c>
      <c r="Y35" s="97">
        <v>0.69159700000000002</v>
      </c>
      <c r="Z35" s="97">
        <v>0.69574899999999995</v>
      </c>
      <c r="AA35" s="97">
        <v>0.69989299999999999</v>
      </c>
      <c r="AB35" s="97">
        <v>0.70413899999999996</v>
      </c>
      <c r="AC35" s="97">
        <v>0.70853699999999997</v>
      </c>
      <c r="AD35" s="97">
        <v>0.71280299999999996</v>
      </c>
      <c r="AE35" s="97">
        <v>0.71709800000000001</v>
      </c>
      <c r="AF35" s="97">
        <v>0.72172899999999995</v>
      </c>
      <c r="AG35" s="93">
        <v>3.6449999999999998E-3</v>
      </c>
    </row>
    <row r="36" spans="1:33" ht="14.5" x14ac:dyDescent="0.35">
      <c r="A36" s="92" t="s">
        <v>2702</v>
      </c>
      <c r="B36" s="95" t="s">
        <v>2663</v>
      </c>
      <c r="C36" s="97">
        <v>0.42910900000000002</v>
      </c>
      <c r="D36" s="97">
        <v>0.43390699999999999</v>
      </c>
      <c r="E36" s="97">
        <v>0.43921399999999999</v>
      </c>
      <c r="F36" s="97">
        <v>0.44551099999999999</v>
      </c>
      <c r="G36" s="97">
        <v>0.45266699999999999</v>
      </c>
      <c r="H36" s="97">
        <v>0.45981300000000003</v>
      </c>
      <c r="I36" s="97">
        <v>0.46690700000000002</v>
      </c>
      <c r="J36" s="97">
        <v>0.474939</v>
      </c>
      <c r="K36" s="97">
        <v>0.48300100000000001</v>
      </c>
      <c r="L36" s="97">
        <v>0.49163400000000002</v>
      </c>
      <c r="M36" s="97">
        <v>0.50033899999999998</v>
      </c>
      <c r="N36" s="97">
        <v>0.50964100000000001</v>
      </c>
      <c r="O36" s="97">
        <v>0.51896299999999995</v>
      </c>
      <c r="P36" s="97">
        <v>0.52885199999999999</v>
      </c>
      <c r="Q36" s="97">
        <v>0.53891</v>
      </c>
      <c r="R36" s="97">
        <v>0.55010400000000004</v>
      </c>
      <c r="S36" s="97">
        <v>0.56088700000000002</v>
      </c>
      <c r="T36" s="97">
        <v>0.572855</v>
      </c>
      <c r="U36" s="97">
        <v>0.58487</v>
      </c>
      <c r="V36" s="97">
        <v>0.59700600000000004</v>
      </c>
      <c r="W36" s="97">
        <v>0.60931299999999999</v>
      </c>
      <c r="X36" s="97">
        <v>0.62227900000000003</v>
      </c>
      <c r="Y36" s="97">
        <v>0.635911</v>
      </c>
      <c r="Z36" s="97">
        <v>0.64924199999999999</v>
      </c>
      <c r="AA36" s="97">
        <v>0.66324300000000003</v>
      </c>
      <c r="AB36" s="97">
        <v>0.67797600000000002</v>
      </c>
      <c r="AC36" s="97">
        <v>0.69234799999999996</v>
      </c>
      <c r="AD36" s="97">
        <v>0.70740199999999998</v>
      </c>
      <c r="AE36" s="97">
        <v>0.72265800000000002</v>
      </c>
      <c r="AF36" s="97">
        <v>0.73826199999999997</v>
      </c>
      <c r="AG36" s="93">
        <v>1.8886E-2</v>
      </c>
    </row>
    <row r="37" spans="1:33" ht="14.5" x14ac:dyDescent="0.35">
      <c r="A37" s="92" t="s">
        <v>2701</v>
      </c>
      <c r="B37" s="95" t="s">
        <v>2661</v>
      </c>
      <c r="C37" s="97">
        <v>0.176791</v>
      </c>
      <c r="D37" s="97">
        <v>0.175063</v>
      </c>
      <c r="E37" s="97">
        <v>0.17426</v>
      </c>
      <c r="F37" s="97">
        <v>0.17410400000000001</v>
      </c>
      <c r="G37" s="97">
        <v>0.17433100000000001</v>
      </c>
      <c r="H37" s="97">
        <v>0.17496600000000001</v>
      </c>
      <c r="I37" s="97">
        <v>0.17575499999999999</v>
      </c>
      <c r="J37" s="97">
        <v>0.17673</v>
      </c>
      <c r="K37" s="97">
        <v>0.17793</v>
      </c>
      <c r="L37" s="97">
        <v>0.179401</v>
      </c>
      <c r="M37" s="97">
        <v>0.18088000000000001</v>
      </c>
      <c r="N37" s="97">
        <v>0.182643</v>
      </c>
      <c r="O37" s="97">
        <v>0.184393</v>
      </c>
      <c r="P37" s="97">
        <v>0.18584300000000001</v>
      </c>
      <c r="Q37" s="97">
        <v>0.187579</v>
      </c>
      <c r="R37" s="97">
        <v>0.18901399999999999</v>
      </c>
      <c r="S37" s="97">
        <v>0.190439</v>
      </c>
      <c r="T37" s="97">
        <v>0.19186400000000001</v>
      </c>
      <c r="U37" s="97">
        <v>0.19267100000000001</v>
      </c>
      <c r="V37" s="97">
        <v>0.193466</v>
      </c>
      <c r="W37" s="97">
        <v>0.19394800000000001</v>
      </c>
      <c r="X37" s="97">
        <v>0.19378400000000001</v>
      </c>
      <c r="Y37" s="97">
        <v>0.19326299999999999</v>
      </c>
      <c r="Z37" s="97">
        <v>0.192411</v>
      </c>
      <c r="AA37" s="97">
        <v>0.19087499999999999</v>
      </c>
      <c r="AB37" s="97">
        <v>0.18897</v>
      </c>
      <c r="AC37" s="97">
        <v>0.186364</v>
      </c>
      <c r="AD37" s="97">
        <v>0.18301100000000001</v>
      </c>
      <c r="AE37" s="97">
        <v>0.17891699999999999</v>
      </c>
      <c r="AF37" s="97">
        <v>0.173762</v>
      </c>
      <c r="AG37" s="93">
        <v>-5.9599999999999996E-4</v>
      </c>
    </row>
    <row r="38" spans="1:33" ht="14.5" x14ac:dyDescent="0.35">
      <c r="A38" s="92" t="s">
        <v>2700</v>
      </c>
      <c r="B38" s="95" t="s">
        <v>2694</v>
      </c>
      <c r="C38" s="97">
        <v>1.5711040000000001</v>
      </c>
      <c r="D38" s="97">
        <v>1.67832</v>
      </c>
      <c r="E38" s="97">
        <v>1.6764140000000001</v>
      </c>
      <c r="F38" s="97">
        <v>1.6754709999999999</v>
      </c>
      <c r="G38" s="97">
        <v>1.674363</v>
      </c>
      <c r="H38" s="97">
        <v>1.6738710000000001</v>
      </c>
      <c r="I38" s="97">
        <v>1.69221</v>
      </c>
      <c r="J38" s="97">
        <v>1.7096070000000001</v>
      </c>
      <c r="K38" s="97">
        <v>1.727711</v>
      </c>
      <c r="L38" s="97">
        <v>1.7460230000000001</v>
      </c>
      <c r="M38" s="97">
        <v>1.7650790000000001</v>
      </c>
      <c r="N38" s="97">
        <v>1.7847310000000001</v>
      </c>
      <c r="O38" s="97">
        <v>1.8049459999999999</v>
      </c>
      <c r="P38" s="97">
        <v>1.8255300000000001</v>
      </c>
      <c r="Q38" s="97">
        <v>1.8469930000000001</v>
      </c>
      <c r="R38" s="97">
        <v>1.8694660000000001</v>
      </c>
      <c r="S38" s="97">
        <v>1.8923140000000001</v>
      </c>
      <c r="T38" s="97">
        <v>1.916142</v>
      </c>
      <c r="U38" s="97">
        <v>1.9407479999999999</v>
      </c>
      <c r="V38" s="97">
        <v>1.9658690000000001</v>
      </c>
      <c r="W38" s="97">
        <v>1.9922010000000001</v>
      </c>
      <c r="X38" s="97">
        <v>2.0192079999999999</v>
      </c>
      <c r="Y38" s="97">
        <v>2.0472220000000001</v>
      </c>
      <c r="Z38" s="97">
        <v>2.0762550000000002</v>
      </c>
      <c r="AA38" s="97">
        <v>2.106525</v>
      </c>
      <c r="AB38" s="97">
        <v>2.1373190000000002</v>
      </c>
      <c r="AC38" s="97">
        <v>2.1693159999999998</v>
      </c>
      <c r="AD38" s="97">
        <v>2.2023869999999999</v>
      </c>
      <c r="AE38" s="97">
        <v>2.2364769999999998</v>
      </c>
      <c r="AF38" s="97">
        <v>2.272173</v>
      </c>
      <c r="AG38" s="93">
        <v>1.2803999999999999E-2</v>
      </c>
    </row>
    <row r="39" spans="1:33" ht="12" x14ac:dyDescent="0.3">
      <c r="A39" s="92" t="s">
        <v>2781</v>
      </c>
      <c r="B39" s="91" t="s">
        <v>2735</v>
      </c>
      <c r="C39" s="96">
        <v>4.5951639999999996</v>
      </c>
      <c r="D39" s="96">
        <v>4.6468069999999999</v>
      </c>
      <c r="E39" s="96">
        <v>4.6952790000000002</v>
      </c>
      <c r="F39" s="96">
        <v>4.7030519999999996</v>
      </c>
      <c r="G39" s="96">
        <v>4.711436</v>
      </c>
      <c r="H39" s="96">
        <v>4.7107530000000004</v>
      </c>
      <c r="I39" s="96">
        <v>4.727557</v>
      </c>
      <c r="J39" s="96">
        <v>4.7415469999999997</v>
      </c>
      <c r="K39" s="96">
        <v>4.7577579999999999</v>
      </c>
      <c r="L39" s="96">
        <v>4.7664020000000002</v>
      </c>
      <c r="M39" s="96">
        <v>4.7815479999999999</v>
      </c>
      <c r="N39" s="96">
        <v>4.8012899999999998</v>
      </c>
      <c r="O39" s="96">
        <v>4.8230680000000001</v>
      </c>
      <c r="P39" s="96">
        <v>4.8471419999999998</v>
      </c>
      <c r="Q39" s="96">
        <v>4.876792</v>
      </c>
      <c r="R39" s="96">
        <v>4.9106889999999996</v>
      </c>
      <c r="S39" s="96">
        <v>4.9468360000000002</v>
      </c>
      <c r="T39" s="96">
        <v>4.9868410000000001</v>
      </c>
      <c r="U39" s="96">
        <v>5.0265279999999999</v>
      </c>
      <c r="V39" s="96">
        <v>5.0629169999999997</v>
      </c>
      <c r="W39" s="96">
        <v>5.1048749999999998</v>
      </c>
      <c r="X39" s="96">
        <v>5.1485250000000002</v>
      </c>
      <c r="Y39" s="96">
        <v>5.1941550000000003</v>
      </c>
      <c r="Z39" s="96">
        <v>5.2430479999999999</v>
      </c>
      <c r="AA39" s="96">
        <v>5.2934489999999998</v>
      </c>
      <c r="AB39" s="96">
        <v>5.345459</v>
      </c>
      <c r="AC39" s="96">
        <v>5.3989580000000004</v>
      </c>
      <c r="AD39" s="96">
        <v>5.4534960000000003</v>
      </c>
      <c r="AE39" s="96">
        <v>5.5094380000000003</v>
      </c>
      <c r="AF39" s="96">
        <v>5.5691490000000003</v>
      </c>
      <c r="AG39" s="89">
        <v>6.6509999999999998E-3</v>
      </c>
    </row>
    <row r="40" spans="1:33" ht="14.5" x14ac:dyDescent="0.35">
      <c r="A40" s="92" t="s">
        <v>2782</v>
      </c>
      <c r="B40" s="95" t="s">
        <v>2737</v>
      </c>
      <c r="C40" s="97">
        <v>9.5620999999999998E-2</v>
      </c>
      <c r="D40" s="97">
        <v>0.10685500000000001</v>
      </c>
      <c r="E40" s="97">
        <v>0.118325</v>
      </c>
      <c r="F40" s="97">
        <v>0.12968099999999999</v>
      </c>
      <c r="G40" s="97">
        <v>0.13766</v>
      </c>
      <c r="H40" s="97">
        <v>0.146618</v>
      </c>
      <c r="I40" s="97">
        <v>0.15415799999999999</v>
      </c>
      <c r="J40" s="97">
        <v>0.159692</v>
      </c>
      <c r="K40" s="97">
        <v>0.16678399999999999</v>
      </c>
      <c r="L40" s="97">
        <v>0.17127300000000001</v>
      </c>
      <c r="M40" s="97">
        <v>0.17811299999999999</v>
      </c>
      <c r="N40" s="97">
        <v>0.182839</v>
      </c>
      <c r="O40" s="97">
        <v>0.189632</v>
      </c>
      <c r="P40" s="97">
        <v>0.195544</v>
      </c>
      <c r="Q40" s="97">
        <v>0.198097</v>
      </c>
      <c r="R40" s="97">
        <v>0.204844</v>
      </c>
      <c r="S40" s="97">
        <v>0.211534</v>
      </c>
      <c r="T40" s="97">
        <v>0.217638</v>
      </c>
      <c r="U40" s="97">
        <v>0.22692300000000001</v>
      </c>
      <c r="V40" s="97">
        <v>0.23549200000000001</v>
      </c>
      <c r="W40" s="97">
        <v>0.242482</v>
      </c>
      <c r="X40" s="97">
        <v>0.25086700000000001</v>
      </c>
      <c r="Y40" s="97">
        <v>0.26011000000000001</v>
      </c>
      <c r="Z40" s="97">
        <v>0.26594400000000001</v>
      </c>
      <c r="AA40" s="97">
        <v>0.27569500000000002</v>
      </c>
      <c r="AB40" s="97">
        <v>0.28823700000000002</v>
      </c>
      <c r="AC40" s="97">
        <v>0.29553299999999999</v>
      </c>
      <c r="AD40" s="97">
        <v>0.30629600000000001</v>
      </c>
      <c r="AE40" s="97">
        <v>0.31517200000000001</v>
      </c>
      <c r="AF40" s="97">
        <v>0.32165300000000002</v>
      </c>
      <c r="AG40" s="93">
        <v>4.2717999999999999E-2</v>
      </c>
    </row>
    <row r="41" spans="1:33" ht="12" x14ac:dyDescent="0.3">
      <c r="A41" s="92" t="s">
        <v>2783</v>
      </c>
      <c r="B41" s="91" t="s">
        <v>2739</v>
      </c>
      <c r="C41" s="96">
        <v>4.4995430000000001</v>
      </c>
      <c r="D41" s="96">
        <v>4.5399520000000004</v>
      </c>
      <c r="E41" s="96">
        <v>4.5769529999999996</v>
      </c>
      <c r="F41" s="96">
        <v>4.5733699999999997</v>
      </c>
      <c r="G41" s="96">
        <v>4.5737769999999998</v>
      </c>
      <c r="H41" s="96">
        <v>4.5641350000000003</v>
      </c>
      <c r="I41" s="96">
        <v>4.5734000000000004</v>
      </c>
      <c r="J41" s="96">
        <v>4.5818539999999999</v>
      </c>
      <c r="K41" s="96">
        <v>4.5909740000000001</v>
      </c>
      <c r="L41" s="96">
        <v>4.595129</v>
      </c>
      <c r="M41" s="96">
        <v>4.6034350000000002</v>
      </c>
      <c r="N41" s="96">
        <v>4.6184510000000003</v>
      </c>
      <c r="O41" s="96">
        <v>4.6334350000000004</v>
      </c>
      <c r="P41" s="96">
        <v>4.6515979999999999</v>
      </c>
      <c r="Q41" s="96">
        <v>4.6786950000000003</v>
      </c>
      <c r="R41" s="96">
        <v>4.7058450000000001</v>
      </c>
      <c r="S41" s="96">
        <v>4.7353019999999999</v>
      </c>
      <c r="T41" s="96">
        <v>4.7692019999999999</v>
      </c>
      <c r="U41" s="96">
        <v>4.7996049999999997</v>
      </c>
      <c r="V41" s="96">
        <v>4.8274249999999999</v>
      </c>
      <c r="W41" s="96">
        <v>4.862393</v>
      </c>
      <c r="X41" s="96">
        <v>4.8976579999999998</v>
      </c>
      <c r="Y41" s="96">
        <v>4.9340450000000002</v>
      </c>
      <c r="Z41" s="96">
        <v>4.9771039999999998</v>
      </c>
      <c r="AA41" s="96">
        <v>5.017754</v>
      </c>
      <c r="AB41" s="96">
        <v>5.0572220000000003</v>
      </c>
      <c r="AC41" s="96">
        <v>5.1034259999999998</v>
      </c>
      <c r="AD41" s="96">
        <v>5.1471999999999998</v>
      </c>
      <c r="AE41" s="96">
        <v>5.1942649999999997</v>
      </c>
      <c r="AF41" s="96">
        <v>5.2474959999999999</v>
      </c>
      <c r="AG41" s="89">
        <v>5.3169999999999997E-3</v>
      </c>
    </row>
    <row r="42" spans="1:33" ht="12" x14ac:dyDescent="0.3"/>
    <row r="43" spans="1:33" ht="12" x14ac:dyDescent="0.3">
      <c r="B43" s="91" t="s">
        <v>74</v>
      </c>
    </row>
    <row r="44" spans="1:33" ht="14.5" x14ac:dyDescent="0.35">
      <c r="A44" s="92" t="s">
        <v>2699</v>
      </c>
      <c r="B44" s="95" t="s">
        <v>2778</v>
      </c>
      <c r="C44" s="97">
        <v>1.8042739999999999</v>
      </c>
      <c r="D44" s="97">
        <v>1.832203</v>
      </c>
      <c r="E44" s="97">
        <v>1.7731749999999999</v>
      </c>
      <c r="F44" s="97">
        <v>1.7856540000000001</v>
      </c>
      <c r="G44" s="97">
        <v>1.7998689999999999</v>
      </c>
      <c r="H44" s="97">
        <v>1.8080419999999999</v>
      </c>
      <c r="I44" s="97">
        <v>1.809979</v>
      </c>
      <c r="J44" s="97">
        <v>1.80684</v>
      </c>
      <c r="K44" s="97">
        <v>1.7991349999999999</v>
      </c>
      <c r="L44" s="97">
        <v>1.7915859999999999</v>
      </c>
      <c r="M44" s="97">
        <v>1.7839780000000001</v>
      </c>
      <c r="N44" s="97">
        <v>1.779091</v>
      </c>
      <c r="O44" s="97">
        <v>1.7730109999999999</v>
      </c>
      <c r="P44" s="97">
        <v>1.768429</v>
      </c>
      <c r="Q44" s="97">
        <v>1.766343</v>
      </c>
      <c r="R44" s="97">
        <v>1.7643009999999999</v>
      </c>
      <c r="S44" s="97">
        <v>1.7601009999999999</v>
      </c>
      <c r="T44" s="97">
        <v>1.7549250000000001</v>
      </c>
      <c r="U44" s="97">
        <v>1.74899</v>
      </c>
      <c r="V44" s="97">
        <v>1.743317</v>
      </c>
      <c r="W44" s="97">
        <v>1.738327</v>
      </c>
      <c r="X44" s="97">
        <v>1.733492</v>
      </c>
      <c r="Y44" s="97">
        <v>1.72827</v>
      </c>
      <c r="Z44" s="97">
        <v>1.723463</v>
      </c>
      <c r="AA44" s="97">
        <v>1.7176469999999999</v>
      </c>
      <c r="AB44" s="97">
        <v>1.7112849999999999</v>
      </c>
      <c r="AC44" s="97">
        <v>1.7041379999999999</v>
      </c>
      <c r="AD44" s="97">
        <v>1.69676</v>
      </c>
      <c r="AE44" s="97">
        <v>1.6884490000000001</v>
      </c>
      <c r="AF44" s="97">
        <v>1.6800520000000001</v>
      </c>
      <c r="AG44" s="93">
        <v>-2.457E-3</v>
      </c>
    </row>
    <row r="45" spans="1:33" ht="14.5" x14ac:dyDescent="0.35">
      <c r="A45" s="92" t="s">
        <v>2698</v>
      </c>
      <c r="B45" s="95" t="s">
        <v>2779</v>
      </c>
      <c r="C45" s="97">
        <v>2.4750000000000001E-2</v>
      </c>
      <c r="D45" s="97">
        <v>2.1655000000000001E-2</v>
      </c>
      <c r="E45" s="97">
        <v>2.6110999999999999E-2</v>
      </c>
      <c r="F45" s="97">
        <v>2.6110000000000001E-2</v>
      </c>
      <c r="G45" s="97">
        <v>2.6138999999999999E-2</v>
      </c>
      <c r="H45" s="97">
        <v>2.6102E-2</v>
      </c>
      <c r="I45" s="97">
        <v>2.5989999999999999E-2</v>
      </c>
      <c r="J45" s="97">
        <v>2.5843000000000001E-2</v>
      </c>
      <c r="K45" s="97">
        <v>2.5651E-2</v>
      </c>
      <c r="L45" s="97">
        <v>2.5479000000000002E-2</v>
      </c>
      <c r="M45" s="97">
        <v>2.5322000000000001E-2</v>
      </c>
      <c r="N45" s="97">
        <v>2.5204000000000001E-2</v>
      </c>
      <c r="O45" s="97">
        <v>2.5089E-2</v>
      </c>
      <c r="P45" s="97">
        <v>2.4997999999999999E-2</v>
      </c>
      <c r="Q45" s="97">
        <v>2.4948999999999999E-2</v>
      </c>
      <c r="R45" s="97">
        <v>2.4913000000000001E-2</v>
      </c>
      <c r="S45" s="97">
        <v>2.487E-2</v>
      </c>
      <c r="T45" s="97">
        <v>2.4812000000000001E-2</v>
      </c>
      <c r="U45" s="97">
        <v>2.4763E-2</v>
      </c>
      <c r="V45" s="97">
        <v>2.4722999999999998E-2</v>
      </c>
      <c r="W45" s="97">
        <v>2.4712000000000001E-2</v>
      </c>
      <c r="X45" s="97">
        <v>2.4716999999999999E-2</v>
      </c>
      <c r="Y45" s="97">
        <v>2.4719000000000001E-2</v>
      </c>
      <c r="Z45" s="97">
        <v>2.4733999999999999E-2</v>
      </c>
      <c r="AA45" s="97">
        <v>2.4757999999999999E-2</v>
      </c>
      <c r="AB45" s="97">
        <v>2.4771000000000001E-2</v>
      </c>
      <c r="AC45" s="97">
        <v>2.4785999999999999E-2</v>
      </c>
      <c r="AD45" s="97">
        <v>2.4822E-2</v>
      </c>
      <c r="AE45" s="97">
        <v>2.4836E-2</v>
      </c>
      <c r="AF45" s="97">
        <v>2.486E-2</v>
      </c>
      <c r="AG45" s="93">
        <v>1.5300000000000001E-4</v>
      </c>
    </row>
    <row r="46" spans="1:33" ht="14.5" x14ac:dyDescent="0.35">
      <c r="A46" s="92" t="s">
        <v>2697</v>
      </c>
      <c r="B46" s="95" t="s">
        <v>2780</v>
      </c>
      <c r="C46" s="97">
        <v>0.611896</v>
      </c>
      <c r="D46" s="97">
        <v>0.60751500000000003</v>
      </c>
      <c r="E46" s="97">
        <v>0.60975199999999996</v>
      </c>
      <c r="F46" s="97">
        <v>0.61787899999999996</v>
      </c>
      <c r="G46" s="97">
        <v>0.62652399999999997</v>
      </c>
      <c r="H46" s="97">
        <v>0.63338300000000003</v>
      </c>
      <c r="I46" s="97">
        <v>0.63841300000000001</v>
      </c>
      <c r="J46" s="97">
        <v>0.64204000000000006</v>
      </c>
      <c r="K46" s="97">
        <v>0.64447299999999996</v>
      </c>
      <c r="L46" s="97">
        <v>0.64724499999999996</v>
      </c>
      <c r="M46" s="97">
        <v>0.64856199999999997</v>
      </c>
      <c r="N46" s="97">
        <v>0.65142</v>
      </c>
      <c r="O46" s="97">
        <v>0.65439999999999998</v>
      </c>
      <c r="P46" s="97">
        <v>0.65837000000000001</v>
      </c>
      <c r="Q46" s="97">
        <v>0.663385</v>
      </c>
      <c r="R46" s="97">
        <v>0.66861599999999999</v>
      </c>
      <c r="S46" s="97">
        <v>0.67324300000000004</v>
      </c>
      <c r="T46" s="97">
        <v>0.67766400000000004</v>
      </c>
      <c r="U46" s="97">
        <v>0.68190099999999998</v>
      </c>
      <c r="V46" s="97">
        <v>0.68633200000000005</v>
      </c>
      <c r="W46" s="97">
        <v>0.69128000000000001</v>
      </c>
      <c r="X46" s="97">
        <v>0.69640000000000002</v>
      </c>
      <c r="Y46" s="97">
        <v>0.70152899999999996</v>
      </c>
      <c r="Z46" s="97">
        <v>0.70691899999999996</v>
      </c>
      <c r="AA46" s="97">
        <v>0.71211199999999997</v>
      </c>
      <c r="AB46" s="97">
        <v>0.71725300000000003</v>
      </c>
      <c r="AC46" s="97">
        <v>0.72223099999999996</v>
      </c>
      <c r="AD46" s="97">
        <v>0.72724200000000006</v>
      </c>
      <c r="AE46" s="97">
        <v>0.73199199999999998</v>
      </c>
      <c r="AF46" s="97">
        <v>0.73682800000000004</v>
      </c>
      <c r="AG46" s="93">
        <v>6.4270000000000004E-3</v>
      </c>
    </row>
    <row r="47" spans="1:33" ht="14.5" x14ac:dyDescent="0.35">
      <c r="A47" s="92" t="s">
        <v>2696</v>
      </c>
      <c r="B47" s="95" t="s">
        <v>57</v>
      </c>
      <c r="C47" s="97">
        <v>0.34442600000000001</v>
      </c>
      <c r="D47" s="97">
        <v>0.34544200000000003</v>
      </c>
      <c r="E47" s="97">
        <v>0.35008099999999998</v>
      </c>
      <c r="F47" s="97">
        <v>0.357761</v>
      </c>
      <c r="G47" s="97">
        <v>0.36561300000000002</v>
      </c>
      <c r="H47" s="97">
        <v>0.372359</v>
      </c>
      <c r="I47" s="97">
        <v>0.37798999999999999</v>
      </c>
      <c r="J47" s="97">
        <v>0.38278299999999998</v>
      </c>
      <c r="K47" s="97">
        <v>0.38687199999999999</v>
      </c>
      <c r="L47" s="97">
        <v>0.39113500000000001</v>
      </c>
      <c r="M47" s="97">
        <v>0.39428800000000003</v>
      </c>
      <c r="N47" s="97">
        <v>0.39835599999999999</v>
      </c>
      <c r="O47" s="97">
        <v>0.40257500000000002</v>
      </c>
      <c r="P47" s="97">
        <v>0.407387</v>
      </c>
      <c r="Q47" s="97">
        <v>0.412688</v>
      </c>
      <c r="R47" s="97">
        <v>0.41800399999999999</v>
      </c>
      <c r="S47" s="97">
        <v>0.42293500000000001</v>
      </c>
      <c r="T47" s="97">
        <v>0.42767699999999997</v>
      </c>
      <c r="U47" s="97">
        <v>0.43235699999999999</v>
      </c>
      <c r="V47" s="97">
        <v>0.43708599999999997</v>
      </c>
      <c r="W47" s="97">
        <v>0.44216499999999997</v>
      </c>
      <c r="X47" s="97">
        <v>0.447326</v>
      </c>
      <c r="Y47" s="97">
        <v>0.45247300000000001</v>
      </c>
      <c r="Z47" s="97">
        <v>0.45774599999999999</v>
      </c>
      <c r="AA47" s="97">
        <v>0.46294299999999999</v>
      </c>
      <c r="AB47" s="97">
        <v>0.468111</v>
      </c>
      <c r="AC47" s="97">
        <v>0.473159</v>
      </c>
      <c r="AD47" s="97">
        <v>0.47821799999999998</v>
      </c>
      <c r="AE47" s="97">
        <v>0.48310500000000001</v>
      </c>
      <c r="AF47" s="97">
        <v>0.48798000000000002</v>
      </c>
      <c r="AG47" s="93">
        <v>1.2086E-2</v>
      </c>
    </row>
    <row r="48" spans="1:33" ht="14.5" x14ac:dyDescent="0.35">
      <c r="A48" s="92" t="s">
        <v>2695</v>
      </c>
      <c r="B48" s="95" t="s">
        <v>71</v>
      </c>
      <c r="C48" s="97">
        <v>0.69580799999999998</v>
      </c>
      <c r="D48" s="97">
        <v>0.81159300000000001</v>
      </c>
      <c r="E48" s="97">
        <v>0.80718800000000002</v>
      </c>
      <c r="F48" s="97">
        <v>0.78792899999999999</v>
      </c>
      <c r="G48" s="97">
        <v>0.76992899999999997</v>
      </c>
      <c r="H48" s="97">
        <v>0.74975000000000003</v>
      </c>
      <c r="I48" s="97">
        <v>0.75180400000000003</v>
      </c>
      <c r="J48" s="97">
        <v>0.75220399999999998</v>
      </c>
      <c r="K48" s="97">
        <v>0.75154299999999996</v>
      </c>
      <c r="L48" s="97">
        <v>0.75134599999999996</v>
      </c>
      <c r="M48" s="97">
        <v>0.75105299999999997</v>
      </c>
      <c r="N48" s="97">
        <v>0.75155700000000003</v>
      </c>
      <c r="O48" s="97">
        <v>0.75223600000000002</v>
      </c>
      <c r="P48" s="97">
        <v>0.75331000000000004</v>
      </c>
      <c r="Q48" s="97">
        <v>0.75497700000000001</v>
      </c>
      <c r="R48" s="97">
        <v>0.75680700000000001</v>
      </c>
      <c r="S48" s="97">
        <v>0.75821000000000005</v>
      </c>
      <c r="T48" s="97">
        <v>0.75942699999999996</v>
      </c>
      <c r="U48" s="97">
        <v>0.76100699999999999</v>
      </c>
      <c r="V48" s="97">
        <v>0.76246899999999995</v>
      </c>
      <c r="W48" s="97">
        <v>0.76380499999999996</v>
      </c>
      <c r="X48" s="97">
        <v>0.76571500000000003</v>
      </c>
      <c r="Y48" s="97">
        <v>0.76771699999999998</v>
      </c>
      <c r="Z48" s="97">
        <v>0.769513</v>
      </c>
      <c r="AA48" s="97">
        <v>0.77151099999999995</v>
      </c>
      <c r="AB48" s="97">
        <v>0.77319700000000002</v>
      </c>
      <c r="AC48" s="97">
        <v>0.77468300000000001</v>
      </c>
      <c r="AD48" s="97">
        <v>0.77661599999999997</v>
      </c>
      <c r="AE48" s="97">
        <v>0.77803900000000004</v>
      </c>
      <c r="AF48" s="97">
        <v>0.77946599999999999</v>
      </c>
      <c r="AG48" s="93">
        <v>3.9230000000000003E-3</v>
      </c>
    </row>
    <row r="49" spans="1:33" ht="12" x14ac:dyDescent="0.3">
      <c r="A49" s="92" t="s">
        <v>2693</v>
      </c>
      <c r="B49" s="91" t="s">
        <v>73</v>
      </c>
      <c r="C49" s="96">
        <v>3.4811529999999999</v>
      </c>
      <c r="D49" s="96">
        <v>3.6184080000000001</v>
      </c>
      <c r="E49" s="96">
        <v>3.566306</v>
      </c>
      <c r="F49" s="96">
        <v>3.575332</v>
      </c>
      <c r="G49" s="96">
        <v>3.5880740000000002</v>
      </c>
      <c r="H49" s="96">
        <v>3.5896370000000002</v>
      </c>
      <c r="I49" s="96">
        <v>3.6041759999999998</v>
      </c>
      <c r="J49" s="96">
        <v>3.6097100000000002</v>
      </c>
      <c r="K49" s="96">
        <v>3.6076730000000001</v>
      </c>
      <c r="L49" s="96">
        <v>3.6067900000000002</v>
      </c>
      <c r="M49" s="96">
        <v>3.6032030000000002</v>
      </c>
      <c r="N49" s="96">
        <v>3.6056270000000001</v>
      </c>
      <c r="O49" s="96">
        <v>3.60731</v>
      </c>
      <c r="P49" s="96">
        <v>3.612495</v>
      </c>
      <c r="Q49" s="96">
        <v>3.622341</v>
      </c>
      <c r="R49" s="96">
        <v>3.632641</v>
      </c>
      <c r="S49" s="96">
        <v>3.6393599999999999</v>
      </c>
      <c r="T49" s="96">
        <v>3.6445059999999998</v>
      </c>
      <c r="U49" s="96">
        <v>3.6490170000000002</v>
      </c>
      <c r="V49" s="96">
        <v>3.6539280000000001</v>
      </c>
      <c r="W49" s="96">
        <v>3.660288</v>
      </c>
      <c r="X49" s="96">
        <v>3.6676500000000001</v>
      </c>
      <c r="Y49" s="96">
        <v>3.6747070000000002</v>
      </c>
      <c r="Z49" s="96">
        <v>3.682375</v>
      </c>
      <c r="AA49" s="96">
        <v>3.6889699999999999</v>
      </c>
      <c r="AB49" s="96">
        <v>3.6946180000000002</v>
      </c>
      <c r="AC49" s="96">
        <v>3.698998</v>
      </c>
      <c r="AD49" s="96">
        <v>3.7036579999999999</v>
      </c>
      <c r="AE49" s="96">
        <v>3.7064210000000002</v>
      </c>
      <c r="AF49" s="96">
        <v>3.709187</v>
      </c>
      <c r="AG49" s="89">
        <v>2.1900000000000001E-3</v>
      </c>
    </row>
    <row r="51" spans="1:33" ht="15" customHeight="1" x14ac:dyDescent="0.3">
      <c r="B51" s="91" t="s">
        <v>2692</v>
      </c>
    </row>
    <row r="52" spans="1:33" ht="15" customHeight="1" x14ac:dyDescent="0.35">
      <c r="A52" s="92" t="s">
        <v>2691</v>
      </c>
      <c r="B52" s="95" t="s">
        <v>2778</v>
      </c>
      <c r="C52" s="97">
        <v>0.21453900000000001</v>
      </c>
      <c r="D52" s="97">
        <v>0.22256300000000001</v>
      </c>
      <c r="E52" s="97">
        <v>0.21479200000000001</v>
      </c>
      <c r="F52" s="97">
        <v>0.21345700000000001</v>
      </c>
      <c r="G52" s="97">
        <v>0.21237600000000001</v>
      </c>
      <c r="H52" s="97">
        <v>0.21140200000000001</v>
      </c>
      <c r="I52" s="97">
        <v>0.21058299999999999</v>
      </c>
      <c r="J52" s="97">
        <v>0.20891000000000001</v>
      </c>
      <c r="K52" s="97">
        <v>0.20678199999999999</v>
      </c>
      <c r="L52" s="97">
        <v>0.204621</v>
      </c>
      <c r="M52" s="97">
        <v>0.20246800000000001</v>
      </c>
      <c r="N52" s="97">
        <v>0.20028399999999999</v>
      </c>
      <c r="O52" s="97">
        <v>0.198155</v>
      </c>
      <c r="P52" s="97">
        <v>0.19612299999999999</v>
      </c>
      <c r="Q52" s="97">
        <v>0.194048</v>
      </c>
      <c r="R52" s="97">
        <v>0.191857</v>
      </c>
      <c r="S52" s="97">
        <v>0.18947</v>
      </c>
      <c r="T52" s="97">
        <v>0.18713399999999999</v>
      </c>
      <c r="U52" s="97">
        <v>0.18490899999999999</v>
      </c>
      <c r="V52" s="97">
        <v>0.18254400000000001</v>
      </c>
      <c r="W52" s="97">
        <v>0.18030399999999999</v>
      </c>
      <c r="X52" s="97">
        <v>0.178199</v>
      </c>
      <c r="Y52" s="97">
        <v>0.175951</v>
      </c>
      <c r="Z52" s="97">
        <v>0.17355000000000001</v>
      </c>
      <c r="AA52" s="97">
        <v>0.17122100000000001</v>
      </c>
      <c r="AB52" s="97">
        <v>0.168904</v>
      </c>
      <c r="AC52" s="97">
        <v>0.166736</v>
      </c>
      <c r="AD52" s="97">
        <v>0.16472800000000001</v>
      </c>
      <c r="AE52" s="97">
        <v>0.162772</v>
      </c>
      <c r="AF52" s="97">
        <v>0.16084000000000001</v>
      </c>
      <c r="AG52" s="93">
        <v>-9.8849999999999997E-3</v>
      </c>
    </row>
    <row r="53" spans="1:33" ht="15" customHeight="1" x14ac:dyDescent="0.35">
      <c r="A53" s="92" t="s">
        <v>2690</v>
      </c>
      <c r="B53" s="95" t="s">
        <v>2780</v>
      </c>
      <c r="C53" s="97">
        <v>6.4819999999999999E-3</v>
      </c>
      <c r="D53" s="97">
        <v>6.3969999999999999E-3</v>
      </c>
      <c r="E53" s="97">
        <v>6.3850000000000001E-3</v>
      </c>
      <c r="F53" s="97">
        <v>6.3940000000000004E-3</v>
      </c>
      <c r="G53" s="97">
        <v>6.4079999999999996E-3</v>
      </c>
      <c r="H53" s="97">
        <v>6.4200000000000004E-3</v>
      </c>
      <c r="I53" s="97">
        <v>6.4310000000000001E-3</v>
      </c>
      <c r="J53" s="97">
        <v>6.4140000000000004E-3</v>
      </c>
      <c r="K53" s="97">
        <v>6.3819999999999997E-3</v>
      </c>
      <c r="L53" s="97">
        <v>6.3540000000000003E-3</v>
      </c>
      <c r="M53" s="97">
        <v>6.3239999999999998E-3</v>
      </c>
      <c r="N53" s="97">
        <v>6.2960000000000004E-3</v>
      </c>
      <c r="O53" s="97">
        <v>6.2709999999999997E-3</v>
      </c>
      <c r="P53" s="97">
        <v>6.2480000000000001E-3</v>
      </c>
      <c r="Q53" s="97">
        <v>6.2220000000000001E-3</v>
      </c>
      <c r="R53" s="97">
        <v>6.1910000000000003E-3</v>
      </c>
      <c r="S53" s="97">
        <v>6.1539999999999997E-3</v>
      </c>
      <c r="T53" s="97">
        <v>6.1180000000000002E-3</v>
      </c>
      <c r="U53" s="97">
        <v>6.0879999999999997E-3</v>
      </c>
      <c r="V53" s="97">
        <v>6.0559999999999998E-3</v>
      </c>
      <c r="W53" s="97">
        <v>6.0280000000000004E-3</v>
      </c>
      <c r="X53" s="97">
        <v>6.0029999999999997E-3</v>
      </c>
      <c r="Y53" s="97">
        <v>5.9740000000000001E-3</v>
      </c>
      <c r="Z53" s="97">
        <v>5.9389999999999998E-3</v>
      </c>
      <c r="AA53" s="97">
        <v>5.9069999999999999E-3</v>
      </c>
      <c r="AB53" s="97">
        <v>5.8770000000000003E-3</v>
      </c>
      <c r="AC53" s="97">
        <v>5.8520000000000004E-3</v>
      </c>
      <c r="AD53" s="97">
        <v>5.8320000000000004E-3</v>
      </c>
      <c r="AE53" s="97">
        <v>5.8149999999999999E-3</v>
      </c>
      <c r="AF53" s="97">
        <v>5.7980000000000002E-3</v>
      </c>
      <c r="AG53" s="93">
        <v>-3.836E-3</v>
      </c>
    </row>
    <row r="54" spans="1:33" ht="15" customHeight="1" x14ac:dyDescent="0.35">
      <c r="A54" s="92" t="s">
        <v>2689</v>
      </c>
      <c r="B54" s="95" t="s">
        <v>81</v>
      </c>
      <c r="C54" s="97">
        <v>9.3368999999999994E-2</v>
      </c>
      <c r="D54" s="97">
        <v>9.5399999999999999E-2</v>
      </c>
      <c r="E54" s="97">
        <v>0.10090200000000001</v>
      </c>
      <c r="F54" s="97">
        <v>9.9529000000000006E-2</v>
      </c>
      <c r="G54" s="97">
        <v>9.8310999999999996E-2</v>
      </c>
      <c r="H54" s="97">
        <v>9.7179000000000001E-2</v>
      </c>
      <c r="I54" s="97">
        <v>9.8383999999999999E-2</v>
      </c>
      <c r="J54" s="97">
        <v>9.9066000000000001E-2</v>
      </c>
      <c r="K54" s="97">
        <v>9.9454000000000001E-2</v>
      </c>
      <c r="L54" s="97">
        <v>9.9830000000000002E-2</v>
      </c>
      <c r="M54" s="97">
        <v>9.9534999999999998E-2</v>
      </c>
      <c r="N54" s="97">
        <v>9.9419999999999994E-2</v>
      </c>
      <c r="O54" s="97">
        <v>9.9481E-2</v>
      </c>
      <c r="P54" s="97">
        <v>9.9794999999999995E-2</v>
      </c>
      <c r="Q54" s="97">
        <v>0.100116</v>
      </c>
      <c r="R54" s="97">
        <v>0.10038999999999999</v>
      </c>
      <c r="S54" s="97">
        <v>0.10057199999999999</v>
      </c>
      <c r="T54" s="97">
        <v>0.100788</v>
      </c>
      <c r="U54" s="97">
        <v>0.10108300000000001</v>
      </c>
      <c r="V54" s="97">
        <v>0.101358</v>
      </c>
      <c r="W54" s="97">
        <v>0.101633</v>
      </c>
      <c r="X54" s="97">
        <v>0.10197000000000001</v>
      </c>
      <c r="Y54" s="97">
        <v>0.102204</v>
      </c>
      <c r="Z54" s="97">
        <v>0.102336</v>
      </c>
      <c r="AA54" s="97">
        <v>0.102519</v>
      </c>
      <c r="AB54" s="97">
        <v>0.10274800000000001</v>
      </c>
      <c r="AC54" s="97">
        <v>0.10305400000000001</v>
      </c>
      <c r="AD54" s="97">
        <v>0.103449</v>
      </c>
      <c r="AE54" s="97">
        <v>0.103906</v>
      </c>
      <c r="AF54" s="97">
        <v>0.10442899999999999</v>
      </c>
      <c r="AG54" s="93">
        <v>3.8679999999999999E-3</v>
      </c>
    </row>
    <row r="55" spans="1:33" ht="15" customHeight="1" x14ac:dyDescent="0.3">
      <c r="A55" s="92" t="s">
        <v>2688</v>
      </c>
      <c r="B55" s="91" t="s">
        <v>73</v>
      </c>
      <c r="C55" s="96">
        <v>0.31439</v>
      </c>
      <c r="D55" s="96">
        <v>0.32435999999999998</v>
      </c>
      <c r="E55" s="96">
        <v>0.32207999999999998</v>
      </c>
      <c r="F55" s="96">
        <v>0.31938</v>
      </c>
      <c r="G55" s="96">
        <v>0.31709399999999999</v>
      </c>
      <c r="H55" s="96">
        <v>0.31500099999999998</v>
      </c>
      <c r="I55" s="96">
        <v>0.31539800000000001</v>
      </c>
      <c r="J55" s="96">
        <v>0.31438899999999997</v>
      </c>
      <c r="K55" s="96">
        <v>0.31261800000000001</v>
      </c>
      <c r="L55" s="96">
        <v>0.31080600000000003</v>
      </c>
      <c r="M55" s="96">
        <v>0.30832799999999999</v>
      </c>
      <c r="N55" s="96">
        <v>0.30599999999999999</v>
      </c>
      <c r="O55" s="96">
        <v>0.30390699999999998</v>
      </c>
      <c r="P55" s="96">
        <v>0.30216700000000002</v>
      </c>
      <c r="Q55" s="96">
        <v>0.30038599999999999</v>
      </c>
      <c r="R55" s="96">
        <v>0.29843799999999998</v>
      </c>
      <c r="S55" s="96">
        <v>0.29619600000000001</v>
      </c>
      <c r="T55" s="96">
        <v>0.29404000000000002</v>
      </c>
      <c r="U55" s="96">
        <v>0.29208099999999998</v>
      </c>
      <c r="V55" s="96">
        <v>0.28995799999999999</v>
      </c>
      <c r="W55" s="96">
        <v>0.28796500000000003</v>
      </c>
      <c r="X55" s="96">
        <v>0.28617199999999998</v>
      </c>
      <c r="Y55" s="96">
        <v>0.28412799999999999</v>
      </c>
      <c r="Z55" s="96">
        <v>0.28182499999999999</v>
      </c>
      <c r="AA55" s="96">
        <v>0.27964800000000001</v>
      </c>
      <c r="AB55" s="96">
        <v>0.27753</v>
      </c>
      <c r="AC55" s="96">
        <v>0.275642</v>
      </c>
      <c r="AD55" s="96">
        <v>0.274009</v>
      </c>
      <c r="AE55" s="96">
        <v>0.27249299999999999</v>
      </c>
      <c r="AF55" s="96">
        <v>0.271067</v>
      </c>
      <c r="AG55" s="89">
        <v>-5.1000000000000004E-3</v>
      </c>
    </row>
    <row r="57" spans="1:33" ht="15" customHeight="1" x14ac:dyDescent="0.35">
      <c r="A57" s="92" t="s">
        <v>2687</v>
      </c>
      <c r="B57" s="95" t="s">
        <v>2686</v>
      </c>
      <c r="C57" s="97">
        <v>0.124386</v>
      </c>
      <c r="D57" s="97">
        <v>0.124386</v>
      </c>
      <c r="E57" s="97">
        <v>0.124386</v>
      </c>
      <c r="F57" s="97">
        <v>0.124386</v>
      </c>
      <c r="G57" s="97">
        <v>0.124386</v>
      </c>
      <c r="H57" s="97">
        <v>0.124386</v>
      </c>
      <c r="I57" s="97">
        <v>0.124386</v>
      </c>
      <c r="J57" s="97">
        <v>0.124386</v>
      </c>
      <c r="K57" s="97">
        <v>0.124386</v>
      </c>
      <c r="L57" s="97">
        <v>0.124386</v>
      </c>
      <c r="M57" s="97">
        <v>0.124386</v>
      </c>
      <c r="N57" s="97">
        <v>0.124386</v>
      </c>
      <c r="O57" s="97">
        <v>0.124386</v>
      </c>
      <c r="P57" s="97">
        <v>0.124386</v>
      </c>
      <c r="Q57" s="97">
        <v>0.124386</v>
      </c>
      <c r="R57" s="97">
        <v>0.124386</v>
      </c>
      <c r="S57" s="97">
        <v>0.124386</v>
      </c>
      <c r="T57" s="97">
        <v>0.124386</v>
      </c>
      <c r="U57" s="97">
        <v>0.124386</v>
      </c>
      <c r="V57" s="97">
        <v>0.124386</v>
      </c>
      <c r="W57" s="97">
        <v>0.124386</v>
      </c>
      <c r="X57" s="97">
        <v>0.124386</v>
      </c>
      <c r="Y57" s="97">
        <v>0.124386</v>
      </c>
      <c r="Z57" s="97">
        <v>0.124386</v>
      </c>
      <c r="AA57" s="97">
        <v>0.124386</v>
      </c>
      <c r="AB57" s="97">
        <v>0.124386</v>
      </c>
      <c r="AC57" s="97">
        <v>0.124386</v>
      </c>
      <c r="AD57" s="97">
        <v>0.124386</v>
      </c>
      <c r="AE57" s="97">
        <v>0.124386</v>
      </c>
      <c r="AF57" s="97">
        <v>0.124386</v>
      </c>
      <c r="AG57" s="93">
        <v>0</v>
      </c>
    </row>
    <row r="58" spans="1:33" ht="15" customHeight="1" x14ac:dyDescent="0.35">
      <c r="A58" s="92" t="s">
        <v>2685</v>
      </c>
      <c r="B58" s="95" t="s">
        <v>2784</v>
      </c>
      <c r="C58" s="97">
        <v>0.54864999999999997</v>
      </c>
      <c r="D58" s="97">
        <v>0.55747100000000005</v>
      </c>
      <c r="E58" s="97">
        <v>0.56107700000000005</v>
      </c>
      <c r="F58" s="97">
        <v>0.55943699999999996</v>
      </c>
      <c r="G58" s="97">
        <v>0.55818999999999996</v>
      </c>
      <c r="H58" s="97">
        <v>0.55689200000000005</v>
      </c>
      <c r="I58" s="97">
        <v>0.55936600000000003</v>
      </c>
      <c r="J58" s="97">
        <v>0.56114200000000003</v>
      </c>
      <c r="K58" s="97">
        <v>0.56320400000000004</v>
      </c>
      <c r="L58" s="97">
        <v>0.56536500000000001</v>
      </c>
      <c r="M58" s="97">
        <v>0.56717399999999996</v>
      </c>
      <c r="N58" s="97">
        <v>0.56958399999999998</v>
      </c>
      <c r="O58" s="97">
        <v>0.57206400000000002</v>
      </c>
      <c r="P58" s="97">
        <v>0.57466700000000004</v>
      </c>
      <c r="Q58" s="97">
        <v>0.57754899999999998</v>
      </c>
      <c r="R58" s="97">
        <v>0.58010099999999998</v>
      </c>
      <c r="S58" s="97">
        <v>0.58257300000000001</v>
      </c>
      <c r="T58" s="97">
        <v>0.58490500000000001</v>
      </c>
      <c r="U58" s="97">
        <v>0.587561</v>
      </c>
      <c r="V58" s="97">
        <v>0.58982500000000004</v>
      </c>
      <c r="W58" s="97">
        <v>0.593333</v>
      </c>
      <c r="X58" s="97">
        <v>0.59629100000000002</v>
      </c>
      <c r="Y58" s="97">
        <v>0.59874000000000005</v>
      </c>
      <c r="Z58" s="97">
        <v>0.60101400000000005</v>
      </c>
      <c r="AA58" s="97">
        <v>0.60362700000000002</v>
      </c>
      <c r="AB58" s="97">
        <v>0.60611000000000004</v>
      </c>
      <c r="AC58" s="97">
        <v>0.60878600000000005</v>
      </c>
      <c r="AD58" s="97">
        <v>0.61161900000000002</v>
      </c>
      <c r="AE58" s="97">
        <v>0.61443199999999998</v>
      </c>
      <c r="AF58" s="97">
        <v>0.61731199999999997</v>
      </c>
      <c r="AG58" s="93">
        <v>4.0740000000000004E-3</v>
      </c>
    </row>
    <row r="60" spans="1:33" ht="15" customHeight="1" thickBot="1" x14ac:dyDescent="0.35">
      <c r="B60" s="107" t="s">
        <v>2744</v>
      </c>
    </row>
    <row r="61" spans="1:33" s="117" customFormat="1" ht="15" customHeight="1" thickTop="1" x14ac:dyDescent="0.35">
      <c r="A61" s="113" t="s">
        <v>2684</v>
      </c>
      <c r="B61" s="114" t="s">
        <v>2778</v>
      </c>
      <c r="C61" s="115">
        <v>2.134185</v>
      </c>
      <c r="D61" s="115">
        <v>2.171646</v>
      </c>
      <c r="E61" s="115">
        <v>2.1007169999999999</v>
      </c>
      <c r="F61" s="115">
        <v>2.1115789999999999</v>
      </c>
      <c r="G61" s="115">
        <v>2.1241650000000001</v>
      </c>
      <c r="H61" s="115">
        <v>2.1305710000000002</v>
      </c>
      <c r="I61" s="115">
        <v>2.1306940000000001</v>
      </c>
      <c r="J61" s="115">
        <v>2.1247699999999998</v>
      </c>
      <c r="K61" s="115">
        <v>2.113693</v>
      </c>
      <c r="L61" s="115">
        <v>2.1026530000000001</v>
      </c>
      <c r="M61" s="115">
        <v>2.0916700000000001</v>
      </c>
      <c r="N61" s="115">
        <v>2.0833520000000001</v>
      </c>
      <c r="O61" s="115">
        <v>2.07382</v>
      </c>
      <c r="P61" s="115">
        <v>2.0658859999999999</v>
      </c>
      <c r="Q61" s="115">
        <v>2.0604640000000001</v>
      </c>
      <c r="R61" s="115">
        <v>2.054986</v>
      </c>
      <c r="S61" s="115">
        <v>2.0471149999999998</v>
      </c>
      <c r="T61" s="115">
        <v>2.038284</v>
      </c>
      <c r="U61" s="115">
        <v>2.0287090000000001</v>
      </c>
      <c r="V61" s="115">
        <v>2.019199</v>
      </c>
      <c r="W61" s="115">
        <v>2.0105900000000001</v>
      </c>
      <c r="X61" s="115">
        <v>2.00224</v>
      </c>
      <c r="Y61" s="115">
        <v>1.9933419999999999</v>
      </c>
      <c r="Z61" s="115">
        <v>1.984782</v>
      </c>
      <c r="AA61" s="115">
        <v>1.975231</v>
      </c>
      <c r="AB61" s="115">
        <v>1.9651339999999999</v>
      </c>
      <c r="AC61" s="115">
        <v>1.9544090000000001</v>
      </c>
      <c r="AD61" s="115">
        <v>1.9435720000000001</v>
      </c>
      <c r="AE61" s="115">
        <v>1.931846</v>
      </c>
      <c r="AF61" s="115">
        <v>1.920115</v>
      </c>
      <c r="AG61" s="116">
        <v>-3.6380000000000002E-3</v>
      </c>
    </row>
    <row r="62" spans="1:33" s="122" customFormat="1" ht="15" customHeight="1" x14ac:dyDescent="0.35">
      <c r="A62" s="118" t="s">
        <v>2683</v>
      </c>
      <c r="B62" s="119" t="s">
        <v>2779</v>
      </c>
      <c r="C62" s="120">
        <v>0.548149</v>
      </c>
      <c r="D62" s="120">
        <v>0.50595599999999996</v>
      </c>
      <c r="E62" s="120">
        <v>0.57242000000000004</v>
      </c>
      <c r="F62" s="120">
        <v>0.57945899999999995</v>
      </c>
      <c r="G62" s="120">
        <v>0.58621400000000001</v>
      </c>
      <c r="H62" s="120">
        <v>0.59209599999999996</v>
      </c>
      <c r="I62" s="120">
        <v>0.59645400000000004</v>
      </c>
      <c r="J62" s="120">
        <v>0.60020799999999996</v>
      </c>
      <c r="K62" s="120">
        <v>0.60356200000000004</v>
      </c>
      <c r="L62" s="120">
        <v>0.60709599999999997</v>
      </c>
      <c r="M62" s="120">
        <v>0.61167099999999996</v>
      </c>
      <c r="N62" s="120">
        <v>0.616622</v>
      </c>
      <c r="O62" s="120">
        <v>0.62151500000000004</v>
      </c>
      <c r="P62" s="120">
        <v>0.62632200000000005</v>
      </c>
      <c r="Q62" s="120">
        <v>0.63223099999999999</v>
      </c>
      <c r="R62" s="120">
        <v>0.63846099999999995</v>
      </c>
      <c r="S62" s="120">
        <v>0.64535699999999996</v>
      </c>
      <c r="T62" s="120">
        <v>0.65260200000000002</v>
      </c>
      <c r="U62" s="120">
        <v>0.65952699999999997</v>
      </c>
      <c r="V62" s="120">
        <v>0.66573099999999996</v>
      </c>
      <c r="W62" s="120">
        <v>0.672956</v>
      </c>
      <c r="X62" s="120">
        <v>0.68046499999999999</v>
      </c>
      <c r="Y62" s="120">
        <v>0.68800399999999995</v>
      </c>
      <c r="Z62" s="120">
        <v>0.69634700000000005</v>
      </c>
      <c r="AA62" s="120">
        <v>0.704654</v>
      </c>
      <c r="AB62" s="120">
        <v>0.712951</v>
      </c>
      <c r="AC62" s="120">
        <v>0.72148400000000001</v>
      </c>
      <c r="AD62" s="120">
        <v>0.73002500000000003</v>
      </c>
      <c r="AE62" s="120">
        <v>0.738734</v>
      </c>
      <c r="AF62" s="120">
        <v>0.74848099999999995</v>
      </c>
      <c r="AG62" s="121">
        <v>1.0799E-2</v>
      </c>
    </row>
    <row r="63" spans="1:33" ht="15" customHeight="1" x14ac:dyDescent="0.35">
      <c r="A63" s="92" t="s">
        <v>2682</v>
      </c>
      <c r="B63" s="95" t="s">
        <v>2780</v>
      </c>
      <c r="C63" s="97">
        <v>0.64322699999999999</v>
      </c>
      <c r="D63" s="97">
        <v>0.63830600000000004</v>
      </c>
      <c r="E63" s="97">
        <v>0.64021099999999997</v>
      </c>
      <c r="F63" s="97">
        <v>0.64815299999999998</v>
      </c>
      <c r="G63" s="97">
        <v>0.65660600000000002</v>
      </c>
      <c r="H63" s="97">
        <v>0.66328900000000002</v>
      </c>
      <c r="I63" s="97">
        <v>0.66810499999999995</v>
      </c>
      <c r="J63" s="97">
        <v>0.67147000000000001</v>
      </c>
      <c r="K63" s="97">
        <v>0.67361899999999997</v>
      </c>
      <c r="L63" s="97">
        <v>0.67611900000000003</v>
      </c>
      <c r="M63" s="97">
        <v>0.67718400000000001</v>
      </c>
      <c r="N63" s="97">
        <v>0.67980099999999999</v>
      </c>
      <c r="O63" s="97">
        <v>0.68253299999999995</v>
      </c>
      <c r="P63" s="97">
        <v>0.686253</v>
      </c>
      <c r="Q63" s="97">
        <v>0.69104500000000002</v>
      </c>
      <c r="R63" s="97">
        <v>0.69605799999999995</v>
      </c>
      <c r="S63" s="97">
        <v>0.70047400000000004</v>
      </c>
      <c r="T63" s="97">
        <v>0.70469000000000004</v>
      </c>
      <c r="U63" s="97">
        <v>0.70871300000000004</v>
      </c>
      <c r="V63" s="97">
        <v>0.71292199999999994</v>
      </c>
      <c r="W63" s="97">
        <v>0.71767899999999996</v>
      </c>
      <c r="X63" s="97">
        <v>0.72260999999999997</v>
      </c>
      <c r="Y63" s="97">
        <v>0.727545</v>
      </c>
      <c r="Z63" s="97">
        <v>0.73275800000000002</v>
      </c>
      <c r="AA63" s="97">
        <v>0.73776299999999995</v>
      </c>
      <c r="AB63" s="97">
        <v>0.74271699999999996</v>
      </c>
      <c r="AC63" s="97">
        <v>0.74751800000000002</v>
      </c>
      <c r="AD63" s="97">
        <v>0.75234699999999999</v>
      </c>
      <c r="AE63" s="97">
        <v>0.75692099999999995</v>
      </c>
      <c r="AF63" s="97">
        <v>0.76160300000000003</v>
      </c>
      <c r="AG63" s="93">
        <v>5.842E-3</v>
      </c>
    </row>
    <row r="64" spans="1:33" s="122" customFormat="1" ht="15" customHeight="1" x14ac:dyDescent="0.35">
      <c r="A64" s="118" t="s">
        <v>2681</v>
      </c>
      <c r="B64" s="119" t="s">
        <v>2668</v>
      </c>
      <c r="C64" s="120">
        <v>0.50243300000000002</v>
      </c>
      <c r="D64" s="120">
        <v>0.49899100000000002</v>
      </c>
      <c r="E64" s="120">
        <v>0.49803399999999998</v>
      </c>
      <c r="F64" s="120">
        <v>0.49950800000000001</v>
      </c>
      <c r="G64" s="120">
        <v>0.50023499999999999</v>
      </c>
      <c r="H64" s="120">
        <v>0.49154799999999998</v>
      </c>
      <c r="I64" s="120">
        <v>0.48290499999999997</v>
      </c>
      <c r="J64" s="120">
        <v>0.47470200000000001</v>
      </c>
      <c r="K64" s="120">
        <v>0.46707900000000002</v>
      </c>
      <c r="L64" s="120">
        <v>0.45949899999999999</v>
      </c>
      <c r="M64" s="120">
        <v>0.45295000000000002</v>
      </c>
      <c r="N64" s="120">
        <v>0.44710800000000001</v>
      </c>
      <c r="O64" s="120">
        <v>0.44153300000000001</v>
      </c>
      <c r="P64" s="120">
        <v>0.43646400000000002</v>
      </c>
      <c r="Q64" s="120">
        <v>0.43243599999999999</v>
      </c>
      <c r="R64" s="120">
        <v>0.42907299999999998</v>
      </c>
      <c r="S64" s="120">
        <v>0.42626399999999998</v>
      </c>
      <c r="T64" s="120">
        <v>0.42394300000000001</v>
      </c>
      <c r="U64" s="120">
        <v>0.42161900000000002</v>
      </c>
      <c r="V64" s="120">
        <v>0.41845900000000003</v>
      </c>
      <c r="W64" s="120">
        <v>0.41617100000000001</v>
      </c>
      <c r="X64" s="120">
        <v>0.41419</v>
      </c>
      <c r="Y64" s="120">
        <v>0.41251199999999999</v>
      </c>
      <c r="Z64" s="120">
        <v>0.41157100000000002</v>
      </c>
      <c r="AA64" s="120">
        <v>0.41076499999999999</v>
      </c>
      <c r="AB64" s="120">
        <v>0.41021200000000002</v>
      </c>
      <c r="AC64" s="120">
        <v>0.41009800000000002</v>
      </c>
      <c r="AD64" s="120">
        <v>0.41007300000000002</v>
      </c>
      <c r="AE64" s="120">
        <v>0.41036099999999998</v>
      </c>
      <c r="AF64" s="120">
        <v>0.41134399999999999</v>
      </c>
      <c r="AG64" s="121">
        <v>-6.8739999999999999E-3</v>
      </c>
    </row>
    <row r="65" spans="1:33" ht="15" customHeight="1" x14ac:dyDescent="0.35">
      <c r="A65" s="92" t="s">
        <v>2680</v>
      </c>
      <c r="B65" s="95" t="s">
        <v>57</v>
      </c>
      <c r="C65" s="97">
        <v>0.42874800000000002</v>
      </c>
      <c r="D65" s="97">
        <v>0.42935000000000001</v>
      </c>
      <c r="E65" s="97">
        <v>0.43396200000000001</v>
      </c>
      <c r="F65" s="97">
        <v>0.44190299999999999</v>
      </c>
      <c r="G65" s="97">
        <v>0.44987700000000003</v>
      </c>
      <c r="H65" s="97">
        <v>0.45657199999999998</v>
      </c>
      <c r="I65" s="97">
        <v>0.46201599999999998</v>
      </c>
      <c r="J65" s="97">
        <v>0.46654000000000001</v>
      </c>
      <c r="K65" s="97">
        <v>0.47031800000000001</v>
      </c>
      <c r="L65" s="97">
        <v>0.47425200000000001</v>
      </c>
      <c r="M65" s="97">
        <v>0.47714800000000002</v>
      </c>
      <c r="N65" s="97">
        <v>0.48097400000000001</v>
      </c>
      <c r="O65" s="97">
        <v>0.48492000000000002</v>
      </c>
      <c r="P65" s="97">
        <v>0.48944700000000002</v>
      </c>
      <c r="Q65" s="97">
        <v>0.494529</v>
      </c>
      <c r="R65" s="97">
        <v>0.49963000000000002</v>
      </c>
      <c r="S65" s="97">
        <v>0.50436000000000003</v>
      </c>
      <c r="T65" s="97">
        <v>0.50889600000000002</v>
      </c>
      <c r="U65" s="97">
        <v>0.51330500000000001</v>
      </c>
      <c r="V65" s="97">
        <v>0.51772499999999999</v>
      </c>
      <c r="W65" s="97">
        <v>0.52258800000000005</v>
      </c>
      <c r="X65" s="97">
        <v>0.52752299999999996</v>
      </c>
      <c r="Y65" s="97">
        <v>0.53243600000000002</v>
      </c>
      <c r="Z65" s="97">
        <v>0.53751199999999999</v>
      </c>
      <c r="AA65" s="97">
        <v>0.54247299999999998</v>
      </c>
      <c r="AB65" s="97">
        <v>0.54738299999999995</v>
      </c>
      <c r="AC65" s="97">
        <v>0.55216399999999999</v>
      </c>
      <c r="AD65" s="97">
        <v>0.556921</v>
      </c>
      <c r="AE65" s="97">
        <v>0.56150800000000001</v>
      </c>
      <c r="AF65" s="97">
        <v>0.56613199999999997</v>
      </c>
      <c r="AG65" s="93">
        <v>9.6310000000000007E-3</v>
      </c>
    </row>
    <row r="66" spans="1:33" ht="14.5" x14ac:dyDescent="0.35">
      <c r="A66" s="92" t="s">
        <v>2679</v>
      </c>
      <c r="B66" s="95" t="s">
        <v>63</v>
      </c>
      <c r="C66" s="97">
        <v>0.51833600000000002</v>
      </c>
      <c r="D66" s="97">
        <v>0.50489300000000004</v>
      </c>
      <c r="E66" s="97">
        <v>0.49493700000000002</v>
      </c>
      <c r="F66" s="97">
        <v>0.48804500000000001</v>
      </c>
      <c r="G66" s="97">
        <v>0.48189199999999999</v>
      </c>
      <c r="H66" s="97">
        <v>0.47619299999999998</v>
      </c>
      <c r="I66" s="97">
        <v>0.47084799999999999</v>
      </c>
      <c r="J66" s="97">
        <v>0.46276400000000001</v>
      </c>
      <c r="K66" s="97">
        <v>0.45572099999999999</v>
      </c>
      <c r="L66" s="97">
        <v>0.44149300000000002</v>
      </c>
      <c r="M66" s="97">
        <v>0.42951299999999998</v>
      </c>
      <c r="N66" s="97">
        <v>0.419101</v>
      </c>
      <c r="O66" s="97">
        <v>0.409914</v>
      </c>
      <c r="P66" s="97">
        <v>0.40182600000000002</v>
      </c>
      <c r="Q66" s="97">
        <v>0.395258</v>
      </c>
      <c r="R66" s="97">
        <v>0.389843</v>
      </c>
      <c r="S66" s="97">
        <v>0.38531599999999999</v>
      </c>
      <c r="T66" s="97">
        <v>0.381525</v>
      </c>
      <c r="U66" s="97">
        <v>0.37787599999999999</v>
      </c>
      <c r="V66" s="97">
        <v>0.37235099999999999</v>
      </c>
      <c r="W66" s="97">
        <v>0.368251</v>
      </c>
      <c r="X66" s="97">
        <v>0.364593</v>
      </c>
      <c r="Y66" s="97">
        <v>0.361238</v>
      </c>
      <c r="Z66" s="97">
        <v>0.35877399999999998</v>
      </c>
      <c r="AA66" s="97">
        <v>0.35661399999999999</v>
      </c>
      <c r="AB66" s="97">
        <v>0.35486099999999998</v>
      </c>
      <c r="AC66" s="97">
        <v>0.35362300000000002</v>
      </c>
      <c r="AD66" s="97">
        <v>0.35255799999999998</v>
      </c>
      <c r="AE66" s="97">
        <v>0.35188700000000001</v>
      </c>
      <c r="AF66" s="97">
        <v>0.35190700000000003</v>
      </c>
      <c r="AG66" s="93">
        <v>-1.3265000000000001E-2</v>
      </c>
    </row>
    <row r="67" spans="1:33" s="112" customFormat="1" ht="15" customHeight="1" thickBot="1" x14ac:dyDescent="0.4">
      <c r="A67" s="108" t="s">
        <v>2678</v>
      </c>
      <c r="B67" s="109" t="s">
        <v>55</v>
      </c>
      <c r="C67" s="110">
        <v>0.64944999999999997</v>
      </c>
      <c r="D67" s="110">
        <v>0.64615100000000003</v>
      </c>
      <c r="E67" s="110">
        <v>0.64540500000000001</v>
      </c>
      <c r="F67" s="110">
        <v>0.64657100000000001</v>
      </c>
      <c r="G67" s="110">
        <v>0.64801500000000001</v>
      </c>
      <c r="H67" s="110">
        <v>0.64954199999999995</v>
      </c>
      <c r="I67" s="110">
        <v>0.65104899999999999</v>
      </c>
      <c r="J67" s="110">
        <v>0.65264599999999995</v>
      </c>
      <c r="K67" s="110">
        <v>0.65441800000000006</v>
      </c>
      <c r="L67" s="110">
        <v>0.65465200000000001</v>
      </c>
      <c r="M67" s="110">
        <v>0.65605599999999997</v>
      </c>
      <c r="N67" s="110">
        <v>0.65796699999999997</v>
      </c>
      <c r="O67" s="110">
        <v>0.66003100000000003</v>
      </c>
      <c r="P67" s="110">
        <v>0.66227199999999997</v>
      </c>
      <c r="Q67" s="110">
        <v>0.66498100000000004</v>
      </c>
      <c r="R67" s="110">
        <v>0.66793599999999997</v>
      </c>
      <c r="S67" s="110">
        <v>0.67108500000000004</v>
      </c>
      <c r="T67" s="110">
        <v>0.67437100000000005</v>
      </c>
      <c r="U67" s="110">
        <v>0.67749700000000002</v>
      </c>
      <c r="V67" s="110">
        <v>0.68024899999999999</v>
      </c>
      <c r="W67" s="110">
        <v>0.68399399999999999</v>
      </c>
      <c r="X67" s="110">
        <v>0.68776999999999999</v>
      </c>
      <c r="Y67" s="110">
        <v>0.69159700000000002</v>
      </c>
      <c r="Z67" s="110">
        <v>0.69574899999999995</v>
      </c>
      <c r="AA67" s="110">
        <v>0.69989299999999999</v>
      </c>
      <c r="AB67" s="110">
        <v>0.70413899999999996</v>
      </c>
      <c r="AC67" s="110">
        <v>0.70853699999999997</v>
      </c>
      <c r="AD67" s="110">
        <v>0.71280299999999996</v>
      </c>
      <c r="AE67" s="110">
        <v>0.71709800000000001</v>
      </c>
      <c r="AF67" s="110">
        <v>0.72172899999999995</v>
      </c>
      <c r="AG67" s="111">
        <v>3.6449999999999998E-3</v>
      </c>
    </row>
    <row r="68" spans="1:33" ht="15" customHeight="1" thickTop="1" x14ac:dyDescent="0.35">
      <c r="A68" s="92" t="s">
        <v>2677</v>
      </c>
      <c r="B68" s="95" t="s">
        <v>2663</v>
      </c>
      <c r="C68" s="97">
        <v>0.42910900000000002</v>
      </c>
      <c r="D68" s="97">
        <v>0.43390699999999999</v>
      </c>
      <c r="E68" s="97">
        <v>0.43921399999999999</v>
      </c>
      <c r="F68" s="97">
        <v>0.44551099999999999</v>
      </c>
      <c r="G68" s="97">
        <v>0.45266699999999999</v>
      </c>
      <c r="H68" s="97">
        <v>0.45981300000000003</v>
      </c>
      <c r="I68" s="97">
        <v>0.46690700000000002</v>
      </c>
      <c r="J68" s="97">
        <v>0.474939</v>
      </c>
      <c r="K68" s="97">
        <v>0.48300100000000001</v>
      </c>
      <c r="L68" s="97">
        <v>0.49163400000000002</v>
      </c>
      <c r="M68" s="97">
        <v>0.50033899999999998</v>
      </c>
      <c r="N68" s="97">
        <v>0.50964100000000001</v>
      </c>
      <c r="O68" s="97">
        <v>0.51896299999999995</v>
      </c>
      <c r="P68" s="97">
        <v>0.52885199999999999</v>
      </c>
      <c r="Q68" s="97">
        <v>0.53891</v>
      </c>
      <c r="R68" s="97">
        <v>0.55010400000000004</v>
      </c>
      <c r="S68" s="97">
        <v>0.56088700000000002</v>
      </c>
      <c r="T68" s="97">
        <v>0.572855</v>
      </c>
      <c r="U68" s="97">
        <v>0.58487</v>
      </c>
      <c r="V68" s="97">
        <v>0.59700600000000004</v>
      </c>
      <c r="W68" s="97">
        <v>0.60931299999999999</v>
      </c>
      <c r="X68" s="97">
        <v>0.62227900000000003</v>
      </c>
      <c r="Y68" s="97">
        <v>0.635911</v>
      </c>
      <c r="Z68" s="97">
        <v>0.64924199999999999</v>
      </c>
      <c r="AA68" s="97">
        <v>0.66324300000000003</v>
      </c>
      <c r="AB68" s="97">
        <v>0.67797600000000002</v>
      </c>
      <c r="AC68" s="97">
        <v>0.69234799999999996</v>
      </c>
      <c r="AD68" s="97">
        <v>0.70740199999999998</v>
      </c>
      <c r="AE68" s="97">
        <v>0.72265800000000002</v>
      </c>
      <c r="AF68" s="97">
        <v>0.73826199999999997</v>
      </c>
      <c r="AG68" s="93">
        <v>1.8886E-2</v>
      </c>
    </row>
    <row r="69" spans="1:33" ht="15" customHeight="1" x14ac:dyDescent="0.35">
      <c r="A69" s="92" t="s">
        <v>2676</v>
      </c>
      <c r="B69" s="95" t="s">
        <v>2661</v>
      </c>
      <c r="C69" s="97">
        <v>0.176791</v>
      </c>
      <c r="D69" s="97">
        <v>0.175063</v>
      </c>
      <c r="E69" s="97">
        <v>0.17426</v>
      </c>
      <c r="F69" s="97">
        <v>0.17410400000000001</v>
      </c>
      <c r="G69" s="97">
        <v>0.17433100000000001</v>
      </c>
      <c r="H69" s="97">
        <v>0.17496600000000001</v>
      </c>
      <c r="I69" s="97">
        <v>0.17575499999999999</v>
      </c>
      <c r="J69" s="97">
        <v>0.17673</v>
      </c>
      <c r="K69" s="97">
        <v>0.17793</v>
      </c>
      <c r="L69" s="97">
        <v>0.179401</v>
      </c>
      <c r="M69" s="97">
        <v>0.18088000000000001</v>
      </c>
      <c r="N69" s="97">
        <v>0.182643</v>
      </c>
      <c r="O69" s="97">
        <v>0.184393</v>
      </c>
      <c r="P69" s="97">
        <v>0.18584300000000001</v>
      </c>
      <c r="Q69" s="97">
        <v>0.187579</v>
      </c>
      <c r="R69" s="97">
        <v>0.18901399999999999</v>
      </c>
      <c r="S69" s="97">
        <v>0.190439</v>
      </c>
      <c r="T69" s="97">
        <v>0.19186400000000001</v>
      </c>
      <c r="U69" s="97">
        <v>0.19267100000000001</v>
      </c>
      <c r="V69" s="97">
        <v>0.193466</v>
      </c>
      <c r="W69" s="97">
        <v>0.19394800000000001</v>
      </c>
      <c r="X69" s="97">
        <v>0.19378400000000001</v>
      </c>
      <c r="Y69" s="97">
        <v>0.19326299999999999</v>
      </c>
      <c r="Z69" s="97">
        <v>0.192411</v>
      </c>
      <c r="AA69" s="97">
        <v>0.19087499999999999</v>
      </c>
      <c r="AB69" s="97">
        <v>0.18897</v>
      </c>
      <c r="AC69" s="97">
        <v>0.186364</v>
      </c>
      <c r="AD69" s="97">
        <v>0.18301100000000001</v>
      </c>
      <c r="AE69" s="97">
        <v>0.17891699999999999</v>
      </c>
      <c r="AF69" s="97">
        <v>0.173762</v>
      </c>
      <c r="AG69" s="93">
        <v>-5.9599999999999996E-4</v>
      </c>
    </row>
    <row r="70" spans="1:33" ht="15" customHeight="1" x14ac:dyDescent="0.35">
      <c r="A70" s="92" t="s">
        <v>2675</v>
      </c>
      <c r="B70" s="95" t="s">
        <v>86</v>
      </c>
      <c r="C70" s="97">
        <v>3.0333169999999998</v>
      </c>
      <c r="D70" s="97">
        <v>3.267169</v>
      </c>
      <c r="E70" s="97">
        <v>3.2699669999999998</v>
      </c>
      <c r="F70" s="97">
        <v>3.2467510000000002</v>
      </c>
      <c r="G70" s="97">
        <v>3.2251780000000001</v>
      </c>
      <c r="H70" s="97">
        <v>3.2020789999999999</v>
      </c>
      <c r="I70" s="97">
        <v>3.2261489999999999</v>
      </c>
      <c r="J70" s="97">
        <v>3.2464050000000002</v>
      </c>
      <c r="K70" s="97">
        <v>3.2662990000000001</v>
      </c>
      <c r="L70" s="97">
        <v>3.2869510000000002</v>
      </c>
      <c r="M70" s="97">
        <v>3.3072270000000001</v>
      </c>
      <c r="N70" s="97">
        <v>3.3296770000000002</v>
      </c>
      <c r="O70" s="97">
        <v>3.3531119999999999</v>
      </c>
      <c r="P70" s="97">
        <v>3.377688</v>
      </c>
      <c r="Q70" s="97">
        <v>3.4040219999999999</v>
      </c>
      <c r="R70" s="97">
        <v>3.4311500000000001</v>
      </c>
      <c r="S70" s="97">
        <v>3.4580549999999999</v>
      </c>
      <c r="T70" s="97">
        <v>3.4856470000000002</v>
      </c>
      <c r="U70" s="97">
        <v>3.514786</v>
      </c>
      <c r="V70" s="97">
        <v>3.5439069999999999</v>
      </c>
      <c r="W70" s="97">
        <v>3.575358</v>
      </c>
      <c r="X70" s="97">
        <v>3.6075699999999999</v>
      </c>
      <c r="Y70" s="97">
        <v>3.6402679999999998</v>
      </c>
      <c r="Z70" s="97">
        <v>3.6735030000000002</v>
      </c>
      <c r="AA70" s="97">
        <v>3.7085680000000001</v>
      </c>
      <c r="AB70" s="97">
        <v>3.7437589999999998</v>
      </c>
      <c r="AC70" s="97">
        <v>3.7802250000000002</v>
      </c>
      <c r="AD70" s="97">
        <v>3.8184559999999999</v>
      </c>
      <c r="AE70" s="97">
        <v>3.85724</v>
      </c>
      <c r="AF70" s="97">
        <v>3.897767</v>
      </c>
      <c r="AG70" s="93">
        <v>8.6840000000000007E-3</v>
      </c>
    </row>
    <row r="71" spans="1:33" ht="15" customHeight="1" x14ac:dyDescent="0.3">
      <c r="A71" s="92" t="s">
        <v>2785</v>
      </c>
      <c r="B71" s="91" t="s">
        <v>2786</v>
      </c>
      <c r="C71" s="96">
        <v>9.0637439999999998</v>
      </c>
      <c r="D71" s="96">
        <v>9.271433</v>
      </c>
      <c r="E71" s="96">
        <v>9.2691269999999992</v>
      </c>
      <c r="F71" s="96">
        <v>9.2815860000000008</v>
      </c>
      <c r="G71" s="96">
        <v>9.2991810000000008</v>
      </c>
      <c r="H71" s="96">
        <v>9.2966689999999996</v>
      </c>
      <c r="I71" s="96">
        <v>9.330883</v>
      </c>
      <c r="J71" s="96">
        <v>9.3511740000000003</v>
      </c>
      <c r="K71" s="96">
        <v>9.3656410000000001</v>
      </c>
      <c r="L71" s="96">
        <v>9.3737490000000001</v>
      </c>
      <c r="M71" s="96">
        <v>9.3846380000000007</v>
      </c>
      <c r="N71" s="96">
        <v>9.4068860000000001</v>
      </c>
      <c r="O71" s="96">
        <v>9.4307339999999993</v>
      </c>
      <c r="P71" s="96">
        <v>9.4608550000000005</v>
      </c>
      <c r="Q71" s="96">
        <v>9.5014540000000007</v>
      </c>
      <c r="R71" s="96">
        <v>9.5462539999999994</v>
      </c>
      <c r="S71" s="96">
        <v>9.5893529999999991</v>
      </c>
      <c r="T71" s="96">
        <v>9.6346769999999999</v>
      </c>
      <c r="U71" s="96">
        <v>9.6795729999999995</v>
      </c>
      <c r="V71" s="96">
        <v>9.7210149999999995</v>
      </c>
      <c r="W71" s="96">
        <v>9.7708469999999998</v>
      </c>
      <c r="X71" s="96">
        <v>9.8230240000000002</v>
      </c>
      <c r="Y71" s="96">
        <v>9.8761170000000007</v>
      </c>
      <c r="Z71" s="96">
        <v>9.9326489999999996</v>
      </c>
      <c r="AA71" s="96">
        <v>9.990081</v>
      </c>
      <c r="AB71" s="96">
        <v>10.048102999999999</v>
      </c>
      <c r="AC71" s="96">
        <v>10.106771</v>
      </c>
      <c r="AD71" s="96">
        <v>10.167168</v>
      </c>
      <c r="AE71" s="96">
        <v>10.227169999999999</v>
      </c>
      <c r="AF71" s="96">
        <v>10.291102</v>
      </c>
      <c r="AG71" s="89">
        <v>4.3889999999999997E-3</v>
      </c>
    </row>
    <row r="72" spans="1:33" ht="15" customHeight="1" x14ac:dyDescent="0.35">
      <c r="A72" s="92" t="s">
        <v>2787</v>
      </c>
      <c r="B72" s="95" t="s">
        <v>2753</v>
      </c>
      <c r="C72" s="97">
        <v>9.5620999999999998E-2</v>
      </c>
      <c r="D72" s="97">
        <v>0.10685500000000001</v>
      </c>
      <c r="E72" s="97">
        <v>0.118325</v>
      </c>
      <c r="F72" s="97">
        <v>0.12968099999999999</v>
      </c>
      <c r="G72" s="97">
        <v>0.13766</v>
      </c>
      <c r="H72" s="97">
        <v>0.146618</v>
      </c>
      <c r="I72" s="97">
        <v>0.15415799999999999</v>
      </c>
      <c r="J72" s="97">
        <v>0.159692</v>
      </c>
      <c r="K72" s="97">
        <v>0.16678399999999999</v>
      </c>
      <c r="L72" s="97">
        <v>0.17127300000000001</v>
      </c>
      <c r="M72" s="97">
        <v>0.17811299999999999</v>
      </c>
      <c r="N72" s="97">
        <v>0.182839</v>
      </c>
      <c r="O72" s="97">
        <v>0.189632</v>
      </c>
      <c r="P72" s="97">
        <v>0.195544</v>
      </c>
      <c r="Q72" s="97">
        <v>0.198097</v>
      </c>
      <c r="R72" s="97">
        <v>0.204844</v>
      </c>
      <c r="S72" s="97">
        <v>0.211534</v>
      </c>
      <c r="T72" s="97">
        <v>0.217638</v>
      </c>
      <c r="U72" s="97">
        <v>0.22692300000000001</v>
      </c>
      <c r="V72" s="97">
        <v>0.23549200000000001</v>
      </c>
      <c r="W72" s="97">
        <v>0.242482</v>
      </c>
      <c r="X72" s="97">
        <v>0.25086700000000001</v>
      </c>
      <c r="Y72" s="97">
        <v>0.26011000000000001</v>
      </c>
      <c r="Z72" s="97">
        <v>0.26594400000000001</v>
      </c>
      <c r="AA72" s="97">
        <v>0.27569500000000002</v>
      </c>
      <c r="AB72" s="97">
        <v>0.28823700000000002</v>
      </c>
      <c r="AC72" s="97">
        <v>0.29553299999999999</v>
      </c>
      <c r="AD72" s="97">
        <v>0.30629600000000001</v>
      </c>
      <c r="AE72" s="97">
        <v>0.31517200000000001</v>
      </c>
      <c r="AF72" s="97">
        <v>0.32165300000000002</v>
      </c>
      <c r="AG72" s="93">
        <v>4.2717999999999999E-2</v>
      </c>
    </row>
    <row r="73" spans="1:33" ht="12" x14ac:dyDescent="0.3">
      <c r="A73" s="92" t="s">
        <v>2674</v>
      </c>
      <c r="B73" s="91" t="s">
        <v>73</v>
      </c>
      <c r="C73" s="96">
        <v>8.9681219999999993</v>
      </c>
      <c r="D73" s="96">
        <v>9.1645769999999995</v>
      </c>
      <c r="E73" s="96">
        <v>9.1508020000000005</v>
      </c>
      <c r="F73" s="96">
        <v>9.151904</v>
      </c>
      <c r="G73" s="96">
        <v>9.1615210000000005</v>
      </c>
      <c r="H73" s="96">
        <v>9.1500509999999995</v>
      </c>
      <c r="I73" s="96">
        <v>9.1767249999999994</v>
      </c>
      <c r="J73" s="96">
        <v>9.1914829999999998</v>
      </c>
      <c r="K73" s="96">
        <v>9.1988559999999993</v>
      </c>
      <c r="L73" s="96">
        <v>9.202477</v>
      </c>
      <c r="M73" s="96">
        <v>9.2065249999999992</v>
      </c>
      <c r="N73" s="96">
        <v>9.2240470000000006</v>
      </c>
      <c r="O73" s="96">
        <v>9.2411010000000005</v>
      </c>
      <c r="P73" s="96">
        <v>9.2653119999999998</v>
      </c>
      <c r="Q73" s="96">
        <v>9.3033570000000001</v>
      </c>
      <c r="R73" s="96">
        <v>9.3414110000000008</v>
      </c>
      <c r="S73" s="96">
        <v>9.3778179999999995</v>
      </c>
      <c r="T73" s="96">
        <v>9.4170390000000008</v>
      </c>
      <c r="U73" s="96">
        <v>9.4526500000000002</v>
      </c>
      <c r="V73" s="96">
        <v>9.4855219999999996</v>
      </c>
      <c r="W73" s="96">
        <v>9.5283650000000009</v>
      </c>
      <c r="X73" s="96">
        <v>9.5721570000000007</v>
      </c>
      <c r="Y73" s="96">
        <v>9.6160069999999997</v>
      </c>
      <c r="Z73" s="96">
        <v>9.6667039999999993</v>
      </c>
      <c r="AA73" s="96">
        <v>9.714385</v>
      </c>
      <c r="AB73" s="96">
        <v>9.7598660000000006</v>
      </c>
      <c r="AC73" s="96">
        <v>9.8112370000000002</v>
      </c>
      <c r="AD73" s="96">
        <v>9.8608709999999995</v>
      </c>
      <c r="AE73" s="96">
        <v>9.9119980000000005</v>
      </c>
      <c r="AF73" s="96">
        <v>9.9694489999999991</v>
      </c>
      <c r="AG73" s="89">
        <v>3.6570000000000001E-3</v>
      </c>
    </row>
    <row r="75" spans="1:33" ht="15" customHeight="1" x14ac:dyDescent="0.3">
      <c r="A75" s="92" t="s">
        <v>2673</v>
      </c>
      <c r="B75" s="91" t="s">
        <v>120</v>
      </c>
      <c r="C75" s="96">
        <v>8.2975169999999991</v>
      </c>
      <c r="D75" s="96">
        <v>8.348096</v>
      </c>
      <c r="E75" s="96">
        <v>8.3423780000000001</v>
      </c>
      <c r="F75" s="96">
        <v>8.1610440000000004</v>
      </c>
      <c r="G75" s="96">
        <v>8.0244459999999993</v>
      </c>
      <c r="H75" s="96">
        <v>7.9277730000000002</v>
      </c>
      <c r="I75" s="96">
        <v>7.8506359999999997</v>
      </c>
      <c r="J75" s="96">
        <v>7.7681769999999997</v>
      </c>
      <c r="K75" s="96">
        <v>7.7216959999999997</v>
      </c>
      <c r="L75" s="96">
        <v>7.6788100000000004</v>
      </c>
      <c r="M75" s="96">
        <v>7.6713959999999997</v>
      </c>
      <c r="N75" s="96">
        <v>7.657419</v>
      </c>
      <c r="O75" s="96">
        <v>7.6185049999999999</v>
      </c>
      <c r="P75" s="96">
        <v>7.5968080000000002</v>
      </c>
      <c r="Q75" s="96">
        <v>7.58725</v>
      </c>
      <c r="R75" s="96">
        <v>7.5888169999999997</v>
      </c>
      <c r="S75" s="96">
        <v>7.5844040000000001</v>
      </c>
      <c r="T75" s="96">
        <v>7.6033270000000002</v>
      </c>
      <c r="U75" s="96">
        <v>7.6296580000000001</v>
      </c>
      <c r="V75" s="96">
        <v>7.6448679999999998</v>
      </c>
      <c r="W75" s="96">
        <v>7.6663670000000002</v>
      </c>
      <c r="X75" s="96">
        <v>7.6958260000000003</v>
      </c>
      <c r="Y75" s="96">
        <v>7.7317</v>
      </c>
      <c r="Z75" s="96">
        <v>7.7609630000000003</v>
      </c>
      <c r="AA75" s="96">
        <v>7.7916259999999999</v>
      </c>
      <c r="AB75" s="96">
        <v>7.8262239999999998</v>
      </c>
      <c r="AC75" s="96">
        <v>7.8814479999999998</v>
      </c>
      <c r="AD75" s="96">
        <v>7.9283840000000003</v>
      </c>
      <c r="AE75" s="96">
        <v>7.9912039999999998</v>
      </c>
      <c r="AF75" s="96">
        <v>8.0547930000000001</v>
      </c>
      <c r="AG75" s="89">
        <v>-1.023E-3</v>
      </c>
    </row>
    <row r="77" spans="1:33" ht="15" customHeight="1" x14ac:dyDescent="0.3">
      <c r="B77" s="91" t="s">
        <v>121</v>
      </c>
    </row>
    <row r="78" spans="1:33" ht="15" customHeight="1" x14ac:dyDescent="0.35">
      <c r="A78" s="92" t="s">
        <v>2672</v>
      </c>
      <c r="B78" s="95" t="s">
        <v>2778</v>
      </c>
      <c r="C78" s="97">
        <v>2.3425129999999998</v>
      </c>
      <c r="D78" s="97">
        <v>2.3816229999999998</v>
      </c>
      <c r="E78" s="97">
        <v>2.3010449999999998</v>
      </c>
      <c r="F78" s="97">
        <v>2.3067410000000002</v>
      </c>
      <c r="G78" s="97">
        <v>2.3147869999999999</v>
      </c>
      <c r="H78" s="97">
        <v>2.3175849999999998</v>
      </c>
      <c r="I78" s="97">
        <v>2.3135810000000001</v>
      </c>
      <c r="J78" s="97">
        <v>2.3033809999999999</v>
      </c>
      <c r="K78" s="97">
        <v>2.2886099999999998</v>
      </c>
      <c r="L78" s="97">
        <v>2.2741389999999999</v>
      </c>
      <c r="M78" s="97">
        <v>2.2604890000000002</v>
      </c>
      <c r="N78" s="97">
        <v>2.2491819999999998</v>
      </c>
      <c r="O78" s="97">
        <v>2.2359719999999998</v>
      </c>
      <c r="P78" s="97">
        <v>2.2247050000000002</v>
      </c>
      <c r="Q78" s="97">
        <v>2.2161569999999999</v>
      </c>
      <c r="R78" s="97">
        <v>2.2077110000000002</v>
      </c>
      <c r="S78" s="97">
        <v>2.196666</v>
      </c>
      <c r="T78" s="97">
        <v>2.1849959999999999</v>
      </c>
      <c r="U78" s="97">
        <v>2.1726179999999999</v>
      </c>
      <c r="V78" s="97">
        <v>2.1601370000000002</v>
      </c>
      <c r="W78" s="97">
        <v>2.148692</v>
      </c>
      <c r="X78" s="97">
        <v>2.1375890000000002</v>
      </c>
      <c r="Y78" s="97">
        <v>2.1260020000000002</v>
      </c>
      <c r="Z78" s="97">
        <v>2.1147019999999999</v>
      </c>
      <c r="AA78" s="97">
        <v>2.1023520000000002</v>
      </c>
      <c r="AB78" s="97">
        <v>2.089499</v>
      </c>
      <c r="AC78" s="97">
        <v>2.0763539999999998</v>
      </c>
      <c r="AD78" s="97">
        <v>2.0629059999999999</v>
      </c>
      <c r="AE78" s="97">
        <v>2.0487880000000001</v>
      </c>
      <c r="AF78" s="97">
        <v>2.0346980000000001</v>
      </c>
      <c r="AG78" s="93">
        <v>-4.8459999999999996E-3</v>
      </c>
    </row>
    <row r="79" spans="1:33" ht="14.5" x14ac:dyDescent="0.35">
      <c r="A79" s="92" t="s">
        <v>2671</v>
      </c>
      <c r="B79" s="95" t="s">
        <v>2779</v>
      </c>
      <c r="C79" s="97">
        <v>1.493255</v>
      </c>
      <c r="D79" s="97">
        <v>1.3760140000000001</v>
      </c>
      <c r="E79" s="97">
        <v>1.5430790000000001</v>
      </c>
      <c r="F79" s="97">
        <v>1.5396669999999999</v>
      </c>
      <c r="G79" s="97">
        <v>1.540124</v>
      </c>
      <c r="H79" s="97">
        <v>1.544613</v>
      </c>
      <c r="I79" s="97">
        <v>1.5437749999999999</v>
      </c>
      <c r="J79" s="97">
        <v>1.5412030000000001</v>
      </c>
      <c r="K79" s="97">
        <v>1.5414950000000001</v>
      </c>
      <c r="L79" s="97">
        <v>1.5440990000000001</v>
      </c>
      <c r="M79" s="97">
        <v>1.5523940000000001</v>
      </c>
      <c r="N79" s="97">
        <v>1.559855</v>
      </c>
      <c r="O79" s="97">
        <v>1.563628</v>
      </c>
      <c r="P79" s="97">
        <v>1.568762</v>
      </c>
      <c r="Q79" s="97">
        <v>1.577034</v>
      </c>
      <c r="R79" s="97">
        <v>1.586619</v>
      </c>
      <c r="S79" s="97">
        <v>1.596678</v>
      </c>
      <c r="T79" s="97">
        <v>1.6097790000000001</v>
      </c>
      <c r="U79" s="97">
        <v>1.6230230000000001</v>
      </c>
      <c r="V79" s="97">
        <v>1.6336349999999999</v>
      </c>
      <c r="W79" s="97">
        <v>1.646471</v>
      </c>
      <c r="X79" s="97">
        <v>1.660652</v>
      </c>
      <c r="Y79" s="97">
        <v>1.6753290000000001</v>
      </c>
      <c r="Z79" s="97">
        <v>1.6904950000000001</v>
      </c>
      <c r="AA79" s="97">
        <v>1.705419</v>
      </c>
      <c r="AB79" s="97">
        <v>1.720507</v>
      </c>
      <c r="AC79" s="97">
        <v>1.7385299999999999</v>
      </c>
      <c r="AD79" s="97">
        <v>1.755261</v>
      </c>
      <c r="AE79" s="97">
        <v>1.774214</v>
      </c>
      <c r="AF79" s="97">
        <v>1.7950710000000001</v>
      </c>
      <c r="AG79" s="93">
        <v>6.3680000000000004E-3</v>
      </c>
    </row>
    <row r="80" spans="1:33" ht="15" customHeight="1" x14ac:dyDescent="0.35">
      <c r="A80" s="92" t="s">
        <v>2670</v>
      </c>
      <c r="B80" s="95" t="s">
        <v>2780</v>
      </c>
      <c r="C80" s="97">
        <v>0.68809600000000004</v>
      </c>
      <c r="D80" s="97">
        <v>0.68213199999999996</v>
      </c>
      <c r="E80" s="97">
        <v>0.68298400000000004</v>
      </c>
      <c r="F80" s="97">
        <v>0.68959300000000001</v>
      </c>
      <c r="G80" s="97">
        <v>0.69692799999999999</v>
      </c>
      <c r="H80" s="97">
        <v>0.70281400000000005</v>
      </c>
      <c r="I80" s="97">
        <v>0.70673200000000003</v>
      </c>
      <c r="J80" s="97">
        <v>0.70917799999999998</v>
      </c>
      <c r="K80" s="97">
        <v>0.71056399999999997</v>
      </c>
      <c r="L80" s="97">
        <v>0.71239799999999998</v>
      </c>
      <c r="M80" s="97">
        <v>0.71295799999999998</v>
      </c>
      <c r="N80" s="97">
        <v>0.71502299999999996</v>
      </c>
      <c r="O80" s="97">
        <v>0.71706700000000001</v>
      </c>
      <c r="P80" s="97">
        <v>0.72016199999999997</v>
      </c>
      <c r="Q80" s="97">
        <v>0.72439799999999999</v>
      </c>
      <c r="R80" s="97">
        <v>0.72889899999999996</v>
      </c>
      <c r="S80" s="97">
        <v>0.73278900000000002</v>
      </c>
      <c r="T80" s="97">
        <v>0.73656900000000003</v>
      </c>
      <c r="U80" s="97">
        <v>0.74016899999999997</v>
      </c>
      <c r="V80" s="97">
        <v>0.74392599999999998</v>
      </c>
      <c r="W80" s="97">
        <v>0.74827200000000005</v>
      </c>
      <c r="X80" s="97">
        <v>0.75281500000000001</v>
      </c>
      <c r="Y80" s="97">
        <v>0.75737900000000002</v>
      </c>
      <c r="Z80" s="97">
        <v>0.76221300000000003</v>
      </c>
      <c r="AA80" s="97">
        <v>0.76682600000000001</v>
      </c>
      <c r="AB80" s="97">
        <v>0.771393</v>
      </c>
      <c r="AC80" s="97">
        <v>0.77588900000000005</v>
      </c>
      <c r="AD80" s="97">
        <v>0.780366</v>
      </c>
      <c r="AE80" s="97">
        <v>0.78464400000000001</v>
      </c>
      <c r="AF80" s="97">
        <v>0.78905000000000003</v>
      </c>
      <c r="AG80" s="93">
        <v>4.7320000000000001E-3</v>
      </c>
    </row>
    <row r="81" spans="1:33" ht="14.5" x14ac:dyDescent="0.35">
      <c r="A81" s="92" t="s">
        <v>2669</v>
      </c>
      <c r="B81" s="95" t="s">
        <v>2668</v>
      </c>
      <c r="C81" s="97">
        <v>1.4096789999999999</v>
      </c>
      <c r="D81" s="97">
        <v>1.3954390000000001</v>
      </c>
      <c r="E81" s="97">
        <v>1.382922</v>
      </c>
      <c r="F81" s="97">
        <v>1.3662879999999999</v>
      </c>
      <c r="G81" s="97">
        <v>1.3522270000000001</v>
      </c>
      <c r="H81" s="97">
        <v>1.318778</v>
      </c>
      <c r="I81" s="97">
        <v>1.2848219999999999</v>
      </c>
      <c r="J81" s="97">
        <v>1.252416</v>
      </c>
      <c r="K81" s="97">
        <v>1.2251350000000001</v>
      </c>
      <c r="L81" s="97">
        <v>1.1997640000000001</v>
      </c>
      <c r="M81" s="97">
        <v>1.1796530000000001</v>
      </c>
      <c r="N81" s="97">
        <v>1.1601870000000001</v>
      </c>
      <c r="O81" s="97">
        <v>1.138976</v>
      </c>
      <c r="P81" s="97">
        <v>1.1205240000000001</v>
      </c>
      <c r="Q81" s="97">
        <v>1.1052150000000001</v>
      </c>
      <c r="R81" s="97">
        <v>1.092149</v>
      </c>
      <c r="S81" s="97">
        <v>1.0798049999999999</v>
      </c>
      <c r="T81" s="97">
        <v>1.0703199999999999</v>
      </c>
      <c r="U81" s="97">
        <v>1.0615859999999999</v>
      </c>
      <c r="V81" s="97">
        <v>1.0503210000000001</v>
      </c>
      <c r="W81" s="97">
        <v>1.041166</v>
      </c>
      <c r="X81" s="97">
        <v>1.0333049999999999</v>
      </c>
      <c r="Y81" s="97">
        <v>1.026551</v>
      </c>
      <c r="Z81" s="97">
        <v>1.020794</v>
      </c>
      <c r="AA81" s="97">
        <v>1.015385</v>
      </c>
      <c r="AB81" s="97">
        <v>1.0107980000000001</v>
      </c>
      <c r="AC81" s="97">
        <v>1.0087630000000001</v>
      </c>
      <c r="AD81" s="97">
        <v>1.0062439999999999</v>
      </c>
      <c r="AE81" s="97">
        <v>1.005571</v>
      </c>
      <c r="AF81" s="97">
        <v>1.006281</v>
      </c>
      <c r="AG81" s="93">
        <v>-1.1557E-2</v>
      </c>
    </row>
    <row r="82" spans="1:33" ht="15" customHeight="1" x14ac:dyDescent="0.35">
      <c r="A82" s="92" t="s">
        <v>2667</v>
      </c>
      <c r="B82" s="95" t="s">
        <v>57</v>
      </c>
      <c r="C82" s="97">
        <v>0.58101000000000003</v>
      </c>
      <c r="D82" s="97">
        <v>0.58009100000000002</v>
      </c>
      <c r="E82" s="97">
        <v>0.58299800000000002</v>
      </c>
      <c r="F82" s="97">
        <v>0.58791300000000002</v>
      </c>
      <c r="G82" s="97">
        <v>0.59339399999999998</v>
      </c>
      <c r="H82" s="97">
        <v>0.59829399999999999</v>
      </c>
      <c r="I82" s="97">
        <v>0.60155000000000003</v>
      </c>
      <c r="J82" s="97">
        <v>0.60376099999999999</v>
      </c>
      <c r="K82" s="97">
        <v>0.60574799999999995</v>
      </c>
      <c r="L82" s="97">
        <v>0.608155</v>
      </c>
      <c r="M82" s="97">
        <v>0.61008700000000005</v>
      </c>
      <c r="N82" s="97">
        <v>0.61273900000000003</v>
      </c>
      <c r="O82" s="97">
        <v>0.61499300000000001</v>
      </c>
      <c r="P82" s="97">
        <v>0.618058</v>
      </c>
      <c r="Q82" s="97">
        <v>0.62185500000000005</v>
      </c>
      <c r="R82" s="97">
        <v>0.62577099999999997</v>
      </c>
      <c r="S82" s="97">
        <v>0.62919999999999998</v>
      </c>
      <c r="T82" s="97">
        <v>0.63272700000000004</v>
      </c>
      <c r="U82" s="97">
        <v>0.63617400000000002</v>
      </c>
      <c r="V82" s="97">
        <v>0.63948700000000003</v>
      </c>
      <c r="W82" s="97">
        <v>0.64336499999999996</v>
      </c>
      <c r="X82" s="97">
        <v>0.64739999999999998</v>
      </c>
      <c r="Y82" s="97">
        <v>0.65146599999999999</v>
      </c>
      <c r="Z82" s="97">
        <v>0.65558399999999994</v>
      </c>
      <c r="AA82" s="97">
        <v>0.65953600000000001</v>
      </c>
      <c r="AB82" s="97">
        <v>0.66344400000000003</v>
      </c>
      <c r="AC82" s="97">
        <v>0.66749599999999998</v>
      </c>
      <c r="AD82" s="97">
        <v>0.67134000000000005</v>
      </c>
      <c r="AE82" s="97">
        <v>0.67522899999999997</v>
      </c>
      <c r="AF82" s="97">
        <v>0.67916500000000002</v>
      </c>
      <c r="AG82" s="93">
        <v>5.3969999999999999E-3</v>
      </c>
    </row>
    <row r="83" spans="1:33" ht="15" customHeight="1" x14ac:dyDescent="0.35">
      <c r="A83" s="92" t="s">
        <v>2666</v>
      </c>
      <c r="B83" s="95" t="s">
        <v>63</v>
      </c>
      <c r="C83" s="97">
        <v>1.454297</v>
      </c>
      <c r="D83" s="97">
        <v>1.411945</v>
      </c>
      <c r="E83" s="97">
        <v>1.374322</v>
      </c>
      <c r="F83" s="97">
        <v>1.3349329999999999</v>
      </c>
      <c r="G83" s="97">
        <v>1.3026439999999999</v>
      </c>
      <c r="H83" s="97">
        <v>1.2775829999999999</v>
      </c>
      <c r="I83" s="97">
        <v>1.2527429999999999</v>
      </c>
      <c r="J83" s="97">
        <v>1.22092</v>
      </c>
      <c r="K83" s="97">
        <v>1.195343</v>
      </c>
      <c r="L83" s="97">
        <v>1.152752</v>
      </c>
      <c r="M83" s="97">
        <v>1.118614</v>
      </c>
      <c r="N83" s="97">
        <v>1.0875109999999999</v>
      </c>
      <c r="O83" s="97">
        <v>1.0574140000000001</v>
      </c>
      <c r="P83" s="97">
        <v>1.0315989999999999</v>
      </c>
      <c r="Q83" s="97">
        <v>1.010194</v>
      </c>
      <c r="R83" s="97">
        <v>0.99229400000000001</v>
      </c>
      <c r="S83" s="97">
        <v>0.97607500000000003</v>
      </c>
      <c r="T83" s="97">
        <v>0.963229</v>
      </c>
      <c r="U83" s="97">
        <v>0.95144700000000004</v>
      </c>
      <c r="V83" s="97">
        <v>0.93459199999999998</v>
      </c>
      <c r="W83" s="97">
        <v>0.92127999999999999</v>
      </c>
      <c r="X83" s="97">
        <v>0.90957200000000005</v>
      </c>
      <c r="Y83" s="97">
        <v>0.89895499999999995</v>
      </c>
      <c r="Z83" s="97">
        <v>0.88984399999999997</v>
      </c>
      <c r="AA83" s="97">
        <v>0.88152799999999998</v>
      </c>
      <c r="AB83" s="97">
        <v>0.87440899999999999</v>
      </c>
      <c r="AC83" s="97">
        <v>0.86984499999999998</v>
      </c>
      <c r="AD83" s="97">
        <v>0.86511199999999999</v>
      </c>
      <c r="AE83" s="97">
        <v>0.86228300000000002</v>
      </c>
      <c r="AF83" s="97">
        <v>0.860877</v>
      </c>
      <c r="AG83" s="93">
        <v>-1.7918E-2</v>
      </c>
    </row>
    <row r="84" spans="1:33" ht="15" customHeight="1" x14ac:dyDescent="0.35">
      <c r="A84" s="92" t="s">
        <v>2665</v>
      </c>
      <c r="B84" s="95" t="s">
        <v>55</v>
      </c>
      <c r="C84" s="97">
        <v>1.822165</v>
      </c>
      <c r="D84" s="97">
        <v>1.8069770000000001</v>
      </c>
      <c r="E84" s="97">
        <v>1.792135</v>
      </c>
      <c r="F84" s="97">
        <v>1.7685439999999999</v>
      </c>
      <c r="G84" s="97">
        <v>1.7517039999999999</v>
      </c>
      <c r="H84" s="97">
        <v>1.742664</v>
      </c>
      <c r="I84" s="97">
        <v>1.7321880000000001</v>
      </c>
      <c r="J84" s="97">
        <v>1.721889</v>
      </c>
      <c r="K84" s="97">
        <v>1.716518</v>
      </c>
      <c r="L84" s="97">
        <v>1.7093160000000001</v>
      </c>
      <c r="M84" s="97">
        <v>1.708615</v>
      </c>
      <c r="N84" s="97">
        <v>1.707336</v>
      </c>
      <c r="O84" s="97">
        <v>1.7026129999999999</v>
      </c>
      <c r="P84" s="97">
        <v>1.7002360000000001</v>
      </c>
      <c r="Q84" s="97">
        <v>1.6995499999999999</v>
      </c>
      <c r="R84" s="97">
        <v>1.700142</v>
      </c>
      <c r="S84" s="97">
        <v>1.69998</v>
      </c>
      <c r="T84" s="97">
        <v>1.702569</v>
      </c>
      <c r="U84" s="97">
        <v>1.7058549999999999</v>
      </c>
      <c r="V84" s="97">
        <v>1.7074069999999999</v>
      </c>
      <c r="W84" s="97">
        <v>1.7111970000000001</v>
      </c>
      <c r="X84" s="97">
        <v>1.715822</v>
      </c>
      <c r="Y84" s="97">
        <v>1.7210650000000001</v>
      </c>
      <c r="Z84" s="97">
        <v>1.7256229999999999</v>
      </c>
      <c r="AA84" s="97">
        <v>1.730092</v>
      </c>
      <c r="AB84" s="97">
        <v>1.735061</v>
      </c>
      <c r="AC84" s="97">
        <v>1.7428650000000001</v>
      </c>
      <c r="AD84" s="97">
        <v>1.7490889999999999</v>
      </c>
      <c r="AE84" s="97">
        <v>1.7572190000000001</v>
      </c>
      <c r="AF84" s="97">
        <v>1.765582</v>
      </c>
      <c r="AG84" s="93">
        <v>-1.0870000000000001E-3</v>
      </c>
    </row>
    <row r="85" spans="1:33" ht="15" customHeight="1" x14ac:dyDescent="0.35">
      <c r="A85" s="92" t="s">
        <v>2664</v>
      </c>
      <c r="B85" s="95" t="s">
        <v>2663</v>
      </c>
      <c r="C85" s="97">
        <v>1.2039519999999999</v>
      </c>
      <c r="D85" s="97">
        <v>1.2134309999999999</v>
      </c>
      <c r="E85" s="97">
        <v>1.219592</v>
      </c>
      <c r="F85" s="97">
        <v>1.2185919999999999</v>
      </c>
      <c r="G85" s="97">
        <v>1.223643</v>
      </c>
      <c r="H85" s="97">
        <v>1.233638</v>
      </c>
      <c r="I85" s="97">
        <v>1.2422580000000001</v>
      </c>
      <c r="J85" s="97">
        <v>1.253042</v>
      </c>
      <c r="K85" s="97">
        <v>1.266896</v>
      </c>
      <c r="L85" s="97">
        <v>1.283671</v>
      </c>
      <c r="M85" s="97">
        <v>1.30307</v>
      </c>
      <c r="N85" s="97">
        <v>1.3224499999999999</v>
      </c>
      <c r="O85" s="97">
        <v>1.338716</v>
      </c>
      <c r="P85" s="97">
        <v>1.35771</v>
      </c>
      <c r="Q85" s="97">
        <v>1.37734</v>
      </c>
      <c r="R85" s="97">
        <v>1.400218</v>
      </c>
      <c r="S85" s="97">
        <v>1.420828</v>
      </c>
      <c r="T85" s="97">
        <v>1.4462740000000001</v>
      </c>
      <c r="U85" s="97">
        <v>1.472631</v>
      </c>
      <c r="V85" s="97">
        <v>1.4984690000000001</v>
      </c>
      <c r="W85" s="97">
        <v>1.5243640000000001</v>
      </c>
      <c r="X85" s="97">
        <v>1.55244</v>
      </c>
      <c r="Y85" s="97">
        <v>1.58249</v>
      </c>
      <c r="Z85" s="97">
        <v>1.610276</v>
      </c>
      <c r="AA85" s="97">
        <v>1.6394949999999999</v>
      </c>
      <c r="AB85" s="97">
        <v>1.6705939999999999</v>
      </c>
      <c r="AC85" s="97">
        <v>1.703044</v>
      </c>
      <c r="AD85" s="97">
        <v>1.7358340000000001</v>
      </c>
      <c r="AE85" s="97">
        <v>1.7708440000000001</v>
      </c>
      <c r="AF85" s="97">
        <v>1.806028</v>
      </c>
      <c r="AG85" s="93">
        <v>1.4082000000000001E-2</v>
      </c>
    </row>
    <row r="86" spans="1:33" ht="15" customHeight="1" x14ac:dyDescent="0.35">
      <c r="A86" s="92" t="s">
        <v>2662</v>
      </c>
      <c r="B86" s="95" t="s">
        <v>2661</v>
      </c>
      <c r="C86" s="97">
        <v>0.49602200000000002</v>
      </c>
      <c r="D86" s="97">
        <v>0.48956699999999997</v>
      </c>
      <c r="E86" s="97">
        <v>0.483879</v>
      </c>
      <c r="F86" s="97">
        <v>0.47622100000000001</v>
      </c>
      <c r="G86" s="97">
        <v>0.471248</v>
      </c>
      <c r="H86" s="97">
        <v>0.46941899999999998</v>
      </c>
      <c r="I86" s="97">
        <v>0.467617</v>
      </c>
      <c r="J86" s="97">
        <v>0.46627000000000002</v>
      </c>
      <c r="K86" s="97">
        <v>0.46670499999999998</v>
      </c>
      <c r="L86" s="97">
        <v>0.46842099999999998</v>
      </c>
      <c r="M86" s="97">
        <v>0.47107900000000003</v>
      </c>
      <c r="N86" s="97">
        <v>0.47393600000000002</v>
      </c>
      <c r="O86" s="97">
        <v>0.475659</v>
      </c>
      <c r="P86" s="97">
        <v>0.47711100000000001</v>
      </c>
      <c r="Q86" s="97">
        <v>0.47941099999999998</v>
      </c>
      <c r="R86" s="97">
        <v>0.48110900000000001</v>
      </c>
      <c r="S86" s="97">
        <v>0.48241600000000001</v>
      </c>
      <c r="T86" s="97">
        <v>0.48439500000000002</v>
      </c>
      <c r="U86" s="97">
        <v>0.48512300000000003</v>
      </c>
      <c r="V86" s="97">
        <v>0.485595</v>
      </c>
      <c r="W86" s="97">
        <v>0.48521500000000001</v>
      </c>
      <c r="X86" s="97">
        <v>0.48344500000000001</v>
      </c>
      <c r="Y86" s="97">
        <v>0.48094199999999998</v>
      </c>
      <c r="Z86" s="97">
        <v>0.47722500000000001</v>
      </c>
      <c r="AA86" s="97">
        <v>0.471831</v>
      </c>
      <c r="AB86" s="97">
        <v>0.465638</v>
      </c>
      <c r="AC86" s="97">
        <v>0.45841999999999999</v>
      </c>
      <c r="AD86" s="97">
        <v>0.44907599999999998</v>
      </c>
      <c r="AE86" s="97">
        <v>0.43842900000000001</v>
      </c>
      <c r="AF86" s="97">
        <v>0.42507800000000001</v>
      </c>
      <c r="AG86" s="93">
        <v>-5.3080000000000002E-3</v>
      </c>
    </row>
    <row r="87" spans="1:33" ht="15" customHeight="1" x14ac:dyDescent="0.35">
      <c r="A87" s="92" t="s">
        <v>2660</v>
      </c>
      <c r="B87" s="95" t="s">
        <v>86</v>
      </c>
      <c r="C87" s="97">
        <v>5.8702690000000004</v>
      </c>
      <c r="D87" s="97">
        <v>6.2823099999999998</v>
      </c>
      <c r="E87" s="97">
        <v>6.2485489999999997</v>
      </c>
      <c r="F87" s="97">
        <v>6.1541379999999997</v>
      </c>
      <c r="G87" s="97">
        <v>6.0769279999999997</v>
      </c>
      <c r="H87" s="97">
        <v>6.0190530000000004</v>
      </c>
      <c r="I87" s="97">
        <v>6.0362520000000002</v>
      </c>
      <c r="J87" s="97">
        <v>6.0472910000000004</v>
      </c>
      <c r="K87" s="97">
        <v>6.0703209999999999</v>
      </c>
      <c r="L87" s="97">
        <v>6.099844</v>
      </c>
      <c r="M87" s="97">
        <v>6.1390750000000001</v>
      </c>
      <c r="N87" s="97">
        <v>6.1760859999999997</v>
      </c>
      <c r="O87" s="97">
        <v>6.204199</v>
      </c>
      <c r="P87" s="97">
        <v>6.2387959999999998</v>
      </c>
      <c r="Q87" s="97">
        <v>6.2775499999999997</v>
      </c>
      <c r="R87" s="97">
        <v>6.3201619999999998</v>
      </c>
      <c r="S87" s="97">
        <v>6.3593190000000002</v>
      </c>
      <c r="T87" s="97">
        <v>6.407146</v>
      </c>
      <c r="U87" s="97">
        <v>6.4606060000000003</v>
      </c>
      <c r="V87" s="97">
        <v>6.5123160000000002</v>
      </c>
      <c r="W87" s="97">
        <v>6.5671929999999996</v>
      </c>
      <c r="X87" s="97">
        <v>6.6258090000000003</v>
      </c>
      <c r="Y87" s="97">
        <v>6.6876369999999996</v>
      </c>
      <c r="Z87" s="97">
        <v>6.7468570000000003</v>
      </c>
      <c r="AA87" s="97">
        <v>6.8092420000000002</v>
      </c>
      <c r="AB87" s="97">
        <v>6.8729829999999996</v>
      </c>
      <c r="AC87" s="97">
        <v>6.9470109999999998</v>
      </c>
      <c r="AD87" s="97">
        <v>7.0203239999999996</v>
      </c>
      <c r="AE87" s="97">
        <v>7.1011540000000002</v>
      </c>
      <c r="AF87" s="97">
        <v>7.1840650000000004</v>
      </c>
      <c r="AG87" s="93">
        <v>6.9890000000000004E-3</v>
      </c>
    </row>
    <row r="88" spans="1:33" ht="15" customHeight="1" x14ac:dyDescent="0.3">
      <c r="A88" s="92" t="s">
        <v>2658</v>
      </c>
      <c r="B88" s="91" t="s">
        <v>2788</v>
      </c>
      <c r="C88" s="96">
        <v>17.361259</v>
      </c>
      <c r="D88" s="96">
        <v>17.619530000000001</v>
      </c>
      <c r="E88" s="96">
        <v>17.611504</v>
      </c>
      <c r="F88" s="96">
        <v>17.442630999999999</v>
      </c>
      <c r="G88" s="96">
        <v>17.323626999999998</v>
      </c>
      <c r="H88" s="96">
        <v>17.224442</v>
      </c>
      <c r="I88" s="96">
        <v>17.181519000000002</v>
      </c>
      <c r="J88" s="96">
        <v>17.119350000000001</v>
      </c>
      <c r="K88" s="96">
        <v>17.087337000000002</v>
      </c>
      <c r="L88" s="96">
        <v>17.052558999999999</v>
      </c>
      <c r="M88" s="96">
        <v>17.056034</v>
      </c>
      <c r="N88" s="96">
        <v>17.064304</v>
      </c>
      <c r="O88" s="96">
        <v>17.049240000000001</v>
      </c>
      <c r="P88" s="96">
        <v>17.057663000000002</v>
      </c>
      <c r="Q88" s="96">
        <v>17.088702999999999</v>
      </c>
      <c r="R88" s="96">
        <v>17.135071</v>
      </c>
      <c r="S88" s="96">
        <v>17.173757999999999</v>
      </c>
      <c r="T88" s="96">
        <v>17.238005000000001</v>
      </c>
      <c r="U88" s="96">
        <v>17.309231</v>
      </c>
      <c r="V88" s="96">
        <v>17.365883</v>
      </c>
      <c r="W88" s="96">
        <v>17.437214000000001</v>
      </c>
      <c r="X88" s="96">
        <v>17.518847999999998</v>
      </c>
      <c r="Y88" s="96">
        <v>17.607817000000001</v>
      </c>
      <c r="Z88" s="96">
        <v>17.693611000000001</v>
      </c>
      <c r="AA88" s="96">
        <v>17.781707999999998</v>
      </c>
      <c r="AB88" s="96">
        <v>17.874328999999999</v>
      </c>
      <c r="AC88" s="96">
        <v>17.988218</v>
      </c>
      <c r="AD88" s="96">
        <v>18.095551</v>
      </c>
      <c r="AE88" s="96">
        <v>18.218374000000001</v>
      </c>
      <c r="AF88" s="96">
        <v>18.345896</v>
      </c>
      <c r="AG88" s="89">
        <v>1.9040000000000001E-3</v>
      </c>
    </row>
    <row r="89" spans="1:33" ht="15" customHeight="1" x14ac:dyDescent="0.35">
      <c r="A89" s="92" t="s">
        <v>2789</v>
      </c>
      <c r="B89" s="95" t="s">
        <v>2753</v>
      </c>
      <c r="C89" s="97">
        <v>9.5620999999999998E-2</v>
      </c>
      <c r="D89" s="97">
        <v>0.10685500000000001</v>
      </c>
      <c r="E89" s="97">
        <v>0.118325</v>
      </c>
      <c r="F89" s="97">
        <v>0.12968099999999999</v>
      </c>
      <c r="G89" s="97">
        <v>0.13766</v>
      </c>
      <c r="H89" s="97">
        <v>0.146618</v>
      </c>
      <c r="I89" s="97">
        <v>0.15415799999999999</v>
      </c>
      <c r="J89" s="97">
        <v>0.159692</v>
      </c>
      <c r="K89" s="97">
        <v>0.16678399999999999</v>
      </c>
      <c r="L89" s="97">
        <v>0.17127300000000001</v>
      </c>
      <c r="M89" s="97">
        <v>0.17811299999999999</v>
      </c>
      <c r="N89" s="97">
        <v>0.182839</v>
      </c>
      <c r="O89" s="97">
        <v>0.189632</v>
      </c>
      <c r="P89" s="97">
        <v>0.195544</v>
      </c>
      <c r="Q89" s="97">
        <v>0.198097</v>
      </c>
      <c r="R89" s="97">
        <v>0.204844</v>
      </c>
      <c r="S89" s="97">
        <v>0.211534</v>
      </c>
      <c r="T89" s="97">
        <v>0.217638</v>
      </c>
      <c r="U89" s="97">
        <v>0.22692300000000001</v>
      </c>
      <c r="V89" s="97">
        <v>0.23549200000000001</v>
      </c>
      <c r="W89" s="97">
        <v>0.242482</v>
      </c>
      <c r="X89" s="97">
        <v>0.25086700000000001</v>
      </c>
      <c r="Y89" s="97">
        <v>0.26011000000000001</v>
      </c>
      <c r="Z89" s="97">
        <v>0.26594400000000001</v>
      </c>
      <c r="AA89" s="97">
        <v>0.27569500000000002</v>
      </c>
      <c r="AB89" s="97">
        <v>0.28823700000000002</v>
      </c>
      <c r="AC89" s="97">
        <v>0.29553299999999999</v>
      </c>
      <c r="AD89" s="97">
        <v>0.30629600000000001</v>
      </c>
      <c r="AE89" s="97">
        <v>0.31517200000000001</v>
      </c>
      <c r="AF89" s="97">
        <v>0.32165300000000002</v>
      </c>
      <c r="AG89" s="93">
        <v>4.2717999999999999E-2</v>
      </c>
    </row>
    <row r="90" spans="1:33" ht="15" customHeight="1" x14ac:dyDescent="0.3">
      <c r="A90" s="92" t="s">
        <v>2790</v>
      </c>
      <c r="B90" s="91" t="s">
        <v>2760</v>
      </c>
      <c r="C90" s="96">
        <v>17.265640000000001</v>
      </c>
      <c r="D90" s="96">
        <v>17.512671999999998</v>
      </c>
      <c r="E90" s="96">
        <v>17.493179000000001</v>
      </c>
      <c r="F90" s="96">
        <v>17.312947999999999</v>
      </c>
      <c r="G90" s="96">
        <v>17.185966000000001</v>
      </c>
      <c r="H90" s="96">
        <v>17.077824</v>
      </c>
      <c r="I90" s="96">
        <v>17.027363000000001</v>
      </c>
      <c r="J90" s="96">
        <v>16.95966</v>
      </c>
      <c r="K90" s="96">
        <v>16.920551</v>
      </c>
      <c r="L90" s="96">
        <v>16.881287</v>
      </c>
      <c r="M90" s="96">
        <v>16.87792</v>
      </c>
      <c r="N90" s="96">
        <v>16.881466</v>
      </c>
      <c r="O90" s="96">
        <v>16.859608000000001</v>
      </c>
      <c r="P90" s="96">
        <v>16.862120000000001</v>
      </c>
      <c r="Q90" s="96">
        <v>16.890605999999998</v>
      </c>
      <c r="R90" s="96">
        <v>16.930226999999999</v>
      </c>
      <c r="S90" s="96">
        <v>16.962223000000002</v>
      </c>
      <c r="T90" s="96">
        <v>17.020367</v>
      </c>
      <c r="U90" s="96">
        <v>17.082308000000001</v>
      </c>
      <c r="V90" s="96">
        <v>17.130389999999998</v>
      </c>
      <c r="W90" s="96">
        <v>17.194732999999999</v>
      </c>
      <c r="X90" s="96">
        <v>17.267982</v>
      </c>
      <c r="Y90" s="96">
        <v>17.347705999999999</v>
      </c>
      <c r="Z90" s="96">
        <v>17.427668000000001</v>
      </c>
      <c r="AA90" s="96">
        <v>17.506011999999998</v>
      </c>
      <c r="AB90" s="96">
        <v>17.586089999999999</v>
      </c>
      <c r="AC90" s="96">
        <v>17.692685999999998</v>
      </c>
      <c r="AD90" s="96">
        <v>17.789255000000001</v>
      </c>
      <c r="AE90" s="96">
        <v>17.903202</v>
      </c>
      <c r="AF90" s="96">
        <v>18.024242000000001</v>
      </c>
      <c r="AG90" s="89">
        <v>1.4840000000000001E-3</v>
      </c>
    </row>
    <row r="92" spans="1:33" ht="12" x14ac:dyDescent="0.3">
      <c r="B92" s="91" t="s">
        <v>2791</v>
      </c>
    </row>
    <row r="93" spans="1:33" ht="15" customHeight="1" x14ac:dyDescent="0.35">
      <c r="A93" s="92" t="s">
        <v>2657</v>
      </c>
      <c r="B93" s="95" t="s">
        <v>2656</v>
      </c>
      <c r="C93" s="97">
        <v>7.4182999999999999E-2</v>
      </c>
      <c r="D93" s="97">
        <v>7.4353000000000002E-2</v>
      </c>
      <c r="E93" s="97">
        <v>7.3995000000000005E-2</v>
      </c>
      <c r="F93" s="97">
        <v>7.3537000000000005E-2</v>
      </c>
      <c r="G93" s="97">
        <v>7.3187000000000002E-2</v>
      </c>
      <c r="H93" s="97">
        <v>7.2387999999999994E-2</v>
      </c>
      <c r="I93" s="97">
        <v>7.1845000000000006E-2</v>
      </c>
      <c r="J93" s="97">
        <v>7.1635000000000004E-2</v>
      </c>
      <c r="K93" s="97">
        <v>7.1162000000000003E-2</v>
      </c>
      <c r="L93" s="97">
        <v>7.0906999999999998E-2</v>
      </c>
      <c r="M93" s="97">
        <v>7.0789000000000005E-2</v>
      </c>
      <c r="N93" s="97">
        <v>7.0553000000000005E-2</v>
      </c>
      <c r="O93" s="97">
        <v>7.0317000000000005E-2</v>
      </c>
      <c r="P93" s="97">
        <v>6.9873000000000005E-2</v>
      </c>
      <c r="Q93" s="97">
        <v>6.9681000000000007E-2</v>
      </c>
      <c r="R93" s="97">
        <v>6.9468000000000002E-2</v>
      </c>
      <c r="S93" s="97">
        <v>6.9444000000000006E-2</v>
      </c>
      <c r="T93" s="97">
        <v>6.9438E-2</v>
      </c>
      <c r="U93" s="97">
        <v>6.9481000000000001E-2</v>
      </c>
      <c r="V93" s="97">
        <v>6.9456000000000004E-2</v>
      </c>
      <c r="W93" s="97">
        <v>6.9376999999999994E-2</v>
      </c>
      <c r="X93" s="97">
        <v>6.9352999999999998E-2</v>
      </c>
      <c r="Y93" s="97">
        <v>6.9419999999999996E-2</v>
      </c>
      <c r="Z93" s="97">
        <v>6.9336999999999996E-2</v>
      </c>
      <c r="AA93" s="97">
        <v>6.9344000000000003E-2</v>
      </c>
      <c r="AB93" s="97">
        <v>6.9265999999999994E-2</v>
      </c>
      <c r="AC93" s="97">
        <v>6.9270999999999999E-2</v>
      </c>
      <c r="AD93" s="97">
        <v>6.9389999999999993E-2</v>
      </c>
      <c r="AE93" s="97">
        <v>6.9554000000000005E-2</v>
      </c>
      <c r="AF93" s="97">
        <v>6.9539000000000004E-2</v>
      </c>
      <c r="AG93" s="93">
        <v>-2.2260000000000001E-3</v>
      </c>
    </row>
    <row r="94" spans="1:33" ht="15" customHeight="1" x14ac:dyDescent="0.35">
      <c r="A94" s="92" t="s">
        <v>2655</v>
      </c>
      <c r="B94" s="95" t="s">
        <v>142</v>
      </c>
      <c r="C94" s="97">
        <v>0.19664200000000001</v>
      </c>
      <c r="D94" s="97">
        <v>0.22250400000000001</v>
      </c>
      <c r="E94" s="97">
        <v>0.24876300000000001</v>
      </c>
      <c r="F94" s="97">
        <v>0.27291300000000002</v>
      </c>
      <c r="G94" s="97">
        <v>0.28973199999999999</v>
      </c>
      <c r="H94" s="97">
        <v>0.30654199999999998</v>
      </c>
      <c r="I94" s="97">
        <v>0.32318000000000002</v>
      </c>
      <c r="J94" s="97">
        <v>0.33524599999999999</v>
      </c>
      <c r="K94" s="97">
        <v>0.34961100000000001</v>
      </c>
      <c r="L94" s="97">
        <v>0.359294</v>
      </c>
      <c r="M94" s="97">
        <v>0.37496800000000002</v>
      </c>
      <c r="N94" s="97">
        <v>0.38534299999999999</v>
      </c>
      <c r="O94" s="97">
        <v>0.39992800000000001</v>
      </c>
      <c r="P94" s="97">
        <v>0.411719</v>
      </c>
      <c r="Q94" s="97">
        <v>0.41669400000000001</v>
      </c>
      <c r="R94" s="97">
        <v>0.43135800000000002</v>
      </c>
      <c r="S94" s="97">
        <v>0.44671</v>
      </c>
      <c r="T94" s="97">
        <v>0.46120499999999998</v>
      </c>
      <c r="U94" s="97">
        <v>0.483238</v>
      </c>
      <c r="V94" s="97">
        <v>0.502668</v>
      </c>
      <c r="W94" s="97">
        <v>0.51812100000000005</v>
      </c>
      <c r="X94" s="97">
        <v>0.53718500000000002</v>
      </c>
      <c r="Y94" s="97">
        <v>0.55872699999999997</v>
      </c>
      <c r="Z94" s="97">
        <v>0.57215899999999997</v>
      </c>
      <c r="AA94" s="97">
        <v>0.59490100000000001</v>
      </c>
      <c r="AB94" s="97">
        <v>0.62314899999999995</v>
      </c>
      <c r="AC94" s="97">
        <v>0.64045399999999997</v>
      </c>
      <c r="AD94" s="97">
        <v>0.66661899999999996</v>
      </c>
      <c r="AE94" s="97">
        <v>0.68904200000000004</v>
      </c>
      <c r="AF94" s="97">
        <v>0.70327600000000001</v>
      </c>
      <c r="AG94" s="93">
        <v>4.4923999999999999E-2</v>
      </c>
    </row>
    <row r="95" spans="1:33" ht="15" customHeight="1" x14ac:dyDescent="0.35">
      <c r="A95" s="92" t="s">
        <v>2654</v>
      </c>
      <c r="B95" s="95" t="s">
        <v>144</v>
      </c>
      <c r="C95" s="97">
        <v>6.888E-3</v>
      </c>
      <c r="D95" s="97">
        <v>6.94E-3</v>
      </c>
      <c r="E95" s="97">
        <v>6.8659999999999997E-3</v>
      </c>
      <c r="F95" s="97">
        <v>6.7790000000000003E-3</v>
      </c>
      <c r="G95" s="97">
        <v>6.7140000000000003E-3</v>
      </c>
      <c r="H95" s="97">
        <v>6.6610000000000003E-3</v>
      </c>
      <c r="I95" s="97">
        <v>6.6379999999999998E-3</v>
      </c>
      <c r="J95" s="97">
        <v>6.6249999999999998E-3</v>
      </c>
      <c r="K95" s="97">
        <v>6.5950000000000002E-3</v>
      </c>
      <c r="L95" s="97">
        <v>6.5900000000000004E-3</v>
      </c>
      <c r="M95" s="97">
        <v>6.587E-3</v>
      </c>
      <c r="N95" s="97">
        <v>6.5719999999999997E-3</v>
      </c>
      <c r="O95" s="97">
        <v>6.5770000000000004E-3</v>
      </c>
      <c r="P95" s="97">
        <v>6.5779999999999996E-3</v>
      </c>
      <c r="Q95" s="97">
        <v>6.561E-3</v>
      </c>
      <c r="R95" s="97">
        <v>6.5370000000000003E-3</v>
      </c>
      <c r="S95" s="97">
        <v>6.5279999999999999E-3</v>
      </c>
      <c r="T95" s="97">
        <v>6.5209999999999999E-3</v>
      </c>
      <c r="U95" s="97">
        <v>6.5300000000000002E-3</v>
      </c>
      <c r="V95" s="97">
        <v>6.5160000000000001E-3</v>
      </c>
      <c r="W95" s="97">
        <v>6.5079999999999999E-3</v>
      </c>
      <c r="X95" s="97">
        <v>6.5279999999999999E-3</v>
      </c>
      <c r="Y95" s="97">
        <v>6.5370000000000003E-3</v>
      </c>
      <c r="Z95" s="97">
        <v>6.5269999999999998E-3</v>
      </c>
      <c r="AA95" s="97">
        <v>6.5209999999999999E-3</v>
      </c>
      <c r="AB95" s="97">
        <v>6.522E-3</v>
      </c>
      <c r="AC95" s="97">
        <v>6.5209999999999999E-3</v>
      </c>
      <c r="AD95" s="97">
        <v>6.5360000000000001E-3</v>
      </c>
      <c r="AE95" s="97">
        <v>6.5399999999999998E-3</v>
      </c>
      <c r="AF95" s="97">
        <v>6.5370000000000003E-3</v>
      </c>
      <c r="AG95" s="93">
        <v>-1.805E-3</v>
      </c>
    </row>
    <row r="96" spans="1:33" ht="15" customHeight="1" x14ac:dyDescent="0.3">
      <c r="A96" s="92" t="s">
        <v>2653</v>
      </c>
      <c r="B96" s="91" t="s">
        <v>146</v>
      </c>
      <c r="C96" s="96">
        <v>0.27771200000000001</v>
      </c>
      <c r="D96" s="96">
        <v>0.30379699999999998</v>
      </c>
      <c r="E96" s="96">
        <v>0.32962399999999997</v>
      </c>
      <c r="F96" s="96">
        <v>0.35322900000000002</v>
      </c>
      <c r="G96" s="96">
        <v>0.36963299999999999</v>
      </c>
      <c r="H96" s="96">
        <v>0.38559100000000002</v>
      </c>
      <c r="I96" s="96">
        <v>0.40166299999999999</v>
      </c>
      <c r="J96" s="96">
        <v>0.41350700000000001</v>
      </c>
      <c r="K96" s="96">
        <v>0.427367</v>
      </c>
      <c r="L96" s="96">
        <v>0.43679099999999998</v>
      </c>
      <c r="M96" s="96">
        <v>0.452345</v>
      </c>
      <c r="N96" s="96">
        <v>0.46246900000000002</v>
      </c>
      <c r="O96" s="96">
        <v>0.47682200000000002</v>
      </c>
      <c r="P96" s="96">
        <v>0.48817100000000002</v>
      </c>
      <c r="Q96" s="96">
        <v>0.49293599999999999</v>
      </c>
      <c r="R96" s="96">
        <v>0.50736300000000001</v>
      </c>
      <c r="S96" s="96">
        <v>0.52268199999999998</v>
      </c>
      <c r="T96" s="96">
        <v>0.537165</v>
      </c>
      <c r="U96" s="96">
        <v>0.559249</v>
      </c>
      <c r="V96" s="96">
        <v>0.57864000000000004</v>
      </c>
      <c r="W96" s="96">
        <v>0.59400600000000003</v>
      </c>
      <c r="X96" s="96">
        <v>0.613066</v>
      </c>
      <c r="Y96" s="96">
        <v>0.63468400000000003</v>
      </c>
      <c r="Z96" s="96">
        <v>0.64802300000000002</v>
      </c>
      <c r="AA96" s="96">
        <v>0.67076599999999997</v>
      </c>
      <c r="AB96" s="96">
        <v>0.69893799999999995</v>
      </c>
      <c r="AC96" s="96">
        <v>0.71624600000000005</v>
      </c>
      <c r="AD96" s="96">
        <v>0.74254600000000004</v>
      </c>
      <c r="AE96" s="96">
        <v>0.76513600000000004</v>
      </c>
      <c r="AF96" s="96">
        <v>0.77935200000000004</v>
      </c>
      <c r="AG96" s="89">
        <v>3.6222999999999998E-2</v>
      </c>
    </row>
    <row r="98" spans="1:33" ht="15" customHeight="1" x14ac:dyDescent="0.3">
      <c r="B98" s="91" t="s">
        <v>147</v>
      </c>
    </row>
    <row r="99" spans="1:33" ht="15" customHeight="1" x14ac:dyDescent="0.35">
      <c r="A99" s="92" t="s">
        <v>2652</v>
      </c>
      <c r="B99" s="95" t="s">
        <v>149</v>
      </c>
      <c r="C99" s="94">
        <v>5890</v>
      </c>
      <c r="D99" s="94">
        <v>6269</v>
      </c>
      <c r="E99" s="94">
        <v>6083</v>
      </c>
      <c r="F99" s="94">
        <v>6065</v>
      </c>
      <c r="G99" s="94">
        <v>6048</v>
      </c>
      <c r="H99" s="94">
        <v>6030</v>
      </c>
      <c r="I99" s="94">
        <v>6012</v>
      </c>
      <c r="J99" s="94">
        <v>5994</v>
      </c>
      <c r="K99" s="94">
        <v>5976</v>
      </c>
      <c r="L99" s="94">
        <v>5958</v>
      </c>
      <c r="M99" s="94">
        <v>5940</v>
      </c>
      <c r="N99" s="94">
        <v>5922</v>
      </c>
      <c r="O99" s="94">
        <v>5904</v>
      </c>
      <c r="P99" s="94">
        <v>5886</v>
      </c>
      <c r="Q99" s="94">
        <v>5868</v>
      </c>
      <c r="R99" s="94">
        <v>5850</v>
      </c>
      <c r="S99" s="94">
        <v>5832</v>
      </c>
      <c r="T99" s="94">
        <v>5814</v>
      </c>
      <c r="U99" s="94">
        <v>5795</v>
      </c>
      <c r="V99" s="94">
        <v>5777</v>
      </c>
      <c r="W99" s="94">
        <v>5759</v>
      </c>
      <c r="X99" s="94">
        <v>5741</v>
      </c>
      <c r="Y99" s="94">
        <v>5723</v>
      </c>
      <c r="Z99" s="94">
        <v>5704</v>
      </c>
      <c r="AA99" s="94">
        <v>5686</v>
      </c>
      <c r="AB99" s="94">
        <v>5668</v>
      </c>
      <c r="AC99" s="94">
        <v>5650</v>
      </c>
      <c r="AD99" s="94">
        <v>5632</v>
      </c>
      <c r="AE99" s="94">
        <v>5614</v>
      </c>
      <c r="AF99" s="94">
        <v>5595</v>
      </c>
      <c r="AG99" s="93">
        <v>-1.7700000000000001E-3</v>
      </c>
    </row>
    <row r="100" spans="1:33" ht="15" customHeight="1" x14ac:dyDescent="0.35">
      <c r="A100" s="92" t="s">
        <v>2651</v>
      </c>
      <c r="B100" s="95" t="s">
        <v>151</v>
      </c>
      <c r="C100" s="94">
        <v>5356</v>
      </c>
      <c r="D100" s="94">
        <v>5620</v>
      </c>
      <c r="E100" s="94">
        <v>5448</v>
      </c>
      <c r="F100" s="94">
        <v>5431</v>
      </c>
      <c r="G100" s="94">
        <v>5414</v>
      </c>
      <c r="H100" s="94">
        <v>5397</v>
      </c>
      <c r="I100" s="94">
        <v>5380</v>
      </c>
      <c r="J100" s="94">
        <v>5363</v>
      </c>
      <c r="K100" s="94">
        <v>5347</v>
      </c>
      <c r="L100" s="94">
        <v>5330</v>
      </c>
      <c r="M100" s="94">
        <v>5313</v>
      </c>
      <c r="N100" s="94">
        <v>5296</v>
      </c>
      <c r="O100" s="94">
        <v>5279</v>
      </c>
      <c r="P100" s="94">
        <v>5262</v>
      </c>
      <c r="Q100" s="94">
        <v>5245</v>
      </c>
      <c r="R100" s="94">
        <v>5228</v>
      </c>
      <c r="S100" s="94">
        <v>5211</v>
      </c>
      <c r="T100" s="94">
        <v>5194</v>
      </c>
      <c r="U100" s="94">
        <v>5177</v>
      </c>
      <c r="V100" s="94">
        <v>5160</v>
      </c>
      <c r="W100" s="94">
        <v>5143</v>
      </c>
      <c r="X100" s="94">
        <v>5127</v>
      </c>
      <c r="Y100" s="94">
        <v>5110</v>
      </c>
      <c r="Z100" s="94">
        <v>5093</v>
      </c>
      <c r="AA100" s="94">
        <v>5076</v>
      </c>
      <c r="AB100" s="94">
        <v>5059</v>
      </c>
      <c r="AC100" s="94">
        <v>5042</v>
      </c>
      <c r="AD100" s="94">
        <v>5025</v>
      </c>
      <c r="AE100" s="94">
        <v>5008</v>
      </c>
      <c r="AF100" s="94">
        <v>4991</v>
      </c>
      <c r="AG100" s="93">
        <v>-2.431E-3</v>
      </c>
    </row>
    <row r="101" spans="1:33" ht="14.5" x14ac:dyDescent="0.35">
      <c r="A101" s="92" t="s">
        <v>2650</v>
      </c>
      <c r="B101" s="95" t="s">
        <v>153</v>
      </c>
      <c r="C101" s="94">
        <v>5925</v>
      </c>
      <c r="D101" s="94">
        <v>6246</v>
      </c>
      <c r="E101" s="94">
        <v>6075</v>
      </c>
      <c r="F101" s="94">
        <v>6065</v>
      </c>
      <c r="G101" s="94">
        <v>6055</v>
      </c>
      <c r="H101" s="94">
        <v>6045</v>
      </c>
      <c r="I101" s="94">
        <v>6035</v>
      </c>
      <c r="J101" s="94">
        <v>6026</v>
      </c>
      <c r="K101" s="94">
        <v>6016</v>
      </c>
      <c r="L101" s="94">
        <v>6006</v>
      </c>
      <c r="M101" s="94">
        <v>5996</v>
      </c>
      <c r="N101" s="94">
        <v>5986</v>
      </c>
      <c r="O101" s="94">
        <v>5976</v>
      </c>
      <c r="P101" s="94">
        <v>5966</v>
      </c>
      <c r="Q101" s="94">
        <v>5956</v>
      </c>
      <c r="R101" s="94">
        <v>5946</v>
      </c>
      <c r="S101" s="94">
        <v>5936</v>
      </c>
      <c r="T101" s="94">
        <v>5926</v>
      </c>
      <c r="U101" s="94">
        <v>5916</v>
      </c>
      <c r="V101" s="94">
        <v>5906</v>
      </c>
      <c r="W101" s="94">
        <v>5896</v>
      </c>
      <c r="X101" s="94">
        <v>5886</v>
      </c>
      <c r="Y101" s="94">
        <v>5876</v>
      </c>
      <c r="Z101" s="94">
        <v>5867</v>
      </c>
      <c r="AA101" s="94">
        <v>5857</v>
      </c>
      <c r="AB101" s="94">
        <v>5847</v>
      </c>
      <c r="AC101" s="94">
        <v>5837</v>
      </c>
      <c r="AD101" s="94">
        <v>5827</v>
      </c>
      <c r="AE101" s="94">
        <v>5817</v>
      </c>
      <c r="AF101" s="94">
        <v>5807</v>
      </c>
      <c r="AG101" s="93">
        <v>-6.9300000000000004E-4</v>
      </c>
    </row>
    <row r="102" spans="1:33" ht="14.5" x14ac:dyDescent="0.35">
      <c r="A102" s="92" t="s">
        <v>2649</v>
      </c>
      <c r="B102" s="95" t="s">
        <v>155</v>
      </c>
      <c r="C102" s="94">
        <v>6356</v>
      </c>
      <c r="D102" s="94">
        <v>6592</v>
      </c>
      <c r="E102" s="94">
        <v>6430</v>
      </c>
      <c r="F102" s="94">
        <v>6425</v>
      </c>
      <c r="G102" s="94">
        <v>6419</v>
      </c>
      <c r="H102" s="94">
        <v>6413</v>
      </c>
      <c r="I102" s="94">
        <v>6407</v>
      </c>
      <c r="J102" s="94">
        <v>6401</v>
      </c>
      <c r="K102" s="94">
        <v>6394</v>
      </c>
      <c r="L102" s="94">
        <v>6388</v>
      </c>
      <c r="M102" s="94">
        <v>6381</v>
      </c>
      <c r="N102" s="94">
        <v>6375</v>
      </c>
      <c r="O102" s="94">
        <v>6368</v>
      </c>
      <c r="P102" s="94">
        <v>6361</v>
      </c>
      <c r="Q102" s="94">
        <v>6355</v>
      </c>
      <c r="R102" s="94">
        <v>6348</v>
      </c>
      <c r="S102" s="94">
        <v>6341</v>
      </c>
      <c r="T102" s="94">
        <v>6334</v>
      </c>
      <c r="U102" s="94">
        <v>6328</v>
      </c>
      <c r="V102" s="94">
        <v>6321</v>
      </c>
      <c r="W102" s="94">
        <v>6314</v>
      </c>
      <c r="X102" s="94">
        <v>6307</v>
      </c>
      <c r="Y102" s="94">
        <v>6300</v>
      </c>
      <c r="Z102" s="94">
        <v>6293</v>
      </c>
      <c r="AA102" s="94">
        <v>6286</v>
      </c>
      <c r="AB102" s="94">
        <v>6279</v>
      </c>
      <c r="AC102" s="94">
        <v>6272</v>
      </c>
      <c r="AD102" s="94">
        <v>6265</v>
      </c>
      <c r="AE102" s="94">
        <v>6257</v>
      </c>
      <c r="AF102" s="94">
        <v>6250</v>
      </c>
      <c r="AG102" s="93">
        <v>-5.8E-4</v>
      </c>
    </row>
    <row r="103" spans="1:33" ht="15" customHeight="1" x14ac:dyDescent="0.35">
      <c r="A103" s="92" t="s">
        <v>2648</v>
      </c>
      <c r="B103" s="95" t="s">
        <v>157</v>
      </c>
      <c r="C103" s="94">
        <v>2454</v>
      </c>
      <c r="D103" s="94">
        <v>2507</v>
      </c>
      <c r="E103" s="94">
        <v>2434</v>
      </c>
      <c r="F103" s="94">
        <v>2420</v>
      </c>
      <c r="G103" s="94">
        <v>2406</v>
      </c>
      <c r="H103" s="94">
        <v>2393</v>
      </c>
      <c r="I103" s="94">
        <v>2379</v>
      </c>
      <c r="J103" s="94">
        <v>2366</v>
      </c>
      <c r="K103" s="94">
        <v>2352</v>
      </c>
      <c r="L103" s="94">
        <v>2338</v>
      </c>
      <c r="M103" s="94">
        <v>2325</v>
      </c>
      <c r="N103" s="94">
        <v>2311</v>
      </c>
      <c r="O103" s="94">
        <v>2297</v>
      </c>
      <c r="P103" s="94">
        <v>2284</v>
      </c>
      <c r="Q103" s="94">
        <v>2270</v>
      </c>
      <c r="R103" s="94">
        <v>2257</v>
      </c>
      <c r="S103" s="94">
        <v>2243</v>
      </c>
      <c r="T103" s="94">
        <v>2230</v>
      </c>
      <c r="U103" s="94">
        <v>2216</v>
      </c>
      <c r="V103" s="94">
        <v>2203</v>
      </c>
      <c r="W103" s="94">
        <v>2189</v>
      </c>
      <c r="X103" s="94">
        <v>2176</v>
      </c>
      <c r="Y103" s="94">
        <v>2162</v>
      </c>
      <c r="Z103" s="94">
        <v>2149</v>
      </c>
      <c r="AA103" s="94">
        <v>2136</v>
      </c>
      <c r="AB103" s="94">
        <v>2122</v>
      </c>
      <c r="AC103" s="94">
        <v>2109</v>
      </c>
      <c r="AD103" s="94">
        <v>2096</v>
      </c>
      <c r="AE103" s="94">
        <v>2082</v>
      </c>
      <c r="AF103" s="94">
        <v>2069</v>
      </c>
      <c r="AG103" s="93">
        <v>-5.8669999999999998E-3</v>
      </c>
    </row>
    <row r="104" spans="1:33" ht="15" customHeight="1" x14ac:dyDescent="0.35">
      <c r="A104" s="92" t="s">
        <v>2647</v>
      </c>
      <c r="B104" s="95" t="s">
        <v>159</v>
      </c>
      <c r="C104" s="94">
        <v>3318</v>
      </c>
      <c r="D104" s="94">
        <v>3345</v>
      </c>
      <c r="E104" s="94">
        <v>3230</v>
      </c>
      <c r="F104" s="94">
        <v>3221</v>
      </c>
      <c r="G104" s="94">
        <v>3211</v>
      </c>
      <c r="H104" s="94">
        <v>3202</v>
      </c>
      <c r="I104" s="94">
        <v>3192</v>
      </c>
      <c r="J104" s="94">
        <v>3183</v>
      </c>
      <c r="K104" s="94">
        <v>3173</v>
      </c>
      <c r="L104" s="94">
        <v>3163</v>
      </c>
      <c r="M104" s="94">
        <v>3154</v>
      </c>
      <c r="N104" s="94">
        <v>3144</v>
      </c>
      <c r="O104" s="94">
        <v>3134</v>
      </c>
      <c r="P104" s="94">
        <v>3124</v>
      </c>
      <c r="Q104" s="94">
        <v>3114</v>
      </c>
      <c r="R104" s="94">
        <v>3104</v>
      </c>
      <c r="S104" s="94">
        <v>3094</v>
      </c>
      <c r="T104" s="94">
        <v>3084</v>
      </c>
      <c r="U104" s="94">
        <v>3074</v>
      </c>
      <c r="V104" s="94">
        <v>3064</v>
      </c>
      <c r="W104" s="94">
        <v>3054</v>
      </c>
      <c r="X104" s="94">
        <v>3044</v>
      </c>
      <c r="Y104" s="94">
        <v>3034</v>
      </c>
      <c r="Z104" s="94">
        <v>3024</v>
      </c>
      <c r="AA104" s="94">
        <v>3014</v>
      </c>
      <c r="AB104" s="94">
        <v>3004</v>
      </c>
      <c r="AC104" s="94">
        <v>2994</v>
      </c>
      <c r="AD104" s="94">
        <v>2984</v>
      </c>
      <c r="AE104" s="94">
        <v>2974</v>
      </c>
      <c r="AF104" s="94">
        <v>2963</v>
      </c>
      <c r="AG104" s="93">
        <v>-3.8939999999999999E-3</v>
      </c>
    </row>
    <row r="105" spans="1:33" ht="15" customHeight="1" x14ac:dyDescent="0.35">
      <c r="A105" s="92" t="s">
        <v>2646</v>
      </c>
      <c r="B105" s="95" t="s">
        <v>161</v>
      </c>
      <c r="C105" s="94">
        <v>2149</v>
      </c>
      <c r="D105" s="94">
        <v>2015</v>
      </c>
      <c r="E105" s="94">
        <v>1961</v>
      </c>
      <c r="F105" s="94">
        <v>1953</v>
      </c>
      <c r="G105" s="94">
        <v>1945</v>
      </c>
      <c r="H105" s="94">
        <v>1937</v>
      </c>
      <c r="I105" s="94">
        <v>1929</v>
      </c>
      <c r="J105" s="94">
        <v>1921</v>
      </c>
      <c r="K105" s="94">
        <v>1913</v>
      </c>
      <c r="L105" s="94">
        <v>1905</v>
      </c>
      <c r="M105" s="94">
        <v>1897</v>
      </c>
      <c r="N105" s="94">
        <v>1889</v>
      </c>
      <c r="O105" s="94">
        <v>1881</v>
      </c>
      <c r="P105" s="94">
        <v>1873</v>
      </c>
      <c r="Q105" s="94">
        <v>1866</v>
      </c>
      <c r="R105" s="94">
        <v>1858</v>
      </c>
      <c r="S105" s="94">
        <v>1850</v>
      </c>
      <c r="T105" s="94">
        <v>1842</v>
      </c>
      <c r="U105" s="94">
        <v>1834</v>
      </c>
      <c r="V105" s="94">
        <v>1827</v>
      </c>
      <c r="W105" s="94">
        <v>1819</v>
      </c>
      <c r="X105" s="94">
        <v>1811</v>
      </c>
      <c r="Y105" s="94">
        <v>1804</v>
      </c>
      <c r="Z105" s="94">
        <v>1796</v>
      </c>
      <c r="AA105" s="94">
        <v>1788</v>
      </c>
      <c r="AB105" s="94">
        <v>1781</v>
      </c>
      <c r="AC105" s="94">
        <v>1773</v>
      </c>
      <c r="AD105" s="94">
        <v>1765</v>
      </c>
      <c r="AE105" s="94">
        <v>1758</v>
      </c>
      <c r="AF105" s="94">
        <v>1750</v>
      </c>
      <c r="AG105" s="93">
        <v>-7.0569999999999999E-3</v>
      </c>
    </row>
    <row r="106" spans="1:33" ht="15" customHeight="1" x14ac:dyDescent="0.35">
      <c r="A106" s="92" t="s">
        <v>2645</v>
      </c>
      <c r="B106" s="95" t="s">
        <v>163</v>
      </c>
      <c r="C106" s="94">
        <v>4954</v>
      </c>
      <c r="D106" s="94">
        <v>4959</v>
      </c>
      <c r="E106" s="94">
        <v>4809</v>
      </c>
      <c r="F106" s="94">
        <v>4797</v>
      </c>
      <c r="G106" s="94">
        <v>4785</v>
      </c>
      <c r="H106" s="94">
        <v>4773</v>
      </c>
      <c r="I106" s="94">
        <v>4761</v>
      </c>
      <c r="J106" s="94">
        <v>4748</v>
      </c>
      <c r="K106" s="94">
        <v>4736</v>
      </c>
      <c r="L106" s="94">
        <v>4723</v>
      </c>
      <c r="M106" s="94">
        <v>4710</v>
      </c>
      <c r="N106" s="94">
        <v>4698</v>
      </c>
      <c r="O106" s="94">
        <v>4685</v>
      </c>
      <c r="P106" s="94">
        <v>4672</v>
      </c>
      <c r="Q106" s="94">
        <v>4659</v>
      </c>
      <c r="R106" s="94">
        <v>4645</v>
      </c>
      <c r="S106" s="94">
        <v>4632</v>
      </c>
      <c r="T106" s="94">
        <v>4619</v>
      </c>
      <c r="U106" s="94">
        <v>4606</v>
      </c>
      <c r="V106" s="94">
        <v>4593</v>
      </c>
      <c r="W106" s="94">
        <v>4580</v>
      </c>
      <c r="X106" s="94">
        <v>4566</v>
      </c>
      <c r="Y106" s="94">
        <v>4553</v>
      </c>
      <c r="Z106" s="94">
        <v>4540</v>
      </c>
      <c r="AA106" s="94">
        <v>4527</v>
      </c>
      <c r="AB106" s="94">
        <v>4514</v>
      </c>
      <c r="AC106" s="94">
        <v>4500</v>
      </c>
      <c r="AD106" s="94">
        <v>4487</v>
      </c>
      <c r="AE106" s="94">
        <v>4474</v>
      </c>
      <c r="AF106" s="94">
        <v>4461</v>
      </c>
      <c r="AG106" s="93">
        <v>-3.6080000000000001E-3</v>
      </c>
    </row>
    <row r="107" spans="1:33" ht="15" customHeight="1" x14ac:dyDescent="0.35">
      <c r="A107" s="92" t="s">
        <v>2644</v>
      </c>
      <c r="B107" s="95" t="s">
        <v>165</v>
      </c>
      <c r="C107" s="94">
        <v>3424</v>
      </c>
      <c r="D107" s="94">
        <v>3480</v>
      </c>
      <c r="E107" s="94">
        <v>3247</v>
      </c>
      <c r="F107" s="94">
        <v>3237</v>
      </c>
      <c r="G107" s="94">
        <v>3228</v>
      </c>
      <c r="H107" s="94">
        <v>3218</v>
      </c>
      <c r="I107" s="94">
        <v>3208</v>
      </c>
      <c r="J107" s="94">
        <v>3198</v>
      </c>
      <c r="K107" s="94">
        <v>3188</v>
      </c>
      <c r="L107" s="94">
        <v>3178</v>
      </c>
      <c r="M107" s="94">
        <v>3167</v>
      </c>
      <c r="N107" s="94">
        <v>3157</v>
      </c>
      <c r="O107" s="94">
        <v>3147</v>
      </c>
      <c r="P107" s="94">
        <v>3137</v>
      </c>
      <c r="Q107" s="94">
        <v>3127</v>
      </c>
      <c r="R107" s="94">
        <v>3116</v>
      </c>
      <c r="S107" s="94">
        <v>3106</v>
      </c>
      <c r="T107" s="94">
        <v>3096</v>
      </c>
      <c r="U107" s="94">
        <v>3085</v>
      </c>
      <c r="V107" s="94">
        <v>3075</v>
      </c>
      <c r="W107" s="94">
        <v>3065</v>
      </c>
      <c r="X107" s="94">
        <v>3054</v>
      </c>
      <c r="Y107" s="94">
        <v>3044</v>
      </c>
      <c r="Z107" s="94">
        <v>3034</v>
      </c>
      <c r="AA107" s="94">
        <v>3023</v>
      </c>
      <c r="AB107" s="94">
        <v>3013</v>
      </c>
      <c r="AC107" s="94">
        <v>3003</v>
      </c>
      <c r="AD107" s="94">
        <v>2992</v>
      </c>
      <c r="AE107" s="94">
        <v>2982</v>
      </c>
      <c r="AF107" s="94">
        <v>2972</v>
      </c>
      <c r="AG107" s="93">
        <v>-4.8700000000000002E-3</v>
      </c>
    </row>
    <row r="108" spans="1:33" ht="15" customHeight="1" x14ac:dyDescent="0.3">
      <c r="A108" s="92" t="s">
        <v>2643</v>
      </c>
      <c r="B108" s="91" t="s">
        <v>167</v>
      </c>
      <c r="C108" s="90">
        <v>4071.6909179999998</v>
      </c>
      <c r="D108" s="90">
        <v>4181.7221680000002</v>
      </c>
      <c r="E108" s="90">
        <v>4034.5815429999998</v>
      </c>
      <c r="F108" s="90">
        <v>4018.0844729999999</v>
      </c>
      <c r="G108" s="90">
        <v>4001.7241210000002</v>
      </c>
      <c r="H108" s="90">
        <v>3985.461914</v>
      </c>
      <c r="I108" s="90">
        <v>3968.9868160000001</v>
      </c>
      <c r="J108" s="90">
        <v>3952.8735350000002</v>
      </c>
      <c r="K108" s="90">
        <v>3936.5283199999999</v>
      </c>
      <c r="L108" s="90">
        <v>3920.0695799999999</v>
      </c>
      <c r="M108" s="90">
        <v>3903.6596679999998</v>
      </c>
      <c r="N108" s="90">
        <v>3887.3146969999998</v>
      </c>
      <c r="O108" s="90">
        <v>3870.8469239999999</v>
      </c>
      <c r="P108" s="90">
        <v>3854.6083979999999</v>
      </c>
      <c r="Q108" s="90">
        <v>3838.3696289999998</v>
      </c>
      <c r="R108" s="90">
        <v>3821.8940429999998</v>
      </c>
      <c r="S108" s="90">
        <v>3805.4582519999999</v>
      </c>
      <c r="T108" s="90">
        <v>3789.2309570000002</v>
      </c>
      <c r="U108" s="90">
        <v>3772.6367190000001</v>
      </c>
      <c r="V108" s="90">
        <v>3756.5234380000002</v>
      </c>
      <c r="W108" s="90">
        <v>3740.0515140000002</v>
      </c>
      <c r="X108" s="90">
        <v>3723.6352539999998</v>
      </c>
      <c r="Y108" s="90">
        <v>3707.274414</v>
      </c>
      <c r="Z108" s="90">
        <v>3691.0676269999999</v>
      </c>
      <c r="AA108" s="90">
        <v>3674.6040039999998</v>
      </c>
      <c r="AB108" s="90">
        <v>3658.2709960000002</v>
      </c>
      <c r="AC108" s="90">
        <v>3642.0083009999998</v>
      </c>
      <c r="AD108" s="90">
        <v>3625.7851559999999</v>
      </c>
      <c r="AE108" s="90">
        <v>3609.7651369999999</v>
      </c>
      <c r="AF108" s="90">
        <v>3593.8833009999998</v>
      </c>
      <c r="AG108" s="89">
        <v>-4.2950000000000002E-3</v>
      </c>
    </row>
    <row r="110" spans="1:33" ht="15" customHeight="1" x14ac:dyDescent="0.3">
      <c r="B110" s="91" t="s">
        <v>168</v>
      </c>
    </row>
    <row r="111" spans="1:33" ht="15" customHeight="1" x14ac:dyDescent="0.35">
      <c r="A111" s="92" t="s">
        <v>2642</v>
      </c>
      <c r="B111" s="95" t="s">
        <v>149</v>
      </c>
      <c r="C111" s="94">
        <v>600</v>
      </c>
      <c r="D111" s="94">
        <v>485</v>
      </c>
      <c r="E111" s="94">
        <v>598</v>
      </c>
      <c r="F111" s="94">
        <v>604</v>
      </c>
      <c r="G111" s="94">
        <v>611</v>
      </c>
      <c r="H111" s="94">
        <v>618</v>
      </c>
      <c r="I111" s="94">
        <v>624</v>
      </c>
      <c r="J111" s="94">
        <v>631</v>
      </c>
      <c r="K111" s="94">
        <v>638</v>
      </c>
      <c r="L111" s="94">
        <v>644</v>
      </c>
      <c r="M111" s="94">
        <v>651</v>
      </c>
      <c r="N111" s="94">
        <v>658</v>
      </c>
      <c r="O111" s="94">
        <v>664</v>
      </c>
      <c r="P111" s="94">
        <v>671</v>
      </c>
      <c r="Q111" s="94">
        <v>678</v>
      </c>
      <c r="R111" s="94">
        <v>685</v>
      </c>
      <c r="S111" s="94">
        <v>691</v>
      </c>
      <c r="T111" s="94">
        <v>698</v>
      </c>
      <c r="U111" s="94">
        <v>705</v>
      </c>
      <c r="V111" s="94">
        <v>712</v>
      </c>
      <c r="W111" s="94">
        <v>718</v>
      </c>
      <c r="X111" s="94">
        <v>725</v>
      </c>
      <c r="Y111" s="94">
        <v>732</v>
      </c>
      <c r="Z111" s="94">
        <v>739</v>
      </c>
      <c r="AA111" s="94">
        <v>745</v>
      </c>
      <c r="AB111" s="94">
        <v>752</v>
      </c>
      <c r="AC111" s="94">
        <v>759</v>
      </c>
      <c r="AD111" s="94">
        <v>766</v>
      </c>
      <c r="AE111" s="94">
        <v>772</v>
      </c>
      <c r="AF111" s="94">
        <v>779</v>
      </c>
      <c r="AG111" s="93">
        <v>9.0430000000000007E-3</v>
      </c>
    </row>
    <row r="112" spans="1:33" ht="15" customHeight="1" x14ac:dyDescent="0.35">
      <c r="A112" s="92" t="s">
        <v>2641</v>
      </c>
      <c r="B112" s="185" t="s">
        <v>151</v>
      </c>
      <c r="C112" s="186">
        <v>835</v>
      </c>
      <c r="D112" s="186">
        <v>682</v>
      </c>
      <c r="E112" s="186">
        <v>839</v>
      </c>
      <c r="F112" s="186">
        <v>847</v>
      </c>
      <c r="G112" s="186">
        <v>856</v>
      </c>
      <c r="H112" s="186">
        <v>864</v>
      </c>
      <c r="I112" s="186">
        <v>872</v>
      </c>
      <c r="J112" s="186">
        <v>881</v>
      </c>
      <c r="K112" s="186">
        <v>889</v>
      </c>
      <c r="L112" s="186">
        <v>897</v>
      </c>
      <c r="M112" s="186">
        <v>906</v>
      </c>
      <c r="N112" s="186">
        <v>914</v>
      </c>
      <c r="O112" s="186">
        <v>922</v>
      </c>
      <c r="P112" s="186">
        <v>931</v>
      </c>
      <c r="Q112" s="186">
        <v>939</v>
      </c>
      <c r="R112" s="186">
        <v>947</v>
      </c>
      <c r="S112" s="186">
        <v>956</v>
      </c>
      <c r="T112" s="186">
        <v>964</v>
      </c>
      <c r="U112" s="186">
        <v>972</v>
      </c>
      <c r="V112" s="186">
        <v>981</v>
      </c>
      <c r="W112" s="186">
        <v>989</v>
      </c>
      <c r="X112" s="186">
        <v>998</v>
      </c>
      <c r="Y112" s="186">
        <v>1006</v>
      </c>
      <c r="Z112" s="186">
        <v>1014</v>
      </c>
      <c r="AA112" s="186">
        <v>1023</v>
      </c>
      <c r="AB112" s="186">
        <v>1031</v>
      </c>
      <c r="AC112" s="186">
        <v>1039</v>
      </c>
      <c r="AD112" s="186">
        <v>1048</v>
      </c>
      <c r="AE112" s="186">
        <v>1056</v>
      </c>
      <c r="AF112" s="186">
        <v>1064</v>
      </c>
      <c r="AG112" s="187">
        <v>8.3920000000000002E-3</v>
      </c>
    </row>
    <row r="113" spans="1:33" ht="15" customHeight="1" x14ac:dyDescent="0.35">
      <c r="A113" s="92" t="s">
        <v>2640</v>
      </c>
      <c r="B113" s="95" t="s">
        <v>153</v>
      </c>
      <c r="C113" s="94">
        <v>909</v>
      </c>
      <c r="D113" s="94">
        <v>733</v>
      </c>
      <c r="E113" s="94">
        <v>856</v>
      </c>
      <c r="F113" s="94">
        <v>862</v>
      </c>
      <c r="G113" s="94">
        <v>868</v>
      </c>
      <c r="H113" s="94">
        <v>873</v>
      </c>
      <c r="I113" s="94">
        <v>879</v>
      </c>
      <c r="J113" s="94">
        <v>885</v>
      </c>
      <c r="K113" s="94">
        <v>891</v>
      </c>
      <c r="L113" s="94">
        <v>897</v>
      </c>
      <c r="M113" s="94">
        <v>902</v>
      </c>
      <c r="N113" s="94">
        <v>908</v>
      </c>
      <c r="O113" s="94">
        <v>914</v>
      </c>
      <c r="P113" s="94">
        <v>920</v>
      </c>
      <c r="Q113" s="94">
        <v>926</v>
      </c>
      <c r="R113" s="94">
        <v>931</v>
      </c>
      <c r="S113" s="94">
        <v>937</v>
      </c>
      <c r="T113" s="94">
        <v>943</v>
      </c>
      <c r="U113" s="94">
        <v>949</v>
      </c>
      <c r="V113" s="94">
        <v>955</v>
      </c>
      <c r="W113" s="94">
        <v>960</v>
      </c>
      <c r="X113" s="94">
        <v>966</v>
      </c>
      <c r="Y113" s="94">
        <v>972</v>
      </c>
      <c r="Z113" s="94">
        <v>978</v>
      </c>
      <c r="AA113" s="94">
        <v>984</v>
      </c>
      <c r="AB113" s="94">
        <v>990</v>
      </c>
      <c r="AC113" s="94">
        <v>995</v>
      </c>
      <c r="AD113" s="94">
        <v>1001</v>
      </c>
      <c r="AE113" s="94">
        <v>1007</v>
      </c>
      <c r="AF113" s="94">
        <v>1013</v>
      </c>
      <c r="AG113" s="93">
        <v>3.7420000000000001E-3</v>
      </c>
    </row>
    <row r="114" spans="1:33" ht="15" customHeight="1" x14ac:dyDescent="0.35">
      <c r="A114" s="92" t="s">
        <v>2639</v>
      </c>
      <c r="B114" s="95" t="s">
        <v>155</v>
      </c>
      <c r="C114" s="94">
        <v>1089</v>
      </c>
      <c r="D114" s="94">
        <v>918</v>
      </c>
      <c r="E114" s="94">
        <v>1036</v>
      </c>
      <c r="F114" s="94">
        <v>1042</v>
      </c>
      <c r="G114" s="94">
        <v>1047</v>
      </c>
      <c r="H114" s="94">
        <v>1053</v>
      </c>
      <c r="I114" s="94">
        <v>1058</v>
      </c>
      <c r="J114" s="94">
        <v>1064</v>
      </c>
      <c r="K114" s="94">
        <v>1070</v>
      </c>
      <c r="L114" s="94">
        <v>1076</v>
      </c>
      <c r="M114" s="94">
        <v>1081</v>
      </c>
      <c r="N114" s="94">
        <v>1087</v>
      </c>
      <c r="O114" s="94">
        <v>1093</v>
      </c>
      <c r="P114" s="94">
        <v>1099</v>
      </c>
      <c r="Q114" s="94">
        <v>1104</v>
      </c>
      <c r="R114" s="94">
        <v>1110</v>
      </c>
      <c r="S114" s="94">
        <v>1116</v>
      </c>
      <c r="T114" s="94">
        <v>1122</v>
      </c>
      <c r="U114" s="94">
        <v>1128</v>
      </c>
      <c r="V114" s="94">
        <v>1134</v>
      </c>
      <c r="W114" s="94">
        <v>1139</v>
      </c>
      <c r="X114" s="94">
        <v>1145</v>
      </c>
      <c r="Y114" s="94">
        <v>1151</v>
      </c>
      <c r="Z114" s="94">
        <v>1157</v>
      </c>
      <c r="AA114" s="94">
        <v>1163</v>
      </c>
      <c r="AB114" s="94">
        <v>1169</v>
      </c>
      <c r="AC114" s="94">
        <v>1175</v>
      </c>
      <c r="AD114" s="94">
        <v>1180</v>
      </c>
      <c r="AE114" s="94">
        <v>1186</v>
      </c>
      <c r="AF114" s="94">
        <v>1192</v>
      </c>
      <c r="AG114" s="93">
        <v>3.1210000000000001E-3</v>
      </c>
    </row>
    <row r="115" spans="1:33" ht="15" customHeight="1" x14ac:dyDescent="0.35">
      <c r="A115" s="92" t="s">
        <v>2638</v>
      </c>
      <c r="B115" s="95" t="s">
        <v>157</v>
      </c>
      <c r="C115" s="94">
        <v>2213</v>
      </c>
      <c r="D115" s="94">
        <v>2190</v>
      </c>
      <c r="E115" s="94">
        <v>2386</v>
      </c>
      <c r="F115" s="94">
        <v>2402</v>
      </c>
      <c r="G115" s="94">
        <v>2418</v>
      </c>
      <c r="H115" s="94">
        <v>2435</v>
      </c>
      <c r="I115" s="94">
        <v>2451</v>
      </c>
      <c r="J115" s="94">
        <v>2467</v>
      </c>
      <c r="K115" s="94">
        <v>2483</v>
      </c>
      <c r="L115" s="94">
        <v>2500</v>
      </c>
      <c r="M115" s="94">
        <v>2516</v>
      </c>
      <c r="N115" s="94">
        <v>2532</v>
      </c>
      <c r="O115" s="94">
        <v>2549</v>
      </c>
      <c r="P115" s="94">
        <v>2565</v>
      </c>
      <c r="Q115" s="94">
        <v>2582</v>
      </c>
      <c r="R115" s="94">
        <v>2598</v>
      </c>
      <c r="S115" s="94">
        <v>2615</v>
      </c>
      <c r="T115" s="94">
        <v>2631</v>
      </c>
      <c r="U115" s="94">
        <v>2648</v>
      </c>
      <c r="V115" s="94">
        <v>2664</v>
      </c>
      <c r="W115" s="94">
        <v>2681</v>
      </c>
      <c r="X115" s="94">
        <v>2698</v>
      </c>
      <c r="Y115" s="94">
        <v>2714</v>
      </c>
      <c r="Z115" s="94">
        <v>2731</v>
      </c>
      <c r="AA115" s="94">
        <v>2748</v>
      </c>
      <c r="AB115" s="94">
        <v>2764</v>
      </c>
      <c r="AC115" s="94">
        <v>2781</v>
      </c>
      <c r="AD115" s="94">
        <v>2798</v>
      </c>
      <c r="AE115" s="94">
        <v>2815</v>
      </c>
      <c r="AF115" s="94">
        <v>2831</v>
      </c>
      <c r="AG115" s="93">
        <v>8.5290000000000001E-3</v>
      </c>
    </row>
    <row r="116" spans="1:33" ht="15" customHeight="1" x14ac:dyDescent="0.35">
      <c r="A116" s="92" t="s">
        <v>2637</v>
      </c>
      <c r="B116" s="95" t="s">
        <v>159</v>
      </c>
      <c r="C116" s="94">
        <v>1605</v>
      </c>
      <c r="D116" s="94">
        <v>1628</v>
      </c>
      <c r="E116" s="94">
        <v>1803</v>
      </c>
      <c r="F116" s="94">
        <v>1813</v>
      </c>
      <c r="G116" s="94">
        <v>1822</v>
      </c>
      <c r="H116" s="94">
        <v>1832</v>
      </c>
      <c r="I116" s="94">
        <v>1841</v>
      </c>
      <c r="J116" s="94">
        <v>1851</v>
      </c>
      <c r="K116" s="94">
        <v>1860</v>
      </c>
      <c r="L116" s="94">
        <v>1870</v>
      </c>
      <c r="M116" s="94">
        <v>1880</v>
      </c>
      <c r="N116" s="94">
        <v>1889</v>
      </c>
      <c r="O116" s="94">
        <v>1899</v>
      </c>
      <c r="P116" s="94">
        <v>1909</v>
      </c>
      <c r="Q116" s="94">
        <v>1919</v>
      </c>
      <c r="R116" s="94">
        <v>1928</v>
      </c>
      <c r="S116" s="94">
        <v>1938</v>
      </c>
      <c r="T116" s="94">
        <v>1948</v>
      </c>
      <c r="U116" s="94">
        <v>1958</v>
      </c>
      <c r="V116" s="94">
        <v>1967</v>
      </c>
      <c r="W116" s="94">
        <v>1977</v>
      </c>
      <c r="X116" s="94">
        <v>1987</v>
      </c>
      <c r="Y116" s="94">
        <v>1997</v>
      </c>
      <c r="Z116" s="94">
        <v>2007</v>
      </c>
      <c r="AA116" s="94">
        <v>2016</v>
      </c>
      <c r="AB116" s="94">
        <v>2026</v>
      </c>
      <c r="AC116" s="94">
        <v>2036</v>
      </c>
      <c r="AD116" s="94">
        <v>2046</v>
      </c>
      <c r="AE116" s="94">
        <v>2056</v>
      </c>
      <c r="AF116" s="94">
        <v>2065</v>
      </c>
      <c r="AG116" s="93">
        <v>8.7279999999999996E-3</v>
      </c>
    </row>
    <row r="117" spans="1:33" ht="15" customHeight="1" x14ac:dyDescent="0.35">
      <c r="A117" s="92" t="s">
        <v>2636</v>
      </c>
      <c r="B117" s="95" t="s">
        <v>161</v>
      </c>
      <c r="C117" s="94">
        <v>2605</v>
      </c>
      <c r="D117" s="94">
        <v>2648</v>
      </c>
      <c r="E117" s="94">
        <v>2872</v>
      </c>
      <c r="F117" s="94">
        <v>2887</v>
      </c>
      <c r="G117" s="94">
        <v>2901</v>
      </c>
      <c r="H117" s="94">
        <v>2916</v>
      </c>
      <c r="I117" s="94">
        <v>2930</v>
      </c>
      <c r="J117" s="94">
        <v>2945</v>
      </c>
      <c r="K117" s="94">
        <v>2960</v>
      </c>
      <c r="L117" s="94">
        <v>2974</v>
      </c>
      <c r="M117" s="94">
        <v>2989</v>
      </c>
      <c r="N117" s="94">
        <v>3003</v>
      </c>
      <c r="O117" s="94">
        <v>3018</v>
      </c>
      <c r="P117" s="94">
        <v>3033</v>
      </c>
      <c r="Q117" s="94">
        <v>3047</v>
      </c>
      <c r="R117" s="94">
        <v>3062</v>
      </c>
      <c r="S117" s="94">
        <v>3076</v>
      </c>
      <c r="T117" s="94">
        <v>3091</v>
      </c>
      <c r="U117" s="94">
        <v>3106</v>
      </c>
      <c r="V117" s="94">
        <v>3120</v>
      </c>
      <c r="W117" s="94">
        <v>3135</v>
      </c>
      <c r="X117" s="94">
        <v>3149</v>
      </c>
      <c r="Y117" s="94">
        <v>3164</v>
      </c>
      <c r="Z117" s="94">
        <v>3178</v>
      </c>
      <c r="AA117" s="94">
        <v>3193</v>
      </c>
      <c r="AB117" s="94">
        <v>3207</v>
      </c>
      <c r="AC117" s="94">
        <v>3222</v>
      </c>
      <c r="AD117" s="94">
        <v>3237</v>
      </c>
      <c r="AE117" s="94">
        <v>3251</v>
      </c>
      <c r="AF117" s="94">
        <v>3266</v>
      </c>
      <c r="AG117" s="93">
        <v>7.8279999999999999E-3</v>
      </c>
    </row>
    <row r="118" spans="1:33" ht="15" customHeight="1" x14ac:dyDescent="0.35">
      <c r="A118" s="92" t="s">
        <v>2635</v>
      </c>
      <c r="B118" s="95" t="s">
        <v>163</v>
      </c>
      <c r="C118" s="94">
        <v>1561</v>
      </c>
      <c r="D118" s="94">
        <v>1450</v>
      </c>
      <c r="E118" s="94">
        <v>1575</v>
      </c>
      <c r="F118" s="94">
        <v>1585</v>
      </c>
      <c r="G118" s="94">
        <v>1594</v>
      </c>
      <c r="H118" s="94">
        <v>1604</v>
      </c>
      <c r="I118" s="94">
        <v>1614</v>
      </c>
      <c r="J118" s="94">
        <v>1624</v>
      </c>
      <c r="K118" s="94">
        <v>1634</v>
      </c>
      <c r="L118" s="94">
        <v>1643</v>
      </c>
      <c r="M118" s="94">
        <v>1654</v>
      </c>
      <c r="N118" s="94">
        <v>1664</v>
      </c>
      <c r="O118" s="94">
        <v>1674</v>
      </c>
      <c r="P118" s="94">
        <v>1684</v>
      </c>
      <c r="Q118" s="94">
        <v>1694</v>
      </c>
      <c r="R118" s="94">
        <v>1705</v>
      </c>
      <c r="S118" s="94">
        <v>1715</v>
      </c>
      <c r="T118" s="94">
        <v>1725</v>
      </c>
      <c r="U118" s="94">
        <v>1735</v>
      </c>
      <c r="V118" s="94">
        <v>1746</v>
      </c>
      <c r="W118" s="94">
        <v>1756</v>
      </c>
      <c r="X118" s="94">
        <v>1767</v>
      </c>
      <c r="Y118" s="94">
        <v>1777</v>
      </c>
      <c r="Z118" s="94">
        <v>1788</v>
      </c>
      <c r="AA118" s="94">
        <v>1798</v>
      </c>
      <c r="AB118" s="94">
        <v>1808</v>
      </c>
      <c r="AC118" s="94">
        <v>1819</v>
      </c>
      <c r="AD118" s="94">
        <v>1829</v>
      </c>
      <c r="AE118" s="94">
        <v>1840</v>
      </c>
      <c r="AF118" s="94">
        <v>1850</v>
      </c>
      <c r="AG118" s="93">
        <v>5.8739999999999999E-3</v>
      </c>
    </row>
    <row r="119" spans="1:33" ht="15" customHeight="1" x14ac:dyDescent="0.35">
      <c r="A119" s="92" t="s">
        <v>2634</v>
      </c>
      <c r="B119" s="95" t="s">
        <v>165</v>
      </c>
      <c r="C119" s="94">
        <v>1017</v>
      </c>
      <c r="D119" s="94">
        <v>853</v>
      </c>
      <c r="E119" s="94">
        <v>990</v>
      </c>
      <c r="F119" s="94">
        <v>997</v>
      </c>
      <c r="G119" s="94">
        <v>1004</v>
      </c>
      <c r="H119" s="94">
        <v>1012</v>
      </c>
      <c r="I119" s="94">
        <v>1019</v>
      </c>
      <c r="J119" s="94">
        <v>1026</v>
      </c>
      <c r="K119" s="94">
        <v>1033</v>
      </c>
      <c r="L119" s="94">
        <v>1041</v>
      </c>
      <c r="M119" s="94">
        <v>1048</v>
      </c>
      <c r="N119" s="94">
        <v>1055</v>
      </c>
      <c r="O119" s="94">
        <v>1063</v>
      </c>
      <c r="P119" s="94">
        <v>1070</v>
      </c>
      <c r="Q119" s="94">
        <v>1077</v>
      </c>
      <c r="R119" s="94">
        <v>1085</v>
      </c>
      <c r="S119" s="94">
        <v>1092</v>
      </c>
      <c r="T119" s="94">
        <v>1100</v>
      </c>
      <c r="U119" s="94">
        <v>1107</v>
      </c>
      <c r="V119" s="94">
        <v>1114</v>
      </c>
      <c r="W119" s="94">
        <v>1122</v>
      </c>
      <c r="X119" s="94">
        <v>1129</v>
      </c>
      <c r="Y119" s="94">
        <v>1137</v>
      </c>
      <c r="Z119" s="94">
        <v>1144</v>
      </c>
      <c r="AA119" s="94">
        <v>1151</v>
      </c>
      <c r="AB119" s="94">
        <v>1159</v>
      </c>
      <c r="AC119" s="94">
        <v>1166</v>
      </c>
      <c r="AD119" s="94">
        <v>1174</v>
      </c>
      <c r="AE119" s="94">
        <v>1181</v>
      </c>
      <c r="AF119" s="94">
        <v>1188</v>
      </c>
      <c r="AG119" s="93">
        <v>5.3730000000000002E-3</v>
      </c>
    </row>
    <row r="120" spans="1:33" ht="15" customHeight="1" x14ac:dyDescent="0.3">
      <c r="A120" s="92" t="s">
        <v>2633</v>
      </c>
      <c r="B120" s="91" t="s">
        <v>167</v>
      </c>
      <c r="C120" s="90">
        <v>1480.0986330000001</v>
      </c>
      <c r="D120" s="90">
        <v>1388.9647219999999</v>
      </c>
      <c r="E120" s="90">
        <v>1550.6994629999999</v>
      </c>
      <c r="F120" s="90">
        <v>1563.1998289999999</v>
      </c>
      <c r="G120" s="90">
        <v>1575.5551760000001</v>
      </c>
      <c r="H120" s="90">
        <v>1588.361572</v>
      </c>
      <c r="I120" s="90">
        <v>1600.653198</v>
      </c>
      <c r="J120" s="90">
        <v>1613.371216</v>
      </c>
      <c r="K120" s="90">
        <v>1625.926025</v>
      </c>
      <c r="L120" s="90">
        <v>1638.6751710000001</v>
      </c>
      <c r="M120" s="90">
        <v>1651.330078</v>
      </c>
      <c r="N120" s="90">
        <v>1663.8206789999999</v>
      </c>
      <c r="O120" s="90">
        <v>1676.85437</v>
      </c>
      <c r="P120" s="90">
        <v>1689.6942140000001</v>
      </c>
      <c r="Q120" s="90">
        <v>1702.4567870000001</v>
      </c>
      <c r="R120" s="90">
        <v>1715.2979740000001</v>
      </c>
      <c r="S120" s="90">
        <v>1728.2463379999999</v>
      </c>
      <c r="T120" s="90">
        <v>1741.2358400000001</v>
      </c>
      <c r="U120" s="90">
        <v>1754.2929690000001</v>
      </c>
      <c r="V120" s="90">
        <v>1767.1674800000001</v>
      </c>
      <c r="W120" s="90">
        <v>1780.2076420000001</v>
      </c>
      <c r="X120" s="90">
        <v>1793.3948969999999</v>
      </c>
      <c r="Y120" s="90">
        <v>1806.5009769999999</v>
      </c>
      <c r="Z120" s="90">
        <v>1819.624634</v>
      </c>
      <c r="AA120" s="90">
        <v>1832.832764</v>
      </c>
      <c r="AB120" s="90">
        <v>1845.8480219999999</v>
      </c>
      <c r="AC120" s="90">
        <v>1859.0123289999999</v>
      </c>
      <c r="AD120" s="90">
        <v>1872.398682</v>
      </c>
      <c r="AE120" s="90">
        <v>1885.3897710000001</v>
      </c>
      <c r="AF120" s="90">
        <v>1898.1281739999999</v>
      </c>
      <c r="AG120" s="89">
        <v>8.6149999999999994E-3</v>
      </c>
    </row>
    <row r="121" spans="1:33" ht="15" customHeight="1" thickBot="1" x14ac:dyDescent="0.35"/>
    <row r="122" spans="1:33" ht="15" customHeight="1" x14ac:dyDescent="0.3">
      <c r="B122" s="88" t="s">
        <v>2762</v>
      </c>
    </row>
    <row r="123" spans="1:33" ht="15" customHeight="1" x14ac:dyDescent="0.3">
      <c r="B123" s="87" t="s">
        <v>2763</v>
      </c>
    </row>
    <row r="124" spans="1:33" ht="15" customHeight="1" x14ac:dyDescent="0.3">
      <c r="B124" s="87" t="s">
        <v>2792</v>
      </c>
    </row>
    <row r="125" spans="1:33" ht="15" customHeight="1" x14ac:dyDescent="0.3">
      <c r="B125" s="87" t="s">
        <v>2793</v>
      </c>
    </row>
    <row r="126" spans="1:33" ht="15" customHeight="1" x14ac:dyDescent="0.3">
      <c r="B126" s="87" t="s">
        <v>2632</v>
      </c>
    </row>
    <row r="127" spans="1:33" ht="15" customHeight="1" x14ac:dyDescent="0.3">
      <c r="B127" s="87" t="s">
        <v>2794</v>
      </c>
    </row>
    <row r="128" spans="1:33" ht="15" customHeight="1" x14ac:dyDescent="0.3">
      <c r="B128" s="87" t="s">
        <v>2631</v>
      </c>
    </row>
    <row r="129" spans="2:2" ht="15" customHeight="1" x14ac:dyDescent="0.3">
      <c r="B129" s="87" t="s">
        <v>2795</v>
      </c>
    </row>
    <row r="130" spans="2:2" ht="15" customHeight="1" x14ac:dyDescent="0.3">
      <c r="B130" s="87" t="s">
        <v>2796</v>
      </c>
    </row>
    <row r="131" spans="2:2" ht="15" customHeight="1" x14ac:dyDescent="0.3">
      <c r="B131" s="87" t="s">
        <v>2797</v>
      </c>
    </row>
    <row r="132" spans="2:2" ht="15" customHeight="1" x14ac:dyDescent="0.3">
      <c r="B132" s="87" t="s">
        <v>2630</v>
      </c>
    </row>
    <row r="133" spans="2:2" ht="15" customHeight="1" x14ac:dyDescent="0.3">
      <c r="B133" s="87" t="s">
        <v>2798</v>
      </c>
    </row>
    <row r="134" spans="2:2" ht="15" customHeight="1" x14ac:dyDescent="0.3">
      <c r="B134" s="87" t="s">
        <v>2799</v>
      </c>
    </row>
    <row r="135" spans="2:2" ht="15" customHeight="1" x14ac:dyDescent="0.3">
      <c r="B135" s="87" t="s">
        <v>2800</v>
      </c>
    </row>
    <row r="136" spans="2:2" ht="15" customHeight="1" x14ac:dyDescent="0.3">
      <c r="B136" s="87" t="s">
        <v>2775</v>
      </c>
    </row>
    <row r="137" spans="2:2" ht="15" customHeight="1" x14ac:dyDescent="0.3">
      <c r="B137" s="87" t="s">
        <v>2776</v>
      </c>
    </row>
    <row r="138" spans="2:2" ht="15" customHeight="1" x14ac:dyDescent="0.3">
      <c r="B138" s="87" t="s">
        <v>2777</v>
      </c>
    </row>
    <row r="139" spans="2:2" ht="15" customHeight="1" x14ac:dyDescent="0.3">
      <c r="B139" s="87" t="s">
        <v>2872</v>
      </c>
    </row>
    <row r="140" spans="2:2" ht="15" customHeight="1" x14ac:dyDescent="0.3">
      <c r="B140" s="87" t="s">
        <v>2871</v>
      </c>
    </row>
    <row r="141" spans="2:2" ht="12" x14ac:dyDescent="0.3"/>
    <row r="142" spans="2:2" ht="12" x14ac:dyDescent="0.3"/>
    <row r="143" spans="2:2" ht="12" x14ac:dyDescent="0.3"/>
    <row r="144" spans="2:2" ht="12" x14ac:dyDescent="0.3"/>
    <row r="145" ht="12" x14ac:dyDescent="0.3"/>
    <row r="146" ht="12" x14ac:dyDescent="0.3"/>
    <row r="147" ht="12" x14ac:dyDescent="0.3"/>
    <row r="148" ht="12" x14ac:dyDescent="0.3"/>
    <row r="149" ht="12" x14ac:dyDescent="0.3"/>
    <row r="165" ht="12" x14ac:dyDescent="0.3"/>
    <row r="180" ht="12" x14ac:dyDescent="0.3"/>
    <row r="308" spans="2:33" ht="15" customHeight="1" x14ac:dyDescent="0.3"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  <c r="AB308" s="184"/>
      <c r="AC308" s="184"/>
      <c r="AD308" s="184"/>
      <c r="AE308" s="184"/>
      <c r="AF308" s="184"/>
      <c r="AG308" s="184"/>
    </row>
    <row r="511" spans="2:33" ht="15" customHeight="1" x14ac:dyDescent="0.3"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  <c r="AB511" s="184"/>
      <c r="AC511" s="184"/>
      <c r="AD511" s="184"/>
      <c r="AE511" s="184"/>
      <c r="AF511" s="184"/>
      <c r="AG511" s="184"/>
    </row>
    <row r="712" spans="2:33" ht="15" customHeight="1" x14ac:dyDescent="0.3"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184"/>
      <c r="AF712" s="184"/>
      <c r="AG712" s="184"/>
    </row>
    <row r="887" spans="2:33" ht="15" customHeight="1" x14ac:dyDescent="0.3"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184"/>
      <c r="AE887" s="184"/>
      <c r="AF887" s="184"/>
      <c r="AG887" s="184"/>
    </row>
    <row r="1100" spans="2:33" ht="15" customHeight="1" x14ac:dyDescent="0.3">
      <c r="B1100" s="184"/>
      <c r="C1100" s="184"/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4"/>
      <c r="AE1100" s="184"/>
      <c r="AF1100" s="184"/>
      <c r="AG1100" s="184"/>
    </row>
    <row r="1227" spans="2:33" ht="15" customHeight="1" x14ac:dyDescent="0.3">
      <c r="B1227" s="184"/>
      <c r="C1227" s="184"/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4"/>
      <c r="AE1227" s="184"/>
      <c r="AF1227" s="184"/>
      <c r="AG1227" s="184"/>
    </row>
    <row r="1390" spans="2:33" ht="15" customHeight="1" x14ac:dyDescent="0.3">
      <c r="B1390" s="184"/>
      <c r="C1390" s="184"/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4"/>
      <c r="AE1390" s="184"/>
      <c r="AF1390" s="184"/>
      <c r="AG1390" s="184"/>
    </row>
    <row r="1502" spans="2:33" ht="15" customHeight="1" x14ac:dyDescent="0.3">
      <c r="B1502" s="184"/>
      <c r="C1502" s="184"/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4"/>
      <c r="AE1502" s="184"/>
      <c r="AF1502" s="184"/>
      <c r="AG1502" s="184"/>
    </row>
    <row r="1604" spans="2:33" ht="15" customHeight="1" x14ac:dyDescent="0.3">
      <c r="B1604" s="184"/>
      <c r="C1604" s="184"/>
      <c r="D1604" s="184"/>
      <c r="E1604" s="184"/>
      <c r="F1604" s="184"/>
      <c r="G1604" s="184"/>
      <c r="H1604" s="184"/>
      <c r="I1604" s="184"/>
      <c r="J1604" s="184"/>
      <c r="K1604" s="184"/>
      <c r="L1604" s="184"/>
      <c r="M1604" s="184"/>
      <c r="N1604" s="184"/>
      <c r="O1604" s="184"/>
      <c r="P1604" s="184"/>
      <c r="Q1604" s="184"/>
      <c r="R1604" s="184"/>
      <c r="S1604" s="184"/>
      <c r="T1604" s="184"/>
      <c r="U1604" s="184"/>
      <c r="V1604" s="184"/>
      <c r="W1604" s="184"/>
      <c r="X1604" s="184"/>
      <c r="Y1604" s="184"/>
      <c r="Z1604" s="184"/>
      <c r="AA1604" s="184"/>
      <c r="AB1604" s="184"/>
      <c r="AC1604" s="184"/>
      <c r="AD1604" s="184"/>
      <c r="AE1604" s="184"/>
      <c r="AF1604" s="184"/>
      <c r="AG1604" s="184"/>
    </row>
    <row r="1698" spans="2:33" ht="15" customHeight="1" x14ac:dyDescent="0.3">
      <c r="B1698" s="184"/>
      <c r="C1698" s="184"/>
      <c r="D1698" s="184"/>
      <c r="E1698" s="184"/>
      <c r="F1698" s="184"/>
      <c r="G1698" s="184"/>
      <c r="H1698" s="184"/>
      <c r="I1698" s="184"/>
      <c r="J1698" s="184"/>
      <c r="K1698" s="184"/>
      <c r="L1698" s="184"/>
      <c r="M1698" s="184"/>
      <c r="N1698" s="184"/>
      <c r="O1698" s="184"/>
      <c r="P1698" s="184"/>
      <c r="Q1698" s="184"/>
      <c r="R1698" s="184"/>
      <c r="S1698" s="184"/>
      <c r="T1698" s="184"/>
      <c r="U1698" s="184"/>
      <c r="V1698" s="184"/>
      <c r="W1698" s="184"/>
      <c r="X1698" s="184"/>
      <c r="Y1698" s="184"/>
      <c r="Z1698" s="184"/>
      <c r="AA1698" s="184"/>
      <c r="AB1698" s="184"/>
      <c r="AC1698" s="184"/>
      <c r="AD1698" s="184"/>
      <c r="AE1698" s="184"/>
      <c r="AF1698" s="184"/>
      <c r="AG1698" s="184"/>
    </row>
    <row r="1945" spans="2:33" ht="15" customHeight="1" x14ac:dyDescent="0.3">
      <c r="B1945" s="184"/>
      <c r="C1945" s="184"/>
      <c r="D1945" s="184"/>
      <c r="E1945" s="184"/>
      <c r="F1945" s="184"/>
      <c r="G1945" s="184"/>
      <c r="H1945" s="184"/>
      <c r="I1945" s="184"/>
      <c r="J1945" s="184"/>
      <c r="K1945" s="184"/>
      <c r="L1945" s="184"/>
      <c r="M1945" s="184"/>
      <c r="N1945" s="184"/>
      <c r="O1945" s="184"/>
      <c r="P1945" s="184"/>
      <c r="Q1945" s="184"/>
      <c r="R1945" s="184"/>
      <c r="S1945" s="184"/>
      <c r="T1945" s="184"/>
      <c r="U1945" s="184"/>
      <c r="V1945" s="184"/>
      <c r="W1945" s="184"/>
      <c r="X1945" s="184"/>
      <c r="Y1945" s="184"/>
      <c r="Z1945" s="184"/>
      <c r="AA1945" s="184"/>
      <c r="AB1945" s="184"/>
      <c r="AC1945" s="184"/>
      <c r="AD1945" s="184"/>
      <c r="AE1945" s="184"/>
      <c r="AF1945" s="184"/>
      <c r="AG1945" s="184"/>
    </row>
    <row r="2031" spans="2:33" ht="15" customHeight="1" x14ac:dyDescent="0.3">
      <c r="B2031" s="184"/>
      <c r="C2031" s="184"/>
      <c r="D2031" s="184"/>
      <c r="E2031" s="184"/>
      <c r="F2031" s="184"/>
      <c r="G2031" s="184"/>
      <c r="H2031" s="184"/>
      <c r="I2031" s="184"/>
      <c r="J2031" s="184"/>
      <c r="K2031" s="184"/>
      <c r="L2031" s="184"/>
      <c r="M2031" s="184"/>
      <c r="N2031" s="184"/>
      <c r="O2031" s="184"/>
      <c r="P2031" s="184"/>
      <c r="Q2031" s="184"/>
      <c r="R2031" s="184"/>
      <c r="S2031" s="184"/>
      <c r="T2031" s="184"/>
      <c r="U2031" s="184"/>
      <c r="V2031" s="184"/>
      <c r="W2031" s="184"/>
      <c r="X2031" s="184"/>
      <c r="Y2031" s="184"/>
      <c r="Z2031" s="184"/>
      <c r="AA2031" s="184"/>
      <c r="AB2031" s="184"/>
      <c r="AC2031" s="184"/>
      <c r="AD2031" s="184"/>
      <c r="AE2031" s="184"/>
      <c r="AF2031" s="184"/>
      <c r="AG2031" s="184"/>
    </row>
    <row r="2153" spans="2:33" ht="15" customHeight="1" x14ac:dyDescent="0.3">
      <c r="B2153" s="184"/>
      <c r="C2153" s="184"/>
      <c r="D2153" s="184"/>
      <c r="E2153" s="184"/>
      <c r="F2153" s="184"/>
      <c r="G2153" s="184"/>
      <c r="H2153" s="184"/>
      <c r="I2153" s="184"/>
      <c r="J2153" s="184"/>
      <c r="K2153" s="184"/>
      <c r="L2153" s="184"/>
      <c r="M2153" s="184"/>
      <c r="N2153" s="184"/>
      <c r="O2153" s="184"/>
      <c r="P2153" s="184"/>
      <c r="Q2153" s="184"/>
      <c r="R2153" s="184"/>
      <c r="S2153" s="184"/>
      <c r="T2153" s="184"/>
      <c r="U2153" s="184"/>
      <c r="V2153" s="184"/>
      <c r="W2153" s="184"/>
      <c r="X2153" s="184"/>
      <c r="Y2153" s="184"/>
      <c r="Z2153" s="184"/>
      <c r="AA2153" s="184"/>
      <c r="AB2153" s="184"/>
      <c r="AC2153" s="184"/>
      <c r="AD2153" s="184"/>
      <c r="AE2153" s="184"/>
      <c r="AF2153" s="184"/>
      <c r="AG2153" s="184"/>
    </row>
    <row r="2317" spans="2:33" ht="15" customHeight="1" x14ac:dyDescent="0.3">
      <c r="B2317" s="184"/>
      <c r="C2317" s="184"/>
      <c r="D2317" s="184"/>
      <c r="E2317" s="184"/>
      <c r="F2317" s="184"/>
      <c r="G2317" s="184"/>
      <c r="H2317" s="184"/>
      <c r="I2317" s="184"/>
      <c r="J2317" s="184"/>
      <c r="K2317" s="184"/>
      <c r="L2317" s="184"/>
      <c r="M2317" s="184"/>
      <c r="N2317" s="184"/>
      <c r="O2317" s="184"/>
      <c r="P2317" s="184"/>
      <c r="Q2317" s="184"/>
      <c r="R2317" s="184"/>
      <c r="S2317" s="184"/>
      <c r="T2317" s="184"/>
      <c r="U2317" s="184"/>
      <c r="V2317" s="184"/>
      <c r="W2317" s="184"/>
      <c r="X2317" s="184"/>
      <c r="Y2317" s="184"/>
      <c r="Z2317" s="184"/>
      <c r="AA2317" s="184"/>
      <c r="AB2317" s="184"/>
      <c r="AC2317" s="184"/>
      <c r="AD2317" s="184"/>
      <c r="AE2317" s="184"/>
      <c r="AF2317" s="184"/>
      <c r="AG2317" s="184"/>
    </row>
    <row r="2419" spans="2:33" ht="15" customHeight="1" x14ac:dyDescent="0.3">
      <c r="B2419" s="184"/>
      <c r="C2419" s="184"/>
      <c r="D2419" s="184"/>
      <c r="E2419" s="184"/>
      <c r="F2419" s="184"/>
      <c r="G2419" s="184"/>
      <c r="H2419" s="184"/>
      <c r="I2419" s="184"/>
      <c r="J2419" s="184"/>
      <c r="K2419" s="184"/>
      <c r="L2419" s="184"/>
      <c r="M2419" s="184"/>
      <c r="N2419" s="184"/>
      <c r="O2419" s="184"/>
      <c r="P2419" s="184"/>
      <c r="Q2419" s="184"/>
      <c r="R2419" s="184"/>
      <c r="S2419" s="184"/>
      <c r="T2419" s="184"/>
      <c r="U2419" s="184"/>
      <c r="V2419" s="184"/>
      <c r="W2419" s="184"/>
      <c r="X2419" s="184"/>
      <c r="Y2419" s="184"/>
      <c r="Z2419" s="184"/>
      <c r="AA2419" s="184"/>
      <c r="AB2419" s="184"/>
      <c r="AC2419" s="184"/>
      <c r="AD2419" s="184"/>
      <c r="AE2419" s="184"/>
      <c r="AF2419" s="184"/>
      <c r="AG2419" s="184"/>
    </row>
    <row r="2509" spans="2:33" ht="15" customHeight="1" x14ac:dyDescent="0.3">
      <c r="B2509" s="184"/>
      <c r="C2509" s="184"/>
      <c r="D2509" s="184"/>
      <c r="E2509" s="184"/>
      <c r="F2509" s="184"/>
      <c r="G2509" s="184"/>
      <c r="H2509" s="184"/>
      <c r="I2509" s="184"/>
      <c r="J2509" s="184"/>
      <c r="K2509" s="184"/>
      <c r="L2509" s="184"/>
      <c r="M2509" s="184"/>
      <c r="N2509" s="184"/>
      <c r="O2509" s="184"/>
      <c r="P2509" s="184"/>
      <c r="Q2509" s="184"/>
      <c r="R2509" s="184"/>
      <c r="S2509" s="184"/>
      <c r="T2509" s="184"/>
      <c r="U2509" s="184"/>
      <c r="V2509" s="184"/>
      <c r="W2509" s="184"/>
      <c r="X2509" s="184"/>
      <c r="Y2509" s="184"/>
      <c r="Z2509" s="184"/>
      <c r="AA2509" s="184"/>
      <c r="AB2509" s="184"/>
      <c r="AC2509" s="184"/>
      <c r="AD2509" s="184"/>
      <c r="AE2509" s="184"/>
      <c r="AF2509" s="184"/>
      <c r="AG2509" s="184"/>
    </row>
    <row r="2598" spans="2:33" ht="15" customHeight="1" x14ac:dyDescent="0.3">
      <c r="B2598" s="184"/>
      <c r="C2598" s="184"/>
      <c r="D2598" s="184"/>
      <c r="E2598" s="184"/>
      <c r="F2598" s="184"/>
      <c r="G2598" s="184"/>
      <c r="H2598" s="184"/>
      <c r="I2598" s="184"/>
      <c r="J2598" s="184"/>
      <c r="K2598" s="184"/>
      <c r="L2598" s="184"/>
      <c r="M2598" s="184"/>
      <c r="N2598" s="184"/>
      <c r="O2598" s="184"/>
      <c r="P2598" s="184"/>
      <c r="Q2598" s="184"/>
      <c r="R2598" s="184"/>
      <c r="S2598" s="184"/>
      <c r="T2598" s="184"/>
      <c r="U2598" s="184"/>
      <c r="V2598" s="184"/>
      <c r="W2598" s="184"/>
      <c r="X2598" s="184"/>
      <c r="Y2598" s="184"/>
      <c r="Z2598" s="184"/>
      <c r="AA2598" s="184"/>
      <c r="AB2598" s="184"/>
      <c r="AC2598" s="184"/>
      <c r="AD2598" s="184"/>
      <c r="AE2598" s="184"/>
      <c r="AF2598" s="184"/>
      <c r="AG2598" s="184"/>
    </row>
    <row r="2719" spans="2:33" ht="15" customHeight="1" x14ac:dyDescent="0.3">
      <c r="B2719" s="184"/>
      <c r="C2719" s="184"/>
      <c r="D2719" s="184"/>
      <c r="E2719" s="184"/>
      <c r="F2719" s="184"/>
      <c r="G2719" s="184"/>
      <c r="H2719" s="184"/>
      <c r="I2719" s="184"/>
      <c r="J2719" s="184"/>
      <c r="K2719" s="184"/>
      <c r="L2719" s="184"/>
      <c r="M2719" s="184"/>
      <c r="N2719" s="184"/>
      <c r="O2719" s="184"/>
      <c r="P2719" s="184"/>
      <c r="Q2719" s="184"/>
      <c r="R2719" s="184"/>
      <c r="S2719" s="184"/>
      <c r="T2719" s="184"/>
      <c r="U2719" s="184"/>
      <c r="V2719" s="184"/>
      <c r="W2719" s="184"/>
      <c r="X2719" s="184"/>
      <c r="Y2719" s="184"/>
      <c r="Z2719" s="184"/>
      <c r="AA2719" s="184"/>
      <c r="AB2719" s="184"/>
      <c r="AC2719" s="184"/>
      <c r="AD2719" s="184"/>
      <c r="AE2719" s="184"/>
      <c r="AF2719" s="184"/>
      <c r="AG2719" s="184"/>
    </row>
    <row r="2837" spans="2:33" ht="15" customHeight="1" x14ac:dyDescent="0.3">
      <c r="B2837" s="184"/>
      <c r="C2837" s="184"/>
      <c r="D2837" s="184"/>
      <c r="E2837" s="184"/>
      <c r="F2837" s="184"/>
      <c r="G2837" s="184"/>
      <c r="H2837" s="184"/>
      <c r="I2837" s="184"/>
      <c r="J2837" s="184"/>
      <c r="K2837" s="184"/>
      <c r="L2837" s="184"/>
      <c r="M2837" s="184"/>
      <c r="N2837" s="184"/>
      <c r="O2837" s="184"/>
      <c r="P2837" s="184"/>
      <c r="Q2837" s="184"/>
      <c r="R2837" s="184"/>
      <c r="S2837" s="184"/>
      <c r="T2837" s="184"/>
      <c r="U2837" s="184"/>
      <c r="V2837" s="184"/>
      <c r="W2837" s="184"/>
      <c r="X2837" s="184"/>
      <c r="Y2837" s="184"/>
      <c r="Z2837" s="184"/>
      <c r="AA2837" s="184"/>
      <c r="AB2837" s="184"/>
      <c r="AC2837" s="184"/>
      <c r="AD2837" s="184"/>
      <c r="AE2837" s="184"/>
      <c r="AF2837" s="184"/>
      <c r="AG2837" s="184"/>
    </row>
  </sheetData>
  <mergeCells count="20">
    <mergeCell ref="B112:AG112"/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  <mergeCell ref="B1945:AG1945"/>
    <mergeCell ref="B2031:AG2031"/>
    <mergeCell ref="B2153:AG2153"/>
    <mergeCell ref="B2317:AG2317"/>
    <mergeCell ref="B2419:AG2419"/>
    <mergeCell ref="B2509:AG2509"/>
    <mergeCell ref="B2598:AG2598"/>
    <mergeCell ref="B2719:AG2719"/>
    <mergeCell ref="B2837:AG2837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81141-A791-41B7-B14D-11C4616496D7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AH2837"/>
    </sheetView>
  </sheetViews>
  <sheetFormatPr defaultColWidth="8.7265625" defaultRowHeight="15" customHeight="1" x14ac:dyDescent="0.3"/>
  <cols>
    <col min="1" max="1" width="19.81640625" style="86" bestFit="1" customWidth="1"/>
    <col min="2" max="2" width="106.1796875" style="86" bestFit="1" customWidth="1"/>
    <col min="3" max="3" width="11.7265625" style="86" bestFit="1" customWidth="1"/>
    <col min="4" max="4" width="24" style="86" bestFit="1" customWidth="1"/>
    <col min="5" max="5" width="10.81640625" style="86" bestFit="1" customWidth="1"/>
    <col min="6" max="6" width="5.26953125" style="86" bestFit="1" customWidth="1"/>
    <col min="7" max="7" width="9.1796875" style="86" bestFit="1" customWidth="1"/>
    <col min="8" max="10" width="5.26953125" style="86" bestFit="1" customWidth="1"/>
    <col min="11" max="32" width="5.453125" style="86" bestFit="1" customWidth="1"/>
    <col min="33" max="33" width="8.26953125" style="86" bestFit="1" customWidth="1"/>
    <col min="34" max="16384" width="8.7265625" style="86"/>
  </cols>
  <sheetData>
    <row r="1" spans="1:33" ht="15" customHeight="1" thickBot="1" x14ac:dyDescent="0.35">
      <c r="B1" s="103" t="s">
        <v>2891</v>
      </c>
      <c r="C1" s="143">
        <v>2022</v>
      </c>
      <c r="D1" s="143">
        <v>2023</v>
      </c>
      <c r="E1" s="143">
        <v>2024</v>
      </c>
      <c r="F1" s="143">
        <v>2025</v>
      </c>
      <c r="G1" s="143">
        <v>2026</v>
      </c>
      <c r="H1" s="143">
        <v>2027</v>
      </c>
      <c r="I1" s="143">
        <v>2028</v>
      </c>
      <c r="J1" s="143">
        <v>2029</v>
      </c>
      <c r="K1" s="143">
        <v>2030</v>
      </c>
      <c r="L1" s="143">
        <v>2031</v>
      </c>
      <c r="M1" s="143">
        <v>2032</v>
      </c>
      <c r="N1" s="143">
        <v>2033</v>
      </c>
      <c r="O1" s="143">
        <v>2034</v>
      </c>
      <c r="P1" s="143">
        <v>2035</v>
      </c>
      <c r="Q1" s="143">
        <v>2036</v>
      </c>
      <c r="R1" s="143">
        <v>2037</v>
      </c>
      <c r="S1" s="143">
        <v>2038</v>
      </c>
      <c r="T1" s="143">
        <v>2039</v>
      </c>
      <c r="U1" s="143">
        <v>2040</v>
      </c>
      <c r="V1" s="143">
        <v>2041</v>
      </c>
      <c r="W1" s="143">
        <v>2042</v>
      </c>
      <c r="X1" s="143">
        <v>2043</v>
      </c>
      <c r="Y1" s="143">
        <v>2044</v>
      </c>
      <c r="Z1" s="143">
        <v>2045</v>
      </c>
      <c r="AA1" s="143">
        <v>2046</v>
      </c>
      <c r="AB1" s="143">
        <v>2047</v>
      </c>
      <c r="AC1" s="143">
        <v>2048</v>
      </c>
      <c r="AD1" s="143">
        <v>2049</v>
      </c>
      <c r="AE1" s="143">
        <v>2050</v>
      </c>
    </row>
    <row r="2" spans="1:33" ht="15" customHeight="1" thickTop="1" x14ac:dyDescent="0.3"/>
    <row r="3" spans="1:33" ht="15" customHeight="1" x14ac:dyDescent="0.3">
      <c r="C3" s="138" t="s">
        <v>20</v>
      </c>
      <c r="D3" s="138" t="s">
        <v>2892</v>
      </c>
      <c r="E3" s="105"/>
      <c r="F3" s="105"/>
      <c r="G3" s="105"/>
    </row>
    <row r="4" spans="1:33" ht="15" customHeight="1" x14ac:dyDescent="0.3">
      <c r="C4" s="138" t="s">
        <v>21</v>
      </c>
      <c r="D4" s="138" t="s">
        <v>2893</v>
      </c>
      <c r="E4" s="105"/>
      <c r="F4" s="105"/>
      <c r="G4" s="138" t="s">
        <v>2880</v>
      </c>
    </row>
    <row r="5" spans="1:33" ht="15" customHeight="1" x14ac:dyDescent="0.3">
      <c r="C5" s="138" t="s">
        <v>22</v>
      </c>
      <c r="D5" s="138" t="s">
        <v>2894</v>
      </c>
      <c r="E5" s="105"/>
      <c r="F5" s="105"/>
      <c r="G5" s="105"/>
    </row>
    <row r="6" spans="1:33" ht="15" customHeight="1" x14ac:dyDescent="0.3">
      <c r="C6" s="138" t="s">
        <v>23</v>
      </c>
      <c r="D6" s="105"/>
      <c r="E6" s="138" t="s">
        <v>2895</v>
      </c>
      <c r="F6" s="105"/>
      <c r="G6" s="105"/>
    </row>
    <row r="7" spans="1:33" ht="12" x14ac:dyDescent="0.3"/>
    <row r="8" spans="1:33" ht="12" x14ac:dyDescent="0.3"/>
    <row r="9" spans="1:33" ht="12" x14ac:dyDescent="0.3"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</row>
    <row r="10" spans="1:33" ht="15" customHeight="1" x14ac:dyDescent="0.35">
      <c r="A10" s="92" t="s">
        <v>2721</v>
      </c>
      <c r="B10" s="144" t="s">
        <v>2720</v>
      </c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101" t="s">
        <v>2877</v>
      </c>
      <c r="AG10" s="87"/>
    </row>
    <row r="11" spans="1:33" ht="15" customHeight="1" x14ac:dyDescent="0.3">
      <c r="B11" s="125" t="s">
        <v>26</v>
      </c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101" t="s">
        <v>2876</v>
      </c>
      <c r="AG11" s="87"/>
    </row>
    <row r="12" spans="1:33" ht="15" customHeight="1" x14ac:dyDescent="0.3">
      <c r="B12" s="125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01" t="s">
        <v>2875</v>
      </c>
      <c r="AG12" s="87"/>
    </row>
    <row r="13" spans="1:33" ht="15" customHeight="1" thickBot="1" x14ac:dyDescent="0.35">
      <c r="B13" s="145" t="s">
        <v>28</v>
      </c>
      <c r="C13" s="145">
        <v>2022</v>
      </c>
      <c r="D13" s="145">
        <v>2023</v>
      </c>
      <c r="E13" s="145">
        <v>2024</v>
      </c>
      <c r="F13" s="145">
        <v>2025</v>
      </c>
      <c r="G13" s="145">
        <v>2026</v>
      </c>
      <c r="H13" s="145">
        <v>2027</v>
      </c>
      <c r="I13" s="145">
        <v>2028</v>
      </c>
      <c r="J13" s="145">
        <v>2029</v>
      </c>
      <c r="K13" s="145">
        <v>2030</v>
      </c>
      <c r="L13" s="145">
        <v>2031</v>
      </c>
      <c r="M13" s="145">
        <v>2032</v>
      </c>
      <c r="N13" s="145">
        <v>2033</v>
      </c>
      <c r="O13" s="145">
        <v>2034</v>
      </c>
      <c r="P13" s="145">
        <v>2035</v>
      </c>
      <c r="Q13" s="145">
        <v>2036</v>
      </c>
      <c r="R13" s="145">
        <v>2037</v>
      </c>
      <c r="S13" s="145">
        <v>2038</v>
      </c>
      <c r="T13" s="145">
        <v>2039</v>
      </c>
      <c r="U13" s="145">
        <v>2040</v>
      </c>
      <c r="V13" s="145">
        <v>2041</v>
      </c>
      <c r="W13" s="145">
        <v>2042</v>
      </c>
      <c r="X13" s="145">
        <v>2043</v>
      </c>
      <c r="Y13" s="145">
        <v>2044</v>
      </c>
      <c r="Z13" s="145">
        <v>2045</v>
      </c>
      <c r="AA13" s="145">
        <v>2046</v>
      </c>
      <c r="AB13" s="145">
        <v>2047</v>
      </c>
      <c r="AC13" s="145">
        <v>2048</v>
      </c>
      <c r="AD13" s="145">
        <v>2049</v>
      </c>
      <c r="AE13" s="145">
        <v>2050</v>
      </c>
      <c r="AF13" s="146" t="s">
        <v>2896</v>
      </c>
      <c r="AG13" s="87"/>
    </row>
    <row r="14" spans="1:33" ht="15" customHeight="1" thickTop="1" x14ac:dyDescent="0.3"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</row>
    <row r="15" spans="1:33" ht="15" customHeight="1" x14ac:dyDescent="0.3">
      <c r="B15" s="147" t="s">
        <v>29</v>
      </c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</row>
    <row r="16" spans="1:33" ht="15" customHeight="1" x14ac:dyDescent="0.3"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</row>
    <row r="17" spans="1:33" ht="15" customHeight="1" x14ac:dyDescent="0.3">
      <c r="B17" s="147" t="s">
        <v>2719</v>
      </c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</row>
    <row r="18" spans="1:33" ht="15" customHeight="1" x14ac:dyDescent="0.3">
      <c r="A18" s="92" t="s">
        <v>2718</v>
      </c>
      <c r="B18" s="148" t="s">
        <v>2717</v>
      </c>
      <c r="C18" s="154">
        <v>93.44426</v>
      </c>
      <c r="D18" s="154">
        <v>94.366943000000006</v>
      </c>
      <c r="E18" s="154">
        <v>95.261948000000004</v>
      </c>
      <c r="F18" s="154">
        <v>96.233695999999995</v>
      </c>
      <c r="G18" s="154">
        <v>97.372681</v>
      </c>
      <c r="H18" s="154">
        <v>98.426238999999995</v>
      </c>
      <c r="I18" s="154">
        <v>99.435837000000006</v>
      </c>
      <c r="J18" s="154">
        <v>100.540588</v>
      </c>
      <c r="K18" s="154">
        <v>101.747238</v>
      </c>
      <c r="L18" s="154">
        <v>103.031937</v>
      </c>
      <c r="M18" s="154">
        <v>104.36438800000001</v>
      </c>
      <c r="N18" s="154">
        <v>105.67115800000001</v>
      </c>
      <c r="O18" s="154">
        <v>106.90464</v>
      </c>
      <c r="P18" s="154">
        <v>108.064949</v>
      </c>
      <c r="Q18" s="154">
        <v>109.148827</v>
      </c>
      <c r="R18" s="154">
        <v>110.16222399999999</v>
      </c>
      <c r="S18" s="154">
        <v>111.118996</v>
      </c>
      <c r="T18" s="154">
        <v>112.02248400000001</v>
      </c>
      <c r="U18" s="154">
        <v>112.878952</v>
      </c>
      <c r="V18" s="154">
        <v>113.69973</v>
      </c>
      <c r="W18" s="154">
        <v>114.495079</v>
      </c>
      <c r="X18" s="154">
        <v>115.27697000000001</v>
      </c>
      <c r="Y18" s="154">
        <v>116.05735</v>
      </c>
      <c r="Z18" s="154">
        <v>116.844925</v>
      </c>
      <c r="AA18" s="154">
        <v>117.64614899999999</v>
      </c>
      <c r="AB18" s="154">
        <v>118.46553</v>
      </c>
      <c r="AC18" s="154">
        <v>119.305115</v>
      </c>
      <c r="AD18" s="154">
        <v>120.165375</v>
      </c>
      <c r="AE18" s="154">
        <v>121.045486</v>
      </c>
      <c r="AF18" s="150">
        <v>9.2860000000000009E-3</v>
      </c>
      <c r="AG18" s="87"/>
    </row>
    <row r="19" spans="1:33" ht="15" customHeight="1" x14ac:dyDescent="0.3">
      <c r="A19" s="92" t="s">
        <v>2716</v>
      </c>
      <c r="B19" s="148" t="s">
        <v>2715</v>
      </c>
      <c r="C19" s="154">
        <v>2.0272770000000002</v>
      </c>
      <c r="D19" s="154">
        <v>2.0085120000000001</v>
      </c>
      <c r="E19" s="154">
        <v>2.0945999999999998</v>
      </c>
      <c r="F19" s="154">
        <v>2.2721680000000002</v>
      </c>
      <c r="G19" s="154">
        <v>2.1971470000000002</v>
      </c>
      <c r="H19" s="154">
        <v>2.1634509999999998</v>
      </c>
      <c r="I19" s="154">
        <v>2.269371</v>
      </c>
      <c r="J19" s="154">
        <v>2.382768</v>
      </c>
      <c r="K19" s="154">
        <v>2.473055</v>
      </c>
      <c r="L19" s="154">
        <v>2.5336780000000001</v>
      </c>
      <c r="M19" s="154">
        <v>2.5211169999999998</v>
      </c>
      <c r="N19" s="154">
        <v>2.4608279999999998</v>
      </c>
      <c r="O19" s="154">
        <v>2.4002910000000002</v>
      </c>
      <c r="P19" s="154">
        <v>2.3361079999999999</v>
      </c>
      <c r="Q19" s="154">
        <v>2.2773340000000002</v>
      </c>
      <c r="R19" s="154">
        <v>2.2319089999999999</v>
      </c>
      <c r="S19" s="154">
        <v>2.1893440000000002</v>
      </c>
      <c r="T19" s="154">
        <v>2.1525660000000002</v>
      </c>
      <c r="U19" s="154">
        <v>2.1266379999999998</v>
      </c>
      <c r="V19" s="154">
        <v>2.1106319999999998</v>
      </c>
      <c r="W19" s="154">
        <v>2.106252</v>
      </c>
      <c r="X19" s="154">
        <v>2.1136330000000001</v>
      </c>
      <c r="Y19" s="154">
        <v>2.129588</v>
      </c>
      <c r="Z19" s="154">
        <v>2.1519349999999999</v>
      </c>
      <c r="AA19" s="154">
        <v>2.1788129999999999</v>
      </c>
      <c r="AB19" s="154">
        <v>2.2077830000000001</v>
      </c>
      <c r="AC19" s="154">
        <v>2.2373090000000002</v>
      </c>
      <c r="AD19" s="154">
        <v>2.2661419999999999</v>
      </c>
      <c r="AE19" s="154">
        <v>2.2929360000000001</v>
      </c>
      <c r="AF19" s="150">
        <v>4.4079999999999996E-3</v>
      </c>
      <c r="AG19" s="87"/>
    </row>
    <row r="20" spans="1:33" ht="15" customHeight="1" x14ac:dyDescent="0.3">
      <c r="A20" s="92" t="s">
        <v>2714</v>
      </c>
      <c r="B20" s="147" t="s">
        <v>38</v>
      </c>
      <c r="C20" s="156">
        <v>95.471535000000003</v>
      </c>
      <c r="D20" s="156">
        <v>96.375457999999995</v>
      </c>
      <c r="E20" s="156">
        <v>97.356544</v>
      </c>
      <c r="F20" s="156">
        <v>98.505866999999995</v>
      </c>
      <c r="G20" s="156">
        <v>99.569823999999997</v>
      </c>
      <c r="H20" s="156">
        <v>100.589691</v>
      </c>
      <c r="I20" s="156">
        <v>101.705208</v>
      </c>
      <c r="J20" s="156">
        <v>102.923355</v>
      </c>
      <c r="K20" s="156">
        <v>104.220291</v>
      </c>
      <c r="L20" s="156">
        <v>105.565613</v>
      </c>
      <c r="M20" s="156">
        <v>106.88550600000001</v>
      </c>
      <c r="N20" s="156">
        <v>108.131989</v>
      </c>
      <c r="O20" s="156">
        <v>109.30493199999999</v>
      </c>
      <c r="P20" s="156">
        <v>110.401054</v>
      </c>
      <c r="Q20" s="156">
        <v>111.426163</v>
      </c>
      <c r="R20" s="156">
        <v>112.39413500000001</v>
      </c>
      <c r="S20" s="156">
        <v>113.308342</v>
      </c>
      <c r="T20" s="156">
        <v>114.175049</v>
      </c>
      <c r="U20" s="156">
        <v>115.00559199999999</v>
      </c>
      <c r="V20" s="156">
        <v>115.81036400000001</v>
      </c>
      <c r="W20" s="156">
        <v>116.60133399999999</v>
      </c>
      <c r="X20" s="156">
        <v>117.390602</v>
      </c>
      <c r="Y20" s="156">
        <v>118.18693500000001</v>
      </c>
      <c r="Z20" s="156">
        <v>118.99685700000001</v>
      </c>
      <c r="AA20" s="156">
        <v>119.82495900000001</v>
      </c>
      <c r="AB20" s="156">
        <v>120.673317</v>
      </c>
      <c r="AC20" s="156">
        <v>121.542419</v>
      </c>
      <c r="AD20" s="156">
        <v>122.43151899999999</v>
      </c>
      <c r="AE20" s="156">
        <v>123.338425</v>
      </c>
      <c r="AF20" s="152">
        <v>9.1889999999999993E-3</v>
      </c>
      <c r="AG20" s="87"/>
    </row>
    <row r="21" spans="1:33" ht="15" customHeight="1" x14ac:dyDescent="0.3"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</row>
    <row r="22" spans="1:33" ht="15" customHeight="1" x14ac:dyDescent="0.3">
      <c r="B22" s="147" t="s">
        <v>2713</v>
      </c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</row>
    <row r="23" spans="1:33" ht="15" customHeight="1" x14ac:dyDescent="0.3">
      <c r="B23" s="147" t="s">
        <v>45</v>
      </c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</row>
    <row r="24" spans="1:33" ht="15" customHeight="1" x14ac:dyDescent="0.3">
      <c r="A24" s="92" t="s">
        <v>2712</v>
      </c>
      <c r="B24" s="148" t="s">
        <v>2728</v>
      </c>
      <c r="C24" s="154">
        <v>97.783371000000002</v>
      </c>
      <c r="D24" s="154">
        <v>96.373679999999993</v>
      </c>
      <c r="E24" s="154">
        <v>94.586517000000001</v>
      </c>
      <c r="F24" s="154">
        <v>93.941353000000007</v>
      </c>
      <c r="G24" s="154">
        <v>93.461242999999996</v>
      </c>
      <c r="H24" s="154">
        <v>92.806595000000002</v>
      </c>
      <c r="I24" s="154">
        <v>92.461997999999994</v>
      </c>
      <c r="J24" s="154">
        <v>91.902512000000002</v>
      </c>
      <c r="K24" s="154">
        <v>91.177718999999996</v>
      </c>
      <c r="L24" s="154">
        <v>90.426102</v>
      </c>
      <c r="M24" s="154">
        <v>89.704482999999996</v>
      </c>
      <c r="N24" s="154">
        <v>88.942779999999999</v>
      </c>
      <c r="O24" s="154">
        <v>88.203415000000007</v>
      </c>
      <c r="P24" s="154">
        <v>87.533478000000002</v>
      </c>
      <c r="Q24" s="154">
        <v>86.942824999999999</v>
      </c>
      <c r="R24" s="154">
        <v>86.362342999999996</v>
      </c>
      <c r="S24" s="154">
        <v>85.767792</v>
      </c>
      <c r="T24" s="154">
        <v>85.219443999999996</v>
      </c>
      <c r="U24" s="154">
        <v>84.720359999999999</v>
      </c>
      <c r="V24" s="154">
        <v>84.269615000000002</v>
      </c>
      <c r="W24" s="154">
        <v>83.864127999999994</v>
      </c>
      <c r="X24" s="154">
        <v>83.519119000000003</v>
      </c>
      <c r="Y24" s="154">
        <v>83.214995999999999</v>
      </c>
      <c r="Z24" s="154">
        <v>82.896759000000003</v>
      </c>
      <c r="AA24" s="154">
        <v>82.531181000000004</v>
      </c>
      <c r="AB24" s="154">
        <v>82.224677999999997</v>
      </c>
      <c r="AC24" s="154">
        <v>81.96669</v>
      </c>
      <c r="AD24" s="154">
        <v>81.719336999999996</v>
      </c>
      <c r="AE24" s="154">
        <v>81.461876000000004</v>
      </c>
      <c r="AF24" s="150">
        <v>-6.5009999999999998E-3</v>
      </c>
      <c r="AG24" s="87"/>
    </row>
    <row r="25" spans="1:33" ht="15" customHeight="1" x14ac:dyDescent="0.3">
      <c r="A25" s="92" t="s">
        <v>2710</v>
      </c>
      <c r="B25" s="148" t="s">
        <v>2711</v>
      </c>
      <c r="C25" s="154">
        <v>96.520187000000007</v>
      </c>
      <c r="D25" s="154">
        <v>94.907600000000002</v>
      </c>
      <c r="E25" s="154">
        <v>92.965705999999997</v>
      </c>
      <c r="F25" s="154">
        <v>92.204841999999999</v>
      </c>
      <c r="G25" s="154">
        <v>91.668807999999999</v>
      </c>
      <c r="H25" s="154">
        <v>90.945740000000001</v>
      </c>
      <c r="I25" s="154">
        <v>90.547614999999993</v>
      </c>
      <c r="J25" s="154">
        <v>89.897819999999996</v>
      </c>
      <c r="K25" s="154">
        <v>89.117981</v>
      </c>
      <c r="L25" s="154">
        <v>88.313621999999995</v>
      </c>
      <c r="M25" s="154">
        <v>87.548271</v>
      </c>
      <c r="N25" s="154">
        <v>86.710746999999998</v>
      </c>
      <c r="O25" s="154">
        <v>85.890129000000002</v>
      </c>
      <c r="P25" s="154">
        <v>85.181640999999999</v>
      </c>
      <c r="Q25" s="154">
        <v>84.502601999999996</v>
      </c>
      <c r="R25" s="154">
        <v>83.877906999999993</v>
      </c>
      <c r="S25" s="154">
        <v>83.211494000000002</v>
      </c>
      <c r="T25" s="154">
        <v>82.597617999999997</v>
      </c>
      <c r="U25" s="154">
        <v>82.042580000000001</v>
      </c>
      <c r="V25" s="154">
        <v>81.545753000000005</v>
      </c>
      <c r="W25" s="154">
        <v>81.104857999999993</v>
      </c>
      <c r="X25" s="154">
        <v>80.731537000000003</v>
      </c>
      <c r="Y25" s="154">
        <v>80.403251999999995</v>
      </c>
      <c r="Z25" s="154">
        <v>80.062279000000004</v>
      </c>
      <c r="AA25" s="154">
        <v>79.645531000000005</v>
      </c>
      <c r="AB25" s="154">
        <v>79.335136000000006</v>
      </c>
      <c r="AC25" s="154">
        <v>79.057586999999998</v>
      </c>
      <c r="AD25" s="154">
        <v>78.810997</v>
      </c>
      <c r="AE25" s="154">
        <v>78.560989000000006</v>
      </c>
      <c r="AF25" s="150">
        <v>-7.326E-3</v>
      </c>
      <c r="AG25" s="87"/>
    </row>
    <row r="26" spans="1:33" ht="15" customHeight="1" x14ac:dyDescent="0.3"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</row>
    <row r="27" spans="1:33" ht="15" customHeight="1" x14ac:dyDescent="0.3">
      <c r="B27" s="147" t="s">
        <v>2729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</row>
    <row r="28" spans="1:33" ht="15" customHeight="1" x14ac:dyDescent="0.3">
      <c r="B28" s="147" t="s">
        <v>2730</v>
      </c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</row>
    <row r="29" spans="1:33" ht="15" customHeight="1" x14ac:dyDescent="0.3">
      <c r="A29" s="92" t="s">
        <v>2709</v>
      </c>
      <c r="B29" s="148" t="s">
        <v>2778</v>
      </c>
      <c r="C29" s="149">
        <v>0.119273</v>
      </c>
      <c r="D29" s="149">
        <v>0.11836099999999999</v>
      </c>
      <c r="E29" s="149">
        <v>0.110862</v>
      </c>
      <c r="F29" s="149">
        <v>0.111099</v>
      </c>
      <c r="G29" s="149">
        <v>0.111147</v>
      </c>
      <c r="H29" s="149">
        <v>0.11085399999999999</v>
      </c>
      <c r="I29" s="149">
        <v>0.110384</v>
      </c>
      <c r="J29" s="149">
        <v>0.109759</v>
      </c>
      <c r="K29" s="149">
        <v>0.108987</v>
      </c>
      <c r="L29" s="149">
        <v>0.10828500000000001</v>
      </c>
      <c r="M29" s="149">
        <v>0.10747900000000001</v>
      </c>
      <c r="N29" s="149">
        <v>0.106449</v>
      </c>
      <c r="O29" s="149">
        <v>0.10527499999999999</v>
      </c>
      <c r="P29" s="149">
        <v>0.104142</v>
      </c>
      <c r="Q29" s="149">
        <v>0.10298300000000001</v>
      </c>
      <c r="R29" s="149">
        <v>0.10173699999999999</v>
      </c>
      <c r="S29" s="149">
        <v>0.10034700000000001</v>
      </c>
      <c r="T29" s="149">
        <v>9.8874000000000004E-2</v>
      </c>
      <c r="U29" s="149">
        <v>9.7414000000000001E-2</v>
      </c>
      <c r="V29" s="149">
        <v>9.6060000000000006E-2</v>
      </c>
      <c r="W29" s="149">
        <v>9.4757999999999995E-2</v>
      </c>
      <c r="X29" s="149">
        <v>9.3488000000000002E-2</v>
      </c>
      <c r="Y29" s="149">
        <v>9.2216000000000006E-2</v>
      </c>
      <c r="Z29" s="149">
        <v>9.0939000000000006E-2</v>
      </c>
      <c r="AA29" s="149">
        <v>8.9707999999999996E-2</v>
      </c>
      <c r="AB29" s="149">
        <v>8.8523000000000004E-2</v>
      </c>
      <c r="AC29" s="149">
        <v>8.7315000000000004E-2</v>
      </c>
      <c r="AD29" s="149">
        <v>8.6134000000000002E-2</v>
      </c>
      <c r="AE29" s="149">
        <v>8.4989999999999996E-2</v>
      </c>
      <c r="AF29" s="150">
        <v>-1.2030000000000001E-2</v>
      </c>
      <c r="AG29" s="87"/>
    </row>
    <row r="30" spans="1:33" ht="15" customHeight="1" x14ac:dyDescent="0.3">
      <c r="A30" s="92" t="s">
        <v>2708</v>
      </c>
      <c r="B30" s="148" t="s">
        <v>2779</v>
      </c>
      <c r="C30" s="149">
        <v>0.54288000000000003</v>
      </c>
      <c r="D30" s="149">
        <v>0.477379</v>
      </c>
      <c r="E30" s="149">
        <v>0.55079100000000003</v>
      </c>
      <c r="F30" s="149">
        <v>0.56004500000000002</v>
      </c>
      <c r="G30" s="149">
        <v>0.56774999999999998</v>
      </c>
      <c r="H30" s="149">
        <v>0.57508499999999996</v>
      </c>
      <c r="I30" s="149">
        <v>0.58246200000000004</v>
      </c>
      <c r="J30" s="149">
        <v>0.58957300000000001</v>
      </c>
      <c r="K30" s="149">
        <v>0.59539600000000004</v>
      </c>
      <c r="L30" s="149">
        <v>0.601495</v>
      </c>
      <c r="M30" s="149">
        <v>0.60778500000000002</v>
      </c>
      <c r="N30" s="149">
        <v>0.61240499999999998</v>
      </c>
      <c r="O30" s="149">
        <v>0.61662799999999995</v>
      </c>
      <c r="P30" s="149">
        <v>0.62129199999999996</v>
      </c>
      <c r="Q30" s="149">
        <v>0.62604599999999999</v>
      </c>
      <c r="R30" s="149">
        <v>0.63073500000000005</v>
      </c>
      <c r="S30" s="149">
        <v>0.63493599999999994</v>
      </c>
      <c r="T30" s="149">
        <v>0.63913600000000004</v>
      </c>
      <c r="U30" s="149">
        <v>0.64287499999999997</v>
      </c>
      <c r="V30" s="149">
        <v>0.647011</v>
      </c>
      <c r="W30" s="149">
        <v>0.65148700000000004</v>
      </c>
      <c r="X30" s="149">
        <v>0.65618699999999996</v>
      </c>
      <c r="Y30" s="149">
        <v>0.66127499999999995</v>
      </c>
      <c r="Z30" s="149">
        <v>0.66691500000000004</v>
      </c>
      <c r="AA30" s="149">
        <v>0.67370399999999997</v>
      </c>
      <c r="AB30" s="149">
        <v>0.68126399999999998</v>
      </c>
      <c r="AC30" s="149">
        <v>0.68905400000000006</v>
      </c>
      <c r="AD30" s="149">
        <v>0.696994</v>
      </c>
      <c r="AE30" s="149">
        <v>0.70569899999999997</v>
      </c>
      <c r="AF30" s="150">
        <v>9.4120000000000002E-3</v>
      </c>
      <c r="AG30" s="87"/>
    </row>
    <row r="31" spans="1:33" ht="12" x14ac:dyDescent="0.3">
      <c r="A31" s="92" t="s">
        <v>2707</v>
      </c>
      <c r="B31" s="148" t="s">
        <v>2780</v>
      </c>
      <c r="C31" s="149">
        <v>2.4215E-2</v>
      </c>
      <c r="D31" s="149">
        <v>2.3555E-2</v>
      </c>
      <c r="E31" s="149">
        <v>2.3130000000000001E-2</v>
      </c>
      <c r="F31" s="149">
        <v>2.2870000000000001E-2</v>
      </c>
      <c r="G31" s="149">
        <v>2.2631999999999999E-2</v>
      </c>
      <c r="H31" s="149">
        <v>2.2556E-2</v>
      </c>
      <c r="I31" s="149">
        <v>2.2463E-2</v>
      </c>
      <c r="J31" s="149">
        <v>2.2349999999999998E-2</v>
      </c>
      <c r="K31" s="149">
        <v>2.2206E-2</v>
      </c>
      <c r="L31" s="149">
        <v>2.2058999999999999E-2</v>
      </c>
      <c r="M31" s="149">
        <v>2.1898999999999998E-2</v>
      </c>
      <c r="N31" s="149">
        <v>2.1687999999999999E-2</v>
      </c>
      <c r="O31" s="149">
        <v>2.1453E-2</v>
      </c>
      <c r="P31" s="149">
        <v>2.1236000000000001E-2</v>
      </c>
      <c r="Q31" s="149">
        <v>2.1016E-2</v>
      </c>
      <c r="R31" s="149">
        <v>2.0782999999999999E-2</v>
      </c>
      <c r="S31" s="149">
        <v>2.0525999999999999E-2</v>
      </c>
      <c r="T31" s="149">
        <v>2.0267E-2</v>
      </c>
      <c r="U31" s="149">
        <v>2.001E-2</v>
      </c>
      <c r="V31" s="149">
        <v>1.9778E-2</v>
      </c>
      <c r="W31" s="149">
        <v>1.9556E-2</v>
      </c>
      <c r="X31" s="149">
        <v>1.9342000000000002E-2</v>
      </c>
      <c r="Y31" s="149">
        <v>1.9133000000000001E-2</v>
      </c>
      <c r="Z31" s="149">
        <v>1.8929999999999999E-2</v>
      </c>
      <c r="AA31" s="149">
        <v>1.8741000000000001E-2</v>
      </c>
      <c r="AB31" s="149">
        <v>1.857E-2</v>
      </c>
      <c r="AC31" s="149">
        <v>1.84E-2</v>
      </c>
      <c r="AD31" s="149">
        <v>1.8238999999999998E-2</v>
      </c>
      <c r="AE31" s="149">
        <v>1.8093999999999999E-2</v>
      </c>
      <c r="AF31" s="150">
        <v>-1.0354E-2</v>
      </c>
      <c r="AG31" s="87"/>
    </row>
    <row r="32" spans="1:33" ht="12" x14ac:dyDescent="0.3">
      <c r="A32" s="92" t="s">
        <v>2706</v>
      </c>
      <c r="B32" s="148" t="s">
        <v>2668</v>
      </c>
      <c r="C32" s="149">
        <v>0.41879300000000003</v>
      </c>
      <c r="D32" s="149">
        <v>0.407891</v>
      </c>
      <c r="E32" s="149">
        <v>0.40001900000000001</v>
      </c>
      <c r="F32" s="149">
        <v>0.394285</v>
      </c>
      <c r="G32" s="149">
        <v>0.38813999999999999</v>
      </c>
      <c r="H32" s="149">
        <v>0.38119500000000001</v>
      </c>
      <c r="I32" s="149">
        <v>0.37394899999999998</v>
      </c>
      <c r="J32" s="149">
        <v>0.36649399999999999</v>
      </c>
      <c r="K32" s="149">
        <v>0.35841099999999998</v>
      </c>
      <c r="L32" s="149">
        <v>0.35066599999999998</v>
      </c>
      <c r="M32" s="149">
        <v>0.34295799999999999</v>
      </c>
      <c r="N32" s="149">
        <v>0.33487299999999998</v>
      </c>
      <c r="O32" s="149">
        <v>0.32677299999999998</v>
      </c>
      <c r="P32" s="149">
        <v>0.31914799999999999</v>
      </c>
      <c r="Q32" s="149">
        <v>0.311811</v>
      </c>
      <c r="R32" s="149">
        <v>0.30456</v>
      </c>
      <c r="S32" s="149">
        <v>0.29719499999999999</v>
      </c>
      <c r="T32" s="149">
        <v>0.28995700000000002</v>
      </c>
      <c r="U32" s="149">
        <v>0.28303099999999998</v>
      </c>
      <c r="V32" s="149">
        <v>0.276615</v>
      </c>
      <c r="W32" s="149">
        <v>0.270569</v>
      </c>
      <c r="X32" s="149">
        <v>0.26481399999999999</v>
      </c>
      <c r="Y32" s="149">
        <v>0.25929200000000002</v>
      </c>
      <c r="Z32" s="149">
        <v>0.25397799999999998</v>
      </c>
      <c r="AA32" s="149">
        <v>0.24892300000000001</v>
      </c>
      <c r="AB32" s="149">
        <v>0.24418300000000001</v>
      </c>
      <c r="AC32" s="149">
        <v>0.239593</v>
      </c>
      <c r="AD32" s="149">
        <v>0.23527899999999999</v>
      </c>
      <c r="AE32" s="149">
        <v>0.23125899999999999</v>
      </c>
      <c r="AF32" s="150">
        <v>-2.0985E-2</v>
      </c>
      <c r="AG32" s="87"/>
    </row>
    <row r="33" spans="1:33" ht="12" x14ac:dyDescent="0.3">
      <c r="A33" s="92" t="s">
        <v>2705</v>
      </c>
      <c r="B33" s="148" t="s">
        <v>57</v>
      </c>
      <c r="C33" s="149">
        <v>8.2377000000000006E-2</v>
      </c>
      <c r="D33" s="149">
        <v>8.1711000000000006E-2</v>
      </c>
      <c r="E33" s="149">
        <v>8.1786999999999999E-2</v>
      </c>
      <c r="F33" s="149">
        <v>8.2300999999999999E-2</v>
      </c>
      <c r="G33" s="149">
        <v>8.2629999999999995E-2</v>
      </c>
      <c r="H33" s="149">
        <v>8.2722000000000004E-2</v>
      </c>
      <c r="I33" s="149">
        <v>8.2723000000000005E-2</v>
      </c>
      <c r="J33" s="149">
        <v>8.2640000000000005E-2</v>
      </c>
      <c r="K33" s="149">
        <v>8.2437999999999997E-2</v>
      </c>
      <c r="L33" s="149">
        <v>8.2239999999999994E-2</v>
      </c>
      <c r="M33" s="149">
        <v>8.1999000000000002E-2</v>
      </c>
      <c r="N33" s="149">
        <v>8.1576999999999997E-2</v>
      </c>
      <c r="O33" s="149">
        <v>8.1060999999999994E-2</v>
      </c>
      <c r="P33" s="149">
        <v>8.0576999999999996E-2</v>
      </c>
      <c r="Q33" s="149">
        <v>8.0064999999999997E-2</v>
      </c>
      <c r="R33" s="149">
        <v>7.9491000000000006E-2</v>
      </c>
      <c r="S33" s="149">
        <v>7.8826999999999994E-2</v>
      </c>
      <c r="T33" s="149">
        <v>7.8130000000000005E-2</v>
      </c>
      <c r="U33" s="149">
        <v>7.7412999999999996E-2</v>
      </c>
      <c r="V33" s="149">
        <v>7.6771000000000006E-2</v>
      </c>
      <c r="W33" s="149">
        <v>7.6152999999999998E-2</v>
      </c>
      <c r="X33" s="149">
        <v>7.5556999999999999E-2</v>
      </c>
      <c r="Y33" s="149">
        <v>7.4978000000000003E-2</v>
      </c>
      <c r="Z33" s="149">
        <v>7.4414999999999995E-2</v>
      </c>
      <c r="AA33" s="149">
        <v>7.3903999999999997E-2</v>
      </c>
      <c r="AB33" s="149">
        <v>7.3455999999999994E-2</v>
      </c>
      <c r="AC33" s="149">
        <v>7.2993000000000002E-2</v>
      </c>
      <c r="AD33" s="149">
        <v>7.2537000000000004E-2</v>
      </c>
      <c r="AE33" s="149">
        <v>7.2122000000000006E-2</v>
      </c>
      <c r="AF33" s="150">
        <v>-4.7369999999999999E-3</v>
      </c>
      <c r="AG33" s="87"/>
    </row>
    <row r="34" spans="1:33" ht="12" x14ac:dyDescent="0.3">
      <c r="A34" s="92" t="s">
        <v>2704</v>
      </c>
      <c r="B34" s="148" t="s">
        <v>63</v>
      </c>
      <c r="C34" s="149">
        <v>0.49728099999999997</v>
      </c>
      <c r="D34" s="149">
        <v>0.48855999999999999</v>
      </c>
      <c r="E34" s="149">
        <v>0.48579499999999998</v>
      </c>
      <c r="F34" s="149">
        <v>0.48757200000000001</v>
      </c>
      <c r="G34" s="149">
        <v>0.48936600000000002</v>
      </c>
      <c r="H34" s="149">
        <v>0.490566</v>
      </c>
      <c r="I34" s="149">
        <v>0.49202499999999999</v>
      </c>
      <c r="J34" s="149">
        <v>0.49368899999999999</v>
      </c>
      <c r="K34" s="149">
        <v>0.49101899999999998</v>
      </c>
      <c r="L34" s="149">
        <v>0.48896099999999998</v>
      </c>
      <c r="M34" s="149">
        <v>0.48697299999999999</v>
      </c>
      <c r="N34" s="149">
        <v>0.48422700000000002</v>
      </c>
      <c r="O34" s="149">
        <v>0.48097899999999999</v>
      </c>
      <c r="P34" s="149">
        <v>0.47800999999999999</v>
      </c>
      <c r="Q34" s="149">
        <v>0.474966</v>
      </c>
      <c r="R34" s="149">
        <v>0.47095500000000001</v>
      </c>
      <c r="S34" s="149">
        <v>0.46600999999999998</v>
      </c>
      <c r="T34" s="149">
        <v>0.45994200000000002</v>
      </c>
      <c r="U34" s="149">
        <v>0.45792899999999997</v>
      </c>
      <c r="V34" s="149">
        <v>0.45681100000000002</v>
      </c>
      <c r="W34" s="149">
        <v>0.45597100000000002</v>
      </c>
      <c r="X34" s="149">
        <v>0.45552999999999999</v>
      </c>
      <c r="Y34" s="149">
        <v>0.455459</v>
      </c>
      <c r="Z34" s="149">
        <v>0.45567999999999997</v>
      </c>
      <c r="AA34" s="149">
        <v>0.45632899999999998</v>
      </c>
      <c r="AB34" s="149">
        <v>0.45772200000000002</v>
      </c>
      <c r="AC34" s="149">
        <v>0.45915800000000001</v>
      </c>
      <c r="AD34" s="149">
        <v>0.460843</v>
      </c>
      <c r="AE34" s="149">
        <v>0.46300400000000003</v>
      </c>
      <c r="AF34" s="150">
        <v>-2.5469999999999998E-3</v>
      </c>
      <c r="AG34" s="87"/>
    </row>
    <row r="35" spans="1:33" ht="12" x14ac:dyDescent="0.3">
      <c r="A35" s="92" t="s">
        <v>2703</v>
      </c>
      <c r="B35" s="148" t="s">
        <v>55</v>
      </c>
      <c r="C35" s="149">
        <v>0.603352</v>
      </c>
      <c r="D35" s="149">
        <v>0.60135499999999997</v>
      </c>
      <c r="E35" s="149">
        <v>0.60267999999999999</v>
      </c>
      <c r="F35" s="149">
        <v>0.60644600000000004</v>
      </c>
      <c r="G35" s="149">
        <v>0.60968599999999995</v>
      </c>
      <c r="H35" s="149">
        <v>0.61227900000000002</v>
      </c>
      <c r="I35" s="149">
        <v>0.61520399999999997</v>
      </c>
      <c r="J35" s="149">
        <v>0.61849299999999996</v>
      </c>
      <c r="K35" s="149">
        <v>0.62074799999999997</v>
      </c>
      <c r="L35" s="149">
        <v>0.62390000000000001</v>
      </c>
      <c r="M35" s="149">
        <v>0.62699000000000005</v>
      </c>
      <c r="N35" s="149">
        <v>0.62938700000000003</v>
      </c>
      <c r="O35" s="149">
        <v>0.63132500000000003</v>
      </c>
      <c r="P35" s="149">
        <v>0.63321400000000005</v>
      </c>
      <c r="Q35" s="149">
        <v>0.63485499999999995</v>
      </c>
      <c r="R35" s="149">
        <v>0.63615500000000003</v>
      </c>
      <c r="S35" s="149">
        <v>0.636938</v>
      </c>
      <c r="T35" s="149">
        <v>0.63747399999999999</v>
      </c>
      <c r="U35" s="149">
        <v>0.63791900000000001</v>
      </c>
      <c r="V35" s="149">
        <v>0.63905800000000001</v>
      </c>
      <c r="W35" s="149">
        <v>0.64029400000000003</v>
      </c>
      <c r="X35" s="149">
        <v>0.64160899999999998</v>
      </c>
      <c r="Y35" s="149">
        <v>0.642984</v>
      </c>
      <c r="Z35" s="149">
        <v>0.64441700000000002</v>
      </c>
      <c r="AA35" s="149">
        <v>0.64599600000000001</v>
      </c>
      <c r="AB35" s="149">
        <v>0.64779299999999995</v>
      </c>
      <c r="AC35" s="149">
        <v>0.64965700000000004</v>
      </c>
      <c r="AD35" s="149">
        <v>0.65169699999999997</v>
      </c>
      <c r="AE35" s="149">
        <v>0.65393400000000002</v>
      </c>
      <c r="AF35" s="150">
        <v>2.879E-3</v>
      </c>
      <c r="AG35" s="87"/>
    </row>
    <row r="36" spans="1:33" ht="12" x14ac:dyDescent="0.3">
      <c r="A36" s="92" t="s">
        <v>2702</v>
      </c>
      <c r="B36" s="148" t="s">
        <v>2663</v>
      </c>
      <c r="C36" s="149">
        <v>0.43073600000000001</v>
      </c>
      <c r="D36" s="149">
        <v>0.434585</v>
      </c>
      <c r="E36" s="149">
        <v>0.43993500000000002</v>
      </c>
      <c r="F36" s="149">
        <v>0.447378</v>
      </c>
      <c r="G36" s="149">
        <v>0.45436900000000002</v>
      </c>
      <c r="H36" s="149">
        <v>0.46098600000000001</v>
      </c>
      <c r="I36" s="149">
        <v>0.46887200000000001</v>
      </c>
      <c r="J36" s="149">
        <v>0.477159</v>
      </c>
      <c r="K36" s="149">
        <v>0.48619699999999999</v>
      </c>
      <c r="L36" s="149">
        <v>0.49543300000000001</v>
      </c>
      <c r="M36" s="149">
        <v>0.50508200000000003</v>
      </c>
      <c r="N36" s="149">
        <v>0.51431199999999999</v>
      </c>
      <c r="O36" s="149">
        <v>0.52371100000000004</v>
      </c>
      <c r="P36" s="149">
        <v>0.53291500000000003</v>
      </c>
      <c r="Q36" s="149">
        <v>0.54290400000000005</v>
      </c>
      <c r="R36" s="149">
        <v>0.55216500000000002</v>
      </c>
      <c r="S36" s="149">
        <v>0.56217499999999998</v>
      </c>
      <c r="T36" s="149">
        <v>0.57200700000000004</v>
      </c>
      <c r="U36" s="149">
        <v>0.58174599999999999</v>
      </c>
      <c r="V36" s="149">
        <v>0.59145400000000004</v>
      </c>
      <c r="W36" s="149">
        <v>0.60173699999999997</v>
      </c>
      <c r="X36" s="149">
        <v>0.61264799999999997</v>
      </c>
      <c r="Y36" s="149">
        <v>0.62317100000000003</v>
      </c>
      <c r="Z36" s="149">
        <v>0.63440600000000003</v>
      </c>
      <c r="AA36" s="149">
        <v>0.64643499999999998</v>
      </c>
      <c r="AB36" s="149">
        <v>0.65822099999999995</v>
      </c>
      <c r="AC36" s="149">
        <v>0.67073700000000003</v>
      </c>
      <c r="AD36" s="149">
        <v>0.68349800000000005</v>
      </c>
      <c r="AE36" s="149">
        <v>0.69654000000000005</v>
      </c>
      <c r="AF36" s="150">
        <v>1.7312999999999999E-2</v>
      </c>
      <c r="AG36" s="87"/>
    </row>
    <row r="37" spans="1:33" ht="12" x14ac:dyDescent="0.3">
      <c r="A37" s="92" t="s">
        <v>2701</v>
      </c>
      <c r="B37" s="148" t="s">
        <v>2661</v>
      </c>
      <c r="C37" s="149">
        <v>0.174708</v>
      </c>
      <c r="D37" s="149">
        <v>0.173262</v>
      </c>
      <c r="E37" s="149">
        <v>0.17277699999999999</v>
      </c>
      <c r="F37" s="149">
        <v>0.17319300000000001</v>
      </c>
      <c r="G37" s="149">
        <v>0.17386399999999999</v>
      </c>
      <c r="H37" s="149">
        <v>0.174594</v>
      </c>
      <c r="I37" s="149">
        <v>0.17566599999999999</v>
      </c>
      <c r="J37" s="149">
        <v>0.17710699999999999</v>
      </c>
      <c r="K37" s="149">
        <v>0.17887400000000001</v>
      </c>
      <c r="L37" s="149">
        <v>0.180673</v>
      </c>
      <c r="M37" s="149">
        <v>0.18267900000000001</v>
      </c>
      <c r="N37" s="149">
        <v>0.184498</v>
      </c>
      <c r="O37" s="149">
        <v>0.185888</v>
      </c>
      <c r="P37" s="149">
        <v>0.18745700000000001</v>
      </c>
      <c r="Q37" s="149">
        <v>0.18862699999999999</v>
      </c>
      <c r="R37" s="149">
        <v>0.18968199999999999</v>
      </c>
      <c r="S37" s="149">
        <v>0.190608</v>
      </c>
      <c r="T37" s="149">
        <v>0.190859</v>
      </c>
      <c r="U37" s="149">
        <v>0.19103999999999999</v>
      </c>
      <c r="V37" s="149">
        <v>0.19087699999999999</v>
      </c>
      <c r="W37" s="149">
        <v>0.19009000000000001</v>
      </c>
      <c r="X37" s="149">
        <v>0.18897900000000001</v>
      </c>
      <c r="Y37" s="149">
        <v>0.18754999999999999</v>
      </c>
      <c r="Z37" s="149">
        <v>0.1855</v>
      </c>
      <c r="AA37" s="149">
        <v>0.183143</v>
      </c>
      <c r="AB37" s="149">
        <v>0.180174</v>
      </c>
      <c r="AC37" s="149">
        <v>0.176542</v>
      </c>
      <c r="AD37" s="149">
        <v>0.17224400000000001</v>
      </c>
      <c r="AE37" s="149">
        <v>0.16695299999999999</v>
      </c>
      <c r="AF37" s="150">
        <v>-1.6199999999999999E-3</v>
      </c>
      <c r="AG37" s="87"/>
    </row>
    <row r="38" spans="1:33" ht="12" x14ac:dyDescent="0.3">
      <c r="A38" s="92" t="s">
        <v>2700</v>
      </c>
      <c r="B38" s="148" t="s">
        <v>2694</v>
      </c>
      <c r="C38" s="149">
        <v>1.8214999999999999</v>
      </c>
      <c r="D38" s="149">
        <v>1.853537</v>
      </c>
      <c r="E38" s="149">
        <v>1.8354539999999999</v>
      </c>
      <c r="F38" s="149">
        <v>1.821644</v>
      </c>
      <c r="G38" s="149">
        <v>1.820174</v>
      </c>
      <c r="H38" s="149">
        <v>1.8173820000000001</v>
      </c>
      <c r="I38" s="149">
        <v>1.8377559999999999</v>
      </c>
      <c r="J38" s="149">
        <v>1.8595930000000001</v>
      </c>
      <c r="K38" s="149">
        <v>1.882188</v>
      </c>
      <c r="L38" s="149">
        <v>1.9058200000000001</v>
      </c>
      <c r="M38" s="149">
        <v>1.9294819999999999</v>
      </c>
      <c r="N38" s="149">
        <v>1.951943</v>
      </c>
      <c r="O38" s="149">
        <v>1.9733750000000001</v>
      </c>
      <c r="P38" s="149">
        <v>1.994686</v>
      </c>
      <c r="Q38" s="149">
        <v>2.0159479999999999</v>
      </c>
      <c r="R38" s="149">
        <v>2.0364469999999999</v>
      </c>
      <c r="S38" s="149">
        <v>2.0566209999999998</v>
      </c>
      <c r="T38" s="149">
        <v>2.0767880000000001</v>
      </c>
      <c r="U38" s="149">
        <v>2.096851</v>
      </c>
      <c r="V38" s="149">
        <v>2.1177489999999999</v>
      </c>
      <c r="W38" s="149">
        <v>2.1392600000000002</v>
      </c>
      <c r="X38" s="149">
        <v>2.1619060000000001</v>
      </c>
      <c r="Y38" s="149">
        <v>2.1855560000000001</v>
      </c>
      <c r="Z38" s="149">
        <v>2.21069</v>
      </c>
      <c r="AA38" s="149">
        <v>2.236834</v>
      </c>
      <c r="AB38" s="149">
        <v>2.2647439999999999</v>
      </c>
      <c r="AC38" s="149">
        <v>2.2939790000000002</v>
      </c>
      <c r="AD38" s="149">
        <v>2.3243649999999998</v>
      </c>
      <c r="AE38" s="149">
        <v>2.3563890000000001</v>
      </c>
      <c r="AF38" s="150">
        <v>9.2379999999999997E-3</v>
      </c>
      <c r="AG38" s="87"/>
    </row>
    <row r="39" spans="1:33" ht="12" x14ac:dyDescent="0.3">
      <c r="A39" s="92" t="s">
        <v>2781</v>
      </c>
      <c r="B39" s="147" t="s">
        <v>2735</v>
      </c>
      <c r="C39" s="151">
        <v>4.7151149999999999</v>
      </c>
      <c r="D39" s="151">
        <v>4.660196</v>
      </c>
      <c r="E39" s="151">
        <v>4.7032290000000003</v>
      </c>
      <c r="F39" s="151">
        <v>4.7068329999999996</v>
      </c>
      <c r="G39" s="151">
        <v>4.7197579999999997</v>
      </c>
      <c r="H39" s="151">
        <v>4.7282190000000002</v>
      </c>
      <c r="I39" s="151">
        <v>4.7615030000000003</v>
      </c>
      <c r="J39" s="151">
        <v>4.796856</v>
      </c>
      <c r="K39" s="151">
        <v>4.8264649999999998</v>
      </c>
      <c r="L39" s="151">
        <v>4.8595329999999999</v>
      </c>
      <c r="M39" s="151">
        <v>4.8933260000000001</v>
      </c>
      <c r="N39" s="151">
        <v>4.92136</v>
      </c>
      <c r="O39" s="151">
        <v>4.9464670000000002</v>
      </c>
      <c r="P39" s="151">
        <v>4.9726759999999999</v>
      </c>
      <c r="Q39" s="151">
        <v>4.9992200000000002</v>
      </c>
      <c r="R39" s="151">
        <v>5.0227110000000001</v>
      </c>
      <c r="S39" s="151">
        <v>5.0441830000000003</v>
      </c>
      <c r="T39" s="151">
        <v>5.063434</v>
      </c>
      <c r="U39" s="151">
        <v>5.0862280000000002</v>
      </c>
      <c r="V39" s="151">
        <v>5.1121850000000002</v>
      </c>
      <c r="W39" s="151">
        <v>5.139875</v>
      </c>
      <c r="X39" s="151">
        <v>5.1700590000000002</v>
      </c>
      <c r="Y39" s="151">
        <v>5.201613</v>
      </c>
      <c r="Z39" s="151">
        <v>5.2358710000000004</v>
      </c>
      <c r="AA39" s="151">
        <v>5.2737179999999997</v>
      </c>
      <c r="AB39" s="151">
        <v>5.3146490000000002</v>
      </c>
      <c r="AC39" s="151">
        <v>5.3574289999999998</v>
      </c>
      <c r="AD39" s="151">
        <v>5.4018309999999996</v>
      </c>
      <c r="AE39" s="151">
        <v>5.448982</v>
      </c>
      <c r="AF39" s="152">
        <v>5.1799999999999997E-3</v>
      </c>
      <c r="AG39" s="87"/>
    </row>
    <row r="40" spans="1:33" ht="12" x14ac:dyDescent="0.3">
      <c r="A40" s="92" t="s">
        <v>2782</v>
      </c>
      <c r="B40" s="148" t="s">
        <v>2897</v>
      </c>
      <c r="C40" s="149">
        <v>0.120598</v>
      </c>
      <c r="D40" s="149">
        <v>0.141293</v>
      </c>
      <c r="E40" s="149">
        <v>0.15779599999999999</v>
      </c>
      <c r="F40" s="149">
        <v>0.17105699999999999</v>
      </c>
      <c r="G40" s="149">
        <v>0.17847299999999999</v>
      </c>
      <c r="H40" s="149">
        <v>0.18718199999999999</v>
      </c>
      <c r="I40" s="149">
        <v>0.19470299999999999</v>
      </c>
      <c r="J40" s="149">
        <v>0.20632900000000001</v>
      </c>
      <c r="K40" s="149">
        <v>0.214666</v>
      </c>
      <c r="L40" s="149">
        <v>0.22300600000000001</v>
      </c>
      <c r="M40" s="149">
        <v>0.23046800000000001</v>
      </c>
      <c r="N40" s="149">
        <v>0.24135400000000001</v>
      </c>
      <c r="O40" s="149">
        <v>0.25285299999999999</v>
      </c>
      <c r="P40" s="149">
        <v>0.25964599999999999</v>
      </c>
      <c r="Q40" s="149">
        <v>0.27190500000000001</v>
      </c>
      <c r="R40" s="149">
        <v>0.27923599999999998</v>
      </c>
      <c r="S40" s="149">
        <v>0.28964899999999999</v>
      </c>
      <c r="T40" s="149">
        <v>0.299346</v>
      </c>
      <c r="U40" s="149">
        <v>0.30795899999999998</v>
      </c>
      <c r="V40" s="149">
        <v>0.31545000000000001</v>
      </c>
      <c r="W40" s="149">
        <v>0.32173499999999999</v>
      </c>
      <c r="X40" s="149">
        <v>0.32723600000000003</v>
      </c>
      <c r="Y40" s="149">
        <v>0.33231100000000002</v>
      </c>
      <c r="Z40" s="149">
        <v>0.33729500000000001</v>
      </c>
      <c r="AA40" s="149">
        <v>0.34577400000000003</v>
      </c>
      <c r="AB40" s="149">
        <v>0.34869</v>
      </c>
      <c r="AC40" s="149">
        <v>0.35358000000000001</v>
      </c>
      <c r="AD40" s="149">
        <v>0.35607299999999997</v>
      </c>
      <c r="AE40" s="149">
        <v>0.35779100000000003</v>
      </c>
      <c r="AF40" s="150">
        <v>3.9602999999999999E-2</v>
      </c>
      <c r="AG40" s="87"/>
    </row>
    <row r="41" spans="1:33" ht="12" x14ac:dyDescent="0.3">
      <c r="A41" s="92" t="s">
        <v>2783</v>
      </c>
      <c r="B41" s="147" t="s">
        <v>2739</v>
      </c>
      <c r="C41" s="151">
        <v>4.5945159999999996</v>
      </c>
      <c r="D41" s="151">
        <v>4.5189029999999999</v>
      </c>
      <c r="E41" s="151">
        <v>4.5454340000000002</v>
      </c>
      <c r="F41" s="151">
        <v>4.5357770000000004</v>
      </c>
      <c r="G41" s="151">
        <v>4.5412850000000002</v>
      </c>
      <c r="H41" s="151">
        <v>4.5410360000000001</v>
      </c>
      <c r="I41" s="151">
        <v>4.5667999999999997</v>
      </c>
      <c r="J41" s="151">
        <v>4.5905269999999998</v>
      </c>
      <c r="K41" s="151">
        <v>4.6117980000000003</v>
      </c>
      <c r="L41" s="151">
        <v>4.6365270000000001</v>
      </c>
      <c r="M41" s="151">
        <v>4.6628579999999999</v>
      </c>
      <c r="N41" s="151">
        <v>4.6800059999999997</v>
      </c>
      <c r="O41" s="151">
        <v>4.6936140000000002</v>
      </c>
      <c r="P41" s="151">
        <v>4.7130299999999998</v>
      </c>
      <c r="Q41" s="151">
        <v>4.7273149999999999</v>
      </c>
      <c r="R41" s="151">
        <v>4.7434750000000001</v>
      </c>
      <c r="S41" s="151">
        <v>4.7545330000000003</v>
      </c>
      <c r="T41" s="151">
        <v>4.7640880000000001</v>
      </c>
      <c r="U41" s="151">
        <v>4.77827</v>
      </c>
      <c r="V41" s="151">
        <v>4.796735</v>
      </c>
      <c r="W41" s="151">
        <v>4.8181409999999998</v>
      </c>
      <c r="X41" s="151">
        <v>4.8428240000000002</v>
      </c>
      <c r="Y41" s="151">
        <v>4.8693020000000002</v>
      </c>
      <c r="Z41" s="151">
        <v>4.8985760000000003</v>
      </c>
      <c r="AA41" s="151">
        <v>4.9279440000000001</v>
      </c>
      <c r="AB41" s="151">
        <v>4.9659589999999998</v>
      </c>
      <c r="AC41" s="151">
        <v>5.0038489999999998</v>
      </c>
      <c r="AD41" s="151">
        <v>5.045757</v>
      </c>
      <c r="AE41" s="151">
        <v>5.0911910000000002</v>
      </c>
      <c r="AF41" s="152">
        <v>3.673E-3</v>
      </c>
      <c r="AG41" s="87"/>
    </row>
    <row r="42" spans="1:33" ht="12" x14ac:dyDescent="0.3"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</row>
    <row r="43" spans="1:33" ht="12" x14ac:dyDescent="0.3">
      <c r="B43" s="147" t="s">
        <v>74</v>
      </c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</row>
    <row r="44" spans="1:33" ht="12" x14ac:dyDescent="0.3">
      <c r="A44" s="92" t="s">
        <v>2699</v>
      </c>
      <c r="B44" s="148" t="s">
        <v>2778</v>
      </c>
      <c r="C44" s="149">
        <v>1.8254539999999999</v>
      </c>
      <c r="D44" s="149">
        <v>1.7947</v>
      </c>
      <c r="E44" s="149">
        <v>1.7061729999999999</v>
      </c>
      <c r="F44" s="149">
        <v>1.7385660000000001</v>
      </c>
      <c r="G44" s="149">
        <v>1.7639400000000001</v>
      </c>
      <c r="H44" s="149">
        <v>1.779544</v>
      </c>
      <c r="I44" s="149">
        <v>1.788921</v>
      </c>
      <c r="J44" s="149">
        <v>1.79061</v>
      </c>
      <c r="K44" s="149">
        <v>1.7890999999999999</v>
      </c>
      <c r="L44" s="149">
        <v>1.787161</v>
      </c>
      <c r="M44" s="149">
        <v>1.7835300000000001</v>
      </c>
      <c r="N44" s="149">
        <v>1.776289</v>
      </c>
      <c r="O44" s="149">
        <v>1.7674780000000001</v>
      </c>
      <c r="P44" s="149">
        <v>1.757646</v>
      </c>
      <c r="Q44" s="149">
        <v>1.748321</v>
      </c>
      <c r="R44" s="149">
        <v>1.738137</v>
      </c>
      <c r="S44" s="149">
        <v>1.7250220000000001</v>
      </c>
      <c r="T44" s="149">
        <v>1.7127330000000001</v>
      </c>
      <c r="U44" s="149">
        <v>1.699783</v>
      </c>
      <c r="V44" s="149">
        <v>1.686558</v>
      </c>
      <c r="W44" s="149">
        <v>1.6739850000000001</v>
      </c>
      <c r="X44" s="149">
        <v>1.6631689999999999</v>
      </c>
      <c r="Y44" s="149">
        <v>1.6539790000000001</v>
      </c>
      <c r="Z44" s="149">
        <v>1.642917</v>
      </c>
      <c r="AA44" s="149">
        <v>1.629286</v>
      </c>
      <c r="AB44" s="149">
        <v>1.6173420000000001</v>
      </c>
      <c r="AC44" s="149">
        <v>1.6073139999999999</v>
      </c>
      <c r="AD44" s="149">
        <v>1.5970869999999999</v>
      </c>
      <c r="AE44" s="149">
        <v>1.5851690000000001</v>
      </c>
      <c r="AF44" s="150">
        <v>-5.0280000000000004E-3</v>
      </c>
      <c r="AG44" s="87"/>
    </row>
    <row r="45" spans="1:33" ht="12" x14ac:dyDescent="0.3">
      <c r="A45" s="92" t="s">
        <v>2698</v>
      </c>
      <c r="B45" s="148" t="s">
        <v>2779</v>
      </c>
      <c r="C45" s="149">
        <v>2.4829E-2</v>
      </c>
      <c r="D45" s="149">
        <v>1.9927E-2</v>
      </c>
      <c r="E45" s="149">
        <v>2.5627E-2</v>
      </c>
      <c r="F45" s="149">
        <v>2.5995000000000001E-2</v>
      </c>
      <c r="G45" s="149">
        <v>2.6231999999999998E-2</v>
      </c>
      <c r="H45" s="149">
        <v>2.6372E-2</v>
      </c>
      <c r="I45" s="149">
        <v>2.6435E-2</v>
      </c>
      <c r="J45" s="149">
        <v>2.6429000000000001E-2</v>
      </c>
      <c r="K45" s="149">
        <v>2.6391000000000001E-2</v>
      </c>
      <c r="L45" s="149">
        <v>2.6353000000000001E-2</v>
      </c>
      <c r="M45" s="149">
        <v>2.6314000000000001E-2</v>
      </c>
      <c r="N45" s="149">
        <v>2.6221000000000001E-2</v>
      </c>
      <c r="O45" s="149">
        <v>2.6134999999999999E-2</v>
      </c>
      <c r="P45" s="149">
        <v>2.6053E-2</v>
      </c>
      <c r="Q45" s="149">
        <v>2.5982000000000002E-2</v>
      </c>
      <c r="R45" s="149">
        <v>2.5909000000000001E-2</v>
      </c>
      <c r="S45" s="149">
        <v>2.5794000000000001E-2</v>
      </c>
      <c r="T45" s="149">
        <v>2.5696E-2</v>
      </c>
      <c r="U45" s="149">
        <v>2.5607000000000001E-2</v>
      </c>
      <c r="V45" s="149">
        <v>2.5509E-2</v>
      </c>
      <c r="W45" s="149">
        <v>2.5444000000000001E-2</v>
      </c>
      <c r="X45" s="149">
        <v>2.5413000000000002E-2</v>
      </c>
      <c r="Y45" s="149">
        <v>2.5411E-2</v>
      </c>
      <c r="Z45" s="149">
        <v>2.5387E-2</v>
      </c>
      <c r="AA45" s="149">
        <v>2.5342E-2</v>
      </c>
      <c r="AB45" s="149">
        <v>2.5319000000000001E-2</v>
      </c>
      <c r="AC45" s="149">
        <v>2.5354999999999999E-2</v>
      </c>
      <c r="AD45" s="149">
        <v>2.5378999999999999E-2</v>
      </c>
      <c r="AE45" s="149">
        <v>2.5378000000000001E-2</v>
      </c>
      <c r="AF45" s="150">
        <v>7.8100000000000001E-4</v>
      </c>
      <c r="AG45" s="87"/>
    </row>
    <row r="46" spans="1:33" ht="12" x14ac:dyDescent="0.3">
      <c r="A46" s="92" t="s">
        <v>2697</v>
      </c>
      <c r="B46" s="148" t="s">
        <v>2780</v>
      </c>
      <c r="C46" s="149">
        <v>0.59203799999999995</v>
      </c>
      <c r="D46" s="149">
        <v>0.58703300000000003</v>
      </c>
      <c r="E46" s="149">
        <v>0.59738000000000002</v>
      </c>
      <c r="F46" s="149">
        <v>0.61275100000000005</v>
      </c>
      <c r="G46" s="149">
        <v>0.62566299999999997</v>
      </c>
      <c r="H46" s="149">
        <v>0.63552900000000001</v>
      </c>
      <c r="I46" s="149">
        <v>0.64377899999999999</v>
      </c>
      <c r="J46" s="149">
        <v>0.65003599999999995</v>
      </c>
      <c r="K46" s="149">
        <v>0.65564</v>
      </c>
      <c r="L46" s="149">
        <v>0.66110400000000002</v>
      </c>
      <c r="M46" s="149">
        <v>0.666126</v>
      </c>
      <c r="N46" s="149">
        <v>0.66992099999999999</v>
      </c>
      <c r="O46" s="149">
        <v>0.67317300000000002</v>
      </c>
      <c r="P46" s="149">
        <v>0.67610800000000004</v>
      </c>
      <c r="Q46" s="149">
        <v>0.67931799999999998</v>
      </c>
      <c r="R46" s="149">
        <v>0.68217899999999998</v>
      </c>
      <c r="S46" s="149">
        <v>0.68396299999999999</v>
      </c>
      <c r="T46" s="149">
        <v>0.68618299999999999</v>
      </c>
      <c r="U46" s="149">
        <v>0.68806199999999995</v>
      </c>
      <c r="V46" s="149">
        <v>0.68995600000000001</v>
      </c>
      <c r="W46" s="149">
        <v>0.69216299999999997</v>
      </c>
      <c r="X46" s="149">
        <v>0.69516</v>
      </c>
      <c r="Y46" s="149">
        <v>0.69893400000000006</v>
      </c>
      <c r="Z46" s="149">
        <v>0.70184299999999999</v>
      </c>
      <c r="AA46" s="149">
        <v>0.70256200000000002</v>
      </c>
      <c r="AB46" s="149">
        <v>0.70452400000000004</v>
      </c>
      <c r="AC46" s="149">
        <v>0.70795699999999995</v>
      </c>
      <c r="AD46" s="149">
        <v>0.71178200000000003</v>
      </c>
      <c r="AE46" s="149">
        <v>0.71499199999999996</v>
      </c>
      <c r="AF46" s="150">
        <v>6.7619999999999998E-3</v>
      </c>
      <c r="AG46" s="87"/>
    </row>
    <row r="47" spans="1:33" ht="12" x14ac:dyDescent="0.3">
      <c r="A47" s="92" t="s">
        <v>2696</v>
      </c>
      <c r="B47" s="148" t="s">
        <v>57</v>
      </c>
      <c r="C47" s="149">
        <v>0.33065699999999998</v>
      </c>
      <c r="D47" s="149">
        <v>0.330951</v>
      </c>
      <c r="E47" s="149">
        <v>0.33943200000000001</v>
      </c>
      <c r="F47" s="149">
        <v>0.35031800000000002</v>
      </c>
      <c r="G47" s="149">
        <v>0.359456</v>
      </c>
      <c r="H47" s="149">
        <v>0.366753</v>
      </c>
      <c r="I47" s="149">
        <v>0.37310100000000002</v>
      </c>
      <c r="J47" s="149">
        <v>0.37848399999999999</v>
      </c>
      <c r="K47" s="149">
        <v>0.38350299999999998</v>
      </c>
      <c r="L47" s="149">
        <v>0.38850400000000002</v>
      </c>
      <c r="M47" s="149">
        <v>0.39315099999999997</v>
      </c>
      <c r="N47" s="149">
        <v>0.39700400000000002</v>
      </c>
      <c r="O47" s="149">
        <v>0.40042499999999998</v>
      </c>
      <c r="P47" s="149">
        <v>0.403553</v>
      </c>
      <c r="Q47" s="149">
        <v>0.406752</v>
      </c>
      <c r="R47" s="149">
        <v>0.40969699999999998</v>
      </c>
      <c r="S47" s="149">
        <v>0.41197600000000001</v>
      </c>
      <c r="T47" s="149">
        <v>0.41444500000000001</v>
      </c>
      <c r="U47" s="149">
        <v>0.41658800000000001</v>
      </c>
      <c r="V47" s="149">
        <v>0.41879499999999997</v>
      </c>
      <c r="W47" s="149">
        <v>0.42112500000000003</v>
      </c>
      <c r="X47" s="149">
        <v>0.42386699999999999</v>
      </c>
      <c r="Y47" s="149">
        <v>0.426979</v>
      </c>
      <c r="Z47" s="149">
        <v>0.42966399999999999</v>
      </c>
      <c r="AA47" s="149">
        <v>0.43059999999999998</v>
      </c>
      <c r="AB47" s="149">
        <v>0.43231700000000001</v>
      </c>
      <c r="AC47" s="149">
        <v>0.43499399999999999</v>
      </c>
      <c r="AD47" s="149">
        <v>0.43802200000000002</v>
      </c>
      <c r="AE47" s="149">
        <v>0.44072099999999997</v>
      </c>
      <c r="AF47" s="150">
        <v>1.0315E-2</v>
      </c>
      <c r="AG47" s="87"/>
    </row>
    <row r="48" spans="1:33" ht="12" x14ac:dyDescent="0.3">
      <c r="A48" s="92" t="s">
        <v>2695</v>
      </c>
      <c r="B48" s="148" t="s">
        <v>71</v>
      </c>
      <c r="C48" s="149">
        <v>0.82970500000000003</v>
      </c>
      <c r="D48" s="149">
        <v>0.87751900000000005</v>
      </c>
      <c r="E48" s="149">
        <v>0.83412200000000003</v>
      </c>
      <c r="F48" s="149">
        <v>0.81346600000000002</v>
      </c>
      <c r="G48" s="149">
        <v>0.80361899999999997</v>
      </c>
      <c r="H48" s="149">
        <v>0.790551</v>
      </c>
      <c r="I48" s="149">
        <v>0.79605400000000004</v>
      </c>
      <c r="J48" s="149">
        <v>0.79901800000000001</v>
      </c>
      <c r="K48" s="149">
        <v>0.80105199999999999</v>
      </c>
      <c r="L48" s="149">
        <v>0.80231799999999998</v>
      </c>
      <c r="M48" s="149">
        <v>0.80347900000000005</v>
      </c>
      <c r="N48" s="149">
        <v>0.80382399999999998</v>
      </c>
      <c r="O48" s="149">
        <v>0.80393400000000004</v>
      </c>
      <c r="P48" s="149">
        <v>0.80400700000000003</v>
      </c>
      <c r="Q48" s="149">
        <v>0.80449499999999996</v>
      </c>
      <c r="R48" s="149">
        <v>0.80487200000000003</v>
      </c>
      <c r="S48" s="149">
        <v>0.80477799999999999</v>
      </c>
      <c r="T48" s="149">
        <v>0.80544700000000002</v>
      </c>
      <c r="U48" s="149">
        <v>0.80568399999999996</v>
      </c>
      <c r="V48" s="149">
        <v>0.80564000000000002</v>
      </c>
      <c r="W48" s="149">
        <v>0.80598599999999998</v>
      </c>
      <c r="X48" s="149">
        <v>0.80713400000000002</v>
      </c>
      <c r="Y48" s="149">
        <v>0.80882299999999996</v>
      </c>
      <c r="Z48" s="149">
        <v>0.80998599999999998</v>
      </c>
      <c r="AA48" s="149">
        <v>0.81049899999999997</v>
      </c>
      <c r="AB48" s="149">
        <v>0.81148799999999999</v>
      </c>
      <c r="AC48" s="149">
        <v>0.81317700000000004</v>
      </c>
      <c r="AD48" s="149">
        <v>0.814774</v>
      </c>
      <c r="AE48" s="149">
        <v>0.81596199999999997</v>
      </c>
      <c r="AF48" s="150">
        <v>-5.9599999999999996E-4</v>
      </c>
      <c r="AG48" s="87"/>
    </row>
    <row r="49" spans="1:33" ht="12" x14ac:dyDescent="0.3">
      <c r="A49" s="92" t="s">
        <v>2693</v>
      </c>
      <c r="B49" s="147" t="s">
        <v>73</v>
      </c>
      <c r="C49" s="151">
        <v>3.602684</v>
      </c>
      <c r="D49" s="151">
        <v>3.610131</v>
      </c>
      <c r="E49" s="151">
        <v>3.5027339999999998</v>
      </c>
      <c r="F49" s="151">
        <v>3.5410949999999999</v>
      </c>
      <c r="G49" s="151">
        <v>3.5789089999999999</v>
      </c>
      <c r="H49" s="151">
        <v>3.5987490000000002</v>
      </c>
      <c r="I49" s="151">
        <v>3.6282909999999999</v>
      </c>
      <c r="J49" s="151">
        <v>3.6445759999999998</v>
      </c>
      <c r="K49" s="151">
        <v>3.6556850000000001</v>
      </c>
      <c r="L49" s="151">
        <v>3.6654399999999998</v>
      </c>
      <c r="M49" s="151">
        <v>3.6726009999999998</v>
      </c>
      <c r="N49" s="151">
        <v>3.6732589999999998</v>
      </c>
      <c r="O49" s="151">
        <v>3.6711459999999998</v>
      </c>
      <c r="P49" s="151">
        <v>3.667367</v>
      </c>
      <c r="Q49" s="151">
        <v>3.6648679999999998</v>
      </c>
      <c r="R49" s="151">
        <v>3.6607940000000001</v>
      </c>
      <c r="S49" s="151">
        <v>3.6515330000000001</v>
      </c>
      <c r="T49" s="151">
        <v>3.644504</v>
      </c>
      <c r="U49" s="151">
        <v>3.6357249999999999</v>
      </c>
      <c r="V49" s="151">
        <v>3.626458</v>
      </c>
      <c r="W49" s="151">
        <v>3.6187040000000001</v>
      </c>
      <c r="X49" s="151">
        <v>3.6147429999999998</v>
      </c>
      <c r="Y49" s="151">
        <v>3.6141260000000002</v>
      </c>
      <c r="Z49" s="151">
        <v>3.6097969999999999</v>
      </c>
      <c r="AA49" s="151">
        <v>3.5982889999999998</v>
      </c>
      <c r="AB49" s="151">
        <v>3.5909900000000001</v>
      </c>
      <c r="AC49" s="151">
        <v>3.588797</v>
      </c>
      <c r="AD49" s="151">
        <v>3.5870440000000001</v>
      </c>
      <c r="AE49" s="151">
        <v>3.5822229999999999</v>
      </c>
      <c r="AF49" s="152">
        <v>-2.03E-4</v>
      </c>
      <c r="AG49" s="87"/>
    </row>
    <row r="50" spans="1:33" ht="15" customHeight="1" x14ac:dyDescent="0.3"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F50" s="87"/>
      <c r="AG50" s="87"/>
    </row>
    <row r="51" spans="1:33" ht="15" customHeight="1" x14ac:dyDescent="0.3">
      <c r="B51" s="147" t="s">
        <v>2692</v>
      </c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</row>
    <row r="52" spans="1:33" ht="15" customHeight="1" x14ac:dyDescent="0.3">
      <c r="A52" s="92" t="s">
        <v>2691</v>
      </c>
      <c r="B52" s="148" t="s">
        <v>2778</v>
      </c>
      <c r="C52" s="149">
        <v>0.21207100000000001</v>
      </c>
      <c r="D52" s="149">
        <v>0.20616000000000001</v>
      </c>
      <c r="E52" s="149">
        <v>0.189944</v>
      </c>
      <c r="F52" s="149">
        <v>0.191777</v>
      </c>
      <c r="G52" s="149">
        <v>0.193137</v>
      </c>
      <c r="H52" s="149">
        <v>0.194076</v>
      </c>
      <c r="I52" s="149">
        <v>0.19486300000000001</v>
      </c>
      <c r="J52" s="149">
        <v>0.19411800000000001</v>
      </c>
      <c r="K52" s="149">
        <v>0.19242799999999999</v>
      </c>
      <c r="L52" s="149">
        <v>0.19037799999999999</v>
      </c>
      <c r="M52" s="149">
        <v>0.18828600000000001</v>
      </c>
      <c r="N52" s="149">
        <v>0.18609100000000001</v>
      </c>
      <c r="O52" s="149">
        <v>0.18387200000000001</v>
      </c>
      <c r="P52" s="149">
        <v>0.18149599999999999</v>
      </c>
      <c r="Q52" s="149">
        <v>0.17910799999999999</v>
      </c>
      <c r="R52" s="149">
        <v>0.176649</v>
      </c>
      <c r="S52" s="149">
        <v>0.17415</v>
      </c>
      <c r="T52" s="149">
        <v>0.17161699999999999</v>
      </c>
      <c r="U52" s="149">
        <v>0.16906099999999999</v>
      </c>
      <c r="V52" s="149">
        <v>0.16651299999999999</v>
      </c>
      <c r="W52" s="149">
        <v>0.16403699999999999</v>
      </c>
      <c r="X52" s="149">
        <v>0.161519</v>
      </c>
      <c r="Y52" s="149">
        <v>0.159163</v>
      </c>
      <c r="Z52" s="149">
        <v>0.15679599999999999</v>
      </c>
      <c r="AA52" s="149">
        <v>0.154307</v>
      </c>
      <c r="AB52" s="149">
        <v>0.15187</v>
      </c>
      <c r="AC52" s="149">
        <v>0.149531</v>
      </c>
      <c r="AD52" s="149">
        <v>0.1472</v>
      </c>
      <c r="AE52" s="149">
        <v>0.14493500000000001</v>
      </c>
      <c r="AF52" s="150">
        <v>-1.3502E-2</v>
      </c>
      <c r="AG52" s="87"/>
    </row>
    <row r="53" spans="1:33" ht="15" customHeight="1" x14ac:dyDescent="0.3">
      <c r="A53" s="92" t="s">
        <v>2690</v>
      </c>
      <c r="B53" s="148" t="s">
        <v>2780</v>
      </c>
      <c r="C53" s="149">
        <v>6.1390000000000004E-3</v>
      </c>
      <c r="D53" s="149">
        <v>5.8989999999999997E-3</v>
      </c>
      <c r="E53" s="149">
        <v>5.8729999999999997E-3</v>
      </c>
      <c r="F53" s="149">
        <v>5.9800000000000001E-3</v>
      </c>
      <c r="G53" s="149">
        <v>6.0720000000000001E-3</v>
      </c>
      <c r="H53" s="149">
        <v>6.1510000000000002E-3</v>
      </c>
      <c r="I53" s="149">
        <v>6.2319999999999997E-3</v>
      </c>
      <c r="J53" s="149">
        <v>6.2690000000000003E-3</v>
      </c>
      <c r="K53" s="149">
        <v>6.2769999999999996E-3</v>
      </c>
      <c r="L53" s="149">
        <v>6.2700000000000004E-3</v>
      </c>
      <c r="M53" s="149">
        <v>6.2620000000000002E-3</v>
      </c>
      <c r="N53" s="149">
        <v>6.2490000000000002E-3</v>
      </c>
      <c r="O53" s="149">
        <v>6.2350000000000001E-3</v>
      </c>
      <c r="P53" s="149">
        <v>6.215E-3</v>
      </c>
      <c r="Q53" s="149">
        <v>6.1929999999999997E-3</v>
      </c>
      <c r="R53" s="149">
        <v>6.1669999999999997E-3</v>
      </c>
      <c r="S53" s="149">
        <v>6.1390000000000004E-3</v>
      </c>
      <c r="T53" s="149">
        <v>6.1089999999999998E-3</v>
      </c>
      <c r="U53" s="149">
        <v>6.0800000000000003E-3</v>
      </c>
      <c r="V53" s="149">
        <v>6.0480000000000004E-3</v>
      </c>
      <c r="W53" s="149">
        <v>6.0179999999999999E-3</v>
      </c>
      <c r="X53" s="149">
        <v>5.986E-3</v>
      </c>
      <c r="Y53" s="149">
        <v>5.96E-3</v>
      </c>
      <c r="Z53" s="149">
        <v>5.9329999999999999E-3</v>
      </c>
      <c r="AA53" s="149">
        <v>5.901E-3</v>
      </c>
      <c r="AB53" s="149">
        <v>5.8710000000000004E-3</v>
      </c>
      <c r="AC53" s="149">
        <v>5.8389999999999996E-3</v>
      </c>
      <c r="AD53" s="149">
        <v>5.8089999999999999E-3</v>
      </c>
      <c r="AE53" s="149">
        <v>5.7800000000000004E-3</v>
      </c>
      <c r="AF53" s="150">
        <v>-2.1540000000000001E-3</v>
      </c>
      <c r="AG53" s="87"/>
    </row>
    <row r="54" spans="1:33" ht="15" customHeight="1" x14ac:dyDescent="0.3">
      <c r="A54" s="92" t="s">
        <v>2689</v>
      </c>
      <c r="B54" s="148" t="s">
        <v>81</v>
      </c>
      <c r="C54" s="149">
        <v>7.9482999999999998E-2</v>
      </c>
      <c r="D54" s="149">
        <v>8.0017000000000005E-2</v>
      </c>
      <c r="E54" s="149">
        <v>8.1899E-2</v>
      </c>
      <c r="F54" s="149">
        <v>8.2917000000000005E-2</v>
      </c>
      <c r="G54" s="149">
        <v>8.3774000000000001E-2</v>
      </c>
      <c r="H54" s="149">
        <v>8.4482000000000002E-2</v>
      </c>
      <c r="I54" s="149">
        <v>8.6216000000000001E-2</v>
      </c>
      <c r="J54" s="149">
        <v>8.7276000000000006E-2</v>
      </c>
      <c r="K54" s="149">
        <v>8.7908E-2</v>
      </c>
      <c r="L54" s="149">
        <v>8.8286000000000003E-2</v>
      </c>
      <c r="M54" s="149">
        <v>8.8641999999999999E-2</v>
      </c>
      <c r="N54" s="149">
        <v>8.8950000000000001E-2</v>
      </c>
      <c r="O54" s="149">
        <v>8.9274000000000006E-2</v>
      </c>
      <c r="P54" s="149">
        <v>8.9539999999999995E-2</v>
      </c>
      <c r="Q54" s="149">
        <v>8.9810000000000001E-2</v>
      </c>
      <c r="R54" s="149">
        <v>9.0051999999999993E-2</v>
      </c>
      <c r="S54" s="149">
        <v>9.0277999999999997E-2</v>
      </c>
      <c r="T54" s="149">
        <v>9.0495999999999993E-2</v>
      </c>
      <c r="U54" s="149">
        <v>9.0717000000000006E-2</v>
      </c>
      <c r="V54" s="149">
        <v>9.0885999999999995E-2</v>
      </c>
      <c r="W54" s="149">
        <v>9.1095999999999996E-2</v>
      </c>
      <c r="X54" s="149">
        <v>9.1273999999999994E-2</v>
      </c>
      <c r="Y54" s="149">
        <v>9.1533000000000003E-2</v>
      </c>
      <c r="Z54" s="149">
        <v>9.1760999999999995E-2</v>
      </c>
      <c r="AA54" s="149">
        <v>9.1551999999999994E-2</v>
      </c>
      <c r="AB54" s="149">
        <v>9.1488E-2</v>
      </c>
      <c r="AC54" s="149">
        <v>9.1622999999999996E-2</v>
      </c>
      <c r="AD54" s="149">
        <v>9.1867000000000004E-2</v>
      </c>
      <c r="AE54" s="149">
        <v>9.2141000000000001E-2</v>
      </c>
      <c r="AF54" s="150">
        <v>5.2919999999999998E-3</v>
      </c>
      <c r="AG54" s="87"/>
    </row>
    <row r="55" spans="1:33" ht="15" customHeight="1" x14ac:dyDescent="0.3">
      <c r="A55" s="92" t="s">
        <v>2688</v>
      </c>
      <c r="B55" s="147" t="s">
        <v>73</v>
      </c>
      <c r="C55" s="151">
        <v>0.29769400000000001</v>
      </c>
      <c r="D55" s="151">
        <v>0.292076</v>
      </c>
      <c r="E55" s="151">
        <v>0.27771600000000002</v>
      </c>
      <c r="F55" s="151">
        <v>0.28067399999999998</v>
      </c>
      <c r="G55" s="151">
        <v>0.28298299999999998</v>
      </c>
      <c r="H55" s="151">
        <v>0.28470800000000002</v>
      </c>
      <c r="I55" s="151">
        <v>0.28731099999999998</v>
      </c>
      <c r="J55" s="151">
        <v>0.287663</v>
      </c>
      <c r="K55" s="151">
        <v>0.28661300000000001</v>
      </c>
      <c r="L55" s="151">
        <v>0.28493400000000002</v>
      </c>
      <c r="M55" s="151">
        <v>0.28319</v>
      </c>
      <c r="N55" s="151">
        <v>0.28128999999999998</v>
      </c>
      <c r="O55" s="151">
        <v>0.27938000000000002</v>
      </c>
      <c r="P55" s="151">
        <v>0.27725100000000003</v>
      </c>
      <c r="Q55" s="151">
        <v>0.27511099999999999</v>
      </c>
      <c r="R55" s="151">
        <v>0.272868</v>
      </c>
      <c r="S55" s="151">
        <v>0.27056799999999998</v>
      </c>
      <c r="T55" s="151">
        <v>0.26822299999999999</v>
      </c>
      <c r="U55" s="151">
        <v>0.26585700000000001</v>
      </c>
      <c r="V55" s="151">
        <v>0.26344699999999999</v>
      </c>
      <c r="W55" s="151">
        <v>0.26114999999999999</v>
      </c>
      <c r="X55" s="151">
        <v>0.25877899999999998</v>
      </c>
      <c r="Y55" s="151">
        <v>0.25665500000000002</v>
      </c>
      <c r="Z55" s="151">
        <v>0.25448999999999999</v>
      </c>
      <c r="AA55" s="151">
        <v>0.25175900000000001</v>
      </c>
      <c r="AB55" s="151">
        <v>0.24922900000000001</v>
      </c>
      <c r="AC55" s="151">
        <v>0.24699299999999999</v>
      </c>
      <c r="AD55" s="151">
        <v>0.24487600000000001</v>
      </c>
      <c r="AE55" s="151">
        <v>0.24285599999999999</v>
      </c>
      <c r="AF55" s="152">
        <v>-7.2449999999999997E-3</v>
      </c>
      <c r="AG55" s="87"/>
    </row>
    <row r="56" spans="1:33" ht="15" customHeight="1" x14ac:dyDescent="0.3"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  <c r="AA56" s="87"/>
      <c r="AB56" s="87"/>
      <c r="AC56" s="87"/>
      <c r="AD56" s="87"/>
      <c r="AE56" s="87"/>
      <c r="AF56" s="87"/>
      <c r="AG56" s="87"/>
    </row>
    <row r="57" spans="1:33" ht="15" customHeight="1" x14ac:dyDescent="0.3">
      <c r="A57" s="92" t="s">
        <v>2687</v>
      </c>
      <c r="B57" s="148" t="s">
        <v>2686</v>
      </c>
      <c r="C57" s="149">
        <v>0.120805</v>
      </c>
      <c r="D57" s="149">
        <v>0.120805</v>
      </c>
      <c r="E57" s="149">
        <v>0.120805</v>
      </c>
      <c r="F57" s="149">
        <v>0.120805</v>
      </c>
      <c r="G57" s="149">
        <v>0.120805</v>
      </c>
      <c r="H57" s="149">
        <v>0.120805</v>
      </c>
      <c r="I57" s="149">
        <v>0.120805</v>
      </c>
      <c r="J57" s="149">
        <v>0.120805</v>
      </c>
      <c r="K57" s="149">
        <v>0.120805</v>
      </c>
      <c r="L57" s="149">
        <v>0.120805</v>
      </c>
      <c r="M57" s="149">
        <v>0.120805</v>
      </c>
      <c r="N57" s="149">
        <v>0.120805</v>
      </c>
      <c r="O57" s="149">
        <v>0.120805</v>
      </c>
      <c r="P57" s="149">
        <v>0.120805</v>
      </c>
      <c r="Q57" s="149">
        <v>0.120805</v>
      </c>
      <c r="R57" s="149">
        <v>0.120805</v>
      </c>
      <c r="S57" s="149">
        <v>0.120805</v>
      </c>
      <c r="T57" s="149">
        <v>0.120805</v>
      </c>
      <c r="U57" s="149">
        <v>0.120805</v>
      </c>
      <c r="V57" s="149">
        <v>0.120805</v>
      </c>
      <c r="W57" s="149">
        <v>0.120805</v>
      </c>
      <c r="X57" s="149">
        <v>0.120805</v>
      </c>
      <c r="Y57" s="149">
        <v>0.120805</v>
      </c>
      <c r="Z57" s="149">
        <v>0.120805</v>
      </c>
      <c r="AA57" s="149">
        <v>0.120805</v>
      </c>
      <c r="AB57" s="149">
        <v>0.120805</v>
      </c>
      <c r="AC57" s="149">
        <v>0.120805</v>
      </c>
      <c r="AD57" s="149">
        <v>0.120805</v>
      </c>
      <c r="AE57" s="149">
        <v>0.120805</v>
      </c>
      <c r="AF57" s="150">
        <v>0</v>
      </c>
      <c r="AG57" s="87"/>
    </row>
    <row r="58" spans="1:33" ht="15" customHeight="1" x14ac:dyDescent="0.3">
      <c r="A58" s="92" t="s">
        <v>2685</v>
      </c>
      <c r="B58" s="148" t="s">
        <v>2784</v>
      </c>
      <c r="C58" s="149">
        <v>0.59923199999999999</v>
      </c>
      <c r="D58" s="149">
        <v>0.60484899999999997</v>
      </c>
      <c r="E58" s="149">
        <v>0.60413099999999997</v>
      </c>
      <c r="F58" s="149">
        <v>0.60436699999999999</v>
      </c>
      <c r="G58" s="149">
        <v>0.60346599999999995</v>
      </c>
      <c r="H58" s="149">
        <v>0.60290500000000002</v>
      </c>
      <c r="I58" s="149">
        <v>0.60595600000000005</v>
      </c>
      <c r="J58" s="149">
        <v>0.60901499999999997</v>
      </c>
      <c r="K58" s="149">
        <v>0.61300100000000002</v>
      </c>
      <c r="L58" s="149">
        <v>0.61517599999999995</v>
      </c>
      <c r="M58" s="149">
        <v>0.61818700000000004</v>
      </c>
      <c r="N58" s="149">
        <v>0.62084499999999998</v>
      </c>
      <c r="O58" s="149">
        <v>0.62326899999999996</v>
      </c>
      <c r="P58" s="149">
        <v>0.62568900000000005</v>
      </c>
      <c r="Q58" s="149">
        <v>0.62770099999999995</v>
      </c>
      <c r="R58" s="149">
        <v>0.62944199999999995</v>
      </c>
      <c r="S58" s="149">
        <v>0.63111700000000004</v>
      </c>
      <c r="T58" s="149">
        <v>0.63296799999999998</v>
      </c>
      <c r="U58" s="149">
        <v>0.63469799999999998</v>
      </c>
      <c r="V58" s="149">
        <v>0.63639999999999997</v>
      </c>
      <c r="W58" s="149">
        <v>0.63813500000000001</v>
      </c>
      <c r="X58" s="149">
        <v>0.63997199999999999</v>
      </c>
      <c r="Y58" s="149">
        <v>0.64172499999999999</v>
      </c>
      <c r="Z58" s="149">
        <v>0.64349199999999995</v>
      </c>
      <c r="AA58" s="149">
        <v>0.64472399999999996</v>
      </c>
      <c r="AB58" s="149">
        <v>0.64665099999999998</v>
      </c>
      <c r="AC58" s="149">
        <v>0.64840600000000004</v>
      </c>
      <c r="AD58" s="149">
        <v>0.65046800000000005</v>
      </c>
      <c r="AE58" s="149">
        <v>0.65251300000000001</v>
      </c>
      <c r="AF58" s="150">
        <v>3.0469999999999998E-3</v>
      </c>
      <c r="AG58" s="87"/>
    </row>
    <row r="59" spans="1:33" ht="15" customHeight="1" x14ac:dyDescent="0.3"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  <c r="AD59" s="87"/>
      <c r="AE59" s="87"/>
      <c r="AF59" s="87"/>
      <c r="AG59" s="87"/>
    </row>
    <row r="60" spans="1:33" ht="15" customHeight="1" thickBot="1" x14ac:dyDescent="0.35">
      <c r="B60" s="147" t="s">
        <v>2744</v>
      </c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87"/>
      <c r="AF60" s="87"/>
      <c r="AG60" s="87"/>
    </row>
    <row r="61" spans="1:33" s="117" customFormat="1" ht="15" customHeight="1" thickTop="1" x14ac:dyDescent="0.3">
      <c r="A61" s="92" t="s">
        <v>2684</v>
      </c>
      <c r="B61" s="148" t="s">
        <v>2778</v>
      </c>
      <c r="C61" s="149">
        <v>2.1567989999999999</v>
      </c>
      <c r="D61" s="149">
        <v>2.119221</v>
      </c>
      <c r="E61" s="149">
        <v>2.0069789999999998</v>
      </c>
      <c r="F61" s="149">
        <v>2.0414409999999998</v>
      </c>
      <c r="G61" s="149">
        <v>2.0682239999999998</v>
      </c>
      <c r="H61" s="149">
        <v>2.0844740000000002</v>
      </c>
      <c r="I61" s="149">
        <v>2.0941689999999999</v>
      </c>
      <c r="J61" s="149">
        <v>2.0944859999999998</v>
      </c>
      <c r="K61" s="149">
        <v>2.0905140000000002</v>
      </c>
      <c r="L61" s="149">
        <v>2.0858240000000001</v>
      </c>
      <c r="M61" s="149">
        <v>2.0792950000000001</v>
      </c>
      <c r="N61" s="149">
        <v>2.0688300000000002</v>
      </c>
      <c r="O61" s="149">
        <v>2.0566239999999998</v>
      </c>
      <c r="P61" s="149">
        <v>2.0432839999999999</v>
      </c>
      <c r="Q61" s="149">
        <v>2.0304120000000001</v>
      </c>
      <c r="R61" s="149">
        <v>2.0165229999999998</v>
      </c>
      <c r="S61" s="149">
        <v>1.999519</v>
      </c>
      <c r="T61" s="149">
        <v>1.9832240000000001</v>
      </c>
      <c r="U61" s="149">
        <v>1.9662580000000001</v>
      </c>
      <c r="V61" s="149">
        <v>1.9491309999999999</v>
      </c>
      <c r="W61" s="149">
        <v>1.9327799999999999</v>
      </c>
      <c r="X61" s="149">
        <v>1.9181760000000001</v>
      </c>
      <c r="Y61" s="149">
        <v>1.905357</v>
      </c>
      <c r="Z61" s="149">
        <v>1.8906529999999999</v>
      </c>
      <c r="AA61" s="149">
        <v>1.8733</v>
      </c>
      <c r="AB61" s="149">
        <v>1.8577349999999999</v>
      </c>
      <c r="AC61" s="149">
        <v>1.84416</v>
      </c>
      <c r="AD61" s="149">
        <v>1.8304210000000001</v>
      </c>
      <c r="AE61" s="149">
        <v>1.815094</v>
      </c>
      <c r="AF61" s="150">
        <v>-6.1409999999999998E-3</v>
      </c>
      <c r="AG61" s="87"/>
    </row>
    <row r="62" spans="1:33" s="122" customFormat="1" ht="15" customHeight="1" x14ac:dyDescent="0.3">
      <c r="A62" s="92" t="s">
        <v>2683</v>
      </c>
      <c r="B62" s="148" t="s">
        <v>2779</v>
      </c>
      <c r="C62" s="149">
        <v>0.56770900000000002</v>
      </c>
      <c r="D62" s="149">
        <v>0.497307</v>
      </c>
      <c r="E62" s="149">
        <v>0.57641799999999999</v>
      </c>
      <c r="F62" s="149">
        <v>0.58604000000000001</v>
      </c>
      <c r="G62" s="149">
        <v>0.59398200000000001</v>
      </c>
      <c r="H62" s="149">
        <v>0.60145700000000002</v>
      </c>
      <c r="I62" s="149">
        <v>0.60889700000000002</v>
      </c>
      <c r="J62" s="149">
        <v>0.61600200000000005</v>
      </c>
      <c r="K62" s="149">
        <v>0.62178699999999998</v>
      </c>
      <c r="L62" s="149">
        <v>0.62784799999999996</v>
      </c>
      <c r="M62" s="149">
        <v>0.63409899999999997</v>
      </c>
      <c r="N62" s="149">
        <v>0.63862600000000003</v>
      </c>
      <c r="O62" s="149">
        <v>0.64276299999999997</v>
      </c>
      <c r="P62" s="149">
        <v>0.64734499999999995</v>
      </c>
      <c r="Q62" s="149">
        <v>0.65202800000000005</v>
      </c>
      <c r="R62" s="149">
        <v>0.65664400000000001</v>
      </c>
      <c r="S62" s="149">
        <v>0.66073000000000004</v>
      </c>
      <c r="T62" s="149">
        <v>0.66483199999999998</v>
      </c>
      <c r="U62" s="149">
        <v>0.66848200000000002</v>
      </c>
      <c r="V62" s="149">
        <v>0.67252000000000001</v>
      </c>
      <c r="W62" s="149">
        <v>0.67693099999999995</v>
      </c>
      <c r="X62" s="149">
        <v>0.68160100000000001</v>
      </c>
      <c r="Y62" s="149">
        <v>0.68668499999999999</v>
      </c>
      <c r="Z62" s="149">
        <v>0.69230199999999997</v>
      </c>
      <c r="AA62" s="149">
        <v>0.69904699999999997</v>
      </c>
      <c r="AB62" s="149">
        <v>0.70658299999999996</v>
      </c>
      <c r="AC62" s="149">
        <v>0.71440800000000004</v>
      </c>
      <c r="AD62" s="149">
        <v>0.72237300000000004</v>
      </c>
      <c r="AE62" s="149">
        <v>0.73107699999999998</v>
      </c>
      <c r="AF62" s="150">
        <v>9.0729999999999995E-3</v>
      </c>
      <c r="AG62" s="87"/>
    </row>
    <row r="63" spans="1:33" ht="15" customHeight="1" x14ac:dyDescent="0.3">
      <c r="A63" s="92" t="s">
        <v>2682</v>
      </c>
      <c r="B63" s="148" t="s">
        <v>2780</v>
      </c>
      <c r="C63" s="149">
        <v>0.62239199999999995</v>
      </c>
      <c r="D63" s="149">
        <v>0.61648700000000001</v>
      </c>
      <c r="E63" s="149">
        <v>0.62638199999999999</v>
      </c>
      <c r="F63" s="149">
        <v>0.64160099999999998</v>
      </c>
      <c r="G63" s="149">
        <v>0.65436700000000003</v>
      </c>
      <c r="H63" s="149">
        <v>0.66423600000000005</v>
      </c>
      <c r="I63" s="149">
        <v>0.67247500000000004</v>
      </c>
      <c r="J63" s="149">
        <v>0.67865399999999998</v>
      </c>
      <c r="K63" s="149">
        <v>0.68412200000000001</v>
      </c>
      <c r="L63" s="149">
        <v>0.68943200000000004</v>
      </c>
      <c r="M63" s="149">
        <v>0.69428699999999999</v>
      </c>
      <c r="N63" s="149">
        <v>0.69785900000000001</v>
      </c>
      <c r="O63" s="149">
        <v>0.70086000000000004</v>
      </c>
      <c r="P63" s="149">
        <v>0.70355900000000005</v>
      </c>
      <c r="Q63" s="149">
        <v>0.70652700000000002</v>
      </c>
      <c r="R63" s="149">
        <v>0.70912900000000001</v>
      </c>
      <c r="S63" s="149">
        <v>0.71062800000000004</v>
      </c>
      <c r="T63" s="149">
        <v>0.71255900000000005</v>
      </c>
      <c r="U63" s="149">
        <v>0.71415200000000001</v>
      </c>
      <c r="V63" s="149">
        <v>0.71578200000000003</v>
      </c>
      <c r="W63" s="149">
        <v>0.71773699999999996</v>
      </c>
      <c r="X63" s="149">
        <v>0.72048800000000002</v>
      </c>
      <c r="Y63" s="149">
        <v>0.72402699999999998</v>
      </c>
      <c r="Z63" s="149">
        <v>0.72670500000000005</v>
      </c>
      <c r="AA63" s="149">
        <v>0.72720399999999996</v>
      </c>
      <c r="AB63" s="149">
        <v>0.72896399999999995</v>
      </c>
      <c r="AC63" s="149">
        <v>0.73219699999999999</v>
      </c>
      <c r="AD63" s="149">
        <v>0.73582999999999998</v>
      </c>
      <c r="AE63" s="149">
        <v>0.73886499999999999</v>
      </c>
      <c r="AF63" s="150">
        <v>6.1450000000000003E-3</v>
      </c>
      <c r="AG63" s="87"/>
    </row>
    <row r="64" spans="1:33" s="122" customFormat="1" ht="15" customHeight="1" x14ac:dyDescent="0.3">
      <c r="A64" s="92" t="s">
        <v>2681</v>
      </c>
      <c r="B64" s="148" t="s">
        <v>2668</v>
      </c>
      <c r="C64" s="149">
        <v>0.41879300000000003</v>
      </c>
      <c r="D64" s="149">
        <v>0.407891</v>
      </c>
      <c r="E64" s="149">
        <v>0.40001900000000001</v>
      </c>
      <c r="F64" s="149">
        <v>0.394285</v>
      </c>
      <c r="G64" s="149">
        <v>0.38813999999999999</v>
      </c>
      <c r="H64" s="149">
        <v>0.38119500000000001</v>
      </c>
      <c r="I64" s="149">
        <v>0.37394899999999998</v>
      </c>
      <c r="J64" s="149">
        <v>0.36649399999999999</v>
      </c>
      <c r="K64" s="149">
        <v>0.35841099999999998</v>
      </c>
      <c r="L64" s="149">
        <v>0.35066599999999998</v>
      </c>
      <c r="M64" s="149">
        <v>0.34295799999999999</v>
      </c>
      <c r="N64" s="149">
        <v>0.33487299999999998</v>
      </c>
      <c r="O64" s="149">
        <v>0.32677299999999998</v>
      </c>
      <c r="P64" s="149">
        <v>0.31914799999999999</v>
      </c>
      <c r="Q64" s="149">
        <v>0.311811</v>
      </c>
      <c r="R64" s="149">
        <v>0.30456</v>
      </c>
      <c r="S64" s="149">
        <v>0.29719499999999999</v>
      </c>
      <c r="T64" s="149">
        <v>0.28995700000000002</v>
      </c>
      <c r="U64" s="149">
        <v>0.28303099999999998</v>
      </c>
      <c r="V64" s="149">
        <v>0.276615</v>
      </c>
      <c r="W64" s="149">
        <v>0.270569</v>
      </c>
      <c r="X64" s="149">
        <v>0.26481399999999999</v>
      </c>
      <c r="Y64" s="149">
        <v>0.25929200000000002</v>
      </c>
      <c r="Z64" s="149">
        <v>0.25397799999999998</v>
      </c>
      <c r="AA64" s="149">
        <v>0.24892300000000001</v>
      </c>
      <c r="AB64" s="149">
        <v>0.24418300000000001</v>
      </c>
      <c r="AC64" s="149">
        <v>0.239593</v>
      </c>
      <c r="AD64" s="149">
        <v>0.23527899999999999</v>
      </c>
      <c r="AE64" s="149">
        <v>0.23125899999999999</v>
      </c>
      <c r="AF64" s="150">
        <v>-2.0985E-2</v>
      </c>
      <c r="AG64" s="87"/>
    </row>
    <row r="65" spans="1:33" ht="15" customHeight="1" x14ac:dyDescent="0.3">
      <c r="A65" s="92" t="s">
        <v>2680</v>
      </c>
      <c r="B65" s="148" t="s">
        <v>57</v>
      </c>
      <c r="C65" s="149">
        <v>0.41303499999999999</v>
      </c>
      <c r="D65" s="149">
        <v>0.41266199999999997</v>
      </c>
      <c r="E65" s="149">
        <v>0.42121900000000001</v>
      </c>
      <c r="F65" s="149">
        <v>0.43261899999999998</v>
      </c>
      <c r="G65" s="149">
        <v>0.44208500000000001</v>
      </c>
      <c r="H65" s="149">
        <v>0.44947500000000001</v>
      </c>
      <c r="I65" s="149">
        <v>0.45582400000000001</v>
      </c>
      <c r="J65" s="149">
        <v>0.46112399999999998</v>
      </c>
      <c r="K65" s="149">
        <v>0.46594099999999999</v>
      </c>
      <c r="L65" s="149">
        <v>0.470744</v>
      </c>
      <c r="M65" s="149">
        <v>0.47515000000000002</v>
      </c>
      <c r="N65" s="149">
        <v>0.47858099999999998</v>
      </c>
      <c r="O65" s="149">
        <v>0.48148600000000003</v>
      </c>
      <c r="P65" s="149">
        <v>0.48413</v>
      </c>
      <c r="Q65" s="149">
        <v>0.486817</v>
      </c>
      <c r="R65" s="149">
        <v>0.48918800000000001</v>
      </c>
      <c r="S65" s="149">
        <v>0.49080400000000002</v>
      </c>
      <c r="T65" s="149">
        <v>0.49257499999999999</v>
      </c>
      <c r="U65" s="149">
        <v>0.49400100000000002</v>
      </c>
      <c r="V65" s="149">
        <v>0.49556600000000001</v>
      </c>
      <c r="W65" s="149">
        <v>0.497278</v>
      </c>
      <c r="X65" s="149">
        <v>0.49942399999999998</v>
      </c>
      <c r="Y65" s="149">
        <v>0.50195699999999999</v>
      </c>
      <c r="Z65" s="149">
        <v>0.50407800000000003</v>
      </c>
      <c r="AA65" s="149">
        <v>0.50450399999999995</v>
      </c>
      <c r="AB65" s="149">
        <v>0.50577300000000003</v>
      </c>
      <c r="AC65" s="149">
        <v>0.50798699999999997</v>
      </c>
      <c r="AD65" s="149">
        <v>0.51055899999999999</v>
      </c>
      <c r="AE65" s="149">
        <v>0.51284300000000005</v>
      </c>
      <c r="AF65" s="150">
        <v>7.7600000000000004E-3</v>
      </c>
      <c r="AG65" s="87"/>
    </row>
    <row r="66" spans="1:33" ht="12" x14ac:dyDescent="0.3">
      <c r="A66" s="92" t="s">
        <v>2679</v>
      </c>
      <c r="B66" s="148" t="s">
        <v>63</v>
      </c>
      <c r="C66" s="149">
        <v>0.49728099999999997</v>
      </c>
      <c r="D66" s="149">
        <v>0.48855999999999999</v>
      </c>
      <c r="E66" s="149">
        <v>0.48579499999999998</v>
      </c>
      <c r="F66" s="149">
        <v>0.48757200000000001</v>
      </c>
      <c r="G66" s="149">
        <v>0.48936600000000002</v>
      </c>
      <c r="H66" s="149">
        <v>0.490566</v>
      </c>
      <c r="I66" s="149">
        <v>0.49202499999999999</v>
      </c>
      <c r="J66" s="149">
        <v>0.49368899999999999</v>
      </c>
      <c r="K66" s="149">
        <v>0.49101899999999998</v>
      </c>
      <c r="L66" s="149">
        <v>0.48896099999999998</v>
      </c>
      <c r="M66" s="149">
        <v>0.48697299999999999</v>
      </c>
      <c r="N66" s="149">
        <v>0.48422700000000002</v>
      </c>
      <c r="O66" s="149">
        <v>0.48097899999999999</v>
      </c>
      <c r="P66" s="149">
        <v>0.47800999999999999</v>
      </c>
      <c r="Q66" s="149">
        <v>0.474966</v>
      </c>
      <c r="R66" s="149">
        <v>0.47095500000000001</v>
      </c>
      <c r="S66" s="149">
        <v>0.46600999999999998</v>
      </c>
      <c r="T66" s="149">
        <v>0.45994200000000002</v>
      </c>
      <c r="U66" s="149">
        <v>0.45792899999999997</v>
      </c>
      <c r="V66" s="149">
        <v>0.45681100000000002</v>
      </c>
      <c r="W66" s="149">
        <v>0.45597100000000002</v>
      </c>
      <c r="X66" s="149">
        <v>0.45552999999999999</v>
      </c>
      <c r="Y66" s="149">
        <v>0.455459</v>
      </c>
      <c r="Z66" s="149">
        <v>0.45567999999999997</v>
      </c>
      <c r="AA66" s="149">
        <v>0.45632899999999998</v>
      </c>
      <c r="AB66" s="149">
        <v>0.45772200000000002</v>
      </c>
      <c r="AC66" s="149">
        <v>0.45915800000000001</v>
      </c>
      <c r="AD66" s="149">
        <v>0.460843</v>
      </c>
      <c r="AE66" s="149">
        <v>0.46300400000000003</v>
      </c>
      <c r="AF66" s="150">
        <v>-2.5469999999999998E-3</v>
      </c>
      <c r="AG66" s="87"/>
    </row>
    <row r="67" spans="1:33" s="112" customFormat="1" ht="15" customHeight="1" thickBot="1" x14ac:dyDescent="0.35">
      <c r="A67" s="92" t="s">
        <v>2678</v>
      </c>
      <c r="B67" s="148" t="s">
        <v>55</v>
      </c>
      <c r="C67" s="149">
        <v>0.603352</v>
      </c>
      <c r="D67" s="149">
        <v>0.60135499999999997</v>
      </c>
      <c r="E67" s="149">
        <v>0.60267999999999999</v>
      </c>
      <c r="F67" s="149">
        <v>0.60644600000000004</v>
      </c>
      <c r="G67" s="149">
        <v>0.60968599999999995</v>
      </c>
      <c r="H67" s="149">
        <v>0.61227900000000002</v>
      </c>
      <c r="I67" s="149">
        <v>0.61520399999999997</v>
      </c>
      <c r="J67" s="149">
        <v>0.61849299999999996</v>
      </c>
      <c r="K67" s="149">
        <v>0.62074799999999997</v>
      </c>
      <c r="L67" s="149">
        <v>0.62390000000000001</v>
      </c>
      <c r="M67" s="149">
        <v>0.62699000000000005</v>
      </c>
      <c r="N67" s="149">
        <v>0.62938700000000003</v>
      </c>
      <c r="O67" s="149">
        <v>0.63132500000000003</v>
      </c>
      <c r="P67" s="149">
        <v>0.63321400000000005</v>
      </c>
      <c r="Q67" s="149">
        <v>0.63485499999999995</v>
      </c>
      <c r="R67" s="149">
        <v>0.63615500000000003</v>
      </c>
      <c r="S67" s="149">
        <v>0.636938</v>
      </c>
      <c r="T67" s="149">
        <v>0.63747399999999999</v>
      </c>
      <c r="U67" s="149">
        <v>0.63791900000000001</v>
      </c>
      <c r="V67" s="149">
        <v>0.63905800000000001</v>
      </c>
      <c r="W67" s="149">
        <v>0.64029400000000003</v>
      </c>
      <c r="X67" s="149">
        <v>0.64160899999999998</v>
      </c>
      <c r="Y67" s="149">
        <v>0.642984</v>
      </c>
      <c r="Z67" s="149">
        <v>0.64441700000000002</v>
      </c>
      <c r="AA67" s="149">
        <v>0.64599600000000001</v>
      </c>
      <c r="AB67" s="149">
        <v>0.64779299999999995</v>
      </c>
      <c r="AC67" s="149">
        <v>0.64965700000000004</v>
      </c>
      <c r="AD67" s="149">
        <v>0.65169699999999997</v>
      </c>
      <c r="AE67" s="149">
        <v>0.65393400000000002</v>
      </c>
      <c r="AF67" s="150">
        <v>2.879E-3</v>
      </c>
      <c r="AG67" s="87"/>
    </row>
    <row r="68" spans="1:33" ht="15" customHeight="1" thickTop="1" x14ac:dyDescent="0.3">
      <c r="A68" s="92" t="s">
        <v>2677</v>
      </c>
      <c r="B68" s="148" t="s">
        <v>2663</v>
      </c>
      <c r="C68" s="149">
        <v>0.43073600000000001</v>
      </c>
      <c r="D68" s="149">
        <v>0.434585</v>
      </c>
      <c r="E68" s="149">
        <v>0.43993500000000002</v>
      </c>
      <c r="F68" s="149">
        <v>0.447378</v>
      </c>
      <c r="G68" s="149">
        <v>0.45436900000000002</v>
      </c>
      <c r="H68" s="149">
        <v>0.46098600000000001</v>
      </c>
      <c r="I68" s="149">
        <v>0.46887200000000001</v>
      </c>
      <c r="J68" s="149">
        <v>0.477159</v>
      </c>
      <c r="K68" s="149">
        <v>0.48619699999999999</v>
      </c>
      <c r="L68" s="149">
        <v>0.49543300000000001</v>
      </c>
      <c r="M68" s="149">
        <v>0.50508200000000003</v>
      </c>
      <c r="N68" s="149">
        <v>0.51431199999999999</v>
      </c>
      <c r="O68" s="149">
        <v>0.52371100000000004</v>
      </c>
      <c r="P68" s="149">
        <v>0.53291500000000003</v>
      </c>
      <c r="Q68" s="149">
        <v>0.54290400000000005</v>
      </c>
      <c r="R68" s="149">
        <v>0.55216500000000002</v>
      </c>
      <c r="S68" s="149">
        <v>0.56217499999999998</v>
      </c>
      <c r="T68" s="149">
        <v>0.57200700000000004</v>
      </c>
      <c r="U68" s="149">
        <v>0.58174599999999999</v>
      </c>
      <c r="V68" s="149">
        <v>0.59145400000000004</v>
      </c>
      <c r="W68" s="149">
        <v>0.60173699999999997</v>
      </c>
      <c r="X68" s="149">
        <v>0.61264799999999997</v>
      </c>
      <c r="Y68" s="149">
        <v>0.62317100000000003</v>
      </c>
      <c r="Z68" s="149">
        <v>0.63440600000000003</v>
      </c>
      <c r="AA68" s="149">
        <v>0.64643499999999998</v>
      </c>
      <c r="AB68" s="149">
        <v>0.65822099999999995</v>
      </c>
      <c r="AC68" s="149">
        <v>0.67073700000000003</v>
      </c>
      <c r="AD68" s="149">
        <v>0.68349800000000005</v>
      </c>
      <c r="AE68" s="149">
        <v>0.69654000000000005</v>
      </c>
      <c r="AF68" s="150">
        <v>1.7312999999999999E-2</v>
      </c>
      <c r="AG68" s="87"/>
    </row>
    <row r="69" spans="1:33" ht="15" customHeight="1" x14ac:dyDescent="0.3">
      <c r="A69" s="92" t="s">
        <v>2676</v>
      </c>
      <c r="B69" s="148" t="s">
        <v>2661</v>
      </c>
      <c r="C69" s="149">
        <v>0.174708</v>
      </c>
      <c r="D69" s="149">
        <v>0.173262</v>
      </c>
      <c r="E69" s="149">
        <v>0.17277699999999999</v>
      </c>
      <c r="F69" s="149">
        <v>0.17319300000000001</v>
      </c>
      <c r="G69" s="149">
        <v>0.17386399999999999</v>
      </c>
      <c r="H69" s="149">
        <v>0.174594</v>
      </c>
      <c r="I69" s="149">
        <v>0.17566599999999999</v>
      </c>
      <c r="J69" s="149">
        <v>0.17710699999999999</v>
      </c>
      <c r="K69" s="149">
        <v>0.17887400000000001</v>
      </c>
      <c r="L69" s="149">
        <v>0.180673</v>
      </c>
      <c r="M69" s="149">
        <v>0.18267900000000001</v>
      </c>
      <c r="N69" s="149">
        <v>0.184498</v>
      </c>
      <c r="O69" s="149">
        <v>0.185888</v>
      </c>
      <c r="P69" s="149">
        <v>0.18745700000000001</v>
      </c>
      <c r="Q69" s="149">
        <v>0.18862699999999999</v>
      </c>
      <c r="R69" s="149">
        <v>0.18968199999999999</v>
      </c>
      <c r="S69" s="149">
        <v>0.190608</v>
      </c>
      <c r="T69" s="149">
        <v>0.190859</v>
      </c>
      <c r="U69" s="149">
        <v>0.19103999999999999</v>
      </c>
      <c r="V69" s="149">
        <v>0.19087699999999999</v>
      </c>
      <c r="W69" s="149">
        <v>0.19009000000000001</v>
      </c>
      <c r="X69" s="149">
        <v>0.18897900000000001</v>
      </c>
      <c r="Y69" s="149">
        <v>0.18754999999999999</v>
      </c>
      <c r="Z69" s="149">
        <v>0.1855</v>
      </c>
      <c r="AA69" s="149">
        <v>0.183143</v>
      </c>
      <c r="AB69" s="149">
        <v>0.180174</v>
      </c>
      <c r="AC69" s="149">
        <v>0.176542</v>
      </c>
      <c r="AD69" s="149">
        <v>0.17224400000000001</v>
      </c>
      <c r="AE69" s="149">
        <v>0.16695299999999999</v>
      </c>
      <c r="AF69" s="150">
        <v>-1.6199999999999999E-3</v>
      </c>
      <c r="AG69" s="87"/>
    </row>
    <row r="70" spans="1:33" ht="15" customHeight="1" x14ac:dyDescent="0.3">
      <c r="A70" s="92" t="s">
        <v>2675</v>
      </c>
      <c r="B70" s="148" t="s">
        <v>86</v>
      </c>
      <c r="C70" s="149">
        <v>3.4507249999999998</v>
      </c>
      <c r="D70" s="149">
        <v>3.536727</v>
      </c>
      <c r="E70" s="149">
        <v>3.4764119999999998</v>
      </c>
      <c r="F70" s="149">
        <v>3.4431989999999999</v>
      </c>
      <c r="G70" s="149">
        <v>3.4318369999999998</v>
      </c>
      <c r="H70" s="149">
        <v>3.4161250000000001</v>
      </c>
      <c r="I70" s="149">
        <v>3.446787</v>
      </c>
      <c r="J70" s="149">
        <v>3.4757069999999999</v>
      </c>
      <c r="K70" s="149">
        <v>3.5049540000000001</v>
      </c>
      <c r="L70" s="149">
        <v>3.5324049999999998</v>
      </c>
      <c r="M70" s="149">
        <v>3.5605950000000002</v>
      </c>
      <c r="N70" s="149">
        <v>3.5863670000000001</v>
      </c>
      <c r="O70" s="149">
        <v>3.6106569999999998</v>
      </c>
      <c r="P70" s="149">
        <v>3.6347269999999998</v>
      </c>
      <c r="Q70" s="149">
        <v>3.658757</v>
      </c>
      <c r="R70" s="149">
        <v>3.6816170000000001</v>
      </c>
      <c r="S70" s="149">
        <v>3.7035990000000001</v>
      </c>
      <c r="T70" s="149">
        <v>3.7265060000000001</v>
      </c>
      <c r="U70" s="149">
        <v>3.7487550000000001</v>
      </c>
      <c r="V70" s="149">
        <v>3.7714799999999999</v>
      </c>
      <c r="W70" s="149">
        <v>3.7952819999999998</v>
      </c>
      <c r="X70" s="149">
        <v>3.821091</v>
      </c>
      <c r="Y70" s="149">
        <v>3.8484419999999999</v>
      </c>
      <c r="Z70" s="149">
        <v>3.876735</v>
      </c>
      <c r="AA70" s="149">
        <v>3.9044140000000001</v>
      </c>
      <c r="AB70" s="149">
        <v>3.9351759999999998</v>
      </c>
      <c r="AC70" s="149">
        <v>3.967991</v>
      </c>
      <c r="AD70" s="149">
        <v>4.0022770000000003</v>
      </c>
      <c r="AE70" s="149">
        <v>4.0378090000000002</v>
      </c>
      <c r="AF70" s="150">
        <v>5.6270000000000001E-3</v>
      </c>
      <c r="AG70" s="87"/>
    </row>
    <row r="71" spans="1:33" ht="15" customHeight="1" x14ac:dyDescent="0.3">
      <c r="A71" s="92" t="s">
        <v>2785</v>
      </c>
      <c r="B71" s="147" t="s">
        <v>2786</v>
      </c>
      <c r="C71" s="151">
        <v>9.335528</v>
      </c>
      <c r="D71" s="151">
        <v>9.2880570000000002</v>
      </c>
      <c r="E71" s="151">
        <v>9.2086159999999992</v>
      </c>
      <c r="F71" s="151">
        <v>9.2537749999999992</v>
      </c>
      <c r="G71" s="151">
        <v>9.3059200000000004</v>
      </c>
      <c r="H71" s="151">
        <v>9.3353859999999997</v>
      </c>
      <c r="I71" s="151">
        <v>9.403867</v>
      </c>
      <c r="J71" s="151">
        <v>9.4589149999999993</v>
      </c>
      <c r="K71" s="151">
        <v>9.5025680000000001</v>
      </c>
      <c r="L71" s="151">
        <v>9.5458870000000005</v>
      </c>
      <c r="M71" s="151">
        <v>9.5881089999999993</v>
      </c>
      <c r="N71" s="151">
        <v>9.617559</v>
      </c>
      <c r="O71" s="151">
        <v>9.6410680000000006</v>
      </c>
      <c r="P71" s="151">
        <v>9.6637880000000003</v>
      </c>
      <c r="Q71" s="151">
        <v>9.6877049999999993</v>
      </c>
      <c r="R71" s="151">
        <v>9.7066199999999991</v>
      </c>
      <c r="S71" s="151">
        <v>9.7182060000000003</v>
      </c>
      <c r="T71" s="151">
        <v>9.7299340000000001</v>
      </c>
      <c r="U71" s="151">
        <v>9.7433150000000008</v>
      </c>
      <c r="V71" s="151">
        <v>9.7592949999999998</v>
      </c>
      <c r="W71" s="151">
        <v>9.7786690000000007</v>
      </c>
      <c r="X71" s="151">
        <v>9.8043589999999998</v>
      </c>
      <c r="Y71" s="151">
        <v>9.8349259999999994</v>
      </c>
      <c r="Z71" s="151">
        <v>9.8644540000000003</v>
      </c>
      <c r="AA71" s="151">
        <v>9.8892959999999999</v>
      </c>
      <c r="AB71" s="151">
        <v>9.9223239999999997</v>
      </c>
      <c r="AC71" s="151">
        <v>9.9624299999999995</v>
      </c>
      <c r="AD71" s="151">
        <v>10.005023</v>
      </c>
      <c r="AE71" s="151">
        <v>10.047378999999999</v>
      </c>
      <c r="AF71" s="152">
        <v>2.6280000000000001E-3</v>
      </c>
      <c r="AG71" s="87"/>
    </row>
    <row r="72" spans="1:33" ht="15" customHeight="1" x14ac:dyDescent="0.3">
      <c r="A72" s="92" t="s">
        <v>2787</v>
      </c>
      <c r="B72" s="148" t="s">
        <v>2898</v>
      </c>
      <c r="C72" s="149">
        <v>0.120598</v>
      </c>
      <c r="D72" s="149">
        <v>0.141293</v>
      </c>
      <c r="E72" s="149">
        <v>0.15779599999999999</v>
      </c>
      <c r="F72" s="149">
        <v>0.17105699999999999</v>
      </c>
      <c r="G72" s="149">
        <v>0.17847299999999999</v>
      </c>
      <c r="H72" s="149">
        <v>0.18718199999999999</v>
      </c>
      <c r="I72" s="149">
        <v>0.19470299999999999</v>
      </c>
      <c r="J72" s="149">
        <v>0.20632900000000001</v>
      </c>
      <c r="K72" s="149">
        <v>0.214666</v>
      </c>
      <c r="L72" s="149">
        <v>0.22300600000000001</v>
      </c>
      <c r="M72" s="149">
        <v>0.23046800000000001</v>
      </c>
      <c r="N72" s="149">
        <v>0.24135400000000001</v>
      </c>
      <c r="O72" s="149">
        <v>0.25285299999999999</v>
      </c>
      <c r="P72" s="149">
        <v>0.25964599999999999</v>
      </c>
      <c r="Q72" s="149">
        <v>0.27190500000000001</v>
      </c>
      <c r="R72" s="149">
        <v>0.27923599999999998</v>
      </c>
      <c r="S72" s="149">
        <v>0.28964899999999999</v>
      </c>
      <c r="T72" s="149">
        <v>0.299346</v>
      </c>
      <c r="U72" s="149">
        <v>0.30795899999999998</v>
      </c>
      <c r="V72" s="149">
        <v>0.31545000000000001</v>
      </c>
      <c r="W72" s="149">
        <v>0.32173499999999999</v>
      </c>
      <c r="X72" s="149">
        <v>0.32723600000000003</v>
      </c>
      <c r="Y72" s="149">
        <v>0.33231100000000002</v>
      </c>
      <c r="Z72" s="149">
        <v>0.33729500000000001</v>
      </c>
      <c r="AA72" s="149">
        <v>0.34577400000000003</v>
      </c>
      <c r="AB72" s="149">
        <v>0.34869</v>
      </c>
      <c r="AC72" s="149">
        <v>0.35358000000000001</v>
      </c>
      <c r="AD72" s="149">
        <v>0.35607299999999997</v>
      </c>
      <c r="AE72" s="149">
        <v>0.35779100000000003</v>
      </c>
      <c r="AF72" s="150">
        <v>3.9602999999999999E-2</v>
      </c>
      <c r="AG72" s="87"/>
    </row>
    <row r="73" spans="1:33" ht="12" x14ac:dyDescent="0.3">
      <c r="A73" s="92" t="s">
        <v>2674</v>
      </c>
      <c r="B73" s="147" t="s">
        <v>73</v>
      </c>
      <c r="C73" s="151">
        <v>9.214931</v>
      </c>
      <c r="D73" s="151">
        <v>9.1467639999999992</v>
      </c>
      <c r="E73" s="151">
        <v>9.0508199999999999</v>
      </c>
      <c r="F73" s="151">
        <v>9.0827179999999998</v>
      </c>
      <c r="G73" s="151">
        <v>9.1274470000000001</v>
      </c>
      <c r="H73" s="151">
        <v>9.1482039999999998</v>
      </c>
      <c r="I73" s="151">
        <v>9.2091639999999995</v>
      </c>
      <c r="J73" s="151">
        <v>9.2525849999999998</v>
      </c>
      <c r="K73" s="151">
        <v>9.2879020000000008</v>
      </c>
      <c r="L73" s="151">
        <v>9.3228819999999999</v>
      </c>
      <c r="M73" s="151">
        <v>9.3576409999999992</v>
      </c>
      <c r="N73" s="151">
        <v>9.3762050000000006</v>
      </c>
      <c r="O73" s="151">
        <v>9.3882150000000006</v>
      </c>
      <c r="P73" s="151">
        <v>9.4041420000000002</v>
      </c>
      <c r="Q73" s="151">
        <v>9.4158000000000008</v>
      </c>
      <c r="R73" s="151">
        <v>9.427384</v>
      </c>
      <c r="S73" s="151">
        <v>9.4285560000000004</v>
      </c>
      <c r="T73" s="151">
        <v>9.4305880000000002</v>
      </c>
      <c r="U73" s="151">
        <v>9.4353560000000005</v>
      </c>
      <c r="V73" s="151">
        <v>9.4438440000000003</v>
      </c>
      <c r="W73" s="151">
        <v>9.4569349999999996</v>
      </c>
      <c r="X73" s="151">
        <v>9.4771230000000006</v>
      </c>
      <c r="Y73" s="151">
        <v>9.5026139999999995</v>
      </c>
      <c r="Z73" s="151">
        <v>9.5271600000000003</v>
      </c>
      <c r="AA73" s="151">
        <v>9.5435219999999994</v>
      </c>
      <c r="AB73" s="151">
        <v>9.5736340000000002</v>
      </c>
      <c r="AC73" s="151">
        <v>9.6088500000000003</v>
      </c>
      <c r="AD73" s="151">
        <v>9.6489499999999992</v>
      </c>
      <c r="AE73" s="151">
        <v>9.6895889999999998</v>
      </c>
      <c r="AF73" s="152">
        <v>1.7949999999999999E-3</v>
      </c>
      <c r="AG73" s="87"/>
    </row>
    <row r="74" spans="1:33" ht="15" customHeight="1" x14ac:dyDescent="0.3"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87"/>
      <c r="AF74" s="87"/>
      <c r="AG74" s="87"/>
    </row>
    <row r="75" spans="1:33" ht="15" customHeight="1" x14ac:dyDescent="0.3">
      <c r="A75" s="92" t="s">
        <v>2673</v>
      </c>
      <c r="B75" s="147" t="s">
        <v>120</v>
      </c>
      <c r="C75" s="151">
        <v>8.418628</v>
      </c>
      <c r="D75" s="151">
        <v>8.1140220000000003</v>
      </c>
      <c r="E75" s="151">
        <v>8.1917259999999992</v>
      </c>
      <c r="F75" s="151">
        <v>8.1594289999999994</v>
      </c>
      <c r="G75" s="151">
        <v>8.0919919999999994</v>
      </c>
      <c r="H75" s="151">
        <v>8.0060850000000006</v>
      </c>
      <c r="I75" s="151">
        <v>7.955819</v>
      </c>
      <c r="J75" s="151">
        <v>7.9158020000000002</v>
      </c>
      <c r="K75" s="151">
        <v>7.8963580000000002</v>
      </c>
      <c r="L75" s="151">
        <v>7.9300129999999998</v>
      </c>
      <c r="M75" s="151">
        <v>8.0035220000000002</v>
      </c>
      <c r="N75" s="151">
        <v>8.0267309999999998</v>
      </c>
      <c r="O75" s="151">
        <v>8.0801970000000001</v>
      </c>
      <c r="P75" s="151">
        <v>8.1208340000000003</v>
      </c>
      <c r="Q75" s="151">
        <v>8.1497419999999998</v>
      </c>
      <c r="R75" s="151">
        <v>8.1508179999999992</v>
      </c>
      <c r="S75" s="151">
        <v>8.1182960000000008</v>
      </c>
      <c r="T75" s="151">
        <v>8.0792339999999996</v>
      </c>
      <c r="U75" s="151">
        <v>8.0688680000000002</v>
      </c>
      <c r="V75" s="151">
        <v>8.0798349999999992</v>
      </c>
      <c r="W75" s="151">
        <v>8.1258210000000002</v>
      </c>
      <c r="X75" s="151">
        <v>8.1633040000000001</v>
      </c>
      <c r="Y75" s="151">
        <v>8.2102930000000001</v>
      </c>
      <c r="Z75" s="151">
        <v>8.2706389999999992</v>
      </c>
      <c r="AA75" s="151">
        <v>8.2967460000000006</v>
      </c>
      <c r="AB75" s="151">
        <v>8.3478860000000008</v>
      </c>
      <c r="AC75" s="151">
        <v>8.401999</v>
      </c>
      <c r="AD75" s="151">
        <v>8.4501869999999997</v>
      </c>
      <c r="AE75" s="151">
        <v>8.5127570000000006</v>
      </c>
      <c r="AF75" s="152">
        <v>3.97E-4</v>
      </c>
      <c r="AG75" s="87"/>
    </row>
    <row r="76" spans="1:33" ht="15" customHeight="1" x14ac:dyDescent="0.3"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87"/>
      <c r="AC76" s="87"/>
      <c r="AD76" s="87"/>
      <c r="AE76" s="87"/>
      <c r="AF76" s="87"/>
      <c r="AG76" s="87"/>
    </row>
    <row r="77" spans="1:33" ht="15" customHeight="1" x14ac:dyDescent="0.3">
      <c r="B77" s="147" t="s">
        <v>2755</v>
      </c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7"/>
      <c r="AB77" s="87"/>
      <c r="AC77" s="87"/>
      <c r="AD77" s="87"/>
      <c r="AE77" s="87"/>
      <c r="AF77" s="87"/>
      <c r="AG77" s="87"/>
    </row>
    <row r="78" spans="1:33" ht="15" customHeight="1" x14ac:dyDescent="0.3">
      <c r="A78" s="92" t="s">
        <v>2672</v>
      </c>
      <c r="B78" s="148" t="s">
        <v>2778</v>
      </c>
      <c r="C78" s="149">
        <v>2.3697560000000002</v>
      </c>
      <c r="D78" s="149">
        <v>2.3253029999999999</v>
      </c>
      <c r="E78" s="149">
        <v>2.2000709999999999</v>
      </c>
      <c r="F78" s="149">
        <v>2.2340339999999999</v>
      </c>
      <c r="G78" s="149">
        <v>2.258785</v>
      </c>
      <c r="H78" s="149">
        <v>2.2721779999999998</v>
      </c>
      <c r="I78" s="149">
        <v>2.2786050000000002</v>
      </c>
      <c r="J78" s="149">
        <v>2.2756099999999999</v>
      </c>
      <c r="K78" s="149">
        <v>2.2688220000000001</v>
      </c>
      <c r="L78" s="149">
        <v>2.2625299999999999</v>
      </c>
      <c r="M78" s="149">
        <v>2.2550870000000001</v>
      </c>
      <c r="N78" s="149">
        <v>2.242448</v>
      </c>
      <c r="O78" s="149">
        <v>2.2285940000000002</v>
      </c>
      <c r="P78" s="149">
        <v>2.2133579999999999</v>
      </c>
      <c r="Q78" s="149">
        <v>2.1982949999999999</v>
      </c>
      <c r="R78" s="149">
        <v>2.181622</v>
      </c>
      <c r="S78" s="149">
        <v>2.1610209999999999</v>
      </c>
      <c r="T78" s="149">
        <v>2.140987</v>
      </c>
      <c r="U78" s="149">
        <v>2.120797</v>
      </c>
      <c r="V78" s="149">
        <v>2.1009540000000002</v>
      </c>
      <c r="W78" s="149">
        <v>2.0825870000000002</v>
      </c>
      <c r="X78" s="149">
        <v>2.0657890000000001</v>
      </c>
      <c r="Y78" s="149">
        <v>2.0509119999999998</v>
      </c>
      <c r="Z78" s="149">
        <v>2.0343010000000001</v>
      </c>
      <c r="AA78" s="149">
        <v>2.0144310000000001</v>
      </c>
      <c r="AB78" s="149">
        <v>1.9967809999999999</v>
      </c>
      <c r="AC78" s="149">
        <v>1.981096</v>
      </c>
      <c r="AD78" s="149">
        <v>1.9651620000000001</v>
      </c>
      <c r="AE78" s="149">
        <v>1.94787</v>
      </c>
      <c r="AF78" s="150">
        <v>-6.9769999999999997E-3</v>
      </c>
      <c r="AG78" s="87"/>
    </row>
    <row r="79" spans="1:33" ht="12" x14ac:dyDescent="0.3">
      <c r="A79" s="92" t="s">
        <v>2671</v>
      </c>
      <c r="B79" s="148" t="s">
        <v>2779</v>
      </c>
      <c r="C79" s="149">
        <v>1.5369969999999999</v>
      </c>
      <c r="D79" s="149">
        <v>1.328487</v>
      </c>
      <c r="E79" s="149">
        <v>1.535744</v>
      </c>
      <c r="F79" s="149">
        <v>1.556894</v>
      </c>
      <c r="G79" s="149">
        <v>1.567385</v>
      </c>
      <c r="H79" s="149">
        <v>1.575223</v>
      </c>
      <c r="I79" s="149">
        <v>1.582111</v>
      </c>
      <c r="J79" s="149">
        <v>1.588919</v>
      </c>
      <c r="K79" s="149">
        <v>1.5958870000000001</v>
      </c>
      <c r="L79" s="149">
        <v>1.609396</v>
      </c>
      <c r="M79" s="149">
        <v>1.6281920000000001</v>
      </c>
      <c r="N79" s="149">
        <v>1.6374580000000001</v>
      </c>
      <c r="O79" s="149">
        <v>1.650042</v>
      </c>
      <c r="P79" s="149">
        <v>1.6619710000000001</v>
      </c>
      <c r="Q79" s="149">
        <v>1.672609</v>
      </c>
      <c r="R79" s="149">
        <v>1.680196</v>
      </c>
      <c r="S79" s="149">
        <v>1.6826190000000001</v>
      </c>
      <c r="T79" s="149">
        <v>1.684639</v>
      </c>
      <c r="U79" s="149">
        <v>1.6883490000000001</v>
      </c>
      <c r="V79" s="149">
        <v>1.695125</v>
      </c>
      <c r="W79" s="149">
        <v>1.7068909999999999</v>
      </c>
      <c r="X79" s="149">
        <v>1.717692</v>
      </c>
      <c r="Y79" s="149">
        <v>1.73045</v>
      </c>
      <c r="Z79" s="149">
        <v>1.7457689999999999</v>
      </c>
      <c r="AA79" s="149">
        <v>1.7589360000000001</v>
      </c>
      <c r="AB79" s="149">
        <v>1.7766649999999999</v>
      </c>
      <c r="AC79" s="149">
        <v>1.7950440000000001</v>
      </c>
      <c r="AD79" s="149">
        <v>1.812694</v>
      </c>
      <c r="AE79" s="149">
        <v>1.833566</v>
      </c>
      <c r="AF79" s="150">
        <v>6.3210000000000002E-3</v>
      </c>
      <c r="AG79" s="87"/>
    </row>
    <row r="80" spans="1:33" ht="15" customHeight="1" x14ac:dyDescent="0.3">
      <c r="A80" s="92" t="s">
        <v>2670</v>
      </c>
      <c r="B80" s="148" t="s">
        <v>2780</v>
      </c>
      <c r="C80" s="149">
        <v>0.66562699999999997</v>
      </c>
      <c r="D80" s="149">
        <v>0.65749899999999994</v>
      </c>
      <c r="E80" s="149">
        <v>0.66666899999999996</v>
      </c>
      <c r="F80" s="149">
        <v>0.68124700000000005</v>
      </c>
      <c r="G80" s="149">
        <v>0.69316900000000004</v>
      </c>
      <c r="H80" s="149">
        <v>0.70242899999999997</v>
      </c>
      <c r="I80" s="149">
        <v>0.71000700000000005</v>
      </c>
      <c r="J80" s="149">
        <v>0.71553599999999995</v>
      </c>
      <c r="K80" s="149">
        <v>0.72045199999999998</v>
      </c>
      <c r="L80" s="149">
        <v>0.72542899999999999</v>
      </c>
      <c r="M80" s="149">
        <v>0.730105</v>
      </c>
      <c r="N80" s="149">
        <v>0.73323199999999999</v>
      </c>
      <c r="O80" s="149">
        <v>0.735904</v>
      </c>
      <c r="P80" s="149">
        <v>0.73823899999999998</v>
      </c>
      <c r="Q80" s="149">
        <v>0.740788</v>
      </c>
      <c r="R80" s="149">
        <v>0.74285599999999996</v>
      </c>
      <c r="S80" s="149">
        <v>0.74366299999999996</v>
      </c>
      <c r="T80" s="149">
        <v>0.74489700000000003</v>
      </c>
      <c r="U80" s="149">
        <v>0.74589700000000003</v>
      </c>
      <c r="V80" s="149">
        <v>0.74704199999999998</v>
      </c>
      <c r="W80" s="149">
        <v>0.74865400000000004</v>
      </c>
      <c r="X80" s="149">
        <v>0.75102800000000003</v>
      </c>
      <c r="Y80" s="149">
        <v>0.75422599999999995</v>
      </c>
      <c r="Z80" s="149">
        <v>0.756606</v>
      </c>
      <c r="AA80" s="149">
        <v>0.75668800000000003</v>
      </c>
      <c r="AB80" s="149">
        <v>0.75813200000000003</v>
      </c>
      <c r="AC80" s="149">
        <v>0.76105400000000001</v>
      </c>
      <c r="AD80" s="149">
        <v>0.76436300000000001</v>
      </c>
      <c r="AE80" s="149">
        <v>0.76713299999999995</v>
      </c>
      <c r="AF80" s="150">
        <v>5.0819999999999997E-3</v>
      </c>
      <c r="AG80" s="87"/>
    </row>
    <row r="81" spans="1:33" ht="12" x14ac:dyDescent="0.3">
      <c r="A81" s="92" t="s">
        <v>2669</v>
      </c>
      <c r="B81" s="148" t="s">
        <v>2668</v>
      </c>
      <c r="C81" s="149">
        <v>1.1665289999999999</v>
      </c>
      <c r="D81" s="149">
        <v>1.1180840000000001</v>
      </c>
      <c r="E81" s="149">
        <v>1.0967420000000001</v>
      </c>
      <c r="F81" s="149">
        <v>1.0777890000000001</v>
      </c>
      <c r="G81" s="149">
        <v>1.053604</v>
      </c>
      <c r="H81" s="149">
        <v>1.026656</v>
      </c>
      <c r="I81" s="149">
        <v>0.99876600000000004</v>
      </c>
      <c r="J81" s="149">
        <v>0.97128400000000004</v>
      </c>
      <c r="K81" s="149">
        <v>0.94479100000000005</v>
      </c>
      <c r="L81" s="149">
        <v>0.92290000000000005</v>
      </c>
      <c r="M81" s="149">
        <v>0.90390099999999995</v>
      </c>
      <c r="N81" s="149">
        <v>0.88105</v>
      </c>
      <c r="O81" s="149">
        <v>0.86056600000000005</v>
      </c>
      <c r="P81" s="149">
        <v>0.84034600000000004</v>
      </c>
      <c r="Q81" s="149">
        <v>0.82012499999999999</v>
      </c>
      <c r="R81" s="149">
        <v>0.79879900000000004</v>
      </c>
      <c r="S81" s="149">
        <v>0.77551099999999995</v>
      </c>
      <c r="T81" s="149">
        <v>0.75261400000000001</v>
      </c>
      <c r="U81" s="149">
        <v>0.73203600000000002</v>
      </c>
      <c r="V81" s="149">
        <v>0.71380699999999997</v>
      </c>
      <c r="W81" s="149">
        <v>0.69832300000000003</v>
      </c>
      <c r="X81" s="149">
        <v>0.68294299999999997</v>
      </c>
      <c r="Y81" s="149">
        <v>0.66856300000000002</v>
      </c>
      <c r="Z81" s="149">
        <v>0.65516399999999997</v>
      </c>
      <c r="AA81" s="149">
        <v>0.64053499999999997</v>
      </c>
      <c r="AB81" s="149">
        <v>0.62772799999999995</v>
      </c>
      <c r="AC81" s="149">
        <v>0.61534299999999997</v>
      </c>
      <c r="AD81" s="149">
        <v>0.60333199999999998</v>
      </c>
      <c r="AE81" s="149">
        <v>0.59254700000000005</v>
      </c>
      <c r="AF81" s="150">
        <v>-2.3900999999999999E-2</v>
      </c>
      <c r="AG81" s="87"/>
    </row>
    <row r="82" spans="1:33" ht="15" customHeight="1" x14ac:dyDescent="0.3">
      <c r="A82" s="92" t="s">
        <v>2667</v>
      </c>
      <c r="B82" s="148" t="s">
        <v>57</v>
      </c>
      <c r="C82" s="149">
        <v>0.56011500000000003</v>
      </c>
      <c r="D82" s="149">
        <v>0.55493300000000001</v>
      </c>
      <c r="E82" s="149">
        <v>0.56366799999999995</v>
      </c>
      <c r="F82" s="149">
        <v>0.57528999999999997</v>
      </c>
      <c r="G82" s="149">
        <v>0.583754</v>
      </c>
      <c r="H82" s="149">
        <v>0.58954399999999996</v>
      </c>
      <c r="I82" s="149">
        <v>0.59404199999999996</v>
      </c>
      <c r="J82" s="149">
        <v>0.59749699999999994</v>
      </c>
      <c r="K82" s="149">
        <v>0.60081499999999999</v>
      </c>
      <c r="L82" s="149">
        <v>0.60494700000000001</v>
      </c>
      <c r="M82" s="149">
        <v>0.60926800000000003</v>
      </c>
      <c r="N82" s="149">
        <v>0.61163299999999998</v>
      </c>
      <c r="O82" s="149">
        <v>0.61390199999999995</v>
      </c>
      <c r="P82" s="149">
        <v>0.61572099999999996</v>
      </c>
      <c r="Q82" s="149">
        <v>0.61733800000000005</v>
      </c>
      <c r="R82" s="149">
        <v>0.61818600000000001</v>
      </c>
      <c r="S82" s="149">
        <v>0.617672</v>
      </c>
      <c r="T82" s="149">
        <v>0.61723899999999998</v>
      </c>
      <c r="U82" s="149">
        <v>0.61680999999999997</v>
      </c>
      <c r="V82" s="149">
        <v>0.61690299999999998</v>
      </c>
      <c r="W82" s="149">
        <v>0.61767099999999997</v>
      </c>
      <c r="X82" s="149">
        <v>0.618726</v>
      </c>
      <c r="Y82" s="149">
        <v>0.62030300000000005</v>
      </c>
      <c r="Z82" s="149">
        <v>0.62162399999999995</v>
      </c>
      <c r="AA82" s="149">
        <v>0.62077099999999996</v>
      </c>
      <c r="AB82" s="149">
        <v>0.62115200000000004</v>
      </c>
      <c r="AC82" s="149">
        <v>0.62246100000000004</v>
      </c>
      <c r="AD82" s="149">
        <v>0.62402999999999997</v>
      </c>
      <c r="AE82" s="149">
        <v>0.62551599999999996</v>
      </c>
      <c r="AF82" s="150">
        <v>3.9519999999999998E-3</v>
      </c>
      <c r="AG82" s="87"/>
    </row>
    <row r="83" spans="1:33" ht="15" customHeight="1" x14ac:dyDescent="0.3">
      <c r="A83" s="92" t="s">
        <v>2666</v>
      </c>
      <c r="B83" s="148" t="s">
        <v>63</v>
      </c>
      <c r="C83" s="149">
        <v>1.3851530000000001</v>
      </c>
      <c r="D83" s="149">
        <v>1.339207</v>
      </c>
      <c r="E83" s="149">
        <v>1.331915</v>
      </c>
      <c r="F83" s="149">
        <v>1.332792</v>
      </c>
      <c r="G83" s="149">
        <v>1.3283799999999999</v>
      </c>
      <c r="H83" s="149">
        <v>1.3212189999999999</v>
      </c>
      <c r="I83" s="149">
        <v>1.3141320000000001</v>
      </c>
      <c r="J83" s="149">
        <v>1.308378</v>
      </c>
      <c r="K83" s="149">
        <v>1.2943530000000001</v>
      </c>
      <c r="L83" s="149">
        <v>1.2868710000000001</v>
      </c>
      <c r="M83" s="149">
        <v>1.2834669999999999</v>
      </c>
      <c r="N83" s="149">
        <v>1.2740020000000001</v>
      </c>
      <c r="O83" s="149">
        <v>1.2666729999999999</v>
      </c>
      <c r="P83" s="149">
        <v>1.258643</v>
      </c>
      <c r="Q83" s="149">
        <v>1.249258</v>
      </c>
      <c r="R83" s="149">
        <v>1.235217</v>
      </c>
      <c r="S83" s="149">
        <v>1.2160230000000001</v>
      </c>
      <c r="T83" s="149">
        <v>1.1938260000000001</v>
      </c>
      <c r="U83" s="149">
        <v>1.1843950000000001</v>
      </c>
      <c r="V83" s="149">
        <v>1.178803</v>
      </c>
      <c r="W83" s="149">
        <v>1.176833</v>
      </c>
      <c r="X83" s="149">
        <v>1.1747920000000001</v>
      </c>
      <c r="Y83" s="149">
        <v>1.1743619999999999</v>
      </c>
      <c r="Z83" s="149">
        <v>1.175478</v>
      </c>
      <c r="AA83" s="149">
        <v>1.174237</v>
      </c>
      <c r="AB83" s="149">
        <v>1.1766799999999999</v>
      </c>
      <c r="AC83" s="149">
        <v>1.179251</v>
      </c>
      <c r="AD83" s="149">
        <v>1.181748</v>
      </c>
      <c r="AE83" s="149">
        <v>1.186339</v>
      </c>
      <c r="AF83" s="150">
        <v>-5.5180000000000003E-3</v>
      </c>
      <c r="AG83" s="87"/>
    </row>
    <row r="84" spans="1:33" ht="15" customHeight="1" x14ac:dyDescent="0.3">
      <c r="A84" s="92" t="s">
        <v>2665</v>
      </c>
      <c r="B84" s="148" t="s">
        <v>55</v>
      </c>
      <c r="C84" s="149">
        <v>1.680609</v>
      </c>
      <c r="D84" s="149">
        <v>1.6483950000000001</v>
      </c>
      <c r="E84" s="149">
        <v>1.652382</v>
      </c>
      <c r="F84" s="149">
        <v>1.6577379999999999</v>
      </c>
      <c r="G84" s="149">
        <v>1.6549879999999999</v>
      </c>
      <c r="H84" s="149">
        <v>1.6490229999999999</v>
      </c>
      <c r="I84" s="149">
        <v>1.643127</v>
      </c>
      <c r="J84" s="149">
        <v>1.6391340000000001</v>
      </c>
      <c r="K84" s="149">
        <v>1.6363259999999999</v>
      </c>
      <c r="L84" s="149">
        <v>1.6420090000000001</v>
      </c>
      <c r="M84" s="149">
        <v>1.652495</v>
      </c>
      <c r="N84" s="149">
        <v>1.6559159999999999</v>
      </c>
      <c r="O84" s="149">
        <v>1.6626129999999999</v>
      </c>
      <c r="P84" s="149">
        <v>1.6673100000000001</v>
      </c>
      <c r="Q84" s="149">
        <v>1.6697979999999999</v>
      </c>
      <c r="R84" s="149">
        <v>1.6685019999999999</v>
      </c>
      <c r="S84" s="149">
        <v>1.66205</v>
      </c>
      <c r="T84" s="149">
        <v>1.654631</v>
      </c>
      <c r="U84" s="149">
        <v>1.6499239999999999</v>
      </c>
      <c r="V84" s="149">
        <v>1.649092</v>
      </c>
      <c r="W84" s="149">
        <v>1.65256</v>
      </c>
      <c r="X84" s="149">
        <v>1.6546829999999999</v>
      </c>
      <c r="Y84" s="149">
        <v>1.657877</v>
      </c>
      <c r="Z84" s="149">
        <v>1.662347</v>
      </c>
      <c r="AA84" s="149">
        <v>1.6622939999999999</v>
      </c>
      <c r="AB84" s="149">
        <v>1.6653009999999999</v>
      </c>
      <c r="AC84" s="149">
        <v>1.668507</v>
      </c>
      <c r="AD84" s="149">
        <v>1.6711590000000001</v>
      </c>
      <c r="AE84" s="149">
        <v>1.6755519999999999</v>
      </c>
      <c r="AF84" s="150">
        <v>-1.08E-4</v>
      </c>
      <c r="AG84" s="87"/>
    </row>
    <row r="85" spans="1:33" ht="15" customHeight="1" x14ac:dyDescent="0.3">
      <c r="A85" s="92" t="s">
        <v>2664</v>
      </c>
      <c r="B85" s="148" t="s">
        <v>2663</v>
      </c>
      <c r="C85" s="149">
        <v>1.199797</v>
      </c>
      <c r="D85" s="149">
        <v>1.191255</v>
      </c>
      <c r="E85" s="149">
        <v>1.2061809999999999</v>
      </c>
      <c r="F85" s="149">
        <v>1.22292</v>
      </c>
      <c r="G85" s="149">
        <v>1.2333810000000001</v>
      </c>
      <c r="H85" s="149">
        <v>1.241554</v>
      </c>
      <c r="I85" s="149">
        <v>1.252292</v>
      </c>
      <c r="J85" s="149">
        <v>1.26457</v>
      </c>
      <c r="K85" s="149">
        <v>1.2816419999999999</v>
      </c>
      <c r="L85" s="149">
        <v>1.303904</v>
      </c>
      <c r="M85" s="149">
        <v>1.3311930000000001</v>
      </c>
      <c r="N85" s="149">
        <v>1.353154</v>
      </c>
      <c r="O85" s="149">
        <v>1.3792089999999999</v>
      </c>
      <c r="P85" s="149">
        <v>1.403213</v>
      </c>
      <c r="Q85" s="149">
        <v>1.427948</v>
      </c>
      <c r="R85" s="149">
        <v>1.4482139999999999</v>
      </c>
      <c r="S85" s="149">
        <v>1.466961</v>
      </c>
      <c r="T85" s="149">
        <v>1.4847030000000001</v>
      </c>
      <c r="U85" s="149">
        <v>1.5046360000000001</v>
      </c>
      <c r="V85" s="149">
        <v>1.526249</v>
      </c>
      <c r="W85" s="149">
        <v>1.553045</v>
      </c>
      <c r="X85" s="149">
        <v>1.579993</v>
      </c>
      <c r="Y85" s="149">
        <v>1.606792</v>
      </c>
      <c r="Z85" s="149">
        <v>1.6365209999999999</v>
      </c>
      <c r="AA85" s="149">
        <v>1.663424</v>
      </c>
      <c r="AB85" s="149">
        <v>1.69211</v>
      </c>
      <c r="AC85" s="149">
        <v>1.722647</v>
      </c>
      <c r="AD85" s="149">
        <v>1.7527060000000001</v>
      </c>
      <c r="AE85" s="149">
        <v>1.784721</v>
      </c>
      <c r="AF85" s="150">
        <v>1.4284E-2</v>
      </c>
      <c r="AG85" s="87"/>
    </row>
    <row r="86" spans="1:33" ht="15" customHeight="1" x14ac:dyDescent="0.3">
      <c r="A86" s="92" t="s">
        <v>2662</v>
      </c>
      <c r="B86" s="148" t="s">
        <v>2661</v>
      </c>
      <c r="C86" s="149">
        <v>0.48664099999999999</v>
      </c>
      <c r="D86" s="149">
        <v>0.47493299999999999</v>
      </c>
      <c r="E86" s="149">
        <v>0.47370600000000002</v>
      </c>
      <c r="F86" s="149">
        <v>0.47342800000000002</v>
      </c>
      <c r="G86" s="149">
        <v>0.47195300000000001</v>
      </c>
      <c r="H86" s="149">
        <v>0.47022799999999998</v>
      </c>
      <c r="I86" s="149">
        <v>0.46917999999999999</v>
      </c>
      <c r="J86" s="149">
        <v>0.46936899999999998</v>
      </c>
      <c r="K86" s="149">
        <v>0.47152100000000002</v>
      </c>
      <c r="L86" s="149">
        <v>0.47550500000000001</v>
      </c>
      <c r="M86" s="149">
        <v>0.48146899999999998</v>
      </c>
      <c r="N86" s="149">
        <v>0.48541499999999999</v>
      </c>
      <c r="O86" s="149">
        <v>0.489541</v>
      </c>
      <c r="P86" s="149">
        <v>0.49359199999999998</v>
      </c>
      <c r="Q86" s="149">
        <v>0.49612699999999998</v>
      </c>
      <c r="R86" s="149">
        <v>0.49749599999999999</v>
      </c>
      <c r="S86" s="149">
        <v>0.49737999999999999</v>
      </c>
      <c r="T86" s="149">
        <v>0.49539499999999997</v>
      </c>
      <c r="U86" s="149">
        <v>0.49410900000000002</v>
      </c>
      <c r="V86" s="149">
        <v>0.49255900000000002</v>
      </c>
      <c r="W86" s="149">
        <v>0.49060900000000002</v>
      </c>
      <c r="X86" s="149">
        <v>0.48736800000000002</v>
      </c>
      <c r="Y86" s="149">
        <v>0.48358099999999998</v>
      </c>
      <c r="Z86" s="149">
        <v>0.47851700000000003</v>
      </c>
      <c r="AA86" s="149">
        <v>0.47126899999999999</v>
      </c>
      <c r="AB86" s="149">
        <v>0.46317900000000001</v>
      </c>
      <c r="AC86" s="149">
        <v>0.45341199999999998</v>
      </c>
      <c r="AD86" s="149">
        <v>0.44169000000000003</v>
      </c>
      <c r="AE86" s="149">
        <v>0.42777799999999999</v>
      </c>
      <c r="AF86" s="150">
        <v>-4.594E-3</v>
      </c>
      <c r="AG86" s="87"/>
    </row>
    <row r="87" spans="1:33" ht="15" customHeight="1" x14ac:dyDescent="0.3">
      <c r="A87" s="92" t="s">
        <v>2660</v>
      </c>
      <c r="B87" s="148" t="s">
        <v>86</v>
      </c>
      <c r="C87" s="149">
        <v>6.7029329999999998</v>
      </c>
      <c r="D87" s="149">
        <v>6.7639820000000004</v>
      </c>
      <c r="E87" s="149">
        <v>6.6732649999999998</v>
      </c>
      <c r="F87" s="149">
        <v>6.6010710000000001</v>
      </c>
      <c r="G87" s="149">
        <v>6.5525130000000003</v>
      </c>
      <c r="H87" s="149">
        <v>6.4934190000000003</v>
      </c>
      <c r="I87" s="149">
        <v>6.5174250000000002</v>
      </c>
      <c r="J87" s="149">
        <v>6.5444190000000004</v>
      </c>
      <c r="K87" s="149">
        <v>6.5843160000000003</v>
      </c>
      <c r="L87" s="149">
        <v>6.6424099999999999</v>
      </c>
      <c r="M87" s="149">
        <v>6.7164539999999997</v>
      </c>
      <c r="N87" s="149">
        <v>6.7699829999999999</v>
      </c>
      <c r="O87" s="149">
        <v>6.8342210000000003</v>
      </c>
      <c r="P87" s="149">
        <v>6.8922309999999998</v>
      </c>
      <c r="Q87" s="149">
        <v>6.9451619999999998</v>
      </c>
      <c r="R87" s="149">
        <v>6.9863479999999996</v>
      </c>
      <c r="S87" s="149">
        <v>7.0136019999999997</v>
      </c>
      <c r="T87" s="149">
        <v>7.0402370000000003</v>
      </c>
      <c r="U87" s="149">
        <v>7.0752300000000004</v>
      </c>
      <c r="V87" s="149">
        <v>7.1185939999999999</v>
      </c>
      <c r="W87" s="149">
        <v>7.1773170000000004</v>
      </c>
      <c r="X87" s="149">
        <v>7.2346490000000001</v>
      </c>
      <c r="Y87" s="149">
        <v>7.2981509999999998</v>
      </c>
      <c r="Z87" s="149">
        <v>7.3687659999999999</v>
      </c>
      <c r="AA87" s="149">
        <v>7.423457</v>
      </c>
      <c r="AB87" s="149">
        <v>7.4924809999999997</v>
      </c>
      <c r="AC87" s="149">
        <v>7.5656140000000001</v>
      </c>
      <c r="AD87" s="149">
        <v>7.6383260000000002</v>
      </c>
      <c r="AE87" s="149">
        <v>7.7191140000000003</v>
      </c>
      <c r="AF87" s="150">
        <v>5.0540000000000003E-3</v>
      </c>
      <c r="AG87" s="87"/>
    </row>
    <row r="88" spans="1:33" ht="15" customHeight="1" x14ac:dyDescent="0.3">
      <c r="A88" s="92" t="s">
        <v>2658</v>
      </c>
      <c r="B88" s="147" t="s">
        <v>2788</v>
      </c>
      <c r="C88" s="151">
        <v>17.754155999999998</v>
      </c>
      <c r="D88" s="151">
        <v>17.402080999999999</v>
      </c>
      <c r="E88" s="151">
        <v>17.400341000000001</v>
      </c>
      <c r="F88" s="151">
        <v>17.413204</v>
      </c>
      <c r="G88" s="151">
        <v>17.397911000000001</v>
      </c>
      <c r="H88" s="151">
        <v>17.341473000000001</v>
      </c>
      <c r="I88" s="151">
        <v>17.359686</v>
      </c>
      <c r="J88" s="151">
        <v>17.374718000000001</v>
      </c>
      <c r="K88" s="151">
        <v>17.398925999999999</v>
      </c>
      <c r="L88" s="151">
        <v>17.475898999999998</v>
      </c>
      <c r="M88" s="151">
        <v>17.591631</v>
      </c>
      <c r="N88" s="151">
        <v>17.644290999999999</v>
      </c>
      <c r="O88" s="151">
        <v>17.721266</v>
      </c>
      <c r="P88" s="151">
        <v>17.784621999999999</v>
      </c>
      <c r="Q88" s="151">
        <v>17.837447999999998</v>
      </c>
      <c r="R88" s="151">
        <v>17.857437000000001</v>
      </c>
      <c r="S88" s="151">
        <v>17.836501999999999</v>
      </c>
      <c r="T88" s="151">
        <v>17.809168</v>
      </c>
      <c r="U88" s="151">
        <v>17.812183000000001</v>
      </c>
      <c r="V88" s="151">
        <v>17.839130000000001</v>
      </c>
      <c r="W88" s="151">
        <v>17.904491</v>
      </c>
      <c r="X88" s="151">
        <v>17.967663000000002</v>
      </c>
      <c r="Y88" s="151">
        <v>18.045218999999999</v>
      </c>
      <c r="Z88" s="151">
        <v>18.135093999999999</v>
      </c>
      <c r="AA88" s="151">
        <v>18.186043000000002</v>
      </c>
      <c r="AB88" s="151">
        <v>18.270209999999999</v>
      </c>
      <c r="AC88" s="151">
        <v>18.364429000000001</v>
      </c>
      <c r="AD88" s="151">
        <v>18.455210000000001</v>
      </c>
      <c r="AE88" s="151">
        <v>18.560137000000001</v>
      </c>
      <c r="AF88" s="152">
        <v>1.5870000000000001E-3</v>
      </c>
      <c r="AG88" s="87"/>
    </row>
    <row r="89" spans="1:33" ht="15" customHeight="1" x14ac:dyDescent="0.3">
      <c r="A89" s="92" t="s">
        <v>2789</v>
      </c>
      <c r="B89" s="148" t="s">
        <v>2898</v>
      </c>
      <c r="C89" s="149">
        <v>0.120598</v>
      </c>
      <c r="D89" s="149">
        <v>0.141293</v>
      </c>
      <c r="E89" s="149">
        <v>0.15779599999999999</v>
      </c>
      <c r="F89" s="149">
        <v>0.17105699999999999</v>
      </c>
      <c r="G89" s="149">
        <v>0.17847299999999999</v>
      </c>
      <c r="H89" s="149">
        <v>0.18718199999999999</v>
      </c>
      <c r="I89" s="149">
        <v>0.19470299999999999</v>
      </c>
      <c r="J89" s="149">
        <v>0.20632900000000001</v>
      </c>
      <c r="K89" s="149">
        <v>0.214666</v>
      </c>
      <c r="L89" s="149">
        <v>0.22300600000000001</v>
      </c>
      <c r="M89" s="149">
        <v>0.23046800000000001</v>
      </c>
      <c r="N89" s="149">
        <v>0.24135400000000001</v>
      </c>
      <c r="O89" s="149">
        <v>0.25285299999999999</v>
      </c>
      <c r="P89" s="149">
        <v>0.25964599999999999</v>
      </c>
      <c r="Q89" s="149">
        <v>0.27190500000000001</v>
      </c>
      <c r="R89" s="149">
        <v>0.27923599999999998</v>
      </c>
      <c r="S89" s="149">
        <v>0.28964899999999999</v>
      </c>
      <c r="T89" s="149">
        <v>0.299346</v>
      </c>
      <c r="U89" s="149">
        <v>0.30795899999999998</v>
      </c>
      <c r="V89" s="149">
        <v>0.31545000000000001</v>
      </c>
      <c r="W89" s="149">
        <v>0.32173499999999999</v>
      </c>
      <c r="X89" s="149">
        <v>0.32723600000000003</v>
      </c>
      <c r="Y89" s="149">
        <v>0.33231100000000002</v>
      </c>
      <c r="Z89" s="149">
        <v>0.33729500000000001</v>
      </c>
      <c r="AA89" s="149">
        <v>0.34577400000000003</v>
      </c>
      <c r="AB89" s="149">
        <v>0.34869</v>
      </c>
      <c r="AC89" s="149">
        <v>0.35358000000000001</v>
      </c>
      <c r="AD89" s="149">
        <v>0.35607299999999997</v>
      </c>
      <c r="AE89" s="149">
        <v>0.35779100000000003</v>
      </c>
      <c r="AF89" s="150">
        <v>3.9602999999999999E-2</v>
      </c>
      <c r="AG89" s="87"/>
    </row>
    <row r="90" spans="1:33" ht="15" customHeight="1" x14ac:dyDescent="0.3">
      <c r="A90" s="92" t="s">
        <v>2790</v>
      </c>
      <c r="B90" s="147" t="s">
        <v>2760</v>
      </c>
      <c r="C90" s="151">
        <v>17.633558000000001</v>
      </c>
      <c r="D90" s="151">
        <v>17.260786</v>
      </c>
      <c r="E90" s="151">
        <v>17.242546000000001</v>
      </c>
      <c r="F90" s="151">
        <v>17.242146000000002</v>
      </c>
      <c r="G90" s="151">
        <v>17.219439999999999</v>
      </c>
      <c r="H90" s="151">
        <v>17.154288999999999</v>
      </c>
      <c r="I90" s="151">
        <v>17.164981999999998</v>
      </c>
      <c r="J90" s="151">
        <v>17.168388</v>
      </c>
      <c r="K90" s="151">
        <v>17.184260999999999</v>
      </c>
      <c r="L90" s="151">
        <v>17.252894999999999</v>
      </c>
      <c r="M90" s="151">
        <v>17.361163999999999</v>
      </c>
      <c r="N90" s="151">
        <v>17.402934999999999</v>
      </c>
      <c r="O90" s="151">
        <v>17.468412000000001</v>
      </c>
      <c r="P90" s="151">
        <v>17.524977</v>
      </c>
      <c r="Q90" s="151">
        <v>17.565542000000001</v>
      </c>
      <c r="R90" s="151">
        <v>17.578201</v>
      </c>
      <c r="S90" s="151">
        <v>17.546852000000001</v>
      </c>
      <c r="T90" s="151">
        <v>17.509823000000001</v>
      </c>
      <c r="U90" s="151">
        <v>17.504223</v>
      </c>
      <c r="V90" s="151">
        <v>17.523678</v>
      </c>
      <c r="W90" s="151">
        <v>17.582756</v>
      </c>
      <c r="X90" s="151">
        <v>17.640426999999999</v>
      </c>
      <c r="Y90" s="151">
        <v>17.712906</v>
      </c>
      <c r="Z90" s="151">
        <v>17.797798</v>
      </c>
      <c r="AA90" s="151">
        <v>17.840267000000001</v>
      </c>
      <c r="AB90" s="151">
        <v>17.921520000000001</v>
      </c>
      <c r="AC90" s="151">
        <v>18.010849</v>
      </c>
      <c r="AD90" s="151">
        <v>18.099136000000001</v>
      </c>
      <c r="AE90" s="151">
        <v>18.202347</v>
      </c>
      <c r="AF90" s="152">
        <v>1.134E-3</v>
      </c>
      <c r="AG90" s="87"/>
    </row>
    <row r="91" spans="1:33" ht="15" customHeight="1" x14ac:dyDescent="0.3"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  <c r="AB91" s="87"/>
      <c r="AC91" s="87"/>
      <c r="AD91" s="87"/>
      <c r="AE91" s="87"/>
      <c r="AF91" s="87"/>
      <c r="AG91" s="87"/>
    </row>
    <row r="92" spans="1:33" ht="12" x14ac:dyDescent="0.3">
      <c r="B92" s="147" t="s">
        <v>2791</v>
      </c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  <c r="AB92" s="87"/>
      <c r="AC92" s="87"/>
      <c r="AD92" s="87"/>
      <c r="AE92" s="87"/>
      <c r="AF92" s="87"/>
      <c r="AG92" s="87"/>
    </row>
    <row r="93" spans="1:33" ht="15" customHeight="1" x14ac:dyDescent="0.3">
      <c r="A93" s="92" t="s">
        <v>2657</v>
      </c>
      <c r="B93" s="148" t="s">
        <v>2656</v>
      </c>
      <c r="C93" s="149">
        <v>7.3909000000000002E-2</v>
      </c>
      <c r="D93" s="149">
        <v>7.4150999999999995E-2</v>
      </c>
      <c r="E93" s="149">
        <v>7.5856999999999994E-2</v>
      </c>
      <c r="F93" s="149">
        <v>7.6402999999999999E-2</v>
      </c>
      <c r="G93" s="149">
        <v>7.6691999999999996E-2</v>
      </c>
      <c r="H93" s="149">
        <v>7.6408000000000004E-2</v>
      </c>
      <c r="I93" s="149">
        <v>7.5979000000000005E-2</v>
      </c>
      <c r="J93" s="149">
        <v>7.5915999999999997E-2</v>
      </c>
      <c r="K93" s="149">
        <v>7.5720999999999997E-2</v>
      </c>
      <c r="L93" s="149">
        <v>7.5837000000000002E-2</v>
      </c>
      <c r="M93" s="149">
        <v>7.5840000000000005E-2</v>
      </c>
      <c r="N93" s="149">
        <v>7.5718999999999995E-2</v>
      </c>
      <c r="O93" s="149">
        <v>7.5756000000000004E-2</v>
      </c>
      <c r="P93" s="149">
        <v>7.5952000000000006E-2</v>
      </c>
      <c r="Q93" s="149">
        <v>7.5837000000000002E-2</v>
      </c>
      <c r="R93" s="149">
        <v>7.5588000000000002E-2</v>
      </c>
      <c r="S93" s="149">
        <v>7.4880000000000002E-2</v>
      </c>
      <c r="T93" s="149">
        <v>7.4638999999999997E-2</v>
      </c>
      <c r="U93" s="149">
        <v>7.4340000000000003E-2</v>
      </c>
      <c r="V93" s="149">
        <v>7.4428999999999995E-2</v>
      </c>
      <c r="W93" s="149">
        <v>7.4297000000000002E-2</v>
      </c>
      <c r="X93" s="149">
        <v>7.4152999999999997E-2</v>
      </c>
      <c r="Y93" s="149">
        <v>7.4107000000000006E-2</v>
      </c>
      <c r="Z93" s="149">
        <v>7.4011999999999994E-2</v>
      </c>
      <c r="AA93" s="149">
        <v>7.3801000000000005E-2</v>
      </c>
      <c r="AB93" s="149">
        <v>7.3764999999999997E-2</v>
      </c>
      <c r="AC93" s="149">
        <v>7.3537000000000005E-2</v>
      </c>
      <c r="AD93" s="149">
        <v>7.3493000000000003E-2</v>
      </c>
      <c r="AE93" s="149">
        <v>7.3126999999999998E-2</v>
      </c>
      <c r="AF93" s="150">
        <v>-3.8000000000000002E-4</v>
      </c>
      <c r="AG93" s="87"/>
    </row>
    <row r="94" spans="1:33" ht="15" customHeight="1" x14ac:dyDescent="0.3">
      <c r="A94" s="92" t="s">
        <v>2655</v>
      </c>
      <c r="B94" s="148" t="s">
        <v>142</v>
      </c>
      <c r="C94" s="149">
        <v>0.26181500000000002</v>
      </c>
      <c r="D94" s="149">
        <v>0.30804399999999998</v>
      </c>
      <c r="E94" s="149">
        <v>0.34912500000000002</v>
      </c>
      <c r="F94" s="149">
        <v>0.37846299999999999</v>
      </c>
      <c r="G94" s="149">
        <v>0.39390900000000001</v>
      </c>
      <c r="H94" s="149">
        <v>0.41461999999999999</v>
      </c>
      <c r="I94" s="149">
        <v>0.43187599999999998</v>
      </c>
      <c r="J94" s="149">
        <v>0.46030500000000002</v>
      </c>
      <c r="K94" s="149">
        <v>0.480624</v>
      </c>
      <c r="L94" s="149">
        <v>0.50182800000000005</v>
      </c>
      <c r="M94" s="149">
        <v>0.51975400000000005</v>
      </c>
      <c r="N94" s="149">
        <v>0.54557999999999995</v>
      </c>
      <c r="O94" s="149">
        <v>0.57357999999999998</v>
      </c>
      <c r="P94" s="149">
        <v>0.59170900000000004</v>
      </c>
      <c r="Q94" s="149">
        <v>0.62073800000000001</v>
      </c>
      <c r="R94" s="149">
        <v>0.63733600000000001</v>
      </c>
      <c r="S94" s="149">
        <v>0.65883999999999998</v>
      </c>
      <c r="T94" s="149">
        <v>0.68191400000000002</v>
      </c>
      <c r="U94" s="149">
        <v>0.70109399999999999</v>
      </c>
      <c r="V94" s="149">
        <v>0.72085200000000005</v>
      </c>
      <c r="W94" s="149">
        <v>0.73541500000000004</v>
      </c>
      <c r="X94" s="149">
        <v>0.74840499999999999</v>
      </c>
      <c r="Y94" s="149">
        <v>0.76118200000000003</v>
      </c>
      <c r="Z94" s="149">
        <v>0.77283400000000002</v>
      </c>
      <c r="AA94" s="149">
        <v>0.79308599999999996</v>
      </c>
      <c r="AB94" s="149">
        <v>0.80096900000000004</v>
      </c>
      <c r="AC94" s="149">
        <v>0.81140100000000004</v>
      </c>
      <c r="AD94" s="149">
        <v>0.818581</v>
      </c>
      <c r="AE94" s="149">
        <v>0.81918100000000005</v>
      </c>
      <c r="AF94" s="150">
        <v>4.1578999999999998E-2</v>
      </c>
      <c r="AG94" s="87"/>
    </row>
    <row r="95" spans="1:33" ht="15" customHeight="1" x14ac:dyDescent="0.3">
      <c r="A95" s="92" t="s">
        <v>2654</v>
      </c>
      <c r="B95" s="148" t="s">
        <v>144</v>
      </c>
      <c r="C95" s="149">
        <v>6.7920000000000003E-3</v>
      </c>
      <c r="D95" s="149">
        <v>6.7889999999999999E-3</v>
      </c>
      <c r="E95" s="149">
        <v>6.8490000000000001E-3</v>
      </c>
      <c r="F95" s="149">
        <v>6.7939999999999997E-3</v>
      </c>
      <c r="G95" s="149">
        <v>6.7299999999999999E-3</v>
      </c>
      <c r="H95" s="149">
        <v>6.7140000000000003E-3</v>
      </c>
      <c r="I95" s="149">
        <v>6.7320000000000001E-3</v>
      </c>
      <c r="J95" s="149">
        <v>6.796E-3</v>
      </c>
      <c r="K95" s="149">
        <v>6.7819999999999998E-3</v>
      </c>
      <c r="L95" s="149">
        <v>6.8199999999999997E-3</v>
      </c>
      <c r="M95" s="149">
        <v>6.8349999999999999E-3</v>
      </c>
      <c r="N95" s="149">
        <v>6.8360000000000001E-3</v>
      </c>
      <c r="O95" s="149">
        <v>6.8570000000000002E-3</v>
      </c>
      <c r="P95" s="149">
        <v>6.9030000000000003E-3</v>
      </c>
      <c r="Q95" s="149">
        <v>6.914E-3</v>
      </c>
      <c r="R95" s="149">
        <v>6.8830000000000002E-3</v>
      </c>
      <c r="S95" s="149">
        <v>6.7999999999999996E-3</v>
      </c>
      <c r="T95" s="149">
        <v>6.8079999999999998E-3</v>
      </c>
      <c r="U95" s="149">
        <v>6.7809999999999997E-3</v>
      </c>
      <c r="V95" s="149">
        <v>6.8040000000000002E-3</v>
      </c>
      <c r="W95" s="149">
        <v>6.803E-3</v>
      </c>
      <c r="X95" s="149">
        <v>6.7920000000000003E-3</v>
      </c>
      <c r="Y95" s="149">
        <v>6.783E-3</v>
      </c>
      <c r="Z95" s="149">
        <v>6.7689999999999998E-3</v>
      </c>
      <c r="AA95" s="149">
        <v>6.7650000000000002E-3</v>
      </c>
      <c r="AB95" s="149">
        <v>6.7669999999999996E-3</v>
      </c>
      <c r="AC95" s="149">
        <v>6.7600000000000004E-3</v>
      </c>
      <c r="AD95" s="149">
        <v>6.7539999999999996E-3</v>
      </c>
      <c r="AE95" s="149">
        <v>6.7429999999999999E-3</v>
      </c>
      <c r="AF95" s="150">
        <v>-2.5700000000000001E-4</v>
      </c>
      <c r="AG95" s="87"/>
    </row>
    <row r="96" spans="1:33" ht="15" customHeight="1" x14ac:dyDescent="0.3">
      <c r="A96" s="92" t="s">
        <v>2653</v>
      </c>
      <c r="B96" s="147" t="s">
        <v>146</v>
      </c>
      <c r="C96" s="151">
        <v>0.34251599999999999</v>
      </c>
      <c r="D96" s="151">
        <v>0.388984</v>
      </c>
      <c r="E96" s="151">
        <v>0.43183100000000002</v>
      </c>
      <c r="F96" s="151">
        <v>0.46165899999999999</v>
      </c>
      <c r="G96" s="151">
        <v>0.47733100000000001</v>
      </c>
      <c r="H96" s="151">
        <v>0.49774299999999999</v>
      </c>
      <c r="I96" s="151">
        <v>0.51458599999999999</v>
      </c>
      <c r="J96" s="151">
        <v>0.54301699999999997</v>
      </c>
      <c r="K96" s="151">
        <v>0.56312700000000004</v>
      </c>
      <c r="L96" s="151">
        <v>0.584484</v>
      </c>
      <c r="M96" s="151">
        <v>0.60242899999999999</v>
      </c>
      <c r="N96" s="151">
        <v>0.628135</v>
      </c>
      <c r="O96" s="151">
        <v>0.65619300000000003</v>
      </c>
      <c r="P96" s="151">
        <v>0.67456300000000002</v>
      </c>
      <c r="Q96" s="151">
        <v>0.70348900000000003</v>
      </c>
      <c r="R96" s="151">
        <v>0.71980699999999997</v>
      </c>
      <c r="S96" s="151">
        <v>0.74051999999999996</v>
      </c>
      <c r="T96" s="151">
        <v>0.76336199999999999</v>
      </c>
      <c r="U96" s="151">
        <v>0.78221499999999999</v>
      </c>
      <c r="V96" s="151">
        <v>0.80208500000000005</v>
      </c>
      <c r="W96" s="151">
        <v>0.81651499999999999</v>
      </c>
      <c r="X96" s="151">
        <v>0.829349</v>
      </c>
      <c r="Y96" s="151">
        <v>0.84207200000000004</v>
      </c>
      <c r="Z96" s="151">
        <v>0.85361600000000004</v>
      </c>
      <c r="AA96" s="151">
        <v>0.87365199999999998</v>
      </c>
      <c r="AB96" s="151">
        <v>0.88150099999999998</v>
      </c>
      <c r="AC96" s="151">
        <v>0.89169900000000002</v>
      </c>
      <c r="AD96" s="151">
        <v>0.89882799999999996</v>
      </c>
      <c r="AE96" s="151">
        <v>0.89905100000000004</v>
      </c>
      <c r="AF96" s="152">
        <v>3.5066E-2</v>
      </c>
      <c r="AG96" s="87"/>
    </row>
    <row r="97" spans="1:33" ht="15" customHeight="1" x14ac:dyDescent="0.3"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  <c r="AG97" s="87"/>
    </row>
    <row r="98" spans="1:33" ht="15" customHeight="1" x14ac:dyDescent="0.3">
      <c r="B98" s="147" t="s">
        <v>147</v>
      </c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  <c r="AB98" s="87"/>
      <c r="AC98" s="87"/>
      <c r="AD98" s="87"/>
      <c r="AE98" s="87"/>
      <c r="AF98" s="87"/>
      <c r="AG98" s="87"/>
    </row>
    <row r="99" spans="1:33" ht="15" customHeight="1" x14ac:dyDescent="0.3">
      <c r="A99" s="92" t="s">
        <v>2652</v>
      </c>
      <c r="B99" s="148" t="s">
        <v>149</v>
      </c>
      <c r="C99" s="153">
        <v>6198</v>
      </c>
      <c r="D99" s="153">
        <v>6420</v>
      </c>
      <c r="E99" s="153">
        <v>5972</v>
      </c>
      <c r="F99" s="153">
        <v>5949</v>
      </c>
      <c r="G99" s="153">
        <v>5925</v>
      </c>
      <c r="H99" s="153">
        <v>5902</v>
      </c>
      <c r="I99" s="153">
        <v>5878</v>
      </c>
      <c r="J99" s="153">
        <v>5854</v>
      </c>
      <c r="K99" s="153">
        <v>5830</v>
      </c>
      <c r="L99" s="153">
        <v>5807</v>
      </c>
      <c r="M99" s="153">
        <v>5783</v>
      </c>
      <c r="N99" s="153">
        <v>5759</v>
      </c>
      <c r="O99" s="153">
        <v>5735</v>
      </c>
      <c r="P99" s="153">
        <v>5711</v>
      </c>
      <c r="Q99" s="153">
        <v>5687</v>
      </c>
      <c r="R99" s="153">
        <v>5663</v>
      </c>
      <c r="S99" s="153">
        <v>5639</v>
      </c>
      <c r="T99" s="153">
        <v>5615</v>
      </c>
      <c r="U99" s="153">
        <v>5591</v>
      </c>
      <c r="V99" s="153">
        <v>5567</v>
      </c>
      <c r="W99" s="153">
        <v>5543</v>
      </c>
      <c r="X99" s="153">
        <v>5519</v>
      </c>
      <c r="Y99" s="153">
        <v>5495</v>
      </c>
      <c r="Z99" s="153">
        <v>5471</v>
      </c>
      <c r="AA99" s="153">
        <v>5447</v>
      </c>
      <c r="AB99" s="153">
        <v>5423</v>
      </c>
      <c r="AC99" s="153">
        <v>5399</v>
      </c>
      <c r="AD99" s="153">
        <v>5374</v>
      </c>
      <c r="AE99" s="153">
        <v>5350</v>
      </c>
      <c r="AF99" s="150">
        <v>-5.241E-3</v>
      </c>
      <c r="AG99" s="87"/>
    </row>
    <row r="100" spans="1:33" ht="15" customHeight="1" x14ac:dyDescent="0.3">
      <c r="A100" s="92" t="s">
        <v>2651</v>
      </c>
      <c r="B100" s="148" t="s">
        <v>151</v>
      </c>
      <c r="C100" s="153">
        <v>5742</v>
      </c>
      <c r="D100" s="153">
        <v>5779</v>
      </c>
      <c r="E100" s="153">
        <v>5348</v>
      </c>
      <c r="F100" s="153">
        <v>5325</v>
      </c>
      <c r="G100" s="153">
        <v>5303</v>
      </c>
      <c r="H100" s="153">
        <v>5281</v>
      </c>
      <c r="I100" s="153">
        <v>5259</v>
      </c>
      <c r="J100" s="153">
        <v>5236</v>
      </c>
      <c r="K100" s="153">
        <v>5214</v>
      </c>
      <c r="L100" s="153">
        <v>5192</v>
      </c>
      <c r="M100" s="153">
        <v>5169</v>
      </c>
      <c r="N100" s="153">
        <v>5147</v>
      </c>
      <c r="O100" s="153">
        <v>5125</v>
      </c>
      <c r="P100" s="153">
        <v>5102</v>
      </c>
      <c r="Q100" s="153">
        <v>5080</v>
      </c>
      <c r="R100" s="153">
        <v>5058</v>
      </c>
      <c r="S100" s="153">
        <v>5036</v>
      </c>
      <c r="T100" s="153">
        <v>5013</v>
      </c>
      <c r="U100" s="153">
        <v>4991</v>
      </c>
      <c r="V100" s="153">
        <v>4969</v>
      </c>
      <c r="W100" s="153">
        <v>4947</v>
      </c>
      <c r="X100" s="153">
        <v>4924</v>
      </c>
      <c r="Y100" s="153">
        <v>4902</v>
      </c>
      <c r="Z100" s="153">
        <v>4880</v>
      </c>
      <c r="AA100" s="153">
        <v>4858</v>
      </c>
      <c r="AB100" s="153">
        <v>4835</v>
      </c>
      <c r="AC100" s="153">
        <v>4813</v>
      </c>
      <c r="AD100" s="153">
        <v>4791</v>
      </c>
      <c r="AE100" s="153">
        <v>4769</v>
      </c>
      <c r="AF100" s="150">
        <v>-6.6090000000000003E-3</v>
      </c>
      <c r="AG100" s="87"/>
    </row>
    <row r="101" spans="1:33" ht="12" x14ac:dyDescent="0.3">
      <c r="A101" s="92" t="s">
        <v>2650</v>
      </c>
      <c r="B101" s="148" t="s">
        <v>153</v>
      </c>
      <c r="C101" s="153">
        <v>6427</v>
      </c>
      <c r="D101" s="153">
        <v>6306</v>
      </c>
      <c r="E101" s="153">
        <v>5982</v>
      </c>
      <c r="F101" s="153">
        <v>5967</v>
      </c>
      <c r="G101" s="153">
        <v>5953</v>
      </c>
      <c r="H101" s="153">
        <v>5938</v>
      </c>
      <c r="I101" s="153">
        <v>5923</v>
      </c>
      <c r="J101" s="153">
        <v>5908</v>
      </c>
      <c r="K101" s="153">
        <v>5893</v>
      </c>
      <c r="L101" s="153">
        <v>5879</v>
      </c>
      <c r="M101" s="153">
        <v>5864</v>
      </c>
      <c r="N101" s="153">
        <v>5849</v>
      </c>
      <c r="O101" s="153">
        <v>5834</v>
      </c>
      <c r="P101" s="153">
        <v>5819</v>
      </c>
      <c r="Q101" s="153">
        <v>5804</v>
      </c>
      <c r="R101" s="153">
        <v>5790</v>
      </c>
      <c r="S101" s="153">
        <v>5775</v>
      </c>
      <c r="T101" s="153">
        <v>5760</v>
      </c>
      <c r="U101" s="153">
        <v>5745</v>
      </c>
      <c r="V101" s="153">
        <v>5730</v>
      </c>
      <c r="W101" s="153">
        <v>5715</v>
      </c>
      <c r="X101" s="153">
        <v>5701</v>
      </c>
      <c r="Y101" s="153">
        <v>5686</v>
      </c>
      <c r="Z101" s="153">
        <v>5671</v>
      </c>
      <c r="AA101" s="153">
        <v>5656</v>
      </c>
      <c r="AB101" s="153">
        <v>5641</v>
      </c>
      <c r="AC101" s="153">
        <v>5626</v>
      </c>
      <c r="AD101" s="153">
        <v>5611</v>
      </c>
      <c r="AE101" s="153">
        <v>5597</v>
      </c>
      <c r="AF101" s="150">
        <v>-4.9259999999999998E-3</v>
      </c>
      <c r="AG101" s="87"/>
    </row>
    <row r="102" spans="1:33" ht="12" x14ac:dyDescent="0.3">
      <c r="A102" s="92" t="s">
        <v>2649</v>
      </c>
      <c r="B102" s="148" t="s">
        <v>155</v>
      </c>
      <c r="C102" s="153">
        <v>6845</v>
      </c>
      <c r="D102" s="153">
        <v>6601</v>
      </c>
      <c r="E102" s="153">
        <v>6349</v>
      </c>
      <c r="F102" s="153">
        <v>6340</v>
      </c>
      <c r="G102" s="153">
        <v>6330</v>
      </c>
      <c r="H102" s="153">
        <v>6321</v>
      </c>
      <c r="I102" s="153">
        <v>6311</v>
      </c>
      <c r="J102" s="153">
        <v>6301</v>
      </c>
      <c r="K102" s="153">
        <v>6291</v>
      </c>
      <c r="L102" s="153">
        <v>6281</v>
      </c>
      <c r="M102" s="153">
        <v>6271</v>
      </c>
      <c r="N102" s="153">
        <v>6261</v>
      </c>
      <c r="O102" s="153">
        <v>6250</v>
      </c>
      <c r="P102" s="153">
        <v>6240</v>
      </c>
      <c r="Q102" s="153">
        <v>6230</v>
      </c>
      <c r="R102" s="153">
        <v>6219</v>
      </c>
      <c r="S102" s="153">
        <v>6209</v>
      </c>
      <c r="T102" s="153">
        <v>6198</v>
      </c>
      <c r="U102" s="153">
        <v>6188</v>
      </c>
      <c r="V102" s="153">
        <v>6177</v>
      </c>
      <c r="W102" s="153">
        <v>6167</v>
      </c>
      <c r="X102" s="153">
        <v>6156</v>
      </c>
      <c r="Y102" s="153">
        <v>6145</v>
      </c>
      <c r="Z102" s="153">
        <v>6135</v>
      </c>
      <c r="AA102" s="153">
        <v>6124</v>
      </c>
      <c r="AB102" s="153">
        <v>6113</v>
      </c>
      <c r="AC102" s="153">
        <v>6103</v>
      </c>
      <c r="AD102" s="153">
        <v>6092</v>
      </c>
      <c r="AE102" s="153">
        <v>6081</v>
      </c>
      <c r="AF102" s="150">
        <v>-4.2180000000000004E-3</v>
      </c>
      <c r="AG102" s="87"/>
    </row>
    <row r="103" spans="1:33" ht="15" customHeight="1" x14ac:dyDescent="0.3">
      <c r="A103" s="92" t="s">
        <v>2648</v>
      </c>
      <c r="B103" s="148" t="s">
        <v>157</v>
      </c>
      <c r="C103" s="153">
        <v>2566</v>
      </c>
      <c r="D103" s="153">
        <v>2600</v>
      </c>
      <c r="E103" s="153">
        <v>2375</v>
      </c>
      <c r="F103" s="153">
        <v>2358</v>
      </c>
      <c r="G103" s="153">
        <v>2342</v>
      </c>
      <c r="H103" s="153">
        <v>2326</v>
      </c>
      <c r="I103" s="153">
        <v>2310</v>
      </c>
      <c r="J103" s="153">
        <v>2294</v>
      </c>
      <c r="K103" s="153">
        <v>2277</v>
      </c>
      <c r="L103" s="153">
        <v>2261</v>
      </c>
      <c r="M103" s="153">
        <v>2245</v>
      </c>
      <c r="N103" s="153">
        <v>2229</v>
      </c>
      <c r="O103" s="153">
        <v>2213</v>
      </c>
      <c r="P103" s="153">
        <v>2197</v>
      </c>
      <c r="Q103" s="153">
        <v>2180</v>
      </c>
      <c r="R103" s="153">
        <v>2164</v>
      </c>
      <c r="S103" s="153">
        <v>2148</v>
      </c>
      <c r="T103" s="153">
        <v>2132</v>
      </c>
      <c r="U103" s="153">
        <v>2116</v>
      </c>
      <c r="V103" s="153">
        <v>2100</v>
      </c>
      <c r="W103" s="153">
        <v>2084</v>
      </c>
      <c r="X103" s="153">
        <v>2068</v>
      </c>
      <c r="Y103" s="153">
        <v>2052</v>
      </c>
      <c r="Z103" s="153">
        <v>2036</v>
      </c>
      <c r="AA103" s="153">
        <v>2020</v>
      </c>
      <c r="AB103" s="153">
        <v>2005</v>
      </c>
      <c r="AC103" s="153">
        <v>1989</v>
      </c>
      <c r="AD103" s="153">
        <v>1973</v>
      </c>
      <c r="AE103" s="153">
        <v>1957</v>
      </c>
      <c r="AF103" s="150">
        <v>-9.6299999999999997E-3</v>
      </c>
      <c r="AG103" s="87"/>
    </row>
    <row r="104" spans="1:33" ht="15" customHeight="1" x14ac:dyDescent="0.3">
      <c r="A104" s="92" t="s">
        <v>2647</v>
      </c>
      <c r="B104" s="148" t="s">
        <v>159</v>
      </c>
      <c r="C104" s="153">
        <v>3487</v>
      </c>
      <c r="D104" s="153">
        <v>3442</v>
      </c>
      <c r="E104" s="153">
        <v>3180</v>
      </c>
      <c r="F104" s="153">
        <v>3168</v>
      </c>
      <c r="G104" s="153">
        <v>3156</v>
      </c>
      <c r="H104" s="153">
        <v>3144</v>
      </c>
      <c r="I104" s="153">
        <v>3131</v>
      </c>
      <c r="J104" s="153">
        <v>3119</v>
      </c>
      <c r="K104" s="153">
        <v>3106</v>
      </c>
      <c r="L104" s="153">
        <v>3094</v>
      </c>
      <c r="M104" s="153">
        <v>3081</v>
      </c>
      <c r="N104" s="153">
        <v>3069</v>
      </c>
      <c r="O104" s="153">
        <v>3056</v>
      </c>
      <c r="P104" s="153">
        <v>3043</v>
      </c>
      <c r="Q104" s="153">
        <v>3031</v>
      </c>
      <c r="R104" s="153">
        <v>3018</v>
      </c>
      <c r="S104" s="153">
        <v>3005</v>
      </c>
      <c r="T104" s="153">
        <v>2992</v>
      </c>
      <c r="U104" s="153">
        <v>2980</v>
      </c>
      <c r="V104" s="153">
        <v>2967</v>
      </c>
      <c r="W104" s="153">
        <v>2954</v>
      </c>
      <c r="X104" s="153">
        <v>2941</v>
      </c>
      <c r="Y104" s="153">
        <v>2929</v>
      </c>
      <c r="Z104" s="153">
        <v>2916</v>
      </c>
      <c r="AA104" s="153">
        <v>2903</v>
      </c>
      <c r="AB104" s="153">
        <v>2890</v>
      </c>
      <c r="AC104" s="153">
        <v>2877</v>
      </c>
      <c r="AD104" s="153">
        <v>2865</v>
      </c>
      <c r="AE104" s="153">
        <v>2852</v>
      </c>
      <c r="AF104" s="150">
        <v>-7.1539999999999998E-3</v>
      </c>
      <c r="AG104" s="87"/>
    </row>
    <row r="105" spans="1:33" ht="15" customHeight="1" x14ac:dyDescent="0.3">
      <c r="A105" s="92" t="s">
        <v>2646</v>
      </c>
      <c r="B105" s="148" t="s">
        <v>161</v>
      </c>
      <c r="C105" s="153">
        <v>2195</v>
      </c>
      <c r="D105" s="153">
        <v>2056</v>
      </c>
      <c r="E105" s="153">
        <v>1942</v>
      </c>
      <c r="F105" s="153">
        <v>1934</v>
      </c>
      <c r="G105" s="153">
        <v>1925</v>
      </c>
      <c r="H105" s="153">
        <v>1916</v>
      </c>
      <c r="I105" s="153">
        <v>1908</v>
      </c>
      <c r="J105" s="153">
        <v>1899</v>
      </c>
      <c r="K105" s="153">
        <v>1891</v>
      </c>
      <c r="L105" s="153">
        <v>1882</v>
      </c>
      <c r="M105" s="153">
        <v>1874</v>
      </c>
      <c r="N105" s="153">
        <v>1865</v>
      </c>
      <c r="O105" s="153">
        <v>1857</v>
      </c>
      <c r="P105" s="153">
        <v>1849</v>
      </c>
      <c r="Q105" s="153">
        <v>1840</v>
      </c>
      <c r="R105" s="153">
        <v>1832</v>
      </c>
      <c r="S105" s="153">
        <v>1824</v>
      </c>
      <c r="T105" s="153">
        <v>1815</v>
      </c>
      <c r="U105" s="153">
        <v>1807</v>
      </c>
      <c r="V105" s="153">
        <v>1799</v>
      </c>
      <c r="W105" s="153">
        <v>1791</v>
      </c>
      <c r="X105" s="153">
        <v>1783</v>
      </c>
      <c r="Y105" s="153">
        <v>1774</v>
      </c>
      <c r="Z105" s="153">
        <v>1766</v>
      </c>
      <c r="AA105" s="153">
        <v>1758</v>
      </c>
      <c r="AB105" s="153">
        <v>1750</v>
      </c>
      <c r="AC105" s="153">
        <v>1742</v>
      </c>
      <c r="AD105" s="153">
        <v>1734</v>
      </c>
      <c r="AE105" s="153">
        <v>1726</v>
      </c>
      <c r="AF105" s="150">
        <v>-8.548E-3</v>
      </c>
      <c r="AG105" s="87"/>
    </row>
    <row r="106" spans="1:33" ht="15" customHeight="1" x14ac:dyDescent="0.3">
      <c r="A106" s="92" t="s">
        <v>2645</v>
      </c>
      <c r="B106" s="148" t="s">
        <v>163</v>
      </c>
      <c r="C106" s="153">
        <v>4970</v>
      </c>
      <c r="D106" s="153">
        <v>4978</v>
      </c>
      <c r="E106" s="153">
        <v>4789</v>
      </c>
      <c r="F106" s="153">
        <v>4776</v>
      </c>
      <c r="G106" s="153">
        <v>4763</v>
      </c>
      <c r="H106" s="153">
        <v>4751</v>
      </c>
      <c r="I106" s="153">
        <v>4738</v>
      </c>
      <c r="J106" s="153">
        <v>4725</v>
      </c>
      <c r="K106" s="153">
        <v>4712</v>
      </c>
      <c r="L106" s="153">
        <v>4698</v>
      </c>
      <c r="M106" s="153">
        <v>4685</v>
      </c>
      <c r="N106" s="153">
        <v>4672</v>
      </c>
      <c r="O106" s="153">
        <v>4658</v>
      </c>
      <c r="P106" s="153">
        <v>4645</v>
      </c>
      <c r="Q106" s="153">
        <v>4632</v>
      </c>
      <c r="R106" s="153">
        <v>4619</v>
      </c>
      <c r="S106" s="153">
        <v>4606</v>
      </c>
      <c r="T106" s="153">
        <v>4593</v>
      </c>
      <c r="U106" s="153">
        <v>4580</v>
      </c>
      <c r="V106" s="153">
        <v>4568</v>
      </c>
      <c r="W106" s="153">
        <v>4555</v>
      </c>
      <c r="X106" s="153">
        <v>4542</v>
      </c>
      <c r="Y106" s="153">
        <v>4530</v>
      </c>
      <c r="Z106" s="153">
        <v>4517</v>
      </c>
      <c r="AA106" s="153">
        <v>4504</v>
      </c>
      <c r="AB106" s="153">
        <v>4492</v>
      </c>
      <c r="AC106" s="153">
        <v>4479</v>
      </c>
      <c r="AD106" s="153">
        <v>4467</v>
      </c>
      <c r="AE106" s="153">
        <v>4454</v>
      </c>
      <c r="AF106" s="150">
        <v>-3.9069999999999999E-3</v>
      </c>
      <c r="AG106" s="87"/>
    </row>
    <row r="107" spans="1:33" ht="15" customHeight="1" x14ac:dyDescent="0.3">
      <c r="A107" s="92" t="s">
        <v>2644</v>
      </c>
      <c r="B107" s="148" t="s">
        <v>165</v>
      </c>
      <c r="C107" s="153">
        <v>3212</v>
      </c>
      <c r="D107" s="153">
        <v>3503</v>
      </c>
      <c r="E107" s="153">
        <v>3250</v>
      </c>
      <c r="F107" s="153">
        <v>3241</v>
      </c>
      <c r="G107" s="153">
        <v>3232</v>
      </c>
      <c r="H107" s="153">
        <v>3223</v>
      </c>
      <c r="I107" s="153">
        <v>3213</v>
      </c>
      <c r="J107" s="153">
        <v>3204</v>
      </c>
      <c r="K107" s="153">
        <v>3195</v>
      </c>
      <c r="L107" s="153">
        <v>3185</v>
      </c>
      <c r="M107" s="153">
        <v>3176</v>
      </c>
      <c r="N107" s="153">
        <v>3166</v>
      </c>
      <c r="O107" s="153">
        <v>3157</v>
      </c>
      <c r="P107" s="153">
        <v>3147</v>
      </c>
      <c r="Q107" s="153">
        <v>3137</v>
      </c>
      <c r="R107" s="153">
        <v>3128</v>
      </c>
      <c r="S107" s="153">
        <v>3118</v>
      </c>
      <c r="T107" s="153">
        <v>3108</v>
      </c>
      <c r="U107" s="153">
        <v>3098</v>
      </c>
      <c r="V107" s="153">
        <v>3089</v>
      </c>
      <c r="W107" s="153">
        <v>3079</v>
      </c>
      <c r="X107" s="153">
        <v>3069</v>
      </c>
      <c r="Y107" s="153">
        <v>3059</v>
      </c>
      <c r="Z107" s="153">
        <v>3049</v>
      </c>
      <c r="AA107" s="153">
        <v>3040</v>
      </c>
      <c r="AB107" s="153">
        <v>3030</v>
      </c>
      <c r="AC107" s="153">
        <v>3020</v>
      </c>
      <c r="AD107" s="153">
        <v>3010</v>
      </c>
      <c r="AE107" s="153">
        <v>3000</v>
      </c>
      <c r="AF107" s="150">
        <v>-2.4359999999999998E-3</v>
      </c>
      <c r="AG107" s="87"/>
    </row>
    <row r="108" spans="1:33" ht="15" customHeight="1" x14ac:dyDescent="0.3">
      <c r="A108" s="92" t="s">
        <v>2643</v>
      </c>
      <c r="B108" s="147" t="s">
        <v>167</v>
      </c>
      <c r="C108" s="155">
        <v>4234.6137699999999</v>
      </c>
      <c r="D108" s="155">
        <v>4246.6186520000001</v>
      </c>
      <c r="E108" s="155">
        <v>3976.1059570000002</v>
      </c>
      <c r="F108" s="155">
        <v>3957.180664</v>
      </c>
      <c r="G108" s="155">
        <v>3938.5415039999998</v>
      </c>
      <c r="H108" s="155">
        <v>3920.0117190000001</v>
      </c>
      <c r="I108" s="155">
        <v>3901.2561040000001</v>
      </c>
      <c r="J108" s="155">
        <v>3882.5219729999999</v>
      </c>
      <c r="K108" s="155">
        <v>3863.8103030000002</v>
      </c>
      <c r="L108" s="155">
        <v>3845.1889649999998</v>
      </c>
      <c r="M108" s="155">
        <v>3826.626221</v>
      </c>
      <c r="N108" s="155">
        <v>3807.9733890000002</v>
      </c>
      <c r="O108" s="155">
        <v>3789.4521479999999</v>
      </c>
      <c r="P108" s="155">
        <v>3770.821289</v>
      </c>
      <c r="Q108" s="155">
        <v>3752.0329590000001</v>
      </c>
      <c r="R108" s="155">
        <v>3733.780029</v>
      </c>
      <c r="S108" s="155">
        <v>3715.305664</v>
      </c>
      <c r="T108" s="155">
        <v>3696.5273440000001</v>
      </c>
      <c r="U108" s="155">
        <v>3678.117432</v>
      </c>
      <c r="V108" s="155">
        <v>3659.850586</v>
      </c>
      <c r="W108" s="155">
        <v>3641.3955080000001</v>
      </c>
      <c r="X108" s="155">
        <v>3622.8991700000001</v>
      </c>
      <c r="Y108" s="155">
        <v>3604.398682</v>
      </c>
      <c r="Z108" s="155">
        <v>3585.969482</v>
      </c>
      <c r="AA108" s="155">
        <v>3567.7004390000002</v>
      </c>
      <c r="AB108" s="155">
        <v>3549.5581050000001</v>
      </c>
      <c r="AC108" s="155">
        <v>3531.4091800000001</v>
      </c>
      <c r="AD108" s="155">
        <v>3513.482422</v>
      </c>
      <c r="AE108" s="155">
        <v>3495.6748050000001</v>
      </c>
      <c r="AF108" s="152">
        <v>-6.8250000000000003E-3</v>
      </c>
      <c r="AG108" s="87"/>
    </row>
    <row r="109" spans="1:33" ht="15" customHeight="1" x14ac:dyDescent="0.3"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  <c r="AA109" s="87"/>
      <c r="AB109" s="87"/>
      <c r="AC109" s="87"/>
      <c r="AD109" s="87"/>
      <c r="AE109" s="87"/>
      <c r="AF109" s="87"/>
      <c r="AG109" s="87"/>
    </row>
    <row r="110" spans="1:33" ht="15" customHeight="1" x14ac:dyDescent="0.3">
      <c r="B110" s="147" t="s">
        <v>168</v>
      </c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  <c r="AB110" s="87"/>
      <c r="AC110" s="87"/>
      <c r="AD110" s="87"/>
      <c r="AE110" s="87"/>
      <c r="AF110" s="87"/>
      <c r="AG110" s="87"/>
    </row>
    <row r="111" spans="1:33" ht="15" customHeight="1" x14ac:dyDescent="0.3">
      <c r="A111" s="92" t="s">
        <v>2642</v>
      </c>
      <c r="B111" s="148" t="s">
        <v>149</v>
      </c>
      <c r="C111" s="153">
        <v>639</v>
      </c>
      <c r="D111" s="153">
        <v>500</v>
      </c>
      <c r="E111" s="153">
        <v>614</v>
      </c>
      <c r="F111" s="153">
        <v>621</v>
      </c>
      <c r="G111" s="153">
        <v>629</v>
      </c>
      <c r="H111" s="153">
        <v>636</v>
      </c>
      <c r="I111" s="153">
        <v>643</v>
      </c>
      <c r="J111" s="153">
        <v>651</v>
      </c>
      <c r="K111" s="153">
        <v>658</v>
      </c>
      <c r="L111" s="153">
        <v>665</v>
      </c>
      <c r="M111" s="153">
        <v>673</v>
      </c>
      <c r="N111" s="153">
        <v>680</v>
      </c>
      <c r="O111" s="153">
        <v>687</v>
      </c>
      <c r="P111" s="153">
        <v>695</v>
      </c>
      <c r="Q111" s="153">
        <v>702</v>
      </c>
      <c r="R111" s="153">
        <v>710</v>
      </c>
      <c r="S111" s="153">
        <v>717</v>
      </c>
      <c r="T111" s="153">
        <v>724</v>
      </c>
      <c r="U111" s="153">
        <v>732</v>
      </c>
      <c r="V111" s="153">
        <v>739</v>
      </c>
      <c r="W111" s="153">
        <v>747</v>
      </c>
      <c r="X111" s="153">
        <v>754</v>
      </c>
      <c r="Y111" s="153">
        <v>761</v>
      </c>
      <c r="Z111" s="153">
        <v>769</v>
      </c>
      <c r="AA111" s="153">
        <v>776</v>
      </c>
      <c r="AB111" s="153">
        <v>784</v>
      </c>
      <c r="AC111" s="153">
        <v>791</v>
      </c>
      <c r="AD111" s="153">
        <v>799</v>
      </c>
      <c r="AE111" s="153">
        <v>806</v>
      </c>
      <c r="AF111" s="150">
        <v>8.3269999999999993E-3</v>
      </c>
      <c r="AG111" s="87"/>
    </row>
    <row r="112" spans="1:33" ht="15" customHeight="1" x14ac:dyDescent="0.3">
      <c r="A112" s="92" t="s">
        <v>2641</v>
      </c>
      <c r="B112" s="148" t="s">
        <v>151</v>
      </c>
      <c r="C112" s="157">
        <v>835</v>
      </c>
      <c r="D112" s="157">
        <v>692</v>
      </c>
      <c r="E112" s="157">
        <v>864</v>
      </c>
      <c r="F112" s="157">
        <v>874</v>
      </c>
      <c r="G112" s="157">
        <v>883</v>
      </c>
      <c r="H112" s="157">
        <v>893</v>
      </c>
      <c r="I112" s="157">
        <v>902</v>
      </c>
      <c r="J112" s="157">
        <v>912</v>
      </c>
      <c r="K112" s="157">
        <v>922</v>
      </c>
      <c r="L112" s="157">
        <v>931</v>
      </c>
      <c r="M112" s="157">
        <v>941</v>
      </c>
      <c r="N112" s="157">
        <v>950</v>
      </c>
      <c r="O112" s="157">
        <v>960</v>
      </c>
      <c r="P112" s="157">
        <v>970</v>
      </c>
      <c r="Q112" s="157">
        <v>979</v>
      </c>
      <c r="R112" s="157">
        <v>989</v>
      </c>
      <c r="S112" s="157">
        <v>999</v>
      </c>
      <c r="T112" s="157">
        <v>1008</v>
      </c>
      <c r="U112" s="157">
        <v>1018</v>
      </c>
      <c r="V112" s="157">
        <v>1027</v>
      </c>
      <c r="W112" s="157">
        <v>1037</v>
      </c>
      <c r="X112" s="157">
        <v>1047</v>
      </c>
      <c r="Y112" s="157">
        <v>1056</v>
      </c>
      <c r="Z112" s="157">
        <v>1066</v>
      </c>
      <c r="AA112" s="157">
        <v>1076</v>
      </c>
      <c r="AB112" s="157">
        <v>1085</v>
      </c>
      <c r="AC112" s="157">
        <v>1095</v>
      </c>
      <c r="AD112" s="157">
        <v>1104</v>
      </c>
      <c r="AE112" s="157">
        <v>1114</v>
      </c>
      <c r="AF112" s="158">
        <v>1.0349000000000001E-2</v>
      </c>
      <c r="AG112" s="87"/>
    </row>
    <row r="113" spans="1:34" ht="15" customHeight="1" x14ac:dyDescent="0.3">
      <c r="A113" s="92" t="s">
        <v>2640</v>
      </c>
      <c r="B113" s="148" t="s">
        <v>153</v>
      </c>
      <c r="C113" s="153">
        <v>813</v>
      </c>
      <c r="D113" s="153">
        <v>752</v>
      </c>
      <c r="E113" s="153">
        <v>892</v>
      </c>
      <c r="F113" s="153">
        <v>900</v>
      </c>
      <c r="G113" s="153">
        <v>908</v>
      </c>
      <c r="H113" s="153">
        <v>916</v>
      </c>
      <c r="I113" s="153">
        <v>924</v>
      </c>
      <c r="J113" s="153">
        <v>932</v>
      </c>
      <c r="K113" s="153">
        <v>939</v>
      </c>
      <c r="L113" s="153">
        <v>947</v>
      </c>
      <c r="M113" s="153">
        <v>955</v>
      </c>
      <c r="N113" s="153">
        <v>963</v>
      </c>
      <c r="O113" s="153">
        <v>971</v>
      </c>
      <c r="P113" s="153">
        <v>979</v>
      </c>
      <c r="Q113" s="153">
        <v>987</v>
      </c>
      <c r="R113" s="153">
        <v>994</v>
      </c>
      <c r="S113" s="153">
        <v>1002</v>
      </c>
      <c r="T113" s="153">
        <v>1010</v>
      </c>
      <c r="U113" s="153">
        <v>1018</v>
      </c>
      <c r="V113" s="153">
        <v>1026</v>
      </c>
      <c r="W113" s="153">
        <v>1034</v>
      </c>
      <c r="X113" s="153">
        <v>1042</v>
      </c>
      <c r="Y113" s="153">
        <v>1050</v>
      </c>
      <c r="Z113" s="153">
        <v>1058</v>
      </c>
      <c r="AA113" s="153">
        <v>1066</v>
      </c>
      <c r="AB113" s="153">
        <v>1073</v>
      </c>
      <c r="AC113" s="153">
        <v>1081</v>
      </c>
      <c r="AD113" s="153">
        <v>1089</v>
      </c>
      <c r="AE113" s="153">
        <v>1097</v>
      </c>
      <c r="AF113" s="150">
        <v>1.0758E-2</v>
      </c>
      <c r="AG113" s="87"/>
    </row>
    <row r="114" spans="1:34" ht="15" customHeight="1" x14ac:dyDescent="0.3">
      <c r="A114" s="92" t="s">
        <v>2639</v>
      </c>
      <c r="B114" s="148" t="s">
        <v>155</v>
      </c>
      <c r="C114" s="153">
        <v>1050</v>
      </c>
      <c r="D114" s="153">
        <v>944</v>
      </c>
      <c r="E114" s="153">
        <v>1069</v>
      </c>
      <c r="F114" s="153">
        <v>1077</v>
      </c>
      <c r="G114" s="153">
        <v>1084</v>
      </c>
      <c r="H114" s="153">
        <v>1091</v>
      </c>
      <c r="I114" s="153">
        <v>1099</v>
      </c>
      <c r="J114" s="153">
        <v>1106</v>
      </c>
      <c r="K114" s="153">
        <v>1114</v>
      </c>
      <c r="L114" s="153">
        <v>1121</v>
      </c>
      <c r="M114" s="153">
        <v>1129</v>
      </c>
      <c r="N114" s="153">
        <v>1136</v>
      </c>
      <c r="O114" s="153">
        <v>1144</v>
      </c>
      <c r="P114" s="153">
        <v>1151</v>
      </c>
      <c r="Q114" s="153">
        <v>1159</v>
      </c>
      <c r="R114" s="153">
        <v>1166</v>
      </c>
      <c r="S114" s="153">
        <v>1174</v>
      </c>
      <c r="T114" s="153">
        <v>1182</v>
      </c>
      <c r="U114" s="153">
        <v>1189</v>
      </c>
      <c r="V114" s="153">
        <v>1197</v>
      </c>
      <c r="W114" s="153">
        <v>1204</v>
      </c>
      <c r="X114" s="153">
        <v>1212</v>
      </c>
      <c r="Y114" s="153">
        <v>1220</v>
      </c>
      <c r="Z114" s="153">
        <v>1227</v>
      </c>
      <c r="AA114" s="153">
        <v>1235</v>
      </c>
      <c r="AB114" s="153">
        <v>1243</v>
      </c>
      <c r="AC114" s="153">
        <v>1250</v>
      </c>
      <c r="AD114" s="153">
        <v>1258</v>
      </c>
      <c r="AE114" s="153">
        <v>1266</v>
      </c>
      <c r="AF114" s="150">
        <v>6.7029999999999998E-3</v>
      </c>
      <c r="AG114" s="87"/>
    </row>
    <row r="115" spans="1:34" ht="15" customHeight="1" x14ac:dyDescent="0.3">
      <c r="A115" s="92" t="s">
        <v>2638</v>
      </c>
      <c r="B115" s="148" t="s">
        <v>157</v>
      </c>
      <c r="C115" s="153">
        <v>2264</v>
      </c>
      <c r="D115" s="153">
        <v>2150</v>
      </c>
      <c r="E115" s="153">
        <v>2408</v>
      </c>
      <c r="F115" s="153">
        <v>2426</v>
      </c>
      <c r="G115" s="153">
        <v>2442</v>
      </c>
      <c r="H115" s="153">
        <v>2459</v>
      </c>
      <c r="I115" s="153">
        <v>2476</v>
      </c>
      <c r="J115" s="153">
        <v>2494</v>
      </c>
      <c r="K115" s="153">
        <v>2511</v>
      </c>
      <c r="L115" s="153">
        <v>2528</v>
      </c>
      <c r="M115" s="153">
        <v>2545</v>
      </c>
      <c r="N115" s="153">
        <v>2562</v>
      </c>
      <c r="O115" s="153">
        <v>2579</v>
      </c>
      <c r="P115" s="153">
        <v>2597</v>
      </c>
      <c r="Q115" s="153">
        <v>2614</v>
      </c>
      <c r="R115" s="153">
        <v>2632</v>
      </c>
      <c r="S115" s="153">
        <v>2649</v>
      </c>
      <c r="T115" s="153">
        <v>2666</v>
      </c>
      <c r="U115" s="153">
        <v>2684</v>
      </c>
      <c r="V115" s="153">
        <v>2701</v>
      </c>
      <c r="W115" s="153">
        <v>2719</v>
      </c>
      <c r="X115" s="153">
        <v>2736</v>
      </c>
      <c r="Y115" s="153">
        <v>2754</v>
      </c>
      <c r="Z115" s="153">
        <v>2771</v>
      </c>
      <c r="AA115" s="153">
        <v>2789</v>
      </c>
      <c r="AB115" s="153">
        <v>2806</v>
      </c>
      <c r="AC115" s="153">
        <v>2824</v>
      </c>
      <c r="AD115" s="153">
        <v>2842</v>
      </c>
      <c r="AE115" s="153">
        <v>2859</v>
      </c>
      <c r="AF115" s="150">
        <v>8.3680000000000004E-3</v>
      </c>
      <c r="AG115" s="87"/>
    </row>
    <row r="116" spans="1:34" ht="15" customHeight="1" x14ac:dyDescent="0.3">
      <c r="A116" s="92" t="s">
        <v>2637</v>
      </c>
      <c r="B116" s="148" t="s">
        <v>159</v>
      </c>
      <c r="C116" s="153">
        <v>1730</v>
      </c>
      <c r="D116" s="153">
        <v>1637</v>
      </c>
      <c r="E116" s="153">
        <v>1805</v>
      </c>
      <c r="F116" s="153">
        <v>1814</v>
      </c>
      <c r="G116" s="153">
        <v>1824</v>
      </c>
      <c r="H116" s="153">
        <v>1834</v>
      </c>
      <c r="I116" s="153">
        <v>1844</v>
      </c>
      <c r="J116" s="153">
        <v>1854</v>
      </c>
      <c r="K116" s="153">
        <v>1864</v>
      </c>
      <c r="L116" s="153">
        <v>1874</v>
      </c>
      <c r="M116" s="153">
        <v>1884</v>
      </c>
      <c r="N116" s="153">
        <v>1894</v>
      </c>
      <c r="O116" s="153">
        <v>1904</v>
      </c>
      <c r="P116" s="153">
        <v>1914</v>
      </c>
      <c r="Q116" s="153">
        <v>1924</v>
      </c>
      <c r="R116" s="153">
        <v>1934</v>
      </c>
      <c r="S116" s="153">
        <v>1944</v>
      </c>
      <c r="T116" s="153">
        <v>1954</v>
      </c>
      <c r="U116" s="153">
        <v>1964</v>
      </c>
      <c r="V116" s="153">
        <v>1974</v>
      </c>
      <c r="W116" s="153">
        <v>1984</v>
      </c>
      <c r="X116" s="153">
        <v>1994</v>
      </c>
      <c r="Y116" s="153">
        <v>2004</v>
      </c>
      <c r="Z116" s="153">
        <v>2014</v>
      </c>
      <c r="AA116" s="153">
        <v>2024</v>
      </c>
      <c r="AB116" s="153">
        <v>2034</v>
      </c>
      <c r="AC116" s="153">
        <v>2044</v>
      </c>
      <c r="AD116" s="153">
        <v>2054</v>
      </c>
      <c r="AE116" s="153">
        <v>2064</v>
      </c>
      <c r="AF116" s="150">
        <v>6.3239999999999998E-3</v>
      </c>
      <c r="AG116" s="87"/>
    </row>
    <row r="117" spans="1:34" ht="15" customHeight="1" x14ac:dyDescent="0.3">
      <c r="A117" s="92" t="s">
        <v>2636</v>
      </c>
      <c r="B117" s="148" t="s">
        <v>161</v>
      </c>
      <c r="C117" s="153">
        <v>3000</v>
      </c>
      <c r="D117" s="153">
        <v>2658</v>
      </c>
      <c r="E117" s="153">
        <v>2860</v>
      </c>
      <c r="F117" s="153">
        <v>2874</v>
      </c>
      <c r="G117" s="153">
        <v>2887</v>
      </c>
      <c r="H117" s="153">
        <v>2901</v>
      </c>
      <c r="I117" s="153">
        <v>2915</v>
      </c>
      <c r="J117" s="153">
        <v>2928</v>
      </c>
      <c r="K117" s="153">
        <v>2942</v>
      </c>
      <c r="L117" s="153">
        <v>2955</v>
      </c>
      <c r="M117" s="153">
        <v>2969</v>
      </c>
      <c r="N117" s="153">
        <v>2982</v>
      </c>
      <c r="O117" s="153">
        <v>2996</v>
      </c>
      <c r="P117" s="153">
        <v>3009</v>
      </c>
      <c r="Q117" s="153">
        <v>3023</v>
      </c>
      <c r="R117" s="153">
        <v>3036</v>
      </c>
      <c r="S117" s="153">
        <v>3050</v>
      </c>
      <c r="T117" s="153">
        <v>3063</v>
      </c>
      <c r="U117" s="153">
        <v>3076</v>
      </c>
      <c r="V117" s="153">
        <v>3090</v>
      </c>
      <c r="W117" s="153">
        <v>3103</v>
      </c>
      <c r="X117" s="153">
        <v>3117</v>
      </c>
      <c r="Y117" s="153">
        <v>3130</v>
      </c>
      <c r="Z117" s="153">
        <v>3144</v>
      </c>
      <c r="AA117" s="153">
        <v>3157</v>
      </c>
      <c r="AB117" s="153">
        <v>3170</v>
      </c>
      <c r="AC117" s="153">
        <v>3184</v>
      </c>
      <c r="AD117" s="153">
        <v>3197</v>
      </c>
      <c r="AE117" s="153">
        <v>3210</v>
      </c>
      <c r="AF117" s="150">
        <v>2.4190000000000001E-3</v>
      </c>
      <c r="AG117" s="87"/>
    </row>
    <row r="118" spans="1:34" ht="15" customHeight="1" x14ac:dyDescent="0.3">
      <c r="A118" s="92" t="s">
        <v>2635</v>
      </c>
      <c r="B118" s="148" t="s">
        <v>163</v>
      </c>
      <c r="C118" s="153">
        <v>1578</v>
      </c>
      <c r="D118" s="153">
        <v>1415</v>
      </c>
      <c r="E118" s="153">
        <v>1580</v>
      </c>
      <c r="F118" s="153">
        <v>1589</v>
      </c>
      <c r="G118" s="153">
        <v>1599</v>
      </c>
      <c r="H118" s="153">
        <v>1608</v>
      </c>
      <c r="I118" s="153">
        <v>1618</v>
      </c>
      <c r="J118" s="153">
        <v>1628</v>
      </c>
      <c r="K118" s="153">
        <v>1638</v>
      </c>
      <c r="L118" s="153">
        <v>1647</v>
      </c>
      <c r="M118" s="153">
        <v>1657</v>
      </c>
      <c r="N118" s="153">
        <v>1667</v>
      </c>
      <c r="O118" s="153">
        <v>1677</v>
      </c>
      <c r="P118" s="153">
        <v>1687</v>
      </c>
      <c r="Q118" s="153">
        <v>1697</v>
      </c>
      <c r="R118" s="153">
        <v>1706</v>
      </c>
      <c r="S118" s="153">
        <v>1716</v>
      </c>
      <c r="T118" s="153">
        <v>1726</v>
      </c>
      <c r="U118" s="153">
        <v>1735</v>
      </c>
      <c r="V118" s="153">
        <v>1745</v>
      </c>
      <c r="W118" s="153">
        <v>1755</v>
      </c>
      <c r="X118" s="153">
        <v>1764</v>
      </c>
      <c r="Y118" s="153">
        <v>1774</v>
      </c>
      <c r="Z118" s="153">
        <v>1783</v>
      </c>
      <c r="AA118" s="153">
        <v>1793</v>
      </c>
      <c r="AB118" s="153">
        <v>1802</v>
      </c>
      <c r="AC118" s="153">
        <v>1812</v>
      </c>
      <c r="AD118" s="153">
        <v>1822</v>
      </c>
      <c r="AE118" s="153">
        <v>1831</v>
      </c>
      <c r="AF118" s="150">
        <v>5.3249999999999999E-3</v>
      </c>
      <c r="AG118" s="87"/>
    </row>
    <row r="119" spans="1:34" ht="15" customHeight="1" x14ac:dyDescent="0.3">
      <c r="A119" s="92" t="s">
        <v>2634</v>
      </c>
      <c r="B119" s="148" t="s">
        <v>165</v>
      </c>
      <c r="C119" s="153">
        <v>1098</v>
      </c>
      <c r="D119" s="153">
        <v>825</v>
      </c>
      <c r="E119" s="153">
        <v>1006</v>
      </c>
      <c r="F119" s="153">
        <v>1013</v>
      </c>
      <c r="G119" s="153">
        <v>1020</v>
      </c>
      <c r="H119" s="153">
        <v>1028</v>
      </c>
      <c r="I119" s="153">
        <v>1035</v>
      </c>
      <c r="J119" s="153">
        <v>1043</v>
      </c>
      <c r="K119" s="153">
        <v>1050</v>
      </c>
      <c r="L119" s="153">
        <v>1058</v>
      </c>
      <c r="M119" s="153">
        <v>1066</v>
      </c>
      <c r="N119" s="153">
        <v>1073</v>
      </c>
      <c r="O119" s="153">
        <v>1081</v>
      </c>
      <c r="P119" s="153">
        <v>1088</v>
      </c>
      <c r="Q119" s="153">
        <v>1096</v>
      </c>
      <c r="R119" s="153">
        <v>1104</v>
      </c>
      <c r="S119" s="153">
        <v>1111</v>
      </c>
      <c r="T119" s="153">
        <v>1119</v>
      </c>
      <c r="U119" s="153">
        <v>1127</v>
      </c>
      <c r="V119" s="153">
        <v>1134</v>
      </c>
      <c r="W119" s="153">
        <v>1142</v>
      </c>
      <c r="X119" s="153">
        <v>1150</v>
      </c>
      <c r="Y119" s="153">
        <v>1157</v>
      </c>
      <c r="Z119" s="153">
        <v>1165</v>
      </c>
      <c r="AA119" s="153">
        <v>1173</v>
      </c>
      <c r="AB119" s="153">
        <v>1181</v>
      </c>
      <c r="AC119" s="153">
        <v>1188</v>
      </c>
      <c r="AD119" s="153">
        <v>1196</v>
      </c>
      <c r="AE119" s="153">
        <v>1204</v>
      </c>
      <c r="AF119" s="150">
        <v>3.297E-3</v>
      </c>
      <c r="AG119" s="87"/>
    </row>
    <row r="120" spans="1:34" ht="15" customHeight="1" x14ac:dyDescent="0.3">
      <c r="A120" s="92" t="s">
        <v>2633</v>
      </c>
      <c r="B120" s="147" t="s">
        <v>167</v>
      </c>
      <c r="C120" s="155">
        <v>1549.955811</v>
      </c>
      <c r="D120" s="155">
        <v>1383.8479</v>
      </c>
      <c r="E120" s="155">
        <v>1570.0424800000001</v>
      </c>
      <c r="F120" s="155">
        <v>1583.3448490000001</v>
      </c>
      <c r="G120" s="155">
        <v>1596.1142580000001</v>
      </c>
      <c r="H120" s="155">
        <v>1609.38501</v>
      </c>
      <c r="I120" s="155">
        <v>1622.5207519999999</v>
      </c>
      <c r="J120" s="155">
        <v>1636.0070800000001</v>
      </c>
      <c r="K120" s="155">
        <v>1649.149048</v>
      </c>
      <c r="L120" s="155">
        <v>1662.2188719999999</v>
      </c>
      <c r="M120" s="155">
        <v>1675.7426760000001</v>
      </c>
      <c r="N120" s="155">
        <v>1688.762207</v>
      </c>
      <c r="O120" s="155">
        <v>1702.278198</v>
      </c>
      <c r="P120" s="155">
        <v>1715.7017820000001</v>
      </c>
      <c r="Q120" s="155">
        <v>1729.1450199999999</v>
      </c>
      <c r="R120" s="155">
        <v>1742.5604249999999</v>
      </c>
      <c r="S120" s="155">
        <v>1755.9835210000001</v>
      </c>
      <c r="T120" s="155">
        <v>1769.3446039999999</v>
      </c>
      <c r="U120" s="155">
        <v>1782.940063</v>
      </c>
      <c r="V120" s="155">
        <v>1796.302124</v>
      </c>
      <c r="W120" s="155">
        <v>1810.015259</v>
      </c>
      <c r="X120" s="155">
        <v>1823.60437</v>
      </c>
      <c r="Y120" s="155">
        <v>1837.094971</v>
      </c>
      <c r="Z120" s="155">
        <v>1850.6906739999999</v>
      </c>
      <c r="AA120" s="155">
        <v>1864.471436</v>
      </c>
      <c r="AB120" s="155">
        <v>1877.7441409999999</v>
      </c>
      <c r="AC120" s="155">
        <v>1891.3885499999999</v>
      </c>
      <c r="AD120" s="155">
        <v>1904.9642329999999</v>
      </c>
      <c r="AE120" s="155">
        <v>1918.225586</v>
      </c>
      <c r="AF120" s="152">
        <v>7.6420000000000004E-3</v>
      </c>
      <c r="AG120" s="87"/>
    </row>
    <row r="121" spans="1:34" ht="15" customHeight="1" thickBot="1" x14ac:dyDescent="0.35"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  <c r="AA121" s="87"/>
      <c r="AB121" s="87"/>
      <c r="AC121" s="87"/>
      <c r="AD121" s="87"/>
      <c r="AE121" s="87"/>
      <c r="AF121" s="87"/>
      <c r="AG121" s="87"/>
    </row>
    <row r="122" spans="1:34" ht="15" customHeight="1" x14ac:dyDescent="0.3">
      <c r="B122" s="188" t="s">
        <v>2762</v>
      </c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  <c r="AA122" s="189"/>
      <c r="AB122" s="189"/>
      <c r="AC122" s="189"/>
      <c r="AD122" s="189"/>
      <c r="AE122" s="189"/>
      <c r="AF122" s="189"/>
      <c r="AG122" s="189"/>
      <c r="AH122" s="139"/>
    </row>
    <row r="123" spans="1:34" ht="15" customHeight="1" x14ac:dyDescent="0.3">
      <c r="B123" s="87" t="s">
        <v>2899</v>
      </c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</row>
    <row r="124" spans="1:34" ht="15" customHeight="1" x14ac:dyDescent="0.3">
      <c r="B124" s="87" t="s">
        <v>2792</v>
      </c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  <c r="AA124" s="87"/>
      <c r="AB124" s="87"/>
      <c r="AC124" s="87"/>
      <c r="AD124" s="87"/>
      <c r="AE124" s="87"/>
      <c r="AF124" s="87"/>
      <c r="AG124" s="87"/>
    </row>
    <row r="125" spans="1:34" ht="15" customHeight="1" x14ac:dyDescent="0.3">
      <c r="B125" s="87" t="s">
        <v>2793</v>
      </c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  <c r="AA125" s="87"/>
      <c r="AB125" s="87"/>
      <c r="AC125" s="87"/>
      <c r="AD125" s="87"/>
      <c r="AE125" s="87"/>
      <c r="AF125" s="87"/>
      <c r="AG125" s="87"/>
    </row>
    <row r="126" spans="1:34" ht="15" customHeight="1" x14ac:dyDescent="0.3">
      <c r="B126" s="87" t="s">
        <v>2632</v>
      </c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  <c r="AA126" s="87"/>
      <c r="AB126" s="87"/>
      <c r="AC126" s="87"/>
      <c r="AD126" s="87"/>
      <c r="AE126" s="87"/>
      <c r="AF126" s="87"/>
      <c r="AG126" s="87"/>
    </row>
    <row r="127" spans="1:34" ht="15" customHeight="1" x14ac:dyDescent="0.3">
      <c r="B127" s="87" t="s">
        <v>2794</v>
      </c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  <c r="AA127" s="87"/>
      <c r="AB127" s="87"/>
      <c r="AC127" s="87"/>
      <c r="AD127" s="87"/>
      <c r="AE127" s="87"/>
      <c r="AF127" s="87"/>
      <c r="AG127" s="87"/>
    </row>
    <row r="128" spans="1:34" ht="15" customHeight="1" x14ac:dyDescent="0.3">
      <c r="B128" s="87" t="s">
        <v>2631</v>
      </c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  <c r="AA128" s="87"/>
      <c r="AB128" s="87"/>
      <c r="AC128" s="87"/>
      <c r="AD128" s="87"/>
      <c r="AE128" s="87"/>
      <c r="AF128" s="87"/>
      <c r="AG128" s="87"/>
    </row>
    <row r="129" spans="2:33" ht="15" customHeight="1" x14ac:dyDescent="0.3">
      <c r="B129" s="87" t="s">
        <v>2795</v>
      </c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  <c r="AA129" s="87"/>
      <c r="AB129" s="87"/>
      <c r="AC129" s="87"/>
      <c r="AD129" s="87"/>
      <c r="AE129" s="87"/>
      <c r="AF129" s="87"/>
      <c r="AG129" s="87"/>
    </row>
    <row r="130" spans="2:33" ht="15" customHeight="1" x14ac:dyDescent="0.3">
      <c r="B130" s="87" t="s">
        <v>2796</v>
      </c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  <c r="AA130" s="87"/>
      <c r="AB130" s="87"/>
      <c r="AC130" s="87"/>
      <c r="AD130" s="87"/>
      <c r="AE130" s="87"/>
      <c r="AF130" s="87"/>
      <c r="AG130" s="87"/>
    </row>
    <row r="131" spans="2:33" ht="15" customHeight="1" x14ac:dyDescent="0.3">
      <c r="B131" s="87" t="s">
        <v>2797</v>
      </c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</row>
    <row r="132" spans="2:33" ht="15" customHeight="1" x14ac:dyDescent="0.3">
      <c r="B132" s="87" t="s">
        <v>2630</v>
      </c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</row>
    <row r="133" spans="2:33" ht="15" customHeight="1" x14ac:dyDescent="0.3">
      <c r="B133" s="87" t="s">
        <v>2798</v>
      </c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  <c r="AA133" s="87"/>
      <c r="AB133" s="87"/>
      <c r="AC133" s="87"/>
      <c r="AD133" s="87"/>
      <c r="AE133" s="87"/>
      <c r="AF133" s="87"/>
      <c r="AG133" s="87"/>
    </row>
    <row r="134" spans="2:33" ht="15" customHeight="1" x14ac:dyDescent="0.3">
      <c r="B134" s="87" t="s">
        <v>2799</v>
      </c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</row>
    <row r="135" spans="2:33" ht="15" customHeight="1" x14ac:dyDescent="0.3">
      <c r="B135" s="87" t="s">
        <v>2800</v>
      </c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</row>
    <row r="136" spans="2:33" ht="15" customHeight="1" x14ac:dyDescent="0.3">
      <c r="B136" s="87" t="s">
        <v>2775</v>
      </c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  <c r="AA136" s="87"/>
      <c r="AB136" s="87"/>
      <c r="AC136" s="87"/>
      <c r="AD136" s="87"/>
      <c r="AE136" s="87"/>
      <c r="AF136" s="87"/>
      <c r="AG136" s="87"/>
    </row>
    <row r="137" spans="2:33" ht="15" customHeight="1" x14ac:dyDescent="0.3">
      <c r="B137" s="87" t="s">
        <v>2776</v>
      </c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  <c r="AA137" s="87"/>
      <c r="AB137" s="87"/>
      <c r="AC137" s="87"/>
      <c r="AD137" s="87"/>
      <c r="AE137" s="87"/>
      <c r="AF137" s="87"/>
      <c r="AG137" s="87"/>
    </row>
    <row r="138" spans="2:33" ht="15" customHeight="1" x14ac:dyDescent="0.3">
      <c r="B138" s="87" t="s">
        <v>2777</v>
      </c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  <c r="AA138" s="87"/>
      <c r="AB138" s="87"/>
      <c r="AC138" s="87"/>
      <c r="AD138" s="87"/>
      <c r="AE138" s="87"/>
      <c r="AF138" s="87"/>
      <c r="AG138" s="87"/>
    </row>
    <row r="139" spans="2:33" ht="15" customHeight="1" x14ac:dyDescent="0.3">
      <c r="B139" s="87" t="s">
        <v>2908</v>
      </c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  <c r="AA139" s="87"/>
      <c r="AB139" s="87"/>
      <c r="AC139" s="87"/>
      <c r="AD139" s="87"/>
      <c r="AE139" s="87"/>
      <c r="AF139" s="87"/>
      <c r="AG139" s="87"/>
    </row>
    <row r="140" spans="2:33" ht="15" customHeight="1" x14ac:dyDescent="0.3">
      <c r="B140" s="87" t="s">
        <v>2909</v>
      </c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  <c r="AA140" s="87"/>
      <c r="AB140" s="87"/>
      <c r="AC140" s="87"/>
      <c r="AD140" s="87"/>
      <c r="AE140" s="87"/>
      <c r="AF140" s="87"/>
      <c r="AG140" s="87"/>
    </row>
    <row r="141" spans="2:33" ht="12" x14ac:dyDescent="0.3"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  <c r="AA141" s="87"/>
      <c r="AB141" s="87"/>
      <c r="AC141" s="87"/>
      <c r="AD141" s="87"/>
      <c r="AE141" s="87"/>
      <c r="AF141" s="87"/>
      <c r="AG141" s="87"/>
    </row>
    <row r="142" spans="2:33" ht="12" x14ac:dyDescent="0.3"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  <c r="AA142" s="87"/>
      <c r="AB142" s="87"/>
      <c r="AC142" s="87"/>
      <c r="AD142" s="87"/>
      <c r="AE142" s="87"/>
      <c r="AF142" s="87"/>
      <c r="AG142" s="87"/>
    </row>
    <row r="143" spans="2:33" ht="12" x14ac:dyDescent="0.3"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  <c r="AA143" s="87"/>
      <c r="AB143" s="87"/>
      <c r="AC143" s="87"/>
      <c r="AD143" s="87"/>
      <c r="AE143" s="87"/>
      <c r="AF143" s="87"/>
      <c r="AG143" s="87"/>
    </row>
    <row r="144" spans="2:33" ht="12" x14ac:dyDescent="0.3"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  <c r="AA144" s="87"/>
      <c r="AB144" s="87"/>
      <c r="AC144" s="87"/>
      <c r="AD144" s="87"/>
      <c r="AE144" s="87"/>
      <c r="AF144" s="87"/>
      <c r="AG144" s="87"/>
    </row>
    <row r="145" spans="2:33" ht="12" x14ac:dyDescent="0.3"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  <c r="AA145" s="87"/>
      <c r="AB145" s="87"/>
      <c r="AC145" s="87"/>
      <c r="AD145" s="87"/>
      <c r="AE145" s="87"/>
      <c r="AF145" s="87"/>
      <c r="AG145" s="87"/>
    </row>
    <row r="146" spans="2:33" ht="12" x14ac:dyDescent="0.3"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  <c r="AA146" s="87"/>
      <c r="AB146" s="87"/>
      <c r="AC146" s="87"/>
      <c r="AD146" s="87"/>
      <c r="AE146" s="87"/>
      <c r="AF146" s="87"/>
      <c r="AG146" s="87"/>
    </row>
    <row r="147" spans="2:33" ht="12" x14ac:dyDescent="0.3"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  <c r="AA147" s="87"/>
      <c r="AB147" s="87"/>
      <c r="AC147" s="87"/>
      <c r="AD147" s="87"/>
      <c r="AE147" s="87"/>
      <c r="AF147" s="87"/>
      <c r="AG147" s="87"/>
    </row>
    <row r="148" spans="2:33" ht="12" x14ac:dyDescent="0.3"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  <c r="AA148" s="87"/>
      <c r="AB148" s="87"/>
      <c r="AC148" s="87"/>
      <c r="AD148" s="87"/>
      <c r="AE148" s="87"/>
      <c r="AF148" s="87"/>
      <c r="AG148" s="87"/>
    </row>
    <row r="149" spans="2:33" ht="12" x14ac:dyDescent="0.3"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  <c r="AA149" s="87"/>
      <c r="AB149" s="87"/>
      <c r="AC149" s="87"/>
      <c r="AD149" s="87"/>
      <c r="AE149" s="87"/>
      <c r="AF149" s="87"/>
      <c r="AG149" s="87"/>
    </row>
    <row r="150" spans="2:33" ht="15" customHeight="1" x14ac:dyDescent="0.3"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</row>
    <row r="151" spans="2:33" ht="15" customHeight="1" x14ac:dyDescent="0.3"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  <c r="AA151" s="87"/>
      <c r="AB151" s="87"/>
      <c r="AC151" s="87"/>
      <c r="AD151" s="87"/>
      <c r="AE151" s="87"/>
      <c r="AF151" s="87"/>
      <c r="AG151" s="87"/>
    </row>
    <row r="152" spans="2:33" ht="15" customHeight="1" x14ac:dyDescent="0.3"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  <c r="AA152" s="87"/>
      <c r="AB152" s="87"/>
      <c r="AC152" s="87"/>
      <c r="AD152" s="87"/>
      <c r="AE152" s="87"/>
      <c r="AF152" s="87"/>
      <c r="AG152" s="87"/>
    </row>
    <row r="153" spans="2:33" ht="15" customHeight="1" x14ac:dyDescent="0.3"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  <c r="AA153" s="87"/>
      <c r="AB153" s="87"/>
      <c r="AC153" s="87"/>
      <c r="AD153" s="87"/>
      <c r="AE153" s="87"/>
      <c r="AF153" s="87"/>
      <c r="AG153" s="87"/>
    </row>
    <row r="154" spans="2:33" ht="15" customHeight="1" x14ac:dyDescent="0.3"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  <c r="AA154" s="87"/>
      <c r="AB154" s="87"/>
      <c r="AC154" s="87"/>
      <c r="AD154" s="87"/>
      <c r="AE154" s="87"/>
      <c r="AF154" s="87"/>
      <c r="AG154" s="87"/>
    </row>
    <row r="155" spans="2:33" ht="15" customHeight="1" x14ac:dyDescent="0.3"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  <c r="AA155" s="87"/>
      <c r="AB155" s="87"/>
      <c r="AC155" s="87"/>
      <c r="AD155" s="87"/>
      <c r="AE155" s="87"/>
      <c r="AF155" s="87"/>
      <c r="AG155" s="87"/>
    </row>
    <row r="156" spans="2:33" ht="15" customHeight="1" x14ac:dyDescent="0.3"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  <c r="AA156" s="87"/>
      <c r="AB156" s="87"/>
      <c r="AC156" s="87"/>
      <c r="AD156" s="87"/>
      <c r="AE156" s="87"/>
      <c r="AF156" s="87"/>
      <c r="AG156" s="87"/>
    </row>
    <row r="157" spans="2:33" ht="15" customHeight="1" x14ac:dyDescent="0.3"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  <c r="AA157" s="87"/>
      <c r="AB157" s="87"/>
      <c r="AC157" s="87"/>
      <c r="AD157" s="87"/>
      <c r="AE157" s="87"/>
      <c r="AF157" s="87"/>
      <c r="AG157" s="87"/>
    </row>
    <row r="158" spans="2:33" ht="15" customHeight="1" x14ac:dyDescent="0.3"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</row>
    <row r="159" spans="2:33" ht="15" customHeight="1" x14ac:dyDescent="0.3"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  <c r="AA159" s="87"/>
      <c r="AB159" s="87"/>
      <c r="AC159" s="87"/>
      <c r="AD159" s="87"/>
      <c r="AE159" s="87"/>
      <c r="AF159" s="87"/>
      <c r="AG159" s="87"/>
    </row>
    <row r="160" spans="2:33" ht="15" customHeight="1" x14ac:dyDescent="0.3"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  <c r="AA160" s="87"/>
      <c r="AB160" s="87"/>
      <c r="AC160" s="87"/>
      <c r="AD160" s="87"/>
      <c r="AE160" s="87"/>
      <c r="AF160" s="87"/>
      <c r="AG160" s="87"/>
    </row>
    <row r="161" spans="2:33" ht="15" customHeight="1" x14ac:dyDescent="0.3"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  <c r="AB161" s="87"/>
      <c r="AC161" s="87"/>
      <c r="AD161" s="87"/>
      <c r="AE161" s="87"/>
      <c r="AF161" s="87"/>
      <c r="AG161" s="87"/>
    </row>
    <row r="162" spans="2:33" ht="15" customHeight="1" x14ac:dyDescent="0.3"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  <c r="AB162" s="87"/>
      <c r="AC162" s="87"/>
      <c r="AD162" s="87"/>
      <c r="AE162" s="87"/>
      <c r="AF162" s="87"/>
      <c r="AG162" s="87"/>
    </row>
    <row r="163" spans="2:33" ht="15" customHeight="1" x14ac:dyDescent="0.3"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  <c r="AB163" s="87"/>
      <c r="AC163" s="87"/>
      <c r="AD163" s="87"/>
      <c r="AE163" s="87"/>
      <c r="AF163" s="87"/>
      <c r="AG163" s="87"/>
    </row>
    <row r="164" spans="2:33" ht="15" customHeight="1" x14ac:dyDescent="0.3"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</row>
    <row r="165" spans="2:33" ht="12" x14ac:dyDescent="0.3"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</row>
    <row r="166" spans="2:33" ht="15" customHeight="1" x14ac:dyDescent="0.3"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</row>
    <row r="167" spans="2:33" ht="15" customHeight="1" x14ac:dyDescent="0.3"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</row>
    <row r="168" spans="2:33" ht="15" customHeight="1" x14ac:dyDescent="0.3"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</row>
    <row r="169" spans="2:33" ht="15" customHeight="1" x14ac:dyDescent="0.3"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</row>
    <row r="170" spans="2:33" ht="15" customHeight="1" x14ac:dyDescent="0.3"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</row>
    <row r="171" spans="2:33" ht="15" customHeight="1" x14ac:dyDescent="0.3"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</row>
    <row r="172" spans="2:33" ht="15" customHeight="1" x14ac:dyDescent="0.3"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</row>
    <row r="173" spans="2:33" ht="15" customHeight="1" x14ac:dyDescent="0.3"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</row>
    <row r="174" spans="2:33" ht="15" customHeight="1" x14ac:dyDescent="0.3"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</row>
    <row r="175" spans="2:33" ht="15" customHeight="1" x14ac:dyDescent="0.3"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</row>
    <row r="176" spans="2:33" ht="15" customHeight="1" x14ac:dyDescent="0.3"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</row>
    <row r="177" spans="2:33" ht="15" customHeight="1" x14ac:dyDescent="0.3"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</row>
    <row r="178" spans="2:33" ht="15" customHeight="1" x14ac:dyDescent="0.3"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</row>
    <row r="179" spans="2:33" ht="15" customHeight="1" x14ac:dyDescent="0.3"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</row>
    <row r="180" spans="2:33" ht="12" x14ac:dyDescent="0.3"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</row>
    <row r="181" spans="2:33" ht="15" customHeight="1" x14ac:dyDescent="0.3"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</row>
    <row r="182" spans="2:33" ht="15" customHeight="1" x14ac:dyDescent="0.3"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</row>
    <row r="183" spans="2:33" ht="15" customHeight="1" x14ac:dyDescent="0.3"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</row>
    <row r="184" spans="2:33" ht="15" customHeight="1" x14ac:dyDescent="0.3"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</row>
    <row r="308" spans="2:32" ht="15" customHeight="1" x14ac:dyDescent="0.3"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  <c r="AB308" s="184"/>
      <c r="AC308" s="184"/>
      <c r="AD308" s="184"/>
      <c r="AE308" s="184"/>
      <c r="AF308" s="184"/>
    </row>
    <row r="511" spans="2:32" ht="15" customHeight="1" x14ac:dyDescent="0.3"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  <c r="AB511" s="184"/>
      <c r="AC511" s="184"/>
      <c r="AD511" s="184"/>
      <c r="AE511" s="184"/>
      <c r="AF511" s="184"/>
    </row>
    <row r="712" spans="2:32" ht="15" customHeight="1" x14ac:dyDescent="0.3"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184"/>
      <c r="AF712" s="184"/>
    </row>
    <row r="887" spans="2:32" ht="15" customHeight="1" x14ac:dyDescent="0.3"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184"/>
      <c r="AE887" s="184"/>
      <c r="AF887" s="184"/>
    </row>
    <row r="1101" spans="2:32" ht="15" customHeight="1" x14ac:dyDescent="0.3">
      <c r="B1101" s="184"/>
      <c r="C1101" s="184"/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4"/>
      <c r="AE1101" s="184"/>
      <c r="AF1101" s="184"/>
    </row>
    <row r="1229" spans="2:32" ht="15" customHeight="1" x14ac:dyDescent="0.3">
      <c r="B1229" s="184"/>
      <c r="C1229" s="184"/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4"/>
      <c r="AE1229" s="184"/>
      <c r="AF1229" s="184"/>
    </row>
    <row r="1390" spans="2:32" ht="15" customHeight="1" x14ac:dyDescent="0.3">
      <c r="B1390" s="184"/>
      <c r="C1390" s="184"/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4"/>
      <c r="AE1390" s="184"/>
      <c r="AF1390" s="184"/>
    </row>
    <row r="1502" spans="2:32" ht="15" customHeight="1" x14ac:dyDescent="0.3">
      <c r="B1502" s="184"/>
      <c r="C1502" s="184"/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4"/>
      <c r="AE1502" s="184"/>
      <c r="AF1502" s="184"/>
    </row>
    <row r="1604" spans="2:32" ht="15" customHeight="1" x14ac:dyDescent="0.3">
      <c r="B1604" s="184"/>
      <c r="C1604" s="184"/>
      <c r="D1604" s="184"/>
      <c r="E1604" s="184"/>
      <c r="F1604" s="184"/>
      <c r="G1604" s="184"/>
      <c r="H1604" s="184"/>
      <c r="I1604" s="184"/>
      <c r="J1604" s="184"/>
      <c r="K1604" s="184"/>
      <c r="L1604" s="184"/>
      <c r="M1604" s="184"/>
      <c r="N1604" s="184"/>
      <c r="O1604" s="184"/>
      <c r="P1604" s="184"/>
      <c r="Q1604" s="184"/>
      <c r="R1604" s="184"/>
      <c r="S1604" s="184"/>
      <c r="T1604" s="184"/>
      <c r="U1604" s="184"/>
      <c r="V1604" s="184"/>
      <c r="W1604" s="184"/>
      <c r="X1604" s="184"/>
      <c r="Y1604" s="184"/>
      <c r="Z1604" s="184"/>
      <c r="AA1604" s="184"/>
      <c r="AB1604" s="184"/>
      <c r="AC1604" s="184"/>
      <c r="AD1604" s="184"/>
      <c r="AE1604" s="184"/>
      <c r="AF1604" s="184"/>
    </row>
    <row r="1699" spans="2:32" ht="15" customHeight="1" x14ac:dyDescent="0.3">
      <c r="B1699" s="184"/>
      <c r="C1699" s="184"/>
      <c r="D1699" s="184"/>
      <c r="E1699" s="184"/>
      <c r="F1699" s="184"/>
      <c r="G1699" s="184"/>
      <c r="H1699" s="184"/>
      <c r="I1699" s="184"/>
      <c r="J1699" s="184"/>
      <c r="K1699" s="184"/>
      <c r="L1699" s="184"/>
      <c r="M1699" s="184"/>
      <c r="N1699" s="184"/>
      <c r="O1699" s="184"/>
      <c r="P1699" s="184"/>
      <c r="Q1699" s="184"/>
      <c r="R1699" s="184"/>
      <c r="S1699" s="184"/>
      <c r="T1699" s="184"/>
      <c r="U1699" s="184"/>
      <c r="V1699" s="184"/>
      <c r="W1699" s="184"/>
      <c r="X1699" s="184"/>
      <c r="Y1699" s="184"/>
      <c r="Z1699" s="184"/>
      <c r="AA1699" s="184"/>
      <c r="AB1699" s="184"/>
      <c r="AC1699" s="184"/>
      <c r="AD1699" s="184"/>
      <c r="AE1699" s="184"/>
      <c r="AF1699" s="184"/>
    </row>
    <row r="1945" spans="2:32" ht="15" customHeight="1" x14ac:dyDescent="0.3">
      <c r="B1945" s="184"/>
      <c r="C1945" s="184"/>
      <c r="D1945" s="184"/>
      <c r="E1945" s="184"/>
      <c r="F1945" s="184"/>
      <c r="G1945" s="184"/>
      <c r="H1945" s="184"/>
      <c r="I1945" s="184"/>
      <c r="J1945" s="184"/>
      <c r="K1945" s="184"/>
      <c r="L1945" s="184"/>
      <c r="M1945" s="184"/>
      <c r="N1945" s="184"/>
      <c r="O1945" s="184"/>
      <c r="P1945" s="184"/>
      <c r="Q1945" s="184"/>
      <c r="R1945" s="184"/>
      <c r="S1945" s="184"/>
      <c r="T1945" s="184"/>
      <c r="U1945" s="184"/>
      <c r="V1945" s="184"/>
      <c r="W1945" s="184"/>
      <c r="X1945" s="184"/>
      <c r="Y1945" s="184"/>
      <c r="Z1945" s="184"/>
      <c r="AA1945" s="184"/>
      <c r="AB1945" s="184"/>
      <c r="AC1945" s="184"/>
      <c r="AD1945" s="184"/>
      <c r="AE1945" s="184"/>
      <c r="AF1945" s="184"/>
    </row>
    <row r="2031" spans="2:32" ht="15" customHeight="1" x14ac:dyDescent="0.3">
      <c r="B2031" s="184"/>
      <c r="C2031" s="184"/>
      <c r="D2031" s="184"/>
      <c r="E2031" s="184"/>
      <c r="F2031" s="184"/>
      <c r="G2031" s="184"/>
      <c r="H2031" s="184"/>
      <c r="I2031" s="184"/>
      <c r="J2031" s="184"/>
      <c r="K2031" s="184"/>
      <c r="L2031" s="184"/>
      <c r="M2031" s="184"/>
      <c r="N2031" s="184"/>
      <c r="O2031" s="184"/>
      <c r="P2031" s="184"/>
      <c r="Q2031" s="184"/>
      <c r="R2031" s="184"/>
      <c r="S2031" s="184"/>
      <c r="T2031" s="184"/>
      <c r="U2031" s="184"/>
      <c r="V2031" s="184"/>
      <c r="W2031" s="184"/>
      <c r="X2031" s="184"/>
      <c r="Y2031" s="184"/>
      <c r="Z2031" s="184"/>
      <c r="AA2031" s="184"/>
      <c r="AB2031" s="184"/>
      <c r="AC2031" s="184"/>
      <c r="AD2031" s="184"/>
      <c r="AE2031" s="184"/>
      <c r="AF2031" s="184"/>
    </row>
    <row r="2153" spans="2:32" ht="15" customHeight="1" x14ac:dyDescent="0.3">
      <c r="B2153" s="184"/>
      <c r="C2153" s="184"/>
      <c r="D2153" s="184"/>
      <c r="E2153" s="184"/>
      <c r="F2153" s="184"/>
      <c r="G2153" s="184"/>
      <c r="H2153" s="184"/>
      <c r="I2153" s="184"/>
      <c r="J2153" s="184"/>
      <c r="K2153" s="184"/>
      <c r="L2153" s="184"/>
      <c r="M2153" s="184"/>
      <c r="N2153" s="184"/>
      <c r="O2153" s="184"/>
      <c r="P2153" s="184"/>
      <c r="Q2153" s="184"/>
      <c r="R2153" s="184"/>
      <c r="S2153" s="184"/>
      <c r="T2153" s="184"/>
      <c r="U2153" s="184"/>
      <c r="V2153" s="184"/>
      <c r="W2153" s="184"/>
      <c r="X2153" s="184"/>
      <c r="Y2153" s="184"/>
      <c r="Z2153" s="184"/>
      <c r="AA2153" s="184"/>
      <c r="AB2153" s="184"/>
      <c r="AC2153" s="184"/>
      <c r="AD2153" s="184"/>
      <c r="AE2153" s="184"/>
      <c r="AF2153" s="184"/>
    </row>
    <row r="2317" spans="2:32" ht="15" customHeight="1" x14ac:dyDescent="0.3">
      <c r="B2317" s="184"/>
      <c r="C2317" s="184"/>
      <c r="D2317" s="184"/>
      <c r="E2317" s="184"/>
      <c r="F2317" s="184"/>
      <c r="G2317" s="184"/>
      <c r="H2317" s="184"/>
      <c r="I2317" s="184"/>
      <c r="J2317" s="184"/>
      <c r="K2317" s="184"/>
      <c r="L2317" s="184"/>
      <c r="M2317" s="184"/>
      <c r="N2317" s="184"/>
      <c r="O2317" s="184"/>
      <c r="P2317" s="184"/>
      <c r="Q2317" s="184"/>
      <c r="R2317" s="184"/>
      <c r="S2317" s="184"/>
      <c r="T2317" s="184"/>
      <c r="U2317" s="184"/>
      <c r="V2317" s="184"/>
      <c r="W2317" s="184"/>
      <c r="X2317" s="184"/>
      <c r="Y2317" s="184"/>
      <c r="Z2317" s="184"/>
      <c r="AA2317" s="184"/>
      <c r="AB2317" s="184"/>
      <c r="AC2317" s="184"/>
      <c r="AD2317" s="184"/>
      <c r="AE2317" s="184"/>
      <c r="AF2317" s="184"/>
    </row>
    <row r="2419" spans="2:32" ht="15" customHeight="1" x14ac:dyDescent="0.3">
      <c r="B2419" s="184"/>
      <c r="C2419" s="184"/>
      <c r="D2419" s="184"/>
      <c r="E2419" s="184"/>
      <c r="F2419" s="184"/>
      <c r="G2419" s="184"/>
      <c r="H2419" s="184"/>
      <c r="I2419" s="184"/>
      <c r="J2419" s="184"/>
      <c r="K2419" s="184"/>
      <c r="L2419" s="184"/>
      <c r="M2419" s="184"/>
      <c r="N2419" s="184"/>
      <c r="O2419" s="184"/>
      <c r="P2419" s="184"/>
      <c r="Q2419" s="184"/>
      <c r="R2419" s="184"/>
      <c r="S2419" s="184"/>
      <c r="T2419" s="184"/>
      <c r="U2419" s="184"/>
      <c r="V2419" s="184"/>
      <c r="W2419" s="184"/>
      <c r="X2419" s="184"/>
      <c r="Y2419" s="184"/>
      <c r="Z2419" s="184"/>
      <c r="AA2419" s="184"/>
      <c r="AB2419" s="184"/>
      <c r="AC2419" s="184"/>
      <c r="AD2419" s="184"/>
      <c r="AE2419" s="184"/>
      <c r="AF2419" s="184"/>
    </row>
    <row r="2509" spans="2:32" ht="15" customHeight="1" x14ac:dyDescent="0.3">
      <c r="B2509" s="184"/>
      <c r="C2509" s="184"/>
      <c r="D2509" s="184"/>
      <c r="E2509" s="184"/>
      <c r="F2509" s="184"/>
      <c r="G2509" s="184"/>
      <c r="H2509" s="184"/>
      <c r="I2509" s="184"/>
      <c r="J2509" s="184"/>
      <c r="K2509" s="184"/>
      <c r="L2509" s="184"/>
      <c r="M2509" s="184"/>
      <c r="N2509" s="184"/>
      <c r="O2509" s="184"/>
      <c r="P2509" s="184"/>
      <c r="Q2509" s="184"/>
      <c r="R2509" s="184"/>
      <c r="S2509" s="184"/>
      <c r="T2509" s="184"/>
      <c r="U2509" s="184"/>
      <c r="V2509" s="184"/>
      <c r="W2509" s="184"/>
      <c r="X2509" s="184"/>
      <c r="Y2509" s="184"/>
      <c r="Z2509" s="184"/>
      <c r="AA2509" s="184"/>
      <c r="AB2509" s="184"/>
      <c r="AC2509" s="184"/>
      <c r="AD2509" s="184"/>
      <c r="AE2509" s="184"/>
      <c r="AF2509" s="184"/>
    </row>
    <row r="2598" spans="2:32" ht="15" customHeight="1" x14ac:dyDescent="0.3">
      <c r="B2598" s="184"/>
      <c r="C2598" s="184"/>
      <c r="D2598" s="184"/>
      <c r="E2598" s="184"/>
      <c r="F2598" s="184"/>
      <c r="G2598" s="184"/>
      <c r="H2598" s="184"/>
      <c r="I2598" s="184"/>
      <c r="J2598" s="184"/>
      <c r="K2598" s="184"/>
      <c r="L2598" s="184"/>
      <c r="M2598" s="184"/>
      <c r="N2598" s="184"/>
      <c r="O2598" s="184"/>
      <c r="P2598" s="184"/>
      <c r="Q2598" s="184"/>
      <c r="R2598" s="184"/>
      <c r="S2598" s="184"/>
      <c r="T2598" s="184"/>
      <c r="U2598" s="184"/>
      <c r="V2598" s="184"/>
      <c r="W2598" s="184"/>
      <c r="X2598" s="184"/>
      <c r="Y2598" s="184"/>
      <c r="Z2598" s="184"/>
      <c r="AA2598" s="184"/>
      <c r="AB2598" s="184"/>
      <c r="AC2598" s="184"/>
      <c r="AD2598" s="184"/>
      <c r="AE2598" s="184"/>
      <c r="AF2598" s="184"/>
    </row>
    <row r="2719" spans="2:32" ht="15" customHeight="1" x14ac:dyDescent="0.3">
      <c r="B2719" s="184"/>
      <c r="C2719" s="184"/>
      <c r="D2719" s="184"/>
      <c r="E2719" s="184"/>
      <c r="F2719" s="184"/>
      <c r="G2719" s="184"/>
      <c r="H2719" s="184"/>
      <c r="I2719" s="184"/>
      <c r="J2719" s="184"/>
      <c r="K2719" s="184"/>
      <c r="L2719" s="184"/>
      <c r="M2719" s="184"/>
      <c r="N2719" s="184"/>
      <c r="O2719" s="184"/>
      <c r="P2719" s="184"/>
      <c r="Q2719" s="184"/>
      <c r="R2719" s="184"/>
      <c r="S2719" s="184"/>
      <c r="T2719" s="184"/>
      <c r="U2719" s="184"/>
      <c r="V2719" s="184"/>
      <c r="W2719" s="184"/>
      <c r="X2719" s="184"/>
      <c r="Y2719" s="184"/>
      <c r="Z2719" s="184"/>
      <c r="AA2719" s="184"/>
      <c r="AB2719" s="184"/>
      <c r="AC2719" s="184"/>
      <c r="AD2719" s="184"/>
      <c r="AE2719" s="184"/>
      <c r="AF2719" s="184"/>
    </row>
    <row r="2837" spans="2:32" ht="15" customHeight="1" x14ac:dyDescent="0.3">
      <c r="B2837" s="184"/>
      <c r="C2837" s="184"/>
      <c r="D2837" s="184"/>
      <c r="E2837" s="184"/>
      <c r="F2837" s="184"/>
      <c r="G2837" s="184"/>
      <c r="H2837" s="184"/>
      <c r="I2837" s="184"/>
      <c r="J2837" s="184"/>
      <c r="K2837" s="184"/>
      <c r="L2837" s="184"/>
      <c r="M2837" s="184"/>
      <c r="N2837" s="184"/>
      <c r="O2837" s="184"/>
      <c r="P2837" s="184"/>
      <c r="Q2837" s="184"/>
      <c r="R2837" s="184"/>
      <c r="S2837" s="184"/>
      <c r="T2837" s="184"/>
      <c r="U2837" s="184"/>
      <c r="V2837" s="184"/>
      <c r="W2837" s="184"/>
      <c r="X2837" s="184"/>
      <c r="Y2837" s="184"/>
      <c r="Z2837" s="184"/>
      <c r="AA2837" s="184"/>
      <c r="AB2837" s="184"/>
      <c r="AC2837" s="184"/>
      <c r="AD2837" s="184"/>
      <c r="AE2837" s="184"/>
      <c r="AF2837" s="184"/>
    </row>
  </sheetData>
  <mergeCells count="20">
    <mergeCell ref="B2419:AF2419"/>
    <mergeCell ref="B2509:AF2509"/>
    <mergeCell ref="B2598:AF2598"/>
    <mergeCell ref="B1945:AF1945"/>
    <mergeCell ref="B2837:AF2837"/>
    <mergeCell ref="B122:AG122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  <mergeCell ref="B2719:AF2719"/>
    <mergeCell ref="B2031:AF2031"/>
    <mergeCell ref="B2153:AF2153"/>
    <mergeCell ref="B2317:AF2317"/>
  </mergeCells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7"/>
  <sheetViews>
    <sheetView workbookViewId="0">
      <selection activeCell="C17" sqref="C17"/>
    </sheetView>
  </sheetViews>
  <sheetFormatPr defaultRowHeight="14.5" x14ac:dyDescent="0.3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ht="29" x14ac:dyDescent="0.35">
      <c r="A1" s="56" t="s">
        <v>2726</v>
      </c>
      <c r="B1" s="51" t="s">
        <v>2627</v>
      </c>
      <c r="C1" s="51" t="s">
        <v>2626</v>
      </c>
      <c r="D1" s="51" t="s">
        <v>2625</v>
      </c>
    </row>
    <row r="2" spans="1:4" x14ac:dyDescent="0.35">
      <c r="A2" t="s">
        <v>2624</v>
      </c>
      <c r="B2" s="196">
        <f>Residential!B56</f>
        <v>0.51461466755750429</v>
      </c>
      <c r="C2" s="196">
        <f t="shared" ref="C2:C7" si="0">$B2</f>
        <v>0.51461466755750429</v>
      </c>
      <c r="D2" s="196">
        <f>Commercial!K12</f>
        <v>0.49247155492438727</v>
      </c>
    </row>
    <row r="3" spans="1:4" x14ac:dyDescent="0.35">
      <c r="A3" t="s">
        <v>2623</v>
      </c>
      <c r="B3" s="196">
        <f>Residential!B56</f>
        <v>0.51461466755750429</v>
      </c>
      <c r="C3" s="196">
        <f t="shared" si="0"/>
        <v>0.51461466755750429</v>
      </c>
      <c r="D3" s="196">
        <f>Commercial!K12</f>
        <v>0.49247155492438727</v>
      </c>
    </row>
    <row r="4" spans="1:4" x14ac:dyDescent="0.35">
      <c r="A4" t="s">
        <v>2622</v>
      </c>
      <c r="B4">
        <v>0</v>
      </c>
      <c r="C4">
        <f t="shared" si="0"/>
        <v>0</v>
      </c>
      <c r="D4">
        <v>0</v>
      </c>
    </row>
    <row r="5" spans="1:4" x14ac:dyDescent="0.35">
      <c r="A5" t="s">
        <v>2621</v>
      </c>
      <c r="B5">
        <v>0</v>
      </c>
      <c r="C5">
        <f t="shared" si="0"/>
        <v>0</v>
      </c>
      <c r="D5">
        <v>0</v>
      </c>
    </row>
    <row r="6" spans="1:4" x14ac:dyDescent="0.35">
      <c r="A6" t="s">
        <v>2620</v>
      </c>
      <c r="B6">
        <v>0</v>
      </c>
      <c r="C6">
        <f t="shared" si="0"/>
        <v>0</v>
      </c>
      <c r="D6">
        <v>0</v>
      </c>
    </row>
    <row r="7" spans="1:4" x14ac:dyDescent="0.35">
      <c r="A7" t="s">
        <v>2619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D7"/>
  <sheetViews>
    <sheetView workbookViewId="0">
      <selection activeCell="N27" sqref="N27"/>
    </sheetView>
  </sheetViews>
  <sheetFormatPr defaultRowHeight="14.5" x14ac:dyDescent="0.3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x14ac:dyDescent="0.35">
      <c r="A1" s="56" t="s">
        <v>2727</v>
      </c>
      <c r="B1" s="51" t="s">
        <v>2627</v>
      </c>
      <c r="C1" s="51" t="s">
        <v>2626</v>
      </c>
      <c r="D1" s="51" t="s">
        <v>2625</v>
      </c>
    </row>
    <row r="2" spans="1:4" x14ac:dyDescent="0.35">
      <c r="A2" t="s">
        <v>2624</v>
      </c>
      <c r="B2" s="195">
        <f>Residential!$B$53</f>
        <v>4.2515926462339789E-4</v>
      </c>
      <c r="C2" s="195">
        <f t="shared" ref="C2:C7" si="0">$B2</f>
        <v>4.2515926462339789E-4</v>
      </c>
      <c r="D2" s="195">
        <f>Commercial!$K$9</f>
        <v>2.4112379226373467E-4</v>
      </c>
    </row>
    <row r="3" spans="1:4" x14ac:dyDescent="0.35">
      <c r="A3" t="s">
        <v>2623</v>
      </c>
      <c r="B3" s="195">
        <f>Residential!$B$53</f>
        <v>4.2515926462339789E-4</v>
      </c>
      <c r="C3" s="195">
        <f t="shared" si="0"/>
        <v>4.2515926462339789E-4</v>
      </c>
      <c r="D3" s="195">
        <f>Commercial!$K$9</f>
        <v>2.4112379226373467E-4</v>
      </c>
    </row>
    <row r="4" spans="1:4" x14ac:dyDescent="0.35">
      <c r="A4" t="s">
        <v>2622</v>
      </c>
      <c r="B4">
        <v>0</v>
      </c>
      <c r="C4">
        <f t="shared" si="0"/>
        <v>0</v>
      </c>
      <c r="D4">
        <v>0</v>
      </c>
    </row>
    <row r="5" spans="1:4" x14ac:dyDescent="0.35">
      <c r="A5" t="s">
        <v>2621</v>
      </c>
      <c r="B5">
        <v>0</v>
      </c>
      <c r="C5">
        <f t="shared" si="0"/>
        <v>0</v>
      </c>
      <c r="D5">
        <v>0</v>
      </c>
    </row>
    <row r="6" spans="1:4" x14ac:dyDescent="0.35">
      <c r="A6" t="s">
        <v>2620</v>
      </c>
      <c r="B6">
        <v>0</v>
      </c>
      <c r="C6">
        <f t="shared" si="0"/>
        <v>0</v>
      </c>
      <c r="D6">
        <v>0</v>
      </c>
    </row>
    <row r="7" spans="1:4" x14ac:dyDescent="0.35">
      <c r="A7" t="s">
        <v>2619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Residential</vt:lpstr>
      <vt:lpstr>Commercial</vt:lpstr>
      <vt:lpstr>County Climates</vt:lpstr>
      <vt:lpstr>CBECS_Table B5</vt:lpstr>
      <vt:lpstr>CBECS_Table B10</vt:lpstr>
      <vt:lpstr>CBECS_Table C4</vt:lpstr>
      <vt:lpstr>State Codes</vt:lpstr>
      <vt:lpstr>AEO22 Table 4</vt:lpstr>
      <vt:lpstr>AEO23 Table 4</vt:lpstr>
      <vt:lpstr>AEO22 Table 5</vt:lpstr>
      <vt:lpstr>AEO23 Table 5</vt:lpstr>
      <vt:lpstr>BRESaC-energy</vt:lpstr>
      <vt:lpstr>BRESaC-cost</vt:lpstr>
      <vt:lpstr>'CBECS_Table B10'!Print_Titles</vt:lpstr>
      <vt:lpstr>'CBECS_Table B5'!Print_Titles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2019-05-24T18:41:25Z</dcterms:created>
  <dcterms:modified xsi:type="dcterms:W3CDTF">2025-12-15T15:53:16Z</dcterms:modified>
</cp:coreProperties>
</file>