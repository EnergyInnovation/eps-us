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DanOBrien\Models\EPS\US\eps-us\.claude\worktrees\retrofit-isic-split\InputData\bldgs\SoBRCbIC\"/>
    </mc:Choice>
  </mc:AlternateContent>
  <xr:revisionPtr revIDLastSave="0" documentId="13_ncr:1_{11FF655D-55BE-4444-9815-051229B28EE4}" xr6:coauthVersionLast="47" xr6:coauthVersionMax="47" xr10:uidLastSave="{00000000-0000-0000-0000-000000000000}"/>
  <bookViews>
    <workbookView xWindow="-120" yWindow="-120" windowWidth="29040" windowHeight="17520" xr2:uid="{00000000-000D-0000-FFFF-FFFF00000000}"/>
  </bookViews>
  <sheets>
    <sheet name="About" sheetId="1" r:id="rId1"/>
    <sheet name="LBNL 2021 Res Costs" sheetId="2" r:id="rId2"/>
    <sheet name="BEEx 2015 MF Costs" sheetId="3" r:id="rId3"/>
    <sheet name="PNNL Office Measures" sheetId="4" r:id="rId4"/>
    <sheet name="BEA 2017 Margins" sheetId="5" r:id="rId5"/>
    <sheet name="NAICS-ISIC Concordance" sheetId="6" r:id="rId6"/>
    <sheet name="EPS Inputs" sheetId="7" r:id="rId7"/>
    <sheet name="Calcs" sheetId="8" r:id="rId8"/>
    <sheet name="Checks" sheetId="9" r:id="rId9"/>
    <sheet name="SoBRCbIC-urbanresidential" sheetId="10" r:id="rId10"/>
    <sheet name="SoBRCbIC-ruralresidential" sheetId="11" r:id="rId11"/>
    <sheet name="SoBRCbIC-commercial"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7" i="12" l="1"/>
  <c r="AZ7" i="12"/>
  <c r="AY7" i="12"/>
  <c r="AX7" i="12"/>
  <c r="AW7" i="12"/>
  <c r="AV7" i="12"/>
  <c r="AU7" i="12"/>
  <c r="AT7" i="12"/>
  <c r="AS7" i="12"/>
  <c r="AR7" i="12"/>
  <c r="AQ7" i="12"/>
  <c r="AP7" i="12"/>
  <c r="AO7" i="12"/>
  <c r="AN7" i="12"/>
  <c r="AM7" i="12"/>
  <c r="AL7" i="12"/>
  <c r="AK7" i="12"/>
  <c r="AJ7" i="12"/>
  <c r="AI7" i="12"/>
  <c r="AH7" i="12"/>
  <c r="AG7" i="12"/>
  <c r="AF7" i="12"/>
  <c r="AE7" i="12"/>
  <c r="AD7" i="12"/>
  <c r="AC7"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BA6" i="12"/>
  <c r="AZ6" i="12"/>
  <c r="AY6" i="12"/>
  <c r="AX6" i="12"/>
  <c r="AW6" i="12"/>
  <c r="AV6" i="12"/>
  <c r="AU6" i="12"/>
  <c r="AT6" i="12"/>
  <c r="AS6" i="12"/>
  <c r="AR6" i="12"/>
  <c r="AQ6" i="12"/>
  <c r="AP6" i="12"/>
  <c r="AO6" i="12"/>
  <c r="AN6" i="12"/>
  <c r="AM6" i="12"/>
  <c r="AL6" i="12"/>
  <c r="AK6" i="12"/>
  <c r="AJ6" i="12"/>
  <c r="AI6" i="12"/>
  <c r="AH6" i="12"/>
  <c r="AG6" i="12"/>
  <c r="AF6" i="12"/>
  <c r="AE6" i="12"/>
  <c r="AD6" i="12"/>
  <c r="AC6"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BA5" i="12"/>
  <c r="AZ5" i="12"/>
  <c r="AY5" i="12"/>
  <c r="AX5" i="12"/>
  <c r="AW5" i="12"/>
  <c r="AV5" i="12"/>
  <c r="AU5" i="12"/>
  <c r="AT5" i="12"/>
  <c r="AS5" i="12"/>
  <c r="AR5" i="12"/>
  <c r="AQ5" i="12"/>
  <c r="AP5" i="12"/>
  <c r="AO5" i="12"/>
  <c r="B17" i="9" s="1"/>
  <c r="C17" i="9" s="1"/>
  <c r="AN5" i="12"/>
  <c r="AM5" i="12"/>
  <c r="AL5" i="12"/>
  <c r="AK5" i="12"/>
  <c r="AJ5" i="12"/>
  <c r="AI5" i="12"/>
  <c r="AH5" i="12"/>
  <c r="AG5" i="12"/>
  <c r="AF5" i="12"/>
  <c r="AE5" i="12"/>
  <c r="AD5" i="12"/>
  <c r="AC5"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BA4" i="12"/>
  <c r="AZ4" i="12"/>
  <c r="AY4" i="12"/>
  <c r="AX4" i="12"/>
  <c r="AW4" i="12"/>
  <c r="AV4" i="12"/>
  <c r="AU4" i="12"/>
  <c r="AT4" i="12"/>
  <c r="AS4" i="12"/>
  <c r="AR4" i="12"/>
  <c r="AQ4" i="12"/>
  <c r="AP4" i="12"/>
  <c r="AO4" i="12"/>
  <c r="AN4" i="12"/>
  <c r="AM4" i="12"/>
  <c r="AL4" i="12"/>
  <c r="AK4" i="12"/>
  <c r="AJ4" i="12"/>
  <c r="AI4" i="12"/>
  <c r="AH4" i="12"/>
  <c r="AG4" i="12"/>
  <c r="AF4" i="12"/>
  <c r="AE4" i="12"/>
  <c r="AD4" i="12"/>
  <c r="AC4"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BA7" i="11"/>
  <c r="AZ7" i="11"/>
  <c r="AY7" i="11"/>
  <c r="AX7" i="11"/>
  <c r="AW7" i="11"/>
  <c r="AV7" i="11"/>
  <c r="AU7" i="11"/>
  <c r="AT7" i="11"/>
  <c r="AS7" i="11"/>
  <c r="AR7" i="11"/>
  <c r="AQ7" i="11"/>
  <c r="AP7" i="11"/>
  <c r="AO7" i="11"/>
  <c r="AN7" i="11"/>
  <c r="AM7" i="11"/>
  <c r="AL7" i="11"/>
  <c r="AK7" i="11"/>
  <c r="AJ7" i="11"/>
  <c r="AI7" i="11"/>
  <c r="AH7" i="11"/>
  <c r="AG7" i="11"/>
  <c r="AF7" i="11"/>
  <c r="AE7" i="11"/>
  <c r="AD7" i="11"/>
  <c r="AC7" i="11"/>
  <c r="AB7" i="11"/>
  <c r="AA7" i="11"/>
  <c r="Z7" i="11"/>
  <c r="Y7" i="11"/>
  <c r="X7" i="11"/>
  <c r="W7" i="11"/>
  <c r="V7" i="11"/>
  <c r="U7" i="11"/>
  <c r="T7" i="11"/>
  <c r="S7" i="11"/>
  <c r="R7" i="11"/>
  <c r="Q7" i="11"/>
  <c r="P7" i="11"/>
  <c r="O7" i="11"/>
  <c r="N7" i="11"/>
  <c r="M7" i="11"/>
  <c r="L7" i="11"/>
  <c r="K7" i="11"/>
  <c r="J7" i="11"/>
  <c r="I7" i="11"/>
  <c r="H7" i="11"/>
  <c r="G7" i="11"/>
  <c r="F7" i="11"/>
  <c r="E7" i="11"/>
  <c r="D7" i="11"/>
  <c r="C7" i="11"/>
  <c r="B7" i="11"/>
  <c r="BA6" i="11"/>
  <c r="AZ6" i="11"/>
  <c r="AY6" i="11"/>
  <c r="AX6" i="11"/>
  <c r="AW6" i="11"/>
  <c r="AV6" i="11"/>
  <c r="AU6" i="11"/>
  <c r="AT6" i="11"/>
  <c r="AS6" i="11"/>
  <c r="AR6" i="11"/>
  <c r="AQ6" i="11"/>
  <c r="AP6" i="11"/>
  <c r="AO6" i="11"/>
  <c r="AN6" i="11"/>
  <c r="AM6" i="11"/>
  <c r="AL6" i="11"/>
  <c r="AK6" i="11"/>
  <c r="AJ6" i="11"/>
  <c r="AI6" i="11"/>
  <c r="AH6" i="11"/>
  <c r="AG6" i="11"/>
  <c r="AF6" i="11"/>
  <c r="AE6" i="11"/>
  <c r="AD6" i="11"/>
  <c r="AC6" i="11"/>
  <c r="AB6" i="11"/>
  <c r="AA6" i="11"/>
  <c r="Z6" i="11"/>
  <c r="Y6" i="11"/>
  <c r="X6" i="11"/>
  <c r="W6" i="11"/>
  <c r="V6" i="11"/>
  <c r="U6" i="11"/>
  <c r="T6" i="11"/>
  <c r="S6" i="11"/>
  <c r="R6" i="11"/>
  <c r="Q6" i="11"/>
  <c r="P6" i="11"/>
  <c r="O6" i="11"/>
  <c r="N6" i="11"/>
  <c r="M6" i="11"/>
  <c r="L6" i="11"/>
  <c r="K6" i="11"/>
  <c r="J6" i="11"/>
  <c r="I6" i="11"/>
  <c r="H6" i="11"/>
  <c r="G6" i="11"/>
  <c r="F6" i="11"/>
  <c r="E6" i="11"/>
  <c r="D6" i="11"/>
  <c r="C6" i="11"/>
  <c r="B6" i="11"/>
  <c r="BA5" i="11"/>
  <c r="AZ5" i="11"/>
  <c r="AY5" i="11"/>
  <c r="AX5" i="11"/>
  <c r="AW5" i="11"/>
  <c r="AV5" i="11"/>
  <c r="AU5" i="11"/>
  <c r="AT5" i="11"/>
  <c r="AS5" i="11"/>
  <c r="AR5" i="11"/>
  <c r="AQ5" i="11"/>
  <c r="AP5" i="11"/>
  <c r="AO5" i="11"/>
  <c r="AN5" i="11"/>
  <c r="AM5" i="11"/>
  <c r="AL5" i="11"/>
  <c r="AK5" i="11"/>
  <c r="AJ5" i="11"/>
  <c r="AI5" i="11"/>
  <c r="AH5" i="11"/>
  <c r="AG5" i="11"/>
  <c r="AF5" i="11"/>
  <c r="AE5" i="11"/>
  <c r="AD5" i="11"/>
  <c r="AC5" i="11"/>
  <c r="AB5" i="11"/>
  <c r="AA5" i="11"/>
  <c r="Z5" i="11"/>
  <c r="Y5" i="11"/>
  <c r="X5" i="11"/>
  <c r="W5" i="11"/>
  <c r="V5" i="11"/>
  <c r="U5" i="11"/>
  <c r="T5" i="11"/>
  <c r="S5" i="11"/>
  <c r="R5" i="11"/>
  <c r="Q5" i="11"/>
  <c r="P5" i="11"/>
  <c r="O5" i="11"/>
  <c r="N5" i="11"/>
  <c r="M5" i="11"/>
  <c r="L5" i="11"/>
  <c r="K5" i="11"/>
  <c r="J5" i="11"/>
  <c r="I5" i="11"/>
  <c r="H5" i="11"/>
  <c r="G5" i="11"/>
  <c r="F5" i="11"/>
  <c r="E5" i="11"/>
  <c r="D5" i="11"/>
  <c r="C5" i="11"/>
  <c r="B5" i="11"/>
  <c r="BA4" i="11"/>
  <c r="AZ4" i="11"/>
  <c r="AY4" i="11"/>
  <c r="AX4" i="11"/>
  <c r="AW4" i="11"/>
  <c r="AV4" i="11"/>
  <c r="AU4" i="11"/>
  <c r="AT4" i="11"/>
  <c r="AS4" i="11"/>
  <c r="AR4" i="11"/>
  <c r="AQ4" i="11"/>
  <c r="AP4" i="11"/>
  <c r="AO4" i="11"/>
  <c r="AN4" i="11"/>
  <c r="AM4" i="11"/>
  <c r="AL4" i="11"/>
  <c r="AK4" i="11"/>
  <c r="AJ4" i="11"/>
  <c r="AI4" i="11"/>
  <c r="AH4" i="11"/>
  <c r="AG4" i="11"/>
  <c r="AF4" i="11"/>
  <c r="AE4" i="11"/>
  <c r="AD4" i="11"/>
  <c r="AC4" i="11"/>
  <c r="AB4" i="11"/>
  <c r="AA4" i="11"/>
  <c r="Z4" i="11"/>
  <c r="Y4" i="11"/>
  <c r="X4" i="11"/>
  <c r="W4" i="11"/>
  <c r="V4" i="11"/>
  <c r="U4" i="11"/>
  <c r="T4" i="11"/>
  <c r="S4" i="11"/>
  <c r="R4" i="11"/>
  <c r="Q4" i="11"/>
  <c r="P4" i="11"/>
  <c r="O4" i="11"/>
  <c r="N4" i="11"/>
  <c r="M4" i="11"/>
  <c r="L4" i="11"/>
  <c r="K4" i="11"/>
  <c r="J4" i="11"/>
  <c r="I4" i="11"/>
  <c r="H4" i="11"/>
  <c r="G4" i="11"/>
  <c r="F4" i="11"/>
  <c r="E4" i="11"/>
  <c r="D4" i="11"/>
  <c r="C4" i="11"/>
  <c r="B4" i="11"/>
  <c r="BA7" i="10"/>
  <c r="AZ7" i="10"/>
  <c r="AY7" i="10"/>
  <c r="AX7" i="10"/>
  <c r="AW7" i="10"/>
  <c r="AV7" i="10"/>
  <c r="AU7" i="10"/>
  <c r="AT7" i="10"/>
  <c r="AS7" i="10"/>
  <c r="AR7" i="10"/>
  <c r="AQ7" i="10"/>
  <c r="AP7" i="10"/>
  <c r="AO7" i="10"/>
  <c r="AN7" i="10"/>
  <c r="AM7" i="10"/>
  <c r="AL7" i="10"/>
  <c r="AK7" i="10"/>
  <c r="AJ7" i="10"/>
  <c r="AI7" i="10"/>
  <c r="AH7" i="10"/>
  <c r="AG7" i="10"/>
  <c r="AF7" i="10"/>
  <c r="AE7" i="10"/>
  <c r="AD7" i="10"/>
  <c r="AC7" i="10"/>
  <c r="AB7" i="10"/>
  <c r="AA7" i="10"/>
  <c r="Z7" i="10"/>
  <c r="Y7" i="10"/>
  <c r="X7" i="10"/>
  <c r="W7" i="10"/>
  <c r="V7" i="10"/>
  <c r="U7" i="10"/>
  <c r="T7" i="10"/>
  <c r="S7" i="10"/>
  <c r="R7" i="10"/>
  <c r="Q7" i="10"/>
  <c r="P7" i="10"/>
  <c r="O7" i="10"/>
  <c r="N7" i="10"/>
  <c r="M7" i="10"/>
  <c r="L7" i="10"/>
  <c r="K7" i="10"/>
  <c r="J7" i="10"/>
  <c r="I7" i="10"/>
  <c r="H7" i="10"/>
  <c r="G7" i="10"/>
  <c r="F7" i="10"/>
  <c r="E7" i="10"/>
  <c r="D7" i="10"/>
  <c r="C7" i="10"/>
  <c r="B7" i="10"/>
  <c r="BA6" i="10"/>
  <c r="AZ6" i="10"/>
  <c r="AY6" i="10"/>
  <c r="AX6" i="10"/>
  <c r="AW6" i="10"/>
  <c r="AV6" i="10"/>
  <c r="AU6" i="10"/>
  <c r="AT6" i="10"/>
  <c r="AS6" i="10"/>
  <c r="AR6" i="10"/>
  <c r="AQ6" i="10"/>
  <c r="AP6" i="10"/>
  <c r="AO6" i="10"/>
  <c r="AN6" i="10"/>
  <c r="AM6" i="10"/>
  <c r="AL6" i="10"/>
  <c r="AK6" i="10"/>
  <c r="AJ6" i="10"/>
  <c r="AI6" i="10"/>
  <c r="AH6" i="10"/>
  <c r="AG6" i="10"/>
  <c r="AF6" i="10"/>
  <c r="AE6" i="10"/>
  <c r="AD6" i="10"/>
  <c r="AC6" i="10"/>
  <c r="AB6" i="10"/>
  <c r="AA6" i="10"/>
  <c r="Z6" i="10"/>
  <c r="Y6" i="10"/>
  <c r="X6" i="10"/>
  <c r="W6" i="10"/>
  <c r="V6" i="10"/>
  <c r="U6" i="10"/>
  <c r="T6" i="10"/>
  <c r="S6" i="10"/>
  <c r="R6" i="10"/>
  <c r="Q6" i="10"/>
  <c r="P6" i="10"/>
  <c r="O6" i="10"/>
  <c r="N6" i="10"/>
  <c r="M6" i="10"/>
  <c r="L6" i="10"/>
  <c r="K6" i="10"/>
  <c r="J6" i="10"/>
  <c r="I6" i="10"/>
  <c r="H6" i="10"/>
  <c r="G6" i="10"/>
  <c r="F6" i="10"/>
  <c r="E6" i="10"/>
  <c r="D6" i="10"/>
  <c r="C6" i="10"/>
  <c r="B6" i="10"/>
  <c r="BA5" i="10"/>
  <c r="AZ5" i="10"/>
  <c r="AY5" i="10"/>
  <c r="AX5" i="10"/>
  <c r="AW5" i="10"/>
  <c r="AV5" i="10"/>
  <c r="AU5" i="10"/>
  <c r="AT5" i="10"/>
  <c r="AS5" i="10"/>
  <c r="AR5" i="10"/>
  <c r="AQ5" i="10"/>
  <c r="AP5" i="10"/>
  <c r="AO5" i="10"/>
  <c r="AN5" i="10"/>
  <c r="AM5" i="10"/>
  <c r="AL5" i="10"/>
  <c r="AK5" i="10"/>
  <c r="AJ5" i="10"/>
  <c r="AI5" i="10"/>
  <c r="AH5" i="10"/>
  <c r="AG5" i="10"/>
  <c r="AF5" i="10"/>
  <c r="AE5" i="10"/>
  <c r="AD5" i="10"/>
  <c r="AC5" i="10"/>
  <c r="AB5" i="10"/>
  <c r="AA5" i="10"/>
  <c r="Z5" i="10"/>
  <c r="Y5" i="10"/>
  <c r="X5" i="10"/>
  <c r="W5" i="10"/>
  <c r="V5" i="10"/>
  <c r="U5" i="10"/>
  <c r="T5" i="10"/>
  <c r="S5" i="10"/>
  <c r="R5" i="10"/>
  <c r="Q5" i="10"/>
  <c r="P5" i="10"/>
  <c r="O5" i="10"/>
  <c r="N5" i="10"/>
  <c r="M5" i="10"/>
  <c r="L5" i="10"/>
  <c r="K5" i="10"/>
  <c r="J5" i="10"/>
  <c r="I5" i="10"/>
  <c r="H5" i="10"/>
  <c r="G5" i="10"/>
  <c r="F5" i="10"/>
  <c r="E5" i="10"/>
  <c r="D5" i="10"/>
  <c r="C5" i="10"/>
  <c r="B5" i="10"/>
  <c r="BA4" i="10"/>
  <c r="AZ4" i="10"/>
  <c r="AY4" i="10"/>
  <c r="AX4" i="10"/>
  <c r="AW4" i="10"/>
  <c r="AV4" i="10"/>
  <c r="AU4" i="10"/>
  <c r="AT4" i="10"/>
  <c r="AS4" i="10"/>
  <c r="AR4" i="10"/>
  <c r="AQ4" i="10"/>
  <c r="AP4" i="10"/>
  <c r="AO4" i="10"/>
  <c r="AN4" i="10"/>
  <c r="AM4" i="10"/>
  <c r="AL4" i="10"/>
  <c r="AK4" i="10"/>
  <c r="AJ4" i="10"/>
  <c r="AI4" i="10"/>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E4" i="10"/>
  <c r="D4" i="10"/>
  <c r="C4" i="10"/>
  <c r="B4" i="10"/>
  <c r="B23" i="9"/>
  <c r="C23" i="9" s="1"/>
  <c r="B22" i="9"/>
  <c r="C22" i="9" s="1"/>
  <c r="B21" i="9"/>
  <c r="C21" i="9" s="1"/>
  <c r="B20" i="9"/>
  <c r="C20" i="9" s="1"/>
  <c r="B19" i="9"/>
  <c r="C19" i="9" s="1"/>
  <c r="B18" i="9"/>
  <c r="C18" i="9" s="1"/>
  <c r="B16" i="9"/>
  <c r="C16" i="9" s="1"/>
  <c r="B13" i="9"/>
  <c r="C13" i="9" s="1"/>
  <c r="B12" i="9"/>
  <c r="C12" i="9" s="1"/>
  <c r="B11" i="9"/>
  <c r="C11" i="9" s="1"/>
  <c r="B10" i="9"/>
  <c r="C10" i="9" s="1"/>
  <c r="B7" i="9"/>
  <c r="C7" i="9" s="1"/>
  <c r="B6" i="9"/>
  <c r="C6" i="9" s="1"/>
  <c r="B5" i="9"/>
  <c r="C5" i="9" s="1"/>
  <c r="B4" i="9"/>
  <c r="C4" i="9" s="1"/>
  <c r="G109" i="8"/>
  <c r="BA3" i="12" s="1"/>
  <c r="F109" i="8"/>
  <c r="BA2" i="12" s="1"/>
  <c r="E109" i="8"/>
  <c r="BA3" i="11" s="1"/>
  <c r="D109" i="8"/>
  <c r="BA2" i="11" s="1"/>
  <c r="C109" i="8"/>
  <c r="BA3" i="10" s="1"/>
  <c r="B109" i="8"/>
  <c r="BA2" i="10" s="1"/>
  <c r="G108" i="8"/>
  <c r="AZ3" i="12" s="1"/>
  <c r="F108" i="8"/>
  <c r="AZ2" i="12" s="1"/>
  <c r="E108" i="8"/>
  <c r="AZ3" i="11" s="1"/>
  <c r="D108" i="8"/>
  <c r="AZ2" i="11" s="1"/>
  <c r="C108" i="8"/>
  <c r="AZ3" i="10" s="1"/>
  <c r="B108" i="8"/>
  <c r="AZ2" i="10" s="1"/>
  <c r="G107" i="8"/>
  <c r="AY3" i="12" s="1"/>
  <c r="F107" i="8"/>
  <c r="AY2" i="12" s="1"/>
  <c r="E107" i="8"/>
  <c r="AY3" i="11" s="1"/>
  <c r="D107" i="8"/>
  <c r="AY2" i="11" s="1"/>
  <c r="C107" i="8"/>
  <c r="AY3" i="10" s="1"/>
  <c r="B107" i="8"/>
  <c r="AY2" i="10" s="1"/>
  <c r="G106" i="8"/>
  <c r="AX3" i="12" s="1"/>
  <c r="F106" i="8"/>
  <c r="AX2" i="12" s="1"/>
  <c r="E106" i="8"/>
  <c r="AX3" i="11" s="1"/>
  <c r="D106" i="8"/>
  <c r="AX2" i="11" s="1"/>
  <c r="C106" i="8"/>
  <c r="AX3" i="10" s="1"/>
  <c r="B106" i="8"/>
  <c r="AX2" i="10" s="1"/>
  <c r="G105" i="8"/>
  <c r="AW3" i="12" s="1"/>
  <c r="F105" i="8"/>
  <c r="AW2" i="12" s="1"/>
  <c r="E105" i="8"/>
  <c r="AW3" i="11" s="1"/>
  <c r="D105" i="8"/>
  <c r="AW2" i="11" s="1"/>
  <c r="C105" i="8"/>
  <c r="AW3" i="10" s="1"/>
  <c r="B105" i="8"/>
  <c r="AW2" i="10" s="1"/>
  <c r="G104" i="8"/>
  <c r="AV3" i="12" s="1"/>
  <c r="F104" i="8"/>
  <c r="AV2" i="12" s="1"/>
  <c r="E104" i="8"/>
  <c r="AV3" i="11" s="1"/>
  <c r="D104" i="8"/>
  <c r="AV2" i="11" s="1"/>
  <c r="C104" i="8"/>
  <c r="AV3" i="10" s="1"/>
  <c r="B104" i="8"/>
  <c r="AV2" i="10" s="1"/>
  <c r="G103" i="8"/>
  <c r="AU3" i="12" s="1"/>
  <c r="F103" i="8"/>
  <c r="AU2" i="12" s="1"/>
  <c r="E103" i="8"/>
  <c r="AU3" i="11" s="1"/>
  <c r="D103" i="8"/>
  <c r="AU2" i="11" s="1"/>
  <c r="C103" i="8"/>
  <c r="AU3" i="10" s="1"/>
  <c r="B103" i="8"/>
  <c r="AU2" i="10" s="1"/>
  <c r="G102" i="8"/>
  <c r="AT3" i="12" s="1"/>
  <c r="F102" i="8"/>
  <c r="AT2" i="12" s="1"/>
  <c r="E102" i="8"/>
  <c r="AT3" i="11" s="1"/>
  <c r="D102" i="8"/>
  <c r="AT2" i="11" s="1"/>
  <c r="C102" i="8"/>
  <c r="AT3" i="10" s="1"/>
  <c r="B102" i="8"/>
  <c r="AT2" i="10" s="1"/>
  <c r="G101" i="8"/>
  <c r="AS3" i="12" s="1"/>
  <c r="F101" i="8"/>
  <c r="AS2" i="12" s="1"/>
  <c r="E101" i="8"/>
  <c r="AS3" i="11" s="1"/>
  <c r="D101" i="8"/>
  <c r="AS2" i="11" s="1"/>
  <c r="C101" i="8"/>
  <c r="AS3" i="10" s="1"/>
  <c r="B101" i="8"/>
  <c r="AS2" i="10" s="1"/>
  <c r="G100" i="8"/>
  <c r="AR3" i="12" s="1"/>
  <c r="F100" i="8"/>
  <c r="AR2" i="12" s="1"/>
  <c r="E100" i="8"/>
  <c r="AR3" i="11" s="1"/>
  <c r="D100" i="8"/>
  <c r="AR2" i="11" s="1"/>
  <c r="C100" i="8"/>
  <c r="AR3" i="10" s="1"/>
  <c r="B100" i="8"/>
  <c r="AR2" i="10" s="1"/>
  <c r="G99" i="8"/>
  <c r="AQ3" i="12" s="1"/>
  <c r="F99" i="8"/>
  <c r="AQ2" i="12" s="1"/>
  <c r="E99" i="8"/>
  <c r="AQ3" i="11" s="1"/>
  <c r="D99" i="8"/>
  <c r="AQ2" i="11" s="1"/>
  <c r="C99" i="8"/>
  <c r="AQ3" i="10" s="1"/>
  <c r="B99" i="8"/>
  <c r="AQ2" i="10" s="1"/>
  <c r="G98" i="8"/>
  <c r="AP3" i="12" s="1"/>
  <c r="F98" i="8"/>
  <c r="AP2" i="12" s="1"/>
  <c r="E98" i="8"/>
  <c r="AP3" i="11" s="1"/>
  <c r="D98" i="8"/>
  <c r="AP2" i="11" s="1"/>
  <c r="C98" i="8"/>
  <c r="AP3" i="10" s="1"/>
  <c r="B98" i="8"/>
  <c r="AP2" i="10" s="1"/>
  <c r="G97" i="8"/>
  <c r="AO3" i="12" s="1"/>
  <c r="F97" i="8"/>
  <c r="AO2" i="12" s="1"/>
  <c r="E97" i="8"/>
  <c r="AO3" i="11" s="1"/>
  <c r="D97" i="8"/>
  <c r="AO2" i="11" s="1"/>
  <c r="C97" i="8"/>
  <c r="AO3" i="10" s="1"/>
  <c r="B97" i="8"/>
  <c r="AO2" i="10" s="1"/>
  <c r="G96" i="8"/>
  <c r="AN3" i="12" s="1"/>
  <c r="F96" i="8"/>
  <c r="AN2" i="12" s="1"/>
  <c r="E96" i="8"/>
  <c r="AN3" i="11" s="1"/>
  <c r="D96" i="8"/>
  <c r="AN2" i="11" s="1"/>
  <c r="C96" i="8"/>
  <c r="AN3" i="10" s="1"/>
  <c r="B96" i="8"/>
  <c r="AN2" i="10" s="1"/>
  <c r="G95" i="8"/>
  <c r="AM3" i="12" s="1"/>
  <c r="F95" i="8"/>
  <c r="AM2" i="12" s="1"/>
  <c r="E95" i="8"/>
  <c r="AM3" i="11" s="1"/>
  <c r="D95" i="8"/>
  <c r="AM2" i="11" s="1"/>
  <c r="C95" i="8"/>
  <c r="AM3" i="10" s="1"/>
  <c r="B95" i="8"/>
  <c r="AM2" i="10" s="1"/>
  <c r="G94" i="8"/>
  <c r="AL3" i="12" s="1"/>
  <c r="F94" i="8"/>
  <c r="AL2" i="12" s="1"/>
  <c r="E94" i="8"/>
  <c r="AL3" i="11" s="1"/>
  <c r="D94" i="8"/>
  <c r="AL2" i="11" s="1"/>
  <c r="C94" i="8"/>
  <c r="AL3" i="10" s="1"/>
  <c r="B94" i="8"/>
  <c r="AL2" i="10" s="1"/>
  <c r="G93" i="8"/>
  <c r="AK3" i="12" s="1"/>
  <c r="F93" i="8"/>
  <c r="AK2" i="12" s="1"/>
  <c r="E93" i="8"/>
  <c r="AK3" i="11" s="1"/>
  <c r="D93" i="8"/>
  <c r="AK2" i="11" s="1"/>
  <c r="C93" i="8"/>
  <c r="AK3" i="10" s="1"/>
  <c r="B93" i="8"/>
  <c r="AK2" i="10" s="1"/>
  <c r="G92" i="8"/>
  <c r="AJ3" i="12" s="1"/>
  <c r="F92" i="8"/>
  <c r="AJ2" i="12" s="1"/>
  <c r="E92" i="8"/>
  <c r="AJ3" i="11" s="1"/>
  <c r="D92" i="8"/>
  <c r="AJ2" i="11" s="1"/>
  <c r="C92" i="8"/>
  <c r="AJ3" i="10" s="1"/>
  <c r="B92" i="8"/>
  <c r="AJ2" i="10" s="1"/>
  <c r="G88" i="8"/>
  <c r="AF3" i="12" s="1"/>
  <c r="F88" i="8"/>
  <c r="AF2" i="12" s="1"/>
  <c r="E88" i="8"/>
  <c r="AF3" i="11" s="1"/>
  <c r="D88" i="8"/>
  <c r="AF2" i="11" s="1"/>
  <c r="C88" i="8"/>
  <c r="AF3" i="10" s="1"/>
  <c r="B88" i="8"/>
  <c r="AF2" i="10" s="1"/>
  <c r="G87" i="8"/>
  <c r="AE3" i="12" s="1"/>
  <c r="F87" i="8"/>
  <c r="AE2" i="12" s="1"/>
  <c r="E87" i="8"/>
  <c r="AE3" i="11" s="1"/>
  <c r="D87" i="8"/>
  <c r="AE2" i="11" s="1"/>
  <c r="C87" i="8"/>
  <c r="AE3" i="10" s="1"/>
  <c r="B87" i="8"/>
  <c r="AE2" i="10" s="1"/>
  <c r="G86" i="8"/>
  <c r="AD3" i="12" s="1"/>
  <c r="F86" i="8"/>
  <c r="AD2" i="12" s="1"/>
  <c r="E86" i="8"/>
  <c r="AD3" i="11" s="1"/>
  <c r="D86" i="8"/>
  <c r="AD2" i="11" s="1"/>
  <c r="C86" i="8"/>
  <c r="AD3" i="10" s="1"/>
  <c r="B86" i="8"/>
  <c r="AD2" i="10" s="1"/>
  <c r="G85" i="8"/>
  <c r="AC3" i="12" s="1"/>
  <c r="F85" i="8"/>
  <c r="AC2" i="12" s="1"/>
  <c r="E85" i="8"/>
  <c r="AC3" i="11" s="1"/>
  <c r="D85" i="8"/>
  <c r="AC2" i="11" s="1"/>
  <c r="C85" i="8"/>
  <c r="AC3" i="10" s="1"/>
  <c r="B85" i="8"/>
  <c r="AC2" i="10" s="1"/>
  <c r="G84" i="8"/>
  <c r="AB3" i="12" s="1"/>
  <c r="F84" i="8"/>
  <c r="AB2" i="12" s="1"/>
  <c r="E84" i="8"/>
  <c r="AB3" i="11" s="1"/>
  <c r="D84" i="8"/>
  <c r="AB2" i="11" s="1"/>
  <c r="C84" i="8"/>
  <c r="AB3" i="10" s="1"/>
  <c r="B84" i="8"/>
  <c r="AB2" i="10" s="1"/>
  <c r="G83" i="8"/>
  <c r="AA3" i="12" s="1"/>
  <c r="F83" i="8"/>
  <c r="AA2" i="12" s="1"/>
  <c r="E83" i="8"/>
  <c r="AA3" i="11" s="1"/>
  <c r="D83" i="8"/>
  <c r="AA2" i="11" s="1"/>
  <c r="C83" i="8"/>
  <c r="AA3" i="10" s="1"/>
  <c r="B83" i="8"/>
  <c r="AA2" i="10" s="1"/>
  <c r="G82" i="8"/>
  <c r="Z3" i="12" s="1"/>
  <c r="F82" i="8"/>
  <c r="Z2" i="12" s="1"/>
  <c r="E82" i="8"/>
  <c r="Z3" i="11" s="1"/>
  <c r="D82" i="8"/>
  <c r="Z2" i="11" s="1"/>
  <c r="C82" i="8"/>
  <c r="Z3" i="10" s="1"/>
  <c r="B82" i="8"/>
  <c r="Z2" i="10" s="1"/>
  <c r="E80" i="8"/>
  <c r="X3" i="11" s="1"/>
  <c r="D80" i="8"/>
  <c r="X2" i="11" s="1"/>
  <c r="C80" i="8"/>
  <c r="X3" i="10" s="1"/>
  <c r="B80" i="8"/>
  <c r="X2" i="10" s="1"/>
  <c r="E79" i="8"/>
  <c r="W3" i="11" s="1"/>
  <c r="D79" i="8"/>
  <c r="W2" i="11" s="1"/>
  <c r="C79" i="8"/>
  <c r="W3" i="10" s="1"/>
  <c r="B79" i="8"/>
  <c r="W2" i="10" s="1"/>
  <c r="E78" i="8"/>
  <c r="V3" i="11" s="1"/>
  <c r="D78" i="8"/>
  <c r="V2" i="11" s="1"/>
  <c r="C78" i="8"/>
  <c r="V3" i="10" s="1"/>
  <c r="B78" i="8"/>
  <c r="V2" i="10" s="1"/>
  <c r="G77" i="8"/>
  <c r="U3" i="12" s="1"/>
  <c r="F77" i="8"/>
  <c r="U2" i="12" s="1"/>
  <c r="E77" i="8"/>
  <c r="U3" i="11" s="1"/>
  <c r="D77" i="8"/>
  <c r="U2" i="11" s="1"/>
  <c r="C77" i="8"/>
  <c r="U3" i="10" s="1"/>
  <c r="B77" i="8"/>
  <c r="U2" i="10" s="1"/>
  <c r="G76" i="8"/>
  <c r="T3" i="12" s="1"/>
  <c r="F76" i="8"/>
  <c r="T2" i="12" s="1"/>
  <c r="E76" i="8"/>
  <c r="T3" i="11" s="1"/>
  <c r="D76" i="8"/>
  <c r="T2" i="11" s="1"/>
  <c r="C76" i="8"/>
  <c r="T3" i="10" s="1"/>
  <c r="B76" i="8"/>
  <c r="T2" i="10" s="1"/>
  <c r="G75" i="8"/>
  <c r="S3" i="12" s="1"/>
  <c r="F75" i="8"/>
  <c r="S2" i="12" s="1"/>
  <c r="E75" i="8"/>
  <c r="S3" i="11" s="1"/>
  <c r="D75" i="8"/>
  <c r="S2" i="11" s="1"/>
  <c r="C75" i="8"/>
  <c r="S3" i="10" s="1"/>
  <c r="B75" i="8"/>
  <c r="S2" i="10" s="1"/>
  <c r="G74" i="8"/>
  <c r="R3" i="12" s="1"/>
  <c r="F74" i="8"/>
  <c r="R2" i="12" s="1"/>
  <c r="E74" i="8"/>
  <c r="R3" i="11" s="1"/>
  <c r="D74" i="8"/>
  <c r="R2" i="11" s="1"/>
  <c r="C74" i="8"/>
  <c r="R3" i="10" s="1"/>
  <c r="B74" i="8"/>
  <c r="R2" i="10" s="1"/>
  <c r="G73" i="8"/>
  <c r="Q3" i="12" s="1"/>
  <c r="F73" i="8"/>
  <c r="Q2" i="12" s="1"/>
  <c r="E73" i="8"/>
  <c r="Q3" i="11" s="1"/>
  <c r="D73" i="8"/>
  <c r="Q2" i="11" s="1"/>
  <c r="C73" i="8"/>
  <c r="Q3" i="10" s="1"/>
  <c r="B73" i="8"/>
  <c r="Q2" i="10" s="1"/>
  <c r="G72" i="8"/>
  <c r="P3" i="12" s="1"/>
  <c r="F72" i="8"/>
  <c r="P2" i="12" s="1"/>
  <c r="E72" i="8"/>
  <c r="P3" i="11" s="1"/>
  <c r="D72" i="8"/>
  <c r="P2" i="11" s="1"/>
  <c r="C72" i="8"/>
  <c r="P3" i="10" s="1"/>
  <c r="B72" i="8"/>
  <c r="P2" i="10" s="1"/>
  <c r="G71" i="8"/>
  <c r="O3" i="12" s="1"/>
  <c r="F71" i="8"/>
  <c r="O2" i="12" s="1"/>
  <c r="E71" i="8"/>
  <c r="O3" i="11" s="1"/>
  <c r="D71" i="8"/>
  <c r="O2" i="11" s="1"/>
  <c r="C71" i="8"/>
  <c r="O3" i="10" s="1"/>
  <c r="B71" i="8"/>
  <c r="O2" i="10" s="1"/>
  <c r="G70" i="8"/>
  <c r="N3" i="12" s="1"/>
  <c r="F70" i="8"/>
  <c r="N2" i="12" s="1"/>
  <c r="E70" i="8"/>
  <c r="N3" i="11" s="1"/>
  <c r="D70" i="8"/>
  <c r="N2" i="11" s="1"/>
  <c r="C70" i="8"/>
  <c r="N3" i="10" s="1"/>
  <c r="B70" i="8"/>
  <c r="N2" i="10" s="1"/>
  <c r="G69" i="8"/>
  <c r="M3" i="12" s="1"/>
  <c r="F69" i="8"/>
  <c r="M2" i="12" s="1"/>
  <c r="E69" i="8"/>
  <c r="M3" i="11" s="1"/>
  <c r="D69" i="8"/>
  <c r="M2" i="11" s="1"/>
  <c r="C69" i="8"/>
  <c r="M3" i="10" s="1"/>
  <c r="B69" i="8"/>
  <c r="M2" i="10" s="1"/>
  <c r="G68" i="8"/>
  <c r="L3" i="12" s="1"/>
  <c r="F68" i="8"/>
  <c r="L2" i="12" s="1"/>
  <c r="E68" i="8"/>
  <c r="L3" i="11" s="1"/>
  <c r="D68" i="8"/>
  <c r="L2" i="11" s="1"/>
  <c r="C68" i="8"/>
  <c r="L3" i="10" s="1"/>
  <c r="B68" i="8"/>
  <c r="L2" i="10" s="1"/>
  <c r="G67" i="8"/>
  <c r="K3" i="12" s="1"/>
  <c r="F67" i="8"/>
  <c r="K2" i="12" s="1"/>
  <c r="E67" i="8"/>
  <c r="K3" i="11" s="1"/>
  <c r="D67" i="8"/>
  <c r="K2" i="11" s="1"/>
  <c r="C67" i="8"/>
  <c r="K3" i="10" s="1"/>
  <c r="B67" i="8"/>
  <c r="K2" i="10" s="1"/>
  <c r="G66" i="8"/>
  <c r="J3" i="12" s="1"/>
  <c r="F66" i="8"/>
  <c r="J2" i="12" s="1"/>
  <c r="E66" i="8"/>
  <c r="J3" i="11" s="1"/>
  <c r="D66" i="8"/>
  <c r="J2" i="11" s="1"/>
  <c r="C66" i="8"/>
  <c r="J3" i="10" s="1"/>
  <c r="B66" i="8"/>
  <c r="J2" i="10" s="1"/>
  <c r="G65" i="8"/>
  <c r="I3" i="12" s="1"/>
  <c r="F65" i="8"/>
  <c r="I2" i="12" s="1"/>
  <c r="E65" i="8"/>
  <c r="I3" i="11" s="1"/>
  <c r="D65" i="8"/>
  <c r="I2" i="11" s="1"/>
  <c r="C65" i="8"/>
  <c r="I3" i="10" s="1"/>
  <c r="B65" i="8"/>
  <c r="I2" i="10" s="1"/>
  <c r="G64" i="8"/>
  <c r="H3" i="12" s="1"/>
  <c r="F64" i="8"/>
  <c r="H2" i="12" s="1"/>
  <c r="E64" i="8"/>
  <c r="H3" i="11" s="1"/>
  <c r="D64" i="8"/>
  <c r="H2" i="11" s="1"/>
  <c r="C64" i="8"/>
  <c r="H3" i="10" s="1"/>
  <c r="B64" i="8"/>
  <c r="H2" i="10" s="1"/>
  <c r="G63" i="8"/>
  <c r="G3" i="12" s="1"/>
  <c r="F63" i="8"/>
  <c r="G2" i="12" s="1"/>
  <c r="E63" i="8"/>
  <c r="G3" i="11" s="1"/>
  <c r="D63" i="8"/>
  <c r="G2" i="11" s="1"/>
  <c r="C63" i="8"/>
  <c r="G3" i="10" s="1"/>
  <c r="B63" i="8"/>
  <c r="G2" i="10" s="1"/>
  <c r="G62" i="8"/>
  <c r="F3" i="12" s="1"/>
  <c r="F62" i="8"/>
  <c r="F2" i="12" s="1"/>
  <c r="E62" i="8"/>
  <c r="F3" i="11" s="1"/>
  <c r="D62" i="8"/>
  <c r="F2" i="11" s="1"/>
  <c r="C62" i="8"/>
  <c r="F3" i="10" s="1"/>
  <c r="B62" i="8"/>
  <c r="F2" i="10" s="1"/>
  <c r="G61" i="8"/>
  <c r="E3" i="12" s="1"/>
  <c r="F61" i="8"/>
  <c r="E2" i="12" s="1"/>
  <c r="E61" i="8"/>
  <c r="E3" i="11" s="1"/>
  <c r="D61" i="8"/>
  <c r="E2" i="11" s="1"/>
  <c r="C61" i="8"/>
  <c r="E3" i="10" s="1"/>
  <c r="B61" i="8"/>
  <c r="E2" i="10" s="1"/>
  <c r="G60" i="8"/>
  <c r="D3" i="12" s="1"/>
  <c r="F60" i="8"/>
  <c r="D2" i="12" s="1"/>
  <c r="E60" i="8"/>
  <c r="D3" i="11" s="1"/>
  <c r="D60" i="8"/>
  <c r="D2" i="11" s="1"/>
  <c r="C60" i="8"/>
  <c r="D3" i="10" s="1"/>
  <c r="B60" i="8"/>
  <c r="D2" i="10" s="1"/>
  <c r="G59" i="8"/>
  <c r="C3" i="12" s="1"/>
  <c r="F59" i="8"/>
  <c r="C2" i="12" s="1"/>
  <c r="E59" i="8"/>
  <c r="C3" i="11" s="1"/>
  <c r="D59" i="8"/>
  <c r="C2" i="11" s="1"/>
  <c r="C59" i="8"/>
  <c r="C3" i="10" s="1"/>
  <c r="B59" i="8"/>
  <c r="C2" i="10" s="1"/>
  <c r="G58" i="8"/>
  <c r="F58" i="8"/>
  <c r="E58" i="8"/>
  <c r="D58" i="8"/>
  <c r="C58" i="8"/>
  <c r="B58" i="8"/>
  <c r="E56" i="8"/>
  <c r="D56" i="8"/>
  <c r="C56" i="8"/>
  <c r="B56" i="8"/>
  <c r="T49" i="8"/>
  <c r="S49" i="8"/>
  <c r="Q49" i="8"/>
  <c r="P49" i="8"/>
  <c r="N49" i="8"/>
  <c r="M49" i="8"/>
  <c r="K49" i="8"/>
  <c r="J49" i="8"/>
  <c r="H49" i="8"/>
  <c r="G49" i="8"/>
  <c r="T48" i="8"/>
  <c r="S48" i="8"/>
  <c r="Q48" i="8"/>
  <c r="P48" i="8"/>
  <c r="N48" i="8"/>
  <c r="M48" i="8"/>
  <c r="K48" i="8"/>
  <c r="J48" i="8"/>
  <c r="H48" i="8"/>
  <c r="G48" i="8"/>
  <c r="T47" i="8"/>
  <c r="S47" i="8"/>
  <c r="Q47" i="8"/>
  <c r="P47" i="8"/>
  <c r="N47" i="8"/>
  <c r="M47" i="8"/>
  <c r="K47" i="8"/>
  <c r="J47" i="8"/>
  <c r="H47" i="8"/>
  <c r="G47" i="8"/>
  <c r="T46" i="8"/>
  <c r="S46" i="8"/>
  <c r="Q46" i="8"/>
  <c r="P46" i="8"/>
  <c r="N46" i="8"/>
  <c r="M46" i="8"/>
  <c r="K46" i="8"/>
  <c r="J46" i="8"/>
  <c r="H46" i="8"/>
  <c r="G46" i="8"/>
  <c r="Y45" i="8"/>
  <c r="X45" i="8"/>
  <c r="W45" i="8"/>
  <c r="T45" i="8"/>
  <c r="S45" i="8"/>
  <c r="Q45" i="8"/>
  <c r="P45" i="8"/>
  <c r="N45" i="8"/>
  <c r="M45" i="8"/>
  <c r="K45" i="8"/>
  <c r="J45" i="8"/>
  <c r="H45" i="8"/>
  <c r="G45" i="8"/>
  <c r="T44" i="8"/>
  <c r="S44" i="8"/>
  <c r="Q44" i="8"/>
  <c r="P44" i="8"/>
  <c r="N44" i="8"/>
  <c r="M44" i="8"/>
  <c r="K44" i="8"/>
  <c r="J44" i="8"/>
  <c r="H44" i="8"/>
  <c r="G44" i="8"/>
  <c r="T41" i="8"/>
  <c r="S41" i="8"/>
  <c r="Q41" i="8"/>
  <c r="P41" i="8"/>
  <c r="N41" i="8"/>
  <c r="M41" i="8"/>
  <c r="K41" i="8"/>
  <c r="J41" i="8"/>
  <c r="H41" i="8"/>
  <c r="G41" i="8"/>
  <c r="Y40" i="8"/>
  <c r="X40" i="8"/>
  <c r="W40" i="8"/>
  <c r="T40" i="8"/>
  <c r="S40" i="8"/>
  <c r="Q40" i="8"/>
  <c r="P40" i="8"/>
  <c r="N40" i="8"/>
  <c r="M40" i="8"/>
  <c r="K40" i="8"/>
  <c r="J40" i="8"/>
  <c r="H40" i="8"/>
  <c r="G40" i="8"/>
  <c r="G36" i="8"/>
  <c r="F36" i="8"/>
  <c r="C36" i="8"/>
  <c r="B36" i="8"/>
  <c r="G35" i="8"/>
  <c r="F35" i="8"/>
  <c r="C35" i="8"/>
  <c r="B35" i="8"/>
  <c r="G34" i="8"/>
  <c r="F34" i="8"/>
  <c r="C34" i="8"/>
  <c r="B34" i="8"/>
  <c r="G33" i="8"/>
  <c r="F33" i="8"/>
  <c r="C33" i="8"/>
  <c r="B33" i="8"/>
  <c r="G32" i="8"/>
  <c r="F32" i="8"/>
  <c r="C32" i="8"/>
  <c r="B32" i="8"/>
  <c r="D32" i="8" s="1"/>
  <c r="G25" i="8"/>
  <c r="F25" i="8"/>
  <c r="E25" i="8"/>
  <c r="D25" i="8"/>
  <c r="I25" i="8" s="1"/>
  <c r="X50" i="8" s="1"/>
  <c r="C25" i="8"/>
  <c r="G24" i="8"/>
  <c r="F24" i="8"/>
  <c r="E24" i="8"/>
  <c r="J24" i="8" s="1"/>
  <c r="Y47" i="8" s="1"/>
  <c r="D24" i="8"/>
  <c r="C24" i="8"/>
  <c r="G23" i="8"/>
  <c r="F23" i="8"/>
  <c r="E23" i="8"/>
  <c r="D23" i="8"/>
  <c r="C23" i="8"/>
  <c r="H23" i="8" s="1"/>
  <c r="G22" i="8"/>
  <c r="F22" i="8"/>
  <c r="E22" i="8"/>
  <c r="D22" i="8"/>
  <c r="I22" i="8" s="1"/>
  <c r="C22" i="8"/>
  <c r="H22" i="8" s="1"/>
  <c r="G21" i="8"/>
  <c r="F21" i="8"/>
  <c r="E21" i="8"/>
  <c r="D21" i="8"/>
  <c r="C21" i="8"/>
  <c r="H21" i="8" s="1"/>
  <c r="B14" i="8"/>
  <c r="B13" i="8"/>
  <c r="J8" i="8"/>
  <c r="I8" i="8"/>
  <c r="H8" i="8"/>
  <c r="G8" i="8"/>
  <c r="F8" i="8"/>
  <c r="E8" i="8"/>
  <c r="D8" i="8"/>
  <c r="B11" i="8" s="1"/>
  <c r="C8" i="8"/>
  <c r="C11" i="8" s="1"/>
  <c r="B8" i="8"/>
  <c r="J7" i="8"/>
  <c r="I7" i="8"/>
  <c r="H7" i="8"/>
  <c r="G7" i="8"/>
  <c r="F7" i="8"/>
  <c r="E7" i="8"/>
  <c r="D7" i="8"/>
  <c r="B10" i="8" s="1"/>
  <c r="C7" i="8"/>
  <c r="C10" i="8" s="1"/>
  <c r="B7" i="8"/>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I24" i="8" l="1"/>
  <c r="X47" i="8" s="1"/>
  <c r="I21" i="8"/>
  <c r="J21" i="8"/>
  <c r="D35" i="8"/>
  <c r="H25" i="8"/>
  <c r="D34" i="8"/>
  <c r="D36" i="8"/>
  <c r="I23" i="8"/>
  <c r="H24" i="8"/>
  <c r="D33" i="8"/>
  <c r="J25" i="8"/>
  <c r="Y50" i="8" s="1"/>
  <c r="J23" i="8"/>
  <c r="J22" i="8"/>
  <c r="T42" i="8"/>
  <c r="T50" i="8"/>
  <c r="T43" i="8"/>
  <c r="S43" i="8"/>
  <c r="S50" i="8"/>
  <c r="S42" i="8"/>
  <c r="Q42" i="8"/>
  <c r="Q50" i="8"/>
  <c r="Q43" i="8"/>
  <c r="P50" i="8"/>
  <c r="P42" i="8"/>
  <c r="P43" i="8"/>
  <c r="N50" i="8"/>
  <c r="N43" i="8"/>
  <c r="N42" i="8"/>
  <c r="M50" i="8"/>
  <c r="M43" i="8"/>
  <c r="M42" i="8"/>
  <c r="K50" i="8"/>
  <c r="K42" i="8"/>
  <c r="K43" i="8"/>
  <c r="J50" i="8"/>
  <c r="J42" i="8"/>
  <c r="J43" i="8"/>
  <c r="H50" i="8"/>
  <c r="H42" i="8"/>
  <c r="H43" i="8"/>
  <c r="G50" i="8"/>
  <c r="G43" i="8"/>
  <c r="G42" i="8"/>
  <c r="R44" i="8"/>
  <c r="R40" i="8"/>
  <c r="R47" i="8"/>
  <c r="R42" i="8"/>
  <c r="R45" i="8"/>
  <c r="R43" i="8"/>
  <c r="R41" i="8"/>
  <c r="O40" i="8"/>
  <c r="O44" i="8"/>
  <c r="O47" i="8"/>
  <c r="O43" i="8"/>
  <c r="O42" i="8"/>
  <c r="O45" i="8"/>
  <c r="O41" i="8"/>
  <c r="L44" i="8"/>
  <c r="L41" i="8"/>
  <c r="L45" i="8"/>
  <c r="L47" i="8"/>
  <c r="L42" i="8"/>
  <c r="L40" i="8"/>
  <c r="L43" i="8"/>
  <c r="I41" i="8"/>
  <c r="I47" i="8"/>
  <c r="I43" i="8"/>
  <c r="I42" i="8"/>
  <c r="I45" i="8"/>
  <c r="I44" i="8"/>
  <c r="F44" i="8"/>
  <c r="F45" i="8"/>
  <c r="F41" i="8"/>
  <c r="F43" i="8"/>
  <c r="F42" i="8"/>
  <c r="B3" i="12"/>
  <c r="B2" i="12"/>
  <c r="B3" i="11"/>
  <c r="B2" i="11"/>
  <c r="B3" i="10"/>
  <c r="B2" i="10"/>
  <c r="B25" i="9"/>
  <c r="C25" i="9" s="1"/>
  <c r="W46" i="8"/>
  <c r="W49" i="8"/>
  <c r="W44" i="8"/>
  <c r="W48" i="8"/>
  <c r="X43" i="8"/>
  <c r="X42" i="8"/>
  <c r="X41" i="8"/>
  <c r="W41" i="8"/>
  <c r="W42" i="8"/>
  <c r="W43" i="8"/>
  <c r="B15" i="8"/>
  <c r="R46" i="8"/>
  <c r="R50" i="8"/>
  <c r="R48" i="8"/>
  <c r="R49" i="8"/>
  <c r="O50" i="8"/>
  <c r="O46" i="8"/>
  <c r="O49" i="8"/>
  <c r="O48" i="8"/>
  <c r="L50" i="8"/>
  <c r="L49" i="8"/>
  <c r="L46" i="8"/>
  <c r="L48" i="8"/>
  <c r="I48" i="8"/>
  <c r="I40" i="8"/>
  <c r="I46" i="8"/>
  <c r="I50" i="8"/>
  <c r="I49" i="8"/>
  <c r="F40" i="8"/>
  <c r="F46" i="8"/>
  <c r="F47" i="8"/>
  <c r="F48" i="8"/>
  <c r="F49" i="8"/>
  <c r="F50" i="8"/>
  <c r="D11" i="8"/>
  <c r="D10" i="8"/>
  <c r="B12" i="8" s="1"/>
  <c r="B16" i="8" s="1"/>
  <c r="B27" i="9" l="1"/>
  <c r="C27" i="9" s="1"/>
  <c r="B31" i="9"/>
  <c r="C31" i="9" s="1"/>
  <c r="W50" i="8"/>
  <c r="X46" i="8"/>
  <c r="X49" i="8"/>
  <c r="X48" i="8"/>
  <c r="X44" i="8"/>
  <c r="B29" i="9"/>
  <c r="C29" i="9" s="1"/>
  <c r="W47" i="8"/>
  <c r="B30" i="9"/>
  <c r="C30" i="9" s="1"/>
  <c r="Y46" i="8"/>
  <c r="Y49" i="8"/>
  <c r="Y44" i="8"/>
  <c r="Y48" i="8"/>
  <c r="Y41" i="8"/>
  <c r="Y43" i="8"/>
  <c r="Y42" i="8"/>
  <c r="B28" i="9"/>
  <c r="C28" i="9" s="1"/>
  <c r="C81" i="8"/>
  <c r="D90" i="8"/>
  <c r="AH2" i="11" s="1"/>
  <c r="B91" i="8"/>
  <c r="AI2" i="10" s="1"/>
  <c r="B26" i="9"/>
  <c r="C26" i="9" s="1"/>
  <c r="B81" i="8"/>
  <c r="E81" i="8"/>
  <c r="E91" i="8"/>
  <c r="AI3" i="11" s="1"/>
  <c r="D81" i="8"/>
  <c r="B89" i="8"/>
  <c r="AG2" i="10" s="1"/>
  <c r="C89" i="8"/>
  <c r="AG3" i="10" s="1"/>
  <c r="D89" i="8"/>
  <c r="AG2" i="11" s="1"/>
  <c r="E89" i="8"/>
  <c r="AG3" i="11" s="1"/>
  <c r="C90" i="8"/>
  <c r="AH3" i="10" s="1"/>
  <c r="D91" i="8"/>
  <c r="AI2" i="11" s="1"/>
  <c r="B90" i="8"/>
  <c r="AH2" i="10" s="1"/>
  <c r="E90" i="8"/>
  <c r="AH3" i="11" s="1"/>
  <c r="C91" i="8"/>
  <c r="AI3" i="10" s="1"/>
  <c r="S51" i="8"/>
  <c r="E36" i="8" s="1"/>
  <c r="P51" i="8"/>
  <c r="E35" i="8" s="1"/>
  <c r="J51" i="8"/>
  <c r="E33" i="8" s="1"/>
  <c r="V50" i="8" s="1"/>
  <c r="M51" i="8"/>
  <c r="E34" i="8" s="1"/>
  <c r="G51" i="8"/>
  <c r="E32" i="8" s="1"/>
  <c r="V46" i="8" l="1"/>
  <c r="U47" i="8"/>
  <c r="C110" i="8"/>
  <c r="Y3" i="10"/>
  <c r="B3" i="9" s="1"/>
  <c r="C3" i="9" s="1"/>
  <c r="B110" i="8"/>
  <c r="Y2" i="10"/>
  <c r="B2" i="9" s="1"/>
  <c r="C2" i="9" s="1"/>
  <c r="E110" i="8"/>
  <c r="Y3" i="11"/>
  <c r="B9" i="9" s="1"/>
  <c r="C9" i="9" s="1"/>
  <c r="D110" i="8"/>
  <c r="Y2" i="11"/>
  <c r="B8" i="9" s="1"/>
  <c r="C8" i="9" s="1"/>
  <c r="V48" i="8"/>
  <c r="U48" i="8"/>
  <c r="V49" i="8"/>
  <c r="U49" i="8"/>
  <c r="V44" i="8"/>
  <c r="V45" i="8"/>
  <c r="U45" i="8"/>
  <c r="V42" i="8"/>
  <c r="U44" i="8"/>
  <c r="U41" i="8"/>
  <c r="U42" i="8"/>
  <c r="V43" i="8"/>
  <c r="V41" i="8"/>
  <c r="U43" i="8"/>
  <c r="U40" i="8"/>
  <c r="V40" i="8"/>
  <c r="U46" i="8"/>
  <c r="V47" i="8"/>
  <c r="U50" i="8"/>
  <c r="V51" i="8" l="1"/>
  <c r="AB47" i="8"/>
  <c r="AA47" i="8"/>
  <c r="Z47" i="8"/>
  <c r="AB48" i="8"/>
  <c r="AA48" i="8"/>
  <c r="Z48" i="8"/>
  <c r="AB49" i="8"/>
  <c r="AA49" i="8"/>
  <c r="Z49" i="8"/>
  <c r="AB45" i="8"/>
  <c r="AA45" i="8"/>
  <c r="Z45" i="8"/>
  <c r="AA44" i="8"/>
  <c r="AB44" i="8"/>
  <c r="Z44" i="8"/>
  <c r="AB41" i="8"/>
  <c r="AA41" i="8"/>
  <c r="Z41" i="8"/>
  <c r="AB42" i="8"/>
  <c r="AA42" i="8"/>
  <c r="Z42" i="8"/>
  <c r="AB43" i="8"/>
  <c r="Z43" i="8"/>
  <c r="AA43" i="8"/>
  <c r="G81" i="8"/>
  <c r="Y3" i="12" s="1"/>
  <c r="F81" i="8"/>
  <c r="Y2" i="12" s="1"/>
  <c r="AA40" i="8"/>
  <c r="U51" i="8"/>
  <c r="Z40" i="8"/>
  <c r="AB40" i="8"/>
  <c r="Z46" i="8"/>
  <c r="AA46" i="8"/>
  <c r="AB46" i="8"/>
  <c r="Z50" i="8"/>
  <c r="AA50" i="8"/>
  <c r="AB50" i="8"/>
  <c r="B24" i="9" l="1"/>
  <c r="C24" i="9" s="1"/>
  <c r="F80" i="8"/>
  <c r="X2" i="12" s="1"/>
  <c r="G80" i="8"/>
  <c r="X3" i="12" s="1"/>
  <c r="F79" i="8"/>
  <c r="W2" i="12" s="1"/>
  <c r="G79" i="8"/>
  <c r="W3" i="12" s="1"/>
  <c r="Z51" i="8"/>
  <c r="G89" i="8"/>
  <c r="AG3" i="12" s="1"/>
  <c r="F89" i="8"/>
  <c r="AG2" i="12" s="1"/>
  <c r="G78" i="8"/>
  <c r="F78" i="8"/>
  <c r="AA51" i="8"/>
  <c r="AB51" i="8"/>
  <c r="V3" i="12" l="1"/>
  <c r="V2" i="12"/>
  <c r="F90" i="8"/>
  <c r="G90" i="8"/>
  <c r="AH3" i="12" s="1"/>
  <c r="G91" i="8"/>
  <c r="F91" i="8"/>
  <c r="AI2" i="12" s="1"/>
  <c r="AH2" i="12" l="1"/>
  <c r="B14" i="9" s="1"/>
  <c r="C14" i="9" s="1"/>
  <c r="F110" i="8"/>
  <c r="AI3" i="12"/>
  <c r="B15" i="9" s="1"/>
  <c r="C15" i="9" s="1"/>
  <c r="G110" i="8"/>
  <c r="C33" i="9" l="1"/>
</calcChain>
</file>

<file path=xl/sharedStrings.xml><?xml version="1.0" encoding="utf-8"?>
<sst xmlns="http://schemas.openxmlformats.org/spreadsheetml/2006/main" count="1317" uniqueCount="450">
  <si>
    <t>SoBRCbIC Shr of Bldg Retrofitting Costs by ISIC Code</t>
  </si>
  <si>
    <t>Sources:</t>
  </si>
  <si>
    <t>Single-family deep retrofit: envelope work vs. heating and cooling equipment</t>
  </si>
  <si>
    <t>Which industry makes each piece of equipment</t>
  </si>
  <si>
    <t>Lawrence Berkeley National Laboratory (Less, Walker, Casquero-Modrego &amp; Rainer)</t>
  </si>
  <si>
    <t>U.S. Census Bureau</t>
  </si>
  <si>
    <t>The Cost of Decarbonization and Energy Upgrade Retrofits for US Homes</t>
  </si>
  <si>
    <t>2017 NAICS to ISIC Rev. 4 concordance</t>
  </si>
  <si>
    <t>https://eta-publications.lbl.gov/sites/default/files/final_walker_-_the_cost_of_decarbonization_and_energy.pdf</t>
  </si>
  <si>
    <t>https://www.census.gov/naics/concordances/2017_NAICS_to_ISIC_4.xlsx</t>
  </si>
  <si>
    <t>Tables 4, 6, 7 and 8 (pp. 24-27), typed on the "LBNL 2021 Res Costs" tab for the two deep-retrofit clusters. Table 7 gives the median cost of each measure category among the projects that had it, and Table 8 the share of projects that had it; multiplying the two gives an expected cost per project. Medians do not add up to the cluster total, so use these only for shares, never as a project cost.</t>
  </si>
  <si>
    <t>Rows for the industries used here are on the "NAICS-ISIC Concordance" tab. Building automation controls map to ISIC 26, motors and drives to 27, pumps, burners and HVAC equipment to 28, and central heating boilers to 25.</t>
  </si>
  <si>
    <t>Which kind of project BRESaC's single-family cost describes</t>
  </si>
  <si>
    <t>Why envelope work and installation count as construction</t>
  </si>
  <si>
    <t>Lawrence Berkeley National Laboratory (Less &amp; Walker)</t>
  </si>
  <si>
    <t>U.S. Bureau of Economic Analysis</t>
  </si>
  <si>
    <t>A Meta-Analysis of Single-Family Deep Energy Retrofit Performance in the U.S.</t>
  </si>
  <si>
    <t>NIPA Handbook, Chapter 6: Private Fixed Investment</t>
  </si>
  <si>
    <t>https://www.osti.gov/servlets/purl/1129577</t>
  </si>
  <si>
    <t>https://www.bea.gov/resources/methodologies/nipa-handbook/pdf/chapter-06.pdf</t>
  </si>
  <si>
    <t>This is the source of BRESaC's single-family cost. It did not record which measures each project installed (p. 6), so it cannot give the split by itself. It does describe the projects: they targeted "all or nearly all building assemblies" (p. 2), fuel switching was "relatively infrequent" (p. 17), and most came from cold-climate envelope programs. No numbers from it are used in this file.</t>
  </si>
  <si>
    <t>Table 6.1: investment in structures includes improvements (additions, alterations and major structural replacements) and equipment that is an integral part of the structure. The construction industry is the seller; its own purchases of insulation, lumber, windows and so on reach the makers through the input-output model. No numbers from it are used.</t>
  </si>
  <si>
    <t>Multifamily retrofit: envelope work vs. heating and cooling equipment</t>
  </si>
  <si>
    <t>Equipment vs. installation shares for heating and cooling equipment</t>
  </si>
  <si>
    <t>Building Energy Exchange</t>
  </si>
  <si>
    <t>EPS input file SoBCaICbIC</t>
  </si>
  <si>
    <t>Evaluating New York City's Multifamily Building Energy Data for Savings Opportunities: Retrofitting Affordability</t>
  </si>
  <si>
    <t>Share of Buildings Capital and Installation Costs by ISIC Code (built from EIA 2018, "Updated Buildings Sector Appliance and Equipment Costs and Efficiencies")</t>
  </si>
  <si>
    <t>https://be-exchange.org/wp-content/uploads/2017/11/BEEx_Retrofitting_Affordability_Update_Nov2015-1.pdf</t>
  </si>
  <si>
    <t>https://www.eia.gov/analysis/studies/buildings/equipcosts/pdf/full.pdf</t>
  </si>
  <si>
    <t>Table 6 (p. 31), typed on the "BEEx 2015 MF Costs" tab: citywide cost of the measures recommended in NYC energy audits, by category. These are audit recommendations for large NYC buildings, not deep retrofits. Domestic hot water, lighting and "other" are left out, as BRESaC does for its multifamily cost.</t>
  </si>
  <si>
    <t>The published SoBCaICbIC values are copied to the "EPS Inputs" tab; the heating and cooling rows give the equipment part of an installed heating or cooling system. Update the tab if SoBCaICbIC changes.</t>
  </si>
  <si>
    <t>Commercial retrofit: equipment and installation cost of each measure</t>
  </si>
  <si>
    <t>Weights that match how BRESaC builds its retrofit cost</t>
  </si>
  <si>
    <t>Pacific Northwest National Laboratory</t>
  </si>
  <si>
    <t>EPS input file BRESaC</t>
  </si>
  <si>
    <t>Advanced Energy Retrofit Guides: Office Buildings (PNNL-20761)</t>
  </si>
  <si>
    <t>Bldg Retrofitting E Savings and Costs</t>
  </si>
  <si>
    <t>https://www.pnnl.gov/main/publications/external/technical_reports/PNNL-20761.pdf</t>
  </si>
  <si>
    <t>https://www.eia.gov/outlooks/aeo/tables_side_xls.php</t>
  </si>
  <si>
    <t>Appendix 10 financial analysis tables for each measure (Equipment Cost and Install Cost columns), and Table 5.3 (p. 78) for which measures make up the deep retrofit package in each climate zone; both on the "PNNL Office Measures" tab. Equipment cost is "equipment and associated materials" with no labor (p. 119). Costs are for one large reference office building in January 2012 dollars and are totals, not increments over a code-minimum replacement. Not a cost survey of the US commercial stock.</t>
  </si>
  <si>
    <t>Household counts (AEO 2026 Table 4) and single-family / multifamily cost per BTU saved; commercial floorspace shares, cost per BTU saved by climate zone, and the list of measures counted. Values are on the "EPS Inputs" tab with the BRESaC cell each came from. Update the tab if BRESaC changes. The URL is AEO's table page.</t>
  </si>
  <si>
    <t>Wholesale, retail and freight markups on equipment bought by contractors</t>
  </si>
  <si>
    <t>Margins, Before Redefinitions, Detail (input-output accounts)</t>
  </si>
  <si>
    <t>https://apps.bea.gov/industry/release/xlsx/Margins_Before_Redefinitions_Detail.xlsx</t>
  </si>
  <si>
    <t>Sheet "2017": rows for the five equipment commodities this file uses, bought by the construction industries (industry codes starting with 23), copied verbatim on the "BEA 2017 Margins" tab. Accessed October 2026. The shares are national averages over all construction purchases of each commodity, not retrofit-specific.</t>
  </si>
  <si>
    <t>Notes:</t>
  </si>
  <si>
    <t>What this file does</t>
  </si>
  <si>
    <t>When the building retrofitting policy is on, the EPS works out how much is spent on retrofits ("Amount Spent on Retrofitting Buildings"). This file says which industries receive that money, so the input-output model can work out the jobs and GDP effects. The retrofit cost is booked against the heating and cooling components, because that is where the energy savings are counted, so those two rows carry the retrofit split. The other rows copy SoBCaICbIC and carry no retrofit spending today.</t>
  </si>
  <si>
    <t>How the workbook is laid out</t>
  </si>
  <si>
    <t>The source tabs hold the published tables (typed from PDFs or copied from spreadsheets). "EPS Inputs" holds values from two other EPS input files. "Calcs" does the work in four sections: A, residential envelope share; B, equipment markups; C, commercial measures; D, the shares by industry. "Checks" should show zero problems. The three dark blue tabs are exported as the CSV files the model reads.</t>
  </si>
  <si>
    <t>The three rules</t>
  </si>
  <si>
    <t>Envelope work (insulation, air sealing, windows, roofing) and all installation labor go to construction (ISIC 41T43), the way the national accounts treat building improvements; the materials contractors buy then reach their makers through the input-output model. Equipment that is actually replaced (heat pumps, controls, motors, pumps, burners) goes to the industry that makes it. Of each equipment dollar, the wholesale and retail markup goes to trade (ISIC 45T47) and freight to transport (ISIC 49), using BEA's 2017 margins for equipment bought by contractors.</t>
  </si>
  <si>
    <t>Residential</t>
  </si>
  <si>
    <t>BRESaC's residential cost blends a single-family deep-retrofit study with a New York multifamily study, weighted by household counts. Here, the single-family envelope share comes from LBNL's 2021 "Superinsulation" cluster, the group of classic envelope-led deep retrofits that matches the projects in BRESaC's single-family source. LBNL's other deep cluster, "Electrification with PV", is mostly heat pumps and solar; you can switch to it with the selector in Calcs!B4 to see how much the split depends on this choice. The multifamily envelope share comes from the NYC audit data. The heating and cooling part is then split into equipment and installation the same way SoBCaICbIC splits a new system.</t>
  </si>
  <si>
    <t>Commercial</t>
  </si>
  <si>
    <t>For each measure BRESaC counts, PNNL gives an equipment cost and an installation cost in five climate zones. Each climate zone is weighted by its share of BRESaC's average cost per BTU (floorspace times cost per BTU), and within a zone each measure by its share of that zone's cost. Commercial heating and cooling get the same split, because the measures serve both. PNNL prices four of the measures (HA13, HA14, HA15 and HW15) as if each one had to upgrade the building's zone controls from pneumatic to digital. A building only does that once, so it is counted once, in HA13, as BRESaC does; the upgrade's cost is HA14 minus HA12, two versions of the same measure with and without it.</t>
  </si>
  <si>
    <t>What is not covered</t>
  </si>
  <si>
    <t>PNNL adds a planning and design allowance of 10% of construction cost for deep retrofit packages (p. 121). BRESaC does not include it, so this file has no professional services share; add one here if BRESaC adds that cost. Multifamily "fuel switching" (oil-to-gas boiler conversions) is treated as heating equipment. The commercial split rests on one reference office building.</t>
  </si>
  <si>
    <t>Less, Walker, Casquero-Modrego &amp; Rainer (2021), "The Cost of Decarbonization and Energy Upgrade Retrofits for US Homes", Lawrence Berkeley National Laboratory. Typed from the report, Tables 4, 6, 7 and 8 (pp. 24-27).</t>
  </si>
  <si>
    <t>Only the two deep-retrofit clusters are transcribed (the report has six). Costs are 2019 dollars, medians across the projects in each cluster.</t>
  </si>
  <si>
    <t>Table 4. Cluster label descriptions</t>
  </si>
  <si>
    <t>Cluster</t>
  </si>
  <si>
    <t>Description</t>
  </si>
  <si>
    <t>Superinsulation</t>
  </si>
  <si>
    <t>Comprehensive deep retrofits focused on aggressive envelope upgrades (e.g. exterior wall insulation; triple pane windows; etc.) with some gas equipment and little or no PV</t>
  </si>
  <si>
    <t>Electrification with PV</t>
  </si>
  <si>
    <t>Equipment electrification projects that include moderate envelope upgrades and PV in all cases</t>
  </si>
  <si>
    <t>Table 6. Median cluster project characteristics</t>
  </si>
  <si>
    <t>Number of projects</t>
  </si>
  <si>
    <t>Number of measures</t>
  </si>
  <si>
    <t>Vintage</t>
  </si>
  <si>
    <t>Floor area (ft2)</t>
  </si>
  <si>
    <t>Project length (months)</t>
  </si>
  <si>
    <t>Total cost ($)</t>
  </si>
  <si>
    <t>Total cost ($/ft2)</t>
  </si>
  <si>
    <t>Table 7. Median category cost for clusters with recorded costs in the measure category ($)</t>
  </si>
  <si>
    <t>PV</t>
  </si>
  <si>
    <t>HVAC</t>
  </si>
  <si>
    <t>House</t>
  </si>
  <si>
    <t>Appliance</t>
  </si>
  <si>
    <t>Doors and Windows</t>
  </si>
  <si>
    <t>Lighting</t>
  </si>
  <si>
    <t>DHW</t>
  </si>
  <si>
    <t>Electrical</t>
  </si>
  <si>
    <t>Seal and Insulate</t>
  </si>
  <si>
    <t>Table 8. Fraction of cluster projects with each measure</t>
  </si>
  <si>
    <t>Building Energy Exchange (2015), "Evaluating New York City's Multifamily Building Energy Data for Savings Opportunities: Retrofitting Affordability". Typed from Table 6, p. 31.</t>
  </si>
  <si>
    <t>Table 6: Potential Source Energy Savings by ECM Category (citywide totals for covered multifamily buildings).</t>
  </si>
  <si>
    <t>Category</t>
  </si>
  <si>
    <t>Potential source energy savings (TBTU)</t>
  </si>
  <si>
    <t>Percent of total source energy potential savings</t>
  </si>
  <si>
    <t>GHG potential reduction (MMT CO2e)</t>
  </si>
  <si>
    <t>Percent of total GHG emissions reduction potential</t>
  </si>
  <si>
    <t>Citywide cost (million $)</t>
  </si>
  <si>
    <t>Percent of citywide cost</t>
  </si>
  <si>
    <t>Payback (years)</t>
  </si>
  <si>
    <t>Kept in BRESaC?
1 = yes (heating; cooling; envelope work)</t>
  </si>
  <si>
    <t>Envelope work?
1 = yes</t>
  </si>
  <si>
    <t>Heating &amp; Distribution</t>
  </si>
  <si>
    <t>Domestic Hot Water</t>
  </si>
  <si>
    <t>Envelope</t>
  </si>
  <si>
    <t>Fuel Switching</t>
  </si>
  <si>
    <t>Ventilation &amp; Cooling</t>
  </si>
  <si>
    <t>Other</t>
  </si>
  <si>
    <t>Total</t>
  </si>
  <si>
    <t>The last two columns are added for this file. BRESaC removed domestic hot water, lighting and other measures from the multifamily costs, so the same categories are left out here.</t>
  </si>
  <si>
    <t>PNNL (2011), "Advanced Energy Retrofit Guides: Office Buildings", PNNL-20761. Appendix 10 financial analysis tables, Equipment Cost and Install Cost columns (January 2012 dollars, one large reference office).</t>
  </si>
  <si>
    <t>Equipment cost is "equipment and associated materials" and excludes labor; install cost is labor (p. 119). Values are total costs, not increments over a code baseline. E7 uses the AEDG-level table.</t>
  </si>
  <si>
    <t>Measure</t>
  </si>
  <si>
    <t>Measure name (PNNL)</t>
  </si>
  <si>
    <t>Appendix page</t>
  </si>
  <si>
    <t>Climate zone</t>
  </si>
  <si>
    <t>Equipment cost ($)</t>
  </si>
  <si>
    <t>Install cost ($)</t>
  </si>
  <si>
    <t>In deep retrofit package (Table 5.3)?
1 = yes</t>
  </si>
  <si>
    <t>E7</t>
  </si>
  <si>
    <t>Add roof insulation (AEDG level)</t>
  </si>
  <si>
    <t>Hot &amp; Humid</t>
  </si>
  <si>
    <t>Hot &amp; Dry</t>
  </si>
  <si>
    <t>Marine</t>
  </si>
  <si>
    <t>Cold</t>
  </si>
  <si>
    <t>Very Cold</t>
  </si>
  <si>
    <t>HA12</t>
  </si>
  <si>
    <t>Lower VAV box minimum flow setpoints (rebalance pneumatic boxes)</t>
  </si>
  <si>
    <t>HA13</t>
  </si>
  <si>
    <t>Widen zone temperature deadband; add conference room standby control (upgrade to DDC zone control)</t>
  </si>
  <si>
    <t>HA14</t>
  </si>
  <si>
    <t>Lower VAV box minimum flow setpoints; reset duct static pressure (upgrade to DDC zone control)</t>
  </si>
  <si>
    <t>HA15</t>
  </si>
  <si>
    <t>Add demand-controlled ventilation</t>
  </si>
  <si>
    <t>HA16</t>
  </si>
  <si>
    <t>Replace supply fan motor and VFD</t>
  </si>
  <si>
    <t>HW7</t>
  </si>
  <si>
    <t>Shut down heating plant when there's no heating load</t>
  </si>
  <si>
    <t>HW8</t>
  </si>
  <si>
    <t>Increase efficiency of condenser water system</t>
  </si>
  <si>
    <t>HW9</t>
  </si>
  <si>
    <t>Increase efficiency of condenser water pumping system</t>
  </si>
  <si>
    <t>HW10</t>
  </si>
  <si>
    <t>Change cooling plant pumping system to variable primary</t>
  </si>
  <si>
    <t>HW12</t>
  </si>
  <si>
    <t>Add a VFD to one chiller</t>
  </si>
  <si>
    <t>HW15</t>
  </si>
  <si>
    <t>Replace boilers and change heating plant pumping system to variable flow primary</t>
  </si>
  <si>
    <t>HW16</t>
  </si>
  <si>
    <t>Replace boiler burners with modulating burners</t>
  </si>
  <si>
    <t>The last column is typed from Table 5.3 (p. 78). HA12 and HW16 are not in the deep package; HA12 is kept because it is the same VAV setpoint measure as HA14 done without upgrading the controls to DDC.</t>
  </si>
  <si>
    <t>Margins, Before Redefinitions, 2017</t>
  </si>
  <si>
    <t>[Millions of dollars]</t>
  </si>
  <si>
    <t>Bureau of Economic Analysis</t>
  </si>
  <si>
    <t>Producers' Value</t>
  </si>
  <si>
    <t>Transportation Costs</t>
  </si>
  <si>
    <t xml:space="preserve">            Trade Margins</t>
  </si>
  <si>
    <t>Purchasers' Value</t>
  </si>
  <si>
    <t>Industry Code</t>
  </si>
  <si>
    <t>Industry Description</t>
  </si>
  <si>
    <t>Commodity Code</t>
  </si>
  <si>
    <t>Commodity Description</t>
  </si>
  <si>
    <t>Wholesale</t>
  </si>
  <si>
    <t>Retail</t>
  </si>
  <si>
    <t>1111A0</t>
  </si>
  <si>
    <t>Oilseed farming</t>
  </si>
  <si>
    <t>8332</t>
  </si>
  <si>
    <t>1105</t>
  </si>
  <si>
    <t>2723</t>
  </si>
  <si>
    <t>0</t>
  </si>
  <si>
    <t>12160</t>
  </si>
  <si>
    <t>Nonresidential maintenance and repair</t>
  </si>
  <si>
    <t>Heating equipment (except warm air furnaces) manufacturing</t>
  </si>
  <si>
    <t>Air conditioning, refrigeration, and warm air heating equipment manufacturing</t>
  </si>
  <si>
    <t>Pump and pumping equipment manufacturing</t>
  </si>
  <si>
    <t>Automatic environmental control manufacturing</t>
  </si>
  <si>
    <t>Motor and generator manufacturing</t>
  </si>
  <si>
    <t>Residential maintenance and repair</t>
  </si>
  <si>
    <t>Health care structures</t>
  </si>
  <si>
    <t>Industrial and commercial fan and blower and air purification equipment manufacturing</t>
  </si>
  <si>
    <t>Relay and industrial control manufacturing</t>
  </si>
  <si>
    <t>Manufacturing structures</t>
  </si>
  <si>
    <t>Power and communication structures</t>
  </si>
  <si>
    <t>Educational and vocational structures</t>
  </si>
  <si>
    <t>2332A0</t>
  </si>
  <si>
    <t>Office and commercial structures</t>
  </si>
  <si>
    <t>2332C0</t>
  </si>
  <si>
    <t>Transportation structures and highways and streets</t>
  </si>
  <si>
    <t>2332D0</t>
  </si>
  <si>
    <t>Other nonresidential structures</t>
  </si>
  <si>
    <t>Single-family residential structures</t>
  </si>
  <si>
    <t>Multifamily residential structures</t>
  </si>
  <si>
    <t>2334A0</t>
  </si>
  <si>
    <t>Other residential structures</t>
  </si>
  <si>
    <t>Rows copied verbatim from BEA "Margins, Before Redefinitions, 2017" (detail, sheet 2017) for the commodities this file uses, keeping only the rows where the buying industry is construction (industry codes starting with 23).</t>
  </si>
  <si>
    <t>U.S. Census Bureau, 2017 NAICS to ISIC Rev. 4 concordance (technical version). Rows for the industries this file uses.</t>
  </si>
  <si>
    <t>Part of NAICS US</t>
  </si>
  <si>
    <t>2017 NAICS US</t>
  </si>
  <si>
    <t>2017 NAICS US title</t>
  </si>
  <si>
    <t>ISIC 4.0</t>
  </si>
  <si>
    <t>ISIC Revision 4.0 title</t>
  </si>
  <si>
    <t>Notes (link content based on NAICS definition; entire NAICS industry if blank)</t>
  </si>
  <si>
    <t>Automatic Environmental Control Manufacturing for Residential, Commercial, and Appliance Use</t>
  </si>
  <si>
    <t>Manufacture of measuring, testing, navigating, and control equipment</t>
  </si>
  <si>
    <t>Motor and Generator Manufacturing</t>
  </si>
  <si>
    <t>Manufacture of electric motors, generators, transformers and electricity distribution and control apparatus</t>
  </si>
  <si>
    <t>Measuring, Dispensing, and Other Pumping Equipment Manufacturing</t>
  </si>
  <si>
    <t>Manufacture of other pumps, compressors, taps and valves</t>
  </si>
  <si>
    <t>*</t>
  </si>
  <si>
    <t>Heating Equipment (except Warm Air Furnaces) Manufacturing</t>
  </si>
  <si>
    <t>Manufacture of tanks, reservoirs and containers of metal</t>
  </si>
  <si>
    <t>central heating boilers and radiators</t>
  </si>
  <si>
    <t>Manufacture of ovens, furnaces and furnace burners</t>
  </si>
  <si>
    <t>except central heating boilers and radiators</t>
  </si>
  <si>
    <t>Air-Conditioning and Warm Air Heating Equipment and Commercial and Industrial Refrigeration Equipment Manufacturing</t>
  </si>
  <si>
    <t>air-conditioning compressors</t>
  </si>
  <si>
    <t>forced air heating furnaces and heat pumps</t>
  </si>
  <si>
    <t>Manufacture of other general-purpose machinery</t>
  </si>
  <si>
    <t>except separate air-conditioning compressors and forced air heating furnaces</t>
  </si>
  <si>
    <t>Residential Remodelers</t>
  </si>
  <si>
    <t>Construction of buildings</t>
  </si>
  <si>
    <t>Plumbing, Heating, and Air-Conditioning Contractors</t>
  </si>
  <si>
    <t>Plumbing, heat and air-conditioning installation</t>
  </si>
  <si>
    <t>except boiler chipping, cleaning, and scaling; industrial furnace and power boiler installation; chimney liner installation</t>
  </si>
  <si>
    <t>Drywall and Insulation Contractors</t>
  </si>
  <si>
    <t>Other construction installation</t>
  </si>
  <si>
    <t>soundproofing and building insulation contractors (wall cavity, attic, for example)</t>
  </si>
  <si>
    <t>Roofing Contractors</t>
  </si>
  <si>
    <t>Other specialized construction activities</t>
  </si>
  <si>
    <t>Electrical Contractors and Other Wiring Installation Contractors</t>
  </si>
  <si>
    <t>Electrical installation</t>
  </si>
  <si>
    <t>Commas in the source titles are kept; this tab is not exported. Census marks rows that cover only part of a NAICS industry with *, and the notes column says which part.</t>
  </si>
  <si>
    <t>Values taken from other EPS input files. Update them if those files change.</t>
  </si>
  <si>
    <t>SoBCaICbIC Share of Buildings Capital and Installation Costs by ISIC Code: urban residential (InputData/bldgs/SoBCaICbIC/SoBCaICbIC-urbanresidential.csv, pasted as published)</t>
  </si>
  <si>
    <t>Unit: dimensionless (%)</t>
  </si>
  <si>
    <t>ISIC 01</t>
  </si>
  <si>
    <t>ISIC 02</t>
  </si>
  <si>
    <t>ISIC 03</t>
  </si>
  <si>
    <t>ISIC 05</t>
  </si>
  <si>
    <t>ISIC 06</t>
  </si>
  <si>
    <t>ISIC 07</t>
  </si>
  <si>
    <t>ISIC 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</si>
  <si>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</si>
  <si>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</si>
  <si>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</si>
  <si>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</si>
  <si>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</si>
  <si>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</si>
  <si>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</si>
  <si>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</si>
  <si>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</si>
  <si>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</si>
  <si>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</si>
  <si>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</si>
  <si>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</si>
  <si>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</si>
  <si>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</si>
  <si>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</si>
  <si>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</si>
  <si>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</si>
  <si>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301</t>
  </si>
  <si>
    <t>ISIC 302T309</t>
  </si>
  <si>
    <t>ISIC 31T33</t>
  </si>
  <si>
    <t>ISIC 351</t>
  </si>
  <si>
    <t>ISIC 352T353</t>
  </si>
  <si>
    <t>ISIC 36T39</t>
  </si>
  <si>
    <t>ISIC 41T43</t>
  </si>
  <si>
    <t>ISIC 45T47</t>
  </si>
  <si>
    <t>ISIC 49</t>
  </si>
  <si>
    <t>ISIC 50</t>
  </si>
  <si>
    <t>ISIC 51</t>
  </si>
  <si>
    <t>ISIC 52</t>
  </si>
  <si>
    <t>ISIC 53</t>
  </si>
  <si>
    <t>ISIC 55T56</t>
  </si>
  <si>
    <t>ISIC 58T60</t>
  </si>
  <si>
    <t>ISIC 61</t>
  </si>
  <si>
    <t>ISIC 62T63</t>
  </si>
  <si>
    <t>ISIC 64T66</t>
  </si>
  <si>
    <t>ISIC 68</t>
  </si>
  <si>
    <t>ISIC 69T75</t>
  </si>
  <si>
    <t>ISIC 77T82</t>
  </si>
  <si>
    <t>ISIC 84</t>
  </si>
  <si>
    <t>ISIC 85</t>
  </si>
  <si>
    <t>ISIC 86T88</t>
  </si>
  <si>
    <t>ISIC 90T93</t>
  </si>
  <si>
    <t>ISIC 94T96</t>
  </si>
  <si>
    <t>ISIC 97T98</t>
  </si>
  <si>
    <t>Heating</t>
  </si>
  <si>
    <t>Cooling</t>
  </si>
  <si>
    <t>Appliances</t>
  </si>
  <si>
    <t>SoBCaICbIC Share of Buildings Capital and Installation Costs by ISIC Code: rural residential (InputData/bldgs/SoBCaICbIC/SoBCaICbIC-ruralresidential.csv, pasted as published)</t>
  </si>
  <si>
    <t>SoBCaICbIC Share of Buildings Capital and Installation Costs by ISIC Code: commercial (InputData/bldgs/SoBCaICbIC/SoBCaICbIC-commercial.csv, pasted as published)</t>
  </si>
  <si>
    <t>BRESaC Retrofitting Cost per Unit Energy Saved: residential inputs (InputData/bldgs/BRESaC/Bldg Retrofitting E Savings and Costs.xlsx)</t>
  </si>
  <si>
    <t>Building group</t>
  </si>
  <si>
    <t>Households (millions), AEO26 Table 4</t>
  </si>
  <si>
    <t>Retrofit cost per unit energy saved ($/BTU)</t>
  </si>
  <si>
    <t>BRESaC cell</t>
  </si>
  <si>
    <t>Single-family</t>
  </si>
  <si>
    <t>'AEO26 Table 4'!E8; 'Residential'!B6</t>
  </si>
  <si>
    <t>Multifamily</t>
  </si>
  <si>
    <t>'AEO26 Table 4'!E9; 'Residential'!C50</t>
  </si>
  <si>
    <t>BRESaC: commercial inputs (same workbook, Commercial tab)</t>
  </si>
  <si>
    <t>Share of commercial floorspace (Commercial!I)</t>
  </si>
  <si>
    <t>Retrofit cost per unit energy saved ($/BTU) (Commercial!N)</t>
  </si>
  <si>
    <t>BRESaC: commercial measures included in the retrofit cost (Commercial tab, columns A, B and F)</t>
  </si>
  <si>
    <t>Measure (as labeled in BRESaC)</t>
  </si>
  <si>
    <t>Included?
1 = yes</t>
  </si>
  <si>
    <t>Measure code</t>
  </si>
  <si>
    <t>E7 Add AEDG roof insulation</t>
  </si>
  <si>
    <t>HA13 Widen Zone Temperature Deadband, Add Conference Room Standby Control (Upgrade To DDC Zone Control)</t>
  </si>
  <si>
    <t>HA14 Lower VAV Box Minimum Flow Setpoints, Reset Duct Static Pressure (Upgrade to DDC Zone Control)</t>
  </si>
  <si>
    <t>HA15 Add Demand Controlled Ventilation</t>
  </si>
  <si>
    <t>HA16 Replace Supply Fan Motor and VFD</t>
  </si>
  <si>
    <t>HW7 Shut Down Heating Plant When There's No Heating Load</t>
  </si>
  <si>
    <t>HW8 Increase Efficiency of Condenser Water System</t>
  </si>
  <si>
    <t>HW9 Increase Efficiency of Condenser Water Pumping System</t>
  </si>
  <si>
    <t>HW10 Change Cooling Plant Pumping System to Variable Primary</t>
  </si>
  <si>
    <t>HW12 Add a VFD to One Chiller</t>
  </si>
  <si>
    <t>HW15 Replace Boilers and Change Heating Plant Pumping System to Variable Flow Primary</t>
  </si>
  <si>
    <t>A. Residential: how much of retrofit spending is envelope work</t>
  </si>
  <si>
    <t>What share of a residential retrofit dollar pays for envelope work (insulation, air sealing, windows) rather than heating and cooling equipment? Answer in B16.</t>
  </si>
  <si>
    <t>Single-family stand-in cluster (pick one)</t>
  </si>
  <si>
    <t>LBNL 2021 cluster that best matches the projects in BRESaC's single-family source (see About).</t>
  </si>
  <si>
    <t>Expected cost per project by category
median cost x share of projects with it ($)</t>
  </si>
  <si>
    <t>Envelope work
house + doors &amp; windows + seal &amp; insulate ($)</t>
  </si>
  <si>
    <t>Heating and cooling equipment
HVAC ($)</t>
  </si>
  <si>
    <t>Envelope share
of envelope + HVAC</t>
  </si>
  <si>
    <t>Single-family envelope share used</t>
  </si>
  <si>
    <t>Multifamily envelope share (BEEx)</t>
  </si>
  <si>
    <t>Envelope cost / cost of the categories BRESaC keeps (heating &amp; distribution, envelope, fuel switching, ventilation &amp; cooling).</t>
  </si>
  <si>
    <t>Single-family weight in BRESaC residential cost</t>
  </si>
  <si>
    <t>BRESaC averages the two $/BTU figures by household count, so each group's share of the average is households x $/BTU.</t>
  </si>
  <si>
    <t>Multifamily weight</t>
  </si>
  <si>
    <t>RESIDENTIAL ENVELOPE SHARE USED IN THE OUTPUT FILE</t>
  </si>
  <si>
    <t>B. Markups on equipment bought by construction contractors (BEA 2017)</t>
  </si>
  <si>
    <t>Of each dollar a contractor pays for a piece of equipment, how much is the manufacturer's price, freight, and wholesale + retail markup?</t>
  </si>
  <si>
    <t>BEA commodity code</t>
  </si>
  <si>
    <t>Commodity</t>
  </si>
  <si>
    <t>Producers' value ($M)</t>
  </si>
  <si>
    <t>Transportation costs ($M)</t>
  </si>
  <si>
    <t>Wholesale margin ($M)</t>
  </si>
  <si>
    <t>Retail margin ($M)</t>
  </si>
  <si>
    <t>Purchasers' value ($M)</t>
  </si>
  <si>
    <t>Manufacturer's share
(to the making industry)</t>
  </si>
  <si>
    <t>Freight share
(to ISIC 49)</t>
  </si>
  <si>
    <t>Wholesale + retail share
(to ISIC 45T47)</t>
  </si>
  <si>
    <t>333415</t>
  </si>
  <si>
    <t>Air conditioning, refrigeration, and warm air heating equipment</t>
  </si>
  <si>
    <t>334512</t>
  </si>
  <si>
    <t>Automatic environmental controls</t>
  </si>
  <si>
    <t>335312</t>
  </si>
  <si>
    <t>Motors and generators</t>
  </si>
  <si>
    <t>333914</t>
  </si>
  <si>
    <t>Pumps and pumping equipment</t>
  </si>
  <si>
    <t>333414</t>
  </si>
  <si>
    <t>Heating equipment (except warm air furnaces)</t>
  </si>
  <si>
    <t>envelope work</t>
  </si>
  <si>
    <t>Envelope work: all of it counts as construction (see About)</t>
  </si>
  <si>
    <t>none</t>
  </si>
  <si>
    <t>No equipment bought (programming change only)</t>
  </si>
  <si>
    <t>BEA rounds each figure to the nearest million dollars, so the four parts can differ slightly from purchasers' value; the shares divide by the sum of the four parts so they add to exactly 100%.</t>
  </si>
  <si>
    <t>C. Commercial: which industries the retrofit measures buy from (PNNL office building)</t>
  </si>
  <si>
    <t>For the measures BRESaC counts, what share of commercial retrofit spending is equipment (by maker) and what share is installation labor? Answers in columns AA-AC.</t>
  </si>
  <si>
    <t>Share of commercial floorspace</t>
  </si>
  <si>
    <t>Share of BRESaC average cost
floorspace x $/BTU</t>
  </si>
  <si>
    <t>Total cost of the counted measures in one building ($)</t>
  </si>
  <si>
    <t>Digital zone control upgrade
equipment ($)
HA14 minus HA12</t>
  </si>
  <si>
    <t>Digital zone control upgrade
installation ($)
HA14 minus HA12</t>
  </si>
  <si>
    <t>HA13, HA14, HA15 and HW15 each include the full upgrade from pneumatic to digital zone controls. It is counted once, in HA13; the other three have it subtracted.</t>
  </si>
  <si>
    <t>BRESaC measure</t>
  </si>
  <si>
    <t>PNNL measure costed</t>
  </si>
  <si>
    <t>Main hardware bought</t>
  </si>
  <si>
    <t>BEA commodity for markups</t>
  </si>
  <si>
    <t>Industry that makes the hardware</t>
  </si>
  <si>
    <t>Hot &amp; Humid
counted? 1 = yes</t>
  </si>
  <si>
    <t>Hot &amp; Humid
equipment ($)</t>
  </si>
  <si>
    <t>Hot &amp; Humid
installation ($)</t>
  </si>
  <si>
    <t>Hot &amp; Dry
counted? 1 = yes</t>
  </si>
  <si>
    <t>Hot &amp; Dry
equipment ($)</t>
  </si>
  <si>
    <t>Hot &amp; Dry
installation ($)</t>
  </si>
  <si>
    <t>Marine
counted? 1 = yes</t>
  </si>
  <si>
    <t>Marine
equipment ($)</t>
  </si>
  <si>
    <t>Marine
installation ($)</t>
  </si>
  <si>
    <t>Cold
counted? 1 = yes</t>
  </si>
  <si>
    <t>Cold
equipment ($)</t>
  </si>
  <si>
    <t>Cold
installation ($)</t>
  </si>
  <si>
    <t>Very Cold
counted? 1 = yes</t>
  </si>
  <si>
    <t>Very Cold
equipment ($)</t>
  </si>
  <si>
    <t>Very Cold
installation ($)</t>
  </si>
  <si>
    <t>EQUIPMENT SHARE OF COMMERCIAL RETROFIT SPENDING</t>
  </si>
  <si>
    <t>INSTALLATION SHARE OF COMMERCIAL RETROFIT SPENDING</t>
  </si>
  <si>
    <t>Manufacturer's share of equipment</t>
  </si>
  <si>
    <t>Freight share</t>
  </si>
  <si>
    <t>Wholesale + retail share</t>
  </si>
  <si>
    <t>TO THE HARDWARE MAKER</t>
  </si>
  <si>
    <t>TO WHOLESALE + RETAIL TRADE (ISIC 45T47)</t>
  </si>
  <si>
    <t>TO FREIGHT (ISIC 49)</t>
  </si>
  <si>
    <t>Roof insulation and new membrane</t>
  </si>
  <si>
    <t>DDC zone controls; occupancy sensors</t>
  </si>
  <si>
    <t>DDC zone controls</t>
  </si>
  <si>
    <t>DDC zone controls; CO2 sensors</t>
  </si>
  <si>
    <t>Supply fan motors and VFDs</t>
  </si>
  <si>
    <t>Programming change only</t>
  </si>
  <si>
    <t>Cooling tower fan motors and VFDs</t>
  </si>
  <si>
    <t>Condenser water pumps and VFDs</t>
  </si>
  <si>
    <t>Pump VFDs and motors; valves; sensors</t>
  </si>
  <si>
    <t>VFD for one chiller compressor</t>
  </si>
  <si>
    <t>Condensing boilers and pumps (DDC upgrade counted under HA13)</t>
  </si>
  <si>
    <t>Total cost of counted measures in one building ($)</t>
  </si>
  <si>
    <t>D. Retrofit spending by receiving industry (heating and cooling rows of the output tabs)</t>
  </si>
  <si>
    <t>Urban residential
heating</t>
  </si>
  <si>
    <t>Urban residential
cooling</t>
  </si>
  <si>
    <t>Rural residential
heating</t>
  </si>
  <si>
    <t>Rural residential
cooling</t>
  </si>
  <si>
    <t>Commercial
heating</t>
  </si>
  <si>
    <t>Commercial
cooling</t>
  </si>
  <si>
    <t>Share of the equipment part that is bought from the HVAC maker (SoBCaICbIC, ISIC 28 column)</t>
  </si>
  <si>
    <t>n/a</t>
  </si>
  <si>
    <t>ISIC code</t>
  </si>
  <si>
    <t>Check</t>
  </si>
  <si>
    <t>Value</t>
  </si>
  <si>
    <t>CHECK: problem?
1 = problem</t>
  </si>
  <si>
    <t>urbanresidential Heating: row sums to 100% (or 0% for rows SoBCaICbIC leaves empty)</t>
  </si>
  <si>
    <t>urbanresidential Cooling: row sums to 100% (or 0% for rows SoBCaICbIC leaves empty)</t>
  </si>
  <si>
    <t>urbanresidential Envelope: row sums to 100% (or 0% for rows SoBCaICbIC leaves empty)</t>
  </si>
  <si>
    <t>urbanresidential Lighting: row sums to 100% (or 0% for rows SoBCaICbIC leaves empty)</t>
  </si>
  <si>
    <t>urbanresidential Appliances: row sums to 100% (or 0% for rows SoBCaICbIC leaves empty)</t>
  </si>
  <si>
    <t>urbanresidential Other: row sums to 100% (or 0% for rows SoBCaICbIC leaves empty)</t>
  </si>
  <si>
    <t>ruralresidential Heating: row sums to 100% (or 0% for rows SoBCaICbIC leaves empty)</t>
  </si>
  <si>
    <t>ruralresidential Cooling: row sums to 100% (or 0% for rows SoBCaICbIC leaves empty)</t>
  </si>
  <si>
    <t>ruralresidential Envelope: row sums to 100% (or 0% for rows SoBCaICbIC leaves empty)</t>
  </si>
  <si>
    <t>ruralresidential Lighting: row sums to 100% (or 0% for rows SoBCaICbIC leaves empty)</t>
  </si>
  <si>
    <t>ruralresidential Appliances: row sums to 100% (or 0% for rows SoBCaICbIC leaves empty)</t>
  </si>
  <si>
    <t>ruralresidential Other: row sums to 100% (or 0% for rows SoBCaICbIC leaves empty)</t>
  </si>
  <si>
    <t>commercial Heating: row sums to 100% (or 0% for rows SoBCaICbIC leaves empty)</t>
  </si>
  <si>
    <t>commercial Cooling: row sums to 100% (or 0% for rows SoBCaICbIC leaves empty)</t>
  </si>
  <si>
    <t>commercial Envelope: row sums to 100% (or 0% for rows SoBCaICbIC leaves empty)</t>
  </si>
  <si>
    <t>commercial Lighting: row sums to 100% (or 0% for rows SoBCaICbIC leaves empty)</t>
  </si>
  <si>
    <t>commercial Appliances: row sums to 100% (or 0% for rows SoBCaICbIC leaves empty)</t>
  </si>
  <si>
    <t>commercial Other: row sums to 100% (or 0% for rows SoBCaICbIC leaves empty)</t>
  </si>
  <si>
    <t>SoBCaICbIC urbanresidential Heating: only ISIC 28 and 41T43 are nonzero (the residential formula assumes it)</t>
  </si>
  <si>
    <t>SoBCaICbIC urbanresidential Cooling: only ISIC 28 and 41T43 are nonzero (the residential formula assumes it)</t>
  </si>
  <si>
    <t>SoBCaICbIC ruralresidential Heating: only ISIC 28 and 41T43 are nonzero (the residential formula assumes it)</t>
  </si>
  <si>
    <t>SoBCaICbIC ruralresidential Cooling: only ISIC 28 and 41T43 are nonzero (the residential formula assumes it)</t>
  </si>
  <si>
    <t>Commercial equipment + installation shares add to 100%</t>
  </si>
  <si>
    <t>Commercial climate weights add to 100%</t>
  </si>
  <si>
    <t>Residential envelope share is between 0 and 100%</t>
  </si>
  <si>
    <t>BEA 333415: producer + freight + trade shares add to 100%</t>
  </si>
  <si>
    <t>BEA 334512: producer + freight + trade shares add to 100%</t>
  </si>
  <si>
    <t>BEA 335312: producer + freight + trade shares add to 100%</t>
  </si>
  <si>
    <t>BEA 333914: producer + freight + trade shares add to 100%</t>
  </si>
  <si>
    <t>BEA 333414: producer + freight + trade shares add to 100%</t>
  </si>
  <si>
    <t>Number of problems (should be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</si>
</sst>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
  </numFmts>
  <fonts count="3" x14ac:knownFonts="1">
    <font>
      <sz val="11"/>
      <color theme="1"/>
      <name val="Calibri"/>
      <family val="2"/>
      <scheme val="minor"/>
    </font>
    <font>
      <b/>
      <sz val="11"/>
      <name val="Calibri"/>
    </font>
    <font>
      <u/>
      <sz val="11"/>
      <color rgb="FF0563C1"/>
      <name val="Calibri"/>
    </font>
  </fonts>
  <fills count="5">
    <fill>
      <patternFill patternType="none"/>
    </fill>
    <fill>
      <patternFill patternType="gray125"/>
    </fill>
    <fill>
      <patternFill patternType="solid">
        <fgColor rgb="FFDDEBF7"/>
        <bgColor rgb="FFDDEBF7"/>
      </patternFill>
    </fill>
    <fill>
      <patternFill patternType="solid">
        <fgColor rgb="FFFFF2CC"/>
        <bgColor rgb="FFFFF2CC"/>
      </patternFill>
    </fill>
    <fill>
      <patternFill patternType="solid">
        <fgColor rgb="FFD9D9D9"/>
        <bgColor rgb="FFD9D9D9"/>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4"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center" vertical="top" wrapText="1"/>
    </xf>
    <xf numFmtId="3" fontId="0" fillId="0" borderId="0" xfId="0" applyNumberFormat="1"/>
    <xf numFmtId="9" fontId="0" fillId="0" borderId="0" xfId="0" applyNumberFormat="1"/>
    <xf numFmtId="0" fontId="1" fillId="2" borderId="0" xfId="0" applyFont="1" applyFill="1"/>
    <xf numFmtId="0" fontId="0" fillId="2" borderId="0" xfId="0" applyFill="1"/>
    <xf numFmtId="0" fontId="0" fillId="0" borderId="0" xfId="0" applyAlignment="1">
      <alignment vertical="top"/>
    </xf>
    <xf numFmtId="0" fontId="0" fillId="3" borderId="0" xfId="0" applyFill="1"/>
    <xf numFmtId="164" fontId="0" fillId="0" borderId="0" xfId="0" applyNumberFormat="1"/>
    <xf numFmtId="164" fontId="1" fillId="0" borderId="0" xfId="0" applyNumberFormat="1" applyFont="1"/>
    <xf numFmtId="165"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eia.gov/outlooks/aeo/tables_side_xls.php" TargetMode="External"/><Relationship Id="rId3" Type="http://schemas.openxmlformats.org/officeDocument/2006/relationships/hyperlink" Target="https://www.osti.gov/servlets/purl/1129577" TargetMode="External"/><Relationship Id="rId7" Type="http://schemas.openxmlformats.org/officeDocument/2006/relationships/hyperlink" Target="https://www.pnnl.gov/main/publications/external/technical_reports/PNNL-20761.pdf" TargetMode="External"/><Relationship Id="rId2" Type="http://schemas.openxmlformats.org/officeDocument/2006/relationships/hyperlink" Target="https://www.census.gov/naics/concordances/2017_NAICS_to_ISIC_4.xlsx" TargetMode="External"/><Relationship Id="rId1" Type="http://schemas.openxmlformats.org/officeDocument/2006/relationships/hyperlink" Target="https://eta-publications.lbl.gov/sites/default/files/final_walker_-_the_cost_of_decarbonization_and_energy.pdf" TargetMode="External"/><Relationship Id="rId6" Type="http://schemas.openxmlformats.org/officeDocument/2006/relationships/hyperlink" Target="https://www.eia.gov/analysis/studies/buildings/equipcosts/pdf/full.pdf" TargetMode="External"/><Relationship Id="rId5" Type="http://schemas.openxmlformats.org/officeDocument/2006/relationships/hyperlink" Target="https://be-exchange.org/wp-content/uploads/2017/11/BEEx_Retrofitting_Affordability_Update_Nov2015-1.pdf" TargetMode="External"/><Relationship Id="rId4" Type="http://schemas.openxmlformats.org/officeDocument/2006/relationships/hyperlink" Target="https://www.bea.gov/resources/methodologies/nipa-handbook/pdf/chapter-06.pdf" TargetMode="External"/><Relationship Id="rId9" Type="http://schemas.openxmlformats.org/officeDocument/2006/relationships/hyperlink" Target="https://apps.bea.gov/industry/release/xlsx/Margins_Before_Redefinitions_Detail.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tabSelected="1" workbookViewId="0"/>
  </sheetViews>
  <sheetFormatPr defaultRowHeight="15" x14ac:dyDescent="0.25"/>
  <cols>
    <col min="1" max="1" width="14" customWidth="1"/>
    <col min="2" max="2" width="110" customWidth="1"/>
    <col min="3" max="3" width="3" customWidth="1"/>
    <col min="4" max="4" width="110" customWidth="1"/>
  </cols>
  <sheetData>
    <row r="1" spans="1:4" x14ac:dyDescent="0.25">
      <c r="A1" s="1" t="s">
        <v>0</v>
      </c>
    </row>
    <row r="3" spans="1:4" x14ac:dyDescent="0.25">
      <c r="A3" s="1" t="s">
        <v>1</v>
      </c>
      <c r="B3" s="2" t="s">
        <v>2</v>
      </c>
      <c r="D3" s="2" t="s">
        <v>3</v>
      </c>
    </row>
    <row r="4" spans="1:4" x14ac:dyDescent="0.25">
      <c r="B4" s="3" t="s">
        <v>4</v>
      </c>
      <c r="D4" s="3" t="s">
        <v>5</v>
      </c>
    </row>
    <row r="5" spans="1:4" x14ac:dyDescent="0.25">
      <c r="B5" s="3" t="s">
        <v>6</v>
      </c>
      <c r="D5" s="3" t="s">
        <v>7</v>
      </c>
    </row>
    <row r="6" spans="1:4" x14ac:dyDescent="0.25">
      <c r="B6" s="3">
        <v>2021</v>
      </c>
      <c r="D6" s="3">
        <v>2017</v>
      </c>
    </row>
    <row r="7" spans="1:4" x14ac:dyDescent="0.25">
      <c r="B7" s="4" t="s">
        <v>8</v>
      </c>
      <c r="D7" s="4" t="s">
        <v>9</v>
      </c>
    </row>
    <row r="8" spans="1:4" ht="60" x14ac:dyDescent="0.25">
      <c r="B8" s="3" t="s">
        <v>10</v>
      </c>
      <c r="D8" s="3" t="s">
        <v>11</v>
      </c>
    </row>
    <row r="10" spans="1:4" x14ac:dyDescent="0.25">
      <c r="B10" s="2" t="s">
        <v>12</v>
      </c>
      <c r="D10" s="2" t="s">
        <v>13</v>
      </c>
    </row>
    <row r="11" spans="1:4" x14ac:dyDescent="0.25">
      <c r="B11" s="3" t="s">
        <v>14</v>
      </c>
      <c r="D11" s="3" t="s">
        <v>15</v>
      </c>
    </row>
    <row r="12" spans="1:4" x14ac:dyDescent="0.25">
      <c r="B12" s="3" t="s">
        <v>16</v>
      </c>
      <c r="D12" s="3" t="s">
        <v>17</v>
      </c>
    </row>
    <row r="13" spans="1:4" x14ac:dyDescent="0.25">
      <c r="B13" s="3">
        <v>2014</v>
      </c>
      <c r="D13" s="3">
        <v>2024</v>
      </c>
    </row>
    <row r="14" spans="1:4" x14ac:dyDescent="0.25">
      <c r="B14" s="4" t="s">
        <v>18</v>
      </c>
      <c r="D14" s="4" t="s">
        <v>19</v>
      </c>
    </row>
    <row r="15" spans="1:4" ht="60" x14ac:dyDescent="0.25">
      <c r="B15" s="3" t="s">
        <v>20</v>
      </c>
      <c r="D15" s="3" t="s">
        <v>21</v>
      </c>
    </row>
    <row r="17" spans="2:4" x14ac:dyDescent="0.25">
      <c r="B17" s="2" t="s">
        <v>22</v>
      </c>
      <c r="D17" s="2" t="s">
        <v>23</v>
      </c>
    </row>
    <row r="18" spans="2:4" x14ac:dyDescent="0.25">
      <c r="B18" s="3" t="s">
        <v>24</v>
      </c>
      <c r="D18" s="3" t="s">
        <v>25</v>
      </c>
    </row>
    <row r="19" spans="2:4" ht="30" x14ac:dyDescent="0.25">
      <c r="B19" s="3" t="s">
        <v>26</v>
      </c>
      <c r="D19" s="3" t="s">
        <v>27</v>
      </c>
    </row>
    <row r="20" spans="2:4" x14ac:dyDescent="0.25">
      <c r="B20" s="3">
        <v>2015</v>
      </c>
      <c r="D20" s="3">
        <v>2026</v>
      </c>
    </row>
    <row r="21" spans="2:4" x14ac:dyDescent="0.25">
      <c r="B21" s="4" t="s">
        <v>28</v>
      </c>
      <c r="D21" s="4" t="s">
        <v>29</v>
      </c>
    </row>
    <row r="22" spans="2:4" ht="45" x14ac:dyDescent="0.25">
      <c r="B22" s="3" t="s">
        <v>30</v>
      </c>
      <c r="D22" s="3" t="s">
        <v>31</v>
      </c>
    </row>
    <row r="24" spans="2:4" x14ac:dyDescent="0.25">
      <c r="B24" s="2" t="s">
        <v>32</v>
      </c>
      <c r="D24" s="2" t="s">
        <v>33</v>
      </c>
    </row>
    <row r="25" spans="2:4" x14ac:dyDescent="0.25">
      <c r="B25" s="3" t="s">
        <v>34</v>
      </c>
      <c r="D25" s="3" t="s">
        <v>35</v>
      </c>
    </row>
    <row r="26" spans="2:4" x14ac:dyDescent="0.25">
      <c r="B26" s="3" t="s">
        <v>36</v>
      </c>
      <c r="D26" s="3" t="s">
        <v>37</v>
      </c>
    </row>
    <row r="27" spans="2:4" x14ac:dyDescent="0.25">
      <c r="B27" s="3">
        <v>2011</v>
      </c>
      <c r="D27" s="3">
        <v>2026</v>
      </c>
    </row>
    <row r="28" spans="2:4" x14ac:dyDescent="0.25">
      <c r="B28" s="4" t="s">
        <v>38</v>
      </c>
      <c r="D28" s="4" t="s">
        <v>39</v>
      </c>
    </row>
    <row r="29" spans="2:4" ht="75" x14ac:dyDescent="0.25">
      <c r="B29" s="3" t="s">
        <v>40</v>
      </c>
      <c r="D29" s="3" t="s">
        <v>41</v>
      </c>
    </row>
    <row r="31" spans="2:4" x14ac:dyDescent="0.25">
      <c r="B31" s="2" t="s">
        <v>42</v>
      </c>
    </row>
    <row r="32" spans="2:4" x14ac:dyDescent="0.25">
      <c r="B32" s="3" t="s">
        <v>15</v>
      </c>
    </row>
    <row r="33" spans="1:2" x14ac:dyDescent="0.25">
      <c r="B33" s="3" t="s">
        <v>43</v>
      </c>
    </row>
    <row r="34" spans="1:2" x14ac:dyDescent="0.25">
      <c r="B34" s="3">
        <v>2017</v>
      </c>
    </row>
    <row r="35" spans="1:2" x14ac:dyDescent="0.25">
      <c r="B35" s="4" t="s">
        <v>44</v>
      </c>
    </row>
    <row r="36" spans="1:2" ht="45" x14ac:dyDescent="0.25">
      <c r="B36" s="3" t="s">
        <v>45</v>
      </c>
    </row>
    <row r="39" spans="1:2" x14ac:dyDescent="0.25">
      <c r="A39" s="1" t="s">
        <v>46</v>
      </c>
    </row>
    <row r="40" spans="1:2" ht="75" x14ac:dyDescent="0.25">
      <c r="A40" s="5" t="s">
        <v>47</v>
      </c>
      <c r="B40" s="3" t="s">
        <v>48</v>
      </c>
    </row>
    <row r="41" spans="1:2" ht="60" x14ac:dyDescent="0.25">
      <c r="A41" s="5" t="s">
        <v>49</v>
      </c>
      <c r="B41" s="3" t="s">
        <v>50</v>
      </c>
    </row>
    <row r="42" spans="1:2" ht="75" x14ac:dyDescent="0.25">
      <c r="A42" s="5" t="s">
        <v>51</v>
      </c>
      <c r="B42" s="3" t="s">
        <v>52</v>
      </c>
    </row>
    <row r="43" spans="1:2" ht="90" x14ac:dyDescent="0.25">
      <c r="A43" s="5" t="s">
        <v>53</v>
      </c>
      <c r="B43" s="3" t="s">
        <v>54</v>
      </c>
    </row>
    <row r="44" spans="1:2" ht="90" x14ac:dyDescent="0.25">
      <c r="A44" s="5" t="s">
        <v>55</v>
      </c>
      <c r="B44" s="3" t="s">
        <v>56</v>
      </c>
    </row>
    <row r="45" spans="1:2" ht="60" x14ac:dyDescent="0.25">
      <c r="A45" s="5" t="s">
        <v>57</v>
      </c>
      <c r="B45" s="3" t="s">
        <v>58</v>
      </c>
    </row>
  </sheetData>
  <hyperlinks>
    <hyperlink ref="B7" r:id="rId1" xr:uid="{00000000-0004-0000-0000-000000000000}"/>
    <hyperlink ref="D7" r:id="rId2" xr:uid="{00000000-0004-0000-0000-000001000000}"/>
    <hyperlink ref="B14" r:id="rId3" xr:uid="{00000000-0004-0000-0000-000002000000}"/>
    <hyperlink ref="D14" r:id="rId4" xr:uid="{00000000-0004-0000-0000-000003000000}"/>
    <hyperlink ref="B21" r:id="rId5" xr:uid="{00000000-0004-0000-0000-000004000000}"/>
    <hyperlink ref="D21" r:id="rId6" xr:uid="{00000000-0004-0000-0000-000005000000}"/>
    <hyperlink ref="B28" r:id="rId7" xr:uid="{00000000-0004-0000-0000-000006000000}"/>
    <hyperlink ref="D28" r:id="rId8" xr:uid="{00000000-0004-0000-0000-000007000000}"/>
    <hyperlink ref="B35" r:id="rId9" xr:uid="{00000000-0004-0000-0000-000008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2"/>
  <sheetViews>
    <sheetView workbookViewId="0"/>
  </sheetViews>
  <sheetFormatPr defaultRowHeight="15" x14ac:dyDescent="0.25"/>
  <cols>
    <col min="1" max="1" width="24" customWidth="1"/>
    <col min="2" max="10" width="13" customWidth="1"/>
  </cols>
  <sheetData>
    <row r="1" spans="1:10" x14ac:dyDescent="0.25">
      <c r="A1" s="1" t="s">
        <v>59</v>
      </c>
    </row>
    <row r="2" spans="1:10" x14ac:dyDescent="0.25">
      <c r="A2" t="s">
        <v>60</v>
      </c>
    </row>
    <row r="4" spans="1:10" x14ac:dyDescent="0.25">
      <c r="A4" s="1" t="s">
        <v>61</v>
      </c>
    </row>
    <row r="5" spans="1:10" ht="18" customHeight="1" x14ac:dyDescent="0.25">
      <c r="A5" s="6" t="s">
        <v>62</v>
      </c>
      <c r="B5" s="6" t="s">
        <v>63</v>
      </c>
    </row>
    <row r="6" spans="1:10" x14ac:dyDescent="0.25">
      <c r="A6" t="s">
        <v>64</v>
      </c>
      <c r="B6" t="s">
        <v>65</v>
      </c>
    </row>
    <row r="7" spans="1:10" x14ac:dyDescent="0.25">
      <c r="A7" t="s">
        <v>66</v>
      </c>
      <c r="B7" t="s">
        <v>67</v>
      </c>
    </row>
    <row r="9" spans="1:10" x14ac:dyDescent="0.25">
      <c r="A9" s="1" t="s">
        <v>68</v>
      </c>
    </row>
    <row r="10" spans="1:10" ht="48" customHeight="1" x14ac:dyDescent="0.25">
      <c r="A10" s="6" t="s">
        <v>62</v>
      </c>
      <c r="B10" s="6" t="s">
        <v>69</v>
      </c>
      <c r="C10" s="6" t="s">
        <v>70</v>
      </c>
      <c r="D10" s="6" t="s">
        <v>71</v>
      </c>
      <c r="E10" s="6" t="s">
        <v>72</v>
      </c>
      <c r="F10" s="6" t="s">
        <v>73</v>
      </c>
      <c r="G10" s="6" t="s">
        <v>74</v>
      </c>
      <c r="H10" s="6" t="s">
        <v>75</v>
      </c>
    </row>
    <row r="11" spans="1:10" x14ac:dyDescent="0.25">
      <c r="A11" t="s">
        <v>64</v>
      </c>
      <c r="B11">
        <v>15</v>
      </c>
      <c r="C11">
        <v>16</v>
      </c>
      <c r="D11">
        <v>1941</v>
      </c>
      <c r="E11">
        <v>1670</v>
      </c>
      <c r="F11">
        <v>15</v>
      </c>
      <c r="G11">
        <v>109059</v>
      </c>
      <c r="H11">
        <v>57</v>
      </c>
    </row>
    <row r="12" spans="1:10" x14ac:dyDescent="0.25">
      <c r="A12" t="s">
        <v>66</v>
      </c>
      <c r="B12">
        <v>43</v>
      </c>
      <c r="C12">
        <v>10</v>
      </c>
      <c r="D12">
        <v>1953</v>
      </c>
      <c r="E12">
        <v>1987</v>
      </c>
      <c r="F12">
        <v>4</v>
      </c>
      <c r="G12">
        <v>54098</v>
      </c>
      <c r="H12">
        <v>28</v>
      </c>
    </row>
    <row r="14" spans="1:10" x14ac:dyDescent="0.25">
      <c r="A14" s="1" t="s">
        <v>76</v>
      </c>
    </row>
    <row r="15" spans="1:10" ht="32.1" customHeight="1" x14ac:dyDescent="0.25">
      <c r="A15" s="6" t="s">
        <v>62</v>
      </c>
      <c r="B15" s="6" t="s">
        <v>77</v>
      </c>
      <c r="C15" s="6" t="s">
        <v>78</v>
      </c>
      <c r="D15" s="6" t="s">
        <v>79</v>
      </c>
      <c r="E15" s="6" t="s">
        <v>80</v>
      </c>
      <c r="F15" s="6" t="s">
        <v>81</v>
      </c>
      <c r="G15" s="6" t="s">
        <v>82</v>
      </c>
      <c r="H15" s="6" t="s">
        <v>83</v>
      </c>
      <c r="I15" s="6" t="s">
        <v>84</v>
      </c>
      <c r="J15" s="6" t="s">
        <v>85</v>
      </c>
    </row>
    <row r="16" spans="1:10" x14ac:dyDescent="0.25">
      <c r="A16" t="s">
        <v>64</v>
      </c>
      <c r="B16" s="7">
        <v>29262</v>
      </c>
      <c r="C16" s="7">
        <v>13722</v>
      </c>
      <c r="D16" s="7">
        <v>34581</v>
      </c>
      <c r="E16" s="7">
        <v>1125</v>
      </c>
      <c r="F16" s="7">
        <v>11189</v>
      </c>
      <c r="G16" s="7">
        <v>1052</v>
      </c>
      <c r="H16" s="7">
        <v>3538</v>
      </c>
      <c r="I16" s="7">
        <v>643</v>
      </c>
      <c r="J16" s="7">
        <v>53421</v>
      </c>
    </row>
    <row r="17" spans="1:10" x14ac:dyDescent="0.25">
      <c r="A17" t="s">
        <v>66</v>
      </c>
      <c r="B17" s="7">
        <v>29443</v>
      </c>
      <c r="C17" s="7">
        <v>12314</v>
      </c>
      <c r="D17" s="7">
        <v>1900</v>
      </c>
      <c r="E17" s="7">
        <v>1832</v>
      </c>
      <c r="F17" s="7">
        <v>5347</v>
      </c>
      <c r="G17" s="7">
        <v>2864</v>
      </c>
      <c r="H17" s="7">
        <v>2503</v>
      </c>
      <c r="I17" s="7">
        <v>170</v>
      </c>
      <c r="J17" s="7">
        <v>11193</v>
      </c>
    </row>
    <row r="19" spans="1:10" x14ac:dyDescent="0.25">
      <c r="A19" s="1" t="s">
        <v>86</v>
      </c>
    </row>
    <row r="20" spans="1:10" ht="32.1" customHeight="1" x14ac:dyDescent="0.25">
      <c r="A20" s="6" t="s">
        <v>62</v>
      </c>
      <c r="B20" s="6" t="s">
        <v>77</v>
      </c>
      <c r="C20" s="6" t="s">
        <v>78</v>
      </c>
      <c r="D20" s="6" t="s">
        <v>79</v>
      </c>
      <c r="E20" s="6" t="s">
        <v>80</v>
      </c>
      <c r="F20" s="6" t="s">
        <v>81</v>
      </c>
      <c r="G20" s="6" t="s">
        <v>82</v>
      </c>
      <c r="H20" s="6" t="s">
        <v>83</v>
      </c>
      <c r="I20" s="6" t="s">
        <v>84</v>
      </c>
      <c r="J20" s="6" t="s">
        <v>85</v>
      </c>
    </row>
    <row r="21" spans="1:10" x14ac:dyDescent="0.25">
      <c r="A21" t="s">
        <v>64</v>
      </c>
      <c r="B21" s="8">
        <v>7.0000000000000007E-2</v>
      </c>
      <c r="C21" s="8">
        <v>1</v>
      </c>
      <c r="D21" s="8">
        <v>0.47</v>
      </c>
      <c r="E21" s="8">
        <v>7.0000000000000007E-2</v>
      </c>
      <c r="F21" s="8">
        <v>0.4</v>
      </c>
      <c r="G21" s="8">
        <v>7.0000000000000007E-2</v>
      </c>
      <c r="H21" s="8">
        <v>0.4</v>
      </c>
      <c r="I21" s="8">
        <v>0.33</v>
      </c>
      <c r="J21" s="8">
        <v>1</v>
      </c>
    </row>
    <row r="22" spans="1:10" x14ac:dyDescent="0.25">
      <c r="A22" t="s">
        <v>66</v>
      </c>
      <c r="B22" s="8">
        <v>1</v>
      </c>
      <c r="C22" s="8">
        <v>0.98</v>
      </c>
      <c r="D22" s="8">
        <v>0.02</v>
      </c>
      <c r="E22" s="8">
        <v>0.05</v>
      </c>
      <c r="F22" s="8">
        <v>0.09</v>
      </c>
      <c r="G22" s="8">
        <v>7.0000000000000007E-2</v>
      </c>
      <c r="H22" s="8">
        <v>0.53</v>
      </c>
      <c r="I22" s="8">
        <v>0.02</v>
      </c>
      <c r="J22" s="8">
        <v>0.91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4"/>
  <sheetViews>
    <sheetView workbookViewId="0"/>
  </sheetViews>
  <sheetFormatPr defaultRowHeight="15" x14ac:dyDescent="0.25"/>
  <cols>
    <col min="1" max="1" width="24" customWidth="1"/>
    <col min="2" max="10" width="15" customWidth="1"/>
  </cols>
  <sheetData>
    <row r="1" spans="1:10" x14ac:dyDescent="0.25">
      <c r="A1" s="1" t="s">
        <v>87</v>
      </c>
    </row>
    <row r="2" spans="1:10" x14ac:dyDescent="0.25">
      <c r="A2" t="s">
        <v>88</v>
      </c>
    </row>
    <row r="4" spans="1:10" ht="63.95" customHeight="1" x14ac:dyDescent="0.25">
      <c r="A4" s="6" t="s">
        <v>89</v>
      </c>
      <c r="B4" s="6" t="s">
        <v>90</v>
      </c>
      <c r="C4" s="6" t="s">
        <v>91</v>
      </c>
      <c r="D4" s="6" t="s">
        <v>92</v>
      </c>
      <c r="E4" s="6" t="s">
        <v>93</v>
      </c>
      <c r="F4" s="6" t="s">
        <v>94</v>
      </c>
      <c r="G4" s="6" t="s">
        <v>95</v>
      </c>
      <c r="H4" s="6" t="s">
        <v>96</v>
      </c>
      <c r="I4" s="6" t="s">
        <v>97</v>
      </c>
      <c r="J4" s="6" t="s">
        <v>98</v>
      </c>
    </row>
    <row r="5" spans="1:10" x14ac:dyDescent="0.25">
      <c r="A5" t="s">
        <v>99</v>
      </c>
      <c r="B5">
        <v>7.9</v>
      </c>
      <c r="C5" s="8">
        <v>0.38</v>
      </c>
      <c r="D5">
        <v>0.4</v>
      </c>
      <c r="E5" s="8">
        <v>0.39</v>
      </c>
      <c r="F5">
        <v>350</v>
      </c>
      <c r="G5" s="8">
        <v>0.16</v>
      </c>
      <c r="H5">
        <v>4</v>
      </c>
      <c r="I5">
        <v>1</v>
      </c>
      <c r="J5">
        <v>0</v>
      </c>
    </row>
    <row r="6" spans="1:10" x14ac:dyDescent="0.25">
      <c r="A6" t="s">
        <v>100</v>
      </c>
      <c r="B6">
        <v>5.8</v>
      </c>
      <c r="C6" s="8">
        <v>0.28000000000000003</v>
      </c>
      <c r="D6">
        <v>0.28000000000000003</v>
      </c>
      <c r="E6" s="8">
        <v>0.27</v>
      </c>
      <c r="F6">
        <v>240</v>
      </c>
      <c r="G6" s="8">
        <v>0.11</v>
      </c>
      <c r="H6">
        <v>4</v>
      </c>
      <c r="I6">
        <v>0</v>
      </c>
      <c r="J6">
        <v>0</v>
      </c>
    </row>
    <row r="7" spans="1:10" x14ac:dyDescent="0.25">
      <c r="A7" t="s">
        <v>101</v>
      </c>
      <c r="B7">
        <v>3.1</v>
      </c>
      <c r="C7" s="8">
        <v>0.15</v>
      </c>
      <c r="D7">
        <v>0.15</v>
      </c>
      <c r="E7" s="8">
        <v>0.15</v>
      </c>
      <c r="F7">
        <v>750</v>
      </c>
      <c r="G7" s="8">
        <v>0.34</v>
      </c>
      <c r="H7">
        <v>17</v>
      </c>
      <c r="I7">
        <v>1</v>
      </c>
      <c r="J7">
        <v>1</v>
      </c>
    </row>
    <row r="8" spans="1:10" x14ac:dyDescent="0.25">
      <c r="A8" t="s">
        <v>82</v>
      </c>
      <c r="B8">
        <v>1.5</v>
      </c>
      <c r="C8" s="8">
        <v>7.0000000000000007E-2</v>
      </c>
      <c r="D8">
        <v>7.0000000000000007E-2</v>
      </c>
      <c r="E8" s="8">
        <v>7.0000000000000007E-2</v>
      </c>
      <c r="F8">
        <v>330</v>
      </c>
      <c r="G8" s="8">
        <v>0.15</v>
      </c>
      <c r="H8">
        <v>6</v>
      </c>
      <c r="I8">
        <v>0</v>
      </c>
      <c r="J8">
        <v>0</v>
      </c>
    </row>
    <row r="9" spans="1:10" x14ac:dyDescent="0.25">
      <c r="A9" t="s">
        <v>102</v>
      </c>
      <c r="B9">
        <v>1.1000000000000001</v>
      </c>
      <c r="C9" s="8">
        <v>0.05</v>
      </c>
      <c r="D9">
        <v>0.06</v>
      </c>
      <c r="E9" s="8">
        <v>0.06</v>
      </c>
      <c r="F9">
        <v>350</v>
      </c>
      <c r="G9" s="8">
        <v>0.16</v>
      </c>
      <c r="H9">
        <v>4</v>
      </c>
      <c r="I9">
        <v>1</v>
      </c>
      <c r="J9">
        <v>0</v>
      </c>
    </row>
    <row r="10" spans="1:10" x14ac:dyDescent="0.25">
      <c r="A10" t="s">
        <v>103</v>
      </c>
      <c r="B10">
        <v>0.8</v>
      </c>
      <c r="C10" s="8">
        <v>0.04</v>
      </c>
      <c r="D10">
        <v>0.04</v>
      </c>
      <c r="E10" s="8">
        <v>0.04</v>
      </c>
      <c r="F10">
        <v>60</v>
      </c>
      <c r="G10" s="8">
        <v>0.03</v>
      </c>
      <c r="H10">
        <v>9</v>
      </c>
      <c r="I10">
        <v>1</v>
      </c>
      <c r="J10">
        <v>0</v>
      </c>
    </row>
    <row r="11" spans="1:10" x14ac:dyDescent="0.25">
      <c r="A11" t="s">
        <v>104</v>
      </c>
      <c r="B11">
        <v>0.8</v>
      </c>
      <c r="C11" s="8">
        <v>0.04</v>
      </c>
      <c r="D11">
        <v>0.03</v>
      </c>
      <c r="E11" s="8">
        <v>0.03</v>
      </c>
      <c r="F11">
        <v>110</v>
      </c>
      <c r="G11" s="8">
        <v>0.05</v>
      </c>
      <c r="H11">
        <v>4</v>
      </c>
      <c r="I11">
        <v>0</v>
      </c>
      <c r="J11">
        <v>0</v>
      </c>
    </row>
    <row r="12" spans="1:10" x14ac:dyDescent="0.25">
      <c r="A12" t="s">
        <v>105</v>
      </c>
      <c r="B12">
        <v>20.9</v>
      </c>
      <c r="C12" s="8">
        <v>1</v>
      </c>
      <c r="D12">
        <v>1.03</v>
      </c>
      <c r="E12" s="8">
        <v>1</v>
      </c>
      <c r="F12">
        <v>2180</v>
      </c>
      <c r="G12" s="8">
        <v>1</v>
      </c>
      <c r="H12">
        <v>6</v>
      </c>
    </row>
    <row r="14" spans="1:10" x14ac:dyDescent="0.25">
      <c r="A14" t="s">
        <v>106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1"/>
  <sheetViews>
    <sheetView workbookViewId="0"/>
  </sheetViews>
  <sheetFormatPr defaultRowHeight="15" x14ac:dyDescent="0.25"/>
  <cols>
    <col min="1" max="1" width="9" customWidth="1"/>
    <col min="2" max="2" width="60" customWidth="1"/>
    <col min="3" max="3" width="14" customWidth="1"/>
    <col min="4" max="4" width="13" customWidth="1"/>
    <col min="5" max="8" width="14" customWidth="1"/>
  </cols>
  <sheetData>
    <row r="1" spans="1:8" x14ac:dyDescent="0.25">
      <c r="A1" s="1" t="s">
        <v>107</v>
      </c>
    </row>
    <row r="2" spans="1:8" x14ac:dyDescent="0.25">
      <c r="A2" t="s">
        <v>108</v>
      </c>
    </row>
    <row r="4" spans="1:8" ht="48" customHeight="1" x14ac:dyDescent="0.25">
      <c r="A4" s="6" t="s">
        <v>109</v>
      </c>
      <c r="B4" s="6" t="s">
        <v>110</v>
      </c>
      <c r="C4" s="6" t="s">
        <v>111</v>
      </c>
      <c r="D4" s="6" t="s">
        <v>112</v>
      </c>
      <c r="E4" s="6" t="s">
        <v>113</v>
      </c>
      <c r="F4" s="6" t="s">
        <v>114</v>
      </c>
      <c r="G4" s="6" t="s">
        <v>74</v>
      </c>
      <c r="H4" s="6" t="s">
        <v>115</v>
      </c>
    </row>
    <row r="5" spans="1:8" x14ac:dyDescent="0.25">
      <c r="A5" t="s">
        <v>116</v>
      </c>
      <c r="B5" t="s">
        <v>117</v>
      </c>
      <c r="C5">
        <v>155</v>
      </c>
      <c r="D5" t="s">
        <v>118</v>
      </c>
      <c r="E5" s="7">
        <v>104502</v>
      </c>
      <c r="F5" s="7">
        <v>207856</v>
      </c>
      <c r="G5" s="7">
        <v>312358</v>
      </c>
      <c r="H5">
        <v>0</v>
      </c>
    </row>
    <row r="6" spans="1:8" x14ac:dyDescent="0.25">
      <c r="A6" t="s">
        <v>116</v>
      </c>
      <c r="B6" t="s">
        <v>117</v>
      </c>
      <c r="C6">
        <v>155</v>
      </c>
      <c r="D6" t="s">
        <v>119</v>
      </c>
      <c r="E6" s="7">
        <v>139044</v>
      </c>
      <c r="F6" s="7">
        <v>237533</v>
      </c>
      <c r="G6" s="7">
        <v>376577</v>
      </c>
      <c r="H6">
        <v>1</v>
      </c>
    </row>
    <row r="7" spans="1:8" x14ac:dyDescent="0.25">
      <c r="A7" t="s">
        <v>116</v>
      </c>
      <c r="B7" t="s">
        <v>117</v>
      </c>
      <c r="C7">
        <v>155</v>
      </c>
      <c r="D7" t="s">
        <v>120</v>
      </c>
      <c r="E7" s="7">
        <v>144000</v>
      </c>
      <c r="F7" s="7">
        <v>246000</v>
      </c>
      <c r="G7" s="7">
        <v>390000</v>
      </c>
      <c r="H7">
        <v>1</v>
      </c>
    </row>
    <row r="8" spans="1:8" x14ac:dyDescent="0.25">
      <c r="A8" t="s">
        <v>116</v>
      </c>
      <c r="B8" t="s">
        <v>117</v>
      </c>
      <c r="C8">
        <v>155</v>
      </c>
      <c r="D8" t="s">
        <v>121</v>
      </c>
      <c r="E8" s="7">
        <v>136291</v>
      </c>
      <c r="F8" s="7">
        <v>232830</v>
      </c>
      <c r="G8" s="7">
        <v>369120</v>
      </c>
      <c r="H8">
        <v>1</v>
      </c>
    </row>
    <row r="9" spans="1:8" x14ac:dyDescent="0.25">
      <c r="A9" t="s">
        <v>116</v>
      </c>
      <c r="B9" t="s">
        <v>117</v>
      </c>
      <c r="C9">
        <v>155</v>
      </c>
      <c r="D9" t="s">
        <v>122</v>
      </c>
      <c r="E9" s="7">
        <v>152707</v>
      </c>
      <c r="F9" s="7">
        <v>260168</v>
      </c>
      <c r="G9" s="7">
        <v>412876</v>
      </c>
      <c r="H9">
        <v>1</v>
      </c>
    </row>
    <row r="10" spans="1:8" x14ac:dyDescent="0.25">
      <c r="A10" t="s">
        <v>123</v>
      </c>
      <c r="B10" t="s">
        <v>124</v>
      </c>
      <c r="C10">
        <v>161</v>
      </c>
      <c r="D10" t="s">
        <v>118</v>
      </c>
      <c r="E10" s="7">
        <v>0</v>
      </c>
      <c r="F10" s="7">
        <v>36684</v>
      </c>
      <c r="G10" s="7">
        <v>36684</v>
      </c>
      <c r="H10">
        <v>0</v>
      </c>
    </row>
    <row r="11" spans="1:8" x14ac:dyDescent="0.25">
      <c r="A11" t="s">
        <v>123</v>
      </c>
      <c r="B11" t="s">
        <v>124</v>
      </c>
      <c r="C11">
        <v>161</v>
      </c>
      <c r="D11" t="s">
        <v>119</v>
      </c>
      <c r="E11" s="7">
        <v>0</v>
      </c>
      <c r="F11" s="7">
        <v>37014</v>
      </c>
      <c r="G11" s="7">
        <v>37014</v>
      </c>
      <c r="H11">
        <v>0</v>
      </c>
    </row>
    <row r="12" spans="1:8" x14ac:dyDescent="0.25">
      <c r="A12" t="s">
        <v>123</v>
      </c>
      <c r="B12" t="s">
        <v>124</v>
      </c>
      <c r="C12">
        <v>161</v>
      </c>
      <c r="D12" t="s">
        <v>120</v>
      </c>
      <c r="E12" s="7">
        <v>0</v>
      </c>
      <c r="F12" s="7">
        <v>38333</v>
      </c>
      <c r="G12" s="7">
        <v>38333</v>
      </c>
      <c r="H12">
        <v>0</v>
      </c>
    </row>
    <row r="13" spans="1:8" x14ac:dyDescent="0.25">
      <c r="A13" t="s">
        <v>123</v>
      </c>
      <c r="B13" t="s">
        <v>124</v>
      </c>
      <c r="C13">
        <v>161</v>
      </c>
      <c r="D13" t="s">
        <v>121</v>
      </c>
      <c r="E13" s="7">
        <v>0</v>
      </c>
      <c r="F13" s="7">
        <v>36281</v>
      </c>
      <c r="G13" s="7">
        <v>36281</v>
      </c>
      <c r="H13">
        <v>0</v>
      </c>
    </row>
    <row r="14" spans="1:8" x14ac:dyDescent="0.25">
      <c r="A14" t="s">
        <v>123</v>
      </c>
      <c r="B14" t="s">
        <v>124</v>
      </c>
      <c r="C14">
        <v>161</v>
      </c>
      <c r="D14" t="s">
        <v>122</v>
      </c>
      <c r="E14" s="7">
        <v>0</v>
      </c>
      <c r="F14" s="7">
        <v>36134</v>
      </c>
      <c r="G14" s="7">
        <v>36134</v>
      </c>
      <c r="H14">
        <v>0</v>
      </c>
    </row>
    <row r="15" spans="1:8" x14ac:dyDescent="0.25">
      <c r="A15" t="s">
        <v>125</v>
      </c>
      <c r="B15" t="s">
        <v>126</v>
      </c>
      <c r="C15">
        <v>163</v>
      </c>
      <c r="D15" t="s">
        <v>118</v>
      </c>
      <c r="E15" s="7">
        <v>66500</v>
      </c>
      <c r="F15" s="7">
        <v>147308</v>
      </c>
      <c r="G15" s="7">
        <v>213808</v>
      </c>
      <c r="H15">
        <v>1</v>
      </c>
    </row>
    <row r="16" spans="1:8" x14ac:dyDescent="0.25">
      <c r="A16" t="s">
        <v>125</v>
      </c>
      <c r="B16" t="s">
        <v>126</v>
      </c>
      <c r="C16">
        <v>163</v>
      </c>
      <c r="D16" t="s">
        <v>119</v>
      </c>
      <c r="E16" s="7">
        <v>67098</v>
      </c>
      <c r="F16" s="7">
        <v>148632</v>
      </c>
      <c r="G16" s="7">
        <v>215730</v>
      </c>
      <c r="H16">
        <v>1</v>
      </c>
    </row>
    <row r="17" spans="1:8" x14ac:dyDescent="0.25">
      <c r="A17" t="s">
        <v>125</v>
      </c>
      <c r="B17" t="s">
        <v>126</v>
      </c>
      <c r="C17">
        <v>163</v>
      </c>
      <c r="D17" t="s">
        <v>120</v>
      </c>
      <c r="E17" s="7">
        <v>69490</v>
      </c>
      <c r="F17" s="7">
        <v>153930</v>
      </c>
      <c r="G17" s="7">
        <v>223420</v>
      </c>
      <c r="H17">
        <v>1</v>
      </c>
    </row>
    <row r="18" spans="1:8" x14ac:dyDescent="0.25">
      <c r="A18" t="s">
        <v>125</v>
      </c>
      <c r="B18" t="s">
        <v>126</v>
      </c>
      <c r="C18">
        <v>163</v>
      </c>
      <c r="D18" t="s">
        <v>121</v>
      </c>
      <c r="E18" s="7">
        <v>65769</v>
      </c>
      <c r="F18" s="7">
        <v>145689</v>
      </c>
      <c r="G18" s="7">
        <v>211458</v>
      </c>
      <c r="H18">
        <v>1</v>
      </c>
    </row>
    <row r="19" spans="1:8" x14ac:dyDescent="0.25">
      <c r="A19" t="s">
        <v>125</v>
      </c>
      <c r="B19" t="s">
        <v>126</v>
      </c>
      <c r="C19">
        <v>163</v>
      </c>
      <c r="D19" t="s">
        <v>122</v>
      </c>
      <c r="E19" s="7">
        <v>65504</v>
      </c>
      <c r="F19" s="7">
        <v>145100</v>
      </c>
      <c r="G19" s="7">
        <v>210604</v>
      </c>
      <c r="H19">
        <v>1</v>
      </c>
    </row>
    <row r="20" spans="1:8" x14ac:dyDescent="0.25">
      <c r="A20" t="s">
        <v>127</v>
      </c>
      <c r="B20" t="s">
        <v>128</v>
      </c>
      <c r="C20">
        <v>165</v>
      </c>
      <c r="D20" t="s">
        <v>118</v>
      </c>
      <c r="E20" s="7">
        <v>61907</v>
      </c>
      <c r="F20" s="7">
        <v>164980</v>
      </c>
      <c r="G20" s="7">
        <v>226887</v>
      </c>
      <c r="H20">
        <v>1</v>
      </c>
    </row>
    <row r="21" spans="1:8" x14ac:dyDescent="0.25">
      <c r="A21" t="s">
        <v>127</v>
      </c>
      <c r="B21" t="s">
        <v>128</v>
      </c>
      <c r="C21">
        <v>165</v>
      </c>
      <c r="D21" t="s">
        <v>119</v>
      </c>
      <c r="E21" s="7">
        <v>62463</v>
      </c>
      <c r="F21" s="7">
        <v>166463</v>
      </c>
      <c r="G21" s="7">
        <v>228927</v>
      </c>
      <c r="H21">
        <v>1</v>
      </c>
    </row>
    <row r="22" spans="1:8" x14ac:dyDescent="0.25">
      <c r="A22" t="s">
        <v>127</v>
      </c>
      <c r="B22" t="s">
        <v>128</v>
      </c>
      <c r="C22">
        <v>165</v>
      </c>
      <c r="D22" t="s">
        <v>120</v>
      </c>
      <c r="E22" s="7">
        <v>64690</v>
      </c>
      <c r="F22" s="7">
        <v>172397</v>
      </c>
      <c r="G22" s="7">
        <v>237086</v>
      </c>
      <c r="H22">
        <v>1</v>
      </c>
    </row>
    <row r="23" spans="1:8" x14ac:dyDescent="0.25">
      <c r="A23" t="s">
        <v>127</v>
      </c>
      <c r="B23" t="s">
        <v>128</v>
      </c>
      <c r="C23">
        <v>165</v>
      </c>
      <c r="D23" t="s">
        <v>121</v>
      </c>
      <c r="E23" s="7">
        <v>61226</v>
      </c>
      <c r="F23" s="7">
        <v>163167</v>
      </c>
      <c r="G23" s="7">
        <v>224393</v>
      </c>
      <c r="H23">
        <v>1</v>
      </c>
    </row>
    <row r="24" spans="1:8" x14ac:dyDescent="0.25">
      <c r="A24" t="s">
        <v>127</v>
      </c>
      <c r="B24" t="s">
        <v>128</v>
      </c>
      <c r="C24">
        <v>165</v>
      </c>
      <c r="D24" t="s">
        <v>122</v>
      </c>
      <c r="E24" s="7">
        <v>60979</v>
      </c>
      <c r="F24" s="7">
        <v>162508</v>
      </c>
      <c r="G24" s="7">
        <v>223487</v>
      </c>
      <c r="H24">
        <v>1</v>
      </c>
    </row>
    <row r="25" spans="1:8" x14ac:dyDescent="0.25">
      <c r="A25" t="s">
        <v>129</v>
      </c>
      <c r="B25" t="s">
        <v>130</v>
      </c>
      <c r="C25">
        <v>167</v>
      </c>
      <c r="D25" t="s">
        <v>118</v>
      </c>
      <c r="E25" s="7">
        <v>78581</v>
      </c>
      <c r="F25" s="7">
        <v>154455</v>
      </c>
      <c r="G25" s="7">
        <v>233036</v>
      </c>
      <c r="H25">
        <v>1</v>
      </c>
    </row>
    <row r="26" spans="1:8" x14ac:dyDescent="0.25">
      <c r="A26" t="s">
        <v>129</v>
      </c>
      <c r="B26" t="s">
        <v>130</v>
      </c>
      <c r="C26">
        <v>167</v>
      </c>
      <c r="D26" t="s">
        <v>119</v>
      </c>
      <c r="E26" s="7">
        <v>79288</v>
      </c>
      <c r="F26" s="7">
        <v>221372</v>
      </c>
      <c r="G26" s="7">
        <v>300659</v>
      </c>
      <c r="H26">
        <v>1</v>
      </c>
    </row>
    <row r="27" spans="1:8" x14ac:dyDescent="0.25">
      <c r="A27" t="s">
        <v>129</v>
      </c>
      <c r="B27" t="s">
        <v>130</v>
      </c>
      <c r="C27">
        <v>167</v>
      </c>
      <c r="D27" t="s">
        <v>120</v>
      </c>
      <c r="E27" s="7">
        <v>82114</v>
      </c>
      <c r="F27" s="7">
        <v>203670</v>
      </c>
      <c r="G27" s="7">
        <v>285784</v>
      </c>
      <c r="H27">
        <v>1</v>
      </c>
    </row>
    <row r="28" spans="1:8" x14ac:dyDescent="0.25">
      <c r="A28" t="s">
        <v>129</v>
      </c>
      <c r="B28" t="s">
        <v>130</v>
      </c>
      <c r="C28">
        <v>167</v>
      </c>
      <c r="D28" t="s">
        <v>121</v>
      </c>
      <c r="E28" s="7">
        <v>77717</v>
      </c>
      <c r="F28" s="7">
        <v>267669</v>
      </c>
      <c r="G28" s="7">
        <v>345387</v>
      </c>
      <c r="H28">
        <v>1</v>
      </c>
    </row>
    <row r="29" spans="1:8" x14ac:dyDescent="0.25">
      <c r="A29" t="s">
        <v>129</v>
      </c>
      <c r="B29" t="s">
        <v>130</v>
      </c>
      <c r="C29">
        <v>167</v>
      </c>
      <c r="D29" t="s">
        <v>122</v>
      </c>
      <c r="E29" s="7">
        <v>77403</v>
      </c>
      <c r="F29" s="7">
        <v>222928</v>
      </c>
      <c r="G29" s="7">
        <v>300332</v>
      </c>
      <c r="H29">
        <v>1</v>
      </c>
    </row>
    <row r="30" spans="1:8" x14ac:dyDescent="0.25">
      <c r="A30" t="s">
        <v>131</v>
      </c>
      <c r="B30" t="s">
        <v>132</v>
      </c>
      <c r="C30">
        <v>168</v>
      </c>
      <c r="D30" t="s">
        <v>118</v>
      </c>
      <c r="E30" s="7">
        <v>24116</v>
      </c>
      <c r="F30" s="7">
        <v>18374</v>
      </c>
      <c r="G30" s="7">
        <v>42490</v>
      </c>
      <c r="H30">
        <v>1</v>
      </c>
    </row>
    <row r="31" spans="1:8" x14ac:dyDescent="0.25">
      <c r="A31" t="s">
        <v>131</v>
      </c>
      <c r="B31" t="s">
        <v>132</v>
      </c>
      <c r="C31">
        <v>168</v>
      </c>
      <c r="D31" t="s">
        <v>119</v>
      </c>
      <c r="E31" s="7">
        <v>25491</v>
      </c>
      <c r="F31" s="7">
        <v>19698</v>
      </c>
      <c r="G31" s="7">
        <v>45189</v>
      </c>
      <c r="H31">
        <v>1</v>
      </c>
    </row>
    <row r="32" spans="1:8" x14ac:dyDescent="0.25">
      <c r="A32" t="s">
        <v>131</v>
      </c>
      <c r="B32" t="s">
        <v>132</v>
      </c>
      <c r="C32">
        <v>168</v>
      </c>
      <c r="D32" t="s">
        <v>120</v>
      </c>
      <c r="E32" s="7">
        <v>21480</v>
      </c>
      <c r="F32" s="7">
        <v>15888</v>
      </c>
      <c r="G32" s="7">
        <v>37368</v>
      </c>
      <c r="H32">
        <v>1</v>
      </c>
    </row>
    <row r="33" spans="1:8" x14ac:dyDescent="0.25">
      <c r="A33" t="s">
        <v>131</v>
      </c>
      <c r="B33" t="s">
        <v>132</v>
      </c>
      <c r="C33">
        <v>168</v>
      </c>
      <c r="D33" t="s">
        <v>121</v>
      </c>
      <c r="E33" s="7">
        <v>18172</v>
      </c>
      <c r="F33" s="7">
        <v>12493</v>
      </c>
      <c r="G33" s="7">
        <v>30665</v>
      </c>
      <c r="H33">
        <v>1</v>
      </c>
    </row>
    <row r="34" spans="1:8" x14ac:dyDescent="0.25">
      <c r="A34" t="s">
        <v>131</v>
      </c>
      <c r="B34" t="s">
        <v>132</v>
      </c>
      <c r="C34">
        <v>168</v>
      </c>
      <c r="D34" t="s">
        <v>122</v>
      </c>
      <c r="E34" s="7">
        <v>18099</v>
      </c>
      <c r="F34" s="7">
        <v>12443</v>
      </c>
      <c r="G34" s="7">
        <v>30541</v>
      </c>
      <c r="H34">
        <v>1</v>
      </c>
    </row>
    <row r="35" spans="1:8" x14ac:dyDescent="0.25">
      <c r="A35" t="s">
        <v>133</v>
      </c>
      <c r="B35" t="s">
        <v>134</v>
      </c>
      <c r="C35">
        <v>170</v>
      </c>
      <c r="D35" t="s">
        <v>118</v>
      </c>
      <c r="E35" s="7">
        <v>0</v>
      </c>
      <c r="F35" s="7">
        <v>1837</v>
      </c>
      <c r="G35" s="7">
        <v>1837</v>
      </c>
      <c r="H35">
        <v>1</v>
      </c>
    </row>
    <row r="36" spans="1:8" x14ac:dyDescent="0.25">
      <c r="A36" t="s">
        <v>133</v>
      </c>
      <c r="B36" t="s">
        <v>134</v>
      </c>
      <c r="C36">
        <v>170</v>
      </c>
      <c r="D36" t="s">
        <v>119</v>
      </c>
      <c r="E36" s="7">
        <v>0</v>
      </c>
      <c r="F36" s="7">
        <v>1854</v>
      </c>
      <c r="G36" s="7">
        <v>1854</v>
      </c>
      <c r="H36">
        <v>1</v>
      </c>
    </row>
    <row r="37" spans="1:8" x14ac:dyDescent="0.25">
      <c r="A37" t="s">
        <v>133</v>
      </c>
      <c r="B37" t="s">
        <v>134</v>
      </c>
      <c r="C37">
        <v>170</v>
      </c>
      <c r="D37" t="s">
        <v>120</v>
      </c>
      <c r="E37" s="7">
        <v>0</v>
      </c>
      <c r="F37" s="7">
        <v>1920</v>
      </c>
      <c r="G37" s="7">
        <v>1920</v>
      </c>
      <c r="H37">
        <v>0</v>
      </c>
    </row>
    <row r="38" spans="1:8" x14ac:dyDescent="0.25">
      <c r="A38" t="s">
        <v>133</v>
      </c>
      <c r="B38" t="s">
        <v>134</v>
      </c>
      <c r="C38">
        <v>170</v>
      </c>
      <c r="D38" t="s">
        <v>121</v>
      </c>
      <c r="E38" s="7">
        <v>0</v>
      </c>
      <c r="F38" s="7">
        <v>1817</v>
      </c>
      <c r="G38" s="7">
        <v>1817</v>
      </c>
      <c r="H38">
        <v>0</v>
      </c>
    </row>
    <row r="39" spans="1:8" x14ac:dyDescent="0.25">
      <c r="A39" t="s">
        <v>133</v>
      </c>
      <c r="B39" t="s">
        <v>134</v>
      </c>
      <c r="C39">
        <v>170</v>
      </c>
      <c r="D39" t="s">
        <v>122</v>
      </c>
      <c r="E39" s="7">
        <v>0</v>
      </c>
      <c r="F39" s="7">
        <v>1810</v>
      </c>
      <c r="G39" s="7">
        <v>1810</v>
      </c>
      <c r="H39">
        <v>0</v>
      </c>
    </row>
    <row r="40" spans="1:8" x14ac:dyDescent="0.25">
      <c r="A40" t="s">
        <v>135</v>
      </c>
      <c r="B40" t="s">
        <v>136</v>
      </c>
      <c r="C40">
        <v>172</v>
      </c>
      <c r="D40" t="s">
        <v>118</v>
      </c>
      <c r="E40" s="7">
        <v>24460</v>
      </c>
      <c r="F40" s="7">
        <v>12693</v>
      </c>
      <c r="G40" s="7">
        <v>37153</v>
      </c>
      <c r="H40">
        <v>0</v>
      </c>
    </row>
    <row r="41" spans="1:8" x14ac:dyDescent="0.25">
      <c r="A41" t="s">
        <v>135</v>
      </c>
      <c r="B41" t="s">
        <v>136</v>
      </c>
      <c r="C41">
        <v>172</v>
      </c>
      <c r="D41" t="s">
        <v>119</v>
      </c>
      <c r="E41" s="7">
        <v>26998</v>
      </c>
      <c r="F41" s="7">
        <v>18192</v>
      </c>
      <c r="G41" s="7">
        <v>45190</v>
      </c>
      <c r="H41">
        <v>1</v>
      </c>
    </row>
    <row r="42" spans="1:8" x14ac:dyDescent="0.25">
      <c r="A42" t="s">
        <v>135</v>
      </c>
      <c r="B42" t="s">
        <v>136</v>
      </c>
      <c r="C42">
        <v>172</v>
      </c>
      <c r="D42" t="s">
        <v>120</v>
      </c>
      <c r="E42" s="7">
        <v>25560</v>
      </c>
      <c r="F42" s="7">
        <v>16738</v>
      </c>
      <c r="G42" s="7">
        <v>42298</v>
      </c>
      <c r="H42">
        <v>0</v>
      </c>
    </row>
    <row r="43" spans="1:8" x14ac:dyDescent="0.25">
      <c r="A43" t="s">
        <v>135</v>
      </c>
      <c r="B43" t="s">
        <v>136</v>
      </c>
      <c r="C43">
        <v>172</v>
      </c>
      <c r="D43" t="s">
        <v>121</v>
      </c>
      <c r="E43" s="7">
        <v>24192</v>
      </c>
      <c r="F43" s="7">
        <v>21997</v>
      </c>
      <c r="G43" s="7">
        <v>46189</v>
      </c>
      <c r="H43">
        <v>0</v>
      </c>
    </row>
    <row r="44" spans="1:8" x14ac:dyDescent="0.25">
      <c r="A44" t="s">
        <v>135</v>
      </c>
      <c r="B44" t="s">
        <v>136</v>
      </c>
      <c r="C44">
        <v>172</v>
      </c>
      <c r="D44" t="s">
        <v>122</v>
      </c>
      <c r="E44" s="7">
        <v>24094</v>
      </c>
      <c r="F44" s="7">
        <v>18320</v>
      </c>
      <c r="G44" s="7">
        <v>42414</v>
      </c>
      <c r="H44">
        <v>0</v>
      </c>
    </row>
    <row r="45" spans="1:8" x14ac:dyDescent="0.25">
      <c r="A45" t="s">
        <v>137</v>
      </c>
      <c r="B45" t="s">
        <v>138</v>
      </c>
      <c r="C45">
        <v>173</v>
      </c>
      <c r="D45" t="s">
        <v>118</v>
      </c>
      <c r="E45" s="7">
        <v>16307</v>
      </c>
      <c r="F45" s="7">
        <v>8559</v>
      </c>
      <c r="G45" s="7">
        <v>24866</v>
      </c>
      <c r="H45">
        <v>1</v>
      </c>
    </row>
    <row r="46" spans="1:8" x14ac:dyDescent="0.25">
      <c r="A46" t="s">
        <v>137</v>
      </c>
      <c r="B46" t="s">
        <v>138</v>
      </c>
      <c r="C46">
        <v>173</v>
      </c>
      <c r="D46" t="s">
        <v>119</v>
      </c>
      <c r="E46" s="7">
        <v>17033</v>
      </c>
      <c r="F46" s="7">
        <v>12267</v>
      </c>
      <c r="G46" s="7">
        <v>29300</v>
      </c>
      <c r="H46">
        <v>1</v>
      </c>
    </row>
    <row r="47" spans="1:8" x14ac:dyDescent="0.25">
      <c r="A47" t="s">
        <v>137</v>
      </c>
      <c r="B47" t="s">
        <v>138</v>
      </c>
      <c r="C47">
        <v>173</v>
      </c>
      <c r="D47" t="s">
        <v>120</v>
      </c>
      <c r="E47" s="7">
        <v>17040</v>
      </c>
      <c r="F47" s="7">
        <v>11286</v>
      </c>
      <c r="G47" s="7">
        <v>28326</v>
      </c>
      <c r="H47">
        <v>0</v>
      </c>
    </row>
    <row r="48" spans="1:8" x14ac:dyDescent="0.25">
      <c r="A48" t="s">
        <v>137</v>
      </c>
      <c r="B48" t="s">
        <v>138</v>
      </c>
      <c r="C48">
        <v>173</v>
      </c>
      <c r="D48" t="s">
        <v>121</v>
      </c>
      <c r="E48" s="7">
        <v>16128</v>
      </c>
      <c r="F48" s="7">
        <v>14832</v>
      </c>
      <c r="G48" s="7">
        <v>30960</v>
      </c>
      <c r="H48">
        <v>0</v>
      </c>
    </row>
    <row r="49" spans="1:8" x14ac:dyDescent="0.25">
      <c r="A49" t="s">
        <v>137</v>
      </c>
      <c r="B49" t="s">
        <v>138</v>
      </c>
      <c r="C49">
        <v>173</v>
      </c>
      <c r="D49" t="s">
        <v>122</v>
      </c>
      <c r="E49" s="7">
        <v>16063</v>
      </c>
      <c r="F49" s="7">
        <v>12353</v>
      </c>
      <c r="G49" s="7">
        <v>28416</v>
      </c>
      <c r="H49">
        <v>0</v>
      </c>
    </row>
    <row r="50" spans="1:8" x14ac:dyDescent="0.25">
      <c r="A50" t="s">
        <v>139</v>
      </c>
      <c r="B50" t="s">
        <v>140</v>
      </c>
      <c r="C50">
        <v>175</v>
      </c>
      <c r="D50" t="s">
        <v>118</v>
      </c>
      <c r="E50" s="7">
        <v>37782</v>
      </c>
      <c r="F50" s="7">
        <v>26868</v>
      </c>
      <c r="G50" s="7">
        <v>64649</v>
      </c>
      <c r="H50">
        <v>1</v>
      </c>
    </row>
    <row r="51" spans="1:8" x14ac:dyDescent="0.25">
      <c r="A51" t="s">
        <v>139</v>
      </c>
      <c r="B51" t="s">
        <v>140</v>
      </c>
      <c r="C51">
        <v>175</v>
      </c>
      <c r="D51" t="s">
        <v>119</v>
      </c>
      <c r="E51" s="7">
        <v>45595</v>
      </c>
      <c r="F51" s="7">
        <v>39552</v>
      </c>
      <c r="G51" s="7">
        <v>85146</v>
      </c>
      <c r="H51">
        <v>1</v>
      </c>
    </row>
    <row r="52" spans="1:8" x14ac:dyDescent="0.25">
      <c r="A52" t="s">
        <v>139</v>
      </c>
      <c r="B52" t="s">
        <v>140</v>
      </c>
      <c r="C52">
        <v>175</v>
      </c>
      <c r="D52" t="s">
        <v>120</v>
      </c>
      <c r="E52" s="7">
        <v>39480</v>
      </c>
      <c r="F52" s="7">
        <v>35429</v>
      </c>
      <c r="G52" s="7">
        <v>74909</v>
      </c>
      <c r="H52">
        <v>0</v>
      </c>
    </row>
    <row r="53" spans="1:8" x14ac:dyDescent="0.25">
      <c r="A53" t="s">
        <v>139</v>
      </c>
      <c r="B53" t="s">
        <v>140</v>
      </c>
      <c r="C53">
        <v>175</v>
      </c>
      <c r="D53" t="s">
        <v>121</v>
      </c>
      <c r="E53" s="7">
        <v>37366</v>
      </c>
      <c r="F53" s="7">
        <v>46562</v>
      </c>
      <c r="G53" s="7">
        <v>83928</v>
      </c>
      <c r="H53">
        <v>0</v>
      </c>
    </row>
    <row r="54" spans="1:8" x14ac:dyDescent="0.25">
      <c r="A54" t="s">
        <v>139</v>
      </c>
      <c r="B54" t="s">
        <v>140</v>
      </c>
      <c r="C54">
        <v>175</v>
      </c>
      <c r="D54" t="s">
        <v>122</v>
      </c>
      <c r="E54" s="7">
        <v>37215</v>
      </c>
      <c r="F54" s="7">
        <v>38779</v>
      </c>
      <c r="G54" s="7">
        <v>75994</v>
      </c>
      <c r="H54">
        <v>0</v>
      </c>
    </row>
    <row r="55" spans="1:8" x14ac:dyDescent="0.25">
      <c r="A55" t="s">
        <v>141</v>
      </c>
      <c r="B55" t="s">
        <v>142</v>
      </c>
      <c r="C55">
        <v>178</v>
      </c>
      <c r="D55" t="s">
        <v>118</v>
      </c>
      <c r="E55" s="7">
        <v>38126</v>
      </c>
      <c r="F55" s="7">
        <v>11799</v>
      </c>
      <c r="G55" s="7">
        <v>49925</v>
      </c>
      <c r="H55">
        <v>1</v>
      </c>
    </row>
    <row r="56" spans="1:8" x14ac:dyDescent="0.25">
      <c r="A56" t="s">
        <v>141</v>
      </c>
      <c r="B56" t="s">
        <v>142</v>
      </c>
      <c r="C56">
        <v>178</v>
      </c>
      <c r="D56" t="s">
        <v>119</v>
      </c>
      <c r="E56" s="7">
        <v>38469</v>
      </c>
      <c r="F56" s="7">
        <v>16912</v>
      </c>
      <c r="G56" s="7">
        <v>55380</v>
      </c>
      <c r="H56">
        <v>1</v>
      </c>
    </row>
    <row r="57" spans="1:8" x14ac:dyDescent="0.25">
      <c r="A57" t="s">
        <v>141</v>
      </c>
      <c r="B57" t="s">
        <v>142</v>
      </c>
      <c r="C57">
        <v>178</v>
      </c>
      <c r="D57" t="s">
        <v>120</v>
      </c>
      <c r="E57" s="7">
        <v>39840</v>
      </c>
      <c r="F57" s="7">
        <v>15559</v>
      </c>
      <c r="G57" s="7">
        <v>55399</v>
      </c>
      <c r="H57">
        <v>0</v>
      </c>
    </row>
    <row r="58" spans="1:8" x14ac:dyDescent="0.25">
      <c r="A58" t="s">
        <v>141</v>
      </c>
      <c r="B58" t="s">
        <v>142</v>
      </c>
      <c r="C58">
        <v>178</v>
      </c>
      <c r="D58" t="s">
        <v>121</v>
      </c>
      <c r="E58" s="7">
        <v>37707</v>
      </c>
      <c r="F58" s="7">
        <v>20448</v>
      </c>
      <c r="G58" s="7">
        <v>58155</v>
      </c>
      <c r="H58">
        <v>0</v>
      </c>
    </row>
    <row r="59" spans="1:8" x14ac:dyDescent="0.25">
      <c r="A59" t="s">
        <v>141</v>
      </c>
      <c r="B59" t="s">
        <v>142</v>
      </c>
      <c r="C59">
        <v>178</v>
      </c>
      <c r="D59" t="s">
        <v>122</v>
      </c>
      <c r="E59" s="7">
        <v>37555</v>
      </c>
      <c r="F59" s="7">
        <v>17030</v>
      </c>
      <c r="G59" s="7">
        <v>54585</v>
      </c>
      <c r="H59">
        <v>0</v>
      </c>
    </row>
    <row r="60" spans="1:8" x14ac:dyDescent="0.25">
      <c r="A60" t="s">
        <v>143</v>
      </c>
      <c r="B60" t="s">
        <v>144</v>
      </c>
      <c r="C60">
        <v>181</v>
      </c>
      <c r="D60" t="s">
        <v>118</v>
      </c>
      <c r="E60" s="7">
        <v>201595</v>
      </c>
      <c r="F60" s="7">
        <v>202160</v>
      </c>
      <c r="G60" s="7">
        <v>403755</v>
      </c>
      <c r="H60">
        <v>0</v>
      </c>
    </row>
    <row r="61" spans="1:8" x14ac:dyDescent="0.25">
      <c r="A61" t="s">
        <v>143</v>
      </c>
      <c r="B61" t="s">
        <v>144</v>
      </c>
      <c r="C61">
        <v>181</v>
      </c>
      <c r="D61" t="s">
        <v>119</v>
      </c>
      <c r="E61" s="7">
        <v>223847</v>
      </c>
      <c r="F61" s="7">
        <v>203978</v>
      </c>
      <c r="G61" s="7">
        <v>427824</v>
      </c>
      <c r="H61">
        <v>0</v>
      </c>
    </row>
    <row r="62" spans="1:8" x14ac:dyDescent="0.25">
      <c r="A62" t="s">
        <v>143</v>
      </c>
      <c r="B62" t="s">
        <v>144</v>
      </c>
      <c r="C62">
        <v>181</v>
      </c>
      <c r="D62" t="s">
        <v>120</v>
      </c>
      <c r="E62" s="7">
        <v>230290</v>
      </c>
      <c r="F62" s="7">
        <v>211248</v>
      </c>
      <c r="G62" s="7">
        <v>441538</v>
      </c>
      <c r="H62">
        <v>1</v>
      </c>
    </row>
    <row r="63" spans="1:8" x14ac:dyDescent="0.25">
      <c r="A63" t="s">
        <v>143</v>
      </c>
      <c r="B63" t="s">
        <v>144</v>
      </c>
      <c r="C63">
        <v>181</v>
      </c>
      <c r="D63" t="s">
        <v>121</v>
      </c>
      <c r="E63" s="7">
        <v>234474</v>
      </c>
      <c r="F63" s="7">
        <v>199938</v>
      </c>
      <c r="G63" s="7">
        <v>434413</v>
      </c>
      <c r="H63">
        <v>1</v>
      </c>
    </row>
    <row r="64" spans="1:8" x14ac:dyDescent="0.25">
      <c r="A64" t="s">
        <v>143</v>
      </c>
      <c r="B64" t="s">
        <v>144</v>
      </c>
      <c r="C64">
        <v>181</v>
      </c>
      <c r="D64" t="s">
        <v>122</v>
      </c>
      <c r="E64" s="7">
        <v>241581</v>
      </c>
      <c r="F64" s="7">
        <v>199131</v>
      </c>
      <c r="G64" s="7">
        <v>440711</v>
      </c>
      <c r="H64">
        <v>1</v>
      </c>
    </row>
    <row r="65" spans="1:8" x14ac:dyDescent="0.25">
      <c r="A65" t="s">
        <v>145</v>
      </c>
      <c r="B65" t="s">
        <v>146</v>
      </c>
      <c r="C65">
        <v>183</v>
      </c>
      <c r="D65" t="s">
        <v>118</v>
      </c>
      <c r="E65" s="7">
        <v>4019</v>
      </c>
      <c r="F65" s="7">
        <v>29420</v>
      </c>
      <c r="G65" s="7">
        <v>33440</v>
      </c>
      <c r="H65">
        <v>0</v>
      </c>
    </row>
    <row r="66" spans="1:8" x14ac:dyDescent="0.25">
      <c r="A66" t="s">
        <v>145</v>
      </c>
      <c r="B66" t="s">
        <v>146</v>
      </c>
      <c r="C66">
        <v>183</v>
      </c>
      <c r="D66" t="s">
        <v>119</v>
      </c>
      <c r="E66" s="7">
        <v>4635</v>
      </c>
      <c r="F66" s="7">
        <v>42167</v>
      </c>
      <c r="G66" s="7">
        <v>46801</v>
      </c>
      <c r="H66">
        <v>0</v>
      </c>
    </row>
    <row r="67" spans="1:8" x14ac:dyDescent="0.25">
      <c r="A67" t="s">
        <v>145</v>
      </c>
      <c r="B67" t="s">
        <v>146</v>
      </c>
      <c r="C67">
        <v>183</v>
      </c>
      <c r="D67" t="s">
        <v>120</v>
      </c>
      <c r="E67" s="7">
        <v>5400</v>
      </c>
      <c r="F67" s="7">
        <v>38795</v>
      </c>
      <c r="G67" s="7">
        <v>44195</v>
      </c>
      <c r="H67">
        <v>0</v>
      </c>
    </row>
    <row r="68" spans="1:8" x14ac:dyDescent="0.25">
      <c r="A68" t="s">
        <v>145</v>
      </c>
      <c r="B68" t="s">
        <v>146</v>
      </c>
      <c r="C68">
        <v>183</v>
      </c>
      <c r="D68" t="s">
        <v>121</v>
      </c>
      <c r="E68" s="7">
        <v>6247</v>
      </c>
      <c r="F68" s="7">
        <v>50985</v>
      </c>
      <c r="G68" s="7">
        <v>57232</v>
      </c>
      <c r="H68">
        <v>0</v>
      </c>
    </row>
    <row r="69" spans="1:8" x14ac:dyDescent="0.25">
      <c r="A69" t="s">
        <v>145</v>
      </c>
      <c r="B69" t="s">
        <v>146</v>
      </c>
      <c r="C69">
        <v>183</v>
      </c>
      <c r="D69" t="s">
        <v>122</v>
      </c>
      <c r="E69" s="7">
        <v>5656</v>
      </c>
      <c r="F69" s="7">
        <v>42463</v>
      </c>
      <c r="G69" s="7">
        <v>48119</v>
      </c>
      <c r="H69">
        <v>0</v>
      </c>
    </row>
    <row r="71" spans="1:8" x14ac:dyDescent="0.25">
      <c r="A71" t="s">
        <v>147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0"/>
  <sheetViews>
    <sheetView workbookViewId="0"/>
  </sheetViews>
  <sheetFormatPr defaultRowHeight="15" x14ac:dyDescent="0.25"/>
  <cols>
    <col min="2" max="2" width="40" customWidth="1"/>
    <col min="4" max="4" width="50" customWidth="1"/>
  </cols>
  <sheetData>
    <row r="1" spans="1:9" x14ac:dyDescent="0.25">
      <c r="A1" t="s">
        <v>148</v>
      </c>
    </row>
    <row r="2" spans="1:9" x14ac:dyDescent="0.25">
      <c r="A2" t="s">
        <v>149</v>
      </c>
    </row>
    <row r="3" spans="1:9" x14ac:dyDescent="0.25">
      <c r="A3" t="s">
        <v>150</v>
      </c>
    </row>
    <row r="4" spans="1:9" x14ac:dyDescent="0.25">
      <c r="E4" t="s">
        <v>151</v>
      </c>
      <c r="F4" t="s">
        <v>152</v>
      </c>
      <c r="G4" t="s">
        <v>153</v>
      </c>
      <c r="I4" t="s">
        <v>154</v>
      </c>
    </row>
    <row r="5" spans="1:9" x14ac:dyDescent="0.25">
      <c r="A5" t="s">
        <v>155</v>
      </c>
      <c r="B5" t="s">
        <v>156</v>
      </c>
      <c r="C5" t="s">
        <v>157</v>
      </c>
      <c r="D5" t="s">
        <v>158</v>
      </c>
      <c r="G5" t="s">
        <v>159</v>
      </c>
      <c r="H5" t="s">
        <v>160</v>
      </c>
    </row>
    <row r="6" spans="1:9" x14ac:dyDescent="0.25">
      <c r="A6" t="s">
        <v>161</v>
      </c>
      <c r="B6" t="s">
        <v>162</v>
      </c>
      <c r="C6" t="s">
        <v>161</v>
      </c>
      <c r="D6" t="s">
        <v>162</v>
      </c>
      <c r="E6" t="s">
        <v>163</v>
      </c>
      <c r="F6" t="s">
        <v>164</v>
      </c>
      <c r="G6" t="s">
        <v>165</v>
      </c>
      <c r="H6" t="s">
        <v>166</v>
      </c>
      <c r="I6" t="s">
        <v>167</v>
      </c>
    </row>
    <row r="7" spans="1:9" x14ac:dyDescent="0.25">
      <c r="A7">
        <v>230301</v>
      </c>
      <c r="B7" t="s">
        <v>168</v>
      </c>
      <c r="C7">
        <v>333414</v>
      </c>
      <c r="D7" t="s">
        <v>169</v>
      </c>
      <c r="E7">
        <v>292</v>
      </c>
      <c r="F7">
        <v>9</v>
      </c>
      <c r="G7">
        <v>132</v>
      </c>
      <c r="H7">
        <v>132</v>
      </c>
      <c r="I7">
        <v>565</v>
      </c>
    </row>
    <row r="8" spans="1:9" x14ac:dyDescent="0.25">
      <c r="A8">
        <v>230301</v>
      </c>
      <c r="B8" t="s">
        <v>168</v>
      </c>
      <c r="C8">
        <v>333415</v>
      </c>
      <c r="D8" t="s">
        <v>170</v>
      </c>
      <c r="E8">
        <v>1367</v>
      </c>
      <c r="F8">
        <v>40</v>
      </c>
      <c r="G8">
        <v>202</v>
      </c>
      <c r="H8">
        <v>1248</v>
      </c>
      <c r="I8">
        <v>2857</v>
      </c>
    </row>
    <row r="9" spans="1:9" x14ac:dyDescent="0.25">
      <c r="A9">
        <v>230301</v>
      </c>
      <c r="B9" t="s">
        <v>168</v>
      </c>
      <c r="C9">
        <v>333914</v>
      </c>
      <c r="D9" t="s">
        <v>171</v>
      </c>
      <c r="E9">
        <v>248</v>
      </c>
      <c r="F9">
        <v>7</v>
      </c>
      <c r="G9">
        <v>47</v>
      </c>
      <c r="H9">
        <v>0</v>
      </c>
      <c r="I9">
        <v>302</v>
      </c>
    </row>
    <row r="10" spans="1:9" x14ac:dyDescent="0.25">
      <c r="A10">
        <v>230301</v>
      </c>
      <c r="B10" t="s">
        <v>168</v>
      </c>
      <c r="C10">
        <v>334512</v>
      </c>
      <c r="D10" t="s">
        <v>172</v>
      </c>
      <c r="E10">
        <v>206</v>
      </c>
      <c r="F10">
        <v>6</v>
      </c>
      <c r="G10">
        <v>40</v>
      </c>
      <c r="H10">
        <v>0</v>
      </c>
      <c r="I10">
        <v>252</v>
      </c>
    </row>
    <row r="11" spans="1:9" x14ac:dyDescent="0.25">
      <c r="A11">
        <v>230301</v>
      </c>
      <c r="B11" t="s">
        <v>168</v>
      </c>
      <c r="C11">
        <v>335312</v>
      </c>
      <c r="D11" t="s">
        <v>173</v>
      </c>
      <c r="E11">
        <v>174</v>
      </c>
      <c r="F11">
        <v>2</v>
      </c>
      <c r="G11">
        <v>55</v>
      </c>
      <c r="H11">
        <v>232</v>
      </c>
      <c r="I11">
        <v>462</v>
      </c>
    </row>
    <row r="12" spans="1:9" x14ac:dyDescent="0.25">
      <c r="A12">
        <v>230302</v>
      </c>
      <c r="B12" t="s">
        <v>174</v>
      </c>
      <c r="C12">
        <v>333414</v>
      </c>
      <c r="D12" t="s">
        <v>169</v>
      </c>
      <c r="E12">
        <v>137</v>
      </c>
      <c r="F12">
        <v>4</v>
      </c>
      <c r="G12">
        <v>62</v>
      </c>
      <c r="H12">
        <v>70</v>
      </c>
      <c r="I12">
        <v>272</v>
      </c>
    </row>
    <row r="13" spans="1:9" x14ac:dyDescent="0.25">
      <c r="A13">
        <v>230302</v>
      </c>
      <c r="B13" t="s">
        <v>174</v>
      </c>
      <c r="C13">
        <v>333415</v>
      </c>
      <c r="D13" t="s">
        <v>170</v>
      </c>
      <c r="E13">
        <v>662</v>
      </c>
      <c r="F13">
        <v>19</v>
      </c>
      <c r="G13">
        <v>83</v>
      </c>
      <c r="H13">
        <v>611</v>
      </c>
      <c r="I13">
        <v>1375</v>
      </c>
    </row>
    <row r="14" spans="1:9" x14ac:dyDescent="0.25">
      <c r="A14">
        <v>230302</v>
      </c>
      <c r="B14" t="s">
        <v>174</v>
      </c>
      <c r="C14">
        <v>333914</v>
      </c>
      <c r="D14" t="s">
        <v>171</v>
      </c>
      <c r="E14">
        <v>335</v>
      </c>
      <c r="F14">
        <v>10</v>
      </c>
      <c r="G14">
        <v>64</v>
      </c>
      <c r="H14">
        <v>0</v>
      </c>
      <c r="I14">
        <v>408</v>
      </c>
    </row>
    <row r="15" spans="1:9" x14ac:dyDescent="0.25">
      <c r="A15">
        <v>230302</v>
      </c>
      <c r="B15" t="s">
        <v>174</v>
      </c>
      <c r="C15">
        <v>334512</v>
      </c>
      <c r="D15" t="s">
        <v>172</v>
      </c>
      <c r="E15">
        <v>118</v>
      </c>
      <c r="F15">
        <v>3</v>
      </c>
      <c r="G15">
        <v>23</v>
      </c>
      <c r="H15">
        <v>0</v>
      </c>
      <c r="I15">
        <v>145</v>
      </c>
    </row>
    <row r="16" spans="1:9" x14ac:dyDescent="0.25">
      <c r="A16">
        <v>230302</v>
      </c>
      <c r="B16" t="s">
        <v>174</v>
      </c>
      <c r="C16">
        <v>335312</v>
      </c>
      <c r="D16" t="s">
        <v>173</v>
      </c>
      <c r="E16">
        <v>58</v>
      </c>
      <c r="F16">
        <v>1</v>
      </c>
      <c r="G16">
        <v>18</v>
      </c>
      <c r="H16">
        <v>87</v>
      </c>
      <c r="I16">
        <v>164</v>
      </c>
    </row>
    <row r="17" spans="1:9" x14ac:dyDescent="0.25">
      <c r="A17">
        <v>233210</v>
      </c>
      <c r="B17" t="s">
        <v>175</v>
      </c>
      <c r="C17">
        <v>333413</v>
      </c>
      <c r="D17" t="s">
        <v>176</v>
      </c>
      <c r="E17">
        <v>121</v>
      </c>
      <c r="F17">
        <v>4</v>
      </c>
      <c r="G17">
        <v>54</v>
      </c>
      <c r="H17">
        <v>0</v>
      </c>
      <c r="I17">
        <v>179</v>
      </c>
    </row>
    <row r="18" spans="1:9" x14ac:dyDescent="0.25">
      <c r="A18">
        <v>233210</v>
      </c>
      <c r="B18" t="s">
        <v>175</v>
      </c>
      <c r="C18">
        <v>333414</v>
      </c>
      <c r="D18" t="s">
        <v>169</v>
      </c>
      <c r="E18">
        <v>96</v>
      </c>
      <c r="F18">
        <v>3</v>
      </c>
      <c r="G18">
        <v>43</v>
      </c>
      <c r="H18">
        <v>1</v>
      </c>
      <c r="I18">
        <v>143</v>
      </c>
    </row>
    <row r="19" spans="1:9" x14ac:dyDescent="0.25">
      <c r="A19">
        <v>233210</v>
      </c>
      <c r="B19" t="s">
        <v>175</v>
      </c>
      <c r="C19">
        <v>333415</v>
      </c>
      <c r="D19" t="s">
        <v>170</v>
      </c>
      <c r="E19">
        <v>248</v>
      </c>
      <c r="F19">
        <v>7</v>
      </c>
      <c r="G19">
        <v>66</v>
      </c>
      <c r="H19">
        <v>4</v>
      </c>
      <c r="I19">
        <v>326</v>
      </c>
    </row>
    <row r="20" spans="1:9" x14ac:dyDescent="0.25">
      <c r="A20">
        <v>233210</v>
      </c>
      <c r="B20" t="s">
        <v>175</v>
      </c>
      <c r="C20">
        <v>333914</v>
      </c>
      <c r="D20" t="s">
        <v>171</v>
      </c>
      <c r="E20">
        <v>88</v>
      </c>
      <c r="F20">
        <v>3</v>
      </c>
      <c r="G20">
        <v>17</v>
      </c>
      <c r="H20">
        <v>0</v>
      </c>
      <c r="I20">
        <v>108</v>
      </c>
    </row>
    <row r="21" spans="1:9" x14ac:dyDescent="0.25">
      <c r="A21">
        <v>233210</v>
      </c>
      <c r="B21" t="s">
        <v>175</v>
      </c>
      <c r="C21">
        <v>334512</v>
      </c>
      <c r="D21" t="s">
        <v>172</v>
      </c>
      <c r="E21">
        <v>45</v>
      </c>
      <c r="F21">
        <v>1</v>
      </c>
      <c r="G21">
        <v>9</v>
      </c>
      <c r="H21">
        <v>0</v>
      </c>
      <c r="I21">
        <v>55</v>
      </c>
    </row>
    <row r="22" spans="1:9" x14ac:dyDescent="0.25">
      <c r="A22">
        <v>233210</v>
      </c>
      <c r="B22" t="s">
        <v>175</v>
      </c>
      <c r="C22">
        <v>335312</v>
      </c>
      <c r="D22" t="s">
        <v>173</v>
      </c>
      <c r="E22">
        <v>143</v>
      </c>
      <c r="F22">
        <v>1</v>
      </c>
      <c r="G22">
        <v>45</v>
      </c>
      <c r="H22">
        <v>7</v>
      </c>
      <c r="I22">
        <v>196</v>
      </c>
    </row>
    <row r="23" spans="1:9" x14ac:dyDescent="0.25">
      <c r="A23">
        <v>233210</v>
      </c>
      <c r="B23" t="s">
        <v>175</v>
      </c>
      <c r="C23">
        <v>335314</v>
      </c>
      <c r="D23" t="s">
        <v>177</v>
      </c>
      <c r="E23">
        <v>0</v>
      </c>
      <c r="F23">
        <v>0</v>
      </c>
      <c r="G23">
        <v>0</v>
      </c>
      <c r="H23">
        <v>0</v>
      </c>
      <c r="I23">
        <v>0</v>
      </c>
    </row>
    <row r="24" spans="1:9" x14ac:dyDescent="0.25">
      <c r="A24">
        <v>233230</v>
      </c>
      <c r="B24" t="s">
        <v>178</v>
      </c>
      <c r="C24">
        <v>333413</v>
      </c>
      <c r="D24" t="s">
        <v>176</v>
      </c>
      <c r="E24">
        <v>168</v>
      </c>
      <c r="F24">
        <v>5</v>
      </c>
      <c r="G24">
        <v>71</v>
      </c>
      <c r="H24">
        <v>0</v>
      </c>
      <c r="I24">
        <v>243</v>
      </c>
    </row>
    <row r="25" spans="1:9" x14ac:dyDescent="0.25">
      <c r="A25">
        <v>233230</v>
      </c>
      <c r="B25" t="s">
        <v>178</v>
      </c>
      <c r="C25">
        <v>333414</v>
      </c>
      <c r="D25" t="s">
        <v>169</v>
      </c>
      <c r="E25">
        <v>160</v>
      </c>
      <c r="F25">
        <v>5</v>
      </c>
      <c r="G25">
        <v>72</v>
      </c>
      <c r="H25">
        <v>0</v>
      </c>
      <c r="I25">
        <v>238</v>
      </c>
    </row>
    <row r="26" spans="1:9" x14ac:dyDescent="0.25">
      <c r="A26">
        <v>233230</v>
      </c>
      <c r="B26" t="s">
        <v>178</v>
      </c>
      <c r="C26">
        <v>333415</v>
      </c>
      <c r="D26" t="s">
        <v>170</v>
      </c>
      <c r="E26">
        <v>275</v>
      </c>
      <c r="F26">
        <v>8</v>
      </c>
      <c r="G26">
        <v>120</v>
      </c>
      <c r="H26">
        <v>0</v>
      </c>
      <c r="I26">
        <v>403</v>
      </c>
    </row>
    <row r="27" spans="1:9" x14ac:dyDescent="0.25">
      <c r="A27">
        <v>233230</v>
      </c>
      <c r="B27" t="s">
        <v>178</v>
      </c>
      <c r="C27">
        <v>333914</v>
      </c>
      <c r="D27" t="s">
        <v>171</v>
      </c>
      <c r="E27">
        <v>88</v>
      </c>
      <c r="F27">
        <v>3</v>
      </c>
      <c r="G27">
        <v>17</v>
      </c>
      <c r="H27">
        <v>0</v>
      </c>
      <c r="I27">
        <v>107</v>
      </c>
    </row>
    <row r="28" spans="1:9" x14ac:dyDescent="0.25">
      <c r="A28">
        <v>233230</v>
      </c>
      <c r="B28" t="s">
        <v>178</v>
      </c>
      <c r="C28">
        <v>334512</v>
      </c>
      <c r="D28" t="s">
        <v>172</v>
      </c>
      <c r="E28">
        <v>9</v>
      </c>
      <c r="F28">
        <v>0</v>
      </c>
      <c r="G28">
        <v>2</v>
      </c>
      <c r="H28">
        <v>0</v>
      </c>
      <c r="I28">
        <v>11</v>
      </c>
    </row>
    <row r="29" spans="1:9" x14ac:dyDescent="0.25">
      <c r="A29">
        <v>233230</v>
      </c>
      <c r="B29" t="s">
        <v>178</v>
      </c>
      <c r="C29">
        <v>335312</v>
      </c>
      <c r="D29" t="s">
        <v>173</v>
      </c>
      <c r="E29">
        <v>3</v>
      </c>
      <c r="F29">
        <v>0</v>
      </c>
      <c r="G29">
        <v>1</v>
      </c>
      <c r="H29">
        <v>0</v>
      </c>
      <c r="I29">
        <v>4</v>
      </c>
    </row>
    <row r="30" spans="1:9" x14ac:dyDescent="0.25">
      <c r="A30">
        <v>233230</v>
      </c>
      <c r="B30" t="s">
        <v>178</v>
      </c>
      <c r="C30">
        <v>335314</v>
      </c>
      <c r="D30" t="s">
        <v>177</v>
      </c>
      <c r="E30">
        <v>0</v>
      </c>
      <c r="F30">
        <v>0</v>
      </c>
      <c r="G30">
        <v>0</v>
      </c>
      <c r="H30">
        <v>0</v>
      </c>
      <c r="I30">
        <v>0</v>
      </c>
    </row>
    <row r="31" spans="1:9" x14ac:dyDescent="0.25">
      <c r="A31">
        <v>233240</v>
      </c>
      <c r="B31" t="s">
        <v>179</v>
      </c>
      <c r="C31">
        <v>333413</v>
      </c>
      <c r="D31" t="s">
        <v>176</v>
      </c>
      <c r="E31">
        <v>23</v>
      </c>
      <c r="F31">
        <v>1</v>
      </c>
      <c r="G31">
        <v>9</v>
      </c>
      <c r="H31">
        <v>0</v>
      </c>
      <c r="I31">
        <v>33</v>
      </c>
    </row>
    <row r="32" spans="1:9" x14ac:dyDescent="0.25">
      <c r="A32">
        <v>233240</v>
      </c>
      <c r="B32" t="s">
        <v>179</v>
      </c>
      <c r="C32">
        <v>333414</v>
      </c>
      <c r="D32" t="s">
        <v>169</v>
      </c>
      <c r="E32">
        <v>19</v>
      </c>
      <c r="F32">
        <v>1</v>
      </c>
      <c r="G32">
        <v>9</v>
      </c>
      <c r="H32">
        <v>0</v>
      </c>
      <c r="I32">
        <v>29</v>
      </c>
    </row>
    <row r="33" spans="1:9" x14ac:dyDescent="0.25">
      <c r="A33">
        <v>233240</v>
      </c>
      <c r="B33" t="s">
        <v>179</v>
      </c>
      <c r="C33">
        <v>333415</v>
      </c>
      <c r="D33" t="s">
        <v>170</v>
      </c>
      <c r="E33">
        <v>207</v>
      </c>
      <c r="F33">
        <v>6</v>
      </c>
      <c r="G33">
        <v>70</v>
      </c>
      <c r="H33">
        <v>0</v>
      </c>
      <c r="I33">
        <v>284</v>
      </c>
    </row>
    <row r="34" spans="1:9" x14ac:dyDescent="0.25">
      <c r="A34">
        <v>233240</v>
      </c>
      <c r="B34" t="s">
        <v>179</v>
      </c>
      <c r="C34">
        <v>333914</v>
      </c>
      <c r="D34" t="s">
        <v>171</v>
      </c>
      <c r="E34">
        <v>12</v>
      </c>
      <c r="F34">
        <v>0</v>
      </c>
      <c r="G34">
        <v>2</v>
      </c>
      <c r="H34">
        <v>0</v>
      </c>
      <c r="I34">
        <v>14</v>
      </c>
    </row>
    <row r="35" spans="1:9" x14ac:dyDescent="0.25">
      <c r="A35">
        <v>233240</v>
      </c>
      <c r="B35" t="s">
        <v>179</v>
      </c>
      <c r="C35">
        <v>335312</v>
      </c>
      <c r="D35" t="s">
        <v>173</v>
      </c>
      <c r="E35">
        <v>18</v>
      </c>
      <c r="F35">
        <v>0</v>
      </c>
      <c r="G35">
        <v>6</v>
      </c>
      <c r="H35">
        <v>27</v>
      </c>
      <c r="I35">
        <v>50</v>
      </c>
    </row>
    <row r="36" spans="1:9" x14ac:dyDescent="0.25">
      <c r="A36">
        <v>233262</v>
      </c>
      <c r="B36" t="s">
        <v>180</v>
      </c>
      <c r="C36">
        <v>333413</v>
      </c>
      <c r="D36" t="s">
        <v>176</v>
      </c>
      <c r="E36">
        <v>160</v>
      </c>
      <c r="F36">
        <v>5</v>
      </c>
      <c r="G36">
        <v>71</v>
      </c>
      <c r="H36">
        <v>0</v>
      </c>
      <c r="I36">
        <v>236</v>
      </c>
    </row>
    <row r="37" spans="1:9" x14ac:dyDescent="0.25">
      <c r="A37">
        <v>233262</v>
      </c>
      <c r="B37" t="s">
        <v>180</v>
      </c>
      <c r="C37">
        <v>333414</v>
      </c>
      <c r="D37" t="s">
        <v>169</v>
      </c>
      <c r="E37">
        <v>342</v>
      </c>
      <c r="F37">
        <v>10</v>
      </c>
      <c r="G37">
        <v>155</v>
      </c>
      <c r="H37">
        <v>0</v>
      </c>
      <c r="I37">
        <v>507</v>
      </c>
    </row>
    <row r="38" spans="1:9" x14ac:dyDescent="0.25">
      <c r="A38">
        <v>233262</v>
      </c>
      <c r="B38" t="s">
        <v>180</v>
      </c>
      <c r="C38">
        <v>333415</v>
      </c>
      <c r="D38" t="s">
        <v>170</v>
      </c>
      <c r="E38">
        <v>1455</v>
      </c>
      <c r="F38">
        <v>42</v>
      </c>
      <c r="G38">
        <v>654</v>
      </c>
      <c r="H38">
        <v>0</v>
      </c>
      <c r="I38">
        <v>2151</v>
      </c>
    </row>
    <row r="39" spans="1:9" x14ac:dyDescent="0.25">
      <c r="A39">
        <v>233262</v>
      </c>
      <c r="B39" t="s">
        <v>180</v>
      </c>
      <c r="C39">
        <v>333914</v>
      </c>
      <c r="D39" t="s">
        <v>171</v>
      </c>
      <c r="E39">
        <v>468</v>
      </c>
      <c r="F39">
        <v>14</v>
      </c>
      <c r="G39">
        <v>89</v>
      </c>
      <c r="H39">
        <v>0</v>
      </c>
      <c r="I39">
        <v>571</v>
      </c>
    </row>
    <row r="40" spans="1:9" x14ac:dyDescent="0.25">
      <c r="A40">
        <v>233262</v>
      </c>
      <c r="B40" t="s">
        <v>180</v>
      </c>
      <c r="C40">
        <v>334512</v>
      </c>
      <c r="D40" t="s">
        <v>172</v>
      </c>
      <c r="E40">
        <v>776</v>
      </c>
      <c r="F40">
        <v>23</v>
      </c>
      <c r="G40">
        <v>151</v>
      </c>
      <c r="H40">
        <v>0</v>
      </c>
      <c r="I40">
        <v>950</v>
      </c>
    </row>
    <row r="41" spans="1:9" x14ac:dyDescent="0.25">
      <c r="A41">
        <v>233262</v>
      </c>
      <c r="B41" t="s">
        <v>180</v>
      </c>
      <c r="C41">
        <v>335312</v>
      </c>
      <c r="D41" t="s">
        <v>173</v>
      </c>
      <c r="E41">
        <v>332</v>
      </c>
      <c r="F41">
        <v>3</v>
      </c>
      <c r="G41">
        <v>104</v>
      </c>
      <c r="H41">
        <v>0</v>
      </c>
      <c r="I41">
        <v>439</v>
      </c>
    </row>
    <row r="42" spans="1:9" x14ac:dyDescent="0.25">
      <c r="A42">
        <v>233262</v>
      </c>
      <c r="B42" t="s">
        <v>180</v>
      </c>
      <c r="C42">
        <v>335314</v>
      </c>
      <c r="D42" t="s">
        <v>177</v>
      </c>
      <c r="E42">
        <v>0</v>
      </c>
      <c r="F42">
        <v>0</v>
      </c>
      <c r="G42">
        <v>0</v>
      </c>
      <c r="H42">
        <v>0</v>
      </c>
      <c r="I42">
        <v>0</v>
      </c>
    </row>
    <row r="43" spans="1:9" x14ac:dyDescent="0.25">
      <c r="A43" t="s">
        <v>181</v>
      </c>
      <c r="B43" t="s">
        <v>182</v>
      </c>
      <c r="C43">
        <v>333413</v>
      </c>
      <c r="D43" t="s">
        <v>176</v>
      </c>
      <c r="E43">
        <v>245</v>
      </c>
      <c r="F43">
        <v>7</v>
      </c>
      <c r="G43">
        <v>68</v>
      </c>
      <c r="H43">
        <v>0</v>
      </c>
      <c r="I43">
        <v>320</v>
      </c>
    </row>
    <row r="44" spans="1:9" x14ac:dyDescent="0.25">
      <c r="A44" t="s">
        <v>181</v>
      </c>
      <c r="B44" t="s">
        <v>182</v>
      </c>
      <c r="C44">
        <v>333414</v>
      </c>
      <c r="D44" t="s">
        <v>169</v>
      </c>
      <c r="E44">
        <v>401</v>
      </c>
      <c r="F44">
        <v>12</v>
      </c>
      <c r="G44">
        <v>181</v>
      </c>
      <c r="H44">
        <v>0</v>
      </c>
      <c r="I44">
        <v>594</v>
      </c>
    </row>
    <row r="45" spans="1:9" x14ac:dyDescent="0.25">
      <c r="A45" t="s">
        <v>181</v>
      </c>
      <c r="B45" t="s">
        <v>182</v>
      </c>
      <c r="C45">
        <v>333415</v>
      </c>
      <c r="D45" t="s">
        <v>170</v>
      </c>
      <c r="E45">
        <v>2372</v>
      </c>
      <c r="F45">
        <v>69</v>
      </c>
      <c r="G45">
        <v>382</v>
      </c>
      <c r="H45">
        <v>30</v>
      </c>
      <c r="I45">
        <v>2852</v>
      </c>
    </row>
    <row r="46" spans="1:9" x14ac:dyDescent="0.25">
      <c r="A46" t="s">
        <v>181</v>
      </c>
      <c r="B46" t="s">
        <v>182</v>
      </c>
      <c r="C46">
        <v>333914</v>
      </c>
      <c r="D46" t="s">
        <v>171</v>
      </c>
      <c r="E46">
        <v>168</v>
      </c>
      <c r="F46">
        <v>5</v>
      </c>
      <c r="G46">
        <v>32</v>
      </c>
      <c r="H46">
        <v>0</v>
      </c>
      <c r="I46">
        <v>205</v>
      </c>
    </row>
    <row r="47" spans="1:9" x14ac:dyDescent="0.25">
      <c r="A47" t="s">
        <v>181</v>
      </c>
      <c r="B47" t="s">
        <v>182</v>
      </c>
      <c r="C47">
        <v>334512</v>
      </c>
      <c r="D47" t="s">
        <v>172</v>
      </c>
      <c r="E47">
        <v>340</v>
      </c>
      <c r="F47">
        <v>10</v>
      </c>
      <c r="G47">
        <v>66</v>
      </c>
      <c r="H47">
        <v>0</v>
      </c>
      <c r="I47">
        <v>416</v>
      </c>
    </row>
    <row r="48" spans="1:9" x14ac:dyDescent="0.25">
      <c r="A48" t="s">
        <v>181</v>
      </c>
      <c r="B48" t="s">
        <v>182</v>
      </c>
      <c r="C48">
        <v>335312</v>
      </c>
      <c r="D48" t="s">
        <v>173</v>
      </c>
      <c r="E48">
        <v>89</v>
      </c>
      <c r="F48">
        <v>1</v>
      </c>
      <c r="G48">
        <v>28</v>
      </c>
      <c r="H48">
        <v>0</v>
      </c>
      <c r="I48">
        <v>118</v>
      </c>
    </row>
    <row r="49" spans="1:9" x14ac:dyDescent="0.25">
      <c r="A49" t="s">
        <v>181</v>
      </c>
      <c r="B49" t="s">
        <v>182</v>
      </c>
      <c r="C49">
        <v>335314</v>
      </c>
      <c r="D49" t="s">
        <v>177</v>
      </c>
      <c r="E49">
        <v>0</v>
      </c>
      <c r="F49">
        <v>0</v>
      </c>
      <c r="G49">
        <v>0</v>
      </c>
      <c r="H49">
        <v>0</v>
      </c>
      <c r="I49">
        <v>0</v>
      </c>
    </row>
    <row r="50" spans="1:9" x14ac:dyDescent="0.25">
      <c r="A50" t="s">
        <v>183</v>
      </c>
      <c r="B50" t="s">
        <v>184</v>
      </c>
      <c r="C50">
        <v>333413</v>
      </c>
      <c r="D50" t="s">
        <v>176</v>
      </c>
      <c r="E50">
        <v>147</v>
      </c>
      <c r="F50">
        <v>4</v>
      </c>
      <c r="G50">
        <v>67</v>
      </c>
      <c r="H50">
        <v>0</v>
      </c>
      <c r="I50">
        <v>218</v>
      </c>
    </row>
    <row r="51" spans="1:9" x14ac:dyDescent="0.25">
      <c r="A51" t="s">
        <v>183</v>
      </c>
      <c r="B51" t="s">
        <v>184</v>
      </c>
      <c r="C51">
        <v>333414</v>
      </c>
      <c r="D51" t="s">
        <v>169</v>
      </c>
      <c r="E51">
        <v>139</v>
      </c>
      <c r="F51">
        <v>4</v>
      </c>
      <c r="G51">
        <v>63</v>
      </c>
      <c r="H51">
        <v>0</v>
      </c>
      <c r="I51">
        <v>206</v>
      </c>
    </row>
    <row r="52" spans="1:9" x14ac:dyDescent="0.25">
      <c r="A52" t="s">
        <v>183</v>
      </c>
      <c r="B52" t="s">
        <v>184</v>
      </c>
      <c r="C52">
        <v>333415</v>
      </c>
      <c r="D52" t="s">
        <v>170</v>
      </c>
      <c r="E52">
        <v>393</v>
      </c>
      <c r="F52">
        <v>11</v>
      </c>
      <c r="G52">
        <v>105</v>
      </c>
      <c r="H52">
        <v>0</v>
      </c>
      <c r="I52">
        <v>509</v>
      </c>
    </row>
    <row r="53" spans="1:9" x14ac:dyDescent="0.25">
      <c r="A53" t="s">
        <v>183</v>
      </c>
      <c r="B53" t="s">
        <v>184</v>
      </c>
      <c r="C53">
        <v>333914</v>
      </c>
      <c r="D53" t="s">
        <v>171</v>
      </c>
      <c r="E53">
        <v>319</v>
      </c>
      <c r="F53">
        <v>9</v>
      </c>
      <c r="G53">
        <v>61</v>
      </c>
      <c r="H53">
        <v>0</v>
      </c>
      <c r="I53">
        <v>389</v>
      </c>
    </row>
    <row r="54" spans="1:9" x14ac:dyDescent="0.25">
      <c r="A54" t="s">
        <v>183</v>
      </c>
      <c r="B54" t="s">
        <v>184</v>
      </c>
      <c r="C54">
        <v>334512</v>
      </c>
      <c r="D54" t="s">
        <v>172</v>
      </c>
      <c r="E54">
        <v>12</v>
      </c>
      <c r="F54">
        <v>0</v>
      </c>
      <c r="G54">
        <v>2</v>
      </c>
      <c r="H54">
        <v>0</v>
      </c>
      <c r="I54">
        <v>15</v>
      </c>
    </row>
    <row r="55" spans="1:9" x14ac:dyDescent="0.25">
      <c r="A55" t="s">
        <v>183</v>
      </c>
      <c r="B55" t="s">
        <v>184</v>
      </c>
      <c r="C55">
        <v>335312</v>
      </c>
      <c r="D55" t="s">
        <v>173</v>
      </c>
      <c r="E55">
        <v>16</v>
      </c>
      <c r="F55">
        <v>0</v>
      </c>
      <c r="G55">
        <v>5</v>
      </c>
      <c r="H55">
        <v>0</v>
      </c>
      <c r="I55">
        <v>21</v>
      </c>
    </row>
    <row r="56" spans="1:9" x14ac:dyDescent="0.25">
      <c r="A56" t="s">
        <v>185</v>
      </c>
      <c r="B56" t="s">
        <v>186</v>
      </c>
      <c r="C56">
        <v>333413</v>
      </c>
      <c r="D56" t="s">
        <v>176</v>
      </c>
      <c r="E56">
        <v>118</v>
      </c>
      <c r="F56">
        <v>3</v>
      </c>
      <c r="G56">
        <v>27</v>
      </c>
      <c r="H56">
        <v>0</v>
      </c>
      <c r="I56">
        <v>149</v>
      </c>
    </row>
    <row r="57" spans="1:9" x14ac:dyDescent="0.25">
      <c r="A57" t="s">
        <v>185</v>
      </c>
      <c r="B57" t="s">
        <v>186</v>
      </c>
      <c r="C57">
        <v>333414</v>
      </c>
      <c r="D57" t="s">
        <v>169</v>
      </c>
      <c r="E57">
        <v>168</v>
      </c>
      <c r="F57">
        <v>5</v>
      </c>
      <c r="G57">
        <v>76</v>
      </c>
      <c r="H57">
        <v>90</v>
      </c>
      <c r="I57">
        <v>339</v>
      </c>
    </row>
    <row r="58" spans="1:9" x14ac:dyDescent="0.25">
      <c r="A58" t="s">
        <v>185</v>
      </c>
      <c r="B58" t="s">
        <v>186</v>
      </c>
      <c r="C58">
        <v>333415</v>
      </c>
      <c r="D58" t="s">
        <v>170</v>
      </c>
      <c r="E58">
        <v>531</v>
      </c>
      <c r="F58">
        <v>15</v>
      </c>
      <c r="G58">
        <v>87</v>
      </c>
      <c r="H58">
        <v>353</v>
      </c>
      <c r="I58">
        <v>986</v>
      </c>
    </row>
    <row r="59" spans="1:9" x14ac:dyDescent="0.25">
      <c r="A59" t="s">
        <v>185</v>
      </c>
      <c r="B59" t="s">
        <v>186</v>
      </c>
      <c r="C59">
        <v>333914</v>
      </c>
      <c r="D59" t="s">
        <v>171</v>
      </c>
      <c r="E59">
        <v>608</v>
      </c>
      <c r="F59">
        <v>18</v>
      </c>
      <c r="G59">
        <v>116</v>
      </c>
      <c r="H59">
        <v>0</v>
      </c>
      <c r="I59">
        <v>741</v>
      </c>
    </row>
    <row r="60" spans="1:9" x14ac:dyDescent="0.25">
      <c r="A60" t="s">
        <v>185</v>
      </c>
      <c r="B60" t="s">
        <v>186</v>
      </c>
      <c r="C60">
        <v>334512</v>
      </c>
      <c r="D60" t="s">
        <v>172</v>
      </c>
      <c r="E60">
        <v>61</v>
      </c>
      <c r="F60">
        <v>2</v>
      </c>
      <c r="G60">
        <v>12</v>
      </c>
      <c r="H60">
        <v>0</v>
      </c>
      <c r="I60">
        <v>75</v>
      </c>
    </row>
    <row r="61" spans="1:9" x14ac:dyDescent="0.25">
      <c r="A61" t="s">
        <v>185</v>
      </c>
      <c r="B61" t="s">
        <v>186</v>
      </c>
      <c r="C61">
        <v>335312</v>
      </c>
      <c r="D61" t="s">
        <v>173</v>
      </c>
      <c r="E61">
        <v>62</v>
      </c>
      <c r="F61">
        <v>1</v>
      </c>
      <c r="G61">
        <v>19</v>
      </c>
      <c r="H61">
        <v>85</v>
      </c>
      <c r="I61">
        <v>167</v>
      </c>
    </row>
    <row r="62" spans="1:9" x14ac:dyDescent="0.25">
      <c r="A62">
        <v>233411</v>
      </c>
      <c r="B62" t="s">
        <v>187</v>
      </c>
      <c r="C62">
        <v>333413</v>
      </c>
      <c r="D62" t="s">
        <v>176</v>
      </c>
      <c r="E62">
        <v>63</v>
      </c>
      <c r="F62">
        <v>2</v>
      </c>
      <c r="G62">
        <v>28</v>
      </c>
      <c r="H62">
        <v>0</v>
      </c>
      <c r="I62">
        <v>93</v>
      </c>
    </row>
    <row r="63" spans="1:9" x14ac:dyDescent="0.25">
      <c r="A63">
        <v>233411</v>
      </c>
      <c r="B63" t="s">
        <v>187</v>
      </c>
      <c r="C63">
        <v>333414</v>
      </c>
      <c r="D63" t="s">
        <v>169</v>
      </c>
      <c r="E63">
        <v>294</v>
      </c>
      <c r="F63">
        <v>9</v>
      </c>
      <c r="G63">
        <v>133</v>
      </c>
      <c r="H63">
        <v>249</v>
      </c>
      <c r="I63">
        <v>684</v>
      </c>
    </row>
    <row r="64" spans="1:9" x14ac:dyDescent="0.25">
      <c r="A64">
        <v>233411</v>
      </c>
      <c r="B64" t="s">
        <v>187</v>
      </c>
      <c r="C64">
        <v>333415</v>
      </c>
      <c r="D64" t="s">
        <v>170</v>
      </c>
      <c r="E64">
        <v>992</v>
      </c>
      <c r="F64">
        <v>29</v>
      </c>
      <c r="G64">
        <v>364</v>
      </c>
      <c r="H64">
        <v>1094</v>
      </c>
      <c r="I64">
        <v>2480</v>
      </c>
    </row>
    <row r="65" spans="1:9" x14ac:dyDescent="0.25">
      <c r="A65">
        <v>233411</v>
      </c>
      <c r="B65" t="s">
        <v>187</v>
      </c>
      <c r="C65">
        <v>333914</v>
      </c>
      <c r="D65" t="s">
        <v>171</v>
      </c>
      <c r="E65">
        <v>1511</v>
      </c>
      <c r="F65">
        <v>44</v>
      </c>
      <c r="G65">
        <v>288</v>
      </c>
      <c r="H65">
        <v>0</v>
      </c>
      <c r="I65">
        <v>1842</v>
      </c>
    </row>
    <row r="66" spans="1:9" x14ac:dyDescent="0.25">
      <c r="A66">
        <v>233411</v>
      </c>
      <c r="B66" t="s">
        <v>187</v>
      </c>
      <c r="C66">
        <v>334512</v>
      </c>
      <c r="D66" t="s">
        <v>172</v>
      </c>
      <c r="E66">
        <v>126</v>
      </c>
      <c r="F66">
        <v>4</v>
      </c>
      <c r="G66">
        <v>25</v>
      </c>
      <c r="H66">
        <v>0</v>
      </c>
      <c r="I66">
        <v>154</v>
      </c>
    </row>
    <row r="67" spans="1:9" x14ac:dyDescent="0.25">
      <c r="A67">
        <v>233411</v>
      </c>
      <c r="B67" t="s">
        <v>187</v>
      </c>
      <c r="C67">
        <v>335312</v>
      </c>
      <c r="D67" t="s">
        <v>173</v>
      </c>
      <c r="E67">
        <v>95</v>
      </c>
      <c r="F67">
        <v>1</v>
      </c>
      <c r="G67">
        <v>30</v>
      </c>
      <c r="H67">
        <v>142</v>
      </c>
      <c r="I67">
        <v>267</v>
      </c>
    </row>
    <row r="68" spans="1:9" x14ac:dyDescent="0.25">
      <c r="A68">
        <v>233412</v>
      </c>
      <c r="B68" t="s">
        <v>188</v>
      </c>
      <c r="C68">
        <v>333413</v>
      </c>
      <c r="D68" t="s">
        <v>176</v>
      </c>
      <c r="E68">
        <v>66</v>
      </c>
      <c r="F68">
        <v>2</v>
      </c>
      <c r="G68">
        <v>28</v>
      </c>
      <c r="H68">
        <v>0</v>
      </c>
      <c r="I68">
        <v>97</v>
      </c>
    </row>
    <row r="69" spans="1:9" x14ac:dyDescent="0.25">
      <c r="A69">
        <v>233412</v>
      </c>
      <c r="B69" t="s">
        <v>188</v>
      </c>
      <c r="C69">
        <v>333414</v>
      </c>
      <c r="D69" t="s">
        <v>169</v>
      </c>
      <c r="E69">
        <v>87</v>
      </c>
      <c r="F69">
        <v>3</v>
      </c>
      <c r="G69">
        <v>39</v>
      </c>
      <c r="H69">
        <v>60</v>
      </c>
      <c r="I69">
        <v>189</v>
      </c>
    </row>
    <row r="70" spans="1:9" x14ac:dyDescent="0.25">
      <c r="A70">
        <v>233412</v>
      </c>
      <c r="B70" t="s">
        <v>188</v>
      </c>
      <c r="C70">
        <v>333415</v>
      </c>
      <c r="D70" t="s">
        <v>170</v>
      </c>
      <c r="E70">
        <v>376</v>
      </c>
      <c r="F70">
        <v>11</v>
      </c>
      <c r="G70">
        <v>48</v>
      </c>
      <c r="H70">
        <v>339</v>
      </c>
      <c r="I70">
        <v>774</v>
      </c>
    </row>
    <row r="71" spans="1:9" x14ac:dyDescent="0.25">
      <c r="A71">
        <v>233412</v>
      </c>
      <c r="B71" t="s">
        <v>188</v>
      </c>
      <c r="C71">
        <v>334512</v>
      </c>
      <c r="D71" t="s">
        <v>172</v>
      </c>
      <c r="E71">
        <v>35</v>
      </c>
      <c r="F71">
        <v>1</v>
      </c>
      <c r="G71">
        <v>7</v>
      </c>
      <c r="H71">
        <v>0</v>
      </c>
      <c r="I71">
        <v>42</v>
      </c>
    </row>
    <row r="72" spans="1:9" x14ac:dyDescent="0.25">
      <c r="A72">
        <v>233412</v>
      </c>
      <c r="B72" t="s">
        <v>188</v>
      </c>
      <c r="C72">
        <v>335312</v>
      </c>
      <c r="D72" t="s">
        <v>173</v>
      </c>
      <c r="E72">
        <v>8</v>
      </c>
      <c r="F72">
        <v>0</v>
      </c>
      <c r="G72">
        <v>2</v>
      </c>
      <c r="H72">
        <v>12</v>
      </c>
      <c r="I72">
        <v>22</v>
      </c>
    </row>
    <row r="73" spans="1:9" x14ac:dyDescent="0.25">
      <c r="A73" t="s">
        <v>189</v>
      </c>
      <c r="B73" t="s">
        <v>190</v>
      </c>
      <c r="C73">
        <v>333413</v>
      </c>
      <c r="D73" t="s">
        <v>176</v>
      </c>
      <c r="E73">
        <v>386</v>
      </c>
      <c r="F73">
        <v>11</v>
      </c>
      <c r="G73">
        <v>174</v>
      </c>
      <c r="H73">
        <v>0</v>
      </c>
      <c r="I73">
        <v>572</v>
      </c>
    </row>
    <row r="74" spans="1:9" x14ac:dyDescent="0.25">
      <c r="A74" t="s">
        <v>189</v>
      </c>
      <c r="B74" t="s">
        <v>190</v>
      </c>
      <c r="C74">
        <v>333414</v>
      </c>
      <c r="D74" t="s">
        <v>169</v>
      </c>
      <c r="E74">
        <v>405</v>
      </c>
      <c r="F74">
        <v>12</v>
      </c>
      <c r="G74">
        <v>183</v>
      </c>
      <c r="H74">
        <v>301</v>
      </c>
      <c r="I74">
        <v>900</v>
      </c>
    </row>
    <row r="75" spans="1:9" x14ac:dyDescent="0.25">
      <c r="A75" t="s">
        <v>189</v>
      </c>
      <c r="B75" t="s">
        <v>190</v>
      </c>
      <c r="C75">
        <v>333415</v>
      </c>
      <c r="D75" t="s">
        <v>170</v>
      </c>
      <c r="E75">
        <v>1676</v>
      </c>
      <c r="F75">
        <v>49</v>
      </c>
      <c r="G75">
        <v>273</v>
      </c>
      <c r="H75">
        <v>1454</v>
      </c>
      <c r="I75">
        <v>3452</v>
      </c>
    </row>
    <row r="76" spans="1:9" x14ac:dyDescent="0.25">
      <c r="A76" t="s">
        <v>189</v>
      </c>
      <c r="B76" t="s">
        <v>190</v>
      </c>
      <c r="C76">
        <v>333914</v>
      </c>
      <c r="D76" t="s">
        <v>171</v>
      </c>
      <c r="E76">
        <v>1003</v>
      </c>
      <c r="F76">
        <v>29</v>
      </c>
      <c r="G76">
        <v>191</v>
      </c>
      <c r="H76">
        <v>0</v>
      </c>
      <c r="I76">
        <v>1224</v>
      </c>
    </row>
    <row r="77" spans="1:9" x14ac:dyDescent="0.25">
      <c r="A77" t="s">
        <v>189</v>
      </c>
      <c r="B77" t="s">
        <v>190</v>
      </c>
      <c r="C77">
        <v>334512</v>
      </c>
      <c r="D77" t="s">
        <v>172</v>
      </c>
      <c r="E77">
        <v>867</v>
      </c>
      <c r="F77">
        <v>25</v>
      </c>
      <c r="G77">
        <v>169</v>
      </c>
      <c r="H77">
        <v>0</v>
      </c>
      <c r="I77">
        <v>1061</v>
      </c>
    </row>
    <row r="78" spans="1:9" x14ac:dyDescent="0.25">
      <c r="A78" t="s">
        <v>189</v>
      </c>
      <c r="B78" t="s">
        <v>190</v>
      </c>
      <c r="C78">
        <v>335312</v>
      </c>
      <c r="D78" t="s">
        <v>173</v>
      </c>
      <c r="E78">
        <v>66</v>
      </c>
      <c r="F78">
        <v>1</v>
      </c>
      <c r="G78">
        <v>21</v>
      </c>
      <c r="H78">
        <v>99</v>
      </c>
      <c r="I78">
        <v>185</v>
      </c>
    </row>
    <row r="80" spans="1:9" x14ac:dyDescent="0.25">
      <c r="A80" t="s">
        <v>191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8"/>
  <sheetViews>
    <sheetView workbookViewId="0"/>
  </sheetViews>
  <sheetFormatPr defaultRowHeight="15" x14ac:dyDescent="0.25"/>
  <cols>
    <col min="3" max="3" width="60" customWidth="1"/>
    <col min="5" max="6" width="60" customWidth="1"/>
  </cols>
  <sheetData>
    <row r="1" spans="1:6" x14ac:dyDescent="0.25">
      <c r="A1" s="1" t="s">
        <v>192</v>
      </c>
    </row>
    <row r="3" spans="1:6" ht="48" customHeight="1" x14ac:dyDescent="0.25">
      <c r="A3" s="6" t="s">
        <v>193</v>
      </c>
      <c r="B3" s="6" t="s">
        <v>194</v>
      </c>
      <c r="C3" s="6" t="s">
        <v>195</v>
      </c>
      <c r="D3" s="6" t="s">
        <v>196</v>
      </c>
      <c r="E3" s="6" t="s">
        <v>197</v>
      </c>
      <c r="F3" s="6" t="s">
        <v>198</v>
      </c>
    </row>
    <row r="4" spans="1:6" x14ac:dyDescent="0.25">
      <c r="B4">
        <v>334512</v>
      </c>
      <c r="C4" t="s">
        <v>199</v>
      </c>
      <c r="D4">
        <v>2651</v>
      </c>
      <c r="E4" t="s">
        <v>200</v>
      </c>
    </row>
    <row r="5" spans="1:6" x14ac:dyDescent="0.25">
      <c r="B5">
        <v>335312</v>
      </c>
      <c r="C5" t="s">
        <v>201</v>
      </c>
      <c r="D5">
        <v>2710</v>
      </c>
      <c r="E5" t="s">
        <v>202</v>
      </c>
    </row>
    <row r="6" spans="1:6" x14ac:dyDescent="0.25">
      <c r="B6">
        <v>333914</v>
      </c>
      <c r="C6" t="s">
        <v>203</v>
      </c>
      <c r="D6">
        <v>2813</v>
      </c>
      <c r="E6" t="s">
        <v>204</v>
      </c>
    </row>
    <row r="7" spans="1:6" x14ac:dyDescent="0.25">
      <c r="A7" t="s">
        <v>205</v>
      </c>
      <c r="B7">
        <v>333414</v>
      </c>
      <c r="C7" t="s">
        <v>206</v>
      </c>
      <c r="D7">
        <v>2512</v>
      </c>
      <c r="E7" t="s">
        <v>207</v>
      </c>
      <c r="F7" t="s">
        <v>208</v>
      </c>
    </row>
    <row r="8" spans="1:6" x14ac:dyDescent="0.25">
      <c r="A8" t="s">
        <v>205</v>
      </c>
      <c r="B8">
        <v>333414</v>
      </c>
      <c r="C8" t="s">
        <v>206</v>
      </c>
      <c r="D8">
        <v>2815</v>
      </c>
      <c r="E8" t="s">
        <v>209</v>
      </c>
      <c r="F8" t="s">
        <v>210</v>
      </c>
    </row>
    <row r="9" spans="1:6" x14ac:dyDescent="0.25">
      <c r="A9" t="s">
        <v>205</v>
      </c>
      <c r="B9">
        <v>333415</v>
      </c>
      <c r="C9" t="s">
        <v>211</v>
      </c>
      <c r="D9">
        <v>2813</v>
      </c>
      <c r="E9" t="s">
        <v>204</v>
      </c>
      <c r="F9" t="s">
        <v>212</v>
      </c>
    </row>
    <row r="10" spans="1:6" x14ac:dyDescent="0.25">
      <c r="A10" t="s">
        <v>205</v>
      </c>
      <c r="B10">
        <v>333415</v>
      </c>
      <c r="C10" t="s">
        <v>211</v>
      </c>
      <c r="D10">
        <v>2815</v>
      </c>
      <c r="E10" t="s">
        <v>209</v>
      </c>
      <c r="F10" t="s">
        <v>213</v>
      </c>
    </row>
    <row r="11" spans="1:6" x14ac:dyDescent="0.25">
      <c r="A11" t="s">
        <v>205</v>
      </c>
      <c r="B11">
        <v>333415</v>
      </c>
      <c r="C11" t="s">
        <v>211</v>
      </c>
      <c r="D11">
        <v>2819</v>
      </c>
      <c r="E11" t="s">
        <v>214</v>
      </c>
      <c r="F11" t="s">
        <v>215</v>
      </c>
    </row>
    <row r="12" spans="1:6" x14ac:dyDescent="0.25">
      <c r="B12">
        <v>236118</v>
      </c>
      <c r="C12" t="s">
        <v>216</v>
      </c>
      <c r="D12">
        <v>4100</v>
      </c>
      <c r="E12" t="s">
        <v>217</v>
      </c>
    </row>
    <row r="13" spans="1:6" x14ac:dyDescent="0.25">
      <c r="A13" t="s">
        <v>205</v>
      </c>
      <c r="B13">
        <v>238220</v>
      </c>
      <c r="C13" t="s">
        <v>218</v>
      </c>
      <c r="D13">
        <v>4322</v>
      </c>
      <c r="E13" t="s">
        <v>219</v>
      </c>
      <c r="F13" t="s">
        <v>220</v>
      </c>
    </row>
    <row r="14" spans="1:6" x14ac:dyDescent="0.25">
      <c r="A14" t="s">
        <v>205</v>
      </c>
      <c r="B14">
        <v>238310</v>
      </c>
      <c r="C14" t="s">
        <v>221</v>
      </c>
      <c r="D14">
        <v>4329</v>
      </c>
      <c r="E14" t="s">
        <v>222</v>
      </c>
      <c r="F14" t="s">
        <v>223</v>
      </c>
    </row>
    <row r="15" spans="1:6" x14ac:dyDescent="0.25">
      <c r="B15">
        <v>238160</v>
      </c>
      <c r="C15" t="s">
        <v>224</v>
      </c>
      <c r="D15">
        <v>4390</v>
      </c>
      <c r="E15" t="s">
        <v>225</v>
      </c>
    </row>
    <row r="16" spans="1:6" x14ac:dyDescent="0.25">
      <c r="B16">
        <v>238210</v>
      </c>
      <c r="C16" t="s">
        <v>226</v>
      </c>
      <c r="D16">
        <v>4321</v>
      </c>
      <c r="E16" t="s">
        <v>227</v>
      </c>
    </row>
    <row r="18" spans="1:1" x14ac:dyDescent="0.25">
      <c r="A18" t="s">
        <v>228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99"/>
  <sheetViews>
    <sheetView workbookViewId="0"/>
  </sheetViews>
  <sheetFormatPr defaultRowHeight="15" x14ac:dyDescent="0.25"/>
  <cols>
    <col min="1" max="1" width="24" customWidth="1"/>
    <col min="2" max="2" width="26" customWidth="1"/>
    <col min="3" max="3" width="22" customWidth="1"/>
  </cols>
  <sheetData>
    <row r="1" spans="1:53" x14ac:dyDescent="0.25">
      <c r="A1" s="1" t="s">
        <v>229</v>
      </c>
    </row>
    <row r="3" spans="1:53" x14ac:dyDescent="0.25">
      <c r="A3" s="1" t="s">
        <v>230</v>
      </c>
    </row>
    <row r="4" spans="1:53" x14ac:dyDescent="0.25">
      <c r="A4" t="s">
        <v>231</v>
      </c>
      <c r="B4" t="s">
        <v>232</v>
      </c>
      <c r="C4" t="s">
        <v>233</v>
      </c>
      <c r="D4" t="s">
        <v>234</v>
      </c>
      <c r="E4" t="s">
        <v>235</v>
      </c>
      <c r="F4" t="s">
        <v>236</v>
      </c>
      <c r="G4" t="s">
        <v>237</v>
      </c>
      <c r="H4" t="s">
        <v>238</v>
      </c>
      <c r="I4" t="s">
        <v>239</v>
      </c>
      <c r="J4" t="s">
        <v>240</v>
      </c>
      <c r="K4" t="s">
        <v>241</v>
      </c>
      <c r="L4" t="s">
        <v>242</v>
      </c>
      <c r="M4" t="s">
        <v>243</v>
      </c>
      <c r="N4" t="s">
        <v>244</v>
      </c>
      <c r="O4" t="s">
        <v>245</v>
      </c>
      <c r="P4" t="s">
        <v>246</v>
      </c>
      <c r="Q4" t="s">
        <v>247</v>
      </c>
      <c r="R4" t="s">
        <v>248</v>
      </c>
      <c r="S4" t="s">
        <v>249</v>
      </c>
      <c r="T4" t="s">
        <v>250</v>
      </c>
      <c r="U4" t="s">
        <v>251</v>
      </c>
      <c r="V4" t="s">
        <v>252</v>
      </c>
      <c r="W4" t="s">
        <v>253</v>
      </c>
      <c r="X4" t="s">
        <v>254</v>
      </c>
      <c r="Y4" t="s">
        <v>255</v>
      </c>
      <c r="Z4" t="s">
        <v>256</v>
      </c>
      <c r="AA4" t="s">
        <v>257</v>
      </c>
      <c r="AB4" t="s">
        <v>258</v>
      </c>
      <c r="AC4" t="s">
        <v>259</v>
      </c>
      <c r="AD4" t="s">
        <v>260</v>
      </c>
      <c r="AE4" t="s">
        <v>261</v>
      </c>
      <c r="AF4" t="s">
        <v>262</v>
      </c>
      <c r="AG4" t="s">
        <v>263</v>
      </c>
      <c r="AH4" t="s">
        <v>264</v>
      </c>
      <c r="AI4" t="s">
        <v>265</v>
      </c>
      <c r="AJ4" t="s">
        <v>266</v>
      </c>
      <c r="AK4" t="s">
        <v>267</v>
      </c>
      <c r="AL4" t="s">
        <v>268</v>
      </c>
      <c r="AM4" t="s">
        <v>269</v>
      </c>
      <c r="AN4" t="s">
        <v>270</v>
      </c>
      <c r="AO4" t="s">
        <v>271</v>
      </c>
      <c r="AP4" t="s">
        <v>272</v>
      </c>
      <c r="AQ4" t="s">
        <v>273</v>
      </c>
      <c r="AR4" t="s">
        <v>274</v>
      </c>
      <c r="AS4" t="s">
        <v>275</v>
      </c>
      <c r="AT4" t="s">
        <v>276</v>
      </c>
      <c r="AU4" t="s">
        <v>277</v>
      </c>
      <c r="AV4" t="s">
        <v>278</v>
      </c>
      <c r="AW4" t="s">
        <v>279</v>
      </c>
      <c r="AX4" t="s">
        <v>280</v>
      </c>
      <c r="AY4" t="s">
        <v>281</v>
      </c>
      <c r="AZ4" t="s">
        <v>282</v>
      </c>
      <c r="BA4" t="s">
        <v>283</v>
      </c>
    </row>
    <row r="5" spans="1:53" x14ac:dyDescent="0.25">
      <c r="A5" t="s">
        <v>284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0.55028127100000002</v>
      </c>
      <c r="Z5">
        <v>0</v>
      </c>
      <c r="AA5">
        <v>0</v>
      </c>
      <c r="AB5">
        <v>0</v>
      </c>
      <c r="AC5">
        <v>0</v>
      </c>
      <c r="AD5">
        <v>0</v>
      </c>
      <c r="AE5">
        <v>0</v>
      </c>
      <c r="AF5">
        <v>0</v>
      </c>
      <c r="AG5">
        <v>0.44971872899999998</v>
      </c>
      <c r="AH5">
        <v>0</v>
      </c>
      <c r="AI5">
        <v>0</v>
      </c>
      <c r="AJ5">
        <v>0</v>
      </c>
      <c r="AK5">
        <v>0</v>
      </c>
      <c r="AL5">
        <v>0</v>
      </c>
      <c r="AM5">
        <v>0</v>
      </c>
      <c r="AN5">
        <v>0</v>
      </c>
      <c r="AO5">
        <v>0</v>
      </c>
      <c r="AP5">
        <v>0</v>
      </c>
      <c r="AQ5">
        <v>0</v>
      </c>
      <c r="AR5">
        <v>0</v>
      </c>
      <c r="AS5">
        <v>0</v>
      </c>
      <c r="AT5">
        <v>0</v>
      </c>
      <c r="AU5">
        <v>0</v>
      </c>
      <c r="AV5">
        <v>0</v>
      </c>
      <c r="AW5">
        <v>0</v>
      </c>
      <c r="AX5">
        <v>0</v>
      </c>
      <c r="AY5">
        <v>0</v>
      </c>
      <c r="AZ5">
        <v>0</v>
      </c>
      <c r="BA5">
        <v>0</v>
      </c>
    </row>
    <row r="6" spans="1:53" x14ac:dyDescent="0.25">
      <c r="A6" t="s">
        <v>285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0.73624568700000004</v>
      </c>
      <c r="Z6">
        <v>0</v>
      </c>
      <c r="AA6">
        <v>0</v>
      </c>
      <c r="AB6">
        <v>0</v>
      </c>
      <c r="AC6">
        <v>0</v>
      </c>
      <c r="AD6">
        <v>0</v>
      </c>
      <c r="AE6">
        <v>0</v>
      </c>
      <c r="AF6">
        <v>0</v>
      </c>
      <c r="AG6">
        <v>0.26375431300000002</v>
      </c>
      <c r="AH6">
        <v>0</v>
      </c>
      <c r="AI6">
        <v>0</v>
      </c>
      <c r="AJ6">
        <v>0</v>
      </c>
      <c r="AK6">
        <v>0</v>
      </c>
      <c r="AL6">
        <v>0</v>
      </c>
      <c r="AM6">
        <v>0</v>
      </c>
      <c r="AN6">
        <v>0</v>
      </c>
      <c r="AO6">
        <v>0</v>
      </c>
      <c r="AP6">
        <v>0</v>
      </c>
      <c r="AQ6">
        <v>0</v>
      </c>
      <c r="AR6">
        <v>0</v>
      </c>
      <c r="AS6">
        <v>0</v>
      </c>
      <c r="AT6">
        <v>0</v>
      </c>
      <c r="AU6">
        <v>0</v>
      </c>
      <c r="AV6">
        <v>0</v>
      </c>
      <c r="AW6">
        <v>0</v>
      </c>
      <c r="AX6">
        <v>0</v>
      </c>
      <c r="AY6">
        <v>0</v>
      </c>
      <c r="AZ6">
        <v>0</v>
      </c>
      <c r="BA6">
        <v>0</v>
      </c>
    </row>
    <row r="7" spans="1:53" x14ac:dyDescent="0.25">
      <c r="A7" t="s">
        <v>101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row>
    <row r="8" spans="1:53" x14ac:dyDescent="0.25">
      <c r="A8" t="s">
        <v>82</v>
      </c>
      <c r="B8">
        <v>0</v>
      </c>
      <c r="C8">
        <v>0</v>
      </c>
      <c r="D8">
        <v>0</v>
      </c>
      <c r="E8">
        <v>0</v>
      </c>
      <c r="F8">
        <v>0</v>
      </c>
      <c r="G8">
        <v>0</v>
      </c>
      <c r="H8">
        <v>0</v>
      </c>
      <c r="I8">
        <v>0</v>
      </c>
      <c r="J8">
        <v>0</v>
      </c>
      <c r="K8">
        <v>0</v>
      </c>
      <c r="L8">
        <v>0</v>
      </c>
      <c r="M8">
        <v>0</v>
      </c>
      <c r="N8">
        <v>0</v>
      </c>
      <c r="O8">
        <v>0</v>
      </c>
      <c r="P8">
        <v>0</v>
      </c>
      <c r="Q8">
        <v>0</v>
      </c>
      <c r="R8">
        <v>0</v>
      </c>
      <c r="S8">
        <v>0</v>
      </c>
      <c r="T8">
        <v>0</v>
      </c>
      <c r="U8">
        <v>0</v>
      </c>
      <c r="V8">
        <v>0</v>
      </c>
      <c r="W8">
        <v>0</v>
      </c>
      <c r="X8">
        <v>1</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row>
    <row r="9" spans="1:53" x14ac:dyDescent="0.25">
      <c r="A9" t="s">
        <v>286</v>
      </c>
      <c r="B9">
        <v>0</v>
      </c>
      <c r="C9">
        <v>0</v>
      </c>
      <c r="D9">
        <v>0</v>
      </c>
      <c r="E9">
        <v>0</v>
      </c>
      <c r="F9">
        <v>0</v>
      </c>
      <c r="G9">
        <v>0</v>
      </c>
      <c r="H9">
        <v>0</v>
      </c>
      <c r="I9">
        <v>0</v>
      </c>
      <c r="J9">
        <v>0</v>
      </c>
      <c r="K9">
        <v>0</v>
      </c>
      <c r="L9">
        <v>0</v>
      </c>
      <c r="M9">
        <v>0</v>
      </c>
      <c r="N9">
        <v>0</v>
      </c>
      <c r="O9">
        <v>0</v>
      </c>
      <c r="P9">
        <v>0</v>
      </c>
      <c r="Q9">
        <v>0</v>
      </c>
      <c r="R9">
        <v>0</v>
      </c>
      <c r="S9">
        <v>0</v>
      </c>
      <c r="T9">
        <v>0</v>
      </c>
      <c r="U9">
        <v>0</v>
      </c>
      <c r="V9">
        <v>0</v>
      </c>
      <c r="W9">
        <v>0</v>
      </c>
      <c r="X9">
        <v>0.75435141900000002</v>
      </c>
      <c r="Y9">
        <v>0</v>
      </c>
      <c r="Z9">
        <v>0</v>
      </c>
      <c r="AA9">
        <v>0</v>
      </c>
      <c r="AB9">
        <v>0</v>
      </c>
      <c r="AC9">
        <v>0</v>
      </c>
      <c r="AD9">
        <v>0</v>
      </c>
      <c r="AE9">
        <v>0</v>
      </c>
      <c r="AF9">
        <v>0</v>
      </c>
      <c r="AG9">
        <v>0.245648581</v>
      </c>
      <c r="AH9">
        <v>0</v>
      </c>
      <c r="AI9">
        <v>0</v>
      </c>
      <c r="AJ9">
        <v>0</v>
      </c>
      <c r="AK9">
        <v>0</v>
      </c>
      <c r="AL9">
        <v>0</v>
      </c>
      <c r="AM9">
        <v>0</v>
      </c>
      <c r="AN9">
        <v>0</v>
      </c>
      <c r="AO9">
        <v>0</v>
      </c>
      <c r="AP9">
        <v>0</v>
      </c>
      <c r="AQ9">
        <v>0</v>
      </c>
      <c r="AR9">
        <v>0</v>
      </c>
      <c r="AS9">
        <v>0</v>
      </c>
      <c r="AT9">
        <v>0</v>
      </c>
      <c r="AU9">
        <v>0</v>
      </c>
      <c r="AV9">
        <v>0</v>
      </c>
      <c r="AW9">
        <v>0</v>
      </c>
      <c r="AX9">
        <v>0</v>
      </c>
      <c r="AY9">
        <v>0</v>
      </c>
      <c r="AZ9">
        <v>0</v>
      </c>
      <c r="BA9">
        <v>0</v>
      </c>
    </row>
    <row r="10" spans="1:53" x14ac:dyDescent="0.25">
      <c r="A10" t="s">
        <v>104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0.75435141900000002</v>
      </c>
      <c r="Y10">
        <v>0</v>
      </c>
      <c r="Z10">
        <v>0</v>
      </c>
      <c r="AA10">
        <v>0</v>
      </c>
      <c r="AB10">
        <v>0</v>
      </c>
      <c r="AC10">
        <v>0</v>
      </c>
      <c r="AD10">
        <v>0</v>
      </c>
      <c r="AE10">
        <v>0</v>
      </c>
      <c r="AF10">
        <v>0</v>
      </c>
      <c r="AG10">
        <v>0.245648581</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row>
    <row r="12" spans="1:53" x14ac:dyDescent="0.25">
      <c r="A12" s="1" t="s">
        <v>287</v>
      </c>
    </row>
    <row r="13" spans="1:53" x14ac:dyDescent="0.25">
      <c r="A13" t="s">
        <v>231</v>
      </c>
      <c r="B13" t="s">
        <v>232</v>
      </c>
      <c r="C13" t="s">
        <v>233</v>
      </c>
      <c r="D13" t="s">
        <v>234</v>
      </c>
      <c r="E13" t="s">
        <v>235</v>
      </c>
      <c r="F13" t="s">
        <v>236</v>
      </c>
      <c r="G13" t="s">
        <v>237</v>
      </c>
      <c r="H13" t="s">
        <v>238</v>
      </c>
      <c r="I13" t="s">
        <v>239</v>
      </c>
      <c r="J13" t="s">
        <v>240</v>
      </c>
      <c r="K13" t="s">
        <v>241</v>
      </c>
      <c r="L13" t="s">
        <v>242</v>
      </c>
      <c r="M13" t="s">
        <v>243</v>
      </c>
      <c r="N13" t="s">
        <v>244</v>
      </c>
      <c r="O13" t="s">
        <v>245</v>
      </c>
      <c r="P13" t="s">
        <v>246</v>
      </c>
      <c r="Q13" t="s">
        <v>247</v>
      </c>
      <c r="R13" t="s">
        <v>248</v>
      </c>
      <c r="S13" t="s">
        <v>249</v>
      </c>
      <c r="T13" t="s">
        <v>250</v>
      </c>
      <c r="U13" t="s">
        <v>251</v>
      </c>
      <c r="V13" t="s">
        <v>252</v>
      </c>
      <c r="W13" t="s">
        <v>253</v>
      </c>
      <c r="X13" t="s">
        <v>254</v>
      </c>
      <c r="Y13" t="s">
        <v>255</v>
      </c>
      <c r="Z13" t="s">
        <v>256</v>
      </c>
      <c r="AA13" t="s">
        <v>257</v>
      </c>
      <c r="AB13" t="s">
        <v>258</v>
      </c>
      <c r="AC13" t="s">
        <v>259</v>
      </c>
      <c r="AD13" t="s">
        <v>260</v>
      </c>
      <c r="AE13" t="s">
        <v>261</v>
      </c>
      <c r="AF13" t="s">
        <v>262</v>
      </c>
      <c r="AG13" t="s">
        <v>263</v>
      </c>
      <c r="AH13" t="s">
        <v>264</v>
      </c>
      <c r="AI13" t="s">
        <v>265</v>
      </c>
      <c r="AJ13" t="s">
        <v>266</v>
      </c>
      <c r="AK13" t="s">
        <v>267</v>
      </c>
      <c r="AL13" t="s">
        <v>268</v>
      </c>
      <c r="AM13" t="s">
        <v>269</v>
      </c>
      <c r="AN13" t="s">
        <v>270</v>
      </c>
      <c r="AO13" t="s">
        <v>271</v>
      </c>
      <c r="AP13" t="s">
        <v>272</v>
      </c>
      <c r="AQ13" t="s">
        <v>273</v>
      </c>
      <c r="AR13" t="s">
        <v>274</v>
      </c>
      <c r="AS13" t="s">
        <v>275</v>
      </c>
      <c r="AT13" t="s">
        <v>276</v>
      </c>
      <c r="AU13" t="s">
        <v>277</v>
      </c>
      <c r="AV13" t="s">
        <v>278</v>
      </c>
      <c r="AW13" t="s">
        <v>279</v>
      </c>
      <c r="AX13" t="s">
        <v>280</v>
      </c>
      <c r="AY13" t="s">
        <v>281</v>
      </c>
      <c r="AZ13" t="s">
        <v>282</v>
      </c>
      <c r="BA13" t="s">
        <v>283</v>
      </c>
    </row>
    <row r="14" spans="1:53" x14ac:dyDescent="0.25">
      <c r="A14" t="s">
        <v>284</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0.55028127100000002</v>
      </c>
      <c r="Z14">
        <v>0</v>
      </c>
      <c r="AA14">
        <v>0</v>
      </c>
      <c r="AB14">
        <v>0</v>
      </c>
      <c r="AC14">
        <v>0</v>
      </c>
      <c r="AD14">
        <v>0</v>
      </c>
      <c r="AE14">
        <v>0</v>
      </c>
      <c r="AF14">
        <v>0</v>
      </c>
      <c r="AG14">
        <v>0.44971872899999998</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row>
    <row r="15" spans="1:53" x14ac:dyDescent="0.25">
      <c r="A15" t="s">
        <v>285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0.73624568700000004</v>
      </c>
      <c r="Z15">
        <v>0</v>
      </c>
      <c r="AA15">
        <v>0</v>
      </c>
      <c r="AB15">
        <v>0</v>
      </c>
      <c r="AC15">
        <v>0</v>
      </c>
      <c r="AD15">
        <v>0</v>
      </c>
      <c r="AE15">
        <v>0</v>
      </c>
      <c r="AF15">
        <v>0</v>
      </c>
      <c r="AG15">
        <v>0.26375431300000002</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row>
    <row r="16" spans="1:53" x14ac:dyDescent="0.25">
      <c r="A16" t="s">
        <v>101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row>
    <row r="17" spans="1:53" x14ac:dyDescent="0.25">
      <c r="A17" t="s">
        <v>82</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1</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row>
    <row r="18" spans="1:53" x14ac:dyDescent="0.25">
      <c r="A18" t="s">
        <v>286</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0.75435141900000002</v>
      </c>
      <c r="Y18">
        <v>0</v>
      </c>
      <c r="Z18">
        <v>0</v>
      </c>
      <c r="AA18">
        <v>0</v>
      </c>
      <c r="AB18">
        <v>0</v>
      </c>
      <c r="AC18">
        <v>0</v>
      </c>
      <c r="AD18">
        <v>0</v>
      </c>
      <c r="AE18">
        <v>0</v>
      </c>
      <c r="AF18">
        <v>0</v>
      </c>
      <c r="AG18">
        <v>0.245648581</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row>
    <row r="19" spans="1:53" x14ac:dyDescent="0.25">
      <c r="A19" t="s">
        <v>104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0.75435141900000002</v>
      </c>
      <c r="Y19">
        <v>0</v>
      </c>
      <c r="Z19">
        <v>0</v>
      </c>
      <c r="AA19">
        <v>0</v>
      </c>
      <c r="AB19">
        <v>0</v>
      </c>
      <c r="AC19">
        <v>0</v>
      </c>
      <c r="AD19">
        <v>0</v>
      </c>
      <c r="AE19">
        <v>0</v>
      </c>
      <c r="AF19">
        <v>0</v>
      </c>
      <c r="AG19">
        <v>0.245648581</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row>
    <row r="21" spans="1:53" x14ac:dyDescent="0.25">
      <c r="A21" s="1" t="s">
        <v>288</v>
      </c>
    </row>
    <row r="22" spans="1:53" x14ac:dyDescent="0.25">
      <c r="A22" t="s">
        <v>231</v>
      </c>
      <c r="B22" t="s">
        <v>232</v>
      </c>
      <c r="C22" t="s">
        <v>233</v>
      </c>
      <c r="D22" t="s">
        <v>234</v>
      </c>
      <c r="E22" t="s">
        <v>235</v>
      </c>
      <c r="F22" t="s">
        <v>236</v>
      </c>
      <c r="G22" t="s">
        <v>237</v>
      </c>
      <c r="H22" t="s">
        <v>238</v>
      </c>
      <c r="I22" t="s">
        <v>239</v>
      </c>
      <c r="J22" t="s">
        <v>240</v>
      </c>
      <c r="K22" t="s">
        <v>241</v>
      </c>
      <c r="L22" t="s">
        <v>242</v>
      </c>
      <c r="M22" t="s">
        <v>243</v>
      </c>
      <c r="N22" t="s">
        <v>244</v>
      </c>
      <c r="O22" t="s">
        <v>245</v>
      </c>
      <c r="P22" t="s">
        <v>246</v>
      </c>
      <c r="Q22" t="s">
        <v>247</v>
      </c>
      <c r="R22" t="s">
        <v>248</v>
      </c>
      <c r="S22" t="s">
        <v>249</v>
      </c>
      <c r="T22" t="s">
        <v>250</v>
      </c>
      <c r="U22" t="s">
        <v>251</v>
      </c>
      <c r="V22" t="s">
        <v>252</v>
      </c>
      <c r="W22" t="s">
        <v>253</v>
      </c>
      <c r="X22" t="s">
        <v>254</v>
      </c>
      <c r="Y22" t="s">
        <v>255</v>
      </c>
      <c r="Z22" t="s">
        <v>256</v>
      </c>
      <c r="AA22" t="s">
        <v>257</v>
      </c>
      <c r="AB22" t="s">
        <v>258</v>
      </c>
      <c r="AC22" t="s">
        <v>259</v>
      </c>
      <c r="AD22" t="s">
        <v>260</v>
      </c>
      <c r="AE22" t="s">
        <v>261</v>
      </c>
      <c r="AF22" t="s">
        <v>262</v>
      </c>
      <c r="AG22" t="s">
        <v>263</v>
      </c>
      <c r="AH22" t="s">
        <v>264</v>
      </c>
      <c r="AI22" t="s">
        <v>265</v>
      </c>
      <c r="AJ22" t="s">
        <v>266</v>
      </c>
      <c r="AK22" t="s">
        <v>267</v>
      </c>
      <c r="AL22" t="s">
        <v>268</v>
      </c>
      <c r="AM22" t="s">
        <v>269</v>
      </c>
      <c r="AN22" t="s">
        <v>270</v>
      </c>
      <c r="AO22" t="s">
        <v>271</v>
      </c>
      <c r="AP22" t="s">
        <v>272</v>
      </c>
      <c r="AQ22" t="s">
        <v>273</v>
      </c>
      <c r="AR22" t="s">
        <v>274</v>
      </c>
      <c r="AS22" t="s">
        <v>275</v>
      </c>
      <c r="AT22" t="s">
        <v>276</v>
      </c>
      <c r="AU22" t="s">
        <v>277</v>
      </c>
      <c r="AV22" t="s">
        <v>278</v>
      </c>
      <c r="AW22" t="s">
        <v>279</v>
      </c>
      <c r="AX22" t="s">
        <v>280</v>
      </c>
      <c r="AY22" t="s">
        <v>281</v>
      </c>
      <c r="AZ22" t="s">
        <v>282</v>
      </c>
      <c r="BA22" t="s">
        <v>283</v>
      </c>
    </row>
    <row r="23" spans="1:53" x14ac:dyDescent="0.25">
      <c r="A23" t="s">
        <v>284</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0.70398750300000001</v>
      </c>
      <c r="Z23">
        <v>0</v>
      </c>
      <c r="AA23">
        <v>0</v>
      </c>
      <c r="AB23">
        <v>0</v>
      </c>
      <c r="AC23">
        <v>0</v>
      </c>
      <c r="AD23">
        <v>0</v>
      </c>
      <c r="AE23">
        <v>0</v>
      </c>
      <c r="AF23">
        <v>0</v>
      </c>
      <c r="AG23">
        <v>0.29601249699999999</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row>
    <row r="24" spans="1:53" x14ac:dyDescent="0.25">
      <c r="A24" t="s">
        <v>285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0.57983010999999995</v>
      </c>
      <c r="Z24">
        <v>0</v>
      </c>
      <c r="AA24">
        <v>0</v>
      </c>
      <c r="AB24">
        <v>0</v>
      </c>
      <c r="AC24">
        <v>0</v>
      </c>
      <c r="AD24">
        <v>0</v>
      </c>
      <c r="AE24">
        <v>0</v>
      </c>
      <c r="AF24">
        <v>0</v>
      </c>
      <c r="AG24">
        <v>0.42016988999999999</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row>
    <row r="25" spans="1:53" x14ac:dyDescent="0.25">
      <c r="A25" t="s">
        <v>101</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row>
    <row r="26" spans="1:53" x14ac:dyDescent="0.25">
      <c r="A26" t="s">
        <v>82</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0.407668947</v>
      </c>
      <c r="Y26">
        <v>0</v>
      </c>
      <c r="Z26">
        <v>0</v>
      </c>
      <c r="AA26">
        <v>0</v>
      </c>
      <c r="AB26">
        <v>0</v>
      </c>
      <c r="AC26">
        <v>0</v>
      </c>
      <c r="AD26">
        <v>0</v>
      </c>
      <c r="AE26">
        <v>0</v>
      </c>
      <c r="AF26">
        <v>0</v>
      </c>
      <c r="AG26">
        <v>0.592331053</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row>
    <row r="27" spans="1:53" x14ac:dyDescent="0.25">
      <c r="A27" t="s">
        <v>286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0.75439887000000005</v>
      </c>
      <c r="Y27">
        <v>0</v>
      </c>
      <c r="Z27">
        <v>0</v>
      </c>
      <c r="AA27">
        <v>0</v>
      </c>
      <c r="AB27">
        <v>0</v>
      </c>
      <c r="AC27">
        <v>0</v>
      </c>
      <c r="AD27">
        <v>0</v>
      </c>
      <c r="AE27">
        <v>0</v>
      </c>
      <c r="AF27">
        <v>0</v>
      </c>
      <c r="AG27">
        <v>0.24560113</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row>
    <row r="28" spans="1:53" x14ac:dyDescent="0.25">
      <c r="A28" t="s">
        <v>104</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0.75439887000000005</v>
      </c>
      <c r="Y28">
        <v>0</v>
      </c>
      <c r="Z28">
        <v>0</v>
      </c>
      <c r="AA28">
        <v>0</v>
      </c>
      <c r="AB28">
        <v>0</v>
      </c>
      <c r="AC28">
        <v>0</v>
      </c>
      <c r="AD28">
        <v>0</v>
      </c>
      <c r="AE28">
        <v>0</v>
      </c>
      <c r="AF28">
        <v>0</v>
      </c>
      <c r="AG28">
        <v>0.24560113</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row>
    <row r="30" spans="1:53" x14ac:dyDescent="0.25">
      <c r="A30" s="1" t="s">
        <v>289</v>
      </c>
    </row>
    <row r="31" spans="1:53" ht="48" customHeight="1" x14ac:dyDescent="0.25">
      <c r="A31" s="6" t="s">
        <v>290</v>
      </c>
      <c r="B31" s="6" t="s">
        <v>291</v>
      </c>
      <c r="C31" s="6" t="s">
        <v>292</v>
      </c>
      <c r="D31" s="6" t="s">
        <v>293</v>
      </c>
    </row>
    <row r="32" spans="1:53" x14ac:dyDescent="0.25">
      <c r="A32" t="s">
        <v>294</v>
      </c>
      <c r="B32">
        <v>89.551807999999994</v>
      </c>
      <c r="C32">
        <v>5.4255033557046978E-4</v>
      </c>
      <c r="D32" t="s">
        <v>295</v>
      </c>
    </row>
    <row r="33" spans="1:4" x14ac:dyDescent="0.25">
      <c r="A33" t="s">
        <v>296</v>
      </c>
      <c r="B33">
        <v>34.432312000000003</v>
      </c>
      <c r="C33">
        <v>1.126266180150786E-4</v>
      </c>
      <c r="D33" t="s">
        <v>297</v>
      </c>
    </row>
    <row r="35" spans="1:4" x14ac:dyDescent="0.25">
      <c r="A35" s="1" t="s">
        <v>298</v>
      </c>
    </row>
    <row r="36" spans="1:4" ht="48" customHeight="1" x14ac:dyDescent="0.25">
      <c r="A36" s="6" t="s">
        <v>112</v>
      </c>
      <c r="B36" s="6" t="s">
        <v>299</v>
      </c>
      <c r="C36" s="6" t="s">
        <v>300</v>
      </c>
    </row>
    <row r="37" spans="1:4" x14ac:dyDescent="0.25">
      <c r="A37" t="s">
        <v>118</v>
      </c>
      <c r="B37">
        <v>0.40566317524959927</v>
      </c>
      <c r="C37">
        <v>9.1827574525745243E-5</v>
      </c>
    </row>
    <row r="38" spans="1:4" x14ac:dyDescent="0.25">
      <c r="A38" t="s">
        <v>119</v>
      </c>
      <c r="B38">
        <v>6.1563024941687562E-2</v>
      </c>
      <c r="C38">
        <v>1.959678809919428E-4</v>
      </c>
    </row>
    <row r="39" spans="1:4" x14ac:dyDescent="0.25">
      <c r="A39" t="s">
        <v>120</v>
      </c>
      <c r="B39">
        <v>3.7672564038317383E-2</v>
      </c>
      <c r="C39">
        <v>1.9606404513407841E-4</v>
      </c>
    </row>
    <row r="40" spans="1:4" x14ac:dyDescent="0.25">
      <c r="A40" t="s">
        <v>121</v>
      </c>
      <c r="B40">
        <v>0.45140543049506737</v>
      </c>
      <c r="C40">
        <v>2.1417364549585339E-4</v>
      </c>
    </row>
    <row r="41" spans="1:4" x14ac:dyDescent="0.25">
      <c r="A41" t="s">
        <v>122</v>
      </c>
      <c r="B41">
        <v>4.3695805275328507E-2</v>
      </c>
      <c r="C41">
        <v>2.152723271593618E-4</v>
      </c>
    </row>
    <row r="43" spans="1:4" x14ac:dyDescent="0.25">
      <c r="A43" s="1" t="s">
        <v>301</v>
      </c>
    </row>
    <row r="44" spans="1:4" ht="32.1" customHeight="1" x14ac:dyDescent="0.25">
      <c r="A44" s="6" t="s">
        <v>112</v>
      </c>
      <c r="B44" s="6" t="s">
        <v>302</v>
      </c>
      <c r="C44" s="6" t="s">
        <v>303</v>
      </c>
      <c r="D44" s="6" t="s">
        <v>304</v>
      </c>
    </row>
    <row r="45" spans="1:4" x14ac:dyDescent="0.25">
      <c r="A45" t="s">
        <v>118</v>
      </c>
      <c r="B45" t="s">
        <v>305</v>
      </c>
      <c r="C45">
        <v>0</v>
      </c>
      <c r="D45" t="str">
        <f t="shared" ref="D45:D76" si="0">LEFT(B45,FIND(" ",B45)-1)</f>
        <v>E7</v>
      </c>
    </row>
    <row r="46" spans="1:4" x14ac:dyDescent="0.25">
      <c r="A46" t="s">
        <v>119</v>
      </c>
      <c r="B46" t="s">
        <v>305</v>
      </c>
      <c r="C46">
        <v>1</v>
      </c>
      <c r="D46" t="str">
        <f t="shared" si="0"/>
        <v>E7</v>
      </c>
    </row>
    <row r="47" spans="1:4" x14ac:dyDescent="0.25">
      <c r="A47" t="s">
        <v>120</v>
      </c>
      <c r="B47" t="s">
        <v>305</v>
      </c>
      <c r="C47">
        <v>1</v>
      </c>
      <c r="D47" t="str">
        <f t="shared" si="0"/>
        <v>E7</v>
      </c>
    </row>
    <row r="48" spans="1:4" x14ac:dyDescent="0.25">
      <c r="A48" t="s">
        <v>121</v>
      </c>
      <c r="B48" t="s">
        <v>305</v>
      </c>
      <c r="C48">
        <v>1</v>
      </c>
      <c r="D48" t="str">
        <f t="shared" si="0"/>
        <v>E7</v>
      </c>
    </row>
    <row r="49" spans="1:4" x14ac:dyDescent="0.25">
      <c r="A49" t="s">
        <v>122</v>
      </c>
      <c r="B49" t="s">
        <v>305</v>
      </c>
      <c r="C49">
        <v>1</v>
      </c>
      <c r="D49" t="str">
        <f t="shared" si="0"/>
        <v>E7</v>
      </c>
    </row>
    <row r="50" spans="1:4" x14ac:dyDescent="0.25">
      <c r="A50" t="s">
        <v>118</v>
      </c>
      <c r="B50" t="s">
        <v>306</v>
      </c>
      <c r="C50">
        <v>1</v>
      </c>
      <c r="D50" t="str">
        <f t="shared" si="0"/>
        <v>HA13</v>
      </c>
    </row>
    <row r="51" spans="1:4" x14ac:dyDescent="0.25">
      <c r="A51" t="s">
        <v>119</v>
      </c>
      <c r="B51" t="s">
        <v>306</v>
      </c>
      <c r="C51">
        <v>1</v>
      </c>
      <c r="D51" t="str">
        <f t="shared" si="0"/>
        <v>HA13</v>
      </c>
    </row>
    <row r="52" spans="1:4" x14ac:dyDescent="0.25">
      <c r="A52" t="s">
        <v>120</v>
      </c>
      <c r="B52" t="s">
        <v>306</v>
      </c>
      <c r="C52">
        <v>1</v>
      </c>
      <c r="D52" t="str">
        <f t="shared" si="0"/>
        <v>HA13</v>
      </c>
    </row>
    <row r="53" spans="1:4" x14ac:dyDescent="0.25">
      <c r="A53" t="s">
        <v>121</v>
      </c>
      <c r="B53" t="s">
        <v>306</v>
      </c>
      <c r="C53">
        <v>1</v>
      </c>
      <c r="D53" t="str">
        <f t="shared" si="0"/>
        <v>HA13</v>
      </c>
    </row>
    <row r="54" spans="1:4" x14ac:dyDescent="0.25">
      <c r="A54" t="s">
        <v>122</v>
      </c>
      <c r="B54" t="s">
        <v>306</v>
      </c>
      <c r="C54">
        <v>1</v>
      </c>
      <c r="D54" t="str">
        <f t="shared" si="0"/>
        <v>HA13</v>
      </c>
    </row>
    <row r="55" spans="1:4" x14ac:dyDescent="0.25">
      <c r="A55" t="s">
        <v>118</v>
      </c>
      <c r="B55" t="s">
        <v>307</v>
      </c>
      <c r="C55">
        <v>1</v>
      </c>
      <c r="D55" t="str">
        <f t="shared" si="0"/>
        <v>HA14</v>
      </c>
    </row>
    <row r="56" spans="1:4" x14ac:dyDescent="0.25">
      <c r="A56" t="s">
        <v>119</v>
      </c>
      <c r="B56" t="s">
        <v>307</v>
      </c>
      <c r="C56">
        <v>1</v>
      </c>
      <c r="D56" t="str">
        <f t="shared" si="0"/>
        <v>HA14</v>
      </c>
    </row>
    <row r="57" spans="1:4" x14ac:dyDescent="0.25">
      <c r="A57" t="s">
        <v>120</v>
      </c>
      <c r="B57" t="s">
        <v>307</v>
      </c>
      <c r="C57">
        <v>1</v>
      </c>
      <c r="D57" t="str">
        <f t="shared" si="0"/>
        <v>HA14</v>
      </c>
    </row>
    <row r="58" spans="1:4" x14ac:dyDescent="0.25">
      <c r="A58" t="s">
        <v>121</v>
      </c>
      <c r="B58" t="s">
        <v>307</v>
      </c>
      <c r="C58">
        <v>1</v>
      </c>
      <c r="D58" t="str">
        <f t="shared" si="0"/>
        <v>HA14</v>
      </c>
    </row>
    <row r="59" spans="1:4" x14ac:dyDescent="0.25">
      <c r="A59" t="s">
        <v>122</v>
      </c>
      <c r="B59" t="s">
        <v>307</v>
      </c>
      <c r="C59">
        <v>1</v>
      </c>
      <c r="D59" t="str">
        <f t="shared" si="0"/>
        <v>HA14</v>
      </c>
    </row>
    <row r="60" spans="1:4" x14ac:dyDescent="0.25">
      <c r="A60" t="s">
        <v>118</v>
      </c>
      <c r="B60" t="s">
        <v>308</v>
      </c>
      <c r="C60">
        <v>1</v>
      </c>
      <c r="D60" t="str">
        <f t="shared" si="0"/>
        <v>HA15</v>
      </c>
    </row>
    <row r="61" spans="1:4" x14ac:dyDescent="0.25">
      <c r="A61" t="s">
        <v>119</v>
      </c>
      <c r="B61" t="s">
        <v>308</v>
      </c>
      <c r="C61">
        <v>1</v>
      </c>
      <c r="D61" t="str">
        <f t="shared" si="0"/>
        <v>HA15</v>
      </c>
    </row>
    <row r="62" spans="1:4" x14ac:dyDescent="0.25">
      <c r="A62" t="s">
        <v>120</v>
      </c>
      <c r="B62" t="s">
        <v>308</v>
      </c>
      <c r="C62">
        <v>1</v>
      </c>
      <c r="D62" t="str">
        <f t="shared" si="0"/>
        <v>HA15</v>
      </c>
    </row>
    <row r="63" spans="1:4" x14ac:dyDescent="0.25">
      <c r="A63" t="s">
        <v>121</v>
      </c>
      <c r="B63" t="s">
        <v>308</v>
      </c>
      <c r="C63">
        <v>1</v>
      </c>
      <c r="D63" t="str">
        <f t="shared" si="0"/>
        <v>HA15</v>
      </c>
    </row>
    <row r="64" spans="1:4" x14ac:dyDescent="0.25">
      <c r="A64" t="s">
        <v>122</v>
      </c>
      <c r="B64" t="s">
        <v>308</v>
      </c>
      <c r="C64">
        <v>1</v>
      </c>
      <c r="D64" t="str">
        <f t="shared" si="0"/>
        <v>HA15</v>
      </c>
    </row>
    <row r="65" spans="1:4" x14ac:dyDescent="0.25">
      <c r="A65" t="s">
        <v>118</v>
      </c>
      <c r="B65" t="s">
        <v>309</v>
      </c>
      <c r="C65">
        <v>1</v>
      </c>
      <c r="D65" t="str">
        <f t="shared" si="0"/>
        <v>HA16</v>
      </c>
    </row>
    <row r="66" spans="1:4" x14ac:dyDescent="0.25">
      <c r="A66" t="s">
        <v>119</v>
      </c>
      <c r="B66" t="s">
        <v>309</v>
      </c>
      <c r="C66">
        <v>1</v>
      </c>
      <c r="D66" t="str">
        <f t="shared" si="0"/>
        <v>HA16</v>
      </c>
    </row>
    <row r="67" spans="1:4" x14ac:dyDescent="0.25">
      <c r="A67" t="s">
        <v>120</v>
      </c>
      <c r="B67" t="s">
        <v>309</v>
      </c>
      <c r="C67">
        <v>1</v>
      </c>
      <c r="D67" t="str">
        <f t="shared" si="0"/>
        <v>HA16</v>
      </c>
    </row>
    <row r="68" spans="1:4" x14ac:dyDescent="0.25">
      <c r="A68" t="s">
        <v>121</v>
      </c>
      <c r="B68" t="s">
        <v>309</v>
      </c>
      <c r="C68">
        <v>1</v>
      </c>
      <c r="D68" t="str">
        <f t="shared" si="0"/>
        <v>HA16</v>
      </c>
    </row>
    <row r="69" spans="1:4" x14ac:dyDescent="0.25">
      <c r="A69" t="s">
        <v>122</v>
      </c>
      <c r="B69" t="s">
        <v>309</v>
      </c>
      <c r="C69">
        <v>1</v>
      </c>
      <c r="D69" t="str">
        <f t="shared" si="0"/>
        <v>HA16</v>
      </c>
    </row>
    <row r="70" spans="1:4" x14ac:dyDescent="0.25">
      <c r="A70" t="s">
        <v>118</v>
      </c>
      <c r="B70" t="s">
        <v>310</v>
      </c>
      <c r="C70">
        <v>1</v>
      </c>
      <c r="D70" t="str">
        <f t="shared" si="0"/>
        <v>HW7</v>
      </c>
    </row>
    <row r="71" spans="1:4" x14ac:dyDescent="0.25">
      <c r="A71" t="s">
        <v>119</v>
      </c>
      <c r="B71" t="s">
        <v>310</v>
      </c>
      <c r="C71">
        <v>1</v>
      </c>
      <c r="D71" t="str">
        <f t="shared" si="0"/>
        <v>HW7</v>
      </c>
    </row>
    <row r="72" spans="1:4" x14ac:dyDescent="0.25">
      <c r="A72" t="s">
        <v>120</v>
      </c>
      <c r="B72" t="s">
        <v>310</v>
      </c>
      <c r="C72">
        <v>0</v>
      </c>
      <c r="D72" t="str">
        <f t="shared" si="0"/>
        <v>HW7</v>
      </c>
    </row>
    <row r="73" spans="1:4" x14ac:dyDescent="0.25">
      <c r="A73" t="s">
        <v>121</v>
      </c>
      <c r="B73" t="s">
        <v>310</v>
      </c>
      <c r="C73">
        <v>0</v>
      </c>
      <c r="D73" t="str">
        <f t="shared" si="0"/>
        <v>HW7</v>
      </c>
    </row>
    <row r="74" spans="1:4" x14ac:dyDescent="0.25">
      <c r="A74" t="s">
        <v>122</v>
      </c>
      <c r="B74" t="s">
        <v>310</v>
      </c>
      <c r="C74">
        <v>0</v>
      </c>
      <c r="D74" t="str">
        <f t="shared" si="0"/>
        <v>HW7</v>
      </c>
    </row>
    <row r="75" spans="1:4" x14ac:dyDescent="0.25">
      <c r="A75" t="s">
        <v>118</v>
      </c>
      <c r="B75" t="s">
        <v>311</v>
      </c>
      <c r="C75">
        <v>0</v>
      </c>
      <c r="D75" t="str">
        <f t="shared" si="0"/>
        <v>HW8</v>
      </c>
    </row>
    <row r="76" spans="1:4" x14ac:dyDescent="0.25">
      <c r="A76" t="s">
        <v>119</v>
      </c>
      <c r="B76" t="s">
        <v>311</v>
      </c>
      <c r="C76">
        <v>1</v>
      </c>
      <c r="D76" t="str">
        <f t="shared" si="0"/>
        <v>HW8</v>
      </c>
    </row>
    <row r="77" spans="1:4" x14ac:dyDescent="0.25">
      <c r="A77" t="s">
        <v>120</v>
      </c>
      <c r="B77" t="s">
        <v>311</v>
      </c>
      <c r="C77">
        <v>0</v>
      </c>
      <c r="D77" t="str">
        <f t="shared" ref="D77:D99" si="1">LEFT(B77,FIND(" ",B77)-1)</f>
        <v>HW8</v>
      </c>
    </row>
    <row r="78" spans="1:4" x14ac:dyDescent="0.25">
      <c r="A78" t="s">
        <v>121</v>
      </c>
      <c r="B78" t="s">
        <v>311</v>
      </c>
      <c r="C78">
        <v>0</v>
      </c>
      <c r="D78" t="str">
        <f t="shared" si="1"/>
        <v>HW8</v>
      </c>
    </row>
    <row r="79" spans="1:4" x14ac:dyDescent="0.25">
      <c r="A79" t="s">
        <v>122</v>
      </c>
      <c r="B79" t="s">
        <v>311</v>
      </c>
      <c r="C79">
        <v>0</v>
      </c>
      <c r="D79" t="str">
        <f t="shared" si="1"/>
        <v>HW8</v>
      </c>
    </row>
    <row r="80" spans="1:4" x14ac:dyDescent="0.25">
      <c r="A80" t="s">
        <v>118</v>
      </c>
      <c r="B80" t="s">
        <v>312</v>
      </c>
      <c r="C80">
        <v>1</v>
      </c>
      <c r="D80" t="str">
        <f t="shared" si="1"/>
        <v>HW9</v>
      </c>
    </row>
    <row r="81" spans="1:4" x14ac:dyDescent="0.25">
      <c r="A81" t="s">
        <v>119</v>
      </c>
      <c r="B81" t="s">
        <v>312</v>
      </c>
      <c r="C81">
        <v>1</v>
      </c>
      <c r="D81" t="str">
        <f t="shared" si="1"/>
        <v>HW9</v>
      </c>
    </row>
    <row r="82" spans="1:4" x14ac:dyDescent="0.25">
      <c r="A82" t="s">
        <v>120</v>
      </c>
      <c r="B82" t="s">
        <v>312</v>
      </c>
      <c r="C82">
        <v>0</v>
      </c>
      <c r="D82" t="str">
        <f t="shared" si="1"/>
        <v>HW9</v>
      </c>
    </row>
    <row r="83" spans="1:4" x14ac:dyDescent="0.25">
      <c r="A83" t="s">
        <v>121</v>
      </c>
      <c r="B83" t="s">
        <v>312</v>
      </c>
      <c r="C83">
        <v>0</v>
      </c>
      <c r="D83" t="str">
        <f t="shared" si="1"/>
        <v>HW9</v>
      </c>
    </row>
    <row r="84" spans="1:4" x14ac:dyDescent="0.25">
      <c r="A84" t="s">
        <v>122</v>
      </c>
      <c r="B84" t="s">
        <v>312</v>
      </c>
      <c r="C84">
        <v>0</v>
      </c>
      <c r="D84" t="str">
        <f t="shared" si="1"/>
        <v>HW9</v>
      </c>
    </row>
    <row r="85" spans="1:4" x14ac:dyDescent="0.25">
      <c r="A85" t="s">
        <v>118</v>
      </c>
      <c r="B85" t="s">
        <v>313</v>
      </c>
      <c r="C85">
        <v>1</v>
      </c>
      <c r="D85" t="str">
        <f t="shared" si="1"/>
        <v>HW10</v>
      </c>
    </row>
    <row r="86" spans="1:4" x14ac:dyDescent="0.25">
      <c r="A86" t="s">
        <v>119</v>
      </c>
      <c r="B86" t="s">
        <v>313</v>
      </c>
      <c r="C86">
        <v>1</v>
      </c>
      <c r="D86" t="str">
        <f t="shared" si="1"/>
        <v>HW10</v>
      </c>
    </row>
    <row r="87" spans="1:4" x14ac:dyDescent="0.25">
      <c r="A87" t="s">
        <v>120</v>
      </c>
      <c r="B87" t="s">
        <v>313</v>
      </c>
      <c r="C87">
        <v>0</v>
      </c>
      <c r="D87" t="str">
        <f t="shared" si="1"/>
        <v>HW10</v>
      </c>
    </row>
    <row r="88" spans="1:4" x14ac:dyDescent="0.25">
      <c r="A88" t="s">
        <v>121</v>
      </c>
      <c r="B88" t="s">
        <v>313</v>
      </c>
      <c r="C88">
        <v>0</v>
      </c>
      <c r="D88" t="str">
        <f t="shared" si="1"/>
        <v>HW10</v>
      </c>
    </row>
    <row r="89" spans="1:4" x14ac:dyDescent="0.25">
      <c r="A89" t="s">
        <v>122</v>
      </c>
      <c r="B89" t="s">
        <v>313</v>
      </c>
      <c r="C89">
        <v>0</v>
      </c>
      <c r="D89" t="str">
        <f t="shared" si="1"/>
        <v>HW10</v>
      </c>
    </row>
    <row r="90" spans="1:4" x14ac:dyDescent="0.25">
      <c r="A90" t="s">
        <v>118</v>
      </c>
      <c r="B90" t="s">
        <v>314</v>
      </c>
      <c r="C90">
        <v>1</v>
      </c>
      <c r="D90" t="str">
        <f t="shared" si="1"/>
        <v>HW12</v>
      </c>
    </row>
    <row r="91" spans="1:4" x14ac:dyDescent="0.25">
      <c r="A91" t="s">
        <v>119</v>
      </c>
      <c r="B91" t="s">
        <v>314</v>
      </c>
      <c r="C91">
        <v>1</v>
      </c>
      <c r="D91" t="str">
        <f t="shared" si="1"/>
        <v>HW12</v>
      </c>
    </row>
    <row r="92" spans="1:4" x14ac:dyDescent="0.25">
      <c r="A92" t="s">
        <v>120</v>
      </c>
      <c r="B92" t="s">
        <v>314</v>
      </c>
      <c r="C92">
        <v>0</v>
      </c>
      <c r="D92" t="str">
        <f t="shared" si="1"/>
        <v>HW12</v>
      </c>
    </row>
    <row r="93" spans="1:4" x14ac:dyDescent="0.25">
      <c r="A93" t="s">
        <v>121</v>
      </c>
      <c r="B93" t="s">
        <v>314</v>
      </c>
      <c r="C93">
        <v>0</v>
      </c>
      <c r="D93" t="str">
        <f t="shared" si="1"/>
        <v>HW12</v>
      </c>
    </row>
    <row r="94" spans="1:4" x14ac:dyDescent="0.25">
      <c r="A94" t="s">
        <v>122</v>
      </c>
      <c r="B94" t="s">
        <v>314</v>
      </c>
      <c r="C94">
        <v>0</v>
      </c>
      <c r="D94" t="str">
        <f t="shared" si="1"/>
        <v>HW12</v>
      </c>
    </row>
    <row r="95" spans="1:4" x14ac:dyDescent="0.25">
      <c r="A95" t="s">
        <v>118</v>
      </c>
      <c r="B95" t="s">
        <v>315</v>
      </c>
      <c r="C95">
        <v>0</v>
      </c>
      <c r="D95" t="str">
        <f t="shared" si="1"/>
        <v>HW15</v>
      </c>
    </row>
    <row r="96" spans="1:4" x14ac:dyDescent="0.25">
      <c r="A96" t="s">
        <v>119</v>
      </c>
      <c r="B96" t="s">
        <v>315</v>
      </c>
      <c r="C96">
        <v>0</v>
      </c>
      <c r="D96" t="str">
        <f t="shared" si="1"/>
        <v>HW15</v>
      </c>
    </row>
    <row r="97" spans="1:4" x14ac:dyDescent="0.25">
      <c r="A97" t="s">
        <v>120</v>
      </c>
      <c r="B97" t="s">
        <v>315</v>
      </c>
      <c r="C97">
        <v>1</v>
      </c>
      <c r="D97" t="str">
        <f t="shared" si="1"/>
        <v>HW15</v>
      </c>
    </row>
    <row r="98" spans="1:4" x14ac:dyDescent="0.25">
      <c r="A98" t="s">
        <v>121</v>
      </c>
      <c r="B98" t="s">
        <v>315</v>
      </c>
      <c r="C98">
        <v>1</v>
      </c>
      <c r="D98" t="str">
        <f t="shared" si="1"/>
        <v>HW15</v>
      </c>
    </row>
    <row r="99" spans="1:4" x14ac:dyDescent="0.25">
      <c r="A99" t="s">
        <v>122</v>
      </c>
      <c r="B99" t="s">
        <v>315</v>
      </c>
      <c r="C99">
        <v>1</v>
      </c>
      <c r="D99" t="str">
        <f t="shared" si="1"/>
        <v>HW15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110"/>
  <sheetViews>
    <sheetView workbookViewId="0"/>
  </sheetViews>
  <sheetFormatPr defaultRowHeight="15" x14ac:dyDescent="0.25"/>
  <cols>
    <col min="1" max="1" width="34" customWidth="1"/>
    <col min="2" max="2" width="14" customWidth="1"/>
    <col min="3" max="3" width="30" customWidth="1"/>
    <col min="4" max="4" width="16" customWidth="1"/>
    <col min="5" max="30" width="14" customWidth="1"/>
  </cols>
  <sheetData>
    <row r="1" spans="1:10" x14ac:dyDescent="0.25">
      <c r="A1" s="9" t="s">
        <v>316</v>
      </c>
      <c r="B1" s="10"/>
      <c r="C1" s="10"/>
      <c r="D1" s="10"/>
      <c r="E1" s="10"/>
      <c r="F1" s="10"/>
      <c r="G1" s="10"/>
      <c r="H1" s="10"/>
    </row>
    <row r="2" spans="1:10" x14ac:dyDescent="0.25">
      <c r="A2" s="11" t="s">
        <v>317</v>
      </c>
    </row>
    <row r="4" spans="1:10" x14ac:dyDescent="0.25">
      <c r="A4" s="1" t="s">
        <v>318</v>
      </c>
      <c r="B4" s="12" t="s">
        <v>64</v>
      </c>
      <c r="C4" t="s">
        <v>319</v>
      </c>
    </row>
    <row r="6" spans="1:10" ht="60" customHeight="1" x14ac:dyDescent="0.25">
      <c r="A6" s="6" t="s">
        <v>320</v>
      </c>
      <c r="B6" s="6" t="s">
        <v>77</v>
      </c>
      <c r="C6" s="6" t="s">
        <v>78</v>
      </c>
      <c r="D6" s="6" t="s">
        <v>79</v>
      </c>
      <c r="E6" s="6" t="s">
        <v>80</v>
      </c>
      <c r="F6" s="6" t="s">
        <v>81</v>
      </c>
      <c r="G6" s="6" t="s">
        <v>82</v>
      </c>
      <c r="H6" s="6" t="s">
        <v>83</v>
      </c>
      <c r="I6" s="6" t="s">
        <v>84</v>
      </c>
      <c r="J6" s="6" t="s">
        <v>85</v>
      </c>
    </row>
    <row r="7" spans="1:10" x14ac:dyDescent="0.25">
      <c r="A7" t="s">
        <v>64</v>
      </c>
      <c r="B7" s="7">
        <f>'LBNL 2021 Res Costs'!B16*'LBNL 2021 Res Costs'!B21</f>
        <v>2048.34</v>
      </c>
      <c r="C7" s="7">
        <f>'LBNL 2021 Res Costs'!C16*'LBNL 2021 Res Costs'!C21</f>
        <v>13722</v>
      </c>
      <c r="D7" s="7">
        <f>'LBNL 2021 Res Costs'!D16*'LBNL 2021 Res Costs'!D21</f>
        <v>16253.07</v>
      </c>
      <c r="E7" s="7">
        <f>'LBNL 2021 Res Costs'!E16*'LBNL 2021 Res Costs'!E21</f>
        <v>78.750000000000014</v>
      </c>
      <c r="F7" s="7">
        <f>'LBNL 2021 Res Costs'!F16*'LBNL 2021 Res Costs'!F21</f>
        <v>4475.6000000000004</v>
      </c>
      <c r="G7" s="7">
        <f>'LBNL 2021 Res Costs'!G16*'LBNL 2021 Res Costs'!G21</f>
        <v>73.64</v>
      </c>
      <c r="H7" s="7">
        <f>'LBNL 2021 Res Costs'!H16*'LBNL 2021 Res Costs'!H21</f>
        <v>1415.2</v>
      </c>
      <c r="I7" s="7">
        <f>'LBNL 2021 Res Costs'!I16*'LBNL 2021 Res Costs'!I21</f>
        <v>212.19</v>
      </c>
      <c r="J7" s="7">
        <f>'LBNL 2021 Res Costs'!J16*'LBNL 2021 Res Costs'!J21</f>
        <v>53421</v>
      </c>
    </row>
    <row r="8" spans="1:10" x14ac:dyDescent="0.25">
      <c r="A8" t="s">
        <v>66</v>
      </c>
      <c r="B8" s="7">
        <f>'LBNL 2021 Res Costs'!B17*'LBNL 2021 Res Costs'!B22</f>
        <v>29443</v>
      </c>
      <c r="C8" s="7">
        <f>'LBNL 2021 Res Costs'!C17*'LBNL 2021 Res Costs'!C22</f>
        <v>12067.72</v>
      </c>
      <c r="D8" s="7">
        <f>'LBNL 2021 Res Costs'!D17*'LBNL 2021 Res Costs'!D22</f>
        <v>38</v>
      </c>
      <c r="E8" s="7">
        <f>'LBNL 2021 Res Costs'!E17*'LBNL 2021 Res Costs'!E22</f>
        <v>91.600000000000009</v>
      </c>
      <c r="F8" s="7">
        <f>'LBNL 2021 Res Costs'!F17*'LBNL 2021 Res Costs'!F22</f>
        <v>481.22999999999996</v>
      </c>
      <c r="G8" s="7">
        <f>'LBNL 2021 Res Costs'!G17*'LBNL 2021 Res Costs'!G22</f>
        <v>200.48000000000002</v>
      </c>
      <c r="H8" s="7">
        <f>'LBNL 2021 Res Costs'!H17*'LBNL 2021 Res Costs'!H22</f>
        <v>1326.5900000000001</v>
      </c>
      <c r="I8" s="7">
        <f>'LBNL 2021 Res Costs'!I17*'LBNL 2021 Res Costs'!I22</f>
        <v>3.4</v>
      </c>
      <c r="J8" s="7">
        <f>'LBNL 2021 Res Costs'!J17*'LBNL 2021 Res Costs'!J22</f>
        <v>10185.630000000001</v>
      </c>
    </row>
    <row r="9" spans="1:10" ht="60" customHeight="1" x14ac:dyDescent="0.25">
      <c r="A9" s="6"/>
      <c r="B9" s="6" t="s">
        <v>321</v>
      </c>
      <c r="C9" s="6" t="s">
        <v>322</v>
      </c>
      <c r="D9" s="6" t="s">
        <v>323</v>
      </c>
    </row>
    <row r="10" spans="1:10" x14ac:dyDescent="0.25">
      <c r="A10" t="s">
        <v>64</v>
      </c>
      <c r="B10" s="7">
        <f>D7+F7+J7</f>
        <v>74149.67</v>
      </c>
      <c r="C10" s="7">
        <f>C7</f>
        <v>13722</v>
      </c>
      <c r="D10" s="13">
        <f>B10/(B10+C10)</f>
        <v>0.84384045506361716</v>
      </c>
    </row>
    <row r="11" spans="1:10" x14ac:dyDescent="0.25">
      <c r="A11" t="s">
        <v>66</v>
      </c>
      <c r="B11" s="7">
        <f>D8+F8+J8</f>
        <v>10704.86</v>
      </c>
      <c r="C11" s="7">
        <f>C8</f>
        <v>12067.72</v>
      </c>
      <c r="D11" s="13">
        <f>B11/(B11+C11)</f>
        <v>0.47007673263196353</v>
      </c>
    </row>
    <row r="12" spans="1:10" x14ac:dyDescent="0.25">
      <c r="A12" t="s">
        <v>324</v>
      </c>
      <c r="B12" s="13">
        <f>INDEX(D10:D11,MATCH(B4,A10:A11,0))</f>
        <v>0.84384045506361716</v>
      </c>
    </row>
    <row r="13" spans="1:10" x14ac:dyDescent="0.25">
      <c r="A13" t="s">
        <v>325</v>
      </c>
      <c r="B13" s="13">
        <f>SUMIFS('BEEx 2015 MF Costs'!F5:F11,'BEEx 2015 MF Costs'!I5:I11,1,'BEEx 2015 MF Costs'!J5:J11,1)/SUMIFS('BEEx 2015 MF Costs'!F5:F11,'BEEx 2015 MF Costs'!I5:I11,1)</f>
        <v>0.49668874172185429</v>
      </c>
      <c r="C13" t="s">
        <v>326</v>
      </c>
    </row>
    <row r="14" spans="1:10" x14ac:dyDescent="0.25">
      <c r="A14" t="s">
        <v>327</v>
      </c>
      <c r="B14" s="13">
        <f>'EPS Inputs'!B32*'EPS Inputs'!C32/('EPS Inputs'!B32*'EPS Inputs'!C32+'EPS Inputs'!B33*'EPS Inputs'!C33)</f>
        <v>0.92608325014795101</v>
      </c>
      <c r="C14" t="s">
        <v>328</v>
      </c>
    </row>
    <row r="15" spans="1:10" x14ac:dyDescent="0.25">
      <c r="A15" t="s">
        <v>329</v>
      </c>
      <c r="B15" s="13">
        <f>1-B14</f>
        <v>7.3916749852048991E-2</v>
      </c>
    </row>
    <row r="16" spans="1:10" x14ac:dyDescent="0.25">
      <c r="A16" s="1" t="s">
        <v>330</v>
      </c>
      <c r="B16" s="14">
        <f>B14*B12+B15*B13</f>
        <v>0.81818012870782386</v>
      </c>
    </row>
    <row r="18" spans="1:30" x14ac:dyDescent="0.25">
      <c r="A18" s="9" t="s">
        <v>331</v>
      </c>
      <c r="B18" s="10"/>
      <c r="C18" s="10"/>
      <c r="D18" s="10"/>
      <c r="E18" s="10"/>
      <c r="F18" s="10"/>
      <c r="G18" s="10"/>
      <c r="H18" s="10"/>
    </row>
    <row r="19" spans="1:30" x14ac:dyDescent="0.25">
      <c r="A19" s="11" t="s">
        <v>332</v>
      </c>
    </row>
    <row r="20" spans="1:30" ht="60" customHeight="1" x14ac:dyDescent="0.25">
      <c r="A20" s="6" t="s">
        <v>333</v>
      </c>
      <c r="B20" s="6" t="s">
        <v>334</v>
      </c>
      <c r="C20" s="6" t="s">
        <v>335</v>
      </c>
      <c r="D20" s="6" t="s">
        <v>336</v>
      </c>
      <c r="E20" s="6" t="s">
        <v>337</v>
      </c>
      <c r="F20" s="6" t="s">
        <v>338</v>
      </c>
      <c r="G20" s="6" t="s">
        <v>339</v>
      </c>
      <c r="H20" s="6" t="s">
        <v>340</v>
      </c>
      <c r="I20" s="6" t="s">
        <v>341</v>
      </c>
      <c r="J20" s="6" t="s">
        <v>342</v>
      </c>
    </row>
    <row r="21" spans="1:30" x14ac:dyDescent="0.25">
      <c r="A21" t="s">
        <v>343</v>
      </c>
      <c r="B21" t="s">
        <v>344</v>
      </c>
      <c r="C21" s="7">
        <f>SUMIFS('BEA 2017 Margins'!E$7:E$78,'BEA 2017 Margins'!$C$7:$C$78,$A21)</f>
        <v>10554</v>
      </c>
      <c r="D21" s="7">
        <f>SUMIFS('BEA 2017 Margins'!F$7:F$78,'BEA 2017 Margins'!$C$7:$C$78,$A21)</f>
        <v>306</v>
      </c>
      <c r="E21" s="7">
        <f>SUMIFS('BEA 2017 Margins'!G$7:G$78,'BEA 2017 Margins'!$C$7:$C$78,$A21)</f>
        <v>2454</v>
      </c>
      <c r="F21" s="7">
        <f>SUMIFS('BEA 2017 Margins'!H$7:H$78,'BEA 2017 Margins'!$C$7:$C$78,$A21)</f>
        <v>5133</v>
      </c>
      <c r="G21" s="7">
        <f>SUMIFS('BEA 2017 Margins'!I$7:I$78,'BEA 2017 Margins'!$C$7:$C$78,$A21)</f>
        <v>18449</v>
      </c>
      <c r="H21" s="13">
        <f>C21/SUM(C21:F21)</f>
        <v>0.57212554886973488</v>
      </c>
      <c r="I21" s="13">
        <f>D21/SUM(C21:F21)</f>
        <v>1.6588063099691006E-2</v>
      </c>
      <c r="J21" s="13">
        <f>(E21+F21)/SUM(C21:F21)</f>
        <v>0.4112863880305741</v>
      </c>
    </row>
    <row r="22" spans="1:30" x14ac:dyDescent="0.25">
      <c r="A22" t="s">
        <v>345</v>
      </c>
      <c r="B22" t="s">
        <v>346</v>
      </c>
      <c r="C22" s="7">
        <f>SUMIFS('BEA 2017 Margins'!E$7:E$78,'BEA 2017 Margins'!$C$7:$C$78,$A22)</f>
        <v>2595</v>
      </c>
      <c r="D22" s="7">
        <f>SUMIFS('BEA 2017 Margins'!F$7:F$78,'BEA 2017 Margins'!$C$7:$C$78,$A22)</f>
        <v>75</v>
      </c>
      <c r="E22" s="7">
        <f>SUMIFS('BEA 2017 Margins'!G$7:G$78,'BEA 2017 Margins'!$C$7:$C$78,$A22)</f>
        <v>506</v>
      </c>
      <c r="F22" s="7">
        <f>SUMIFS('BEA 2017 Margins'!H$7:H$78,'BEA 2017 Margins'!$C$7:$C$78,$A22)</f>
        <v>0</v>
      </c>
      <c r="G22" s="7">
        <f>SUMIFS('BEA 2017 Margins'!I$7:I$78,'BEA 2017 Margins'!$C$7:$C$78,$A22)</f>
        <v>3176</v>
      </c>
      <c r="H22" s="13">
        <f>C22/SUM(C22:F22)</f>
        <v>0.81706549118387906</v>
      </c>
      <c r="I22" s="13">
        <f>D22/SUM(C22:F22)</f>
        <v>2.3614609571788413E-2</v>
      </c>
      <c r="J22" s="13">
        <f>(E22+F22)/SUM(C22:F22)</f>
        <v>0.15931989924433249</v>
      </c>
    </row>
    <row r="23" spans="1:30" x14ac:dyDescent="0.25">
      <c r="A23" t="s">
        <v>347</v>
      </c>
      <c r="B23" t="s">
        <v>348</v>
      </c>
      <c r="C23" s="7">
        <f>SUMIFS('BEA 2017 Margins'!E$7:E$78,'BEA 2017 Margins'!$C$7:$C$78,$A23)</f>
        <v>1064</v>
      </c>
      <c r="D23" s="7">
        <f>SUMIFS('BEA 2017 Margins'!F$7:F$78,'BEA 2017 Margins'!$C$7:$C$78,$A23)</f>
        <v>11</v>
      </c>
      <c r="E23" s="7">
        <f>SUMIFS('BEA 2017 Margins'!G$7:G$78,'BEA 2017 Margins'!$C$7:$C$78,$A23)</f>
        <v>334</v>
      </c>
      <c r="F23" s="7">
        <f>SUMIFS('BEA 2017 Margins'!H$7:H$78,'BEA 2017 Margins'!$C$7:$C$78,$A23)</f>
        <v>691</v>
      </c>
      <c r="G23" s="7">
        <f>SUMIFS('BEA 2017 Margins'!I$7:I$78,'BEA 2017 Margins'!$C$7:$C$78,$A23)</f>
        <v>2095</v>
      </c>
      <c r="H23" s="13">
        <f>C23/SUM(C23:F23)</f>
        <v>0.50666666666666671</v>
      </c>
      <c r="I23" s="13">
        <f>D23/SUM(C23:F23)</f>
        <v>5.2380952380952379E-3</v>
      </c>
      <c r="J23" s="13">
        <f>(E23+F23)/SUM(C23:F23)</f>
        <v>0.48809523809523808</v>
      </c>
    </row>
    <row r="24" spans="1:30" x14ac:dyDescent="0.25">
      <c r="A24" t="s">
        <v>349</v>
      </c>
      <c r="B24" t="s">
        <v>350</v>
      </c>
      <c r="C24" s="7">
        <f>SUMIFS('BEA 2017 Margins'!E$7:E$78,'BEA 2017 Margins'!$C$7:$C$78,$A24)</f>
        <v>4848</v>
      </c>
      <c r="D24" s="7">
        <f>SUMIFS('BEA 2017 Margins'!F$7:F$78,'BEA 2017 Margins'!$C$7:$C$78,$A24)</f>
        <v>142</v>
      </c>
      <c r="E24" s="7">
        <f>SUMIFS('BEA 2017 Margins'!G$7:G$78,'BEA 2017 Margins'!$C$7:$C$78,$A24)</f>
        <v>924</v>
      </c>
      <c r="F24" s="7">
        <f>SUMIFS('BEA 2017 Margins'!H$7:H$78,'BEA 2017 Margins'!$C$7:$C$78,$A24)</f>
        <v>0</v>
      </c>
      <c r="G24" s="7">
        <f>SUMIFS('BEA 2017 Margins'!I$7:I$78,'BEA 2017 Margins'!$C$7:$C$78,$A24)</f>
        <v>5911</v>
      </c>
      <c r="H24" s="13">
        <f>C24/SUM(C24:F24)</f>
        <v>0.81974974636455866</v>
      </c>
      <c r="I24" s="13">
        <f>D24/SUM(C24:F24)</f>
        <v>2.4010821778829895E-2</v>
      </c>
      <c r="J24" s="13">
        <f>(E24+F24)/SUM(C24:F24)</f>
        <v>0.15623943185661143</v>
      </c>
    </row>
    <row r="25" spans="1:30" x14ac:dyDescent="0.25">
      <c r="A25" t="s">
        <v>351</v>
      </c>
      <c r="B25" t="s">
        <v>352</v>
      </c>
      <c r="C25" s="7">
        <f>SUMIFS('BEA 2017 Margins'!E$7:E$78,'BEA 2017 Margins'!$C$7:$C$78,$A25)</f>
        <v>2540</v>
      </c>
      <c r="D25" s="7">
        <f>SUMIFS('BEA 2017 Margins'!F$7:F$78,'BEA 2017 Margins'!$C$7:$C$78,$A25)</f>
        <v>77</v>
      </c>
      <c r="E25" s="7">
        <f>SUMIFS('BEA 2017 Margins'!G$7:G$78,'BEA 2017 Margins'!$C$7:$C$78,$A25)</f>
        <v>1148</v>
      </c>
      <c r="F25" s="7">
        <f>SUMIFS('BEA 2017 Margins'!H$7:H$78,'BEA 2017 Margins'!$C$7:$C$78,$A25)</f>
        <v>903</v>
      </c>
      <c r="G25" s="7">
        <f>SUMIFS('BEA 2017 Margins'!I$7:I$78,'BEA 2017 Margins'!$C$7:$C$78,$A25)</f>
        <v>4666</v>
      </c>
      <c r="H25" s="13">
        <f>C25/SUM(C25:F25)</f>
        <v>0.54413024850042846</v>
      </c>
      <c r="I25" s="13">
        <f>D25/SUM(C25:F25)</f>
        <v>1.6495287060839761E-2</v>
      </c>
      <c r="J25" s="13">
        <f>(E25+F25)/SUM(C25:F25)</f>
        <v>0.43937446443873179</v>
      </c>
    </row>
    <row r="26" spans="1:30" x14ac:dyDescent="0.25">
      <c r="A26" t="s">
        <v>353</v>
      </c>
      <c r="B26" t="s">
        <v>354</v>
      </c>
      <c r="H26">
        <v>1</v>
      </c>
      <c r="I26">
        <v>0</v>
      </c>
      <c r="J26">
        <v>0</v>
      </c>
    </row>
    <row r="27" spans="1:30" x14ac:dyDescent="0.25">
      <c r="A27" t="s">
        <v>355</v>
      </c>
      <c r="B27" t="s">
        <v>356</v>
      </c>
      <c r="H27">
        <v>1</v>
      </c>
      <c r="I27">
        <v>0</v>
      </c>
      <c r="J27">
        <v>0</v>
      </c>
    </row>
    <row r="28" spans="1:30" x14ac:dyDescent="0.25">
      <c r="A28" t="s">
        <v>357</v>
      </c>
    </row>
    <row r="29" spans="1:30" x14ac:dyDescent="0.25">
      <c r="A29" s="9" t="s">
        <v>358</v>
      </c>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row>
    <row r="30" spans="1:30" x14ac:dyDescent="0.25">
      <c r="A30" s="11" t="s">
        <v>359</v>
      </c>
    </row>
    <row r="31" spans="1:30" ht="60" customHeight="1" x14ac:dyDescent="0.25">
      <c r="A31" s="6" t="s">
        <v>112</v>
      </c>
      <c r="B31" s="6" t="s">
        <v>360</v>
      </c>
      <c r="C31" s="6" t="s">
        <v>292</v>
      </c>
      <c r="D31" s="6" t="s">
        <v>361</v>
      </c>
      <c r="E31" s="6" t="s">
        <v>362</v>
      </c>
      <c r="F31" s="6" t="s">
        <v>363</v>
      </c>
      <c r="G31" s="6" t="s">
        <v>364</v>
      </c>
    </row>
    <row r="32" spans="1:30" x14ac:dyDescent="0.25">
      <c r="A32" t="s">
        <v>118</v>
      </c>
      <c r="B32" s="13">
        <f>'EPS Inputs'!B37</f>
        <v>0.40566317524959927</v>
      </c>
      <c r="C32" s="15">
        <f>'EPS Inputs'!C37</f>
        <v>9.1827574525745243E-5</v>
      </c>
      <c r="D32" s="13">
        <f>B32*C32/SUMPRODUCT($B$32:$B$36,$C$32:$C$36)</f>
        <v>0.22883272058703505</v>
      </c>
      <c r="E32" s="7">
        <f>G51</f>
        <v>477093</v>
      </c>
      <c r="F32" s="7">
        <f>SUMIFS('PNNL Office Measures'!$E$5:$E$69,'PNNL Office Measures'!$A$5:$A$69,"HA14",'PNNL Office Measures'!$D$5:$D$69,$A32)-SUMIFS('PNNL Office Measures'!$E$5:$E$69,'PNNL Office Measures'!$A$5:$A$69,"HA12",'PNNL Office Measures'!$D$5:$D$69,$A32)</f>
        <v>61907</v>
      </c>
      <c r="G32" s="7">
        <f>SUMIFS('PNNL Office Measures'!$F$5:$F$69,'PNNL Office Measures'!$A$5:$A$69,"HA14",'PNNL Office Measures'!$D$5:$D$69,$A32)-SUMIFS('PNNL Office Measures'!$F$5:$F$69,'PNNL Office Measures'!$A$5:$A$69,"HA12",'PNNL Office Measures'!$D$5:$D$69,$A32)</f>
        <v>128296</v>
      </c>
    </row>
    <row r="33" spans="1:28" x14ac:dyDescent="0.25">
      <c r="A33" t="s">
        <v>119</v>
      </c>
      <c r="B33" s="13">
        <f>'EPS Inputs'!B38</f>
        <v>6.1563024941687562E-2</v>
      </c>
      <c r="C33" s="15">
        <f>'EPS Inputs'!C38</f>
        <v>1.959678809919428E-4</v>
      </c>
      <c r="D33" s="13">
        <f>B33*C33/SUMPRODUCT($B$32:$B$36,$C$32:$C$36)</f>
        <v>7.4111272907158104E-2</v>
      </c>
      <c r="E33" s="7">
        <f>J51</f>
        <v>1000130</v>
      </c>
      <c r="F33" s="7">
        <f>SUMIFS('PNNL Office Measures'!$E$5:$E$69,'PNNL Office Measures'!$A$5:$A$69,"HA14",'PNNL Office Measures'!$D$5:$D$69,$A33)-SUMIFS('PNNL Office Measures'!$E$5:$E$69,'PNNL Office Measures'!$A$5:$A$69,"HA12",'PNNL Office Measures'!$D$5:$D$69,$A33)</f>
        <v>62463</v>
      </c>
      <c r="G33" s="7">
        <f>SUMIFS('PNNL Office Measures'!$F$5:$F$69,'PNNL Office Measures'!$A$5:$A$69,"HA14",'PNNL Office Measures'!$D$5:$D$69,$A33)-SUMIFS('PNNL Office Measures'!$F$5:$F$69,'PNNL Office Measures'!$A$5:$A$69,"HA12",'PNNL Office Measures'!$D$5:$D$69,$A33)</f>
        <v>129449</v>
      </c>
    </row>
    <row r="34" spans="1:28" x14ac:dyDescent="0.25">
      <c r="A34" t="s">
        <v>120</v>
      </c>
      <c r="B34" s="13">
        <f>'EPS Inputs'!B39</f>
        <v>3.7672564038317383E-2</v>
      </c>
      <c r="C34" s="15">
        <f>'EPS Inputs'!C39</f>
        <v>1.9606404513407841E-4</v>
      </c>
      <c r="D34" s="13">
        <f>B34*C34/SUMPRODUCT($B$32:$B$36,$C$32:$C$36)</f>
        <v>4.5373529505810681E-2</v>
      </c>
      <c r="E34" s="7">
        <f>M51</f>
        <v>1018935</v>
      </c>
      <c r="F34" s="7">
        <f>SUMIFS('PNNL Office Measures'!$E$5:$E$69,'PNNL Office Measures'!$A$5:$A$69,"HA14",'PNNL Office Measures'!$D$5:$D$69,$A34)-SUMIFS('PNNL Office Measures'!$E$5:$E$69,'PNNL Office Measures'!$A$5:$A$69,"HA12",'PNNL Office Measures'!$D$5:$D$69,$A34)</f>
        <v>64690</v>
      </c>
      <c r="G34" s="7">
        <f>SUMIFS('PNNL Office Measures'!$F$5:$F$69,'PNNL Office Measures'!$A$5:$A$69,"HA14",'PNNL Office Measures'!$D$5:$D$69,$A34)-SUMIFS('PNNL Office Measures'!$F$5:$F$69,'PNNL Office Measures'!$A$5:$A$69,"HA12",'PNNL Office Measures'!$D$5:$D$69,$A34)</f>
        <v>134064</v>
      </c>
    </row>
    <row r="35" spans="1:28" x14ac:dyDescent="0.25">
      <c r="A35" t="s">
        <v>121</v>
      </c>
      <c r="B35" s="13">
        <f>'EPS Inputs'!B40</f>
        <v>0.45140543049506737</v>
      </c>
      <c r="C35" s="15">
        <f>'EPS Inputs'!C40</f>
        <v>2.1417364549585339E-4</v>
      </c>
      <c r="D35" s="13">
        <f>B35*C35/SUMPRODUCT($B$32:$B$36,$C$32:$C$36)</f>
        <v>0.59389850677350708</v>
      </c>
      <c r="E35" s="7">
        <f>P51</f>
        <v>1051099</v>
      </c>
      <c r="F35" s="7">
        <f>SUMIFS('PNNL Office Measures'!$E$5:$E$69,'PNNL Office Measures'!$A$5:$A$69,"HA14",'PNNL Office Measures'!$D$5:$D$69,$A35)-SUMIFS('PNNL Office Measures'!$E$5:$E$69,'PNNL Office Measures'!$A$5:$A$69,"HA12",'PNNL Office Measures'!$D$5:$D$69,$A35)</f>
        <v>61226</v>
      </c>
      <c r="G35" s="7">
        <f>SUMIFS('PNNL Office Measures'!$F$5:$F$69,'PNNL Office Measures'!$A$5:$A$69,"HA14",'PNNL Office Measures'!$D$5:$D$69,$A35)-SUMIFS('PNNL Office Measures'!$F$5:$F$69,'PNNL Office Measures'!$A$5:$A$69,"HA12",'PNNL Office Measures'!$D$5:$D$69,$A35)</f>
        <v>126886</v>
      </c>
    </row>
    <row r="36" spans="1:28" x14ac:dyDescent="0.25">
      <c r="A36" t="s">
        <v>122</v>
      </c>
      <c r="B36" s="13">
        <f>'EPS Inputs'!B41</f>
        <v>4.3695805275328507E-2</v>
      </c>
      <c r="C36" s="15">
        <f>'EPS Inputs'!C41</f>
        <v>2.152723271593618E-4</v>
      </c>
      <c r="D36" s="13">
        <f>B36*C36/SUMPRODUCT($B$32:$B$36,$C$32:$C$36)</f>
        <v>5.7783970226489186E-2</v>
      </c>
      <c r="E36" s="7">
        <f>S51</f>
        <v>1056492</v>
      </c>
      <c r="F36" s="7">
        <f>SUMIFS('PNNL Office Measures'!$E$5:$E$69,'PNNL Office Measures'!$A$5:$A$69,"HA14",'PNNL Office Measures'!$D$5:$D$69,$A36)-SUMIFS('PNNL Office Measures'!$E$5:$E$69,'PNNL Office Measures'!$A$5:$A$69,"HA12",'PNNL Office Measures'!$D$5:$D$69,$A36)</f>
        <v>60979</v>
      </c>
      <c r="G36" s="7">
        <f>SUMIFS('PNNL Office Measures'!$F$5:$F$69,'PNNL Office Measures'!$A$5:$A$69,"HA14",'PNNL Office Measures'!$D$5:$D$69,$A36)-SUMIFS('PNNL Office Measures'!$F$5:$F$69,'PNNL Office Measures'!$A$5:$A$69,"HA12",'PNNL Office Measures'!$D$5:$D$69,$A36)</f>
        <v>126374</v>
      </c>
    </row>
    <row r="37" spans="1:28" x14ac:dyDescent="0.25">
      <c r="A37" t="s">
        <v>365</v>
      </c>
    </row>
    <row r="39" spans="1:28" ht="96" customHeight="1" x14ac:dyDescent="0.25">
      <c r="A39" s="6" t="s">
        <v>366</v>
      </c>
      <c r="B39" s="6" t="s">
        <v>367</v>
      </c>
      <c r="C39" s="6" t="s">
        <v>368</v>
      </c>
      <c r="D39" s="6" t="s">
        <v>369</v>
      </c>
      <c r="E39" s="6" t="s">
        <v>370</v>
      </c>
      <c r="F39" s="6" t="s">
        <v>371</v>
      </c>
      <c r="G39" s="6" t="s">
        <v>372</v>
      </c>
      <c r="H39" s="6" t="s">
        <v>373</v>
      </c>
      <c r="I39" s="6" t="s">
        <v>374</v>
      </c>
      <c r="J39" s="6" t="s">
        <v>375</v>
      </c>
      <c r="K39" s="6" t="s">
        <v>376</v>
      </c>
      <c r="L39" s="6" t="s">
        <v>377</v>
      </c>
      <c r="M39" s="6" t="s">
        <v>378</v>
      </c>
      <c r="N39" s="6" t="s">
        <v>379</v>
      </c>
      <c r="O39" s="6" t="s">
        <v>380</v>
      </c>
      <c r="P39" s="6" t="s">
        <v>381</v>
      </c>
      <c r="Q39" s="6" t="s">
        <v>382</v>
      </c>
      <c r="R39" s="6" t="s">
        <v>383</v>
      </c>
      <c r="S39" s="6" t="s">
        <v>384</v>
      </c>
      <c r="T39" s="6" t="s">
        <v>385</v>
      </c>
      <c r="U39" s="6" t="s">
        <v>386</v>
      </c>
      <c r="V39" s="6" t="s">
        <v>387</v>
      </c>
      <c r="W39" s="6" t="s">
        <v>388</v>
      </c>
      <c r="X39" s="6" t="s">
        <v>389</v>
      </c>
      <c r="Y39" s="6" t="s">
        <v>390</v>
      </c>
      <c r="Z39" s="6" t="s">
        <v>391</v>
      </c>
      <c r="AA39" s="6" t="s">
        <v>392</v>
      </c>
      <c r="AB39" s="6" t="s">
        <v>393</v>
      </c>
    </row>
    <row r="40" spans="1:28" x14ac:dyDescent="0.25">
      <c r="A40" t="s">
        <v>116</v>
      </c>
      <c r="B40" t="s">
        <v>116</v>
      </c>
      <c r="C40" t="s">
        <v>394</v>
      </c>
      <c r="D40" t="s">
        <v>353</v>
      </c>
      <c r="E40" t="s">
        <v>263</v>
      </c>
      <c r="F40">
        <f>SUMIFS('EPS Inputs'!$C$45:$C$99,'EPS Inputs'!$A$45:$A$99,"Hot &amp; Humid",'EPS Inputs'!$D$45:$D$99,$A40)</f>
        <v>0</v>
      </c>
      <c r="G40" s="7">
        <f>SUMIFS('PNNL Office Measures'!$E$5:$E$69,'PNNL Office Measures'!$A$5:$A$69,$B40,'PNNL Office Measures'!$D$5:$D$69,"Hot &amp; Humid")</f>
        <v>104502</v>
      </c>
      <c r="H40" s="7">
        <f>SUMIFS('PNNL Office Measures'!$F$5:$F$69,'PNNL Office Measures'!$A$5:$A$69,$B40,'PNNL Office Measures'!$D$5:$D$69,"Hot &amp; Humid")</f>
        <v>207856</v>
      </c>
      <c r="I40">
        <f>SUMIFS('EPS Inputs'!$C$45:$C$99,'EPS Inputs'!$A$45:$A$99,"Hot &amp; Dry",'EPS Inputs'!$D$45:$D$99,$A40)</f>
        <v>1</v>
      </c>
      <c r="J40" s="7">
        <f>SUMIFS('PNNL Office Measures'!$E$5:$E$69,'PNNL Office Measures'!$A$5:$A$69,$B40,'PNNL Office Measures'!$D$5:$D$69,"Hot &amp; Dry")</f>
        <v>139044</v>
      </c>
      <c r="K40" s="7">
        <f>SUMIFS('PNNL Office Measures'!$F$5:$F$69,'PNNL Office Measures'!$A$5:$A$69,$B40,'PNNL Office Measures'!$D$5:$D$69,"Hot &amp; Dry")</f>
        <v>237533</v>
      </c>
      <c r="L40">
        <f>SUMIFS('EPS Inputs'!$C$45:$C$99,'EPS Inputs'!$A$45:$A$99,"Marine",'EPS Inputs'!$D$45:$D$99,$A40)</f>
        <v>1</v>
      </c>
      <c r="M40" s="7">
        <f>SUMIFS('PNNL Office Measures'!$E$5:$E$69,'PNNL Office Measures'!$A$5:$A$69,$B40,'PNNL Office Measures'!$D$5:$D$69,"Marine")</f>
        <v>144000</v>
      </c>
      <c r="N40" s="7">
        <f>SUMIFS('PNNL Office Measures'!$F$5:$F$69,'PNNL Office Measures'!$A$5:$A$69,$B40,'PNNL Office Measures'!$D$5:$D$69,"Marine")</f>
        <v>246000</v>
      </c>
      <c r="O40">
        <f>SUMIFS('EPS Inputs'!$C$45:$C$99,'EPS Inputs'!$A$45:$A$99,"Cold",'EPS Inputs'!$D$45:$D$99,$A40)</f>
        <v>1</v>
      </c>
      <c r="P40" s="7">
        <f>SUMIFS('PNNL Office Measures'!$E$5:$E$69,'PNNL Office Measures'!$A$5:$A$69,$B40,'PNNL Office Measures'!$D$5:$D$69,"Cold")</f>
        <v>136291</v>
      </c>
      <c r="Q40" s="7">
        <f>SUMIFS('PNNL Office Measures'!$F$5:$F$69,'PNNL Office Measures'!$A$5:$A$69,$B40,'PNNL Office Measures'!$D$5:$D$69,"Cold")</f>
        <v>232830</v>
      </c>
      <c r="R40">
        <f>SUMIFS('EPS Inputs'!$C$45:$C$99,'EPS Inputs'!$A$45:$A$99,"Very Cold",'EPS Inputs'!$D$45:$D$99,$A40)</f>
        <v>1</v>
      </c>
      <c r="S40" s="7">
        <f>SUMIFS('PNNL Office Measures'!$E$5:$E$69,'PNNL Office Measures'!$A$5:$A$69,$B40,'PNNL Office Measures'!$D$5:$D$69,"Very Cold")</f>
        <v>152707</v>
      </c>
      <c r="T40" s="7">
        <f>SUMIFS('PNNL Office Measures'!$F$5:$F$69,'PNNL Office Measures'!$A$5:$A$69,$B40,'PNNL Office Measures'!$D$5:$D$69,"Very Cold")</f>
        <v>260168</v>
      </c>
      <c r="U40" s="13">
        <f t="shared" ref="U40:U50" si="0">$D$32*F40*G40/$E$32+$D$33*I40*J40/$E$33+$D$34*L40*M40/$E$34+$D$35*O40*P40/$E$35+$D$36*R40*S40/$E$36</f>
        <v>0.10207593361326465</v>
      </c>
      <c r="V40" s="13">
        <f t="shared" ref="V40:V50" si="1">$D$32*F40*H40/$E$32+$D$33*I40*K40/$E$33+$D$34*L40*N40/$E$34+$D$35*O40*Q40/$E$35+$D$36*R40*T40/$E$36</f>
        <v>0.17434078473781875</v>
      </c>
      <c r="W40" s="13">
        <f>VLOOKUP($D40,Calcs!$A$21:$J$27,8,FALSE)</f>
        <v>1</v>
      </c>
      <c r="X40" s="13">
        <f>VLOOKUP($D40,Calcs!$A$21:$J$27,9,FALSE)</f>
        <v>0</v>
      </c>
      <c r="Y40" s="13">
        <f>VLOOKUP($D40,Calcs!$A$21:$J$27,10,FALSE)</f>
        <v>0</v>
      </c>
      <c r="Z40" s="13">
        <f t="shared" ref="Z40:Z50" si="2">U40*W40</f>
        <v>0.10207593361326465</v>
      </c>
      <c r="AA40" s="13">
        <f t="shared" ref="AA40:AA50" si="3">U40*Y40</f>
        <v>0</v>
      </c>
      <c r="AB40" s="13">
        <f t="shared" ref="AB40:AB50" si="4">U40*X40</f>
        <v>0</v>
      </c>
    </row>
    <row r="41" spans="1:28" x14ac:dyDescent="0.25">
      <c r="A41" t="s">
        <v>125</v>
      </c>
      <c r="B41" t="s">
        <v>125</v>
      </c>
      <c r="C41" t="s">
        <v>395</v>
      </c>
      <c r="D41" t="s">
        <v>345</v>
      </c>
      <c r="E41" t="s">
        <v>253</v>
      </c>
      <c r="F41">
        <f>SUMIFS('EPS Inputs'!$C$45:$C$99,'EPS Inputs'!$A$45:$A$99,"Hot &amp; Humid",'EPS Inputs'!$D$45:$D$99,$A41)</f>
        <v>1</v>
      </c>
      <c r="G41" s="7">
        <f>SUMIFS('PNNL Office Measures'!$E$5:$E$69,'PNNL Office Measures'!$A$5:$A$69,$B41,'PNNL Office Measures'!$D$5:$D$69,"Hot &amp; Humid")</f>
        <v>66500</v>
      </c>
      <c r="H41" s="7">
        <f>SUMIFS('PNNL Office Measures'!$F$5:$F$69,'PNNL Office Measures'!$A$5:$A$69,$B41,'PNNL Office Measures'!$D$5:$D$69,"Hot &amp; Humid")</f>
        <v>147308</v>
      </c>
      <c r="I41">
        <f>SUMIFS('EPS Inputs'!$C$45:$C$99,'EPS Inputs'!$A$45:$A$99,"Hot &amp; Dry",'EPS Inputs'!$D$45:$D$99,$A41)</f>
        <v>1</v>
      </c>
      <c r="J41" s="7">
        <f>SUMIFS('PNNL Office Measures'!$E$5:$E$69,'PNNL Office Measures'!$A$5:$A$69,$B41,'PNNL Office Measures'!$D$5:$D$69,"Hot &amp; Dry")</f>
        <v>67098</v>
      </c>
      <c r="K41" s="7">
        <f>SUMIFS('PNNL Office Measures'!$F$5:$F$69,'PNNL Office Measures'!$A$5:$A$69,$B41,'PNNL Office Measures'!$D$5:$D$69,"Hot &amp; Dry")</f>
        <v>148632</v>
      </c>
      <c r="L41">
        <f>SUMIFS('EPS Inputs'!$C$45:$C$99,'EPS Inputs'!$A$45:$A$99,"Marine",'EPS Inputs'!$D$45:$D$99,$A41)</f>
        <v>1</v>
      </c>
      <c r="M41" s="7">
        <f>SUMIFS('PNNL Office Measures'!$E$5:$E$69,'PNNL Office Measures'!$A$5:$A$69,$B41,'PNNL Office Measures'!$D$5:$D$69,"Marine")</f>
        <v>69490</v>
      </c>
      <c r="N41" s="7">
        <f>SUMIFS('PNNL Office Measures'!$F$5:$F$69,'PNNL Office Measures'!$A$5:$A$69,$B41,'PNNL Office Measures'!$D$5:$D$69,"Marine")</f>
        <v>153930</v>
      </c>
      <c r="O41">
        <f>SUMIFS('EPS Inputs'!$C$45:$C$99,'EPS Inputs'!$A$45:$A$99,"Cold",'EPS Inputs'!$D$45:$D$99,$A41)</f>
        <v>1</v>
      </c>
      <c r="P41" s="7">
        <f>SUMIFS('PNNL Office Measures'!$E$5:$E$69,'PNNL Office Measures'!$A$5:$A$69,$B41,'PNNL Office Measures'!$D$5:$D$69,"Cold")</f>
        <v>65769</v>
      </c>
      <c r="Q41" s="7">
        <f>SUMIFS('PNNL Office Measures'!$F$5:$F$69,'PNNL Office Measures'!$A$5:$A$69,$B41,'PNNL Office Measures'!$D$5:$D$69,"Cold")</f>
        <v>145689</v>
      </c>
      <c r="R41">
        <f>SUMIFS('EPS Inputs'!$C$45:$C$99,'EPS Inputs'!$A$45:$A$99,"Very Cold",'EPS Inputs'!$D$45:$D$99,$A41)</f>
        <v>1</v>
      </c>
      <c r="S41" s="7">
        <f>SUMIFS('PNNL Office Measures'!$E$5:$E$69,'PNNL Office Measures'!$A$5:$A$69,$B41,'PNNL Office Measures'!$D$5:$D$69,"Very Cold")</f>
        <v>65504</v>
      </c>
      <c r="T41" s="7">
        <f>SUMIFS('PNNL Office Measures'!$F$5:$F$69,'PNNL Office Measures'!$A$5:$A$69,$B41,'PNNL Office Measures'!$D$5:$D$69,"Very Cold")</f>
        <v>145100</v>
      </c>
      <c r="U41" s="13">
        <f t="shared" si="0"/>
        <v>8.0706420718736266E-2</v>
      </c>
      <c r="V41" s="13">
        <f t="shared" si="1"/>
        <v>0.17877742221801018</v>
      </c>
      <c r="W41" s="13">
        <f>VLOOKUP($D41,Calcs!$A$21:$J$27,8,FALSE)</f>
        <v>0.81706549118387906</v>
      </c>
      <c r="X41" s="13">
        <f>VLOOKUP($D41,Calcs!$A$21:$J$27,9,FALSE)</f>
        <v>2.3614609571788413E-2</v>
      </c>
      <c r="Y41" s="13">
        <f>VLOOKUP($D41,Calcs!$A$21:$J$27,10,FALSE)</f>
        <v>0.15931989924433249</v>
      </c>
      <c r="Z41" s="13">
        <f t="shared" si="2"/>
        <v>6.5942431286247036E-2</v>
      </c>
      <c r="AA41" s="13">
        <f t="shared" si="3"/>
        <v>1.285813881727977E-2</v>
      </c>
      <c r="AB41" s="13">
        <f t="shared" si="4"/>
        <v>1.9058506152094521E-3</v>
      </c>
    </row>
    <row r="42" spans="1:28" x14ac:dyDescent="0.25">
      <c r="A42" t="s">
        <v>127</v>
      </c>
      <c r="B42" t="s">
        <v>127</v>
      </c>
      <c r="C42" t="s">
        <v>396</v>
      </c>
      <c r="D42" t="s">
        <v>345</v>
      </c>
      <c r="E42" t="s">
        <v>253</v>
      </c>
      <c r="F42">
        <f>SUMIFS('EPS Inputs'!$C$45:$C$99,'EPS Inputs'!$A$45:$A$99,"Hot &amp; Humid",'EPS Inputs'!$D$45:$D$99,$A42)</f>
        <v>1</v>
      </c>
      <c r="G42" s="7">
        <f>SUMIFS('PNNL Office Measures'!$E$5:$E$69,'PNNL Office Measures'!$A$5:$A$69,$B42,'PNNL Office Measures'!$D$5:$D$69,"Hot &amp; Humid")-$F$32</f>
        <v>0</v>
      </c>
      <c r="H42" s="7">
        <f>SUMIFS('PNNL Office Measures'!$F$5:$F$69,'PNNL Office Measures'!$A$5:$A$69,$B42,'PNNL Office Measures'!$D$5:$D$69,"Hot &amp; Humid")-$G$32</f>
        <v>36684</v>
      </c>
      <c r="I42">
        <f>SUMIFS('EPS Inputs'!$C$45:$C$99,'EPS Inputs'!$A$45:$A$99,"Hot &amp; Dry",'EPS Inputs'!$D$45:$D$99,$A42)</f>
        <v>1</v>
      </c>
      <c r="J42" s="7">
        <f>SUMIFS('PNNL Office Measures'!$E$5:$E$69,'PNNL Office Measures'!$A$5:$A$69,$B42,'PNNL Office Measures'!$D$5:$D$69,"Hot &amp; Dry")-$F$33</f>
        <v>0</v>
      </c>
      <c r="K42" s="7">
        <f>SUMIFS('PNNL Office Measures'!$F$5:$F$69,'PNNL Office Measures'!$A$5:$A$69,$B42,'PNNL Office Measures'!$D$5:$D$69,"Hot &amp; Dry")-$G$33</f>
        <v>37014</v>
      </c>
      <c r="L42">
        <f>SUMIFS('EPS Inputs'!$C$45:$C$99,'EPS Inputs'!$A$45:$A$99,"Marine",'EPS Inputs'!$D$45:$D$99,$A42)</f>
        <v>1</v>
      </c>
      <c r="M42" s="7">
        <f>SUMIFS('PNNL Office Measures'!$E$5:$E$69,'PNNL Office Measures'!$A$5:$A$69,$B42,'PNNL Office Measures'!$D$5:$D$69,"Marine")-$F$34</f>
        <v>0</v>
      </c>
      <c r="N42" s="7">
        <f>SUMIFS('PNNL Office Measures'!$F$5:$F$69,'PNNL Office Measures'!$A$5:$A$69,$B42,'PNNL Office Measures'!$D$5:$D$69,"Marine")-$G$34</f>
        <v>38333</v>
      </c>
      <c r="O42">
        <f>SUMIFS('EPS Inputs'!$C$45:$C$99,'EPS Inputs'!$A$45:$A$99,"Cold",'EPS Inputs'!$D$45:$D$99,$A42)</f>
        <v>1</v>
      </c>
      <c r="P42" s="7">
        <f>SUMIFS('PNNL Office Measures'!$E$5:$E$69,'PNNL Office Measures'!$A$5:$A$69,$B42,'PNNL Office Measures'!$D$5:$D$69,"Cold")-$F$35</f>
        <v>0</v>
      </c>
      <c r="Q42" s="7">
        <f>SUMIFS('PNNL Office Measures'!$F$5:$F$69,'PNNL Office Measures'!$A$5:$A$69,$B42,'PNNL Office Measures'!$D$5:$D$69,"Cold")-$G$35</f>
        <v>36281</v>
      </c>
      <c r="R42">
        <f>SUMIFS('EPS Inputs'!$C$45:$C$99,'EPS Inputs'!$A$45:$A$99,"Very Cold",'EPS Inputs'!$D$45:$D$99,$A42)</f>
        <v>1</v>
      </c>
      <c r="S42" s="7">
        <f>SUMIFS('PNNL Office Measures'!$E$5:$E$69,'PNNL Office Measures'!$A$5:$A$69,$B42,'PNNL Office Measures'!$D$5:$D$69,"Very Cold")-$F$36</f>
        <v>0</v>
      </c>
      <c r="T42" s="7">
        <f>SUMIFS('PNNL Office Measures'!$F$5:$F$69,'PNNL Office Measures'!$A$5:$A$69,$B42,'PNNL Office Measures'!$D$5:$D$69,"Very Cold")-$G$36</f>
        <v>36134</v>
      </c>
      <c r="U42" s="13">
        <f t="shared" si="0"/>
        <v>0</v>
      </c>
      <c r="V42" s="13">
        <f t="shared" si="1"/>
        <v>4.452091732574489E-2</v>
      </c>
      <c r="W42" s="13">
        <f>VLOOKUP($D42,Calcs!$A$21:$J$27,8,FALSE)</f>
        <v>0.81706549118387906</v>
      </c>
      <c r="X42" s="13">
        <f>VLOOKUP($D42,Calcs!$A$21:$J$27,9,FALSE)</f>
        <v>2.3614609571788413E-2</v>
      </c>
      <c r="Y42" s="13">
        <f>VLOOKUP($D42,Calcs!$A$21:$J$27,10,FALSE)</f>
        <v>0.15931989924433249</v>
      </c>
      <c r="Z42" s="13">
        <f t="shared" si="2"/>
        <v>0</v>
      </c>
      <c r="AA42" s="13">
        <f t="shared" si="3"/>
        <v>0</v>
      </c>
      <c r="AB42" s="13">
        <f t="shared" si="4"/>
        <v>0</v>
      </c>
    </row>
    <row r="43" spans="1:28" x14ac:dyDescent="0.25">
      <c r="A43" t="s">
        <v>129</v>
      </c>
      <c r="B43" t="s">
        <v>129</v>
      </c>
      <c r="C43" t="s">
        <v>397</v>
      </c>
      <c r="D43" t="s">
        <v>345</v>
      </c>
      <c r="E43" t="s">
        <v>253</v>
      </c>
      <c r="F43">
        <f>SUMIFS('EPS Inputs'!$C$45:$C$99,'EPS Inputs'!$A$45:$A$99,"Hot &amp; Humid",'EPS Inputs'!$D$45:$D$99,$A43)</f>
        <v>1</v>
      </c>
      <c r="G43" s="7">
        <f>SUMIFS('PNNL Office Measures'!$E$5:$E$69,'PNNL Office Measures'!$A$5:$A$69,$B43,'PNNL Office Measures'!$D$5:$D$69,"Hot &amp; Humid")-$F$32</f>
        <v>16674</v>
      </c>
      <c r="H43" s="7">
        <f>SUMIFS('PNNL Office Measures'!$F$5:$F$69,'PNNL Office Measures'!$A$5:$A$69,$B43,'PNNL Office Measures'!$D$5:$D$69,"Hot &amp; Humid")-$G$32</f>
        <v>26159</v>
      </c>
      <c r="I43">
        <f>SUMIFS('EPS Inputs'!$C$45:$C$99,'EPS Inputs'!$A$45:$A$99,"Hot &amp; Dry",'EPS Inputs'!$D$45:$D$99,$A43)</f>
        <v>1</v>
      </c>
      <c r="J43" s="7">
        <f>SUMIFS('PNNL Office Measures'!$E$5:$E$69,'PNNL Office Measures'!$A$5:$A$69,$B43,'PNNL Office Measures'!$D$5:$D$69,"Hot &amp; Dry")-$F$33</f>
        <v>16825</v>
      </c>
      <c r="K43" s="7">
        <f>SUMIFS('PNNL Office Measures'!$F$5:$F$69,'PNNL Office Measures'!$A$5:$A$69,$B43,'PNNL Office Measures'!$D$5:$D$69,"Hot &amp; Dry")-$G$33</f>
        <v>91923</v>
      </c>
      <c r="L43">
        <f>SUMIFS('EPS Inputs'!$C$45:$C$99,'EPS Inputs'!$A$45:$A$99,"Marine",'EPS Inputs'!$D$45:$D$99,$A43)</f>
        <v>1</v>
      </c>
      <c r="M43" s="7">
        <f>SUMIFS('PNNL Office Measures'!$E$5:$E$69,'PNNL Office Measures'!$A$5:$A$69,$B43,'PNNL Office Measures'!$D$5:$D$69,"Marine")-$F$34</f>
        <v>17424</v>
      </c>
      <c r="N43" s="7">
        <f>SUMIFS('PNNL Office Measures'!$F$5:$F$69,'PNNL Office Measures'!$A$5:$A$69,$B43,'PNNL Office Measures'!$D$5:$D$69,"Marine")-$G$34</f>
        <v>69606</v>
      </c>
      <c r="O43">
        <f>SUMIFS('EPS Inputs'!$C$45:$C$99,'EPS Inputs'!$A$45:$A$99,"Cold",'EPS Inputs'!$D$45:$D$99,$A43)</f>
        <v>1</v>
      </c>
      <c r="P43" s="7">
        <f>SUMIFS('PNNL Office Measures'!$E$5:$E$69,'PNNL Office Measures'!$A$5:$A$69,$B43,'PNNL Office Measures'!$D$5:$D$69,"Cold")-$F$35</f>
        <v>16491</v>
      </c>
      <c r="Q43" s="7">
        <f>SUMIFS('PNNL Office Measures'!$F$5:$F$69,'PNNL Office Measures'!$A$5:$A$69,$B43,'PNNL Office Measures'!$D$5:$D$69,"Cold")-$G$35</f>
        <v>140783</v>
      </c>
      <c r="R43">
        <f>SUMIFS('EPS Inputs'!$C$45:$C$99,'EPS Inputs'!$A$45:$A$99,"Very Cold",'EPS Inputs'!$D$45:$D$99,$A43)</f>
        <v>1</v>
      </c>
      <c r="S43" s="7">
        <f>SUMIFS('PNNL Office Measures'!$E$5:$E$69,'PNNL Office Measures'!$A$5:$A$69,$B43,'PNNL Office Measures'!$D$5:$D$69,"Very Cold")-$F$36</f>
        <v>16424</v>
      </c>
      <c r="T43" s="7">
        <f>SUMIFS('PNNL Office Measures'!$F$5:$F$69,'PNNL Office Measures'!$A$5:$A$69,$B43,'PNNL Office Measures'!$D$5:$D$69,"Very Cold")-$G$36</f>
        <v>96554</v>
      </c>
      <c r="U43" s="13">
        <f t="shared" si="0"/>
        <v>2.0236313318056302E-2</v>
      </c>
      <c r="V43" s="13">
        <f t="shared" si="1"/>
        <v>0.10728514843877061</v>
      </c>
      <c r="W43" s="13">
        <f>VLOOKUP($D43,Calcs!$A$21:$J$27,8,FALSE)</f>
        <v>0.81706549118387906</v>
      </c>
      <c r="X43" s="13">
        <f>VLOOKUP($D43,Calcs!$A$21:$J$27,9,FALSE)</f>
        <v>2.3614609571788413E-2</v>
      </c>
      <c r="Y43" s="13">
        <f>VLOOKUP($D43,Calcs!$A$21:$J$27,10,FALSE)</f>
        <v>0.15931989924433249</v>
      </c>
      <c r="Z43" s="13">
        <f t="shared" si="2"/>
        <v>1.6534393280968545E-2</v>
      </c>
      <c r="AA43" s="13">
        <f t="shared" si="3"/>
        <v>3.2240473989094739E-3</v>
      </c>
      <c r="AB43" s="13">
        <f t="shared" si="4"/>
        <v>4.7787263817828171E-4</v>
      </c>
    </row>
    <row r="44" spans="1:28" x14ac:dyDescent="0.25">
      <c r="A44" t="s">
        <v>131</v>
      </c>
      <c r="B44" t="s">
        <v>131</v>
      </c>
      <c r="C44" t="s">
        <v>398</v>
      </c>
      <c r="D44" t="s">
        <v>347</v>
      </c>
      <c r="E44" t="s">
        <v>254</v>
      </c>
      <c r="F44">
        <f>SUMIFS('EPS Inputs'!$C$45:$C$99,'EPS Inputs'!$A$45:$A$99,"Hot &amp; Humid",'EPS Inputs'!$D$45:$D$99,$A44)</f>
        <v>1</v>
      </c>
      <c r="G44" s="7">
        <f>SUMIFS('PNNL Office Measures'!$E$5:$E$69,'PNNL Office Measures'!$A$5:$A$69,$B44,'PNNL Office Measures'!$D$5:$D$69,"Hot &amp; Humid")</f>
        <v>24116</v>
      </c>
      <c r="H44" s="7">
        <f>SUMIFS('PNNL Office Measures'!$F$5:$F$69,'PNNL Office Measures'!$A$5:$A$69,$B44,'PNNL Office Measures'!$D$5:$D$69,"Hot &amp; Humid")</f>
        <v>18374</v>
      </c>
      <c r="I44">
        <f>SUMIFS('EPS Inputs'!$C$45:$C$99,'EPS Inputs'!$A$45:$A$99,"Hot &amp; Dry",'EPS Inputs'!$D$45:$D$99,$A44)</f>
        <v>1</v>
      </c>
      <c r="J44" s="7">
        <f>SUMIFS('PNNL Office Measures'!$E$5:$E$69,'PNNL Office Measures'!$A$5:$A$69,$B44,'PNNL Office Measures'!$D$5:$D$69,"Hot &amp; Dry")</f>
        <v>25491</v>
      </c>
      <c r="K44" s="7">
        <f>SUMIFS('PNNL Office Measures'!$F$5:$F$69,'PNNL Office Measures'!$A$5:$A$69,$B44,'PNNL Office Measures'!$D$5:$D$69,"Hot &amp; Dry")</f>
        <v>19698</v>
      </c>
      <c r="L44">
        <f>SUMIFS('EPS Inputs'!$C$45:$C$99,'EPS Inputs'!$A$45:$A$99,"Marine",'EPS Inputs'!$D$45:$D$99,$A44)</f>
        <v>1</v>
      </c>
      <c r="M44" s="7">
        <f>SUMIFS('PNNL Office Measures'!$E$5:$E$69,'PNNL Office Measures'!$A$5:$A$69,$B44,'PNNL Office Measures'!$D$5:$D$69,"Marine")</f>
        <v>21480</v>
      </c>
      <c r="N44" s="7">
        <f>SUMIFS('PNNL Office Measures'!$F$5:$F$69,'PNNL Office Measures'!$A$5:$A$69,$B44,'PNNL Office Measures'!$D$5:$D$69,"Marine")</f>
        <v>15888</v>
      </c>
      <c r="O44">
        <f>SUMIFS('EPS Inputs'!$C$45:$C$99,'EPS Inputs'!$A$45:$A$99,"Cold",'EPS Inputs'!$D$45:$D$99,$A44)</f>
        <v>1</v>
      </c>
      <c r="P44" s="7">
        <f>SUMIFS('PNNL Office Measures'!$E$5:$E$69,'PNNL Office Measures'!$A$5:$A$69,$B44,'PNNL Office Measures'!$D$5:$D$69,"Cold")</f>
        <v>18172</v>
      </c>
      <c r="Q44" s="7">
        <f>SUMIFS('PNNL Office Measures'!$F$5:$F$69,'PNNL Office Measures'!$A$5:$A$69,$B44,'PNNL Office Measures'!$D$5:$D$69,"Cold")</f>
        <v>12493</v>
      </c>
      <c r="R44">
        <f>SUMIFS('EPS Inputs'!$C$45:$C$99,'EPS Inputs'!$A$45:$A$99,"Very Cold",'EPS Inputs'!$D$45:$D$99,$A44)</f>
        <v>1</v>
      </c>
      <c r="S44" s="7">
        <f>SUMIFS('PNNL Office Measures'!$E$5:$E$69,'PNNL Office Measures'!$A$5:$A$69,$B44,'PNNL Office Measures'!$D$5:$D$69,"Very Cold")</f>
        <v>18099</v>
      </c>
      <c r="T44" s="7">
        <f>SUMIFS('PNNL Office Measures'!$F$5:$F$69,'PNNL Office Measures'!$A$5:$A$69,$B44,'PNNL Office Measures'!$D$5:$D$69,"Very Cold")</f>
        <v>12443</v>
      </c>
      <c r="U44" s="13">
        <f t="shared" si="0"/>
        <v>2.566999336520593E-2</v>
      </c>
      <c r="V44" s="13">
        <f t="shared" si="1"/>
        <v>1.8719483695534223E-2</v>
      </c>
      <c r="W44" s="13">
        <f>VLOOKUP($D44,Calcs!$A$21:$J$27,8,FALSE)</f>
        <v>0.50666666666666671</v>
      </c>
      <c r="X44" s="13">
        <f>VLOOKUP($D44,Calcs!$A$21:$J$27,9,FALSE)</f>
        <v>5.2380952380952379E-3</v>
      </c>
      <c r="Y44" s="13">
        <f>VLOOKUP($D44,Calcs!$A$21:$J$27,10,FALSE)</f>
        <v>0.48809523809523808</v>
      </c>
      <c r="Z44" s="13">
        <f t="shared" si="2"/>
        <v>1.3006129971704338E-2</v>
      </c>
      <c r="AA44" s="13">
        <f t="shared" si="3"/>
        <v>1.2529401523493371E-2</v>
      </c>
      <c r="AB44" s="13">
        <f t="shared" si="4"/>
        <v>1.3446187000822152E-4</v>
      </c>
    </row>
    <row r="45" spans="1:28" x14ac:dyDescent="0.25">
      <c r="A45" t="s">
        <v>133</v>
      </c>
      <c r="B45" t="s">
        <v>133</v>
      </c>
      <c r="C45" t="s">
        <v>399</v>
      </c>
      <c r="D45" t="s">
        <v>355</v>
      </c>
      <c r="E45" t="s">
        <v>263</v>
      </c>
      <c r="F45">
        <f>SUMIFS('EPS Inputs'!$C$45:$C$99,'EPS Inputs'!$A$45:$A$99,"Hot &amp; Humid",'EPS Inputs'!$D$45:$D$99,$A45)</f>
        <v>1</v>
      </c>
      <c r="G45" s="7">
        <f>SUMIFS('PNNL Office Measures'!$E$5:$E$69,'PNNL Office Measures'!$A$5:$A$69,$B45,'PNNL Office Measures'!$D$5:$D$69,"Hot &amp; Humid")</f>
        <v>0</v>
      </c>
      <c r="H45" s="7">
        <f>SUMIFS('PNNL Office Measures'!$F$5:$F$69,'PNNL Office Measures'!$A$5:$A$69,$B45,'PNNL Office Measures'!$D$5:$D$69,"Hot &amp; Humid")</f>
        <v>1837</v>
      </c>
      <c r="I45">
        <f>SUMIFS('EPS Inputs'!$C$45:$C$99,'EPS Inputs'!$A$45:$A$99,"Hot &amp; Dry",'EPS Inputs'!$D$45:$D$99,$A45)</f>
        <v>1</v>
      </c>
      <c r="J45" s="7">
        <f>SUMIFS('PNNL Office Measures'!$E$5:$E$69,'PNNL Office Measures'!$A$5:$A$69,$B45,'PNNL Office Measures'!$D$5:$D$69,"Hot &amp; Dry")</f>
        <v>0</v>
      </c>
      <c r="K45" s="7">
        <f>SUMIFS('PNNL Office Measures'!$F$5:$F$69,'PNNL Office Measures'!$A$5:$A$69,$B45,'PNNL Office Measures'!$D$5:$D$69,"Hot &amp; Dry")</f>
        <v>1854</v>
      </c>
      <c r="L45">
        <f>SUMIFS('EPS Inputs'!$C$45:$C$99,'EPS Inputs'!$A$45:$A$99,"Marine",'EPS Inputs'!$D$45:$D$99,$A45)</f>
        <v>0</v>
      </c>
      <c r="M45" s="7">
        <f>SUMIFS('PNNL Office Measures'!$E$5:$E$69,'PNNL Office Measures'!$A$5:$A$69,$B45,'PNNL Office Measures'!$D$5:$D$69,"Marine")</f>
        <v>0</v>
      </c>
      <c r="N45" s="7">
        <f>SUMIFS('PNNL Office Measures'!$F$5:$F$69,'PNNL Office Measures'!$A$5:$A$69,$B45,'PNNL Office Measures'!$D$5:$D$69,"Marine")</f>
        <v>1920</v>
      </c>
      <c r="O45">
        <f>SUMIFS('EPS Inputs'!$C$45:$C$99,'EPS Inputs'!$A$45:$A$99,"Cold",'EPS Inputs'!$D$45:$D$99,$A45)</f>
        <v>0</v>
      </c>
      <c r="P45" s="7">
        <f>SUMIFS('PNNL Office Measures'!$E$5:$E$69,'PNNL Office Measures'!$A$5:$A$69,$B45,'PNNL Office Measures'!$D$5:$D$69,"Cold")</f>
        <v>0</v>
      </c>
      <c r="Q45" s="7">
        <f>SUMIFS('PNNL Office Measures'!$F$5:$F$69,'PNNL Office Measures'!$A$5:$A$69,$B45,'PNNL Office Measures'!$D$5:$D$69,"Cold")</f>
        <v>1817</v>
      </c>
      <c r="R45">
        <f>SUMIFS('EPS Inputs'!$C$45:$C$99,'EPS Inputs'!$A$45:$A$99,"Very Cold",'EPS Inputs'!$D$45:$D$99,$A45)</f>
        <v>0</v>
      </c>
      <c r="S45" s="7">
        <f>SUMIFS('PNNL Office Measures'!$E$5:$E$69,'PNNL Office Measures'!$A$5:$A$69,$B45,'PNNL Office Measures'!$D$5:$D$69,"Very Cold")</f>
        <v>0</v>
      </c>
      <c r="T45" s="7">
        <f>SUMIFS('PNNL Office Measures'!$F$5:$F$69,'PNNL Office Measures'!$A$5:$A$69,$B45,'PNNL Office Measures'!$D$5:$D$69,"Very Cold")</f>
        <v>1810</v>
      </c>
      <c r="U45" s="13">
        <f t="shared" si="0"/>
        <v>0</v>
      </c>
      <c r="V45" s="13">
        <f t="shared" si="1"/>
        <v>1.0184824810839967E-3</v>
      </c>
      <c r="W45" s="13">
        <f>VLOOKUP($D45,Calcs!$A$21:$J$27,8,FALSE)</f>
        <v>1</v>
      </c>
      <c r="X45" s="13">
        <f>VLOOKUP($D45,Calcs!$A$21:$J$27,9,FALSE)</f>
        <v>0</v>
      </c>
      <c r="Y45" s="13">
        <f>VLOOKUP($D45,Calcs!$A$21:$J$27,10,FALSE)</f>
        <v>0</v>
      </c>
      <c r="Z45" s="13">
        <f t="shared" si="2"/>
        <v>0</v>
      </c>
      <c r="AA45" s="13">
        <f t="shared" si="3"/>
        <v>0</v>
      </c>
      <c r="AB45" s="13">
        <f t="shared" si="4"/>
        <v>0</v>
      </c>
    </row>
    <row r="46" spans="1:28" x14ac:dyDescent="0.25">
      <c r="A46" t="s">
        <v>135</v>
      </c>
      <c r="B46" t="s">
        <v>135</v>
      </c>
      <c r="C46" t="s">
        <v>400</v>
      </c>
      <c r="D46" t="s">
        <v>347</v>
      </c>
      <c r="E46" t="s">
        <v>254</v>
      </c>
      <c r="F46">
        <f>SUMIFS('EPS Inputs'!$C$45:$C$99,'EPS Inputs'!$A$45:$A$99,"Hot &amp; Humid",'EPS Inputs'!$D$45:$D$99,$A46)</f>
        <v>0</v>
      </c>
      <c r="G46" s="7">
        <f>SUMIFS('PNNL Office Measures'!$E$5:$E$69,'PNNL Office Measures'!$A$5:$A$69,$B46,'PNNL Office Measures'!$D$5:$D$69,"Hot &amp; Humid")</f>
        <v>24460</v>
      </c>
      <c r="H46" s="7">
        <f>SUMIFS('PNNL Office Measures'!$F$5:$F$69,'PNNL Office Measures'!$A$5:$A$69,$B46,'PNNL Office Measures'!$D$5:$D$69,"Hot &amp; Humid")</f>
        <v>12693</v>
      </c>
      <c r="I46">
        <f>SUMIFS('EPS Inputs'!$C$45:$C$99,'EPS Inputs'!$A$45:$A$99,"Hot &amp; Dry",'EPS Inputs'!$D$45:$D$99,$A46)</f>
        <v>1</v>
      </c>
      <c r="J46" s="7">
        <f>SUMIFS('PNNL Office Measures'!$E$5:$E$69,'PNNL Office Measures'!$A$5:$A$69,$B46,'PNNL Office Measures'!$D$5:$D$69,"Hot &amp; Dry")</f>
        <v>26998</v>
      </c>
      <c r="K46" s="7">
        <f>SUMIFS('PNNL Office Measures'!$F$5:$F$69,'PNNL Office Measures'!$A$5:$A$69,$B46,'PNNL Office Measures'!$D$5:$D$69,"Hot &amp; Dry")</f>
        <v>18192</v>
      </c>
      <c r="L46">
        <f>SUMIFS('EPS Inputs'!$C$45:$C$99,'EPS Inputs'!$A$45:$A$99,"Marine",'EPS Inputs'!$D$45:$D$99,$A46)</f>
        <v>0</v>
      </c>
      <c r="M46" s="7">
        <f>SUMIFS('PNNL Office Measures'!$E$5:$E$69,'PNNL Office Measures'!$A$5:$A$69,$B46,'PNNL Office Measures'!$D$5:$D$69,"Marine")</f>
        <v>25560</v>
      </c>
      <c r="N46" s="7">
        <f>SUMIFS('PNNL Office Measures'!$F$5:$F$69,'PNNL Office Measures'!$A$5:$A$69,$B46,'PNNL Office Measures'!$D$5:$D$69,"Marine")</f>
        <v>16738</v>
      </c>
      <c r="O46">
        <f>SUMIFS('EPS Inputs'!$C$45:$C$99,'EPS Inputs'!$A$45:$A$99,"Cold",'EPS Inputs'!$D$45:$D$99,$A46)</f>
        <v>0</v>
      </c>
      <c r="P46" s="7">
        <f>SUMIFS('PNNL Office Measures'!$E$5:$E$69,'PNNL Office Measures'!$A$5:$A$69,$B46,'PNNL Office Measures'!$D$5:$D$69,"Cold")</f>
        <v>24192</v>
      </c>
      <c r="Q46" s="7">
        <f>SUMIFS('PNNL Office Measures'!$F$5:$F$69,'PNNL Office Measures'!$A$5:$A$69,$B46,'PNNL Office Measures'!$D$5:$D$69,"Cold")</f>
        <v>21997</v>
      </c>
      <c r="R46">
        <f>SUMIFS('EPS Inputs'!$C$45:$C$99,'EPS Inputs'!$A$45:$A$99,"Very Cold",'EPS Inputs'!$D$45:$D$99,$A46)</f>
        <v>0</v>
      </c>
      <c r="S46" s="7">
        <f>SUMIFS('PNNL Office Measures'!$E$5:$E$69,'PNNL Office Measures'!$A$5:$A$69,$B46,'PNNL Office Measures'!$D$5:$D$69,"Very Cold")</f>
        <v>24094</v>
      </c>
      <c r="T46" s="7">
        <f>SUMIFS('PNNL Office Measures'!$F$5:$F$69,'PNNL Office Measures'!$A$5:$A$69,$B46,'PNNL Office Measures'!$D$5:$D$69,"Very Cold")</f>
        <v>18320</v>
      </c>
      <c r="U46" s="13">
        <f t="shared" si="0"/>
        <v>2.0005960684585547E-3</v>
      </c>
      <c r="V46" s="13">
        <f t="shared" si="1"/>
        <v>1.3480570293132096E-3</v>
      </c>
      <c r="W46" s="13">
        <f>VLOOKUP($D46,Calcs!$A$21:$J$27,8,FALSE)</f>
        <v>0.50666666666666671</v>
      </c>
      <c r="X46" s="13">
        <f>VLOOKUP($D46,Calcs!$A$21:$J$27,9,FALSE)</f>
        <v>5.2380952380952379E-3</v>
      </c>
      <c r="Y46" s="13">
        <f>VLOOKUP($D46,Calcs!$A$21:$J$27,10,FALSE)</f>
        <v>0.48809523809523808</v>
      </c>
      <c r="Z46" s="13">
        <f t="shared" si="2"/>
        <v>1.0136353413523346E-3</v>
      </c>
      <c r="AA46" s="13">
        <f t="shared" si="3"/>
        <v>9.7648141436667548E-4</v>
      </c>
      <c r="AB46" s="13">
        <f t="shared" si="4"/>
        <v>1.0479312739544809E-5</v>
      </c>
    </row>
    <row r="47" spans="1:28" x14ac:dyDescent="0.25">
      <c r="A47" t="s">
        <v>137</v>
      </c>
      <c r="B47" t="s">
        <v>137</v>
      </c>
      <c r="C47" t="s">
        <v>401</v>
      </c>
      <c r="D47" t="s">
        <v>349</v>
      </c>
      <c r="E47" t="s">
        <v>255</v>
      </c>
      <c r="F47">
        <f>SUMIFS('EPS Inputs'!$C$45:$C$99,'EPS Inputs'!$A$45:$A$99,"Hot &amp; Humid",'EPS Inputs'!$D$45:$D$99,$A47)</f>
        <v>1</v>
      </c>
      <c r="G47" s="7">
        <f>SUMIFS('PNNL Office Measures'!$E$5:$E$69,'PNNL Office Measures'!$A$5:$A$69,$B47,'PNNL Office Measures'!$D$5:$D$69,"Hot &amp; Humid")</f>
        <v>16307</v>
      </c>
      <c r="H47" s="7">
        <f>SUMIFS('PNNL Office Measures'!$F$5:$F$69,'PNNL Office Measures'!$A$5:$A$69,$B47,'PNNL Office Measures'!$D$5:$D$69,"Hot &amp; Humid")</f>
        <v>8559</v>
      </c>
      <c r="I47">
        <f>SUMIFS('EPS Inputs'!$C$45:$C$99,'EPS Inputs'!$A$45:$A$99,"Hot &amp; Dry",'EPS Inputs'!$D$45:$D$99,$A47)</f>
        <v>1</v>
      </c>
      <c r="J47" s="7">
        <f>SUMIFS('PNNL Office Measures'!$E$5:$E$69,'PNNL Office Measures'!$A$5:$A$69,$B47,'PNNL Office Measures'!$D$5:$D$69,"Hot &amp; Dry")</f>
        <v>17033</v>
      </c>
      <c r="K47" s="7">
        <f>SUMIFS('PNNL Office Measures'!$F$5:$F$69,'PNNL Office Measures'!$A$5:$A$69,$B47,'PNNL Office Measures'!$D$5:$D$69,"Hot &amp; Dry")</f>
        <v>12267</v>
      </c>
      <c r="L47">
        <f>SUMIFS('EPS Inputs'!$C$45:$C$99,'EPS Inputs'!$A$45:$A$99,"Marine",'EPS Inputs'!$D$45:$D$99,$A47)</f>
        <v>0</v>
      </c>
      <c r="M47" s="7">
        <f>SUMIFS('PNNL Office Measures'!$E$5:$E$69,'PNNL Office Measures'!$A$5:$A$69,$B47,'PNNL Office Measures'!$D$5:$D$69,"Marine")</f>
        <v>17040</v>
      </c>
      <c r="N47" s="7">
        <f>SUMIFS('PNNL Office Measures'!$F$5:$F$69,'PNNL Office Measures'!$A$5:$A$69,$B47,'PNNL Office Measures'!$D$5:$D$69,"Marine")</f>
        <v>11286</v>
      </c>
      <c r="O47">
        <f>SUMIFS('EPS Inputs'!$C$45:$C$99,'EPS Inputs'!$A$45:$A$99,"Cold",'EPS Inputs'!$D$45:$D$99,$A47)</f>
        <v>0</v>
      </c>
      <c r="P47" s="7">
        <f>SUMIFS('PNNL Office Measures'!$E$5:$E$69,'PNNL Office Measures'!$A$5:$A$69,$B47,'PNNL Office Measures'!$D$5:$D$69,"Cold")</f>
        <v>16128</v>
      </c>
      <c r="Q47" s="7">
        <f>SUMIFS('PNNL Office Measures'!$F$5:$F$69,'PNNL Office Measures'!$A$5:$A$69,$B47,'PNNL Office Measures'!$D$5:$D$69,"Cold")</f>
        <v>14832</v>
      </c>
      <c r="R47">
        <f>SUMIFS('EPS Inputs'!$C$45:$C$99,'EPS Inputs'!$A$45:$A$99,"Very Cold",'EPS Inputs'!$D$45:$D$99,$A47)</f>
        <v>0</v>
      </c>
      <c r="S47" s="7">
        <f>SUMIFS('PNNL Office Measures'!$E$5:$E$69,'PNNL Office Measures'!$A$5:$A$69,$B47,'PNNL Office Measures'!$D$5:$D$69,"Very Cold")</f>
        <v>16063</v>
      </c>
      <c r="T47" s="7">
        <f>SUMIFS('PNNL Office Measures'!$F$5:$F$69,'PNNL Office Measures'!$A$5:$A$69,$B47,'PNNL Office Measures'!$D$5:$D$69,"Very Cold")</f>
        <v>12353</v>
      </c>
      <c r="U47" s="13">
        <f t="shared" si="0"/>
        <v>9.0836570373325973E-3</v>
      </c>
      <c r="V47" s="13">
        <f t="shared" si="1"/>
        <v>5.014240597305721E-3</v>
      </c>
      <c r="W47" s="13">
        <f>VLOOKUP($D47,Calcs!$A$21:$J$27,8,FALSE)</f>
        <v>0.81974974636455866</v>
      </c>
      <c r="X47" s="13">
        <f>VLOOKUP($D47,Calcs!$A$21:$J$27,9,FALSE)</f>
        <v>2.4010821778829895E-2</v>
      </c>
      <c r="Y47" s="13">
        <f>VLOOKUP($D47,Calcs!$A$21:$J$27,10,FALSE)</f>
        <v>0.15623943185661143</v>
      </c>
      <c r="Z47" s="13">
        <f t="shared" si="2"/>
        <v>7.446325552416035E-3</v>
      </c>
      <c r="AA47" s="13">
        <f t="shared" si="3"/>
        <v>1.4192254146931551E-3</v>
      </c>
      <c r="AB47" s="13">
        <f t="shared" si="4"/>
        <v>2.1810607022340695E-4</v>
      </c>
    </row>
    <row r="48" spans="1:28" x14ac:dyDescent="0.25">
      <c r="A48" t="s">
        <v>139</v>
      </c>
      <c r="B48" t="s">
        <v>139</v>
      </c>
      <c r="C48" t="s">
        <v>402</v>
      </c>
      <c r="D48" t="s">
        <v>347</v>
      </c>
      <c r="E48" t="s">
        <v>254</v>
      </c>
      <c r="F48">
        <f>SUMIFS('EPS Inputs'!$C$45:$C$99,'EPS Inputs'!$A$45:$A$99,"Hot &amp; Humid",'EPS Inputs'!$D$45:$D$99,$A48)</f>
        <v>1</v>
      </c>
      <c r="G48" s="7">
        <f>SUMIFS('PNNL Office Measures'!$E$5:$E$69,'PNNL Office Measures'!$A$5:$A$69,$B48,'PNNL Office Measures'!$D$5:$D$69,"Hot &amp; Humid")</f>
        <v>37782</v>
      </c>
      <c r="H48" s="7">
        <f>SUMIFS('PNNL Office Measures'!$F$5:$F$69,'PNNL Office Measures'!$A$5:$A$69,$B48,'PNNL Office Measures'!$D$5:$D$69,"Hot &amp; Humid")</f>
        <v>26868</v>
      </c>
      <c r="I48">
        <f>SUMIFS('EPS Inputs'!$C$45:$C$99,'EPS Inputs'!$A$45:$A$99,"Hot &amp; Dry",'EPS Inputs'!$D$45:$D$99,$A48)</f>
        <v>1</v>
      </c>
      <c r="J48" s="7">
        <f>SUMIFS('PNNL Office Measures'!$E$5:$E$69,'PNNL Office Measures'!$A$5:$A$69,$B48,'PNNL Office Measures'!$D$5:$D$69,"Hot &amp; Dry")</f>
        <v>45595</v>
      </c>
      <c r="K48" s="7">
        <f>SUMIFS('PNNL Office Measures'!$F$5:$F$69,'PNNL Office Measures'!$A$5:$A$69,$B48,'PNNL Office Measures'!$D$5:$D$69,"Hot &amp; Dry")</f>
        <v>39552</v>
      </c>
      <c r="L48">
        <f>SUMIFS('EPS Inputs'!$C$45:$C$99,'EPS Inputs'!$A$45:$A$99,"Marine",'EPS Inputs'!$D$45:$D$99,$A48)</f>
        <v>0</v>
      </c>
      <c r="M48" s="7">
        <f>SUMIFS('PNNL Office Measures'!$E$5:$E$69,'PNNL Office Measures'!$A$5:$A$69,$B48,'PNNL Office Measures'!$D$5:$D$69,"Marine")</f>
        <v>39480</v>
      </c>
      <c r="N48" s="7">
        <f>SUMIFS('PNNL Office Measures'!$F$5:$F$69,'PNNL Office Measures'!$A$5:$A$69,$B48,'PNNL Office Measures'!$D$5:$D$69,"Marine")</f>
        <v>35429</v>
      </c>
      <c r="O48">
        <f>SUMIFS('EPS Inputs'!$C$45:$C$99,'EPS Inputs'!$A$45:$A$99,"Cold",'EPS Inputs'!$D$45:$D$99,$A48)</f>
        <v>0</v>
      </c>
      <c r="P48" s="7">
        <f>SUMIFS('PNNL Office Measures'!$E$5:$E$69,'PNNL Office Measures'!$A$5:$A$69,$B48,'PNNL Office Measures'!$D$5:$D$69,"Cold")</f>
        <v>37366</v>
      </c>
      <c r="Q48" s="7">
        <f>SUMIFS('PNNL Office Measures'!$F$5:$F$69,'PNNL Office Measures'!$A$5:$A$69,$B48,'PNNL Office Measures'!$D$5:$D$69,"Cold")</f>
        <v>46562</v>
      </c>
      <c r="R48">
        <f>SUMIFS('EPS Inputs'!$C$45:$C$99,'EPS Inputs'!$A$45:$A$99,"Very Cold",'EPS Inputs'!$D$45:$D$99,$A48)</f>
        <v>0</v>
      </c>
      <c r="S48" s="7">
        <f>SUMIFS('PNNL Office Measures'!$E$5:$E$69,'PNNL Office Measures'!$A$5:$A$69,$B48,'PNNL Office Measures'!$D$5:$D$69,"Very Cold")</f>
        <v>37215</v>
      </c>
      <c r="T48" s="7">
        <f>SUMIFS('PNNL Office Measures'!$F$5:$F$69,'PNNL Office Measures'!$A$5:$A$69,$B48,'PNNL Office Measures'!$D$5:$D$69,"Very Cold")</f>
        <v>38779</v>
      </c>
      <c r="U48" s="13">
        <f t="shared" si="0"/>
        <v>2.1500409601266687E-2</v>
      </c>
      <c r="V48" s="13">
        <f t="shared" si="1"/>
        <v>1.5817826228485501E-2</v>
      </c>
      <c r="W48" s="13">
        <f>VLOOKUP($D48,Calcs!$A$21:$J$27,8,FALSE)</f>
        <v>0.50666666666666671</v>
      </c>
      <c r="X48" s="13">
        <f>VLOOKUP($D48,Calcs!$A$21:$J$27,9,FALSE)</f>
        <v>5.2380952380952379E-3</v>
      </c>
      <c r="Y48" s="13">
        <f>VLOOKUP($D48,Calcs!$A$21:$J$27,10,FALSE)</f>
        <v>0.48809523809523808</v>
      </c>
      <c r="Z48" s="13">
        <f t="shared" si="2"/>
        <v>1.0893540864641789E-2</v>
      </c>
      <c r="AA48" s="13">
        <f t="shared" si="3"/>
        <v>1.0494247543475407E-2</v>
      </c>
      <c r="AB48" s="13">
        <f t="shared" si="4"/>
        <v>1.1262119314949217E-4</v>
      </c>
    </row>
    <row r="49" spans="1:28" x14ac:dyDescent="0.25">
      <c r="A49" t="s">
        <v>141</v>
      </c>
      <c r="B49" t="s">
        <v>141</v>
      </c>
      <c r="C49" t="s">
        <v>403</v>
      </c>
      <c r="D49" t="s">
        <v>347</v>
      </c>
      <c r="E49" t="s">
        <v>254</v>
      </c>
      <c r="F49">
        <f>SUMIFS('EPS Inputs'!$C$45:$C$99,'EPS Inputs'!$A$45:$A$99,"Hot &amp; Humid",'EPS Inputs'!$D$45:$D$99,$A49)</f>
        <v>1</v>
      </c>
      <c r="G49" s="7">
        <f>SUMIFS('PNNL Office Measures'!$E$5:$E$69,'PNNL Office Measures'!$A$5:$A$69,$B49,'PNNL Office Measures'!$D$5:$D$69,"Hot &amp; Humid")</f>
        <v>38126</v>
      </c>
      <c r="H49" s="7">
        <f>SUMIFS('PNNL Office Measures'!$F$5:$F$69,'PNNL Office Measures'!$A$5:$A$69,$B49,'PNNL Office Measures'!$D$5:$D$69,"Hot &amp; Humid")</f>
        <v>11799</v>
      </c>
      <c r="I49">
        <f>SUMIFS('EPS Inputs'!$C$45:$C$99,'EPS Inputs'!$A$45:$A$99,"Hot &amp; Dry",'EPS Inputs'!$D$45:$D$99,$A49)</f>
        <v>1</v>
      </c>
      <c r="J49" s="7">
        <f>SUMIFS('PNNL Office Measures'!$E$5:$E$69,'PNNL Office Measures'!$A$5:$A$69,$B49,'PNNL Office Measures'!$D$5:$D$69,"Hot &amp; Dry")</f>
        <v>38469</v>
      </c>
      <c r="K49" s="7">
        <f>SUMIFS('PNNL Office Measures'!$F$5:$F$69,'PNNL Office Measures'!$A$5:$A$69,$B49,'PNNL Office Measures'!$D$5:$D$69,"Hot &amp; Dry")</f>
        <v>16912</v>
      </c>
      <c r="L49">
        <f>SUMIFS('EPS Inputs'!$C$45:$C$99,'EPS Inputs'!$A$45:$A$99,"Marine",'EPS Inputs'!$D$45:$D$99,$A49)</f>
        <v>0</v>
      </c>
      <c r="M49" s="7">
        <f>SUMIFS('PNNL Office Measures'!$E$5:$E$69,'PNNL Office Measures'!$A$5:$A$69,$B49,'PNNL Office Measures'!$D$5:$D$69,"Marine")</f>
        <v>39840</v>
      </c>
      <c r="N49" s="7">
        <f>SUMIFS('PNNL Office Measures'!$F$5:$F$69,'PNNL Office Measures'!$A$5:$A$69,$B49,'PNNL Office Measures'!$D$5:$D$69,"Marine")</f>
        <v>15559</v>
      </c>
      <c r="O49">
        <f>SUMIFS('EPS Inputs'!$C$45:$C$99,'EPS Inputs'!$A$45:$A$99,"Cold",'EPS Inputs'!$D$45:$D$99,$A49)</f>
        <v>0</v>
      </c>
      <c r="P49" s="7">
        <f>SUMIFS('PNNL Office Measures'!$E$5:$E$69,'PNNL Office Measures'!$A$5:$A$69,$B49,'PNNL Office Measures'!$D$5:$D$69,"Cold")</f>
        <v>37707</v>
      </c>
      <c r="Q49" s="7">
        <f>SUMIFS('PNNL Office Measures'!$F$5:$F$69,'PNNL Office Measures'!$A$5:$A$69,$B49,'PNNL Office Measures'!$D$5:$D$69,"Cold")</f>
        <v>20448</v>
      </c>
      <c r="R49">
        <f>SUMIFS('EPS Inputs'!$C$45:$C$99,'EPS Inputs'!$A$45:$A$99,"Very Cold",'EPS Inputs'!$D$45:$D$99,$A49)</f>
        <v>0</v>
      </c>
      <c r="S49" s="7">
        <f>SUMIFS('PNNL Office Measures'!$E$5:$E$69,'PNNL Office Measures'!$A$5:$A$69,$B49,'PNNL Office Measures'!$D$5:$D$69,"Very Cold")</f>
        <v>37555</v>
      </c>
      <c r="T49" s="7">
        <f>SUMIFS('PNNL Office Measures'!$F$5:$F$69,'PNNL Office Measures'!$A$5:$A$69,$B49,'PNNL Office Measures'!$D$5:$D$69,"Very Cold")</f>
        <v>17030</v>
      </c>
      <c r="U49" s="13">
        <f t="shared" si="0"/>
        <v>2.113735735716404E-2</v>
      </c>
      <c r="V49" s="13">
        <f t="shared" si="1"/>
        <v>6.9124751868122093E-3</v>
      </c>
      <c r="W49" s="13">
        <f>VLOOKUP($D49,Calcs!$A$21:$J$27,8,FALSE)</f>
        <v>0.50666666666666671</v>
      </c>
      <c r="X49" s="13">
        <f>VLOOKUP($D49,Calcs!$A$21:$J$27,9,FALSE)</f>
        <v>5.2380952380952379E-3</v>
      </c>
      <c r="Y49" s="13">
        <f>VLOOKUP($D49,Calcs!$A$21:$J$27,10,FALSE)</f>
        <v>0.48809523809523808</v>
      </c>
      <c r="Z49" s="13">
        <f t="shared" si="2"/>
        <v>1.0709594394296447E-2</v>
      </c>
      <c r="AA49" s="13">
        <f t="shared" si="3"/>
        <v>1.0317043471949115E-2</v>
      </c>
      <c r="AB49" s="13">
        <f t="shared" si="4"/>
        <v>1.1071949091847831E-4</v>
      </c>
    </row>
    <row r="50" spans="1:28" x14ac:dyDescent="0.25">
      <c r="A50" t="s">
        <v>143</v>
      </c>
      <c r="B50" t="s">
        <v>143</v>
      </c>
      <c r="C50" t="s">
        <v>404</v>
      </c>
      <c r="D50" t="s">
        <v>351</v>
      </c>
      <c r="E50" t="s">
        <v>252</v>
      </c>
      <c r="F50">
        <f>SUMIFS('EPS Inputs'!$C$45:$C$99,'EPS Inputs'!$A$45:$A$99,"Hot &amp; Humid",'EPS Inputs'!$D$45:$D$99,$A50)</f>
        <v>0</v>
      </c>
      <c r="G50" s="7">
        <f>SUMIFS('PNNL Office Measures'!$E$5:$E$69,'PNNL Office Measures'!$A$5:$A$69,$B50,'PNNL Office Measures'!$D$5:$D$69,"Hot &amp; Humid")-$F$32</f>
        <v>139688</v>
      </c>
      <c r="H50" s="7">
        <f>SUMIFS('PNNL Office Measures'!$F$5:$F$69,'PNNL Office Measures'!$A$5:$A$69,$B50,'PNNL Office Measures'!$D$5:$D$69,"Hot &amp; Humid")-$G$32</f>
        <v>73864</v>
      </c>
      <c r="I50">
        <f>SUMIFS('EPS Inputs'!$C$45:$C$99,'EPS Inputs'!$A$45:$A$99,"Hot &amp; Dry",'EPS Inputs'!$D$45:$D$99,$A50)</f>
        <v>0</v>
      </c>
      <c r="J50" s="7">
        <f>SUMIFS('PNNL Office Measures'!$E$5:$E$69,'PNNL Office Measures'!$A$5:$A$69,$B50,'PNNL Office Measures'!$D$5:$D$69,"Hot &amp; Dry")-$F$33</f>
        <v>161384</v>
      </c>
      <c r="K50" s="7">
        <f>SUMIFS('PNNL Office Measures'!$F$5:$F$69,'PNNL Office Measures'!$A$5:$A$69,$B50,'PNNL Office Measures'!$D$5:$D$69,"Hot &amp; Dry")-$G$33</f>
        <v>74529</v>
      </c>
      <c r="L50">
        <f>SUMIFS('EPS Inputs'!$C$45:$C$99,'EPS Inputs'!$A$45:$A$99,"Marine",'EPS Inputs'!$D$45:$D$99,$A50)</f>
        <v>1</v>
      </c>
      <c r="M50" s="7">
        <f>SUMIFS('PNNL Office Measures'!$E$5:$E$69,'PNNL Office Measures'!$A$5:$A$69,$B50,'PNNL Office Measures'!$D$5:$D$69,"Marine")-$F$34</f>
        <v>165600</v>
      </c>
      <c r="N50" s="7">
        <f>SUMIFS('PNNL Office Measures'!$F$5:$F$69,'PNNL Office Measures'!$A$5:$A$69,$B50,'PNNL Office Measures'!$D$5:$D$69,"Marine")-$G$34</f>
        <v>77184</v>
      </c>
      <c r="O50">
        <f>SUMIFS('EPS Inputs'!$C$45:$C$99,'EPS Inputs'!$A$45:$A$99,"Cold",'EPS Inputs'!$D$45:$D$99,$A50)</f>
        <v>1</v>
      </c>
      <c r="P50" s="7">
        <f>SUMIFS('PNNL Office Measures'!$E$5:$E$69,'PNNL Office Measures'!$A$5:$A$69,$B50,'PNNL Office Measures'!$D$5:$D$69,"Cold")-$F$35</f>
        <v>173248</v>
      </c>
      <c r="Q50" s="7">
        <f>SUMIFS('PNNL Office Measures'!$F$5:$F$69,'PNNL Office Measures'!$A$5:$A$69,$B50,'PNNL Office Measures'!$D$5:$D$69,"Cold")-$G$35</f>
        <v>73052</v>
      </c>
      <c r="R50">
        <f>SUMIFS('EPS Inputs'!$C$45:$C$99,'EPS Inputs'!$A$45:$A$99,"Very Cold",'EPS Inputs'!$D$45:$D$99,$A50)</f>
        <v>1</v>
      </c>
      <c r="S50" s="7">
        <f>SUMIFS('PNNL Office Measures'!$E$5:$E$69,'PNNL Office Measures'!$A$5:$A$69,$B50,'PNNL Office Measures'!$D$5:$D$69,"Very Cold")-$F$36</f>
        <v>180602</v>
      </c>
      <c r="T50" s="7">
        <f>SUMIFS('PNNL Office Measures'!$F$5:$F$69,'PNNL Office Measures'!$A$5:$A$69,$B50,'PNNL Office Measures'!$D$5:$D$69,"Very Cold")-$G$36</f>
        <v>72757</v>
      </c>
      <c r="U50" s="13">
        <f t="shared" si="0"/>
        <v>0.1151417694856241</v>
      </c>
      <c r="V50" s="13">
        <f t="shared" si="1"/>
        <v>4.8692711496011676E-2</v>
      </c>
      <c r="W50" s="13">
        <f>VLOOKUP($D50,Calcs!$A$21:$J$27,8,FALSE)</f>
        <v>0.54413024850042846</v>
      </c>
      <c r="X50" s="13">
        <f>VLOOKUP($D50,Calcs!$A$21:$J$27,9,FALSE)</f>
        <v>1.6495287060839761E-2</v>
      </c>
      <c r="Y50" s="13">
        <f>VLOOKUP($D50,Calcs!$A$21:$J$27,10,FALSE)</f>
        <v>0.43937446443873179</v>
      </c>
      <c r="Z50" s="13">
        <f t="shared" si="2"/>
        <v>6.2652119642991694E-2</v>
      </c>
      <c r="AA50" s="13">
        <f t="shared" si="3"/>
        <v>5.0590353302274002E-2</v>
      </c>
      <c r="AB50" s="13">
        <f t="shared" si="4"/>
        <v>1.8992965403584097E-3</v>
      </c>
    </row>
    <row r="51" spans="1:28" x14ac:dyDescent="0.25">
      <c r="A51" s="1" t="s">
        <v>405</v>
      </c>
      <c r="G51" s="7">
        <f>SUMPRODUCT(F40:F50,G40:G50)+SUMPRODUCT(F40:F50,H40:H50)</f>
        <v>477093</v>
      </c>
      <c r="J51" s="7">
        <f>SUMPRODUCT(I40:I50,J40:J50)+SUMPRODUCT(I40:I50,K40:K50)</f>
        <v>1000130</v>
      </c>
      <c r="M51" s="7">
        <f>SUMPRODUCT(L40:L50,M40:M50)+SUMPRODUCT(L40:L50,N40:N50)</f>
        <v>1018935</v>
      </c>
      <c r="P51" s="7">
        <f>SUMPRODUCT(O40:O50,P40:P50)+SUMPRODUCT(O40:O50,Q40:Q50)</f>
        <v>1051099</v>
      </c>
      <c r="S51" s="7">
        <f>SUMPRODUCT(R40:R50,S40:S50)+SUMPRODUCT(R40:R50,T40:T50)</f>
        <v>1056492</v>
      </c>
      <c r="U51" s="13">
        <f>SUM(U40:U50)</f>
        <v>0.39755245056510913</v>
      </c>
      <c r="V51" s="13">
        <f>SUM(V40:V50)</f>
        <v>0.60244754943489109</v>
      </c>
      <c r="Z51" s="13">
        <f>SUM(Z40:Z50)</f>
        <v>0.29027410394788289</v>
      </c>
      <c r="AA51" s="13">
        <f>SUM(AA40:AA50)</f>
        <v>0.10240893888644097</v>
      </c>
      <c r="AB51" s="13">
        <f>SUM(AB40:AB50)</f>
        <v>4.8694077307852874E-3</v>
      </c>
    </row>
    <row r="54" spans="1:28" x14ac:dyDescent="0.25">
      <c r="A54" s="9" t="s">
        <v>406</v>
      </c>
      <c r="B54" s="10"/>
      <c r="C54" s="10"/>
      <c r="D54" s="10"/>
      <c r="E54" s="10"/>
      <c r="F54" s="10"/>
      <c r="G54" s="10"/>
      <c r="H54" s="10"/>
      <c r="I54" s="10"/>
      <c r="J54" s="10"/>
    </row>
    <row r="55" spans="1:28" ht="48" customHeight="1" x14ac:dyDescent="0.25">
      <c r="A55" s="6"/>
      <c r="B55" s="6" t="s">
        <v>407</v>
      </c>
      <c r="C55" s="6" t="s">
        <v>408</v>
      </c>
      <c r="D55" s="6" t="s">
        <v>409</v>
      </c>
      <c r="E55" s="6" t="s">
        <v>410</v>
      </c>
      <c r="F55" s="6" t="s">
        <v>411</v>
      </c>
      <c r="G55" s="6" t="s">
        <v>412</v>
      </c>
    </row>
    <row r="56" spans="1:28" ht="45" x14ac:dyDescent="0.25">
      <c r="A56" s="3" t="s">
        <v>413</v>
      </c>
      <c r="B56" s="13">
        <f>INDEX('EPS Inputs'!$B$5:$BA$5,MATCH("ISIC 28",'EPS Inputs'!$B$4:$BA$4,0))</f>
        <v>0.55028127100000002</v>
      </c>
      <c r="C56" s="13">
        <f>INDEX('EPS Inputs'!$B$6:$BA$6,MATCH("ISIC 28",'EPS Inputs'!$B$4:$BA$4,0))</f>
        <v>0.73624568700000004</v>
      </c>
      <c r="D56" s="13">
        <f>INDEX('EPS Inputs'!$B$14:$BA$14,MATCH("ISIC 28",'EPS Inputs'!$B$13:$BA$13,0))</f>
        <v>0.55028127100000002</v>
      </c>
      <c r="E56" s="13">
        <f>INDEX('EPS Inputs'!$B$15:$BA$15,MATCH("ISIC 28",'EPS Inputs'!$B$13:$BA$13,0))</f>
        <v>0.73624568700000004</v>
      </c>
      <c r="F56" t="s">
        <v>414</v>
      </c>
      <c r="G56" t="s">
        <v>414</v>
      </c>
    </row>
    <row r="57" spans="1:28" ht="18" customHeight="1" x14ac:dyDescent="0.25">
      <c r="A57" s="6" t="s">
        <v>415</v>
      </c>
    </row>
    <row r="58" spans="1:28" x14ac:dyDescent="0.25">
      <c r="A58" t="s">
        <v>232</v>
      </c>
      <c r="B58" s="16">
        <f>IF($A58="ISIC 41T43",Calcs!$B$16+(1-Calcs!$B$16)*(1-B$56),0)+IF($A58="ISIC 28",(1-Calcs!$B$16)*B$56*Calcs!$H$21,0)+IF($A58="ISIC 49",(1-Calcs!$B$16)*B$56*Calcs!$I$21,0)+IF($A58="ISIC 45T47",(1-Calcs!$B$16)*B$56*Calcs!$J$21,0)</f>
        <v>0</v>
      </c>
      <c r="C58" s="16">
        <f>IF($A58="ISIC 41T43",Calcs!$B$16+(1-Calcs!$B$16)*(1-C$56),0)+IF($A58="ISIC 28",(1-Calcs!$B$16)*C$56*Calcs!$H$21,0)+IF($A58="ISIC 49",(1-Calcs!$B$16)*C$56*Calcs!$I$21,0)+IF($A58="ISIC 45T47",(1-Calcs!$B$16)*C$56*Calcs!$J$21,0)</f>
        <v>0</v>
      </c>
      <c r="D58" s="16">
        <f>IF($A58="ISIC 41T43",Calcs!$B$16+(1-Calcs!$B$16)*(1-D$56),0)+IF($A58="ISIC 28",(1-Calcs!$B$16)*D$56*Calcs!$H$21,0)+IF($A58="ISIC 49",(1-Calcs!$B$16)*D$56*Calcs!$I$21,0)+IF($A58="ISIC 45T47",(1-Calcs!$B$16)*D$56*Calcs!$J$21,0)</f>
        <v>0</v>
      </c>
      <c r="E58" s="16">
        <f>IF($A58="ISIC 41T43",Calcs!$B$16+(1-Calcs!$B$16)*(1-E$56),0)+IF($A58="ISIC 28",(1-Calcs!$B$16)*E$56*Calcs!$H$21,0)+IF($A58="ISIC 49",(1-Calcs!$B$16)*E$56*Calcs!$I$21,0)+IF($A58="ISIC 45T47",(1-Calcs!$B$16)*E$56*Calcs!$J$21,0)</f>
        <v>0</v>
      </c>
      <c r="F58" s="16">
        <f t="shared" ref="F58:G77" si="5">SUMIFS($Z$40:$Z$50,$E$40:$E$50,$A58)+IF($A58="ISIC 41T43",$V$51,0)+IF($A58="ISIC 45T47",$AA$51,0)+IF($A58="ISIC 49",$AB$51,0)</f>
        <v>0</v>
      </c>
      <c r="G58" s="16">
        <f t="shared" si="5"/>
        <v>0</v>
      </c>
    </row>
    <row r="59" spans="1:28" x14ac:dyDescent="0.25">
      <c r="A59" t="s">
        <v>233</v>
      </c>
      <c r="B59" s="16">
        <f>IF($A59="ISIC 41T43",Calcs!$B$16+(1-Calcs!$B$16)*(1-B$56),0)+IF($A59="ISIC 28",(1-Calcs!$B$16)*B$56*Calcs!$H$21,0)+IF($A59="ISIC 49",(1-Calcs!$B$16)*B$56*Calcs!$I$21,0)+IF($A59="ISIC 45T47",(1-Calcs!$B$16)*B$56*Calcs!$J$21,0)</f>
        <v>0</v>
      </c>
      <c r="C59" s="16">
        <f>IF($A59="ISIC 41T43",Calcs!$B$16+(1-Calcs!$B$16)*(1-C$56),0)+IF($A59="ISIC 28",(1-Calcs!$B$16)*C$56*Calcs!$H$21,0)+IF($A59="ISIC 49",(1-Calcs!$B$16)*C$56*Calcs!$I$21,0)+IF($A59="ISIC 45T47",(1-Calcs!$B$16)*C$56*Calcs!$J$21,0)</f>
        <v>0</v>
      </c>
      <c r="D59" s="16">
        <f>IF($A59="ISIC 41T43",Calcs!$B$16+(1-Calcs!$B$16)*(1-D$56),0)+IF($A59="ISIC 28",(1-Calcs!$B$16)*D$56*Calcs!$H$21,0)+IF($A59="ISIC 49",(1-Calcs!$B$16)*D$56*Calcs!$I$21,0)+IF($A59="ISIC 45T47",(1-Calcs!$B$16)*D$56*Calcs!$J$21,0)</f>
        <v>0</v>
      </c>
      <c r="E59" s="16">
        <f>IF($A59="ISIC 41T43",Calcs!$B$16+(1-Calcs!$B$16)*(1-E$56),0)+IF($A59="ISIC 28",(1-Calcs!$B$16)*E$56*Calcs!$H$21,0)+IF($A59="ISIC 49",(1-Calcs!$B$16)*E$56*Calcs!$I$21,0)+IF($A59="ISIC 45T47",(1-Calcs!$B$16)*E$56*Calcs!$J$21,0)</f>
        <v>0</v>
      </c>
      <c r="F59" s="16">
        <f t="shared" si="5"/>
        <v>0</v>
      </c>
      <c r="G59" s="16">
        <f t="shared" si="5"/>
        <v>0</v>
      </c>
    </row>
    <row r="60" spans="1:28" x14ac:dyDescent="0.25">
      <c r="A60" t="s">
        <v>234</v>
      </c>
      <c r="B60" s="16">
        <f>IF($A60="ISIC 41T43",Calcs!$B$16+(1-Calcs!$B$16)*(1-B$56),0)+IF($A60="ISIC 28",(1-Calcs!$B$16)*B$56*Calcs!$H$21,0)+IF($A60="ISIC 49",(1-Calcs!$B$16)*B$56*Calcs!$I$21,0)+IF($A60="ISIC 45T47",(1-Calcs!$B$16)*B$56*Calcs!$J$21,0)</f>
        <v>0</v>
      </c>
      <c r="C60" s="16">
        <f>IF($A60="ISIC 41T43",Calcs!$B$16+(1-Calcs!$B$16)*(1-C$56),0)+IF($A60="ISIC 28",(1-Calcs!$B$16)*C$56*Calcs!$H$21,0)+IF($A60="ISIC 49",(1-Calcs!$B$16)*C$56*Calcs!$I$21,0)+IF($A60="ISIC 45T47",(1-Calcs!$B$16)*C$56*Calcs!$J$21,0)</f>
        <v>0</v>
      </c>
      <c r="D60" s="16">
        <f>IF($A60="ISIC 41T43",Calcs!$B$16+(1-Calcs!$B$16)*(1-D$56),0)+IF($A60="ISIC 28",(1-Calcs!$B$16)*D$56*Calcs!$H$21,0)+IF($A60="ISIC 49",(1-Calcs!$B$16)*D$56*Calcs!$I$21,0)+IF($A60="ISIC 45T47",(1-Calcs!$B$16)*D$56*Calcs!$J$21,0)</f>
        <v>0</v>
      </c>
      <c r="E60" s="16">
        <f>IF($A60="ISIC 41T43",Calcs!$B$16+(1-Calcs!$B$16)*(1-E$56),0)+IF($A60="ISIC 28",(1-Calcs!$B$16)*E$56*Calcs!$H$21,0)+IF($A60="ISIC 49",(1-Calcs!$B$16)*E$56*Calcs!$I$21,0)+IF($A60="ISIC 45T47",(1-Calcs!$B$16)*E$56*Calcs!$J$21,0)</f>
        <v>0</v>
      </c>
      <c r="F60" s="16">
        <f t="shared" si="5"/>
        <v>0</v>
      </c>
      <c r="G60" s="16">
        <f t="shared" si="5"/>
        <v>0</v>
      </c>
    </row>
    <row r="61" spans="1:28" x14ac:dyDescent="0.25">
      <c r="A61" t="s">
        <v>235</v>
      </c>
      <c r="B61" s="16">
        <f>IF($A61="ISIC 41T43",Calcs!$B$16+(1-Calcs!$B$16)*(1-B$56),0)+IF($A61="ISIC 28",(1-Calcs!$B$16)*B$56*Calcs!$H$21,0)+IF($A61="ISIC 49",(1-Calcs!$B$16)*B$56*Calcs!$I$21,0)+IF($A61="ISIC 45T47",(1-Calcs!$B$16)*B$56*Calcs!$J$21,0)</f>
        <v>0</v>
      </c>
      <c r="C61" s="16">
        <f>IF($A61="ISIC 41T43",Calcs!$B$16+(1-Calcs!$B$16)*(1-C$56),0)+IF($A61="ISIC 28",(1-Calcs!$B$16)*C$56*Calcs!$H$21,0)+IF($A61="ISIC 49",(1-Calcs!$B$16)*C$56*Calcs!$I$21,0)+IF($A61="ISIC 45T47",(1-Calcs!$B$16)*C$56*Calcs!$J$21,0)</f>
        <v>0</v>
      </c>
      <c r="D61" s="16">
        <f>IF($A61="ISIC 41T43",Calcs!$B$16+(1-Calcs!$B$16)*(1-D$56),0)+IF($A61="ISIC 28",(1-Calcs!$B$16)*D$56*Calcs!$H$21,0)+IF($A61="ISIC 49",(1-Calcs!$B$16)*D$56*Calcs!$I$21,0)+IF($A61="ISIC 45T47",(1-Calcs!$B$16)*D$56*Calcs!$J$21,0)</f>
        <v>0</v>
      </c>
      <c r="E61" s="16">
        <f>IF($A61="ISIC 41T43",Calcs!$B$16+(1-Calcs!$B$16)*(1-E$56),0)+IF($A61="ISIC 28",(1-Calcs!$B$16)*E$56*Calcs!$H$21,0)+IF($A61="ISIC 49",(1-Calcs!$B$16)*E$56*Calcs!$I$21,0)+IF($A61="ISIC 45T47",(1-Calcs!$B$16)*E$56*Calcs!$J$21,0)</f>
        <v>0</v>
      </c>
      <c r="F61" s="16">
        <f t="shared" si="5"/>
        <v>0</v>
      </c>
      <c r="G61" s="16">
        <f t="shared" si="5"/>
        <v>0</v>
      </c>
    </row>
    <row r="62" spans="1:28" x14ac:dyDescent="0.25">
      <c r="A62" t="s">
        <v>236</v>
      </c>
      <c r="B62" s="16">
        <f>IF($A62="ISIC 41T43",Calcs!$B$16+(1-Calcs!$B$16)*(1-B$56),0)+IF($A62="ISIC 28",(1-Calcs!$B$16)*B$56*Calcs!$H$21,0)+IF($A62="ISIC 49",(1-Calcs!$B$16)*B$56*Calcs!$I$21,0)+IF($A62="ISIC 45T47",(1-Calcs!$B$16)*B$56*Calcs!$J$21,0)</f>
        <v>0</v>
      </c>
      <c r="C62" s="16">
        <f>IF($A62="ISIC 41T43",Calcs!$B$16+(1-Calcs!$B$16)*(1-C$56),0)+IF($A62="ISIC 28",(1-Calcs!$B$16)*C$56*Calcs!$H$21,0)+IF($A62="ISIC 49",(1-Calcs!$B$16)*C$56*Calcs!$I$21,0)+IF($A62="ISIC 45T47",(1-Calcs!$B$16)*C$56*Calcs!$J$21,0)</f>
        <v>0</v>
      </c>
      <c r="D62" s="16">
        <f>IF($A62="ISIC 41T43",Calcs!$B$16+(1-Calcs!$B$16)*(1-D$56),0)+IF($A62="ISIC 28",(1-Calcs!$B$16)*D$56*Calcs!$H$21,0)+IF($A62="ISIC 49",(1-Calcs!$B$16)*D$56*Calcs!$I$21,0)+IF($A62="ISIC 45T47",(1-Calcs!$B$16)*D$56*Calcs!$J$21,0)</f>
        <v>0</v>
      </c>
      <c r="E62" s="16">
        <f>IF($A62="ISIC 41T43",Calcs!$B$16+(1-Calcs!$B$16)*(1-E$56),0)+IF($A62="ISIC 28",(1-Calcs!$B$16)*E$56*Calcs!$H$21,0)+IF($A62="ISIC 49",(1-Calcs!$B$16)*E$56*Calcs!$I$21,0)+IF($A62="ISIC 45T47",(1-Calcs!$B$16)*E$56*Calcs!$J$21,0)</f>
        <v>0</v>
      </c>
      <c r="F62" s="16">
        <f t="shared" si="5"/>
        <v>0</v>
      </c>
      <c r="G62" s="16">
        <f t="shared" si="5"/>
        <v>0</v>
      </c>
    </row>
    <row r="63" spans="1:28" x14ac:dyDescent="0.25">
      <c r="A63" t="s">
        <v>237</v>
      </c>
      <c r="B63" s="16">
        <f>IF($A63="ISIC 41T43",Calcs!$B$16+(1-Calcs!$B$16)*(1-B$56),0)+IF($A63="ISIC 28",(1-Calcs!$B$16)*B$56*Calcs!$H$21,0)+IF($A63="ISIC 49",(1-Calcs!$B$16)*B$56*Calcs!$I$21,0)+IF($A63="ISIC 45T47",(1-Calcs!$B$16)*B$56*Calcs!$J$21,0)</f>
        <v>0</v>
      </c>
      <c r="C63" s="16">
        <f>IF($A63="ISIC 41T43",Calcs!$B$16+(1-Calcs!$B$16)*(1-C$56),0)+IF($A63="ISIC 28",(1-Calcs!$B$16)*C$56*Calcs!$H$21,0)+IF($A63="ISIC 49",(1-Calcs!$B$16)*C$56*Calcs!$I$21,0)+IF($A63="ISIC 45T47",(1-Calcs!$B$16)*C$56*Calcs!$J$21,0)</f>
        <v>0</v>
      </c>
      <c r="D63" s="16">
        <f>IF($A63="ISIC 41T43",Calcs!$B$16+(1-Calcs!$B$16)*(1-D$56),0)+IF($A63="ISIC 28",(1-Calcs!$B$16)*D$56*Calcs!$H$21,0)+IF($A63="ISIC 49",(1-Calcs!$B$16)*D$56*Calcs!$I$21,0)+IF($A63="ISIC 45T47",(1-Calcs!$B$16)*D$56*Calcs!$J$21,0)</f>
        <v>0</v>
      </c>
      <c r="E63" s="16">
        <f>IF($A63="ISIC 41T43",Calcs!$B$16+(1-Calcs!$B$16)*(1-E$56),0)+IF($A63="ISIC 28",(1-Calcs!$B$16)*E$56*Calcs!$H$21,0)+IF($A63="ISIC 49",(1-Calcs!$B$16)*E$56*Calcs!$I$21,0)+IF($A63="ISIC 45T47",(1-Calcs!$B$16)*E$56*Calcs!$J$21,0)</f>
        <v>0</v>
      </c>
      <c r="F63" s="16">
        <f t="shared" si="5"/>
        <v>0</v>
      </c>
      <c r="G63" s="16">
        <f t="shared" si="5"/>
        <v>0</v>
      </c>
    </row>
    <row r="64" spans="1:28" x14ac:dyDescent="0.25">
      <c r="A64" t="s">
        <v>238</v>
      </c>
      <c r="B64" s="16">
        <f>IF($A64="ISIC 41T43",Calcs!$B$16+(1-Calcs!$B$16)*(1-B$56),0)+IF($A64="ISIC 28",(1-Calcs!$B$16)*B$56*Calcs!$H$21,0)+IF($A64="ISIC 49",(1-Calcs!$B$16)*B$56*Calcs!$I$21,0)+IF($A64="ISIC 45T47",(1-Calcs!$B$16)*B$56*Calcs!$J$21,0)</f>
        <v>0</v>
      </c>
      <c r="C64" s="16">
        <f>IF($A64="ISIC 41T43",Calcs!$B$16+(1-Calcs!$B$16)*(1-C$56),0)+IF($A64="ISIC 28",(1-Calcs!$B$16)*C$56*Calcs!$H$21,0)+IF($A64="ISIC 49",(1-Calcs!$B$16)*C$56*Calcs!$I$21,0)+IF($A64="ISIC 45T47",(1-Calcs!$B$16)*C$56*Calcs!$J$21,0)</f>
        <v>0</v>
      </c>
      <c r="D64" s="16">
        <f>IF($A64="ISIC 41T43",Calcs!$B$16+(1-Calcs!$B$16)*(1-D$56),0)+IF($A64="ISIC 28",(1-Calcs!$B$16)*D$56*Calcs!$H$21,0)+IF($A64="ISIC 49",(1-Calcs!$B$16)*D$56*Calcs!$I$21,0)+IF($A64="ISIC 45T47",(1-Calcs!$B$16)*D$56*Calcs!$J$21,0)</f>
        <v>0</v>
      </c>
      <c r="E64" s="16">
        <f>IF($A64="ISIC 41T43",Calcs!$B$16+(1-Calcs!$B$16)*(1-E$56),0)+IF($A64="ISIC 28",(1-Calcs!$B$16)*E$56*Calcs!$H$21,0)+IF($A64="ISIC 49",(1-Calcs!$B$16)*E$56*Calcs!$I$21,0)+IF($A64="ISIC 45T47",(1-Calcs!$B$16)*E$56*Calcs!$J$21,0)</f>
        <v>0</v>
      </c>
      <c r="F64" s="16">
        <f t="shared" si="5"/>
        <v>0</v>
      </c>
      <c r="G64" s="16">
        <f t="shared" si="5"/>
        <v>0</v>
      </c>
    </row>
    <row r="65" spans="1:7" x14ac:dyDescent="0.25">
      <c r="A65" t="s">
        <v>239</v>
      </c>
      <c r="B65" s="16">
        <f>IF($A65="ISIC 41T43",Calcs!$B$16+(1-Calcs!$B$16)*(1-B$56),0)+IF($A65="ISIC 28",(1-Calcs!$B$16)*B$56*Calcs!$H$21,0)+IF($A65="ISIC 49",(1-Calcs!$B$16)*B$56*Calcs!$I$21,0)+IF($A65="ISIC 45T47",(1-Calcs!$B$16)*B$56*Calcs!$J$21,0)</f>
        <v>0</v>
      </c>
      <c r="C65" s="16">
        <f>IF($A65="ISIC 41T43",Calcs!$B$16+(1-Calcs!$B$16)*(1-C$56),0)+IF($A65="ISIC 28",(1-Calcs!$B$16)*C$56*Calcs!$H$21,0)+IF($A65="ISIC 49",(1-Calcs!$B$16)*C$56*Calcs!$I$21,0)+IF($A65="ISIC 45T47",(1-Calcs!$B$16)*C$56*Calcs!$J$21,0)</f>
        <v>0</v>
      </c>
      <c r="D65" s="16">
        <f>IF($A65="ISIC 41T43",Calcs!$B$16+(1-Calcs!$B$16)*(1-D$56),0)+IF($A65="ISIC 28",(1-Calcs!$B$16)*D$56*Calcs!$H$21,0)+IF($A65="ISIC 49",(1-Calcs!$B$16)*D$56*Calcs!$I$21,0)+IF($A65="ISIC 45T47",(1-Calcs!$B$16)*D$56*Calcs!$J$21,0)</f>
        <v>0</v>
      </c>
      <c r="E65" s="16">
        <f>IF($A65="ISIC 41T43",Calcs!$B$16+(1-Calcs!$B$16)*(1-E$56),0)+IF($A65="ISIC 28",(1-Calcs!$B$16)*E$56*Calcs!$H$21,0)+IF($A65="ISIC 49",(1-Calcs!$B$16)*E$56*Calcs!$I$21,0)+IF($A65="ISIC 45T47",(1-Calcs!$B$16)*E$56*Calcs!$J$21,0)</f>
        <v>0</v>
      </c>
      <c r="F65" s="16">
        <f t="shared" si="5"/>
        <v>0</v>
      </c>
      <c r="G65" s="16">
        <f t="shared" si="5"/>
        <v>0</v>
      </c>
    </row>
    <row r="66" spans="1:7" x14ac:dyDescent="0.25">
      <c r="A66" t="s">
        <v>240</v>
      </c>
      <c r="B66" s="16">
        <f>IF($A66="ISIC 41T43",Calcs!$B$16+(1-Calcs!$B$16)*(1-B$56),0)+IF($A66="ISIC 28",(1-Calcs!$B$16)*B$56*Calcs!$H$21,0)+IF($A66="ISIC 49",(1-Calcs!$B$16)*B$56*Calcs!$I$21,0)+IF($A66="ISIC 45T47",(1-Calcs!$B$16)*B$56*Calcs!$J$21,0)</f>
        <v>0</v>
      </c>
      <c r="C66" s="16">
        <f>IF($A66="ISIC 41T43",Calcs!$B$16+(1-Calcs!$B$16)*(1-C$56),0)+IF($A66="ISIC 28",(1-Calcs!$B$16)*C$56*Calcs!$H$21,0)+IF($A66="ISIC 49",(1-Calcs!$B$16)*C$56*Calcs!$I$21,0)+IF($A66="ISIC 45T47",(1-Calcs!$B$16)*C$56*Calcs!$J$21,0)</f>
        <v>0</v>
      </c>
      <c r="D66" s="16">
        <f>IF($A66="ISIC 41T43",Calcs!$B$16+(1-Calcs!$B$16)*(1-D$56),0)+IF($A66="ISIC 28",(1-Calcs!$B$16)*D$56*Calcs!$H$21,0)+IF($A66="ISIC 49",(1-Calcs!$B$16)*D$56*Calcs!$I$21,0)+IF($A66="ISIC 45T47",(1-Calcs!$B$16)*D$56*Calcs!$J$21,0)</f>
        <v>0</v>
      </c>
      <c r="E66" s="16">
        <f>IF($A66="ISIC 41T43",Calcs!$B$16+(1-Calcs!$B$16)*(1-E$56),0)+IF($A66="ISIC 28",(1-Calcs!$B$16)*E$56*Calcs!$H$21,0)+IF($A66="ISIC 49",(1-Calcs!$B$16)*E$56*Calcs!$I$21,0)+IF($A66="ISIC 45T47",(1-Calcs!$B$16)*E$56*Calcs!$J$21,0)</f>
        <v>0</v>
      </c>
      <c r="F66" s="16">
        <f t="shared" si="5"/>
        <v>0</v>
      </c>
      <c r="G66" s="16">
        <f t="shared" si="5"/>
        <v>0</v>
      </c>
    </row>
    <row r="67" spans="1:7" x14ac:dyDescent="0.25">
      <c r="A67" t="s">
        <v>241</v>
      </c>
      <c r="B67" s="16">
        <f>IF($A67="ISIC 41T43",Calcs!$B$16+(1-Calcs!$B$16)*(1-B$56),0)+IF($A67="ISIC 28",(1-Calcs!$B$16)*B$56*Calcs!$H$21,0)+IF($A67="ISIC 49",(1-Calcs!$B$16)*B$56*Calcs!$I$21,0)+IF($A67="ISIC 45T47",(1-Calcs!$B$16)*B$56*Calcs!$J$21,0)</f>
        <v>0</v>
      </c>
      <c r="C67" s="16">
        <f>IF($A67="ISIC 41T43",Calcs!$B$16+(1-Calcs!$B$16)*(1-C$56),0)+IF($A67="ISIC 28",(1-Calcs!$B$16)*C$56*Calcs!$H$21,0)+IF($A67="ISIC 49",(1-Calcs!$B$16)*C$56*Calcs!$I$21,0)+IF($A67="ISIC 45T47",(1-Calcs!$B$16)*C$56*Calcs!$J$21,0)</f>
        <v>0</v>
      </c>
      <c r="D67" s="16">
        <f>IF($A67="ISIC 41T43",Calcs!$B$16+(1-Calcs!$B$16)*(1-D$56),0)+IF($A67="ISIC 28",(1-Calcs!$B$16)*D$56*Calcs!$H$21,0)+IF($A67="ISIC 49",(1-Calcs!$B$16)*D$56*Calcs!$I$21,0)+IF($A67="ISIC 45T47",(1-Calcs!$B$16)*D$56*Calcs!$J$21,0)</f>
        <v>0</v>
      </c>
      <c r="E67" s="16">
        <f>IF($A67="ISIC 41T43",Calcs!$B$16+(1-Calcs!$B$16)*(1-E$56),0)+IF($A67="ISIC 28",(1-Calcs!$B$16)*E$56*Calcs!$H$21,0)+IF($A67="ISIC 49",(1-Calcs!$B$16)*E$56*Calcs!$I$21,0)+IF($A67="ISIC 45T47",(1-Calcs!$B$16)*E$56*Calcs!$J$21,0)</f>
        <v>0</v>
      </c>
      <c r="F67" s="16">
        <f t="shared" si="5"/>
        <v>0</v>
      </c>
      <c r="G67" s="16">
        <f t="shared" si="5"/>
        <v>0</v>
      </c>
    </row>
    <row r="68" spans="1:7" x14ac:dyDescent="0.25">
      <c r="A68" t="s">
        <v>242</v>
      </c>
      <c r="B68" s="16">
        <f>IF($A68="ISIC 41T43",Calcs!$B$16+(1-Calcs!$B$16)*(1-B$56),0)+IF($A68="ISIC 28",(1-Calcs!$B$16)*B$56*Calcs!$H$21,0)+IF($A68="ISIC 49",(1-Calcs!$B$16)*B$56*Calcs!$I$21,0)+IF($A68="ISIC 45T47",(1-Calcs!$B$16)*B$56*Calcs!$J$21,0)</f>
        <v>0</v>
      </c>
      <c r="C68" s="16">
        <f>IF($A68="ISIC 41T43",Calcs!$B$16+(1-Calcs!$B$16)*(1-C$56),0)+IF($A68="ISIC 28",(1-Calcs!$B$16)*C$56*Calcs!$H$21,0)+IF($A68="ISIC 49",(1-Calcs!$B$16)*C$56*Calcs!$I$21,0)+IF($A68="ISIC 45T47",(1-Calcs!$B$16)*C$56*Calcs!$J$21,0)</f>
        <v>0</v>
      </c>
      <c r="D68" s="16">
        <f>IF($A68="ISIC 41T43",Calcs!$B$16+(1-Calcs!$B$16)*(1-D$56),0)+IF($A68="ISIC 28",(1-Calcs!$B$16)*D$56*Calcs!$H$21,0)+IF($A68="ISIC 49",(1-Calcs!$B$16)*D$56*Calcs!$I$21,0)+IF($A68="ISIC 45T47",(1-Calcs!$B$16)*D$56*Calcs!$J$21,0)</f>
        <v>0</v>
      </c>
      <c r="E68" s="16">
        <f>IF($A68="ISIC 41T43",Calcs!$B$16+(1-Calcs!$B$16)*(1-E$56),0)+IF($A68="ISIC 28",(1-Calcs!$B$16)*E$56*Calcs!$H$21,0)+IF($A68="ISIC 49",(1-Calcs!$B$16)*E$56*Calcs!$I$21,0)+IF($A68="ISIC 45T47",(1-Calcs!$B$16)*E$56*Calcs!$J$21,0)</f>
        <v>0</v>
      </c>
      <c r="F68" s="16">
        <f t="shared" si="5"/>
        <v>0</v>
      </c>
      <c r="G68" s="16">
        <f t="shared" si="5"/>
        <v>0</v>
      </c>
    </row>
    <row r="69" spans="1:7" x14ac:dyDescent="0.25">
      <c r="A69" t="s">
        <v>243</v>
      </c>
      <c r="B69" s="16">
        <f>IF($A69="ISIC 41T43",Calcs!$B$16+(1-Calcs!$B$16)*(1-B$56),0)+IF($A69="ISIC 28",(1-Calcs!$B$16)*B$56*Calcs!$H$21,0)+IF($A69="ISIC 49",(1-Calcs!$B$16)*B$56*Calcs!$I$21,0)+IF($A69="ISIC 45T47",(1-Calcs!$B$16)*B$56*Calcs!$J$21,0)</f>
        <v>0</v>
      </c>
      <c r="C69" s="16">
        <f>IF($A69="ISIC 41T43",Calcs!$B$16+(1-Calcs!$B$16)*(1-C$56),0)+IF($A69="ISIC 28",(1-Calcs!$B$16)*C$56*Calcs!$H$21,0)+IF($A69="ISIC 49",(1-Calcs!$B$16)*C$56*Calcs!$I$21,0)+IF($A69="ISIC 45T47",(1-Calcs!$B$16)*C$56*Calcs!$J$21,0)</f>
        <v>0</v>
      </c>
      <c r="D69" s="16">
        <f>IF($A69="ISIC 41T43",Calcs!$B$16+(1-Calcs!$B$16)*(1-D$56),0)+IF($A69="ISIC 28",(1-Calcs!$B$16)*D$56*Calcs!$H$21,0)+IF($A69="ISIC 49",(1-Calcs!$B$16)*D$56*Calcs!$I$21,0)+IF($A69="ISIC 45T47",(1-Calcs!$B$16)*D$56*Calcs!$J$21,0)</f>
        <v>0</v>
      </c>
      <c r="E69" s="16">
        <f>IF($A69="ISIC 41T43",Calcs!$B$16+(1-Calcs!$B$16)*(1-E$56),0)+IF($A69="ISIC 28",(1-Calcs!$B$16)*E$56*Calcs!$H$21,0)+IF($A69="ISIC 49",(1-Calcs!$B$16)*E$56*Calcs!$I$21,0)+IF($A69="ISIC 45T47",(1-Calcs!$B$16)*E$56*Calcs!$J$21,0)</f>
        <v>0</v>
      </c>
      <c r="F69" s="16">
        <f t="shared" si="5"/>
        <v>0</v>
      </c>
      <c r="G69" s="16">
        <f t="shared" si="5"/>
        <v>0</v>
      </c>
    </row>
    <row r="70" spans="1:7" x14ac:dyDescent="0.25">
      <c r="A70" t="s">
        <v>244</v>
      </c>
      <c r="B70" s="16">
        <f>IF($A70="ISIC 41T43",Calcs!$B$16+(1-Calcs!$B$16)*(1-B$56),0)+IF($A70="ISIC 28",(1-Calcs!$B$16)*B$56*Calcs!$H$21,0)+IF($A70="ISIC 49",(1-Calcs!$B$16)*B$56*Calcs!$I$21,0)+IF($A70="ISIC 45T47",(1-Calcs!$B$16)*B$56*Calcs!$J$21,0)</f>
        <v>0</v>
      </c>
      <c r="C70" s="16">
        <f>IF($A70="ISIC 41T43",Calcs!$B$16+(1-Calcs!$B$16)*(1-C$56),0)+IF($A70="ISIC 28",(1-Calcs!$B$16)*C$56*Calcs!$H$21,0)+IF($A70="ISIC 49",(1-Calcs!$B$16)*C$56*Calcs!$I$21,0)+IF($A70="ISIC 45T47",(1-Calcs!$B$16)*C$56*Calcs!$J$21,0)</f>
        <v>0</v>
      </c>
      <c r="D70" s="16">
        <f>IF($A70="ISIC 41T43",Calcs!$B$16+(1-Calcs!$B$16)*(1-D$56),0)+IF($A70="ISIC 28",(1-Calcs!$B$16)*D$56*Calcs!$H$21,0)+IF($A70="ISIC 49",(1-Calcs!$B$16)*D$56*Calcs!$I$21,0)+IF($A70="ISIC 45T47",(1-Calcs!$B$16)*D$56*Calcs!$J$21,0)</f>
        <v>0</v>
      </c>
      <c r="E70" s="16">
        <f>IF($A70="ISIC 41T43",Calcs!$B$16+(1-Calcs!$B$16)*(1-E$56),0)+IF($A70="ISIC 28",(1-Calcs!$B$16)*E$56*Calcs!$H$21,0)+IF($A70="ISIC 49",(1-Calcs!$B$16)*E$56*Calcs!$I$21,0)+IF($A70="ISIC 45T47",(1-Calcs!$B$16)*E$56*Calcs!$J$21,0)</f>
        <v>0</v>
      </c>
      <c r="F70" s="16">
        <f t="shared" si="5"/>
        <v>0</v>
      </c>
      <c r="G70" s="16">
        <f t="shared" si="5"/>
        <v>0</v>
      </c>
    </row>
    <row r="71" spans="1:7" x14ac:dyDescent="0.25">
      <c r="A71" t="s">
        <v>245</v>
      </c>
      <c r="B71" s="16">
        <f>IF($A71="ISIC 41T43",Calcs!$B$16+(1-Calcs!$B$16)*(1-B$56),0)+IF($A71="ISIC 28",(1-Calcs!$B$16)*B$56*Calcs!$H$21,0)+IF($A71="ISIC 49",(1-Calcs!$B$16)*B$56*Calcs!$I$21,0)+IF($A71="ISIC 45T47",(1-Calcs!$B$16)*B$56*Calcs!$J$21,0)</f>
        <v>0</v>
      </c>
      <c r="C71" s="16">
        <f>IF($A71="ISIC 41T43",Calcs!$B$16+(1-Calcs!$B$16)*(1-C$56),0)+IF($A71="ISIC 28",(1-Calcs!$B$16)*C$56*Calcs!$H$21,0)+IF($A71="ISIC 49",(1-Calcs!$B$16)*C$56*Calcs!$I$21,0)+IF($A71="ISIC 45T47",(1-Calcs!$B$16)*C$56*Calcs!$J$21,0)</f>
        <v>0</v>
      </c>
      <c r="D71" s="16">
        <f>IF($A71="ISIC 41T43",Calcs!$B$16+(1-Calcs!$B$16)*(1-D$56),0)+IF($A71="ISIC 28",(1-Calcs!$B$16)*D$56*Calcs!$H$21,0)+IF($A71="ISIC 49",(1-Calcs!$B$16)*D$56*Calcs!$I$21,0)+IF($A71="ISIC 45T47",(1-Calcs!$B$16)*D$56*Calcs!$J$21,0)</f>
        <v>0</v>
      </c>
      <c r="E71" s="16">
        <f>IF($A71="ISIC 41T43",Calcs!$B$16+(1-Calcs!$B$16)*(1-E$56),0)+IF($A71="ISIC 28",(1-Calcs!$B$16)*E$56*Calcs!$H$21,0)+IF($A71="ISIC 49",(1-Calcs!$B$16)*E$56*Calcs!$I$21,0)+IF($A71="ISIC 45T47",(1-Calcs!$B$16)*E$56*Calcs!$J$21,0)</f>
        <v>0</v>
      </c>
      <c r="F71" s="16">
        <f t="shared" si="5"/>
        <v>0</v>
      </c>
      <c r="G71" s="16">
        <f t="shared" si="5"/>
        <v>0</v>
      </c>
    </row>
    <row r="72" spans="1:7" x14ac:dyDescent="0.25">
      <c r="A72" t="s">
        <v>246</v>
      </c>
      <c r="B72" s="16">
        <f>IF($A72="ISIC 41T43",Calcs!$B$16+(1-Calcs!$B$16)*(1-B$56),0)+IF($A72="ISIC 28",(1-Calcs!$B$16)*B$56*Calcs!$H$21,0)+IF($A72="ISIC 49",(1-Calcs!$B$16)*B$56*Calcs!$I$21,0)+IF($A72="ISIC 45T47",(1-Calcs!$B$16)*B$56*Calcs!$J$21,0)</f>
        <v>0</v>
      </c>
      <c r="C72" s="16">
        <f>IF($A72="ISIC 41T43",Calcs!$B$16+(1-Calcs!$B$16)*(1-C$56),0)+IF($A72="ISIC 28",(1-Calcs!$B$16)*C$56*Calcs!$H$21,0)+IF($A72="ISIC 49",(1-Calcs!$B$16)*C$56*Calcs!$I$21,0)+IF($A72="ISIC 45T47",(1-Calcs!$B$16)*C$56*Calcs!$J$21,0)</f>
        <v>0</v>
      </c>
      <c r="D72" s="16">
        <f>IF($A72="ISIC 41T43",Calcs!$B$16+(1-Calcs!$B$16)*(1-D$56),0)+IF($A72="ISIC 28",(1-Calcs!$B$16)*D$56*Calcs!$H$21,0)+IF($A72="ISIC 49",(1-Calcs!$B$16)*D$56*Calcs!$I$21,0)+IF($A72="ISIC 45T47",(1-Calcs!$B$16)*D$56*Calcs!$J$21,0)</f>
        <v>0</v>
      </c>
      <c r="E72" s="16">
        <f>IF($A72="ISIC 41T43",Calcs!$B$16+(1-Calcs!$B$16)*(1-E$56),0)+IF($A72="ISIC 28",(1-Calcs!$B$16)*E$56*Calcs!$H$21,0)+IF($A72="ISIC 49",(1-Calcs!$B$16)*E$56*Calcs!$I$21,0)+IF($A72="ISIC 45T47",(1-Calcs!$B$16)*E$56*Calcs!$J$21,0)</f>
        <v>0</v>
      </c>
      <c r="F72" s="16">
        <f t="shared" si="5"/>
        <v>0</v>
      </c>
      <c r="G72" s="16">
        <f t="shared" si="5"/>
        <v>0</v>
      </c>
    </row>
    <row r="73" spans="1:7" x14ac:dyDescent="0.25">
      <c r="A73" t="s">
        <v>247</v>
      </c>
      <c r="B73" s="16">
        <f>IF($A73="ISIC 41T43",Calcs!$B$16+(1-Calcs!$B$16)*(1-B$56),0)+IF($A73="ISIC 28",(1-Calcs!$B$16)*B$56*Calcs!$H$21,0)+IF($A73="ISIC 49",(1-Calcs!$B$16)*B$56*Calcs!$I$21,0)+IF($A73="ISIC 45T47",(1-Calcs!$B$16)*B$56*Calcs!$J$21,0)</f>
        <v>0</v>
      </c>
      <c r="C73" s="16">
        <f>IF($A73="ISIC 41T43",Calcs!$B$16+(1-Calcs!$B$16)*(1-C$56),0)+IF($A73="ISIC 28",(1-Calcs!$B$16)*C$56*Calcs!$H$21,0)+IF($A73="ISIC 49",(1-Calcs!$B$16)*C$56*Calcs!$I$21,0)+IF($A73="ISIC 45T47",(1-Calcs!$B$16)*C$56*Calcs!$J$21,0)</f>
        <v>0</v>
      </c>
      <c r="D73" s="16">
        <f>IF($A73="ISIC 41T43",Calcs!$B$16+(1-Calcs!$B$16)*(1-D$56),0)+IF($A73="ISIC 28",(1-Calcs!$B$16)*D$56*Calcs!$H$21,0)+IF($A73="ISIC 49",(1-Calcs!$B$16)*D$56*Calcs!$I$21,0)+IF($A73="ISIC 45T47",(1-Calcs!$B$16)*D$56*Calcs!$J$21,0)</f>
        <v>0</v>
      </c>
      <c r="E73" s="16">
        <f>IF($A73="ISIC 41T43",Calcs!$B$16+(1-Calcs!$B$16)*(1-E$56),0)+IF($A73="ISIC 28",(1-Calcs!$B$16)*E$56*Calcs!$H$21,0)+IF($A73="ISIC 49",(1-Calcs!$B$16)*E$56*Calcs!$I$21,0)+IF($A73="ISIC 45T47",(1-Calcs!$B$16)*E$56*Calcs!$J$21,0)</f>
        <v>0</v>
      </c>
      <c r="F73" s="16">
        <f t="shared" si="5"/>
        <v>0</v>
      </c>
      <c r="G73" s="16">
        <f t="shared" si="5"/>
        <v>0</v>
      </c>
    </row>
    <row r="74" spans="1:7" x14ac:dyDescent="0.25">
      <c r="A74" t="s">
        <v>248</v>
      </c>
      <c r="B74" s="16">
        <f>IF($A74="ISIC 41T43",Calcs!$B$16+(1-Calcs!$B$16)*(1-B$56),0)+IF($A74="ISIC 28",(1-Calcs!$B$16)*B$56*Calcs!$H$21,0)+IF($A74="ISIC 49",(1-Calcs!$B$16)*B$56*Calcs!$I$21,0)+IF($A74="ISIC 45T47",(1-Calcs!$B$16)*B$56*Calcs!$J$21,0)</f>
        <v>0</v>
      </c>
      <c r="C74" s="16">
        <f>IF($A74="ISIC 41T43",Calcs!$B$16+(1-Calcs!$B$16)*(1-C$56),0)+IF($A74="ISIC 28",(1-Calcs!$B$16)*C$56*Calcs!$H$21,0)+IF($A74="ISIC 49",(1-Calcs!$B$16)*C$56*Calcs!$I$21,0)+IF($A74="ISIC 45T47",(1-Calcs!$B$16)*C$56*Calcs!$J$21,0)</f>
        <v>0</v>
      </c>
      <c r="D74" s="16">
        <f>IF($A74="ISIC 41T43",Calcs!$B$16+(1-Calcs!$B$16)*(1-D$56),0)+IF($A74="ISIC 28",(1-Calcs!$B$16)*D$56*Calcs!$H$21,0)+IF($A74="ISIC 49",(1-Calcs!$B$16)*D$56*Calcs!$I$21,0)+IF($A74="ISIC 45T47",(1-Calcs!$B$16)*D$56*Calcs!$J$21,0)</f>
        <v>0</v>
      </c>
      <c r="E74" s="16">
        <f>IF($A74="ISIC 41T43",Calcs!$B$16+(1-Calcs!$B$16)*(1-E$56),0)+IF($A74="ISIC 28",(1-Calcs!$B$16)*E$56*Calcs!$H$21,0)+IF($A74="ISIC 49",(1-Calcs!$B$16)*E$56*Calcs!$I$21,0)+IF($A74="ISIC 45T47",(1-Calcs!$B$16)*E$56*Calcs!$J$21,0)</f>
        <v>0</v>
      </c>
      <c r="F74" s="16">
        <f t="shared" si="5"/>
        <v>0</v>
      </c>
      <c r="G74" s="16">
        <f t="shared" si="5"/>
        <v>0</v>
      </c>
    </row>
    <row r="75" spans="1:7" x14ac:dyDescent="0.25">
      <c r="A75" t="s">
        <v>249</v>
      </c>
      <c r="B75" s="16">
        <f>IF($A75="ISIC 41T43",Calcs!$B$16+(1-Calcs!$B$16)*(1-B$56),0)+IF($A75="ISIC 28",(1-Calcs!$B$16)*B$56*Calcs!$H$21,0)+IF($A75="ISIC 49",(1-Calcs!$B$16)*B$56*Calcs!$I$21,0)+IF($A75="ISIC 45T47",(1-Calcs!$B$16)*B$56*Calcs!$J$21,0)</f>
        <v>0</v>
      </c>
      <c r="C75" s="16">
        <f>IF($A75="ISIC 41T43",Calcs!$B$16+(1-Calcs!$B$16)*(1-C$56),0)+IF($A75="ISIC 28",(1-Calcs!$B$16)*C$56*Calcs!$H$21,0)+IF($A75="ISIC 49",(1-Calcs!$B$16)*C$56*Calcs!$I$21,0)+IF($A75="ISIC 45T47",(1-Calcs!$B$16)*C$56*Calcs!$J$21,0)</f>
        <v>0</v>
      </c>
      <c r="D75" s="16">
        <f>IF($A75="ISIC 41T43",Calcs!$B$16+(1-Calcs!$B$16)*(1-D$56),0)+IF($A75="ISIC 28",(1-Calcs!$B$16)*D$56*Calcs!$H$21,0)+IF($A75="ISIC 49",(1-Calcs!$B$16)*D$56*Calcs!$I$21,0)+IF($A75="ISIC 45T47",(1-Calcs!$B$16)*D$56*Calcs!$J$21,0)</f>
        <v>0</v>
      </c>
      <c r="E75" s="16">
        <f>IF($A75="ISIC 41T43",Calcs!$B$16+(1-Calcs!$B$16)*(1-E$56),0)+IF($A75="ISIC 28",(1-Calcs!$B$16)*E$56*Calcs!$H$21,0)+IF($A75="ISIC 49",(1-Calcs!$B$16)*E$56*Calcs!$I$21,0)+IF($A75="ISIC 45T47",(1-Calcs!$B$16)*E$56*Calcs!$J$21,0)</f>
        <v>0</v>
      </c>
      <c r="F75" s="16">
        <f t="shared" si="5"/>
        <v>0</v>
      </c>
      <c r="G75" s="16">
        <f t="shared" si="5"/>
        <v>0</v>
      </c>
    </row>
    <row r="76" spans="1:7" x14ac:dyDescent="0.25">
      <c r="A76" t="s">
        <v>250</v>
      </c>
      <c r="B76" s="16">
        <f>IF($A76="ISIC 41T43",Calcs!$B$16+(1-Calcs!$B$16)*(1-B$56),0)+IF($A76="ISIC 28",(1-Calcs!$B$16)*B$56*Calcs!$H$21,0)+IF($A76="ISIC 49",(1-Calcs!$B$16)*B$56*Calcs!$I$21,0)+IF($A76="ISIC 45T47",(1-Calcs!$B$16)*B$56*Calcs!$J$21,0)</f>
        <v>0</v>
      </c>
      <c r="C76" s="16">
        <f>IF($A76="ISIC 41T43",Calcs!$B$16+(1-Calcs!$B$16)*(1-C$56),0)+IF($A76="ISIC 28",(1-Calcs!$B$16)*C$56*Calcs!$H$21,0)+IF($A76="ISIC 49",(1-Calcs!$B$16)*C$56*Calcs!$I$21,0)+IF($A76="ISIC 45T47",(1-Calcs!$B$16)*C$56*Calcs!$J$21,0)</f>
        <v>0</v>
      </c>
      <c r="D76" s="16">
        <f>IF($A76="ISIC 41T43",Calcs!$B$16+(1-Calcs!$B$16)*(1-D$56),0)+IF($A76="ISIC 28",(1-Calcs!$B$16)*D$56*Calcs!$H$21,0)+IF($A76="ISIC 49",(1-Calcs!$B$16)*D$56*Calcs!$I$21,0)+IF($A76="ISIC 45T47",(1-Calcs!$B$16)*D$56*Calcs!$J$21,0)</f>
        <v>0</v>
      </c>
      <c r="E76" s="16">
        <f>IF($A76="ISIC 41T43",Calcs!$B$16+(1-Calcs!$B$16)*(1-E$56),0)+IF($A76="ISIC 28",(1-Calcs!$B$16)*E$56*Calcs!$H$21,0)+IF($A76="ISIC 49",(1-Calcs!$B$16)*E$56*Calcs!$I$21,0)+IF($A76="ISIC 45T47",(1-Calcs!$B$16)*E$56*Calcs!$J$21,0)</f>
        <v>0</v>
      </c>
      <c r="F76" s="16">
        <f t="shared" si="5"/>
        <v>0</v>
      </c>
      <c r="G76" s="16">
        <f t="shared" si="5"/>
        <v>0</v>
      </c>
    </row>
    <row r="77" spans="1:7" x14ac:dyDescent="0.25">
      <c r="A77" t="s">
        <v>251</v>
      </c>
      <c r="B77" s="16">
        <f>IF($A77="ISIC 41T43",Calcs!$B$16+(1-Calcs!$B$16)*(1-B$56),0)+IF($A77="ISIC 28",(1-Calcs!$B$16)*B$56*Calcs!$H$21,0)+IF($A77="ISIC 49",(1-Calcs!$B$16)*B$56*Calcs!$I$21,0)+IF($A77="ISIC 45T47",(1-Calcs!$B$16)*B$56*Calcs!$J$21,0)</f>
        <v>0</v>
      </c>
      <c r="C77" s="16">
        <f>IF($A77="ISIC 41T43",Calcs!$B$16+(1-Calcs!$B$16)*(1-C$56),0)+IF($A77="ISIC 28",(1-Calcs!$B$16)*C$56*Calcs!$H$21,0)+IF($A77="ISIC 49",(1-Calcs!$B$16)*C$56*Calcs!$I$21,0)+IF($A77="ISIC 45T47",(1-Calcs!$B$16)*C$56*Calcs!$J$21,0)</f>
        <v>0</v>
      </c>
      <c r="D77" s="16">
        <f>IF($A77="ISIC 41T43",Calcs!$B$16+(1-Calcs!$B$16)*(1-D$56),0)+IF($A77="ISIC 28",(1-Calcs!$B$16)*D$56*Calcs!$H$21,0)+IF($A77="ISIC 49",(1-Calcs!$B$16)*D$56*Calcs!$I$21,0)+IF($A77="ISIC 45T47",(1-Calcs!$B$16)*D$56*Calcs!$J$21,0)</f>
        <v>0</v>
      </c>
      <c r="E77" s="16">
        <f>IF($A77="ISIC 41T43",Calcs!$B$16+(1-Calcs!$B$16)*(1-E$56),0)+IF($A77="ISIC 28",(1-Calcs!$B$16)*E$56*Calcs!$H$21,0)+IF($A77="ISIC 49",(1-Calcs!$B$16)*E$56*Calcs!$I$21,0)+IF($A77="ISIC 45T47",(1-Calcs!$B$16)*E$56*Calcs!$J$21,0)</f>
        <v>0</v>
      </c>
      <c r="F77" s="16">
        <f t="shared" si="5"/>
        <v>0</v>
      </c>
      <c r="G77" s="16">
        <f t="shared" si="5"/>
        <v>0</v>
      </c>
    </row>
    <row r="78" spans="1:7" x14ac:dyDescent="0.25">
      <c r="A78" t="s">
        <v>252</v>
      </c>
      <c r="B78" s="16">
        <f>IF($A78="ISIC 41T43",Calcs!$B$16+(1-Calcs!$B$16)*(1-B$56),0)+IF($A78="ISIC 28",(1-Calcs!$B$16)*B$56*Calcs!$H$21,0)+IF($A78="ISIC 49",(1-Calcs!$B$16)*B$56*Calcs!$I$21,0)+IF($A78="ISIC 45T47",(1-Calcs!$B$16)*B$56*Calcs!$J$21,0)</f>
        <v>0</v>
      </c>
      <c r="C78" s="16">
        <f>IF($A78="ISIC 41T43",Calcs!$B$16+(1-Calcs!$B$16)*(1-C$56),0)+IF($A78="ISIC 28",(1-Calcs!$B$16)*C$56*Calcs!$H$21,0)+IF($A78="ISIC 49",(1-Calcs!$B$16)*C$56*Calcs!$I$21,0)+IF($A78="ISIC 45T47",(1-Calcs!$B$16)*C$56*Calcs!$J$21,0)</f>
        <v>0</v>
      </c>
      <c r="D78" s="16">
        <f>IF($A78="ISIC 41T43",Calcs!$B$16+(1-Calcs!$B$16)*(1-D$56),0)+IF($A78="ISIC 28",(1-Calcs!$B$16)*D$56*Calcs!$H$21,0)+IF($A78="ISIC 49",(1-Calcs!$B$16)*D$56*Calcs!$I$21,0)+IF($A78="ISIC 45T47",(1-Calcs!$B$16)*D$56*Calcs!$J$21,0)</f>
        <v>0</v>
      </c>
      <c r="E78" s="16">
        <f>IF($A78="ISIC 41T43",Calcs!$B$16+(1-Calcs!$B$16)*(1-E$56),0)+IF($A78="ISIC 28",(1-Calcs!$B$16)*E$56*Calcs!$H$21,0)+IF($A78="ISIC 49",(1-Calcs!$B$16)*E$56*Calcs!$I$21,0)+IF($A78="ISIC 45T47",(1-Calcs!$B$16)*E$56*Calcs!$J$21,0)</f>
        <v>0</v>
      </c>
      <c r="F78" s="16">
        <f t="shared" ref="F78:G97" si="6">SUMIFS($Z$40:$Z$50,$E$40:$E$50,$A78)+IF($A78="ISIC 41T43",$V$51,0)+IF($A78="ISIC 45T47",$AA$51,0)+IF($A78="ISIC 49",$AB$51,0)</f>
        <v>6.2652119642991694E-2</v>
      </c>
      <c r="G78" s="16">
        <f t="shared" si="6"/>
        <v>6.2652119642991694E-2</v>
      </c>
    </row>
    <row r="79" spans="1:7" x14ac:dyDescent="0.25">
      <c r="A79" t="s">
        <v>253</v>
      </c>
      <c r="B79" s="16">
        <f>IF($A79="ISIC 41T43",Calcs!$B$16+(1-Calcs!$B$16)*(1-B$56),0)+IF($A79="ISIC 28",(1-Calcs!$B$16)*B$56*Calcs!$H$21,0)+IF($A79="ISIC 49",(1-Calcs!$B$16)*B$56*Calcs!$I$21,0)+IF($A79="ISIC 45T47",(1-Calcs!$B$16)*B$56*Calcs!$J$21,0)</f>
        <v>0</v>
      </c>
      <c r="C79" s="16">
        <f>IF($A79="ISIC 41T43",Calcs!$B$16+(1-Calcs!$B$16)*(1-C$56),0)+IF($A79="ISIC 28",(1-Calcs!$B$16)*C$56*Calcs!$H$21,0)+IF($A79="ISIC 49",(1-Calcs!$B$16)*C$56*Calcs!$I$21,0)+IF($A79="ISIC 45T47",(1-Calcs!$B$16)*C$56*Calcs!$J$21,0)</f>
        <v>0</v>
      </c>
      <c r="D79" s="16">
        <f>IF($A79="ISIC 41T43",Calcs!$B$16+(1-Calcs!$B$16)*(1-D$56),0)+IF($A79="ISIC 28",(1-Calcs!$B$16)*D$56*Calcs!$H$21,0)+IF($A79="ISIC 49",(1-Calcs!$B$16)*D$56*Calcs!$I$21,0)+IF($A79="ISIC 45T47",(1-Calcs!$B$16)*D$56*Calcs!$J$21,0)</f>
        <v>0</v>
      </c>
      <c r="E79" s="16">
        <f>IF($A79="ISIC 41T43",Calcs!$B$16+(1-Calcs!$B$16)*(1-E$56),0)+IF($A79="ISIC 28",(1-Calcs!$B$16)*E$56*Calcs!$H$21,0)+IF($A79="ISIC 49",(1-Calcs!$B$16)*E$56*Calcs!$I$21,0)+IF($A79="ISIC 45T47",(1-Calcs!$B$16)*E$56*Calcs!$J$21,0)</f>
        <v>0</v>
      </c>
      <c r="F79" s="16">
        <f t="shared" si="6"/>
        <v>8.2476824567215584E-2</v>
      </c>
      <c r="G79" s="16">
        <f t="shared" si="6"/>
        <v>8.2476824567215584E-2</v>
      </c>
    </row>
    <row r="80" spans="1:7" x14ac:dyDescent="0.25">
      <c r="A80" t="s">
        <v>254</v>
      </c>
      <c r="B80" s="16">
        <f>IF($A80="ISIC 41T43",Calcs!$B$16+(1-Calcs!$B$16)*(1-B$56),0)+IF($A80="ISIC 28",(1-Calcs!$B$16)*B$56*Calcs!$H$21,0)+IF($A80="ISIC 49",(1-Calcs!$B$16)*B$56*Calcs!$I$21,0)+IF($A80="ISIC 45T47",(1-Calcs!$B$16)*B$56*Calcs!$J$21,0)</f>
        <v>0</v>
      </c>
      <c r="C80" s="16">
        <f>IF($A80="ISIC 41T43",Calcs!$B$16+(1-Calcs!$B$16)*(1-C$56),0)+IF($A80="ISIC 28",(1-Calcs!$B$16)*C$56*Calcs!$H$21,0)+IF($A80="ISIC 49",(1-Calcs!$B$16)*C$56*Calcs!$I$21,0)+IF($A80="ISIC 45T47",(1-Calcs!$B$16)*C$56*Calcs!$J$21,0)</f>
        <v>0</v>
      </c>
      <c r="D80" s="16">
        <f>IF($A80="ISIC 41T43",Calcs!$B$16+(1-Calcs!$B$16)*(1-D$56),0)+IF($A80="ISIC 28",(1-Calcs!$B$16)*D$56*Calcs!$H$21,0)+IF($A80="ISIC 49",(1-Calcs!$B$16)*D$56*Calcs!$I$21,0)+IF($A80="ISIC 45T47",(1-Calcs!$B$16)*D$56*Calcs!$J$21,0)</f>
        <v>0</v>
      </c>
      <c r="E80" s="16">
        <f>IF($A80="ISIC 41T43",Calcs!$B$16+(1-Calcs!$B$16)*(1-E$56),0)+IF($A80="ISIC 28",(1-Calcs!$B$16)*E$56*Calcs!$H$21,0)+IF($A80="ISIC 49",(1-Calcs!$B$16)*E$56*Calcs!$I$21,0)+IF($A80="ISIC 45T47",(1-Calcs!$B$16)*E$56*Calcs!$J$21,0)</f>
        <v>0</v>
      </c>
      <c r="F80" s="16">
        <f t="shared" si="6"/>
        <v>3.5622900571994909E-2</v>
      </c>
      <c r="G80" s="16">
        <f t="shared" si="6"/>
        <v>3.5622900571994909E-2</v>
      </c>
    </row>
    <row r="81" spans="1:7" x14ac:dyDescent="0.25">
      <c r="A81" t="s">
        <v>255</v>
      </c>
      <c r="B81" s="16">
        <f>IF($A81="ISIC 41T43",Calcs!$B$16+(1-Calcs!$B$16)*(1-B$56),0)+IF($A81="ISIC 28",(1-Calcs!$B$16)*B$56*Calcs!$H$21,0)+IF($A81="ISIC 49",(1-Calcs!$B$16)*B$56*Calcs!$I$21,0)+IF($A81="ISIC 45T47",(1-Calcs!$B$16)*B$56*Calcs!$J$21,0)</f>
        <v>5.7242345388619567E-2</v>
      </c>
      <c r="C81" s="16">
        <f>IF($A81="ISIC 41T43",Calcs!$B$16+(1-Calcs!$B$16)*(1-C$56),0)+IF($A81="ISIC 28",(1-Calcs!$B$16)*C$56*Calcs!$H$21,0)+IF($A81="ISIC 49",(1-Calcs!$B$16)*C$56*Calcs!$I$21,0)+IF($A81="ISIC 45T47",(1-Calcs!$B$16)*C$56*Calcs!$J$21,0)</f>
        <v>7.6587069426419727E-2</v>
      </c>
      <c r="D81" s="16">
        <f>IF($A81="ISIC 41T43",Calcs!$B$16+(1-Calcs!$B$16)*(1-D$56),0)+IF($A81="ISIC 28",(1-Calcs!$B$16)*D$56*Calcs!$H$21,0)+IF($A81="ISIC 49",(1-Calcs!$B$16)*D$56*Calcs!$I$21,0)+IF($A81="ISIC 45T47",(1-Calcs!$B$16)*D$56*Calcs!$J$21,0)</f>
        <v>5.7242345388619567E-2</v>
      </c>
      <c r="E81" s="16">
        <f>IF($A81="ISIC 41T43",Calcs!$B$16+(1-Calcs!$B$16)*(1-E$56),0)+IF($A81="ISIC 28",(1-Calcs!$B$16)*E$56*Calcs!$H$21,0)+IF($A81="ISIC 49",(1-Calcs!$B$16)*E$56*Calcs!$I$21,0)+IF($A81="ISIC 45T47",(1-Calcs!$B$16)*E$56*Calcs!$J$21,0)</f>
        <v>7.6587069426419727E-2</v>
      </c>
      <c r="F81" s="16">
        <f t="shared" si="6"/>
        <v>7.446325552416035E-3</v>
      </c>
      <c r="G81" s="16">
        <f t="shared" si="6"/>
        <v>7.446325552416035E-3</v>
      </c>
    </row>
    <row r="82" spans="1:7" x14ac:dyDescent="0.25">
      <c r="A82" t="s">
        <v>256</v>
      </c>
      <c r="B82" s="16">
        <f>IF($A82="ISIC 41T43",Calcs!$B$16+(1-Calcs!$B$16)*(1-B$56),0)+IF($A82="ISIC 28",(1-Calcs!$B$16)*B$56*Calcs!$H$21,0)+IF($A82="ISIC 49",(1-Calcs!$B$16)*B$56*Calcs!$I$21,0)+IF($A82="ISIC 45T47",(1-Calcs!$B$16)*B$56*Calcs!$J$21,0)</f>
        <v>0</v>
      </c>
      <c r="C82" s="16">
        <f>IF($A82="ISIC 41T43",Calcs!$B$16+(1-Calcs!$B$16)*(1-C$56),0)+IF($A82="ISIC 28",(1-Calcs!$B$16)*C$56*Calcs!$H$21,0)+IF($A82="ISIC 49",(1-Calcs!$B$16)*C$56*Calcs!$I$21,0)+IF($A82="ISIC 45T47",(1-Calcs!$B$16)*C$56*Calcs!$J$21,0)</f>
        <v>0</v>
      </c>
      <c r="D82" s="16">
        <f>IF($A82="ISIC 41T43",Calcs!$B$16+(1-Calcs!$B$16)*(1-D$56),0)+IF($A82="ISIC 28",(1-Calcs!$B$16)*D$56*Calcs!$H$21,0)+IF($A82="ISIC 49",(1-Calcs!$B$16)*D$56*Calcs!$I$21,0)+IF($A82="ISIC 45T47",(1-Calcs!$B$16)*D$56*Calcs!$J$21,0)</f>
        <v>0</v>
      </c>
      <c r="E82" s="16">
        <f>IF($A82="ISIC 41T43",Calcs!$B$16+(1-Calcs!$B$16)*(1-E$56),0)+IF($A82="ISIC 28",(1-Calcs!$B$16)*E$56*Calcs!$H$21,0)+IF($A82="ISIC 49",(1-Calcs!$B$16)*E$56*Calcs!$I$21,0)+IF($A82="ISIC 45T47",(1-Calcs!$B$16)*E$56*Calcs!$J$21,0)</f>
        <v>0</v>
      </c>
      <c r="F82" s="16">
        <f t="shared" si="6"/>
        <v>0</v>
      </c>
      <c r="G82" s="16">
        <f t="shared" si="6"/>
        <v>0</v>
      </c>
    </row>
    <row r="83" spans="1:7" x14ac:dyDescent="0.25">
      <c r="A83" t="s">
        <v>257</v>
      </c>
      <c r="B83" s="16">
        <f>IF($A83="ISIC 41T43",Calcs!$B$16+(1-Calcs!$B$16)*(1-B$56),0)+IF($A83="ISIC 28",(1-Calcs!$B$16)*B$56*Calcs!$H$21,0)+IF($A83="ISIC 49",(1-Calcs!$B$16)*B$56*Calcs!$I$21,0)+IF($A83="ISIC 45T47",(1-Calcs!$B$16)*B$56*Calcs!$J$21,0)</f>
        <v>0</v>
      </c>
      <c r="C83" s="16">
        <f>IF($A83="ISIC 41T43",Calcs!$B$16+(1-Calcs!$B$16)*(1-C$56),0)+IF($A83="ISIC 28",(1-Calcs!$B$16)*C$56*Calcs!$H$21,0)+IF($A83="ISIC 49",(1-Calcs!$B$16)*C$56*Calcs!$I$21,0)+IF($A83="ISIC 45T47",(1-Calcs!$B$16)*C$56*Calcs!$J$21,0)</f>
        <v>0</v>
      </c>
      <c r="D83" s="16">
        <f>IF($A83="ISIC 41T43",Calcs!$B$16+(1-Calcs!$B$16)*(1-D$56),0)+IF($A83="ISIC 28",(1-Calcs!$B$16)*D$56*Calcs!$H$21,0)+IF($A83="ISIC 49",(1-Calcs!$B$16)*D$56*Calcs!$I$21,0)+IF($A83="ISIC 45T47",(1-Calcs!$B$16)*D$56*Calcs!$J$21,0)</f>
        <v>0</v>
      </c>
      <c r="E83" s="16">
        <f>IF($A83="ISIC 41T43",Calcs!$B$16+(1-Calcs!$B$16)*(1-E$56),0)+IF($A83="ISIC 28",(1-Calcs!$B$16)*E$56*Calcs!$H$21,0)+IF($A83="ISIC 49",(1-Calcs!$B$16)*E$56*Calcs!$I$21,0)+IF($A83="ISIC 45T47",(1-Calcs!$B$16)*E$56*Calcs!$J$21,0)</f>
        <v>0</v>
      </c>
      <c r="F83" s="16">
        <f t="shared" si="6"/>
        <v>0</v>
      </c>
      <c r="G83" s="16">
        <f t="shared" si="6"/>
        <v>0</v>
      </c>
    </row>
    <row r="84" spans="1:7" x14ac:dyDescent="0.25">
      <c r="A84" t="s">
        <v>258</v>
      </c>
      <c r="B84" s="16">
        <f>IF($A84="ISIC 41T43",Calcs!$B$16+(1-Calcs!$B$16)*(1-B$56),0)+IF($A84="ISIC 28",(1-Calcs!$B$16)*B$56*Calcs!$H$21,0)+IF($A84="ISIC 49",(1-Calcs!$B$16)*B$56*Calcs!$I$21,0)+IF($A84="ISIC 45T47",(1-Calcs!$B$16)*B$56*Calcs!$J$21,0)</f>
        <v>0</v>
      </c>
      <c r="C84" s="16">
        <f>IF($A84="ISIC 41T43",Calcs!$B$16+(1-Calcs!$B$16)*(1-C$56),0)+IF($A84="ISIC 28",(1-Calcs!$B$16)*C$56*Calcs!$H$21,0)+IF($A84="ISIC 49",(1-Calcs!$B$16)*C$56*Calcs!$I$21,0)+IF($A84="ISIC 45T47",(1-Calcs!$B$16)*C$56*Calcs!$J$21,0)</f>
        <v>0</v>
      </c>
      <c r="D84" s="16">
        <f>IF($A84="ISIC 41T43",Calcs!$B$16+(1-Calcs!$B$16)*(1-D$56),0)+IF($A84="ISIC 28",(1-Calcs!$B$16)*D$56*Calcs!$H$21,0)+IF($A84="ISIC 49",(1-Calcs!$B$16)*D$56*Calcs!$I$21,0)+IF($A84="ISIC 45T47",(1-Calcs!$B$16)*D$56*Calcs!$J$21,0)</f>
        <v>0</v>
      </c>
      <c r="E84" s="16">
        <f>IF($A84="ISIC 41T43",Calcs!$B$16+(1-Calcs!$B$16)*(1-E$56),0)+IF($A84="ISIC 28",(1-Calcs!$B$16)*E$56*Calcs!$H$21,0)+IF($A84="ISIC 49",(1-Calcs!$B$16)*E$56*Calcs!$I$21,0)+IF($A84="ISIC 45T47",(1-Calcs!$B$16)*E$56*Calcs!$J$21,0)</f>
        <v>0</v>
      </c>
      <c r="F84" s="16">
        <f t="shared" si="6"/>
        <v>0</v>
      </c>
      <c r="G84" s="16">
        <f t="shared" si="6"/>
        <v>0</v>
      </c>
    </row>
    <row r="85" spans="1:7" x14ac:dyDescent="0.25">
      <c r="A85" t="s">
        <v>259</v>
      </c>
      <c r="B85" s="16">
        <f>IF($A85="ISIC 41T43",Calcs!$B$16+(1-Calcs!$B$16)*(1-B$56),0)+IF($A85="ISIC 28",(1-Calcs!$B$16)*B$56*Calcs!$H$21,0)+IF($A85="ISIC 49",(1-Calcs!$B$16)*B$56*Calcs!$I$21,0)+IF($A85="ISIC 45T47",(1-Calcs!$B$16)*B$56*Calcs!$J$21,0)</f>
        <v>0</v>
      </c>
      <c r="C85" s="16">
        <f>IF($A85="ISIC 41T43",Calcs!$B$16+(1-Calcs!$B$16)*(1-C$56),0)+IF($A85="ISIC 28",(1-Calcs!$B$16)*C$56*Calcs!$H$21,0)+IF($A85="ISIC 49",(1-Calcs!$B$16)*C$56*Calcs!$I$21,0)+IF($A85="ISIC 45T47",(1-Calcs!$B$16)*C$56*Calcs!$J$21,0)</f>
        <v>0</v>
      </c>
      <c r="D85" s="16">
        <f>IF($A85="ISIC 41T43",Calcs!$B$16+(1-Calcs!$B$16)*(1-D$56),0)+IF($A85="ISIC 28",(1-Calcs!$B$16)*D$56*Calcs!$H$21,0)+IF($A85="ISIC 49",(1-Calcs!$B$16)*D$56*Calcs!$I$21,0)+IF($A85="ISIC 45T47",(1-Calcs!$B$16)*D$56*Calcs!$J$21,0)</f>
        <v>0</v>
      </c>
      <c r="E85" s="16">
        <f>IF($A85="ISIC 41T43",Calcs!$B$16+(1-Calcs!$B$16)*(1-E$56),0)+IF($A85="ISIC 28",(1-Calcs!$B$16)*E$56*Calcs!$H$21,0)+IF($A85="ISIC 49",(1-Calcs!$B$16)*E$56*Calcs!$I$21,0)+IF($A85="ISIC 45T47",(1-Calcs!$B$16)*E$56*Calcs!$J$21,0)</f>
        <v>0</v>
      </c>
      <c r="F85" s="16">
        <f t="shared" si="6"/>
        <v>0</v>
      </c>
      <c r="G85" s="16">
        <f t="shared" si="6"/>
        <v>0</v>
      </c>
    </row>
    <row r="86" spans="1:7" x14ac:dyDescent="0.25">
      <c r="A86" t="s">
        <v>260</v>
      </c>
      <c r="B86" s="16">
        <f>IF($A86="ISIC 41T43",Calcs!$B$16+(1-Calcs!$B$16)*(1-B$56),0)+IF($A86="ISIC 28",(1-Calcs!$B$16)*B$56*Calcs!$H$21,0)+IF($A86="ISIC 49",(1-Calcs!$B$16)*B$56*Calcs!$I$21,0)+IF($A86="ISIC 45T47",(1-Calcs!$B$16)*B$56*Calcs!$J$21,0)</f>
        <v>0</v>
      </c>
      <c r="C86" s="16">
        <f>IF($A86="ISIC 41T43",Calcs!$B$16+(1-Calcs!$B$16)*(1-C$56),0)+IF($A86="ISIC 28",(1-Calcs!$B$16)*C$56*Calcs!$H$21,0)+IF($A86="ISIC 49",(1-Calcs!$B$16)*C$56*Calcs!$I$21,0)+IF($A86="ISIC 45T47",(1-Calcs!$B$16)*C$56*Calcs!$J$21,0)</f>
        <v>0</v>
      </c>
      <c r="D86" s="16">
        <f>IF($A86="ISIC 41T43",Calcs!$B$16+(1-Calcs!$B$16)*(1-D$56),0)+IF($A86="ISIC 28",(1-Calcs!$B$16)*D$56*Calcs!$H$21,0)+IF($A86="ISIC 49",(1-Calcs!$B$16)*D$56*Calcs!$I$21,0)+IF($A86="ISIC 45T47",(1-Calcs!$B$16)*D$56*Calcs!$J$21,0)</f>
        <v>0</v>
      </c>
      <c r="E86" s="16">
        <f>IF($A86="ISIC 41T43",Calcs!$B$16+(1-Calcs!$B$16)*(1-E$56),0)+IF($A86="ISIC 28",(1-Calcs!$B$16)*E$56*Calcs!$H$21,0)+IF($A86="ISIC 49",(1-Calcs!$B$16)*E$56*Calcs!$I$21,0)+IF($A86="ISIC 45T47",(1-Calcs!$B$16)*E$56*Calcs!$J$21,0)</f>
        <v>0</v>
      </c>
      <c r="F86" s="16">
        <f t="shared" si="6"/>
        <v>0</v>
      </c>
      <c r="G86" s="16">
        <f t="shared" si="6"/>
        <v>0</v>
      </c>
    </row>
    <row r="87" spans="1:7" x14ac:dyDescent="0.25">
      <c r="A87" t="s">
        <v>261</v>
      </c>
      <c r="B87" s="16">
        <f>IF($A87="ISIC 41T43",Calcs!$B$16+(1-Calcs!$B$16)*(1-B$56),0)+IF($A87="ISIC 28",(1-Calcs!$B$16)*B$56*Calcs!$H$21,0)+IF($A87="ISIC 49",(1-Calcs!$B$16)*B$56*Calcs!$I$21,0)+IF($A87="ISIC 45T47",(1-Calcs!$B$16)*B$56*Calcs!$J$21,0)</f>
        <v>0</v>
      </c>
      <c r="C87" s="16">
        <f>IF($A87="ISIC 41T43",Calcs!$B$16+(1-Calcs!$B$16)*(1-C$56),0)+IF($A87="ISIC 28",(1-Calcs!$B$16)*C$56*Calcs!$H$21,0)+IF($A87="ISIC 49",(1-Calcs!$B$16)*C$56*Calcs!$I$21,0)+IF($A87="ISIC 45T47",(1-Calcs!$B$16)*C$56*Calcs!$J$21,0)</f>
        <v>0</v>
      </c>
      <c r="D87" s="16">
        <f>IF($A87="ISIC 41T43",Calcs!$B$16+(1-Calcs!$B$16)*(1-D$56),0)+IF($A87="ISIC 28",(1-Calcs!$B$16)*D$56*Calcs!$H$21,0)+IF($A87="ISIC 49",(1-Calcs!$B$16)*D$56*Calcs!$I$21,0)+IF($A87="ISIC 45T47",(1-Calcs!$B$16)*D$56*Calcs!$J$21,0)</f>
        <v>0</v>
      </c>
      <c r="E87" s="16">
        <f>IF($A87="ISIC 41T43",Calcs!$B$16+(1-Calcs!$B$16)*(1-E$56),0)+IF($A87="ISIC 28",(1-Calcs!$B$16)*E$56*Calcs!$H$21,0)+IF($A87="ISIC 49",(1-Calcs!$B$16)*E$56*Calcs!$I$21,0)+IF($A87="ISIC 45T47",(1-Calcs!$B$16)*E$56*Calcs!$J$21,0)</f>
        <v>0</v>
      </c>
      <c r="F87" s="16">
        <f t="shared" si="6"/>
        <v>0</v>
      </c>
      <c r="G87" s="16">
        <f t="shared" si="6"/>
        <v>0</v>
      </c>
    </row>
    <row r="88" spans="1:7" x14ac:dyDescent="0.25">
      <c r="A88" t="s">
        <v>262</v>
      </c>
      <c r="B88" s="16">
        <f>IF($A88="ISIC 41T43",Calcs!$B$16+(1-Calcs!$B$16)*(1-B$56),0)+IF($A88="ISIC 28",(1-Calcs!$B$16)*B$56*Calcs!$H$21,0)+IF($A88="ISIC 49",(1-Calcs!$B$16)*B$56*Calcs!$I$21,0)+IF($A88="ISIC 45T47",(1-Calcs!$B$16)*B$56*Calcs!$J$21,0)</f>
        <v>0</v>
      </c>
      <c r="C88" s="16">
        <f>IF($A88="ISIC 41T43",Calcs!$B$16+(1-Calcs!$B$16)*(1-C$56),0)+IF($A88="ISIC 28",(1-Calcs!$B$16)*C$56*Calcs!$H$21,0)+IF($A88="ISIC 49",(1-Calcs!$B$16)*C$56*Calcs!$I$21,0)+IF($A88="ISIC 45T47",(1-Calcs!$B$16)*C$56*Calcs!$J$21,0)</f>
        <v>0</v>
      </c>
      <c r="D88" s="16">
        <f>IF($A88="ISIC 41T43",Calcs!$B$16+(1-Calcs!$B$16)*(1-D$56),0)+IF($A88="ISIC 28",(1-Calcs!$B$16)*D$56*Calcs!$H$21,0)+IF($A88="ISIC 49",(1-Calcs!$B$16)*D$56*Calcs!$I$21,0)+IF($A88="ISIC 45T47",(1-Calcs!$B$16)*D$56*Calcs!$J$21,0)</f>
        <v>0</v>
      </c>
      <c r="E88" s="16">
        <f>IF($A88="ISIC 41T43",Calcs!$B$16+(1-Calcs!$B$16)*(1-E$56),0)+IF($A88="ISIC 28",(1-Calcs!$B$16)*E$56*Calcs!$H$21,0)+IF($A88="ISIC 49",(1-Calcs!$B$16)*E$56*Calcs!$I$21,0)+IF($A88="ISIC 45T47",(1-Calcs!$B$16)*E$56*Calcs!$J$21,0)</f>
        <v>0</v>
      </c>
      <c r="F88" s="16">
        <f t="shared" si="6"/>
        <v>0</v>
      </c>
      <c r="G88" s="16">
        <f t="shared" si="6"/>
        <v>0</v>
      </c>
    </row>
    <row r="89" spans="1:7" x14ac:dyDescent="0.25">
      <c r="A89" t="s">
        <v>263</v>
      </c>
      <c r="B89" s="16">
        <f>IF($A89="ISIC 41T43",Calcs!$B$16+(1-Calcs!$B$16)*(1-B$56),0)+IF($A89="ISIC 28",(1-Calcs!$B$16)*B$56*Calcs!$H$21,0)+IF($A89="ISIC 49",(1-Calcs!$B$16)*B$56*Calcs!$I$21,0)+IF($A89="ISIC 45T47",(1-Calcs!$B$16)*B$56*Calcs!$J$21,0)</f>
        <v>0.89994793013228491</v>
      </c>
      <c r="C89" s="16">
        <f>IF($A89="ISIC 41T43",Calcs!$B$16+(1-Calcs!$B$16)*(1-C$56),0)+IF($A89="ISIC 28",(1-Calcs!$B$16)*C$56*Calcs!$H$21,0)+IF($A89="ISIC 49",(1-Calcs!$B$16)*C$56*Calcs!$I$21,0)+IF($A89="ISIC 45T47",(1-Calcs!$B$16)*C$56*Calcs!$J$21,0)</f>
        <v>0.8661359039502402</v>
      </c>
      <c r="D89" s="16">
        <f>IF($A89="ISIC 41T43",Calcs!$B$16+(1-Calcs!$B$16)*(1-D$56),0)+IF($A89="ISIC 28",(1-Calcs!$B$16)*D$56*Calcs!$H$21,0)+IF($A89="ISIC 49",(1-Calcs!$B$16)*D$56*Calcs!$I$21,0)+IF($A89="ISIC 45T47",(1-Calcs!$B$16)*D$56*Calcs!$J$21,0)</f>
        <v>0.89994793013228491</v>
      </c>
      <c r="E89" s="16">
        <f>IF($A89="ISIC 41T43",Calcs!$B$16+(1-Calcs!$B$16)*(1-E$56),0)+IF($A89="ISIC 28",(1-Calcs!$B$16)*E$56*Calcs!$H$21,0)+IF($A89="ISIC 49",(1-Calcs!$B$16)*E$56*Calcs!$I$21,0)+IF($A89="ISIC 45T47",(1-Calcs!$B$16)*E$56*Calcs!$J$21,0)</f>
        <v>0.8661359039502402</v>
      </c>
      <c r="F89" s="16">
        <f t="shared" si="6"/>
        <v>0.70452348304815571</v>
      </c>
      <c r="G89" s="16">
        <f t="shared" si="6"/>
        <v>0.70452348304815571</v>
      </c>
    </row>
    <row r="90" spans="1:7" x14ac:dyDescent="0.25">
      <c r="A90" t="s">
        <v>264</v>
      </c>
      <c r="B90" s="16">
        <f>IF($A90="ISIC 41T43",Calcs!$B$16+(1-Calcs!$B$16)*(1-B$56),0)+IF($A90="ISIC 28",(1-Calcs!$B$16)*B$56*Calcs!$H$21,0)+IF($A90="ISIC 49",(1-Calcs!$B$16)*B$56*Calcs!$I$21,0)+IF($A90="ISIC 45T47",(1-Calcs!$B$16)*B$56*Calcs!$J$21,0)</f>
        <v>4.1150054430875181E-2</v>
      </c>
      <c r="C90" s="16">
        <f>IF($A90="ISIC 41T43",Calcs!$B$16+(1-Calcs!$B$16)*(1-C$56),0)+IF($A90="ISIC 28",(1-Calcs!$B$16)*C$56*Calcs!$H$21,0)+IF($A90="ISIC 49",(1-Calcs!$B$16)*C$56*Calcs!$I$21,0)+IF($A90="ISIC 45T47",(1-Calcs!$B$16)*C$56*Calcs!$J$21,0)</f>
        <v>5.5056480551283551E-2</v>
      </c>
      <c r="D90" s="16">
        <f>IF($A90="ISIC 41T43",Calcs!$B$16+(1-Calcs!$B$16)*(1-D$56),0)+IF($A90="ISIC 28",(1-Calcs!$B$16)*D$56*Calcs!$H$21,0)+IF($A90="ISIC 49",(1-Calcs!$B$16)*D$56*Calcs!$I$21,0)+IF($A90="ISIC 45T47",(1-Calcs!$B$16)*D$56*Calcs!$J$21,0)</f>
        <v>4.1150054430875181E-2</v>
      </c>
      <c r="E90" s="16">
        <f>IF($A90="ISIC 41T43",Calcs!$B$16+(1-Calcs!$B$16)*(1-E$56),0)+IF($A90="ISIC 28",(1-Calcs!$B$16)*E$56*Calcs!$H$21,0)+IF($A90="ISIC 49",(1-Calcs!$B$16)*E$56*Calcs!$I$21,0)+IF($A90="ISIC 45T47",(1-Calcs!$B$16)*E$56*Calcs!$J$21,0)</f>
        <v>5.5056480551283551E-2</v>
      </c>
      <c r="F90" s="16">
        <f t="shared" si="6"/>
        <v>0.10240893888644097</v>
      </c>
      <c r="G90" s="16">
        <f t="shared" si="6"/>
        <v>0.10240893888644097</v>
      </c>
    </row>
    <row r="91" spans="1:7" x14ac:dyDescent="0.25">
      <c r="A91" t="s">
        <v>265</v>
      </c>
      <c r="B91" s="16">
        <f>IF($A91="ISIC 41T43",Calcs!$B$16+(1-Calcs!$B$16)*(1-B$56),0)+IF($A91="ISIC 28",(1-Calcs!$B$16)*B$56*Calcs!$H$21,0)+IF($A91="ISIC 49",(1-Calcs!$B$16)*B$56*Calcs!$I$21,0)+IF($A91="ISIC 45T47",(1-Calcs!$B$16)*B$56*Calcs!$J$21,0)</f>
        <v>1.6596700482203511E-3</v>
      </c>
      <c r="C91" s="16">
        <f>IF($A91="ISIC 41T43",Calcs!$B$16+(1-Calcs!$B$16)*(1-C$56),0)+IF($A91="ISIC 28",(1-Calcs!$B$16)*C$56*Calcs!$H$21,0)+IF($A91="ISIC 49",(1-Calcs!$B$16)*C$56*Calcs!$I$21,0)+IF($A91="ISIC 45T47",(1-Calcs!$B$16)*C$56*Calcs!$J$21,0)</f>
        <v>2.220546072056513E-3</v>
      </c>
      <c r="D91" s="16">
        <f>IF($A91="ISIC 41T43",Calcs!$B$16+(1-Calcs!$B$16)*(1-D$56),0)+IF($A91="ISIC 28",(1-Calcs!$B$16)*D$56*Calcs!$H$21,0)+IF($A91="ISIC 49",(1-Calcs!$B$16)*D$56*Calcs!$I$21,0)+IF($A91="ISIC 45T47",(1-Calcs!$B$16)*D$56*Calcs!$J$21,0)</f>
        <v>1.6596700482203511E-3</v>
      </c>
      <c r="E91" s="16">
        <f>IF($A91="ISIC 41T43",Calcs!$B$16+(1-Calcs!$B$16)*(1-E$56),0)+IF($A91="ISIC 28",(1-Calcs!$B$16)*E$56*Calcs!$H$21,0)+IF($A91="ISIC 49",(1-Calcs!$B$16)*E$56*Calcs!$I$21,0)+IF($A91="ISIC 45T47",(1-Calcs!$B$16)*E$56*Calcs!$J$21,0)</f>
        <v>2.220546072056513E-3</v>
      </c>
      <c r="F91" s="16">
        <f t="shared" si="6"/>
        <v>4.8694077307852874E-3</v>
      </c>
      <c r="G91" s="16">
        <f t="shared" si="6"/>
        <v>4.8694077307852874E-3</v>
      </c>
    </row>
    <row r="92" spans="1:7" x14ac:dyDescent="0.25">
      <c r="A92" t="s">
        <v>266</v>
      </c>
      <c r="B92" s="16">
        <f>IF($A92="ISIC 41T43",Calcs!$B$16+(1-Calcs!$B$16)*(1-B$56),0)+IF($A92="ISIC 28",(1-Calcs!$B$16)*B$56*Calcs!$H$21,0)+IF($A92="ISIC 49",(1-Calcs!$B$16)*B$56*Calcs!$I$21,0)+IF($A92="ISIC 45T47",(1-Calcs!$B$16)*B$56*Calcs!$J$21,0)</f>
        <v>0</v>
      </c>
      <c r="C92" s="16">
        <f>IF($A92="ISIC 41T43",Calcs!$B$16+(1-Calcs!$B$16)*(1-C$56),0)+IF($A92="ISIC 28",(1-Calcs!$B$16)*C$56*Calcs!$H$21,0)+IF($A92="ISIC 49",(1-Calcs!$B$16)*C$56*Calcs!$I$21,0)+IF($A92="ISIC 45T47",(1-Calcs!$B$16)*C$56*Calcs!$J$21,0)</f>
        <v>0</v>
      </c>
      <c r="D92" s="16">
        <f>IF($A92="ISIC 41T43",Calcs!$B$16+(1-Calcs!$B$16)*(1-D$56),0)+IF($A92="ISIC 28",(1-Calcs!$B$16)*D$56*Calcs!$H$21,0)+IF($A92="ISIC 49",(1-Calcs!$B$16)*D$56*Calcs!$I$21,0)+IF($A92="ISIC 45T47",(1-Calcs!$B$16)*D$56*Calcs!$J$21,0)</f>
        <v>0</v>
      </c>
      <c r="E92" s="16">
        <f>IF($A92="ISIC 41T43",Calcs!$B$16+(1-Calcs!$B$16)*(1-E$56),0)+IF($A92="ISIC 28",(1-Calcs!$B$16)*E$56*Calcs!$H$21,0)+IF($A92="ISIC 49",(1-Calcs!$B$16)*E$56*Calcs!$I$21,0)+IF($A92="ISIC 45T47",(1-Calcs!$B$16)*E$56*Calcs!$J$21,0)</f>
        <v>0</v>
      </c>
      <c r="F92" s="16">
        <f t="shared" si="6"/>
        <v>0</v>
      </c>
      <c r="G92" s="16">
        <f t="shared" si="6"/>
        <v>0</v>
      </c>
    </row>
    <row r="93" spans="1:7" x14ac:dyDescent="0.25">
      <c r="A93" t="s">
        <v>267</v>
      </c>
      <c r="B93" s="16">
        <f>IF($A93="ISIC 41T43",Calcs!$B$16+(1-Calcs!$B$16)*(1-B$56),0)+IF($A93="ISIC 28",(1-Calcs!$B$16)*B$56*Calcs!$H$21,0)+IF($A93="ISIC 49",(1-Calcs!$B$16)*B$56*Calcs!$I$21,0)+IF($A93="ISIC 45T47",(1-Calcs!$B$16)*B$56*Calcs!$J$21,0)</f>
        <v>0</v>
      </c>
      <c r="C93" s="16">
        <f>IF($A93="ISIC 41T43",Calcs!$B$16+(1-Calcs!$B$16)*(1-C$56),0)+IF($A93="ISIC 28",(1-Calcs!$B$16)*C$56*Calcs!$H$21,0)+IF($A93="ISIC 49",(1-Calcs!$B$16)*C$56*Calcs!$I$21,0)+IF($A93="ISIC 45T47",(1-Calcs!$B$16)*C$56*Calcs!$J$21,0)</f>
        <v>0</v>
      </c>
      <c r="D93" s="16">
        <f>IF($A93="ISIC 41T43",Calcs!$B$16+(1-Calcs!$B$16)*(1-D$56),0)+IF($A93="ISIC 28",(1-Calcs!$B$16)*D$56*Calcs!$H$21,0)+IF($A93="ISIC 49",(1-Calcs!$B$16)*D$56*Calcs!$I$21,0)+IF($A93="ISIC 45T47",(1-Calcs!$B$16)*D$56*Calcs!$J$21,0)</f>
        <v>0</v>
      </c>
      <c r="E93" s="16">
        <f>IF($A93="ISIC 41T43",Calcs!$B$16+(1-Calcs!$B$16)*(1-E$56),0)+IF($A93="ISIC 28",(1-Calcs!$B$16)*E$56*Calcs!$H$21,0)+IF($A93="ISIC 49",(1-Calcs!$B$16)*E$56*Calcs!$I$21,0)+IF($A93="ISIC 45T47",(1-Calcs!$B$16)*E$56*Calcs!$J$21,0)</f>
        <v>0</v>
      </c>
      <c r="F93" s="16">
        <f t="shared" si="6"/>
        <v>0</v>
      </c>
      <c r="G93" s="16">
        <f t="shared" si="6"/>
        <v>0</v>
      </c>
    </row>
    <row r="94" spans="1:7" x14ac:dyDescent="0.25">
      <c r="A94" t="s">
        <v>268</v>
      </c>
      <c r="B94" s="16">
        <f>IF($A94="ISIC 41T43",Calcs!$B$16+(1-Calcs!$B$16)*(1-B$56),0)+IF($A94="ISIC 28",(1-Calcs!$B$16)*B$56*Calcs!$H$21,0)+IF($A94="ISIC 49",(1-Calcs!$B$16)*B$56*Calcs!$I$21,0)+IF($A94="ISIC 45T47",(1-Calcs!$B$16)*B$56*Calcs!$J$21,0)</f>
        <v>0</v>
      </c>
      <c r="C94" s="16">
        <f>IF($A94="ISIC 41T43",Calcs!$B$16+(1-Calcs!$B$16)*(1-C$56),0)+IF($A94="ISIC 28",(1-Calcs!$B$16)*C$56*Calcs!$H$21,0)+IF($A94="ISIC 49",(1-Calcs!$B$16)*C$56*Calcs!$I$21,0)+IF($A94="ISIC 45T47",(1-Calcs!$B$16)*C$56*Calcs!$J$21,0)</f>
        <v>0</v>
      </c>
      <c r="D94" s="16">
        <f>IF($A94="ISIC 41T43",Calcs!$B$16+(1-Calcs!$B$16)*(1-D$56),0)+IF($A94="ISIC 28",(1-Calcs!$B$16)*D$56*Calcs!$H$21,0)+IF($A94="ISIC 49",(1-Calcs!$B$16)*D$56*Calcs!$I$21,0)+IF($A94="ISIC 45T47",(1-Calcs!$B$16)*D$56*Calcs!$J$21,0)</f>
        <v>0</v>
      </c>
      <c r="E94" s="16">
        <f>IF($A94="ISIC 41T43",Calcs!$B$16+(1-Calcs!$B$16)*(1-E$56),0)+IF($A94="ISIC 28",(1-Calcs!$B$16)*E$56*Calcs!$H$21,0)+IF($A94="ISIC 49",(1-Calcs!$B$16)*E$56*Calcs!$I$21,0)+IF($A94="ISIC 45T47",(1-Calcs!$B$16)*E$56*Calcs!$J$21,0)</f>
        <v>0</v>
      </c>
      <c r="F94" s="16">
        <f t="shared" si="6"/>
        <v>0</v>
      </c>
      <c r="G94" s="16">
        <f t="shared" si="6"/>
        <v>0</v>
      </c>
    </row>
    <row r="95" spans="1:7" x14ac:dyDescent="0.25">
      <c r="A95" t="s">
        <v>269</v>
      </c>
      <c r="B95" s="16">
        <f>IF($A95="ISIC 41T43",Calcs!$B$16+(1-Calcs!$B$16)*(1-B$56),0)+IF($A95="ISIC 28",(1-Calcs!$B$16)*B$56*Calcs!$H$21,0)+IF($A95="ISIC 49",(1-Calcs!$B$16)*B$56*Calcs!$I$21,0)+IF($A95="ISIC 45T47",(1-Calcs!$B$16)*B$56*Calcs!$J$21,0)</f>
        <v>0</v>
      </c>
      <c r="C95" s="16">
        <f>IF($A95="ISIC 41T43",Calcs!$B$16+(1-Calcs!$B$16)*(1-C$56),0)+IF($A95="ISIC 28",(1-Calcs!$B$16)*C$56*Calcs!$H$21,0)+IF($A95="ISIC 49",(1-Calcs!$B$16)*C$56*Calcs!$I$21,0)+IF($A95="ISIC 45T47",(1-Calcs!$B$16)*C$56*Calcs!$J$21,0)</f>
        <v>0</v>
      </c>
      <c r="D95" s="16">
        <f>IF($A95="ISIC 41T43",Calcs!$B$16+(1-Calcs!$B$16)*(1-D$56),0)+IF($A95="ISIC 28",(1-Calcs!$B$16)*D$56*Calcs!$H$21,0)+IF($A95="ISIC 49",(1-Calcs!$B$16)*D$56*Calcs!$I$21,0)+IF($A95="ISIC 45T47",(1-Calcs!$B$16)*D$56*Calcs!$J$21,0)</f>
        <v>0</v>
      </c>
      <c r="E95" s="16">
        <f>IF($A95="ISIC 41T43",Calcs!$B$16+(1-Calcs!$B$16)*(1-E$56),0)+IF($A95="ISIC 28",(1-Calcs!$B$16)*E$56*Calcs!$H$21,0)+IF($A95="ISIC 49",(1-Calcs!$B$16)*E$56*Calcs!$I$21,0)+IF($A95="ISIC 45T47",(1-Calcs!$B$16)*E$56*Calcs!$J$21,0)</f>
        <v>0</v>
      </c>
      <c r="F95" s="16">
        <f t="shared" si="6"/>
        <v>0</v>
      </c>
      <c r="G95" s="16">
        <f t="shared" si="6"/>
        <v>0</v>
      </c>
    </row>
    <row r="96" spans="1:7" x14ac:dyDescent="0.25">
      <c r="A96" t="s">
        <v>270</v>
      </c>
      <c r="B96" s="16">
        <f>IF($A96="ISIC 41T43",Calcs!$B$16+(1-Calcs!$B$16)*(1-B$56),0)+IF($A96="ISIC 28",(1-Calcs!$B$16)*B$56*Calcs!$H$21,0)+IF($A96="ISIC 49",(1-Calcs!$B$16)*B$56*Calcs!$I$21,0)+IF($A96="ISIC 45T47",(1-Calcs!$B$16)*B$56*Calcs!$J$21,0)</f>
        <v>0</v>
      </c>
      <c r="C96" s="16">
        <f>IF($A96="ISIC 41T43",Calcs!$B$16+(1-Calcs!$B$16)*(1-C$56),0)+IF($A96="ISIC 28",(1-Calcs!$B$16)*C$56*Calcs!$H$21,0)+IF($A96="ISIC 49",(1-Calcs!$B$16)*C$56*Calcs!$I$21,0)+IF($A96="ISIC 45T47",(1-Calcs!$B$16)*C$56*Calcs!$J$21,0)</f>
        <v>0</v>
      </c>
      <c r="D96" s="16">
        <f>IF($A96="ISIC 41T43",Calcs!$B$16+(1-Calcs!$B$16)*(1-D$56),0)+IF($A96="ISIC 28",(1-Calcs!$B$16)*D$56*Calcs!$H$21,0)+IF($A96="ISIC 49",(1-Calcs!$B$16)*D$56*Calcs!$I$21,0)+IF($A96="ISIC 45T47",(1-Calcs!$B$16)*D$56*Calcs!$J$21,0)</f>
        <v>0</v>
      </c>
      <c r="E96" s="16">
        <f>IF($A96="ISIC 41T43",Calcs!$B$16+(1-Calcs!$B$16)*(1-E$56),0)+IF($A96="ISIC 28",(1-Calcs!$B$16)*E$56*Calcs!$H$21,0)+IF($A96="ISIC 49",(1-Calcs!$B$16)*E$56*Calcs!$I$21,0)+IF($A96="ISIC 45T47",(1-Calcs!$B$16)*E$56*Calcs!$J$21,0)</f>
        <v>0</v>
      </c>
      <c r="F96" s="16">
        <f t="shared" si="6"/>
        <v>0</v>
      </c>
      <c r="G96" s="16">
        <f t="shared" si="6"/>
        <v>0</v>
      </c>
    </row>
    <row r="97" spans="1:7" x14ac:dyDescent="0.25">
      <c r="A97" t="s">
        <v>271</v>
      </c>
      <c r="B97" s="16">
        <f>IF($A97="ISIC 41T43",Calcs!$B$16+(1-Calcs!$B$16)*(1-B$56),0)+IF($A97="ISIC 28",(1-Calcs!$B$16)*B$56*Calcs!$H$21,0)+IF($A97="ISIC 49",(1-Calcs!$B$16)*B$56*Calcs!$I$21,0)+IF($A97="ISIC 45T47",(1-Calcs!$B$16)*B$56*Calcs!$J$21,0)</f>
        <v>0</v>
      </c>
      <c r="C97" s="16">
        <f>IF($A97="ISIC 41T43",Calcs!$B$16+(1-Calcs!$B$16)*(1-C$56),0)+IF($A97="ISIC 28",(1-Calcs!$B$16)*C$56*Calcs!$H$21,0)+IF($A97="ISIC 49",(1-Calcs!$B$16)*C$56*Calcs!$I$21,0)+IF($A97="ISIC 45T47",(1-Calcs!$B$16)*C$56*Calcs!$J$21,0)</f>
        <v>0</v>
      </c>
      <c r="D97" s="16">
        <f>IF($A97="ISIC 41T43",Calcs!$B$16+(1-Calcs!$B$16)*(1-D$56),0)+IF($A97="ISIC 28",(1-Calcs!$B$16)*D$56*Calcs!$H$21,0)+IF($A97="ISIC 49",(1-Calcs!$B$16)*D$56*Calcs!$I$21,0)+IF($A97="ISIC 45T47",(1-Calcs!$B$16)*D$56*Calcs!$J$21,0)</f>
        <v>0</v>
      </c>
      <c r="E97" s="16">
        <f>IF($A97="ISIC 41T43",Calcs!$B$16+(1-Calcs!$B$16)*(1-E$56),0)+IF($A97="ISIC 28",(1-Calcs!$B$16)*E$56*Calcs!$H$21,0)+IF($A97="ISIC 49",(1-Calcs!$B$16)*E$56*Calcs!$I$21,0)+IF($A97="ISIC 45T47",(1-Calcs!$B$16)*E$56*Calcs!$J$21,0)</f>
        <v>0</v>
      </c>
      <c r="F97" s="16">
        <f t="shared" si="6"/>
        <v>0</v>
      </c>
      <c r="G97" s="16">
        <f t="shared" si="6"/>
        <v>0</v>
      </c>
    </row>
    <row r="98" spans="1:7" x14ac:dyDescent="0.25">
      <c r="A98" t="s">
        <v>272</v>
      </c>
      <c r="B98" s="16">
        <f>IF($A98="ISIC 41T43",Calcs!$B$16+(1-Calcs!$B$16)*(1-B$56),0)+IF($A98="ISIC 28",(1-Calcs!$B$16)*B$56*Calcs!$H$21,0)+IF($A98="ISIC 49",(1-Calcs!$B$16)*B$56*Calcs!$I$21,0)+IF($A98="ISIC 45T47",(1-Calcs!$B$16)*B$56*Calcs!$J$21,0)</f>
        <v>0</v>
      </c>
      <c r="C98" s="16">
        <f>IF($A98="ISIC 41T43",Calcs!$B$16+(1-Calcs!$B$16)*(1-C$56),0)+IF($A98="ISIC 28",(1-Calcs!$B$16)*C$56*Calcs!$H$21,0)+IF($A98="ISIC 49",(1-Calcs!$B$16)*C$56*Calcs!$I$21,0)+IF($A98="ISIC 45T47",(1-Calcs!$B$16)*C$56*Calcs!$J$21,0)</f>
        <v>0</v>
      </c>
      <c r="D98" s="16">
        <f>IF($A98="ISIC 41T43",Calcs!$B$16+(1-Calcs!$B$16)*(1-D$56),0)+IF($A98="ISIC 28",(1-Calcs!$B$16)*D$56*Calcs!$H$21,0)+IF($A98="ISIC 49",(1-Calcs!$B$16)*D$56*Calcs!$I$21,0)+IF($A98="ISIC 45T47",(1-Calcs!$B$16)*D$56*Calcs!$J$21,0)</f>
        <v>0</v>
      </c>
      <c r="E98" s="16">
        <f>IF($A98="ISIC 41T43",Calcs!$B$16+(1-Calcs!$B$16)*(1-E$56),0)+IF($A98="ISIC 28",(1-Calcs!$B$16)*E$56*Calcs!$H$21,0)+IF($A98="ISIC 49",(1-Calcs!$B$16)*E$56*Calcs!$I$21,0)+IF($A98="ISIC 45T47",(1-Calcs!$B$16)*E$56*Calcs!$J$21,0)</f>
        <v>0</v>
      </c>
      <c r="F98" s="16">
        <f t="shared" ref="F98:G109" si="7">SUMIFS($Z$40:$Z$50,$E$40:$E$50,$A98)+IF($A98="ISIC 41T43",$V$51,0)+IF($A98="ISIC 45T47",$AA$51,0)+IF($A98="ISIC 49",$AB$51,0)</f>
        <v>0</v>
      </c>
      <c r="G98" s="16">
        <f t="shared" si="7"/>
        <v>0</v>
      </c>
    </row>
    <row r="99" spans="1:7" x14ac:dyDescent="0.25">
      <c r="A99" t="s">
        <v>273</v>
      </c>
      <c r="B99" s="16">
        <f>IF($A99="ISIC 41T43",Calcs!$B$16+(1-Calcs!$B$16)*(1-B$56),0)+IF($A99="ISIC 28",(1-Calcs!$B$16)*B$56*Calcs!$H$21,0)+IF($A99="ISIC 49",(1-Calcs!$B$16)*B$56*Calcs!$I$21,0)+IF($A99="ISIC 45T47",(1-Calcs!$B$16)*B$56*Calcs!$J$21,0)</f>
        <v>0</v>
      </c>
      <c r="C99" s="16">
        <f>IF($A99="ISIC 41T43",Calcs!$B$16+(1-Calcs!$B$16)*(1-C$56),0)+IF($A99="ISIC 28",(1-Calcs!$B$16)*C$56*Calcs!$H$21,0)+IF($A99="ISIC 49",(1-Calcs!$B$16)*C$56*Calcs!$I$21,0)+IF($A99="ISIC 45T47",(1-Calcs!$B$16)*C$56*Calcs!$J$21,0)</f>
        <v>0</v>
      </c>
      <c r="D99" s="16">
        <f>IF($A99="ISIC 41T43",Calcs!$B$16+(1-Calcs!$B$16)*(1-D$56),0)+IF($A99="ISIC 28",(1-Calcs!$B$16)*D$56*Calcs!$H$21,0)+IF($A99="ISIC 49",(1-Calcs!$B$16)*D$56*Calcs!$I$21,0)+IF($A99="ISIC 45T47",(1-Calcs!$B$16)*D$56*Calcs!$J$21,0)</f>
        <v>0</v>
      </c>
      <c r="E99" s="16">
        <f>IF($A99="ISIC 41T43",Calcs!$B$16+(1-Calcs!$B$16)*(1-E$56),0)+IF($A99="ISIC 28",(1-Calcs!$B$16)*E$56*Calcs!$H$21,0)+IF($A99="ISIC 49",(1-Calcs!$B$16)*E$56*Calcs!$I$21,0)+IF($A99="ISIC 45T47",(1-Calcs!$B$16)*E$56*Calcs!$J$21,0)</f>
        <v>0</v>
      </c>
      <c r="F99" s="16">
        <f t="shared" si="7"/>
        <v>0</v>
      </c>
      <c r="G99" s="16">
        <f t="shared" si="7"/>
        <v>0</v>
      </c>
    </row>
    <row r="100" spans="1:7" x14ac:dyDescent="0.25">
      <c r="A100" t="s">
        <v>274</v>
      </c>
      <c r="B100" s="16">
        <f>IF($A100="ISIC 41T43",Calcs!$B$16+(1-Calcs!$B$16)*(1-B$56),0)+IF($A100="ISIC 28",(1-Calcs!$B$16)*B$56*Calcs!$H$21,0)+IF($A100="ISIC 49",(1-Calcs!$B$16)*B$56*Calcs!$I$21,0)+IF($A100="ISIC 45T47",(1-Calcs!$B$16)*B$56*Calcs!$J$21,0)</f>
        <v>0</v>
      </c>
      <c r="C100" s="16">
        <f>IF($A100="ISIC 41T43",Calcs!$B$16+(1-Calcs!$B$16)*(1-C$56),0)+IF($A100="ISIC 28",(1-Calcs!$B$16)*C$56*Calcs!$H$21,0)+IF($A100="ISIC 49",(1-Calcs!$B$16)*C$56*Calcs!$I$21,0)+IF($A100="ISIC 45T47",(1-Calcs!$B$16)*C$56*Calcs!$J$21,0)</f>
        <v>0</v>
      </c>
      <c r="D100" s="16">
        <f>IF($A100="ISIC 41T43",Calcs!$B$16+(1-Calcs!$B$16)*(1-D$56),0)+IF($A100="ISIC 28",(1-Calcs!$B$16)*D$56*Calcs!$H$21,0)+IF($A100="ISIC 49",(1-Calcs!$B$16)*D$56*Calcs!$I$21,0)+IF($A100="ISIC 45T47",(1-Calcs!$B$16)*D$56*Calcs!$J$21,0)</f>
        <v>0</v>
      </c>
      <c r="E100" s="16">
        <f>IF($A100="ISIC 41T43",Calcs!$B$16+(1-Calcs!$B$16)*(1-E$56),0)+IF($A100="ISIC 28",(1-Calcs!$B$16)*E$56*Calcs!$H$21,0)+IF($A100="ISIC 49",(1-Calcs!$B$16)*E$56*Calcs!$I$21,0)+IF($A100="ISIC 45T47",(1-Calcs!$B$16)*E$56*Calcs!$J$21,0)</f>
        <v>0</v>
      </c>
      <c r="F100" s="16">
        <f t="shared" si="7"/>
        <v>0</v>
      </c>
      <c r="G100" s="16">
        <f t="shared" si="7"/>
        <v>0</v>
      </c>
    </row>
    <row r="101" spans="1:7" x14ac:dyDescent="0.25">
      <c r="A101" t="s">
        <v>275</v>
      </c>
      <c r="B101" s="16">
        <f>IF($A101="ISIC 41T43",Calcs!$B$16+(1-Calcs!$B$16)*(1-B$56),0)+IF($A101="ISIC 28",(1-Calcs!$B$16)*B$56*Calcs!$H$21,0)+IF($A101="ISIC 49",(1-Calcs!$B$16)*B$56*Calcs!$I$21,0)+IF($A101="ISIC 45T47",(1-Calcs!$B$16)*B$56*Calcs!$J$21,0)</f>
        <v>0</v>
      </c>
      <c r="C101" s="16">
        <f>IF($A101="ISIC 41T43",Calcs!$B$16+(1-Calcs!$B$16)*(1-C$56),0)+IF($A101="ISIC 28",(1-Calcs!$B$16)*C$56*Calcs!$H$21,0)+IF($A101="ISIC 49",(1-Calcs!$B$16)*C$56*Calcs!$I$21,0)+IF($A101="ISIC 45T47",(1-Calcs!$B$16)*C$56*Calcs!$J$21,0)</f>
        <v>0</v>
      </c>
      <c r="D101" s="16">
        <f>IF($A101="ISIC 41T43",Calcs!$B$16+(1-Calcs!$B$16)*(1-D$56),0)+IF($A101="ISIC 28",(1-Calcs!$B$16)*D$56*Calcs!$H$21,0)+IF($A101="ISIC 49",(1-Calcs!$B$16)*D$56*Calcs!$I$21,0)+IF($A101="ISIC 45T47",(1-Calcs!$B$16)*D$56*Calcs!$J$21,0)</f>
        <v>0</v>
      </c>
      <c r="E101" s="16">
        <f>IF($A101="ISIC 41T43",Calcs!$B$16+(1-Calcs!$B$16)*(1-E$56),0)+IF($A101="ISIC 28",(1-Calcs!$B$16)*E$56*Calcs!$H$21,0)+IF($A101="ISIC 49",(1-Calcs!$B$16)*E$56*Calcs!$I$21,0)+IF($A101="ISIC 45T47",(1-Calcs!$B$16)*E$56*Calcs!$J$21,0)</f>
        <v>0</v>
      </c>
      <c r="F101" s="16">
        <f t="shared" si="7"/>
        <v>0</v>
      </c>
      <c r="G101" s="16">
        <f t="shared" si="7"/>
        <v>0</v>
      </c>
    </row>
    <row r="102" spans="1:7" x14ac:dyDescent="0.25">
      <c r="A102" t="s">
        <v>276</v>
      </c>
      <c r="B102" s="16">
        <f>IF($A102="ISIC 41T43",Calcs!$B$16+(1-Calcs!$B$16)*(1-B$56),0)+IF($A102="ISIC 28",(1-Calcs!$B$16)*B$56*Calcs!$H$21,0)+IF($A102="ISIC 49",(1-Calcs!$B$16)*B$56*Calcs!$I$21,0)+IF($A102="ISIC 45T47",(1-Calcs!$B$16)*B$56*Calcs!$J$21,0)</f>
        <v>0</v>
      </c>
      <c r="C102" s="16">
        <f>IF($A102="ISIC 41T43",Calcs!$B$16+(1-Calcs!$B$16)*(1-C$56),0)+IF($A102="ISIC 28",(1-Calcs!$B$16)*C$56*Calcs!$H$21,0)+IF($A102="ISIC 49",(1-Calcs!$B$16)*C$56*Calcs!$I$21,0)+IF($A102="ISIC 45T47",(1-Calcs!$B$16)*C$56*Calcs!$J$21,0)</f>
        <v>0</v>
      </c>
      <c r="D102" s="16">
        <f>IF($A102="ISIC 41T43",Calcs!$B$16+(1-Calcs!$B$16)*(1-D$56),0)+IF($A102="ISIC 28",(1-Calcs!$B$16)*D$56*Calcs!$H$21,0)+IF($A102="ISIC 49",(1-Calcs!$B$16)*D$56*Calcs!$I$21,0)+IF($A102="ISIC 45T47",(1-Calcs!$B$16)*D$56*Calcs!$J$21,0)</f>
        <v>0</v>
      </c>
      <c r="E102" s="16">
        <f>IF($A102="ISIC 41T43",Calcs!$B$16+(1-Calcs!$B$16)*(1-E$56),0)+IF($A102="ISIC 28",(1-Calcs!$B$16)*E$56*Calcs!$H$21,0)+IF($A102="ISIC 49",(1-Calcs!$B$16)*E$56*Calcs!$I$21,0)+IF($A102="ISIC 45T47",(1-Calcs!$B$16)*E$56*Calcs!$J$21,0)</f>
        <v>0</v>
      </c>
      <c r="F102" s="16">
        <f t="shared" si="7"/>
        <v>0</v>
      </c>
      <c r="G102" s="16">
        <f t="shared" si="7"/>
        <v>0</v>
      </c>
    </row>
    <row r="103" spans="1:7" x14ac:dyDescent="0.25">
      <c r="A103" t="s">
        <v>277</v>
      </c>
      <c r="B103" s="16">
        <f>IF($A103="ISIC 41T43",Calcs!$B$16+(1-Calcs!$B$16)*(1-B$56),0)+IF($A103="ISIC 28",(1-Calcs!$B$16)*B$56*Calcs!$H$21,0)+IF($A103="ISIC 49",(1-Calcs!$B$16)*B$56*Calcs!$I$21,0)+IF($A103="ISIC 45T47",(1-Calcs!$B$16)*B$56*Calcs!$J$21,0)</f>
        <v>0</v>
      </c>
      <c r="C103" s="16">
        <f>IF($A103="ISIC 41T43",Calcs!$B$16+(1-Calcs!$B$16)*(1-C$56),0)+IF($A103="ISIC 28",(1-Calcs!$B$16)*C$56*Calcs!$H$21,0)+IF($A103="ISIC 49",(1-Calcs!$B$16)*C$56*Calcs!$I$21,0)+IF($A103="ISIC 45T47",(1-Calcs!$B$16)*C$56*Calcs!$J$21,0)</f>
        <v>0</v>
      </c>
      <c r="D103" s="16">
        <f>IF($A103="ISIC 41T43",Calcs!$B$16+(1-Calcs!$B$16)*(1-D$56),0)+IF($A103="ISIC 28",(1-Calcs!$B$16)*D$56*Calcs!$H$21,0)+IF($A103="ISIC 49",(1-Calcs!$B$16)*D$56*Calcs!$I$21,0)+IF($A103="ISIC 45T47",(1-Calcs!$B$16)*D$56*Calcs!$J$21,0)</f>
        <v>0</v>
      </c>
      <c r="E103" s="16">
        <f>IF($A103="ISIC 41T43",Calcs!$B$16+(1-Calcs!$B$16)*(1-E$56),0)+IF($A103="ISIC 28",(1-Calcs!$B$16)*E$56*Calcs!$H$21,0)+IF($A103="ISIC 49",(1-Calcs!$B$16)*E$56*Calcs!$I$21,0)+IF($A103="ISIC 45T47",(1-Calcs!$B$16)*E$56*Calcs!$J$21,0)</f>
        <v>0</v>
      </c>
      <c r="F103" s="16">
        <f t="shared" si="7"/>
        <v>0</v>
      </c>
      <c r="G103" s="16">
        <f t="shared" si="7"/>
        <v>0</v>
      </c>
    </row>
    <row r="104" spans="1:7" x14ac:dyDescent="0.25">
      <c r="A104" t="s">
        <v>278</v>
      </c>
      <c r="B104" s="16">
        <f>IF($A104="ISIC 41T43",Calcs!$B$16+(1-Calcs!$B$16)*(1-B$56),0)+IF($A104="ISIC 28",(1-Calcs!$B$16)*B$56*Calcs!$H$21,0)+IF($A104="ISIC 49",(1-Calcs!$B$16)*B$56*Calcs!$I$21,0)+IF($A104="ISIC 45T47",(1-Calcs!$B$16)*B$56*Calcs!$J$21,0)</f>
        <v>0</v>
      </c>
      <c r="C104" s="16">
        <f>IF($A104="ISIC 41T43",Calcs!$B$16+(1-Calcs!$B$16)*(1-C$56),0)+IF($A104="ISIC 28",(1-Calcs!$B$16)*C$56*Calcs!$H$21,0)+IF($A104="ISIC 49",(1-Calcs!$B$16)*C$56*Calcs!$I$21,0)+IF($A104="ISIC 45T47",(1-Calcs!$B$16)*C$56*Calcs!$J$21,0)</f>
        <v>0</v>
      </c>
      <c r="D104" s="16">
        <f>IF($A104="ISIC 41T43",Calcs!$B$16+(1-Calcs!$B$16)*(1-D$56),0)+IF($A104="ISIC 28",(1-Calcs!$B$16)*D$56*Calcs!$H$21,0)+IF($A104="ISIC 49",(1-Calcs!$B$16)*D$56*Calcs!$I$21,0)+IF($A104="ISIC 45T47",(1-Calcs!$B$16)*D$56*Calcs!$J$21,0)</f>
        <v>0</v>
      </c>
      <c r="E104" s="16">
        <f>IF($A104="ISIC 41T43",Calcs!$B$16+(1-Calcs!$B$16)*(1-E$56),0)+IF($A104="ISIC 28",(1-Calcs!$B$16)*E$56*Calcs!$H$21,0)+IF($A104="ISIC 49",(1-Calcs!$B$16)*E$56*Calcs!$I$21,0)+IF($A104="ISIC 45T47",(1-Calcs!$B$16)*E$56*Calcs!$J$21,0)</f>
        <v>0</v>
      </c>
      <c r="F104" s="16">
        <f t="shared" si="7"/>
        <v>0</v>
      </c>
      <c r="G104" s="16">
        <f t="shared" si="7"/>
        <v>0</v>
      </c>
    </row>
    <row r="105" spans="1:7" x14ac:dyDescent="0.25">
      <c r="A105" t="s">
        <v>279</v>
      </c>
      <c r="B105" s="16">
        <f>IF($A105="ISIC 41T43",Calcs!$B$16+(1-Calcs!$B$16)*(1-B$56),0)+IF($A105="ISIC 28",(1-Calcs!$B$16)*B$56*Calcs!$H$21,0)+IF($A105="ISIC 49",(1-Calcs!$B$16)*B$56*Calcs!$I$21,0)+IF($A105="ISIC 45T47",(1-Calcs!$B$16)*B$56*Calcs!$J$21,0)</f>
        <v>0</v>
      </c>
      <c r="C105" s="16">
        <f>IF($A105="ISIC 41T43",Calcs!$B$16+(1-Calcs!$B$16)*(1-C$56),0)+IF($A105="ISIC 28",(1-Calcs!$B$16)*C$56*Calcs!$H$21,0)+IF($A105="ISIC 49",(1-Calcs!$B$16)*C$56*Calcs!$I$21,0)+IF($A105="ISIC 45T47",(1-Calcs!$B$16)*C$56*Calcs!$J$21,0)</f>
        <v>0</v>
      </c>
      <c r="D105" s="16">
        <f>IF($A105="ISIC 41T43",Calcs!$B$16+(1-Calcs!$B$16)*(1-D$56),0)+IF($A105="ISIC 28",(1-Calcs!$B$16)*D$56*Calcs!$H$21,0)+IF($A105="ISIC 49",(1-Calcs!$B$16)*D$56*Calcs!$I$21,0)+IF($A105="ISIC 45T47",(1-Calcs!$B$16)*D$56*Calcs!$J$21,0)</f>
        <v>0</v>
      </c>
      <c r="E105" s="16">
        <f>IF($A105="ISIC 41T43",Calcs!$B$16+(1-Calcs!$B$16)*(1-E$56),0)+IF($A105="ISIC 28",(1-Calcs!$B$16)*E$56*Calcs!$H$21,0)+IF($A105="ISIC 49",(1-Calcs!$B$16)*E$56*Calcs!$I$21,0)+IF($A105="ISIC 45T47",(1-Calcs!$B$16)*E$56*Calcs!$J$21,0)</f>
        <v>0</v>
      </c>
      <c r="F105" s="16">
        <f t="shared" si="7"/>
        <v>0</v>
      </c>
      <c r="G105" s="16">
        <f t="shared" si="7"/>
        <v>0</v>
      </c>
    </row>
    <row r="106" spans="1:7" x14ac:dyDescent="0.25">
      <c r="A106" t="s">
        <v>280</v>
      </c>
      <c r="B106" s="16">
        <f>IF($A106="ISIC 41T43",Calcs!$B$16+(1-Calcs!$B$16)*(1-B$56),0)+IF($A106="ISIC 28",(1-Calcs!$B$16)*B$56*Calcs!$H$21,0)+IF($A106="ISIC 49",(1-Calcs!$B$16)*B$56*Calcs!$I$21,0)+IF($A106="ISIC 45T47",(1-Calcs!$B$16)*B$56*Calcs!$J$21,0)</f>
        <v>0</v>
      </c>
      <c r="C106" s="16">
        <f>IF($A106="ISIC 41T43",Calcs!$B$16+(1-Calcs!$B$16)*(1-C$56),0)+IF($A106="ISIC 28",(1-Calcs!$B$16)*C$56*Calcs!$H$21,0)+IF($A106="ISIC 49",(1-Calcs!$B$16)*C$56*Calcs!$I$21,0)+IF($A106="ISIC 45T47",(1-Calcs!$B$16)*C$56*Calcs!$J$21,0)</f>
        <v>0</v>
      </c>
      <c r="D106" s="16">
        <f>IF($A106="ISIC 41T43",Calcs!$B$16+(1-Calcs!$B$16)*(1-D$56),0)+IF($A106="ISIC 28",(1-Calcs!$B$16)*D$56*Calcs!$H$21,0)+IF($A106="ISIC 49",(1-Calcs!$B$16)*D$56*Calcs!$I$21,0)+IF($A106="ISIC 45T47",(1-Calcs!$B$16)*D$56*Calcs!$J$21,0)</f>
        <v>0</v>
      </c>
      <c r="E106" s="16">
        <f>IF($A106="ISIC 41T43",Calcs!$B$16+(1-Calcs!$B$16)*(1-E$56),0)+IF($A106="ISIC 28",(1-Calcs!$B$16)*E$56*Calcs!$H$21,0)+IF($A106="ISIC 49",(1-Calcs!$B$16)*E$56*Calcs!$I$21,0)+IF($A106="ISIC 45T47",(1-Calcs!$B$16)*E$56*Calcs!$J$21,0)</f>
        <v>0</v>
      </c>
      <c r="F106" s="16">
        <f t="shared" si="7"/>
        <v>0</v>
      </c>
      <c r="G106" s="16">
        <f t="shared" si="7"/>
        <v>0</v>
      </c>
    </row>
    <row r="107" spans="1:7" x14ac:dyDescent="0.25">
      <c r="A107" t="s">
        <v>281</v>
      </c>
      <c r="B107" s="16">
        <f>IF($A107="ISIC 41T43",Calcs!$B$16+(1-Calcs!$B$16)*(1-B$56),0)+IF($A107="ISIC 28",(1-Calcs!$B$16)*B$56*Calcs!$H$21,0)+IF($A107="ISIC 49",(1-Calcs!$B$16)*B$56*Calcs!$I$21,0)+IF($A107="ISIC 45T47",(1-Calcs!$B$16)*B$56*Calcs!$J$21,0)</f>
        <v>0</v>
      </c>
      <c r="C107" s="16">
        <f>IF($A107="ISIC 41T43",Calcs!$B$16+(1-Calcs!$B$16)*(1-C$56),0)+IF($A107="ISIC 28",(1-Calcs!$B$16)*C$56*Calcs!$H$21,0)+IF($A107="ISIC 49",(1-Calcs!$B$16)*C$56*Calcs!$I$21,0)+IF($A107="ISIC 45T47",(1-Calcs!$B$16)*C$56*Calcs!$J$21,0)</f>
        <v>0</v>
      </c>
      <c r="D107" s="16">
        <f>IF($A107="ISIC 41T43",Calcs!$B$16+(1-Calcs!$B$16)*(1-D$56),0)+IF($A107="ISIC 28",(1-Calcs!$B$16)*D$56*Calcs!$H$21,0)+IF($A107="ISIC 49",(1-Calcs!$B$16)*D$56*Calcs!$I$21,0)+IF($A107="ISIC 45T47",(1-Calcs!$B$16)*D$56*Calcs!$J$21,0)</f>
        <v>0</v>
      </c>
      <c r="E107" s="16">
        <f>IF($A107="ISIC 41T43",Calcs!$B$16+(1-Calcs!$B$16)*(1-E$56),0)+IF($A107="ISIC 28",(1-Calcs!$B$16)*E$56*Calcs!$H$21,0)+IF($A107="ISIC 49",(1-Calcs!$B$16)*E$56*Calcs!$I$21,0)+IF($A107="ISIC 45T47",(1-Calcs!$B$16)*E$56*Calcs!$J$21,0)</f>
        <v>0</v>
      </c>
      <c r="F107" s="16">
        <f t="shared" si="7"/>
        <v>0</v>
      </c>
      <c r="G107" s="16">
        <f t="shared" si="7"/>
        <v>0</v>
      </c>
    </row>
    <row r="108" spans="1:7" x14ac:dyDescent="0.25">
      <c r="A108" t="s">
        <v>282</v>
      </c>
      <c r="B108" s="16">
        <f>IF($A108="ISIC 41T43",Calcs!$B$16+(1-Calcs!$B$16)*(1-B$56),0)+IF($A108="ISIC 28",(1-Calcs!$B$16)*B$56*Calcs!$H$21,0)+IF($A108="ISIC 49",(1-Calcs!$B$16)*B$56*Calcs!$I$21,0)+IF($A108="ISIC 45T47",(1-Calcs!$B$16)*B$56*Calcs!$J$21,0)</f>
        <v>0</v>
      </c>
      <c r="C108" s="16">
        <f>IF($A108="ISIC 41T43",Calcs!$B$16+(1-Calcs!$B$16)*(1-C$56),0)+IF($A108="ISIC 28",(1-Calcs!$B$16)*C$56*Calcs!$H$21,0)+IF($A108="ISIC 49",(1-Calcs!$B$16)*C$56*Calcs!$I$21,0)+IF($A108="ISIC 45T47",(1-Calcs!$B$16)*C$56*Calcs!$J$21,0)</f>
        <v>0</v>
      </c>
      <c r="D108" s="16">
        <f>IF($A108="ISIC 41T43",Calcs!$B$16+(1-Calcs!$B$16)*(1-D$56),0)+IF($A108="ISIC 28",(1-Calcs!$B$16)*D$56*Calcs!$H$21,0)+IF($A108="ISIC 49",(1-Calcs!$B$16)*D$56*Calcs!$I$21,0)+IF($A108="ISIC 45T47",(1-Calcs!$B$16)*D$56*Calcs!$J$21,0)</f>
        <v>0</v>
      </c>
      <c r="E108" s="16">
        <f>IF($A108="ISIC 41T43",Calcs!$B$16+(1-Calcs!$B$16)*(1-E$56),0)+IF($A108="ISIC 28",(1-Calcs!$B$16)*E$56*Calcs!$H$21,0)+IF($A108="ISIC 49",(1-Calcs!$B$16)*E$56*Calcs!$I$21,0)+IF($A108="ISIC 45T47",(1-Calcs!$B$16)*E$56*Calcs!$J$21,0)</f>
        <v>0</v>
      </c>
      <c r="F108" s="16">
        <f t="shared" si="7"/>
        <v>0</v>
      </c>
      <c r="G108" s="16">
        <f t="shared" si="7"/>
        <v>0</v>
      </c>
    </row>
    <row r="109" spans="1:7" x14ac:dyDescent="0.25">
      <c r="A109" t="s">
        <v>283</v>
      </c>
      <c r="B109" s="16">
        <f>IF($A109="ISIC 41T43",Calcs!$B$16+(1-Calcs!$B$16)*(1-B$56),0)+IF($A109="ISIC 28",(1-Calcs!$B$16)*B$56*Calcs!$H$21,0)+IF($A109="ISIC 49",(1-Calcs!$B$16)*B$56*Calcs!$I$21,0)+IF($A109="ISIC 45T47",(1-Calcs!$B$16)*B$56*Calcs!$J$21,0)</f>
        <v>0</v>
      </c>
      <c r="C109" s="16">
        <f>IF($A109="ISIC 41T43",Calcs!$B$16+(1-Calcs!$B$16)*(1-C$56),0)+IF($A109="ISIC 28",(1-Calcs!$B$16)*C$56*Calcs!$H$21,0)+IF($A109="ISIC 49",(1-Calcs!$B$16)*C$56*Calcs!$I$21,0)+IF($A109="ISIC 45T47",(1-Calcs!$B$16)*C$56*Calcs!$J$21,0)</f>
        <v>0</v>
      </c>
      <c r="D109" s="16">
        <f>IF($A109="ISIC 41T43",Calcs!$B$16+(1-Calcs!$B$16)*(1-D$56),0)+IF($A109="ISIC 28",(1-Calcs!$B$16)*D$56*Calcs!$H$21,0)+IF($A109="ISIC 49",(1-Calcs!$B$16)*D$56*Calcs!$I$21,0)+IF($A109="ISIC 45T47",(1-Calcs!$B$16)*D$56*Calcs!$J$21,0)</f>
        <v>0</v>
      </c>
      <c r="E109" s="16">
        <f>IF($A109="ISIC 41T43",Calcs!$B$16+(1-Calcs!$B$16)*(1-E$56),0)+IF($A109="ISIC 28",(1-Calcs!$B$16)*E$56*Calcs!$H$21,0)+IF($A109="ISIC 49",(1-Calcs!$B$16)*E$56*Calcs!$I$21,0)+IF($A109="ISIC 45T47",(1-Calcs!$B$16)*E$56*Calcs!$J$21,0)</f>
        <v>0</v>
      </c>
      <c r="F109" s="16">
        <f t="shared" si="7"/>
        <v>0</v>
      </c>
      <c r="G109" s="16">
        <f t="shared" si="7"/>
        <v>0</v>
      </c>
    </row>
    <row r="110" spans="1:7" x14ac:dyDescent="0.25">
      <c r="A110" s="1" t="s">
        <v>105</v>
      </c>
      <c r="B110" s="13">
        <f t="shared" ref="B110:G110" si="8">SUM(B58:B109)</f>
        <v>1</v>
      </c>
      <c r="C110" s="13">
        <f t="shared" si="8"/>
        <v>0.99999999999999989</v>
      </c>
      <c r="D110" s="13">
        <f t="shared" si="8"/>
        <v>1</v>
      </c>
      <c r="E110" s="13">
        <f t="shared" si="8"/>
        <v>0.99999999999999989</v>
      </c>
      <c r="F110" s="13">
        <f t="shared" si="8"/>
        <v>1.0000000000000002</v>
      </c>
      <c r="G110" s="13">
        <f t="shared" si="8"/>
        <v>1.0000000000000002</v>
      </c>
    </row>
  </sheetData>
  <dataValidations count="1">
    <dataValidation type="list" sqref="B4" xr:uid="{00000000-0002-0000-0700-000000000000}">
      <formula1>"Superinsulation,Electrification with PV"</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3"/>
  <sheetViews>
    <sheetView workbookViewId="0"/>
  </sheetViews>
  <sheetFormatPr defaultRowHeight="15" x14ac:dyDescent="0.25"/>
  <cols>
    <col min="1" max="1" width="70" customWidth="1"/>
    <col min="2" max="2" width="16" customWidth="1"/>
    <col min="3" max="3" width="22" customWidth="1"/>
  </cols>
  <sheetData>
    <row r="1" spans="1:3" ht="32.1" customHeight="1" x14ac:dyDescent="0.25">
      <c r="A1" s="6" t="s">
        <v>416</v>
      </c>
      <c r="B1" s="6" t="s">
        <v>417</v>
      </c>
      <c r="C1" s="6" t="s">
        <v>418</v>
      </c>
    </row>
    <row r="2" spans="1:3" x14ac:dyDescent="0.25">
      <c r="A2" t="s">
        <v>419</v>
      </c>
      <c r="B2">
        <f>SUM('SoBRCbIC-urbanresidential'!B2:BA2)</f>
        <v>1</v>
      </c>
      <c r="C2">
        <f t="shared" ref="C2:C19" si="0">IF(AND(ABS(B2-1)&gt;0.000000001,ABS(B2)&gt;0.000000001),1,0)</f>
        <v>0</v>
      </c>
    </row>
    <row r="3" spans="1:3" x14ac:dyDescent="0.25">
      <c r="A3" t="s">
        <v>420</v>
      </c>
      <c r="B3">
        <f>SUM('SoBRCbIC-urbanresidential'!B3:BA3)</f>
        <v>0.99999999999999989</v>
      </c>
      <c r="C3">
        <f t="shared" si="0"/>
        <v>0</v>
      </c>
    </row>
    <row r="4" spans="1:3" x14ac:dyDescent="0.25">
      <c r="A4" t="s">
        <v>421</v>
      </c>
      <c r="B4">
        <f>SUM('SoBRCbIC-urbanresidential'!B4:BA4)</f>
        <v>0</v>
      </c>
      <c r="C4">
        <f t="shared" si="0"/>
        <v>0</v>
      </c>
    </row>
    <row r="5" spans="1:3" x14ac:dyDescent="0.25">
      <c r="A5" t="s">
        <v>422</v>
      </c>
      <c r="B5">
        <f>SUM('SoBRCbIC-urbanresidential'!B5:BA5)</f>
        <v>1</v>
      </c>
      <c r="C5">
        <f t="shared" si="0"/>
        <v>0</v>
      </c>
    </row>
    <row r="6" spans="1:3" x14ac:dyDescent="0.25">
      <c r="A6" t="s">
        <v>423</v>
      </c>
      <c r="B6">
        <f>SUM('SoBRCbIC-urbanresidential'!B6:BA6)</f>
        <v>1</v>
      </c>
      <c r="C6">
        <f t="shared" si="0"/>
        <v>0</v>
      </c>
    </row>
    <row r="7" spans="1:3" x14ac:dyDescent="0.25">
      <c r="A7" t="s">
        <v>424</v>
      </c>
      <c r="B7">
        <f>SUM('SoBRCbIC-urbanresidential'!B7:BA7)</f>
        <v>1</v>
      </c>
      <c r="C7">
        <f t="shared" si="0"/>
        <v>0</v>
      </c>
    </row>
    <row r="8" spans="1:3" x14ac:dyDescent="0.25">
      <c r="A8" t="s">
        <v>425</v>
      </c>
      <c r="B8">
        <f>SUM('SoBRCbIC-ruralresidential'!B2:BA2)</f>
        <v>1</v>
      </c>
      <c r="C8">
        <f t="shared" si="0"/>
        <v>0</v>
      </c>
    </row>
    <row r="9" spans="1:3" x14ac:dyDescent="0.25">
      <c r="A9" t="s">
        <v>426</v>
      </c>
      <c r="B9">
        <f>SUM('SoBRCbIC-ruralresidential'!B3:BA3)</f>
        <v>0.99999999999999989</v>
      </c>
      <c r="C9">
        <f t="shared" si="0"/>
        <v>0</v>
      </c>
    </row>
    <row r="10" spans="1:3" x14ac:dyDescent="0.25">
      <c r="A10" t="s">
        <v>427</v>
      </c>
      <c r="B10">
        <f>SUM('SoBRCbIC-ruralresidential'!B4:BA4)</f>
        <v>0</v>
      </c>
      <c r="C10">
        <f t="shared" si="0"/>
        <v>0</v>
      </c>
    </row>
    <row r="11" spans="1:3" x14ac:dyDescent="0.25">
      <c r="A11" t="s">
        <v>428</v>
      </c>
      <c r="B11">
        <f>SUM('SoBRCbIC-ruralresidential'!B5:BA5)</f>
        <v>1</v>
      </c>
      <c r="C11">
        <f t="shared" si="0"/>
        <v>0</v>
      </c>
    </row>
    <row r="12" spans="1:3" x14ac:dyDescent="0.25">
      <c r="A12" t="s">
        <v>429</v>
      </c>
      <c r="B12">
        <f>SUM('SoBRCbIC-ruralresidential'!B6:BA6)</f>
        <v>1</v>
      </c>
      <c r="C12">
        <f t="shared" si="0"/>
        <v>0</v>
      </c>
    </row>
    <row r="13" spans="1:3" x14ac:dyDescent="0.25">
      <c r="A13" t="s">
        <v>430</v>
      </c>
      <c r="B13">
        <f>SUM('SoBRCbIC-ruralresidential'!B7:BA7)</f>
        <v>1</v>
      </c>
      <c r="C13">
        <f t="shared" si="0"/>
        <v>0</v>
      </c>
    </row>
    <row r="14" spans="1:3" x14ac:dyDescent="0.25">
      <c r="A14" t="s">
        <v>431</v>
      </c>
      <c r="B14">
        <f>SUM('SoBRCbIC-commercial'!B2:BA2)</f>
        <v>1.0000000000000002</v>
      </c>
      <c r="C14">
        <f t="shared" si="0"/>
        <v>0</v>
      </c>
    </row>
    <row r="15" spans="1:3" x14ac:dyDescent="0.25">
      <c r="A15" t="s">
        <v>432</v>
      </c>
      <c r="B15">
        <f>SUM('SoBRCbIC-commercial'!B3:BA3)</f>
        <v>1.0000000000000002</v>
      </c>
      <c r="C15">
        <f t="shared" si="0"/>
        <v>0</v>
      </c>
    </row>
    <row r="16" spans="1:3" x14ac:dyDescent="0.25">
      <c r="A16" t="s">
        <v>433</v>
      </c>
      <c r="B16">
        <f>SUM('SoBRCbIC-commercial'!B4:BA4)</f>
        <v>0</v>
      </c>
      <c r="C16">
        <f t="shared" si="0"/>
        <v>0</v>
      </c>
    </row>
    <row r="17" spans="1:3" x14ac:dyDescent="0.25">
      <c r="A17" t="s">
        <v>434</v>
      </c>
      <c r="B17">
        <f>SUM('SoBRCbIC-commercial'!B5:BA5)</f>
        <v>1</v>
      </c>
      <c r="C17">
        <f t="shared" si="0"/>
        <v>0</v>
      </c>
    </row>
    <row r="18" spans="1:3" x14ac:dyDescent="0.25">
      <c r="A18" t="s">
        <v>435</v>
      </c>
      <c r="B18">
        <f>SUM('SoBRCbIC-commercial'!B6:BA6)</f>
        <v>1</v>
      </c>
      <c r="C18">
        <f t="shared" si="0"/>
        <v>0</v>
      </c>
    </row>
    <row r="19" spans="1:3" x14ac:dyDescent="0.25">
      <c r="A19" t="s">
        <v>436</v>
      </c>
      <c r="B19">
        <f>SUM('SoBRCbIC-commercial'!B7:BA7)</f>
        <v>1</v>
      </c>
      <c r="C19">
        <f t="shared" si="0"/>
        <v>0</v>
      </c>
    </row>
    <row r="20" spans="1:3" x14ac:dyDescent="0.25">
      <c r="A20" t="s">
        <v>437</v>
      </c>
      <c r="B20">
        <f>INDEX('EPS Inputs'!$B$5:$BA$5,MATCH("ISIC 28",'EPS Inputs'!$B$4:$BA$4,0))+INDEX('EPS Inputs'!$B$5:$BA$5,MATCH("ISIC 41T43",'EPS Inputs'!$B$4:$BA$4,0))</f>
        <v>1</v>
      </c>
      <c r="C20">
        <f t="shared" ref="C20:C25" si="1">IF(ABS(B20-1)&gt;0.000000001,1,0)</f>
        <v>0</v>
      </c>
    </row>
    <row r="21" spans="1:3" x14ac:dyDescent="0.25">
      <c r="A21" t="s">
        <v>438</v>
      </c>
      <c r="B21">
        <f>INDEX('EPS Inputs'!$B$6:$BA$6,MATCH("ISIC 28",'EPS Inputs'!$B$4:$BA$4,0))+INDEX('EPS Inputs'!$B$6:$BA$6,MATCH("ISIC 41T43",'EPS Inputs'!$B$4:$BA$4,0))</f>
        <v>1</v>
      </c>
      <c r="C21">
        <f t="shared" si="1"/>
        <v>0</v>
      </c>
    </row>
    <row r="22" spans="1:3" x14ac:dyDescent="0.25">
      <c r="A22" t="s">
        <v>439</v>
      </c>
      <c r="B22">
        <f>INDEX('EPS Inputs'!$B$14:$BA$14,MATCH("ISIC 28",'EPS Inputs'!$B$13:$BA$13,0))+INDEX('EPS Inputs'!$B$14:$BA$14,MATCH("ISIC 41T43",'EPS Inputs'!$B$13:$BA$13,0))</f>
        <v>1</v>
      </c>
      <c r="C22">
        <f t="shared" si="1"/>
        <v>0</v>
      </c>
    </row>
    <row r="23" spans="1:3" x14ac:dyDescent="0.25">
      <c r="A23" t="s">
        <v>440</v>
      </c>
      <c r="B23">
        <f>INDEX('EPS Inputs'!$B$15:$BA$15,MATCH("ISIC 28",'EPS Inputs'!$B$13:$BA$13,0))+INDEX('EPS Inputs'!$B$15:$BA$15,MATCH("ISIC 41T43",'EPS Inputs'!$B$13:$BA$13,0))</f>
        <v>1</v>
      </c>
      <c r="C23">
        <f t="shared" si="1"/>
        <v>0</v>
      </c>
    </row>
    <row r="24" spans="1:3" x14ac:dyDescent="0.25">
      <c r="A24" t="s">
        <v>441</v>
      </c>
      <c r="B24">
        <f>Calcs!U51+Calcs!V51</f>
        <v>1.0000000000000002</v>
      </c>
      <c r="C24">
        <f t="shared" si="1"/>
        <v>0</v>
      </c>
    </row>
    <row r="25" spans="1:3" x14ac:dyDescent="0.25">
      <c r="A25" t="s">
        <v>442</v>
      </c>
      <c r="B25">
        <f>SUM(Calcs!D32:D36)</f>
        <v>1.0000000000000002</v>
      </c>
      <c r="C25">
        <f t="shared" si="1"/>
        <v>0</v>
      </c>
    </row>
    <row r="26" spans="1:3" x14ac:dyDescent="0.25">
      <c r="A26" t="s">
        <v>443</v>
      </c>
      <c r="B26">
        <f>Calcs!B16</f>
        <v>0.81818012870782386</v>
      </c>
      <c r="C26">
        <f>IF(OR(B26&lt;0,B26&gt;1),1,0)</f>
        <v>0</v>
      </c>
    </row>
    <row r="27" spans="1:3" x14ac:dyDescent="0.25">
      <c r="A27" t="s">
        <v>444</v>
      </c>
      <c r="B27">
        <f>Calcs!H21+Calcs!I21+Calcs!J21</f>
        <v>1</v>
      </c>
      <c r="C27">
        <f>IF(ABS(B27-1)&gt;0.000000001,1,0)</f>
        <v>0</v>
      </c>
    </row>
    <row r="28" spans="1:3" x14ac:dyDescent="0.25">
      <c r="A28" t="s">
        <v>445</v>
      </c>
      <c r="B28">
        <f>Calcs!H22+Calcs!I22+Calcs!J22</f>
        <v>1</v>
      </c>
      <c r="C28">
        <f>IF(ABS(B28-1)&gt;0.000000001,1,0)</f>
        <v>0</v>
      </c>
    </row>
    <row r="29" spans="1:3" x14ac:dyDescent="0.25">
      <c r="A29" t="s">
        <v>446</v>
      </c>
      <c r="B29">
        <f>Calcs!H23+Calcs!I23+Calcs!J23</f>
        <v>1</v>
      </c>
      <c r="C29">
        <f>IF(ABS(B29-1)&gt;0.000000001,1,0)</f>
        <v>0</v>
      </c>
    </row>
    <row r="30" spans="1:3" x14ac:dyDescent="0.25">
      <c r="A30" t="s">
        <v>447</v>
      </c>
      <c r="B30">
        <f>Calcs!H24+Calcs!I24+Calcs!J24</f>
        <v>1</v>
      </c>
      <c r="C30">
        <f>IF(ABS(B30-1)&gt;0.000000001,1,0)</f>
        <v>0</v>
      </c>
    </row>
    <row r="31" spans="1:3" x14ac:dyDescent="0.25">
      <c r="A31" t="s">
        <v>448</v>
      </c>
      <c r="B31">
        <f>Calcs!H25+Calcs!I25+Calcs!J25</f>
        <v>1</v>
      </c>
      <c r="C31">
        <f>IF(ABS(B31-1)&gt;0.000000001,1,0)</f>
        <v>0</v>
      </c>
    </row>
    <row r="33" spans="1:3" x14ac:dyDescent="0.25">
      <c r="A33" s="1" t="s">
        <v>449</v>
      </c>
      <c r="C33" s="1">
        <f>SUM(C2:C31)</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A7"/>
  <sheetViews>
    <sheetView workbookViewId="0"/>
  </sheetViews>
  <sheetFormatPr defaultRowHeight="15" x14ac:dyDescent="0.25"/>
  <sheetData>
    <row r="1" spans="1:53" x14ac:dyDescent="0.25">
      <c r="A1" t="s">
        <v>231</v>
      </c>
      <c r="B1" t="s">
        <v>232</v>
      </c>
      <c r="C1" t="s">
        <v>233</v>
      </c>
      <c r="D1" t="s">
        <v>234</v>
      </c>
      <c r="E1" t="s">
        <v>235</v>
      </c>
      <c r="F1" t="s">
        <v>236</v>
      </c>
      <c r="G1" t="s">
        <v>237</v>
      </c>
      <c r="H1" t="s">
        <v>238</v>
      </c>
      <c r="I1" t="s">
        <v>239</v>
      </c>
      <c r="J1" t="s">
        <v>240</v>
      </c>
      <c r="K1" t="s">
        <v>241</v>
      </c>
      <c r="L1" t="s">
        <v>242</v>
      </c>
      <c r="M1" t="s">
        <v>243</v>
      </c>
      <c r="N1" t="s">
        <v>244</v>
      </c>
      <c r="O1" t="s">
        <v>245</v>
      </c>
      <c r="P1" t="s">
        <v>246</v>
      </c>
      <c r="Q1" t="s">
        <v>247</v>
      </c>
      <c r="R1" t="s">
        <v>248</v>
      </c>
      <c r="S1" t="s">
        <v>249</v>
      </c>
      <c r="T1" t="s">
        <v>250</v>
      </c>
      <c r="U1" t="s">
        <v>251</v>
      </c>
      <c r="V1" t="s">
        <v>252</v>
      </c>
      <c r="W1" t="s">
        <v>253</v>
      </c>
      <c r="X1" t="s">
        <v>254</v>
      </c>
      <c r="Y1" t="s">
        <v>255</v>
      </c>
      <c r="Z1" t="s">
        <v>256</v>
      </c>
      <c r="AA1" t="s">
        <v>257</v>
      </c>
      <c r="AB1" t="s">
        <v>258</v>
      </c>
      <c r="AC1" t="s">
        <v>259</v>
      </c>
      <c r="AD1" t="s">
        <v>260</v>
      </c>
      <c r="AE1" t="s">
        <v>261</v>
      </c>
      <c r="AF1" t="s">
        <v>262</v>
      </c>
      <c r="AG1" t="s">
        <v>263</v>
      </c>
      <c r="AH1" t="s">
        <v>264</v>
      </c>
      <c r="AI1" t="s">
        <v>265</v>
      </c>
      <c r="AJ1" t="s">
        <v>266</v>
      </c>
      <c r="AK1" t="s">
        <v>267</v>
      </c>
      <c r="AL1" t="s">
        <v>268</v>
      </c>
      <c r="AM1" t="s">
        <v>269</v>
      </c>
      <c r="AN1" t="s">
        <v>270</v>
      </c>
      <c r="AO1" t="s">
        <v>271</v>
      </c>
      <c r="AP1" t="s">
        <v>272</v>
      </c>
      <c r="AQ1" t="s">
        <v>273</v>
      </c>
      <c r="AR1" t="s">
        <v>274</v>
      </c>
      <c r="AS1" t="s">
        <v>275</v>
      </c>
      <c r="AT1" t="s">
        <v>276</v>
      </c>
      <c r="AU1" t="s">
        <v>277</v>
      </c>
      <c r="AV1" t="s">
        <v>278</v>
      </c>
      <c r="AW1" t="s">
        <v>279</v>
      </c>
      <c r="AX1" t="s">
        <v>280</v>
      </c>
      <c r="AY1" t="s">
        <v>281</v>
      </c>
      <c r="AZ1" t="s">
        <v>282</v>
      </c>
      <c r="BA1" t="s">
        <v>283</v>
      </c>
    </row>
    <row r="2" spans="1:53" x14ac:dyDescent="0.25">
      <c r="A2" t="s">
        <v>284</v>
      </c>
      <c r="B2">
        <f>INDEX(Calcs!$B$58:$B$109,MATCH(B$1,Calcs!$A$58:$A$109,0))</f>
        <v>0</v>
      </c>
      <c r="C2">
        <f>INDEX(Calcs!$B$58:$B$109,MATCH(C$1,Calcs!$A$58:$A$109,0))</f>
        <v>0</v>
      </c>
      <c r="D2">
        <f>INDEX(Calcs!$B$58:$B$109,MATCH(D$1,Calcs!$A$58:$A$109,0))</f>
        <v>0</v>
      </c>
      <c r="E2">
        <f>INDEX(Calcs!$B$58:$B$109,MATCH(E$1,Calcs!$A$58:$A$109,0))</f>
        <v>0</v>
      </c>
      <c r="F2">
        <f>INDEX(Calcs!$B$58:$B$109,MATCH(F$1,Calcs!$A$58:$A$109,0))</f>
        <v>0</v>
      </c>
      <c r="G2">
        <f>INDEX(Calcs!$B$58:$B$109,MATCH(G$1,Calcs!$A$58:$A$109,0))</f>
        <v>0</v>
      </c>
      <c r="H2">
        <f>INDEX(Calcs!$B$58:$B$109,MATCH(H$1,Calcs!$A$58:$A$109,0))</f>
        <v>0</v>
      </c>
      <c r="I2">
        <f>INDEX(Calcs!$B$58:$B$109,MATCH(I$1,Calcs!$A$58:$A$109,0))</f>
        <v>0</v>
      </c>
      <c r="J2">
        <f>INDEX(Calcs!$B$58:$B$109,MATCH(J$1,Calcs!$A$58:$A$109,0))</f>
        <v>0</v>
      </c>
      <c r="K2">
        <f>INDEX(Calcs!$B$58:$B$109,MATCH(K$1,Calcs!$A$58:$A$109,0))</f>
        <v>0</v>
      </c>
      <c r="L2">
        <f>INDEX(Calcs!$B$58:$B$109,MATCH(L$1,Calcs!$A$58:$A$109,0))</f>
        <v>0</v>
      </c>
      <c r="M2">
        <f>INDEX(Calcs!$B$58:$B$109,MATCH(M$1,Calcs!$A$58:$A$109,0))</f>
        <v>0</v>
      </c>
      <c r="N2">
        <f>INDEX(Calcs!$B$58:$B$109,MATCH(N$1,Calcs!$A$58:$A$109,0))</f>
        <v>0</v>
      </c>
      <c r="O2">
        <f>INDEX(Calcs!$B$58:$B$109,MATCH(O$1,Calcs!$A$58:$A$109,0))</f>
        <v>0</v>
      </c>
      <c r="P2">
        <f>INDEX(Calcs!$B$58:$B$109,MATCH(P$1,Calcs!$A$58:$A$109,0))</f>
        <v>0</v>
      </c>
      <c r="Q2">
        <f>INDEX(Calcs!$B$58:$B$109,MATCH(Q$1,Calcs!$A$58:$A$109,0))</f>
        <v>0</v>
      </c>
      <c r="R2">
        <f>INDEX(Calcs!$B$58:$B$109,MATCH(R$1,Calcs!$A$58:$A$109,0))</f>
        <v>0</v>
      </c>
      <c r="S2">
        <f>INDEX(Calcs!$B$58:$B$109,MATCH(S$1,Calcs!$A$58:$A$109,0))</f>
        <v>0</v>
      </c>
      <c r="T2">
        <f>INDEX(Calcs!$B$58:$B$109,MATCH(T$1,Calcs!$A$58:$A$109,0))</f>
        <v>0</v>
      </c>
      <c r="U2">
        <f>INDEX(Calcs!$B$58:$B$109,MATCH(U$1,Calcs!$A$58:$A$109,0))</f>
        <v>0</v>
      </c>
      <c r="V2">
        <f>INDEX(Calcs!$B$58:$B$109,MATCH(V$1,Calcs!$A$58:$A$109,0))</f>
        <v>0</v>
      </c>
      <c r="W2">
        <f>INDEX(Calcs!$B$58:$B$109,MATCH(W$1,Calcs!$A$58:$A$109,0))</f>
        <v>0</v>
      </c>
      <c r="X2">
        <f>INDEX(Calcs!$B$58:$B$109,MATCH(X$1,Calcs!$A$58:$A$109,0))</f>
        <v>0</v>
      </c>
      <c r="Y2">
        <f>INDEX(Calcs!$B$58:$B$109,MATCH(Y$1,Calcs!$A$58:$A$109,0))</f>
        <v>5.7242345388619567E-2</v>
      </c>
      <c r="Z2">
        <f>INDEX(Calcs!$B$58:$B$109,MATCH(Z$1,Calcs!$A$58:$A$109,0))</f>
        <v>0</v>
      </c>
      <c r="AA2">
        <f>INDEX(Calcs!$B$58:$B$109,MATCH(AA$1,Calcs!$A$58:$A$109,0))</f>
        <v>0</v>
      </c>
      <c r="AB2">
        <f>INDEX(Calcs!$B$58:$B$109,MATCH(AB$1,Calcs!$A$58:$A$109,0))</f>
        <v>0</v>
      </c>
      <c r="AC2">
        <f>INDEX(Calcs!$B$58:$B$109,MATCH(AC$1,Calcs!$A$58:$A$109,0))</f>
        <v>0</v>
      </c>
      <c r="AD2">
        <f>INDEX(Calcs!$B$58:$B$109,MATCH(AD$1,Calcs!$A$58:$A$109,0))</f>
        <v>0</v>
      </c>
      <c r="AE2">
        <f>INDEX(Calcs!$B$58:$B$109,MATCH(AE$1,Calcs!$A$58:$A$109,0))</f>
        <v>0</v>
      </c>
      <c r="AF2">
        <f>INDEX(Calcs!$B$58:$B$109,MATCH(AF$1,Calcs!$A$58:$A$109,0))</f>
        <v>0</v>
      </c>
      <c r="AG2">
        <f>INDEX(Calcs!$B$58:$B$109,MATCH(AG$1,Calcs!$A$58:$A$109,0))</f>
        <v>0.89994793013228491</v>
      </c>
      <c r="AH2">
        <f>INDEX(Calcs!$B$58:$B$109,MATCH(AH$1,Calcs!$A$58:$A$109,0))</f>
        <v>4.1150054430875181E-2</v>
      </c>
      <c r="AI2">
        <f>INDEX(Calcs!$B$58:$B$109,MATCH(AI$1,Calcs!$A$58:$A$109,0))</f>
        <v>1.6596700482203511E-3</v>
      </c>
      <c r="AJ2">
        <f>INDEX(Calcs!$B$58:$B$109,MATCH(AJ$1,Calcs!$A$58:$A$109,0))</f>
        <v>0</v>
      </c>
      <c r="AK2">
        <f>INDEX(Calcs!$B$58:$B$109,MATCH(AK$1,Calcs!$A$58:$A$109,0))</f>
        <v>0</v>
      </c>
      <c r="AL2">
        <f>INDEX(Calcs!$B$58:$B$109,MATCH(AL$1,Calcs!$A$58:$A$109,0))</f>
        <v>0</v>
      </c>
      <c r="AM2">
        <f>INDEX(Calcs!$B$58:$B$109,MATCH(AM$1,Calcs!$A$58:$A$109,0))</f>
        <v>0</v>
      </c>
      <c r="AN2">
        <f>INDEX(Calcs!$B$58:$B$109,MATCH(AN$1,Calcs!$A$58:$A$109,0))</f>
        <v>0</v>
      </c>
      <c r="AO2">
        <f>INDEX(Calcs!$B$58:$B$109,MATCH(AO$1,Calcs!$A$58:$A$109,0))</f>
        <v>0</v>
      </c>
      <c r="AP2">
        <f>INDEX(Calcs!$B$58:$B$109,MATCH(AP$1,Calcs!$A$58:$A$109,0))</f>
        <v>0</v>
      </c>
      <c r="AQ2">
        <f>INDEX(Calcs!$B$58:$B$109,MATCH(AQ$1,Calcs!$A$58:$A$109,0))</f>
        <v>0</v>
      </c>
      <c r="AR2">
        <f>INDEX(Calcs!$B$58:$B$109,MATCH(AR$1,Calcs!$A$58:$A$109,0))</f>
        <v>0</v>
      </c>
      <c r="AS2">
        <f>INDEX(Calcs!$B$58:$B$109,MATCH(AS$1,Calcs!$A$58:$A$109,0))</f>
        <v>0</v>
      </c>
      <c r="AT2">
        <f>INDEX(Calcs!$B$58:$B$109,MATCH(AT$1,Calcs!$A$58:$A$109,0))</f>
        <v>0</v>
      </c>
      <c r="AU2">
        <f>INDEX(Calcs!$B$58:$B$109,MATCH(AU$1,Calcs!$A$58:$A$109,0))</f>
        <v>0</v>
      </c>
      <c r="AV2">
        <f>INDEX(Calcs!$B$58:$B$109,MATCH(AV$1,Calcs!$A$58:$A$109,0))</f>
        <v>0</v>
      </c>
      <c r="AW2">
        <f>INDEX(Calcs!$B$58:$B$109,MATCH(AW$1,Calcs!$A$58:$A$109,0))</f>
        <v>0</v>
      </c>
      <c r="AX2">
        <f>INDEX(Calcs!$B$58:$B$109,MATCH(AX$1,Calcs!$A$58:$A$109,0))</f>
        <v>0</v>
      </c>
      <c r="AY2">
        <f>INDEX(Calcs!$B$58:$B$109,MATCH(AY$1,Calcs!$A$58:$A$109,0))</f>
        <v>0</v>
      </c>
      <c r="AZ2">
        <f>INDEX(Calcs!$B$58:$B$109,MATCH(AZ$1,Calcs!$A$58:$A$109,0))</f>
        <v>0</v>
      </c>
      <c r="BA2">
        <f>INDEX(Calcs!$B$58:$B$109,MATCH(BA$1,Calcs!$A$58:$A$109,0))</f>
        <v>0</v>
      </c>
    </row>
    <row r="3" spans="1:53" x14ac:dyDescent="0.25">
      <c r="A3" t="s">
        <v>285</v>
      </c>
      <c r="B3">
        <f>INDEX(Calcs!$C$58:$C$109,MATCH(B$1,Calcs!$A$58:$A$109,0))</f>
        <v>0</v>
      </c>
      <c r="C3">
        <f>INDEX(Calcs!$C$58:$C$109,MATCH(C$1,Calcs!$A$58:$A$109,0))</f>
        <v>0</v>
      </c>
      <c r="D3">
        <f>INDEX(Calcs!$C$58:$C$109,MATCH(D$1,Calcs!$A$58:$A$109,0))</f>
        <v>0</v>
      </c>
      <c r="E3">
        <f>INDEX(Calcs!$C$58:$C$109,MATCH(E$1,Calcs!$A$58:$A$109,0))</f>
        <v>0</v>
      </c>
      <c r="F3">
        <f>INDEX(Calcs!$C$58:$C$109,MATCH(F$1,Calcs!$A$58:$A$109,0))</f>
        <v>0</v>
      </c>
      <c r="G3">
        <f>INDEX(Calcs!$C$58:$C$109,MATCH(G$1,Calcs!$A$58:$A$109,0))</f>
        <v>0</v>
      </c>
      <c r="H3">
        <f>INDEX(Calcs!$C$58:$C$109,MATCH(H$1,Calcs!$A$58:$A$109,0))</f>
        <v>0</v>
      </c>
      <c r="I3">
        <f>INDEX(Calcs!$C$58:$C$109,MATCH(I$1,Calcs!$A$58:$A$109,0))</f>
        <v>0</v>
      </c>
      <c r="J3">
        <f>INDEX(Calcs!$C$58:$C$109,MATCH(J$1,Calcs!$A$58:$A$109,0))</f>
        <v>0</v>
      </c>
      <c r="K3">
        <f>INDEX(Calcs!$C$58:$C$109,MATCH(K$1,Calcs!$A$58:$A$109,0))</f>
        <v>0</v>
      </c>
      <c r="L3">
        <f>INDEX(Calcs!$C$58:$C$109,MATCH(L$1,Calcs!$A$58:$A$109,0))</f>
        <v>0</v>
      </c>
      <c r="M3">
        <f>INDEX(Calcs!$C$58:$C$109,MATCH(M$1,Calcs!$A$58:$A$109,0))</f>
        <v>0</v>
      </c>
      <c r="N3">
        <f>INDEX(Calcs!$C$58:$C$109,MATCH(N$1,Calcs!$A$58:$A$109,0))</f>
        <v>0</v>
      </c>
      <c r="O3">
        <f>INDEX(Calcs!$C$58:$C$109,MATCH(O$1,Calcs!$A$58:$A$109,0))</f>
        <v>0</v>
      </c>
      <c r="P3">
        <f>INDEX(Calcs!$C$58:$C$109,MATCH(P$1,Calcs!$A$58:$A$109,0))</f>
        <v>0</v>
      </c>
      <c r="Q3">
        <f>INDEX(Calcs!$C$58:$C$109,MATCH(Q$1,Calcs!$A$58:$A$109,0))</f>
        <v>0</v>
      </c>
      <c r="R3">
        <f>INDEX(Calcs!$C$58:$C$109,MATCH(R$1,Calcs!$A$58:$A$109,0))</f>
        <v>0</v>
      </c>
      <c r="S3">
        <f>INDEX(Calcs!$C$58:$C$109,MATCH(S$1,Calcs!$A$58:$A$109,0))</f>
        <v>0</v>
      </c>
      <c r="T3">
        <f>INDEX(Calcs!$C$58:$C$109,MATCH(T$1,Calcs!$A$58:$A$109,0))</f>
        <v>0</v>
      </c>
      <c r="U3">
        <f>INDEX(Calcs!$C$58:$C$109,MATCH(U$1,Calcs!$A$58:$A$109,0))</f>
        <v>0</v>
      </c>
      <c r="V3">
        <f>INDEX(Calcs!$C$58:$C$109,MATCH(V$1,Calcs!$A$58:$A$109,0))</f>
        <v>0</v>
      </c>
      <c r="W3">
        <f>INDEX(Calcs!$C$58:$C$109,MATCH(W$1,Calcs!$A$58:$A$109,0))</f>
        <v>0</v>
      </c>
      <c r="X3">
        <f>INDEX(Calcs!$C$58:$C$109,MATCH(X$1,Calcs!$A$58:$A$109,0))</f>
        <v>0</v>
      </c>
      <c r="Y3">
        <f>INDEX(Calcs!$C$58:$C$109,MATCH(Y$1,Calcs!$A$58:$A$109,0))</f>
        <v>7.6587069426419727E-2</v>
      </c>
      <c r="Z3">
        <f>INDEX(Calcs!$C$58:$C$109,MATCH(Z$1,Calcs!$A$58:$A$109,0))</f>
        <v>0</v>
      </c>
      <c r="AA3">
        <f>INDEX(Calcs!$C$58:$C$109,MATCH(AA$1,Calcs!$A$58:$A$109,0))</f>
        <v>0</v>
      </c>
      <c r="AB3">
        <f>INDEX(Calcs!$C$58:$C$109,MATCH(AB$1,Calcs!$A$58:$A$109,0))</f>
        <v>0</v>
      </c>
      <c r="AC3">
        <f>INDEX(Calcs!$C$58:$C$109,MATCH(AC$1,Calcs!$A$58:$A$109,0))</f>
        <v>0</v>
      </c>
      <c r="AD3">
        <f>INDEX(Calcs!$C$58:$C$109,MATCH(AD$1,Calcs!$A$58:$A$109,0))</f>
        <v>0</v>
      </c>
      <c r="AE3">
        <f>INDEX(Calcs!$C$58:$C$109,MATCH(AE$1,Calcs!$A$58:$A$109,0))</f>
        <v>0</v>
      </c>
      <c r="AF3">
        <f>INDEX(Calcs!$C$58:$C$109,MATCH(AF$1,Calcs!$A$58:$A$109,0))</f>
        <v>0</v>
      </c>
      <c r="AG3">
        <f>INDEX(Calcs!$C$58:$C$109,MATCH(AG$1,Calcs!$A$58:$A$109,0))</f>
        <v>0.8661359039502402</v>
      </c>
      <c r="AH3">
        <f>INDEX(Calcs!$C$58:$C$109,MATCH(AH$1,Calcs!$A$58:$A$109,0))</f>
        <v>5.5056480551283551E-2</v>
      </c>
      <c r="AI3">
        <f>INDEX(Calcs!$C$58:$C$109,MATCH(AI$1,Calcs!$A$58:$A$109,0))</f>
        <v>2.220546072056513E-3</v>
      </c>
      <c r="AJ3">
        <f>INDEX(Calcs!$C$58:$C$109,MATCH(AJ$1,Calcs!$A$58:$A$109,0))</f>
        <v>0</v>
      </c>
      <c r="AK3">
        <f>INDEX(Calcs!$C$58:$C$109,MATCH(AK$1,Calcs!$A$58:$A$109,0))</f>
        <v>0</v>
      </c>
      <c r="AL3">
        <f>INDEX(Calcs!$C$58:$C$109,MATCH(AL$1,Calcs!$A$58:$A$109,0))</f>
        <v>0</v>
      </c>
      <c r="AM3">
        <f>INDEX(Calcs!$C$58:$C$109,MATCH(AM$1,Calcs!$A$58:$A$109,0))</f>
        <v>0</v>
      </c>
      <c r="AN3">
        <f>INDEX(Calcs!$C$58:$C$109,MATCH(AN$1,Calcs!$A$58:$A$109,0))</f>
        <v>0</v>
      </c>
      <c r="AO3">
        <f>INDEX(Calcs!$C$58:$C$109,MATCH(AO$1,Calcs!$A$58:$A$109,0))</f>
        <v>0</v>
      </c>
      <c r="AP3">
        <f>INDEX(Calcs!$C$58:$C$109,MATCH(AP$1,Calcs!$A$58:$A$109,0))</f>
        <v>0</v>
      </c>
      <c r="AQ3">
        <f>INDEX(Calcs!$C$58:$C$109,MATCH(AQ$1,Calcs!$A$58:$A$109,0))</f>
        <v>0</v>
      </c>
      <c r="AR3">
        <f>INDEX(Calcs!$C$58:$C$109,MATCH(AR$1,Calcs!$A$58:$A$109,0))</f>
        <v>0</v>
      </c>
      <c r="AS3">
        <f>INDEX(Calcs!$C$58:$C$109,MATCH(AS$1,Calcs!$A$58:$A$109,0))</f>
        <v>0</v>
      </c>
      <c r="AT3">
        <f>INDEX(Calcs!$C$58:$C$109,MATCH(AT$1,Calcs!$A$58:$A$109,0))</f>
        <v>0</v>
      </c>
      <c r="AU3">
        <f>INDEX(Calcs!$C$58:$C$109,MATCH(AU$1,Calcs!$A$58:$A$109,0))</f>
        <v>0</v>
      </c>
      <c r="AV3">
        <f>INDEX(Calcs!$C$58:$C$109,MATCH(AV$1,Calcs!$A$58:$A$109,0))</f>
        <v>0</v>
      </c>
      <c r="AW3">
        <f>INDEX(Calcs!$C$58:$C$109,MATCH(AW$1,Calcs!$A$58:$A$109,0))</f>
        <v>0</v>
      </c>
      <c r="AX3">
        <f>INDEX(Calcs!$C$58:$C$109,MATCH(AX$1,Calcs!$A$58:$A$109,0))</f>
        <v>0</v>
      </c>
      <c r="AY3">
        <f>INDEX(Calcs!$C$58:$C$109,MATCH(AY$1,Calcs!$A$58:$A$109,0))</f>
        <v>0</v>
      </c>
      <c r="AZ3">
        <f>INDEX(Calcs!$C$58:$C$109,MATCH(AZ$1,Calcs!$A$58:$A$109,0))</f>
        <v>0</v>
      </c>
      <c r="BA3">
        <f>INDEX(Calcs!$C$58:$C$109,MATCH(BA$1,Calcs!$A$58:$A$109,0))</f>
        <v>0</v>
      </c>
    </row>
    <row r="4" spans="1:53" x14ac:dyDescent="0.25">
      <c r="A4" t="s">
        <v>101</v>
      </c>
      <c r="B4">
        <f>'EPS Inputs'!B7</f>
        <v>0</v>
      </c>
      <c r="C4">
        <f>'EPS Inputs'!C7</f>
        <v>0</v>
      </c>
      <c r="D4">
        <f>'EPS Inputs'!D7</f>
        <v>0</v>
      </c>
      <c r="E4">
        <f>'EPS Inputs'!E7</f>
        <v>0</v>
      </c>
      <c r="F4">
        <f>'EPS Inputs'!F7</f>
        <v>0</v>
      </c>
      <c r="G4">
        <f>'EPS Inputs'!G7</f>
        <v>0</v>
      </c>
      <c r="H4">
        <f>'EPS Inputs'!H7</f>
        <v>0</v>
      </c>
      <c r="I4">
        <f>'EPS Inputs'!I7</f>
        <v>0</v>
      </c>
      <c r="J4">
        <f>'EPS Inputs'!J7</f>
        <v>0</v>
      </c>
      <c r="K4">
        <f>'EPS Inputs'!K7</f>
        <v>0</v>
      </c>
      <c r="L4">
        <f>'EPS Inputs'!L7</f>
        <v>0</v>
      </c>
      <c r="M4">
        <f>'EPS Inputs'!M7</f>
        <v>0</v>
      </c>
      <c r="N4">
        <f>'EPS Inputs'!N7</f>
        <v>0</v>
      </c>
      <c r="O4">
        <f>'EPS Inputs'!O7</f>
        <v>0</v>
      </c>
      <c r="P4">
        <f>'EPS Inputs'!P7</f>
        <v>0</v>
      </c>
      <c r="Q4">
        <f>'EPS Inputs'!Q7</f>
        <v>0</v>
      </c>
      <c r="R4">
        <f>'EPS Inputs'!R7</f>
        <v>0</v>
      </c>
      <c r="S4">
        <f>'EPS Inputs'!S7</f>
        <v>0</v>
      </c>
      <c r="T4">
        <f>'EPS Inputs'!T7</f>
        <v>0</v>
      </c>
      <c r="U4">
        <f>'EPS Inputs'!U7</f>
        <v>0</v>
      </c>
      <c r="V4">
        <f>'EPS Inputs'!V7</f>
        <v>0</v>
      </c>
      <c r="W4">
        <f>'EPS Inputs'!W7</f>
        <v>0</v>
      </c>
      <c r="X4">
        <f>'EPS Inputs'!X7</f>
        <v>0</v>
      </c>
      <c r="Y4">
        <f>'EPS Inputs'!Y7</f>
        <v>0</v>
      </c>
      <c r="Z4">
        <f>'EPS Inputs'!Z7</f>
        <v>0</v>
      </c>
      <c r="AA4">
        <f>'EPS Inputs'!AA7</f>
        <v>0</v>
      </c>
      <c r="AB4">
        <f>'EPS Inputs'!AB7</f>
        <v>0</v>
      </c>
      <c r="AC4">
        <f>'EPS Inputs'!AC7</f>
        <v>0</v>
      </c>
      <c r="AD4">
        <f>'EPS Inputs'!AD7</f>
        <v>0</v>
      </c>
      <c r="AE4">
        <f>'EPS Inputs'!AE7</f>
        <v>0</v>
      </c>
      <c r="AF4">
        <f>'EPS Inputs'!AF7</f>
        <v>0</v>
      </c>
      <c r="AG4">
        <f>'EPS Inputs'!AG7</f>
        <v>0</v>
      </c>
      <c r="AH4">
        <f>'EPS Inputs'!AH7</f>
        <v>0</v>
      </c>
      <c r="AI4">
        <f>'EPS Inputs'!AI7</f>
        <v>0</v>
      </c>
      <c r="AJ4">
        <f>'EPS Inputs'!AJ7</f>
        <v>0</v>
      </c>
      <c r="AK4">
        <f>'EPS Inputs'!AK7</f>
        <v>0</v>
      </c>
      <c r="AL4">
        <f>'EPS Inputs'!AL7</f>
        <v>0</v>
      </c>
      <c r="AM4">
        <f>'EPS Inputs'!AM7</f>
        <v>0</v>
      </c>
      <c r="AN4">
        <f>'EPS Inputs'!AN7</f>
        <v>0</v>
      </c>
      <c r="AO4">
        <f>'EPS Inputs'!AO7</f>
        <v>0</v>
      </c>
      <c r="AP4">
        <f>'EPS Inputs'!AP7</f>
        <v>0</v>
      </c>
      <c r="AQ4">
        <f>'EPS Inputs'!AQ7</f>
        <v>0</v>
      </c>
      <c r="AR4">
        <f>'EPS Inputs'!AR7</f>
        <v>0</v>
      </c>
      <c r="AS4">
        <f>'EPS Inputs'!AS7</f>
        <v>0</v>
      </c>
      <c r="AT4">
        <f>'EPS Inputs'!AT7</f>
        <v>0</v>
      </c>
      <c r="AU4">
        <f>'EPS Inputs'!AU7</f>
        <v>0</v>
      </c>
      <c r="AV4">
        <f>'EPS Inputs'!AV7</f>
        <v>0</v>
      </c>
      <c r="AW4">
        <f>'EPS Inputs'!AW7</f>
        <v>0</v>
      </c>
      <c r="AX4">
        <f>'EPS Inputs'!AX7</f>
        <v>0</v>
      </c>
      <c r="AY4">
        <f>'EPS Inputs'!AY7</f>
        <v>0</v>
      </c>
      <c r="AZ4">
        <f>'EPS Inputs'!AZ7</f>
        <v>0</v>
      </c>
      <c r="BA4">
        <f>'EPS Inputs'!BA7</f>
        <v>0</v>
      </c>
    </row>
    <row r="5" spans="1:53" x14ac:dyDescent="0.25">
      <c r="A5" t="s">
        <v>82</v>
      </c>
      <c r="B5">
        <f>'EPS Inputs'!B8</f>
        <v>0</v>
      </c>
      <c r="C5">
        <f>'EPS Inputs'!C8</f>
        <v>0</v>
      </c>
      <c r="D5">
        <f>'EPS Inputs'!D8</f>
        <v>0</v>
      </c>
      <c r="E5">
        <f>'EPS Inputs'!E8</f>
        <v>0</v>
      </c>
      <c r="F5">
        <f>'EPS Inputs'!F8</f>
        <v>0</v>
      </c>
      <c r="G5">
        <f>'EPS Inputs'!G8</f>
        <v>0</v>
      </c>
      <c r="H5">
        <f>'EPS Inputs'!H8</f>
        <v>0</v>
      </c>
      <c r="I5">
        <f>'EPS Inputs'!I8</f>
        <v>0</v>
      </c>
      <c r="J5">
        <f>'EPS Inputs'!J8</f>
        <v>0</v>
      </c>
      <c r="K5">
        <f>'EPS Inputs'!K8</f>
        <v>0</v>
      </c>
      <c r="L5">
        <f>'EPS Inputs'!L8</f>
        <v>0</v>
      </c>
      <c r="M5">
        <f>'EPS Inputs'!M8</f>
        <v>0</v>
      </c>
      <c r="N5">
        <f>'EPS Inputs'!N8</f>
        <v>0</v>
      </c>
      <c r="O5">
        <f>'EPS Inputs'!O8</f>
        <v>0</v>
      </c>
      <c r="P5">
        <f>'EPS Inputs'!P8</f>
        <v>0</v>
      </c>
      <c r="Q5">
        <f>'EPS Inputs'!Q8</f>
        <v>0</v>
      </c>
      <c r="R5">
        <f>'EPS Inputs'!R8</f>
        <v>0</v>
      </c>
      <c r="S5">
        <f>'EPS Inputs'!S8</f>
        <v>0</v>
      </c>
      <c r="T5">
        <f>'EPS Inputs'!T8</f>
        <v>0</v>
      </c>
      <c r="U5">
        <f>'EPS Inputs'!U8</f>
        <v>0</v>
      </c>
      <c r="V5">
        <f>'EPS Inputs'!V8</f>
        <v>0</v>
      </c>
      <c r="W5">
        <f>'EPS Inputs'!W8</f>
        <v>0</v>
      </c>
      <c r="X5">
        <f>'EPS Inputs'!X8</f>
        <v>1</v>
      </c>
      <c r="Y5">
        <f>'EPS Inputs'!Y8</f>
        <v>0</v>
      </c>
      <c r="Z5">
        <f>'EPS Inputs'!Z8</f>
        <v>0</v>
      </c>
      <c r="AA5">
        <f>'EPS Inputs'!AA8</f>
        <v>0</v>
      </c>
      <c r="AB5">
        <f>'EPS Inputs'!AB8</f>
        <v>0</v>
      </c>
      <c r="AC5">
        <f>'EPS Inputs'!AC8</f>
        <v>0</v>
      </c>
      <c r="AD5">
        <f>'EPS Inputs'!AD8</f>
        <v>0</v>
      </c>
      <c r="AE5">
        <f>'EPS Inputs'!AE8</f>
        <v>0</v>
      </c>
      <c r="AF5">
        <f>'EPS Inputs'!AF8</f>
        <v>0</v>
      </c>
      <c r="AG5">
        <f>'EPS Inputs'!AG8</f>
        <v>0</v>
      </c>
      <c r="AH5">
        <f>'EPS Inputs'!AH8</f>
        <v>0</v>
      </c>
      <c r="AI5">
        <f>'EPS Inputs'!AI8</f>
        <v>0</v>
      </c>
      <c r="AJ5">
        <f>'EPS Inputs'!AJ8</f>
        <v>0</v>
      </c>
      <c r="AK5">
        <f>'EPS Inputs'!AK8</f>
        <v>0</v>
      </c>
      <c r="AL5">
        <f>'EPS Inputs'!AL8</f>
        <v>0</v>
      </c>
      <c r="AM5">
        <f>'EPS Inputs'!AM8</f>
        <v>0</v>
      </c>
      <c r="AN5">
        <f>'EPS Inputs'!AN8</f>
        <v>0</v>
      </c>
      <c r="AO5">
        <f>'EPS Inputs'!AO8</f>
        <v>0</v>
      </c>
      <c r="AP5">
        <f>'EPS Inputs'!AP8</f>
        <v>0</v>
      </c>
      <c r="AQ5">
        <f>'EPS Inputs'!AQ8</f>
        <v>0</v>
      </c>
      <c r="AR5">
        <f>'EPS Inputs'!AR8</f>
        <v>0</v>
      </c>
      <c r="AS5">
        <f>'EPS Inputs'!AS8</f>
        <v>0</v>
      </c>
      <c r="AT5">
        <f>'EPS Inputs'!AT8</f>
        <v>0</v>
      </c>
      <c r="AU5">
        <f>'EPS Inputs'!AU8</f>
        <v>0</v>
      </c>
      <c r="AV5">
        <f>'EPS Inputs'!AV8</f>
        <v>0</v>
      </c>
      <c r="AW5">
        <f>'EPS Inputs'!AW8</f>
        <v>0</v>
      </c>
      <c r="AX5">
        <f>'EPS Inputs'!AX8</f>
        <v>0</v>
      </c>
      <c r="AY5">
        <f>'EPS Inputs'!AY8</f>
        <v>0</v>
      </c>
      <c r="AZ5">
        <f>'EPS Inputs'!AZ8</f>
        <v>0</v>
      </c>
      <c r="BA5">
        <f>'EPS Inputs'!BA8</f>
        <v>0</v>
      </c>
    </row>
    <row r="6" spans="1:53" x14ac:dyDescent="0.25">
      <c r="A6" t="s">
        <v>286</v>
      </c>
      <c r="B6">
        <f>'EPS Inputs'!B9</f>
        <v>0</v>
      </c>
      <c r="C6">
        <f>'EPS Inputs'!C9</f>
        <v>0</v>
      </c>
      <c r="D6">
        <f>'EPS Inputs'!D9</f>
        <v>0</v>
      </c>
      <c r="E6">
        <f>'EPS Inputs'!E9</f>
        <v>0</v>
      </c>
      <c r="F6">
        <f>'EPS Inputs'!F9</f>
        <v>0</v>
      </c>
      <c r="G6">
        <f>'EPS Inputs'!G9</f>
        <v>0</v>
      </c>
      <c r="H6">
        <f>'EPS Inputs'!H9</f>
        <v>0</v>
      </c>
      <c r="I6">
        <f>'EPS Inputs'!I9</f>
        <v>0</v>
      </c>
      <c r="J6">
        <f>'EPS Inputs'!J9</f>
        <v>0</v>
      </c>
      <c r="K6">
        <f>'EPS Inputs'!K9</f>
        <v>0</v>
      </c>
      <c r="L6">
        <f>'EPS Inputs'!L9</f>
        <v>0</v>
      </c>
      <c r="M6">
        <f>'EPS Inputs'!M9</f>
        <v>0</v>
      </c>
      <c r="N6">
        <f>'EPS Inputs'!N9</f>
        <v>0</v>
      </c>
      <c r="O6">
        <f>'EPS Inputs'!O9</f>
        <v>0</v>
      </c>
      <c r="P6">
        <f>'EPS Inputs'!P9</f>
        <v>0</v>
      </c>
      <c r="Q6">
        <f>'EPS Inputs'!Q9</f>
        <v>0</v>
      </c>
      <c r="R6">
        <f>'EPS Inputs'!R9</f>
        <v>0</v>
      </c>
      <c r="S6">
        <f>'EPS Inputs'!S9</f>
        <v>0</v>
      </c>
      <c r="T6">
        <f>'EPS Inputs'!T9</f>
        <v>0</v>
      </c>
      <c r="U6">
        <f>'EPS Inputs'!U9</f>
        <v>0</v>
      </c>
      <c r="V6">
        <f>'EPS Inputs'!V9</f>
        <v>0</v>
      </c>
      <c r="W6">
        <f>'EPS Inputs'!W9</f>
        <v>0</v>
      </c>
      <c r="X6">
        <f>'EPS Inputs'!X9</f>
        <v>0.75435141900000002</v>
      </c>
      <c r="Y6">
        <f>'EPS Inputs'!Y9</f>
        <v>0</v>
      </c>
      <c r="Z6">
        <f>'EPS Inputs'!Z9</f>
        <v>0</v>
      </c>
      <c r="AA6">
        <f>'EPS Inputs'!AA9</f>
        <v>0</v>
      </c>
      <c r="AB6">
        <f>'EPS Inputs'!AB9</f>
        <v>0</v>
      </c>
      <c r="AC6">
        <f>'EPS Inputs'!AC9</f>
        <v>0</v>
      </c>
      <c r="AD6">
        <f>'EPS Inputs'!AD9</f>
        <v>0</v>
      </c>
      <c r="AE6">
        <f>'EPS Inputs'!AE9</f>
        <v>0</v>
      </c>
      <c r="AF6">
        <f>'EPS Inputs'!AF9</f>
        <v>0</v>
      </c>
      <c r="AG6">
        <f>'EPS Inputs'!AG9</f>
        <v>0.245648581</v>
      </c>
      <c r="AH6">
        <f>'EPS Inputs'!AH9</f>
        <v>0</v>
      </c>
      <c r="AI6">
        <f>'EPS Inputs'!AI9</f>
        <v>0</v>
      </c>
      <c r="AJ6">
        <f>'EPS Inputs'!AJ9</f>
        <v>0</v>
      </c>
      <c r="AK6">
        <f>'EPS Inputs'!AK9</f>
        <v>0</v>
      </c>
      <c r="AL6">
        <f>'EPS Inputs'!AL9</f>
        <v>0</v>
      </c>
      <c r="AM6">
        <f>'EPS Inputs'!AM9</f>
        <v>0</v>
      </c>
      <c r="AN6">
        <f>'EPS Inputs'!AN9</f>
        <v>0</v>
      </c>
      <c r="AO6">
        <f>'EPS Inputs'!AO9</f>
        <v>0</v>
      </c>
      <c r="AP6">
        <f>'EPS Inputs'!AP9</f>
        <v>0</v>
      </c>
      <c r="AQ6">
        <f>'EPS Inputs'!AQ9</f>
        <v>0</v>
      </c>
      <c r="AR6">
        <f>'EPS Inputs'!AR9</f>
        <v>0</v>
      </c>
      <c r="AS6">
        <f>'EPS Inputs'!AS9</f>
        <v>0</v>
      </c>
      <c r="AT6">
        <f>'EPS Inputs'!AT9</f>
        <v>0</v>
      </c>
      <c r="AU6">
        <f>'EPS Inputs'!AU9</f>
        <v>0</v>
      </c>
      <c r="AV6">
        <f>'EPS Inputs'!AV9</f>
        <v>0</v>
      </c>
      <c r="AW6">
        <f>'EPS Inputs'!AW9</f>
        <v>0</v>
      </c>
      <c r="AX6">
        <f>'EPS Inputs'!AX9</f>
        <v>0</v>
      </c>
      <c r="AY6">
        <f>'EPS Inputs'!AY9</f>
        <v>0</v>
      </c>
      <c r="AZ6">
        <f>'EPS Inputs'!AZ9</f>
        <v>0</v>
      </c>
      <c r="BA6">
        <f>'EPS Inputs'!BA9</f>
        <v>0</v>
      </c>
    </row>
    <row r="7" spans="1:53" x14ac:dyDescent="0.25">
      <c r="A7" t="s">
        <v>104</v>
      </c>
      <c r="B7">
        <f>'EPS Inputs'!B10</f>
        <v>0</v>
      </c>
      <c r="C7">
        <f>'EPS Inputs'!C10</f>
        <v>0</v>
      </c>
      <c r="D7">
        <f>'EPS Inputs'!D10</f>
        <v>0</v>
      </c>
      <c r="E7">
        <f>'EPS Inputs'!E10</f>
        <v>0</v>
      </c>
      <c r="F7">
        <f>'EPS Inputs'!F10</f>
        <v>0</v>
      </c>
      <c r="G7">
        <f>'EPS Inputs'!G10</f>
        <v>0</v>
      </c>
      <c r="H7">
        <f>'EPS Inputs'!H10</f>
        <v>0</v>
      </c>
      <c r="I7">
        <f>'EPS Inputs'!I10</f>
        <v>0</v>
      </c>
      <c r="J7">
        <f>'EPS Inputs'!J10</f>
        <v>0</v>
      </c>
      <c r="K7">
        <f>'EPS Inputs'!K10</f>
        <v>0</v>
      </c>
      <c r="L7">
        <f>'EPS Inputs'!L10</f>
        <v>0</v>
      </c>
      <c r="M7">
        <f>'EPS Inputs'!M10</f>
        <v>0</v>
      </c>
      <c r="N7">
        <f>'EPS Inputs'!N10</f>
        <v>0</v>
      </c>
      <c r="O7">
        <f>'EPS Inputs'!O10</f>
        <v>0</v>
      </c>
      <c r="P7">
        <f>'EPS Inputs'!P10</f>
        <v>0</v>
      </c>
      <c r="Q7">
        <f>'EPS Inputs'!Q10</f>
        <v>0</v>
      </c>
      <c r="R7">
        <f>'EPS Inputs'!R10</f>
        <v>0</v>
      </c>
      <c r="S7">
        <f>'EPS Inputs'!S10</f>
        <v>0</v>
      </c>
      <c r="T7">
        <f>'EPS Inputs'!T10</f>
        <v>0</v>
      </c>
      <c r="U7">
        <f>'EPS Inputs'!U10</f>
        <v>0</v>
      </c>
      <c r="V7">
        <f>'EPS Inputs'!V10</f>
        <v>0</v>
      </c>
      <c r="W7">
        <f>'EPS Inputs'!W10</f>
        <v>0</v>
      </c>
      <c r="X7">
        <f>'EPS Inputs'!X10</f>
        <v>0.75435141900000002</v>
      </c>
      <c r="Y7">
        <f>'EPS Inputs'!Y10</f>
        <v>0</v>
      </c>
      <c r="Z7">
        <f>'EPS Inputs'!Z10</f>
        <v>0</v>
      </c>
      <c r="AA7">
        <f>'EPS Inputs'!AA10</f>
        <v>0</v>
      </c>
      <c r="AB7">
        <f>'EPS Inputs'!AB10</f>
        <v>0</v>
      </c>
      <c r="AC7">
        <f>'EPS Inputs'!AC10</f>
        <v>0</v>
      </c>
      <c r="AD7">
        <f>'EPS Inputs'!AD10</f>
        <v>0</v>
      </c>
      <c r="AE7">
        <f>'EPS Inputs'!AE10</f>
        <v>0</v>
      </c>
      <c r="AF7">
        <f>'EPS Inputs'!AF10</f>
        <v>0</v>
      </c>
      <c r="AG7">
        <f>'EPS Inputs'!AG10</f>
        <v>0.245648581</v>
      </c>
      <c r="AH7">
        <f>'EPS Inputs'!AH10</f>
        <v>0</v>
      </c>
      <c r="AI7">
        <f>'EPS Inputs'!AI10</f>
        <v>0</v>
      </c>
      <c r="AJ7">
        <f>'EPS Inputs'!AJ10</f>
        <v>0</v>
      </c>
      <c r="AK7">
        <f>'EPS Inputs'!AK10</f>
        <v>0</v>
      </c>
      <c r="AL7">
        <f>'EPS Inputs'!AL10</f>
        <v>0</v>
      </c>
      <c r="AM7">
        <f>'EPS Inputs'!AM10</f>
        <v>0</v>
      </c>
      <c r="AN7">
        <f>'EPS Inputs'!AN10</f>
        <v>0</v>
      </c>
      <c r="AO7">
        <f>'EPS Inputs'!AO10</f>
        <v>0</v>
      </c>
      <c r="AP7">
        <f>'EPS Inputs'!AP10</f>
        <v>0</v>
      </c>
      <c r="AQ7">
        <f>'EPS Inputs'!AQ10</f>
        <v>0</v>
      </c>
      <c r="AR7">
        <f>'EPS Inputs'!AR10</f>
        <v>0</v>
      </c>
      <c r="AS7">
        <f>'EPS Inputs'!AS10</f>
        <v>0</v>
      </c>
      <c r="AT7">
        <f>'EPS Inputs'!AT10</f>
        <v>0</v>
      </c>
      <c r="AU7">
        <f>'EPS Inputs'!AU10</f>
        <v>0</v>
      </c>
      <c r="AV7">
        <f>'EPS Inputs'!AV10</f>
        <v>0</v>
      </c>
      <c r="AW7">
        <f>'EPS Inputs'!AW10</f>
        <v>0</v>
      </c>
      <c r="AX7">
        <f>'EPS Inputs'!AX10</f>
        <v>0</v>
      </c>
      <c r="AY7">
        <f>'EPS Inputs'!AY10</f>
        <v>0</v>
      </c>
      <c r="AZ7">
        <f>'EPS Inputs'!AZ10</f>
        <v>0</v>
      </c>
      <c r="BA7">
        <f>'EPS Inputs'!BA10</f>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A7"/>
  <sheetViews>
    <sheetView workbookViewId="0"/>
  </sheetViews>
  <sheetFormatPr defaultRowHeight="15" x14ac:dyDescent="0.25"/>
  <sheetData>
    <row r="1" spans="1:53" x14ac:dyDescent="0.25">
      <c r="A1" t="s">
        <v>231</v>
      </c>
      <c r="B1" t="s">
        <v>232</v>
      </c>
      <c r="C1" t="s">
        <v>233</v>
      </c>
      <c r="D1" t="s">
        <v>234</v>
      </c>
      <c r="E1" t="s">
        <v>235</v>
      </c>
      <c r="F1" t="s">
        <v>236</v>
      </c>
      <c r="G1" t="s">
        <v>237</v>
      </c>
      <c r="H1" t="s">
        <v>238</v>
      </c>
      <c r="I1" t="s">
        <v>239</v>
      </c>
      <c r="J1" t="s">
        <v>240</v>
      </c>
      <c r="K1" t="s">
        <v>241</v>
      </c>
      <c r="L1" t="s">
        <v>242</v>
      </c>
      <c r="M1" t="s">
        <v>243</v>
      </c>
      <c r="N1" t="s">
        <v>244</v>
      </c>
      <c r="O1" t="s">
        <v>245</v>
      </c>
      <c r="P1" t="s">
        <v>246</v>
      </c>
      <c r="Q1" t="s">
        <v>247</v>
      </c>
      <c r="R1" t="s">
        <v>248</v>
      </c>
      <c r="S1" t="s">
        <v>249</v>
      </c>
      <c r="T1" t="s">
        <v>250</v>
      </c>
      <c r="U1" t="s">
        <v>251</v>
      </c>
      <c r="V1" t="s">
        <v>252</v>
      </c>
      <c r="W1" t="s">
        <v>253</v>
      </c>
      <c r="X1" t="s">
        <v>254</v>
      </c>
      <c r="Y1" t="s">
        <v>255</v>
      </c>
      <c r="Z1" t="s">
        <v>256</v>
      </c>
      <c r="AA1" t="s">
        <v>257</v>
      </c>
      <c r="AB1" t="s">
        <v>258</v>
      </c>
      <c r="AC1" t="s">
        <v>259</v>
      </c>
      <c r="AD1" t="s">
        <v>260</v>
      </c>
      <c r="AE1" t="s">
        <v>261</v>
      </c>
      <c r="AF1" t="s">
        <v>262</v>
      </c>
      <c r="AG1" t="s">
        <v>263</v>
      </c>
      <c r="AH1" t="s">
        <v>264</v>
      </c>
      <c r="AI1" t="s">
        <v>265</v>
      </c>
      <c r="AJ1" t="s">
        <v>266</v>
      </c>
      <c r="AK1" t="s">
        <v>267</v>
      </c>
      <c r="AL1" t="s">
        <v>268</v>
      </c>
      <c r="AM1" t="s">
        <v>269</v>
      </c>
      <c r="AN1" t="s">
        <v>270</v>
      </c>
      <c r="AO1" t="s">
        <v>271</v>
      </c>
      <c r="AP1" t="s">
        <v>272</v>
      </c>
      <c r="AQ1" t="s">
        <v>273</v>
      </c>
      <c r="AR1" t="s">
        <v>274</v>
      </c>
      <c r="AS1" t="s">
        <v>275</v>
      </c>
      <c r="AT1" t="s">
        <v>276</v>
      </c>
      <c r="AU1" t="s">
        <v>277</v>
      </c>
      <c r="AV1" t="s">
        <v>278</v>
      </c>
      <c r="AW1" t="s">
        <v>279</v>
      </c>
      <c r="AX1" t="s">
        <v>280</v>
      </c>
      <c r="AY1" t="s">
        <v>281</v>
      </c>
      <c r="AZ1" t="s">
        <v>282</v>
      </c>
      <c r="BA1" t="s">
        <v>283</v>
      </c>
    </row>
    <row r="2" spans="1:53" x14ac:dyDescent="0.25">
      <c r="A2" t="s">
        <v>284</v>
      </c>
      <c r="B2">
        <f>INDEX(Calcs!$D$58:$D$109,MATCH(B$1,Calcs!$A$58:$A$109,0))</f>
        <v>0</v>
      </c>
      <c r="C2">
        <f>INDEX(Calcs!$D$58:$D$109,MATCH(C$1,Calcs!$A$58:$A$109,0))</f>
        <v>0</v>
      </c>
      <c r="D2">
        <f>INDEX(Calcs!$D$58:$D$109,MATCH(D$1,Calcs!$A$58:$A$109,0))</f>
        <v>0</v>
      </c>
      <c r="E2">
        <f>INDEX(Calcs!$D$58:$D$109,MATCH(E$1,Calcs!$A$58:$A$109,0))</f>
        <v>0</v>
      </c>
      <c r="F2">
        <f>INDEX(Calcs!$D$58:$D$109,MATCH(F$1,Calcs!$A$58:$A$109,0))</f>
        <v>0</v>
      </c>
      <c r="G2">
        <f>INDEX(Calcs!$D$58:$D$109,MATCH(G$1,Calcs!$A$58:$A$109,0))</f>
        <v>0</v>
      </c>
      <c r="H2">
        <f>INDEX(Calcs!$D$58:$D$109,MATCH(H$1,Calcs!$A$58:$A$109,0))</f>
        <v>0</v>
      </c>
      <c r="I2">
        <f>INDEX(Calcs!$D$58:$D$109,MATCH(I$1,Calcs!$A$58:$A$109,0))</f>
        <v>0</v>
      </c>
      <c r="J2">
        <f>INDEX(Calcs!$D$58:$D$109,MATCH(J$1,Calcs!$A$58:$A$109,0))</f>
        <v>0</v>
      </c>
      <c r="K2">
        <f>INDEX(Calcs!$D$58:$D$109,MATCH(K$1,Calcs!$A$58:$A$109,0))</f>
        <v>0</v>
      </c>
      <c r="L2">
        <f>INDEX(Calcs!$D$58:$D$109,MATCH(L$1,Calcs!$A$58:$A$109,0))</f>
        <v>0</v>
      </c>
      <c r="M2">
        <f>INDEX(Calcs!$D$58:$D$109,MATCH(M$1,Calcs!$A$58:$A$109,0))</f>
        <v>0</v>
      </c>
      <c r="N2">
        <f>INDEX(Calcs!$D$58:$D$109,MATCH(N$1,Calcs!$A$58:$A$109,0))</f>
        <v>0</v>
      </c>
      <c r="O2">
        <f>INDEX(Calcs!$D$58:$D$109,MATCH(O$1,Calcs!$A$58:$A$109,0))</f>
        <v>0</v>
      </c>
      <c r="P2">
        <f>INDEX(Calcs!$D$58:$D$109,MATCH(P$1,Calcs!$A$58:$A$109,0))</f>
        <v>0</v>
      </c>
      <c r="Q2">
        <f>INDEX(Calcs!$D$58:$D$109,MATCH(Q$1,Calcs!$A$58:$A$109,0))</f>
        <v>0</v>
      </c>
      <c r="R2">
        <f>INDEX(Calcs!$D$58:$D$109,MATCH(R$1,Calcs!$A$58:$A$109,0))</f>
        <v>0</v>
      </c>
      <c r="S2">
        <f>INDEX(Calcs!$D$58:$D$109,MATCH(S$1,Calcs!$A$58:$A$109,0))</f>
        <v>0</v>
      </c>
      <c r="T2">
        <f>INDEX(Calcs!$D$58:$D$109,MATCH(T$1,Calcs!$A$58:$A$109,0))</f>
        <v>0</v>
      </c>
      <c r="U2">
        <f>INDEX(Calcs!$D$58:$D$109,MATCH(U$1,Calcs!$A$58:$A$109,0))</f>
        <v>0</v>
      </c>
      <c r="V2">
        <f>INDEX(Calcs!$D$58:$D$109,MATCH(V$1,Calcs!$A$58:$A$109,0))</f>
        <v>0</v>
      </c>
      <c r="W2">
        <f>INDEX(Calcs!$D$58:$D$109,MATCH(W$1,Calcs!$A$58:$A$109,0))</f>
        <v>0</v>
      </c>
      <c r="X2">
        <f>INDEX(Calcs!$D$58:$D$109,MATCH(X$1,Calcs!$A$58:$A$109,0))</f>
        <v>0</v>
      </c>
      <c r="Y2">
        <f>INDEX(Calcs!$D$58:$D$109,MATCH(Y$1,Calcs!$A$58:$A$109,0))</f>
        <v>5.7242345388619567E-2</v>
      </c>
      <c r="Z2">
        <f>INDEX(Calcs!$D$58:$D$109,MATCH(Z$1,Calcs!$A$58:$A$109,0))</f>
        <v>0</v>
      </c>
      <c r="AA2">
        <f>INDEX(Calcs!$D$58:$D$109,MATCH(AA$1,Calcs!$A$58:$A$109,0))</f>
        <v>0</v>
      </c>
      <c r="AB2">
        <f>INDEX(Calcs!$D$58:$D$109,MATCH(AB$1,Calcs!$A$58:$A$109,0))</f>
        <v>0</v>
      </c>
      <c r="AC2">
        <f>INDEX(Calcs!$D$58:$D$109,MATCH(AC$1,Calcs!$A$58:$A$109,0))</f>
        <v>0</v>
      </c>
      <c r="AD2">
        <f>INDEX(Calcs!$D$58:$D$109,MATCH(AD$1,Calcs!$A$58:$A$109,0))</f>
        <v>0</v>
      </c>
      <c r="AE2">
        <f>INDEX(Calcs!$D$58:$D$109,MATCH(AE$1,Calcs!$A$58:$A$109,0))</f>
        <v>0</v>
      </c>
      <c r="AF2">
        <f>INDEX(Calcs!$D$58:$D$109,MATCH(AF$1,Calcs!$A$58:$A$109,0))</f>
        <v>0</v>
      </c>
      <c r="AG2">
        <f>INDEX(Calcs!$D$58:$D$109,MATCH(AG$1,Calcs!$A$58:$A$109,0))</f>
        <v>0.89994793013228491</v>
      </c>
      <c r="AH2">
        <f>INDEX(Calcs!$D$58:$D$109,MATCH(AH$1,Calcs!$A$58:$A$109,0))</f>
        <v>4.1150054430875181E-2</v>
      </c>
      <c r="AI2">
        <f>INDEX(Calcs!$D$58:$D$109,MATCH(AI$1,Calcs!$A$58:$A$109,0))</f>
        <v>1.6596700482203511E-3</v>
      </c>
      <c r="AJ2">
        <f>INDEX(Calcs!$D$58:$D$109,MATCH(AJ$1,Calcs!$A$58:$A$109,0))</f>
        <v>0</v>
      </c>
      <c r="AK2">
        <f>INDEX(Calcs!$D$58:$D$109,MATCH(AK$1,Calcs!$A$58:$A$109,0))</f>
        <v>0</v>
      </c>
      <c r="AL2">
        <f>INDEX(Calcs!$D$58:$D$109,MATCH(AL$1,Calcs!$A$58:$A$109,0))</f>
        <v>0</v>
      </c>
      <c r="AM2">
        <f>INDEX(Calcs!$D$58:$D$109,MATCH(AM$1,Calcs!$A$58:$A$109,0))</f>
        <v>0</v>
      </c>
      <c r="AN2">
        <f>INDEX(Calcs!$D$58:$D$109,MATCH(AN$1,Calcs!$A$58:$A$109,0))</f>
        <v>0</v>
      </c>
      <c r="AO2">
        <f>INDEX(Calcs!$D$58:$D$109,MATCH(AO$1,Calcs!$A$58:$A$109,0))</f>
        <v>0</v>
      </c>
      <c r="AP2">
        <f>INDEX(Calcs!$D$58:$D$109,MATCH(AP$1,Calcs!$A$58:$A$109,0))</f>
        <v>0</v>
      </c>
      <c r="AQ2">
        <f>INDEX(Calcs!$D$58:$D$109,MATCH(AQ$1,Calcs!$A$58:$A$109,0))</f>
        <v>0</v>
      </c>
      <c r="AR2">
        <f>INDEX(Calcs!$D$58:$D$109,MATCH(AR$1,Calcs!$A$58:$A$109,0))</f>
        <v>0</v>
      </c>
      <c r="AS2">
        <f>INDEX(Calcs!$D$58:$D$109,MATCH(AS$1,Calcs!$A$58:$A$109,0))</f>
        <v>0</v>
      </c>
      <c r="AT2">
        <f>INDEX(Calcs!$D$58:$D$109,MATCH(AT$1,Calcs!$A$58:$A$109,0))</f>
        <v>0</v>
      </c>
      <c r="AU2">
        <f>INDEX(Calcs!$D$58:$D$109,MATCH(AU$1,Calcs!$A$58:$A$109,0))</f>
        <v>0</v>
      </c>
      <c r="AV2">
        <f>INDEX(Calcs!$D$58:$D$109,MATCH(AV$1,Calcs!$A$58:$A$109,0))</f>
        <v>0</v>
      </c>
      <c r="AW2">
        <f>INDEX(Calcs!$D$58:$D$109,MATCH(AW$1,Calcs!$A$58:$A$109,0))</f>
        <v>0</v>
      </c>
      <c r="AX2">
        <f>INDEX(Calcs!$D$58:$D$109,MATCH(AX$1,Calcs!$A$58:$A$109,0))</f>
        <v>0</v>
      </c>
      <c r="AY2">
        <f>INDEX(Calcs!$D$58:$D$109,MATCH(AY$1,Calcs!$A$58:$A$109,0))</f>
        <v>0</v>
      </c>
      <c r="AZ2">
        <f>INDEX(Calcs!$D$58:$D$109,MATCH(AZ$1,Calcs!$A$58:$A$109,0))</f>
        <v>0</v>
      </c>
      <c r="BA2">
        <f>INDEX(Calcs!$D$58:$D$109,MATCH(BA$1,Calcs!$A$58:$A$109,0))</f>
        <v>0</v>
      </c>
    </row>
    <row r="3" spans="1:53" x14ac:dyDescent="0.25">
      <c r="A3" t="s">
        <v>285</v>
      </c>
      <c r="B3">
        <f>INDEX(Calcs!$E$58:$E$109,MATCH(B$1,Calcs!$A$58:$A$109,0))</f>
        <v>0</v>
      </c>
      <c r="C3">
        <f>INDEX(Calcs!$E$58:$E$109,MATCH(C$1,Calcs!$A$58:$A$109,0))</f>
        <v>0</v>
      </c>
      <c r="D3">
        <f>INDEX(Calcs!$E$58:$E$109,MATCH(D$1,Calcs!$A$58:$A$109,0))</f>
        <v>0</v>
      </c>
      <c r="E3">
        <f>INDEX(Calcs!$E$58:$E$109,MATCH(E$1,Calcs!$A$58:$A$109,0))</f>
        <v>0</v>
      </c>
      <c r="F3">
        <f>INDEX(Calcs!$E$58:$E$109,MATCH(F$1,Calcs!$A$58:$A$109,0))</f>
        <v>0</v>
      </c>
      <c r="G3">
        <f>INDEX(Calcs!$E$58:$E$109,MATCH(G$1,Calcs!$A$58:$A$109,0))</f>
        <v>0</v>
      </c>
      <c r="H3">
        <f>INDEX(Calcs!$E$58:$E$109,MATCH(H$1,Calcs!$A$58:$A$109,0))</f>
        <v>0</v>
      </c>
      <c r="I3">
        <f>INDEX(Calcs!$E$58:$E$109,MATCH(I$1,Calcs!$A$58:$A$109,0))</f>
        <v>0</v>
      </c>
      <c r="J3">
        <f>INDEX(Calcs!$E$58:$E$109,MATCH(J$1,Calcs!$A$58:$A$109,0))</f>
        <v>0</v>
      </c>
      <c r="K3">
        <f>INDEX(Calcs!$E$58:$E$109,MATCH(K$1,Calcs!$A$58:$A$109,0))</f>
        <v>0</v>
      </c>
      <c r="L3">
        <f>INDEX(Calcs!$E$58:$E$109,MATCH(L$1,Calcs!$A$58:$A$109,0))</f>
        <v>0</v>
      </c>
      <c r="M3">
        <f>INDEX(Calcs!$E$58:$E$109,MATCH(M$1,Calcs!$A$58:$A$109,0))</f>
        <v>0</v>
      </c>
      <c r="N3">
        <f>INDEX(Calcs!$E$58:$E$109,MATCH(N$1,Calcs!$A$58:$A$109,0))</f>
        <v>0</v>
      </c>
      <c r="O3">
        <f>INDEX(Calcs!$E$58:$E$109,MATCH(O$1,Calcs!$A$58:$A$109,0))</f>
        <v>0</v>
      </c>
      <c r="P3">
        <f>INDEX(Calcs!$E$58:$E$109,MATCH(P$1,Calcs!$A$58:$A$109,0))</f>
        <v>0</v>
      </c>
      <c r="Q3">
        <f>INDEX(Calcs!$E$58:$E$109,MATCH(Q$1,Calcs!$A$58:$A$109,0))</f>
        <v>0</v>
      </c>
      <c r="R3">
        <f>INDEX(Calcs!$E$58:$E$109,MATCH(R$1,Calcs!$A$58:$A$109,0))</f>
        <v>0</v>
      </c>
      <c r="S3">
        <f>INDEX(Calcs!$E$58:$E$109,MATCH(S$1,Calcs!$A$58:$A$109,0))</f>
        <v>0</v>
      </c>
      <c r="T3">
        <f>INDEX(Calcs!$E$58:$E$109,MATCH(T$1,Calcs!$A$58:$A$109,0))</f>
        <v>0</v>
      </c>
      <c r="U3">
        <f>INDEX(Calcs!$E$58:$E$109,MATCH(U$1,Calcs!$A$58:$A$109,0))</f>
        <v>0</v>
      </c>
      <c r="V3">
        <f>INDEX(Calcs!$E$58:$E$109,MATCH(V$1,Calcs!$A$58:$A$109,0))</f>
        <v>0</v>
      </c>
      <c r="W3">
        <f>INDEX(Calcs!$E$58:$E$109,MATCH(W$1,Calcs!$A$58:$A$109,0))</f>
        <v>0</v>
      </c>
      <c r="X3">
        <f>INDEX(Calcs!$E$58:$E$109,MATCH(X$1,Calcs!$A$58:$A$109,0))</f>
        <v>0</v>
      </c>
      <c r="Y3">
        <f>INDEX(Calcs!$E$58:$E$109,MATCH(Y$1,Calcs!$A$58:$A$109,0))</f>
        <v>7.6587069426419727E-2</v>
      </c>
      <c r="Z3">
        <f>INDEX(Calcs!$E$58:$E$109,MATCH(Z$1,Calcs!$A$58:$A$109,0))</f>
        <v>0</v>
      </c>
      <c r="AA3">
        <f>INDEX(Calcs!$E$58:$E$109,MATCH(AA$1,Calcs!$A$58:$A$109,0))</f>
        <v>0</v>
      </c>
      <c r="AB3">
        <f>INDEX(Calcs!$E$58:$E$109,MATCH(AB$1,Calcs!$A$58:$A$109,0))</f>
        <v>0</v>
      </c>
      <c r="AC3">
        <f>INDEX(Calcs!$E$58:$E$109,MATCH(AC$1,Calcs!$A$58:$A$109,0))</f>
        <v>0</v>
      </c>
      <c r="AD3">
        <f>INDEX(Calcs!$E$58:$E$109,MATCH(AD$1,Calcs!$A$58:$A$109,0))</f>
        <v>0</v>
      </c>
      <c r="AE3">
        <f>INDEX(Calcs!$E$58:$E$109,MATCH(AE$1,Calcs!$A$58:$A$109,0))</f>
        <v>0</v>
      </c>
      <c r="AF3">
        <f>INDEX(Calcs!$E$58:$E$109,MATCH(AF$1,Calcs!$A$58:$A$109,0))</f>
        <v>0</v>
      </c>
      <c r="AG3">
        <f>INDEX(Calcs!$E$58:$E$109,MATCH(AG$1,Calcs!$A$58:$A$109,0))</f>
        <v>0.8661359039502402</v>
      </c>
      <c r="AH3">
        <f>INDEX(Calcs!$E$58:$E$109,MATCH(AH$1,Calcs!$A$58:$A$109,0))</f>
        <v>5.5056480551283551E-2</v>
      </c>
      <c r="AI3">
        <f>INDEX(Calcs!$E$58:$E$109,MATCH(AI$1,Calcs!$A$58:$A$109,0))</f>
        <v>2.220546072056513E-3</v>
      </c>
      <c r="AJ3">
        <f>INDEX(Calcs!$E$58:$E$109,MATCH(AJ$1,Calcs!$A$58:$A$109,0))</f>
        <v>0</v>
      </c>
      <c r="AK3">
        <f>INDEX(Calcs!$E$58:$E$109,MATCH(AK$1,Calcs!$A$58:$A$109,0))</f>
        <v>0</v>
      </c>
      <c r="AL3">
        <f>INDEX(Calcs!$E$58:$E$109,MATCH(AL$1,Calcs!$A$58:$A$109,0))</f>
        <v>0</v>
      </c>
      <c r="AM3">
        <f>INDEX(Calcs!$E$58:$E$109,MATCH(AM$1,Calcs!$A$58:$A$109,0))</f>
        <v>0</v>
      </c>
      <c r="AN3">
        <f>INDEX(Calcs!$E$58:$E$109,MATCH(AN$1,Calcs!$A$58:$A$109,0))</f>
        <v>0</v>
      </c>
      <c r="AO3">
        <f>INDEX(Calcs!$E$58:$E$109,MATCH(AO$1,Calcs!$A$58:$A$109,0))</f>
        <v>0</v>
      </c>
      <c r="AP3">
        <f>INDEX(Calcs!$E$58:$E$109,MATCH(AP$1,Calcs!$A$58:$A$109,0))</f>
        <v>0</v>
      </c>
      <c r="AQ3">
        <f>INDEX(Calcs!$E$58:$E$109,MATCH(AQ$1,Calcs!$A$58:$A$109,0))</f>
        <v>0</v>
      </c>
      <c r="AR3">
        <f>INDEX(Calcs!$E$58:$E$109,MATCH(AR$1,Calcs!$A$58:$A$109,0))</f>
        <v>0</v>
      </c>
      <c r="AS3">
        <f>INDEX(Calcs!$E$58:$E$109,MATCH(AS$1,Calcs!$A$58:$A$109,0))</f>
        <v>0</v>
      </c>
      <c r="AT3">
        <f>INDEX(Calcs!$E$58:$E$109,MATCH(AT$1,Calcs!$A$58:$A$109,0))</f>
        <v>0</v>
      </c>
      <c r="AU3">
        <f>INDEX(Calcs!$E$58:$E$109,MATCH(AU$1,Calcs!$A$58:$A$109,0))</f>
        <v>0</v>
      </c>
      <c r="AV3">
        <f>INDEX(Calcs!$E$58:$E$109,MATCH(AV$1,Calcs!$A$58:$A$109,0))</f>
        <v>0</v>
      </c>
      <c r="AW3">
        <f>INDEX(Calcs!$E$58:$E$109,MATCH(AW$1,Calcs!$A$58:$A$109,0))</f>
        <v>0</v>
      </c>
      <c r="AX3">
        <f>INDEX(Calcs!$E$58:$E$109,MATCH(AX$1,Calcs!$A$58:$A$109,0))</f>
        <v>0</v>
      </c>
      <c r="AY3">
        <f>INDEX(Calcs!$E$58:$E$109,MATCH(AY$1,Calcs!$A$58:$A$109,0))</f>
        <v>0</v>
      </c>
      <c r="AZ3">
        <f>INDEX(Calcs!$E$58:$E$109,MATCH(AZ$1,Calcs!$A$58:$A$109,0))</f>
        <v>0</v>
      </c>
      <c r="BA3">
        <f>INDEX(Calcs!$E$58:$E$109,MATCH(BA$1,Calcs!$A$58:$A$109,0))</f>
        <v>0</v>
      </c>
    </row>
    <row r="4" spans="1:53" x14ac:dyDescent="0.25">
      <c r="A4" t="s">
        <v>101</v>
      </c>
      <c r="B4">
        <f>'EPS Inputs'!B16</f>
        <v>0</v>
      </c>
      <c r="C4">
        <f>'EPS Inputs'!C16</f>
        <v>0</v>
      </c>
      <c r="D4">
        <f>'EPS Inputs'!D16</f>
        <v>0</v>
      </c>
      <c r="E4">
        <f>'EPS Inputs'!E16</f>
        <v>0</v>
      </c>
      <c r="F4">
        <f>'EPS Inputs'!F16</f>
        <v>0</v>
      </c>
      <c r="G4">
        <f>'EPS Inputs'!G16</f>
        <v>0</v>
      </c>
      <c r="H4">
        <f>'EPS Inputs'!H16</f>
        <v>0</v>
      </c>
      <c r="I4">
        <f>'EPS Inputs'!I16</f>
        <v>0</v>
      </c>
      <c r="J4">
        <f>'EPS Inputs'!J16</f>
        <v>0</v>
      </c>
      <c r="K4">
        <f>'EPS Inputs'!K16</f>
        <v>0</v>
      </c>
      <c r="L4">
        <f>'EPS Inputs'!L16</f>
        <v>0</v>
      </c>
      <c r="M4">
        <f>'EPS Inputs'!M16</f>
        <v>0</v>
      </c>
      <c r="N4">
        <f>'EPS Inputs'!N16</f>
        <v>0</v>
      </c>
      <c r="O4">
        <f>'EPS Inputs'!O16</f>
        <v>0</v>
      </c>
      <c r="P4">
        <f>'EPS Inputs'!P16</f>
        <v>0</v>
      </c>
      <c r="Q4">
        <f>'EPS Inputs'!Q16</f>
        <v>0</v>
      </c>
      <c r="R4">
        <f>'EPS Inputs'!R16</f>
        <v>0</v>
      </c>
      <c r="S4">
        <f>'EPS Inputs'!S16</f>
        <v>0</v>
      </c>
      <c r="T4">
        <f>'EPS Inputs'!T16</f>
        <v>0</v>
      </c>
      <c r="U4">
        <f>'EPS Inputs'!U16</f>
        <v>0</v>
      </c>
      <c r="V4">
        <f>'EPS Inputs'!V16</f>
        <v>0</v>
      </c>
      <c r="W4">
        <f>'EPS Inputs'!W16</f>
        <v>0</v>
      </c>
      <c r="X4">
        <f>'EPS Inputs'!X16</f>
        <v>0</v>
      </c>
      <c r="Y4">
        <f>'EPS Inputs'!Y16</f>
        <v>0</v>
      </c>
      <c r="Z4">
        <f>'EPS Inputs'!Z16</f>
        <v>0</v>
      </c>
      <c r="AA4">
        <f>'EPS Inputs'!AA16</f>
        <v>0</v>
      </c>
      <c r="AB4">
        <f>'EPS Inputs'!AB16</f>
        <v>0</v>
      </c>
      <c r="AC4">
        <f>'EPS Inputs'!AC16</f>
        <v>0</v>
      </c>
      <c r="AD4">
        <f>'EPS Inputs'!AD16</f>
        <v>0</v>
      </c>
      <c r="AE4">
        <f>'EPS Inputs'!AE16</f>
        <v>0</v>
      </c>
      <c r="AF4">
        <f>'EPS Inputs'!AF16</f>
        <v>0</v>
      </c>
      <c r="AG4">
        <f>'EPS Inputs'!AG16</f>
        <v>0</v>
      </c>
      <c r="AH4">
        <f>'EPS Inputs'!AH16</f>
        <v>0</v>
      </c>
      <c r="AI4">
        <f>'EPS Inputs'!AI16</f>
        <v>0</v>
      </c>
      <c r="AJ4">
        <f>'EPS Inputs'!AJ16</f>
        <v>0</v>
      </c>
      <c r="AK4">
        <f>'EPS Inputs'!AK16</f>
        <v>0</v>
      </c>
      <c r="AL4">
        <f>'EPS Inputs'!AL16</f>
        <v>0</v>
      </c>
      <c r="AM4">
        <f>'EPS Inputs'!AM16</f>
        <v>0</v>
      </c>
      <c r="AN4">
        <f>'EPS Inputs'!AN16</f>
        <v>0</v>
      </c>
      <c r="AO4">
        <f>'EPS Inputs'!AO16</f>
        <v>0</v>
      </c>
      <c r="AP4">
        <f>'EPS Inputs'!AP16</f>
        <v>0</v>
      </c>
      <c r="AQ4">
        <f>'EPS Inputs'!AQ16</f>
        <v>0</v>
      </c>
      <c r="AR4">
        <f>'EPS Inputs'!AR16</f>
        <v>0</v>
      </c>
      <c r="AS4">
        <f>'EPS Inputs'!AS16</f>
        <v>0</v>
      </c>
      <c r="AT4">
        <f>'EPS Inputs'!AT16</f>
        <v>0</v>
      </c>
      <c r="AU4">
        <f>'EPS Inputs'!AU16</f>
        <v>0</v>
      </c>
      <c r="AV4">
        <f>'EPS Inputs'!AV16</f>
        <v>0</v>
      </c>
      <c r="AW4">
        <f>'EPS Inputs'!AW16</f>
        <v>0</v>
      </c>
      <c r="AX4">
        <f>'EPS Inputs'!AX16</f>
        <v>0</v>
      </c>
      <c r="AY4">
        <f>'EPS Inputs'!AY16</f>
        <v>0</v>
      </c>
      <c r="AZ4">
        <f>'EPS Inputs'!AZ16</f>
        <v>0</v>
      </c>
      <c r="BA4">
        <f>'EPS Inputs'!BA16</f>
        <v>0</v>
      </c>
    </row>
    <row r="5" spans="1:53" x14ac:dyDescent="0.25">
      <c r="A5" t="s">
        <v>82</v>
      </c>
      <c r="B5">
        <f>'EPS Inputs'!B17</f>
        <v>0</v>
      </c>
      <c r="C5">
        <f>'EPS Inputs'!C17</f>
        <v>0</v>
      </c>
      <c r="D5">
        <f>'EPS Inputs'!D17</f>
        <v>0</v>
      </c>
      <c r="E5">
        <f>'EPS Inputs'!E17</f>
        <v>0</v>
      </c>
      <c r="F5">
        <f>'EPS Inputs'!F17</f>
        <v>0</v>
      </c>
      <c r="G5">
        <f>'EPS Inputs'!G17</f>
        <v>0</v>
      </c>
      <c r="H5">
        <f>'EPS Inputs'!H17</f>
        <v>0</v>
      </c>
      <c r="I5">
        <f>'EPS Inputs'!I17</f>
        <v>0</v>
      </c>
      <c r="J5">
        <f>'EPS Inputs'!J17</f>
        <v>0</v>
      </c>
      <c r="K5">
        <f>'EPS Inputs'!K17</f>
        <v>0</v>
      </c>
      <c r="L5">
        <f>'EPS Inputs'!L17</f>
        <v>0</v>
      </c>
      <c r="M5">
        <f>'EPS Inputs'!M17</f>
        <v>0</v>
      </c>
      <c r="N5">
        <f>'EPS Inputs'!N17</f>
        <v>0</v>
      </c>
      <c r="O5">
        <f>'EPS Inputs'!O17</f>
        <v>0</v>
      </c>
      <c r="P5">
        <f>'EPS Inputs'!P17</f>
        <v>0</v>
      </c>
      <c r="Q5">
        <f>'EPS Inputs'!Q17</f>
        <v>0</v>
      </c>
      <c r="R5">
        <f>'EPS Inputs'!R17</f>
        <v>0</v>
      </c>
      <c r="S5">
        <f>'EPS Inputs'!S17</f>
        <v>0</v>
      </c>
      <c r="T5">
        <f>'EPS Inputs'!T17</f>
        <v>0</v>
      </c>
      <c r="U5">
        <f>'EPS Inputs'!U17</f>
        <v>0</v>
      </c>
      <c r="V5">
        <f>'EPS Inputs'!V17</f>
        <v>0</v>
      </c>
      <c r="W5">
        <f>'EPS Inputs'!W17</f>
        <v>0</v>
      </c>
      <c r="X5">
        <f>'EPS Inputs'!X17</f>
        <v>1</v>
      </c>
      <c r="Y5">
        <f>'EPS Inputs'!Y17</f>
        <v>0</v>
      </c>
      <c r="Z5">
        <f>'EPS Inputs'!Z17</f>
        <v>0</v>
      </c>
      <c r="AA5">
        <f>'EPS Inputs'!AA17</f>
        <v>0</v>
      </c>
      <c r="AB5">
        <f>'EPS Inputs'!AB17</f>
        <v>0</v>
      </c>
      <c r="AC5">
        <f>'EPS Inputs'!AC17</f>
        <v>0</v>
      </c>
      <c r="AD5">
        <f>'EPS Inputs'!AD17</f>
        <v>0</v>
      </c>
      <c r="AE5">
        <f>'EPS Inputs'!AE17</f>
        <v>0</v>
      </c>
      <c r="AF5">
        <f>'EPS Inputs'!AF17</f>
        <v>0</v>
      </c>
      <c r="AG5">
        <f>'EPS Inputs'!AG17</f>
        <v>0</v>
      </c>
      <c r="AH5">
        <f>'EPS Inputs'!AH17</f>
        <v>0</v>
      </c>
      <c r="AI5">
        <f>'EPS Inputs'!AI17</f>
        <v>0</v>
      </c>
      <c r="AJ5">
        <f>'EPS Inputs'!AJ17</f>
        <v>0</v>
      </c>
      <c r="AK5">
        <f>'EPS Inputs'!AK17</f>
        <v>0</v>
      </c>
      <c r="AL5">
        <f>'EPS Inputs'!AL17</f>
        <v>0</v>
      </c>
      <c r="AM5">
        <f>'EPS Inputs'!AM17</f>
        <v>0</v>
      </c>
      <c r="AN5">
        <f>'EPS Inputs'!AN17</f>
        <v>0</v>
      </c>
      <c r="AO5">
        <f>'EPS Inputs'!AO17</f>
        <v>0</v>
      </c>
      <c r="AP5">
        <f>'EPS Inputs'!AP17</f>
        <v>0</v>
      </c>
      <c r="AQ5">
        <f>'EPS Inputs'!AQ17</f>
        <v>0</v>
      </c>
      <c r="AR5">
        <f>'EPS Inputs'!AR17</f>
        <v>0</v>
      </c>
      <c r="AS5">
        <f>'EPS Inputs'!AS17</f>
        <v>0</v>
      </c>
      <c r="AT5">
        <f>'EPS Inputs'!AT17</f>
        <v>0</v>
      </c>
      <c r="AU5">
        <f>'EPS Inputs'!AU17</f>
        <v>0</v>
      </c>
      <c r="AV5">
        <f>'EPS Inputs'!AV17</f>
        <v>0</v>
      </c>
      <c r="AW5">
        <f>'EPS Inputs'!AW17</f>
        <v>0</v>
      </c>
      <c r="AX5">
        <f>'EPS Inputs'!AX17</f>
        <v>0</v>
      </c>
      <c r="AY5">
        <f>'EPS Inputs'!AY17</f>
        <v>0</v>
      </c>
      <c r="AZ5">
        <f>'EPS Inputs'!AZ17</f>
        <v>0</v>
      </c>
      <c r="BA5">
        <f>'EPS Inputs'!BA17</f>
        <v>0</v>
      </c>
    </row>
    <row r="6" spans="1:53" x14ac:dyDescent="0.25">
      <c r="A6" t="s">
        <v>286</v>
      </c>
      <c r="B6">
        <f>'EPS Inputs'!B18</f>
        <v>0</v>
      </c>
      <c r="C6">
        <f>'EPS Inputs'!C18</f>
        <v>0</v>
      </c>
      <c r="D6">
        <f>'EPS Inputs'!D18</f>
        <v>0</v>
      </c>
      <c r="E6">
        <f>'EPS Inputs'!E18</f>
        <v>0</v>
      </c>
      <c r="F6">
        <f>'EPS Inputs'!F18</f>
        <v>0</v>
      </c>
      <c r="G6">
        <f>'EPS Inputs'!G18</f>
        <v>0</v>
      </c>
      <c r="H6">
        <f>'EPS Inputs'!H18</f>
        <v>0</v>
      </c>
      <c r="I6">
        <f>'EPS Inputs'!I18</f>
        <v>0</v>
      </c>
      <c r="J6">
        <f>'EPS Inputs'!J18</f>
        <v>0</v>
      </c>
      <c r="K6">
        <f>'EPS Inputs'!K18</f>
        <v>0</v>
      </c>
      <c r="L6">
        <f>'EPS Inputs'!L18</f>
        <v>0</v>
      </c>
      <c r="M6">
        <f>'EPS Inputs'!M18</f>
        <v>0</v>
      </c>
      <c r="N6">
        <f>'EPS Inputs'!N18</f>
        <v>0</v>
      </c>
      <c r="O6">
        <f>'EPS Inputs'!O18</f>
        <v>0</v>
      </c>
      <c r="P6">
        <f>'EPS Inputs'!P18</f>
        <v>0</v>
      </c>
      <c r="Q6">
        <f>'EPS Inputs'!Q18</f>
        <v>0</v>
      </c>
      <c r="R6">
        <f>'EPS Inputs'!R18</f>
        <v>0</v>
      </c>
      <c r="S6">
        <f>'EPS Inputs'!S18</f>
        <v>0</v>
      </c>
      <c r="T6">
        <f>'EPS Inputs'!T18</f>
        <v>0</v>
      </c>
      <c r="U6">
        <f>'EPS Inputs'!U18</f>
        <v>0</v>
      </c>
      <c r="V6">
        <f>'EPS Inputs'!V18</f>
        <v>0</v>
      </c>
      <c r="W6">
        <f>'EPS Inputs'!W18</f>
        <v>0</v>
      </c>
      <c r="X6">
        <f>'EPS Inputs'!X18</f>
        <v>0.75435141900000002</v>
      </c>
      <c r="Y6">
        <f>'EPS Inputs'!Y18</f>
        <v>0</v>
      </c>
      <c r="Z6">
        <f>'EPS Inputs'!Z18</f>
        <v>0</v>
      </c>
      <c r="AA6">
        <f>'EPS Inputs'!AA18</f>
        <v>0</v>
      </c>
      <c r="AB6">
        <f>'EPS Inputs'!AB18</f>
        <v>0</v>
      </c>
      <c r="AC6">
        <f>'EPS Inputs'!AC18</f>
        <v>0</v>
      </c>
      <c r="AD6">
        <f>'EPS Inputs'!AD18</f>
        <v>0</v>
      </c>
      <c r="AE6">
        <f>'EPS Inputs'!AE18</f>
        <v>0</v>
      </c>
      <c r="AF6">
        <f>'EPS Inputs'!AF18</f>
        <v>0</v>
      </c>
      <c r="AG6">
        <f>'EPS Inputs'!AG18</f>
        <v>0.245648581</v>
      </c>
      <c r="AH6">
        <f>'EPS Inputs'!AH18</f>
        <v>0</v>
      </c>
      <c r="AI6">
        <f>'EPS Inputs'!AI18</f>
        <v>0</v>
      </c>
      <c r="AJ6">
        <f>'EPS Inputs'!AJ18</f>
        <v>0</v>
      </c>
      <c r="AK6">
        <f>'EPS Inputs'!AK18</f>
        <v>0</v>
      </c>
      <c r="AL6">
        <f>'EPS Inputs'!AL18</f>
        <v>0</v>
      </c>
      <c r="AM6">
        <f>'EPS Inputs'!AM18</f>
        <v>0</v>
      </c>
      <c r="AN6">
        <f>'EPS Inputs'!AN18</f>
        <v>0</v>
      </c>
      <c r="AO6">
        <f>'EPS Inputs'!AO18</f>
        <v>0</v>
      </c>
      <c r="AP6">
        <f>'EPS Inputs'!AP18</f>
        <v>0</v>
      </c>
      <c r="AQ6">
        <f>'EPS Inputs'!AQ18</f>
        <v>0</v>
      </c>
      <c r="AR6">
        <f>'EPS Inputs'!AR18</f>
        <v>0</v>
      </c>
      <c r="AS6">
        <f>'EPS Inputs'!AS18</f>
        <v>0</v>
      </c>
      <c r="AT6">
        <f>'EPS Inputs'!AT18</f>
        <v>0</v>
      </c>
      <c r="AU6">
        <f>'EPS Inputs'!AU18</f>
        <v>0</v>
      </c>
      <c r="AV6">
        <f>'EPS Inputs'!AV18</f>
        <v>0</v>
      </c>
      <c r="AW6">
        <f>'EPS Inputs'!AW18</f>
        <v>0</v>
      </c>
      <c r="AX6">
        <f>'EPS Inputs'!AX18</f>
        <v>0</v>
      </c>
      <c r="AY6">
        <f>'EPS Inputs'!AY18</f>
        <v>0</v>
      </c>
      <c r="AZ6">
        <f>'EPS Inputs'!AZ18</f>
        <v>0</v>
      </c>
      <c r="BA6">
        <f>'EPS Inputs'!BA18</f>
        <v>0</v>
      </c>
    </row>
    <row r="7" spans="1:53" x14ac:dyDescent="0.25">
      <c r="A7" t="s">
        <v>104</v>
      </c>
      <c r="B7">
        <f>'EPS Inputs'!B19</f>
        <v>0</v>
      </c>
      <c r="C7">
        <f>'EPS Inputs'!C19</f>
        <v>0</v>
      </c>
      <c r="D7">
        <f>'EPS Inputs'!D19</f>
        <v>0</v>
      </c>
      <c r="E7">
        <f>'EPS Inputs'!E19</f>
        <v>0</v>
      </c>
      <c r="F7">
        <f>'EPS Inputs'!F19</f>
        <v>0</v>
      </c>
      <c r="G7">
        <f>'EPS Inputs'!G19</f>
        <v>0</v>
      </c>
      <c r="H7">
        <f>'EPS Inputs'!H19</f>
        <v>0</v>
      </c>
      <c r="I7">
        <f>'EPS Inputs'!I19</f>
        <v>0</v>
      </c>
      <c r="J7">
        <f>'EPS Inputs'!J19</f>
        <v>0</v>
      </c>
      <c r="K7">
        <f>'EPS Inputs'!K19</f>
        <v>0</v>
      </c>
      <c r="L7">
        <f>'EPS Inputs'!L19</f>
        <v>0</v>
      </c>
      <c r="M7">
        <f>'EPS Inputs'!M19</f>
        <v>0</v>
      </c>
      <c r="N7">
        <f>'EPS Inputs'!N19</f>
        <v>0</v>
      </c>
      <c r="O7">
        <f>'EPS Inputs'!O19</f>
        <v>0</v>
      </c>
      <c r="P7">
        <f>'EPS Inputs'!P19</f>
        <v>0</v>
      </c>
      <c r="Q7">
        <f>'EPS Inputs'!Q19</f>
        <v>0</v>
      </c>
      <c r="R7">
        <f>'EPS Inputs'!R19</f>
        <v>0</v>
      </c>
      <c r="S7">
        <f>'EPS Inputs'!S19</f>
        <v>0</v>
      </c>
      <c r="T7">
        <f>'EPS Inputs'!T19</f>
        <v>0</v>
      </c>
      <c r="U7">
        <f>'EPS Inputs'!U19</f>
        <v>0</v>
      </c>
      <c r="V7">
        <f>'EPS Inputs'!V19</f>
        <v>0</v>
      </c>
      <c r="W7">
        <f>'EPS Inputs'!W19</f>
        <v>0</v>
      </c>
      <c r="X7">
        <f>'EPS Inputs'!X19</f>
        <v>0.75435141900000002</v>
      </c>
      <c r="Y7">
        <f>'EPS Inputs'!Y19</f>
        <v>0</v>
      </c>
      <c r="Z7">
        <f>'EPS Inputs'!Z19</f>
        <v>0</v>
      </c>
      <c r="AA7">
        <f>'EPS Inputs'!AA19</f>
        <v>0</v>
      </c>
      <c r="AB7">
        <f>'EPS Inputs'!AB19</f>
        <v>0</v>
      </c>
      <c r="AC7">
        <f>'EPS Inputs'!AC19</f>
        <v>0</v>
      </c>
      <c r="AD7">
        <f>'EPS Inputs'!AD19</f>
        <v>0</v>
      </c>
      <c r="AE7">
        <f>'EPS Inputs'!AE19</f>
        <v>0</v>
      </c>
      <c r="AF7">
        <f>'EPS Inputs'!AF19</f>
        <v>0</v>
      </c>
      <c r="AG7">
        <f>'EPS Inputs'!AG19</f>
        <v>0.245648581</v>
      </c>
      <c r="AH7">
        <f>'EPS Inputs'!AH19</f>
        <v>0</v>
      </c>
      <c r="AI7">
        <f>'EPS Inputs'!AI19</f>
        <v>0</v>
      </c>
      <c r="AJ7">
        <f>'EPS Inputs'!AJ19</f>
        <v>0</v>
      </c>
      <c r="AK7">
        <f>'EPS Inputs'!AK19</f>
        <v>0</v>
      </c>
      <c r="AL7">
        <f>'EPS Inputs'!AL19</f>
        <v>0</v>
      </c>
      <c r="AM7">
        <f>'EPS Inputs'!AM19</f>
        <v>0</v>
      </c>
      <c r="AN7">
        <f>'EPS Inputs'!AN19</f>
        <v>0</v>
      </c>
      <c r="AO7">
        <f>'EPS Inputs'!AO19</f>
        <v>0</v>
      </c>
      <c r="AP7">
        <f>'EPS Inputs'!AP19</f>
        <v>0</v>
      </c>
      <c r="AQ7">
        <f>'EPS Inputs'!AQ19</f>
        <v>0</v>
      </c>
      <c r="AR7">
        <f>'EPS Inputs'!AR19</f>
        <v>0</v>
      </c>
      <c r="AS7">
        <f>'EPS Inputs'!AS19</f>
        <v>0</v>
      </c>
      <c r="AT7">
        <f>'EPS Inputs'!AT19</f>
        <v>0</v>
      </c>
      <c r="AU7">
        <f>'EPS Inputs'!AU19</f>
        <v>0</v>
      </c>
      <c r="AV7">
        <f>'EPS Inputs'!AV19</f>
        <v>0</v>
      </c>
      <c r="AW7">
        <f>'EPS Inputs'!AW19</f>
        <v>0</v>
      </c>
      <c r="AX7">
        <f>'EPS Inputs'!AX19</f>
        <v>0</v>
      </c>
      <c r="AY7">
        <f>'EPS Inputs'!AY19</f>
        <v>0</v>
      </c>
      <c r="AZ7">
        <f>'EPS Inputs'!AZ19</f>
        <v>0</v>
      </c>
      <c r="BA7">
        <f>'EPS Inputs'!BA19</f>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BA7"/>
  <sheetViews>
    <sheetView workbookViewId="0"/>
  </sheetViews>
  <sheetFormatPr defaultRowHeight="15" x14ac:dyDescent="0.25"/>
  <sheetData>
    <row r="1" spans="1:53" x14ac:dyDescent="0.25">
      <c r="A1" t="s">
        <v>231</v>
      </c>
      <c r="B1" t="s">
        <v>232</v>
      </c>
      <c r="C1" t="s">
        <v>233</v>
      </c>
      <c r="D1" t="s">
        <v>234</v>
      </c>
      <c r="E1" t="s">
        <v>235</v>
      </c>
      <c r="F1" t="s">
        <v>236</v>
      </c>
      <c r="G1" t="s">
        <v>237</v>
      </c>
      <c r="H1" t="s">
        <v>238</v>
      </c>
      <c r="I1" t="s">
        <v>239</v>
      </c>
      <c r="J1" t="s">
        <v>240</v>
      </c>
      <c r="K1" t="s">
        <v>241</v>
      </c>
      <c r="L1" t="s">
        <v>242</v>
      </c>
      <c r="M1" t="s">
        <v>243</v>
      </c>
      <c r="N1" t="s">
        <v>244</v>
      </c>
      <c r="O1" t="s">
        <v>245</v>
      </c>
      <c r="P1" t="s">
        <v>246</v>
      </c>
      <c r="Q1" t="s">
        <v>247</v>
      </c>
      <c r="R1" t="s">
        <v>248</v>
      </c>
      <c r="S1" t="s">
        <v>249</v>
      </c>
      <c r="T1" t="s">
        <v>250</v>
      </c>
      <c r="U1" t="s">
        <v>251</v>
      </c>
      <c r="V1" t="s">
        <v>252</v>
      </c>
      <c r="W1" t="s">
        <v>253</v>
      </c>
      <c r="X1" t="s">
        <v>254</v>
      </c>
      <c r="Y1" t="s">
        <v>255</v>
      </c>
      <c r="Z1" t="s">
        <v>256</v>
      </c>
      <c r="AA1" t="s">
        <v>257</v>
      </c>
      <c r="AB1" t="s">
        <v>258</v>
      </c>
      <c r="AC1" t="s">
        <v>259</v>
      </c>
      <c r="AD1" t="s">
        <v>260</v>
      </c>
      <c r="AE1" t="s">
        <v>261</v>
      </c>
      <c r="AF1" t="s">
        <v>262</v>
      </c>
      <c r="AG1" t="s">
        <v>263</v>
      </c>
      <c r="AH1" t="s">
        <v>264</v>
      </c>
      <c r="AI1" t="s">
        <v>265</v>
      </c>
      <c r="AJ1" t="s">
        <v>266</v>
      </c>
      <c r="AK1" t="s">
        <v>267</v>
      </c>
      <c r="AL1" t="s">
        <v>268</v>
      </c>
      <c r="AM1" t="s">
        <v>269</v>
      </c>
      <c r="AN1" t="s">
        <v>270</v>
      </c>
      <c r="AO1" t="s">
        <v>271</v>
      </c>
      <c r="AP1" t="s">
        <v>272</v>
      </c>
      <c r="AQ1" t="s">
        <v>273</v>
      </c>
      <c r="AR1" t="s">
        <v>274</v>
      </c>
      <c r="AS1" t="s">
        <v>275</v>
      </c>
      <c r="AT1" t="s">
        <v>276</v>
      </c>
      <c r="AU1" t="s">
        <v>277</v>
      </c>
      <c r="AV1" t="s">
        <v>278</v>
      </c>
      <c r="AW1" t="s">
        <v>279</v>
      </c>
      <c r="AX1" t="s">
        <v>280</v>
      </c>
      <c r="AY1" t="s">
        <v>281</v>
      </c>
      <c r="AZ1" t="s">
        <v>282</v>
      </c>
      <c r="BA1" t="s">
        <v>283</v>
      </c>
    </row>
    <row r="2" spans="1:53" x14ac:dyDescent="0.25">
      <c r="A2" t="s">
        <v>284</v>
      </c>
      <c r="B2">
        <f>INDEX(Calcs!$F$58:$F$109,MATCH(B$1,Calcs!$A$58:$A$109,0))</f>
        <v>0</v>
      </c>
      <c r="C2">
        <f>INDEX(Calcs!$F$58:$F$109,MATCH(C$1,Calcs!$A$58:$A$109,0))</f>
        <v>0</v>
      </c>
      <c r="D2">
        <f>INDEX(Calcs!$F$58:$F$109,MATCH(D$1,Calcs!$A$58:$A$109,0))</f>
        <v>0</v>
      </c>
      <c r="E2">
        <f>INDEX(Calcs!$F$58:$F$109,MATCH(E$1,Calcs!$A$58:$A$109,0))</f>
        <v>0</v>
      </c>
      <c r="F2">
        <f>INDEX(Calcs!$F$58:$F$109,MATCH(F$1,Calcs!$A$58:$A$109,0))</f>
        <v>0</v>
      </c>
      <c r="G2">
        <f>INDEX(Calcs!$F$58:$F$109,MATCH(G$1,Calcs!$A$58:$A$109,0))</f>
        <v>0</v>
      </c>
      <c r="H2">
        <f>INDEX(Calcs!$F$58:$F$109,MATCH(H$1,Calcs!$A$58:$A$109,0))</f>
        <v>0</v>
      </c>
      <c r="I2">
        <f>INDEX(Calcs!$F$58:$F$109,MATCH(I$1,Calcs!$A$58:$A$109,0))</f>
        <v>0</v>
      </c>
      <c r="J2">
        <f>INDEX(Calcs!$F$58:$F$109,MATCH(J$1,Calcs!$A$58:$A$109,0))</f>
        <v>0</v>
      </c>
      <c r="K2">
        <f>INDEX(Calcs!$F$58:$F$109,MATCH(K$1,Calcs!$A$58:$A$109,0))</f>
        <v>0</v>
      </c>
      <c r="L2">
        <f>INDEX(Calcs!$F$58:$F$109,MATCH(L$1,Calcs!$A$58:$A$109,0))</f>
        <v>0</v>
      </c>
      <c r="M2">
        <f>INDEX(Calcs!$F$58:$F$109,MATCH(M$1,Calcs!$A$58:$A$109,0))</f>
        <v>0</v>
      </c>
      <c r="N2">
        <f>INDEX(Calcs!$F$58:$F$109,MATCH(N$1,Calcs!$A$58:$A$109,0))</f>
        <v>0</v>
      </c>
      <c r="O2">
        <f>INDEX(Calcs!$F$58:$F$109,MATCH(O$1,Calcs!$A$58:$A$109,0))</f>
        <v>0</v>
      </c>
      <c r="P2">
        <f>INDEX(Calcs!$F$58:$F$109,MATCH(P$1,Calcs!$A$58:$A$109,0))</f>
        <v>0</v>
      </c>
      <c r="Q2">
        <f>INDEX(Calcs!$F$58:$F$109,MATCH(Q$1,Calcs!$A$58:$A$109,0))</f>
        <v>0</v>
      </c>
      <c r="R2">
        <f>INDEX(Calcs!$F$58:$F$109,MATCH(R$1,Calcs!$A$58:$A$109,0))</f>
        <v>0</v>
      </c>
      <c r="S2">
        <f>INDEX(Calcs!$F$58:$F$109,MATCH(S$1,Calcs!$A$58:$A$109,0))</f>
        <v>0</v>
      </c>
      <c r="T2">
        <f>INDEX(Calcs!$F$58:$F$109,MATCH(T$1,Calcs!$A$58:$A$109,0))</f>
        <v>0</v>
      </c>
      <c r="U2">
        <f>INDEX(Calcs!$F$58:$F$109,MATCH(U$1,Calcs!$A$58:$A$109,0))</f>
        <v>0</v>
      </c>
      <c r="V2">
        <f>INDEX(Calcs!$F$58:$F$109,MATCH(V$1,Calcs!$A$58:$A$109,0))</f>
        <v>6.2652119642991694E-2</v>
      </c>
      <c r="W2">
        <f>INDEX(Calcs!$F$58:$F$109,MATCH(W$1,Calcs!$A$58:$A$109,0))</f>
        <v>8.2476824567215584E-2</v>
      </c>
      <c r="X2">
        <f>INDEX(Calcs!$F$58:$F$109,MATCH(X$1,Calcs!$A$58:$A$109,0))</f>
        <v>3.5622900571994909E-2</v>
      </c>
      <c r="Y2">
        <f>INDEX(Calcs!$F$58:$F$109,MATCH(Y$1,Calcs!$A$58:$A$109,0))</f>
        <v>7.446325552416035E-3</v>
      </c>
      <c r="Z2">
        <f>INDEX(Calcs!$F$58:$F$109,MATCH(Z$1,Calcs!$A$58:$A$109,0))</f>
        <v>0</v>
      </c>
      <c r="AA2">
        <f>INDEX(Calcs!$F$58:$F$109,MATCH(AA$1,Calcs!$A$58:$A$109,0))</f>
        <v>0</v>
      </c>
      <c r="AB2">
        <f>INDEX(Calcs!$F$58:$F$109,MATCH(AB$1,Calcs!$A$58:$A$109,0))</f>
        <v>0</v>
      </c>
      <c r="AC2">
        <f>INDEX(Calcs!$F$58:$F$109,MATCH(AC$1,Calcs!$A$58:$A$109,0))</f>
        <v>0</v>
      </c>
      <c r="AD2">
        <f>INDEX(Calcs!$F$58:$F$109,MATCH(AD$1,Calcs!$A$58:$A$109,0))</f>
        <v>0</v>
      </c>
      <c r="AE2">
        <f>INDEX(Calcs!$F$58:$F$109,MATCH(AE$1,Calcs!$A$58:$A$109,0))</f>
        <v>0</v>
      </c>
      <c r="AF2">
        <f>INDEX(Calcs!$F$58:$F$109,MATCH(AF$1,Calcs!$A$58:$A$109,0))</f>
        <v>0</v>
      </c>
      <c r="AG2">
        <f>INDEX(Calcs!$F$58:$F$109,MATCH(AG$1,Calcs!$A$58:$A$109,0))</f>
        <v>0.70452348304815571</v>
      </c>
      <c r="AH2">
        <f>INDEX(Calcs!$F$58:$F$109,MATCH(AH$1,Calcs!$A$58:$A$109,0))</f>
        <v>0.10240893888644097</v>
      </c>
      <c r="AI2">
        <f>INDEX(Calcs!$F$58:$F$109,MATCH(AI$1,Calcs!$A$58:$A$109,0))</f>
        <v>4.8694077307852874E-3</v>
      </c>
      <c r="AJ2">
        <f>INDEX(Calcs!$F$58:$F$109,MATCH(AJ$1,Calcs!$A$58:$A$109,0))</f>
        <v>0</v>
      </c>
      <c r="AK2">
        <f>INDEX(Calcs!$F$58:$F$109,MATCH(AK$1,Calcs!$A$58:$A$109,0))</f>
        <v>0</v>
      </c>
      <c r="AL2">
        <f>INDEX(Calcs!$F$58:$F$109,MATCH(AL$1,Calcs!$A$58:$A$109,0))</f>
        <v>0</v>
      </c>
      <c r="AM2">
        <f>INDEX(Calcs!$F$58:$F$109,MATCH(AM$1,Calcs!$A$58:$A$109,0))</f>
        <v>0</v>
      </c>
      <c r="AN2">
        <f>INDEX(Calcs!$F$58:$F$109,MATCH(AN$1,Calcs!$A$58:$A$109,0))</f>
        <v>0</v>
      </c>
      <c r="AO2">
        <f>INDEX(Calcs!$F$58:$F$109,MATCH(AO$1,Calcs!$A$58:$A$109,0))</f>
        <v>0</v>
      </c>
      <c r="AP2">
        <f>INDEX(Calcs!$F$58:$F$109,MATCH(AP$1,Calcs!$A$58:$A$109,0))</f>
        <v>0</v>
      </c>
      <c r="AQ2">
        <f>INDEX(Calcs!$F$58:$F$109,MATCH(AQ$1,Calcs!$A$58:$A$109,0))</f>
        <v>0</v>
      </c>
      <c r="AR2">
        <f>INDEX(Calcs!$F$58:$F$109,MATCH(AR$1,Calcs!$A$58:$A$109,0))</f>
        <v>0</v>
      </c>
      <c r="AS2">
        <f>INDEX(Calcs!$F$58:$F$109,MATCH(AS$1,Calcs!$A$58:$A$109,0))</f>
        <v>0</v>
      </c>
      <c r="AT2">
        <f>INDEX(Calcs!$F$58:$F$109,MATCH(AT$1,Calcs!$A$58:$A$109,0))</f>
        <v>0</v>
      </c>
      <c r="AU2">
        <f>INDEX(Calcs!$F$58:$F$109,MATCH(AU$1,Calcs!$A$58:$A$109,0))</f>
        <v>0</v>
      </c>
      <c r="AV2">
        <f>INDEX(Calcs!$F$58:$F$109,MATCH(AV$1,Calcs!$A$58:$A$109,0))</f>
        <v>0</v>
      </c>
      <c r="AW2">
        <f>INDEX(Calcs!$F$58:$F$109,MATCH(AW$1,Calcs!$A$58:$A$109,0))</f>
        <v>0</v>
      </c>
      <c r="AX2">
        <f>INDEX(Calcs!$F$58:$F$109,MATCH(AX$1,Calcs!$A$58:$A$109,0))</f>
        <v>0</v>
      </c>
      <c r="AY2">
        <f>INDEX(Calcs!$F$58:$F$109,MATCH(AY$1,Calcs!$A$58:$A$109,0))</f>
        <v>0</v>
      </c>
      <c r="AZ2">
        <f>INDEX(Calcs!$F$58:$F$109,MATCH(AZ$1,Calcs!$A$58:$A$109,0))</f>
        <v>0</v>
      </c>
      <c r="BA2">
        <f>INDEX(Calcs!$F$58:$F$109,MATCH(BA$1,Calcs!$A$58:$A$109,0))</f>
        <v>0</v>
      </c>
    </row>
    <row r="3" spans="1:53" x14ac:dyDescent="0.25">
      <c r="A3" t="s">
        <v>285</v>
      </c>
      <c r="B3">
        <f>INDEX(Calcs!$G$58:$G$109,MATCH(B$1,Calcs!$A$58:$A$109,0))</f>
        <v>0</v>
      </c>
      <c r="C3">
        <f>INDEX(Calcs!$G$58:$G$109,MATCH(C$1,Calcs!$A$58:$A$109,0))</f>
        <v>0</v>
      </c>
      <c r="D3">
        <f>INDEX(Calcs!$G$58:$G$109,MATCH(D$1,Calcs!$A$58:$A$109,0))</f>
        <v>0</v>
      </c>
      <c r="E3">
        <f>INDEX(Calcs!$G$58:$G$109,MATCH(E$1,Calcs!$A$58:$A$109,0))</f>
        <v>0</v>
      </c>
      <c r="F3">
        <f>INDEX(Calcs!$G$58:$G$109,MATCH(F$1,Calcs!$A$58:$A$109,0))</f>
        <v>0</v>
      </c>
      <c r="G3">
        <f>INDEX(Calcs!$G$58:$G$109,MATCH(G$1,Calcs!$A$58:$A$109,0))</f>
        <v>0</v>
      </c>
      <c r="H3">
        <f>INDEX(Calcs!$G$58:$G$109,MATCH(H$1,Calcs!$A$58:$A$109,0))</f>
        <v>0</v>
      </c>
      <c r="I3">
        <f>INDEX(Calcs!$G$58:$G$109,MATCH(I$1,Calcs!$A$58:$A$109,0))</f>
        <v>0</v>
      </c>
      <c r="J3">
        <f>INDEX(Calcs!$G$58:$G$109,MATCH(J$1,Calcs!$A$58:$A$109,0))</f>
        <v>0</v>
      </c>
      <c r="K3">
        <f>INDEX(Calcs!$G$58:$G$109,MATCH(K$1,Calcs!$A$58:$A$109,0))</f>
        <v>0</v>
      </c>
      <c r="L3">
        <f>INDEX(Calcs!$G$58:$G$109,MATCH(L$1,Calcs!$A$58:$A$109,0))</f>
        <v>0</v>
      </c>
      <c r="M3">
        <f>INDEX(Calcs!$G$58:$G$109,MATCH(M$1,Calcs!$A$58:$A$109,0))</f>
        <v>0</v>
      </c>
      <c r="N3">
        <f>INDEX(Calcs!$G$58:$G$109,MATCH(N$1,Calcs!$A$58:$A$109,0))</f>
        <v>0</v>
      </c>
      <c r="O3">
        <f>INDEX(Calcs!$G$58:$G$109,MATCH(O$1,Calcs!$A$58:$A$109,0))</f>
        <v>0</v>
      </c>
      <c r="P3">
        <f>INDEX(Calcs!$G$58:$G$109,MATCH(P$1,Calcs!$A$58:$A$109,0))</f>
        <v>0</v>
      </c>
      <c r="Q3">
        <f>INDEX(Calcs!$G$58:$G$109,MATCH(Q$1,Calcs!$A$58:$A$109,0))</f>
        <v>0</v>
      </c>
      <c r="R3">
        <f>INDEX(Calcs!$G$58:$G$109,MATCH(R$1,Calcs!$A$58:$A$109,0))</f>
        <v>0</v>
      </c>
      <c r="S3">
        <f>INDEX(Calcs!$G$58:$G$109,MATCH(S$1,Calcs!$A$58:$A$109,0))</f>
        <v>0</v>
      </c>
      <c r="T3">
        <f>INDEX(Calcs!$G$58:$G$109,MATCH(T$1,Calcs!$A$58:$A$109,0))</f>
        <v>0</v>
      </c>
      <c r="U3">
        <f>INDEX(Calcs!$G$58:$G$109,MATCH(U$1,Calcs!$A$58:$A$109,0))</f>
        <v>0</v>
      </c>
      <c r="V3">
        <f>INDEX(Calcs!$G$58:$G$109,MATCH(V$1,Calcs!$A$58:$A$109,0))</f>
        <v>6.2652119642991694E-2</v>
      </c>
      <c r="W3">
        <f>INDEX(Calcs!$G$58:$G$109,MATCH(W$1,Calcs!$A$58:$A$109,0))</f>
        <v>8.2476824567215584E-2</v>
      </c>
      <c r="X3">
        <f>INDEX(Calcs!$G$58:$G$109,MATCH(X$1,Calcs!$A$58:$A$109,0))</f>
        <v>3.5622900571994909E-2</v>
      </c>
      <c r="Y3">
        <f>INDEX(Calcs!$G$58:$G$109,MATCH(Y$1,Calcs!$A$58:$A$109,0))</f>
        <v>7.446325552416035E-3</v>
      </c>
      <c r="Z3">
        <f>INDEX(Calcs!$G$58:$G$109,MATCH(Z$1,Calcs!$A$58:$A$109,0))</f>
        <v>0</v>
      </c>
      <c r="AA3">
        <f>INDEX(Calcs!$G$58:$G$109,MATCH(AA$1,Calcs!$A$58:$A$109,0))</f>
        <v>0</v>
      </c>
      <c r="AB3">
        <f>INDEX(Calcs!$G$58:$G$109,MATCH(AB$1,Calcs!$A$58:$A$109,0))</f>
        <v>0</v>
      </c>
      <c r="AC3">
        <f>INDEX(Calcs!$G$58:$G$109,MATCH(AC$1,Calcs!$A$58:$A$109,0))</f>
        <v>0</v>
      </c>
      <c r="AD3">
        <f>INDEX(Calcs!$G$58:$G$109,MATCH(AD$1,Calcs!$A$58:$A$109,0))</f>
        <v>0</v>
      </c>
      <c r="AE3">
        <f>INDEX(Calcs!$G$58:$G$109,MATCH(AE$1,Calcs!$A$58:$A$109,0))</f>
        <v>0</v>
      </c>
      <c r="AF3">
        <f>INDEX(Calcs!$G$58:$G$109,MATCH(AF$1,Calcs!$A$58:$A$109,0))</f>
        <v>0</v>
      </c>
      <c r="AG3">
        <f>INDEX(Calcs!$G$58:$G$109,MATCH(AG$1,Calcs!$A$58:$A$109,0))</f>
        <v>0.70452348304815571</v>
      </c>
      <c r="AH3">
        <f>INDEX(Calcs!$G$58:$G$109,MATCH(AH$1,Calcs!$A$58:$A$109,0))</f>
        <v>0.10240893888644097</v>
      </c>
      <c r="AI3">
        <f>INDEX(Calcs!$G$58:$G$109,MATCH(AI$1,Calcs!$A$58:$A$109,0))</f>
        <v>4.8694077307852874E-3</v>
      </c>
      <c r="AJ3">
        <f>INDEX(Calcs!$G$58:$G$109,MATCH(AJ$1,Calcs!$A$58:$A$109,0))</f>
        <v>0</v>
      </c>
      <c r="AK3">
        <f>INDEX(Calcs!$G$58:$G$109,MATCH(AK$1,Calcs!$A$58:$A$109,0))</f>
        <v>0</v>
      </c>
      <c r="AL3">
        <f>INDEX(Calcs!$G$58:$G$109,MATCH(AL$1,Calcs!$A$58:$A$109,0))</f>
        <v>0</v>
      </c>
      <c r="AM3">
        <f>INDEX(Calcs!$G$58:$G$109,MATCH(AM$1,Calcs!$A$58:$A$109,0))</f>
        <v>0</v>
      </c>
      <c r="AN3">
        <f>INDEX(Calcs!$G$58:$G$109,MATCH(AN$1,Calcs!$A$58:$A$109,0))</f>
        <v>0</v>
      </c>
      <c r="AO3">
        <f>INDEX(Calcs!$G$58:$G$109,MATCH(AO$1,Calcs!$A$58:$A$109,0))</f>
        <v>0</v>
      </c>
      <c r="AP3">
        <f>INDEX(Calcs!$G$58:$G$109,MATCH(AP$1,Calcs!$A$58:$A$109,0))</f>
        <v>0</v>
      </c>
      <c r="AQ3">
        <f>INDEX(Calcs!$G$58:$G$109,MATCH(AQ$1,Calcs!$A$58:$A$109,0))</f>
        <v>0</v>
      </c>
      <c r="AR3">
        <f>INDEX(Calcs!$G$58:$G$109,MATCH(AR$1,Calcs!$A$58:$A$109,0))</f>
        <v>0</v>
      </c>
      <c r="AS3">
        <f>INDEX(Calcs!$G$58:$G$109,MATCH(AS$1,Calcs!$A$58:$A$109,0))</f>
        <v>0</v>
      </c>
      <c r="AT3">
        <f>INDEX(Calcs!$G$58:$G$109,MATCH(AT$1,Calcs!$A$58:$A$109,0))</f>
        <v>0</v>
      </c>
      <c r="AU3">
        <f>INDEX(Calcs!$G$58:$G$109,MATCH(AU$1,Calcs!$A$58:$A$109,0))</f>
        <v>0</v>
      </c>
      <c r="AV3">
        <f>INDEX(Calcs!$G$58:$G$109,MATCH(AV$1,Calcs!$A$58:$A$109,0))</f>
        <v>0</v>
      </c>
      <c r="AW3">
        <f>INDEX(Calcs!$G$58:$G$109,MATCH(AW$1,Calcs!$A$58:$A$109,0))</f>
        <v>0</v>
      </c>
      <c r="AX3">
        <f>INDEX(Calcs!$G$58:$G$109,MATCH(AX$1,Calcs!$A$58:$A$109,0))</f>
        <v>0</v>
      </c>
      <c r="AY3">
        <f>INDEX(Calcs!$G$58:$G$109,MATCH(AY$1,Calcs!$A$58:$A$109,0))</f>
        <v>0</v>
      </c>
      <c r="AZ3">
        <f>INDEX(Calcs!$G$58:$G$109,MATCH(AZ$1,Calcs!$A$58:$A$109,0))</f>
        <v>0</v>
      </c>
      <c r="BA3">
        <f>INDEX(Calcs!$G$58:$G$109,MATCH(BA$1,Calcs!$A$58:$A$109,0))</f>
        <v>0</v>
      </c>
    </row>
    <row r="4" spans="1:53" x14ac:dyDescent="0.25">
      <c r="A4" t="s">
        <v>101</v>
      </c>
      <c r="B4">
        <f>'EPS Inputs'!B25</f>
        <v>0</v>
      </c>
      <c r="C4">
        <f>'EPS Inputs'!C25</f>
        <v>0</v>
      </c>
      <c r="D4">
        <f>'EPS Inputs'!D25</f>
        <v>0</v>
      </c>
      <c r="E4">
        <f>'EPS Inputs'!E25</f>
        <v>0</v>
      </c>
      <c r="F4">
        <f>'EPS Inputs'!F25</f>
        <v>0</v>
      </c>
      <c r="G4">
        <f>'EPS Inputs'!G25</f>
        <v>0</v>
      </c>
      <c r="H4">
        <f>'EPS Inputs'!H25</f>
        <v>0</v>
      </c>
      <c r="I4">
        <f>'EPS Inputs'!I25</f>
        <v>0</v>
      </c>
      <c r="J4">
        <f>'EPS Inputs'!J25</f>
        <v>0</v>
      </c>
      <c r="K4">
        <f>'EPS Inputs'!K25</f>
        <v>0</v>
      </c>
      <c r="L4">
        <f>'EPS Inputs'!L25</f>
        <v>0</v>
      </c>
      <c r="M4">
        <f>'EPS Inputs'!M25</f>
        <v>0</v>
      </c>
      <c r="N4">
        <f>'EPS Inputs'!N25</f>
        <v>0</v>
      </c>
      <c r="O4">
        <f>'EPS Inputs'!O25</f>
        <v>0</v>
      </c>
      <c r="P4">
        <f>'EPS Inputs'!P25</f>
        <v>0</v>
      </c>
      <c r="Q4">
        <f>'EPS Inputs'!Q25</f>
        <v>0</v>
      </c>
      <c r="R4">
        <f>'EPS Inputs'!R25</f>
        <v>0</v>
      </c>
      <c r="S4">
        <f>'EPS Inputs'!S25</f>
        <v>0</v>
      </c>
      <c r="T4">
        <f>'EPS Inputs'!T25</f>
        <v>0</v>
      </c>
      <c r="U4">
        <f>'EPS Inputs'!U25</f>
        <v>0</v>
      </c>
      <c r="V4">
        <f>'EPS Inputs'!V25</f>
        <v>0</v>
      </c>
      <c r="W4">
        <f>'EPS Inputs'!W25</f>
        <v>0</v>
      </c>
      <c r="X4">
        <f>'EPS Inputs'!X25</f>
        <v>0</v>
      </c>
      <c r="Y4">
        <f>'EPS Inputs'!Y25</f>
        <v>0</v>
      </c>
      <c r="Z4">
        <f>'EPS Inputs'!Z25</f>
        <v>0</v>
      </c>
      <c r="AA4">
        <f>'EPS Inputs'!AA25</f>
        <v>0</v>
      </c>
      <c r="AB4">
        <f>'EPS Inputs'!AB25</f>
        <v>0</v>
      </c>
      <c r="AC4">
        <f>'EPS Inputs'!AC25</f>
        <v>0</v>
      </c>
      <c r="AD4">
        <f>'EPS Inputs'!AD25</f>
        <v>0</v>
      </c>
      <c r="AE4">
        <f>'EPS Inputs'!AE25</f>
        <v>0</v>
      </c>
      <c r="AF4">
        <f>'EPS Inputs'!AF25</f>
        <v>0</v>
      </c>
      <c r="AG4">
        <f>'EPS Inputs'!AG25</f>
        <v>0</v>
      </c>
      <c r="AH4">
        <f>'EPS Inputs'!AH25</f>
        <v>0</v>
      </c>
      <c r="AI4">
        <f>'EPS Inputs'!AI25</f>
        <v>0</v>
      </c>
      <c r="AJ4">
        <f>'EPS Inputs'!AJ25</f>
        <v>0</v>
      </c>
      <c r="AK4">
        <f>'EPS Inputs'!AK25</f>
        <v>0</v>
      </c>
      <c r="AL4">
        <f>'EPS Inputs'!AL25</f>
        <v>0</v>
      </c>
      <c r="AM4">
        <f>'EPS Inputs'!AM25</f>
        <v>0</v>
      </c>
      <c r="AN4">
        <f>'EPS Inputs'!AN25</f>
        <v>0</v>
      </c>
      <c r="AO4">
        <f>'EPS Inputs'!AO25</f>
        <v>0</v>
      </c>
      <c r="AP4">
        <f>'EPS Inputs'!AP25</f>
        <v>0</v>
      </c>
      <c r="AQ4">
        <f>'EPS Inputs'!AQ25</f>
        <v>0</v>
      </c>
      <c r="AR4">
        <f>'EPS Inputs'!AR25</f>
        <v>0</v>
      </c>
      <c r="AS4">
        <f>'EPS Inputs'!AS25</f>
        <v>0</v>
      </c>
      <c r="AT4">
        <f>'EPS Inputs'!AT25</f>
        <v>0</v>
      </c>
      <c r="AU4">
        <f>'EPS Inputs'!AU25</f>
        <v>0</v>
      </c>
      <c r="AV4">
        <f>'EPS Inputs'!AV25</f>
        <v>0</v>
      </c>
      <c r="AW4">
        <f>'EPS Inputs'!AW25</f>
        <v>0</v>
      </c>
      <c r="AX4">
        <f>'EPS Inputs'!AX25</f>
        <v>0</v>
      </c>
      <c r="AY4">
        <f>'EPS Inputs'!AY25</f>
        <v>0</v>
      </c>
      <c r="AZ4">
        <f>'EPS Inputs'!AZ25</f>
        <v>0</v>
      </c>
      <c r="BA4">
        <f>'EPS Inputs'!BA25</f>
        <v>0</v>
      </c>
    </row>
    <row r="5" spans="1:53" x14ac:dyDescent="0.25">
      <c r="A5" t="s">
        <v>82</v>
      </c>
      <c r="B5">
        <f>'EPS Inputs'!B26</f>
        <v>0</v>
      </c>
      <c r="C5">
        <f>'EPS Inputs'!C26</f>
        <v>0</v>
      </c>
      <c r="D5">
        <f>'EPS Inputs'!D26</f>
        <v>0</v>
      </c>
      <c r="E5">
        <f>'EPS Inputs'!E26</f>
        <v>0</v>
      </c>
      <c r="F5">
        <f>'EPS Inputs'!F26</f>
        <v>0</v>
      </c>
      <c r="G5">
        <f>'EPS Inputs'!G26</f>
        <v>0</v>
      </c>
      <c r="H5">
        <f>'EPS Inputs'!H26</f>
        <v>0</v>
      </c>
      <c r="I5">
        <f>'EPS Inputs'!I26</f>
        <v>0</v>
      </c>
      <c r="J5">
        <f>'EPS Inputs'!J26</f>
        <v>0</v>
      </c>
      <c r="K5">
        <f>'EPS Inputs'!K26</f>
        <v>0</v>
      </c>
      <c r="L5">
        <f>'EPS Inputs'!L26</f>
        <v>0</v>
      </c>
      <c r="M5">
        <f>'EPS Inputs'!M26</f>
        <v>0</v>
      </c>
      <c r="N5">
        <f>'EPS Inputs'!N26</f>
        <v>0</v>
      </c>
      <c r="O5">
        <f>'EPS Inputs'!O26</f>
        <v>0</v>
      </c>
      <c r="P5">
        <f>'EPS Inputs'!P26</f>
        <v>0</v>
      </c>
      <c r="Q5">
        <f>'EPS Inputs'!Q26</f>
        <v>0</v>
      </c>
      <c r="R5">
        <f>'EPS Inputs'!R26</f>
        <v>0</v>
      </c>
      <c r="S5">
        <f>'EPS Inputs'!S26</f>
        <v>0</v>
      </c>
      <c r="T5">
        <f>'EPS Inputs'!T26</f>
        <v>0</v>
      </c>
      <c r="U5">
        <f>'EPS Inputs'!U26</f>
        <v>0</v>
      </c>
      <c r="V5">
        <f>'EPS Inputs'!V26</f>
        <v>0</v>
      </c>
      <c r="W5">
        <f>'EPS Inputs'!W26</f>
        <v>0</v>
      </c>
      <c r="X5">
        <f>'EPS Inputs'!X26</f>
        <v>0.407668947</v>
      </c>
      <c r="Y5">
        <f>'EPS Inputs'!Y26</f>
        <v>0</v>
      </c>
      <c r="Z5">
        <f>'EPS Inputs'!Z26</f>
        <v>0</v>
      </c>
      <c r="AA5">
        <f>'EPS Inputs'!AA26</f>
        <v>0</v>
      </c>
      <c r="AB5">
        <f>'EPS Inputs'!AB26</f>
        <v>0</v>
      </c>
      <c r="AC5">
        <f>'EPS Inputs'!AC26</f>
        <v>0</v>
      </c>
      <c r="AD5">
        <f>'EPS Inputs'!AD26</f>
        <v>0</v>
      </c>
      <c r="AE5">
        <f>'EPS Inputs'!AE26</f>
        <v>0</v>
      </c>
      <c r="AF5">
        <f>'EPS Inputs'!AF26</f>
        <v>0</v>
      </c>
      <c r="AG5">
        <f>'EPS Inputs'!AG26</f>
        <v>0.592331053</v>
      </c>
      <c r="AH5">
        <f>'EPS Inputs'!AH26</f>
        <v>0</v>
      </c>
      <c r="AI5">
        <f>'EPS Inputs'!AI26</f>
        <v>0</v>
      </c>
      <c r="AJ5">
        <f>'EPS Inputs'!AJ26</f>
        <v>0</v>
      </c>
      <c r="AK5">
        <f>'EPS Inputs'!AK26</f>
        <v>0</v>
      </c>
      <c r="AL5">
        <f>'EPS Inputs'!AL26</f>
        <v>0</v>
      </c>
      <c r="AM5">
        <f>'EPS Inputs'!AM26</f>
        <v>0</v>
      </c>
      <c r="AN5">
        <f>'EPS Inputs'!AN26</f>
        <v>0</v>
      </c>
      <c r="AO5">
        <f>'EPS Inputs'!AO26</f>
        <v>0</v>
      </c>
      <c r="AP5">
        <f>'EPS Inputs'!AP26</f>
        <v>0</v>
      </c>
      <c r="AQ5">
        <f>'EPS Inputs'!AQ26</f>
        <v>0</v>
      </c>
      <c r="AR5">
        <f>'EPS Inputs'!AR26</f>
        <v>0</v>
      </c>
      <c r="AS5">
        <f>'EPS Inputs'!AS26</f>
        <v>0</v>
      </c>
      <c r="AT5">
        <f>'EPS Inputs'!AT26</f>
        <v>0</v>
      </c>
      <c r="AU5">
        <f>'EPS Inputs'!AU26</f>
        <v>0</v>
      </c>
      <c r="AV5">
        <f>'EPS Inputs'!AV26</f>
        <v>0</v>
      </c>
      <c r="AW5">
        <f>'EPS Inputs'!AW26</f>
        <v>0</v>
      </c>
      <c r="AX5">
        <f>'EPS Inputs'!AX26</f>
        <v>0</v>
      </c>
      <c r="AY5">
        <f>'EPS Inputs'!AY26</f>
        <v>0</v>
      </c>
      <c r="AZ5">
        <f>'EPS Inputs'!AZ26</f>
        <v>0</v>
      </c>
      <c r="BA5">
        <f>'EPS Inputs'!BA26</f>
        <v>0</v>
      </c>
    </row>
    <row r="6" spans="1:53" x14ac:dyDescent="0.25">
      <c r="A6" t="s">
        <v>286</v>
      </c>
      <c r="B6">
        <f>'EPS Inputs'!B27</f>
        <v>0</v>
      </c>
      <c r="C6">
        <f>'EPS Inputs'!C27</f>
        <v>0</v>
      </c>
      <c r="D6">
        <f>'EPS Inputs'!D27</f>
        <v>0</v>
      </c>
      <c r="E6">
        <f>'EPS Inputs'!E27</f>
        <v>0</v>
      </c>
      <c r="F6">
        <f>'EPS Inputs'!F27</f>
        <v>0</v>
      </c>
      <c r="G6">
        <f>'EPS Inputs'!G27</f>
        <v>0</v>
      </c>
      <c r="H6">
        <f>'EPS Inputs'!H27</f>
        <v>0</v>
      </c>
      <c r="I6">
        <f>'EPS Inputs'!I27</f>
        <v>0</v>
      </c>
      <c r="J6">
        <f>'EPS Inputs'!J27</f>
        <v>0</v>
      </c>
      <c r="K6">
        <f>'EPS Inputs'!K27</f>
        <v>0</v>
      </c>
      <c r="L6">
        <f>'EPS Inputs'!L27</f>
        <v>0</v>
      </c>
      <c r="M6">
        <f>'EPS Inputs'!M27</f>
        <v>0</v>
      </c>
      <c r="N6">
        <f>'EPS Inputs'!N27</f>
        <v>0</v>
      </c>
      <c r="O6">
        <f>'EPS Inputs'!O27</f>
        <v>0</v>
      </c>
      <c r="P6">
        <f>'EPS Inputs'!P27</f>
        <v>0</v>
      </c>
      <c r="Q6">
        <f>'EPS Inputs'!Q27</f>
        <v>0</v>
      </c>
      <c r="R6">
        <f>'EPS Inputs'!R27</f>
        <v>0</v>
      </c>
      <c r="S6">
        <f>'EPS Inputs'!S27</f>
        <v>0</v>
      </c>
      <c r="T6">
        <f>'EPS Inputs'!T27</f>
        <v>0</v>
      </c>
      <c r="U6">
        <f>'EPS Inputs'!U27</f>
        <v>0</v>
      </c>
      <c r="V6">
        <f>'EPS Inputs'!V27</f>
        <v>0</v>
      </c>
      <c r="W6">
        <f>'EPS Inputs'!W27</f>
        <v>0</v>
      </c>
      <c r="X6">
        <f>'EPS Inputs'!X27</f>
        <v>0.75439887000000005</v>
      </c>
      <c r="Y6">
        <f>'EPS Inputs'!Y27</f>
        <v>0</v>
      </c>
      <c r="Z6">
        <f>'EPS Inputs'!Z27</f>
        <v>0</v>
      </c>
      <c r="AA6">
        <f>'EPS Inputs'!AA27</f>
        <v>0</v>
      </c>
      <c r="AB6">
        <f>'EPS Inputs'!AB27</f>
        <v>0</v>
      </c>
      <c r="AC6">
        <f>'EPS Inputs'!AC27</f>
        <v>0</v>
      </c>
      <c r="AD6">
        <f>'EPS Inputs'!AD27</f>
        <v>0</v>
      </c>
      <c r="AE6">
        <f>'EPS Inputs'!AE27</f>
        <v>0</v>
      </c>
      <c r="AF6">
        <f>'EPS Inputs'!AF27</f>
        <v>0</v>
      </c>
      <c r="AG6">
        <f>'EPS Inputs'!AG27</f>
        <v>0.24560113</v>
      </c>
      <c r="AH6">
        <f>'EPS Inputs'!AH27</f>
        <v>0</v>
      </c>
      <c r="AI6">
        <f>'EPS Inputs'!AI27</f>
        <v>0</v>
      </c>
      <c r="AJ6">
        <f>'EPS Inputs'!AJ27</f>
        <v>0</v>
      </c>
      <c r="AK6">
        <f>'EPS Inputs'!AK27</f>
        <v>0</v>
      </c>
      <c r="AL6">
        <f>'EPS Inputs'!AL27</f>
        <v>0</v>
      </c>
      <c r="AM6">
        <f>'EPS Inputs'!AM27</f>
        <v>0</v>
      </c>
      <c r="AN6">
        <f>'EPS Inputs'!AN27</f>
        <v>0</v>
      </c>
      <c r="AO6">
        <f>'EPS Inputs'!AO27</f>
        <v>0</v>
      </c>
      <c r="AP6">
        <f>'EPS Inputs'!AP27</f>
        <v>0</v>
      </c>
      <c r="AQ6">
        <f>'EPS Inputs'!AQ27</f>
        <v>0</v>
      </c>
      <c r="AR6">
        <f>'EPS Inputs'!AR27</f>
        <v>0</v>
      </c>
      <c r="AS6">
        <f>'EPS Inputs'!AS27</f>
        <v>0</v>
      </c>
      <c r="AT6">
        <f>'EPS Inputs'!AT27</f>
        <v>0</v>
      </c>
      <c r="AU6">
        <f>'EPS Inputs'!AU27</f>
        <v>0</v>
      </c>
      <c r="AV6">
        <f>'EPS Inputs'!AV27</f>
        <v>0</v>
      </c>
      <c r="AW6">
        <f>'EPS Inputs'!AW27</f>
        <v>0</v>
      </c>
      <c r="AX6">
        <f>'EPS Inputs'!AX27</f>
        <v>0</v>
      </c>
      <c r="AY6">
        <f>'EPS Inputs'!AY27</f>
        <v>0</v>
      </c>
      <c r="AZ6">
        <f>'EPS Inputs'!AZ27</f>
        <v>0</v>
      </c>
      <c r="BA6">
        <f>'EPS Inputs'!BA27</f>
        <v>0</v>
      </c>
    </row>
    <row r="7" spans="1:53" x14ac:dyDescent="0.25">
      <c r="A7" t="s">
        <v>104</v>
      </c>
      <c r="B7">
        <f>'EPS Inputs'!B28</f>
        <v>0</v>
      </c>
      <c r="C7">
        <f>'EPS Inputs'!C28</f>
        <v>0</v>
      </c>
      <c r="D7">
        <f>'EPS Inputs'!D28</f>
        <v>0</v>
      </c>
      <c r="E7">
        <f>'EPS Inputs'!E28</f>
        <v>0</v>
      </c>
      <c r="F7">
        <f>'EPS Inputs'!F28</f>
        <v>0</v>
      </c>
      <c r="G7">
        <f>'EPS Inputs'!G28</f>
        <v>0</v>
      </c>
      <c r="H7">
        <f>'EPS Inputs'!H28</f>
        <v>0</v>
      </c>
      <c r="I7">
        <f>'EPS Inputs'!I28</f>
        <v>0</v>
      </c>
      <c r="J7">
        <f>'EPS Inputs'!J28</f>
        <v>0</v>
      </c>
      <c r="K7">
        <f>'EPS Inputs'!K28</f>
        <v>0</v>
      </c>
      <c r="L7">
        <f>'EPS Inputs'!L28</f>
        <v>0</v>
      </c>
      <c r="M7">
        <f>'EPS Inputs'!M28</f>
        <v>0</v>
      </c>
      <c r="N7">
        <f>'EPS Inputs'!N28</f>
        <v>0</v>
      </c>
      <c r="O7">
        <f>'EPS Inputs'!O28</f>
        <v>0</v>
      </c>
      <c r="P7">
        <f>'EPS Inputs'!P28</f>
        <v>0</v>
      </c>
      <c r="Q7">
        <f>'EPS Inputs'!Q28</f>
        <v>0</v>
      </c>
      <c r="R7">
        <f>'EPS Inputs'!R28</f>
        <v>0</v>
      </c>
      <c r="S7">
        <f>'EPS Inputs'!S28</f>
        <v>0</v>
      </c>
      <c r="T7">
        <f>'EPS Inputs'!T28</f>
        <v>0</v>
      </c>
      <c r="U7">
        <f>'EPS Inputs'!U28</f>
        <v>0</v>
      </c>
      <c r="V7">
        <f>'EPS Inputs'!V28</f>
        <v>0</v>
      </c>
      <c r="W7">
        <f>'EPS Inputs'!W28</f>
        <v>0</v>
      </c>
      <c r="X7">
        <f>'EPS Inputs'!X28</f>
        <v>0.75439887000000005</v>
      </c>
      <c r="Y7">
        <f>'EPS Inputs'!Y28</f>
        <v>0</v>
      </c>
      <c r="Z7">
        <f>'EPS Inputs'!Z28</f>
        <v>0</v>
      </c>
      <c r="AA7">
        <f>'EPS Inputs'!AA28</f>
        <v>0</v>
      </c>
      <c r="AB7">
        <f>'EPS Inputs'!AB28</f>
        <v>0</v>
      </c>
      <c r="AC7">
        <f>'EPS Inputs'!AC28</f>
        <v>0</v>
      </c>
      <c r="AD7">
        <f>'EPS Inputs'!AD28</f>
        <v>0</v>
      </c>
      <c r="AE7">
        <f>'EPS Inputs'!AE28</f>
        <v>0</v>
      </c>
      <c r="AF7">
        <f>'EPS Inputs'!AF28</f>
        <v>0</v>
      </c>
      <c r="AG7">
        <f>'EPS Inputs'!AG28</f>
        <v>0.24560113</v>
      </c>
      <c r="AH7">
        <f>'EPS Inputs'!AH28</f>
        <v>0</v>
      </c>
      <c r="AI7">
        <f>'EPS Inputs'!AI28</f>
        <v>0</v>
      </c>
      <c r="AJ7">
        <f>'EPS Inputs'!AJ28</f>
        <v>0</v>
      </c>
      <c r="AK7">
        <f>'EPS Inputs'!AK28</f>
        <v>0</v>
      </c>
      <c r="AL7">
        <f>'EPS Inputs'!AL28</f>
        <v>0</v>
      </c>
      <c r="AM7">
        <f>'EPS Inputs'!AM28</f>
        <v>0</v>
      </c>
      <c r="AN7">
        <f>'EPS Inputs'!AN28</f>
        <v>0</v>
      </c>
      <c r="AO7">
        <f>'EPS Inputs'!AO28</f>
        <v>0</v>
      </c>
      <c r="AP7">
        <f>'EPS Inputs'!AP28</f>
        <v>0</v>
      </c>
      <c r="AQ7">
        <f>'EPS Inputs'!AQ28</f>
        <v>0</v>
      </c>
      <c r="AR7">
        <f>'EPS Inputs'!AR28</f>
        <v>0</v>
      </c>
      <c r="AS7">
        <f>'EPS Inputs'!AS28</f>
        <v>0</v>
      </c>
      <c r="AT7">
        <f>'EPS Inputs'!AT28</f>
        <v>0</v>
      </c>
      <c r="AU7">
        <f>'EPS Inputs'!AU28</f>
        <v>0</v>
      </c>
      <c r="AV7">
        <f>'EPS Inputs'!AV28</f>
        <v>0</v>
      </c>
      <c r="AW7">
        <f>'EPS Inputs'!AW28</f>
        <v>0</v>
      </c>
      <c r="AX7">
        <f>'EPS Inputs'!AX28</f>
        <v>0</v>
      </c>
      <c r="AY7">
        <f>'EPS Inputs'!AY28</f>
        <v>0</v>
      </c>
      <c r="AZ7">
        <f>'EPS Inputs'!AZ28</f>
        <v>0</v>
      </c>
      <c r="BA7">
        <f>'EPS Inputs'!BA28</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LBNL 2021 Res Costs</vt:lpstr>
      <vt:lpstr>BEEx 2015 MF Costs</vt:lpstr>
      <vt:lpstr>PNNL Office Measures</vt:lpstr>
      <vt:lpstr>BEA 2017 Margins</vt:lpstr>
      <vt:lpstr>NAICS-ISIC Concordance</vt:lpstr>
      <vt:lpstr>EPS Inputs</vt:lpstr>
      <vt:lpstr>Calcs</vt:lpstr>
      <vt:lpstr>Checks</vt:lpstr>
      <vt:lpstr>SoBRCbIC-urbanresidential</vt:lpstr>
      <vt:lpstr>SoBRCbIC-ruralresidential</vt:lpstr>
      <vt:lpstr>SoBRCbIC-commercial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2026-10-26T14:14:19Z</dcterms:created>
  <dcterms:modified xsi:type="dcterms:W3CDTF">2026-10-26T14:14:21Z</dcterms:modified>
</cp:coreProperties>
</file>