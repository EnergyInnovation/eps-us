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DanOBrien\Models\EPS\US\eps-us\.claude\worktrees\retrofit-isic-split\InputData\bldgs\SoBRCbIC\"/>
    </mc:Choice>
  </mc:AlternateContent>
  <xr:revisionPtr revIDLastSave="0" documentId="13_ncr:1_{CD5CA52E-EDC9-4914-95D0-5EE17B0D93F5}" xr6:coauthVersionLast="47" xr6:coauthVersionMax="47" xr10:uidLastSave="{00000000-0000-0000-0000-000000000000}"/>
  <bookViews>
    <workbookView xWindow="-110" yWindow="-110" windowWidth="19420" windowHeight="11500" xr2:uid="{00000000-000D-0000-FFFF-FFFF00000000}"/>
  </bookViews>
  <sheets>
    <sheet name="About" sheetId="1" r:id="rId1"/>
    <sheet name="LBNL 2021 Res Costs" sheetId="2" r:id="rId2"/>
    <sheet name="BEEx 2015 MF Costs" sheetId="3" r:id="rId3"/>
    <sheet name="PNNL Office Measures" sheetId="4" r:id="rId4"/>
    <sheet name="BEA 2017 Margins" sheetId="5" r:id="rId5"/>
    <sheet name="NAICS-ISIC Concordance" sheetId="6" r:id="rId6"/>
    <sheet name="EPS Inputs" sheetId="7" r:id="rId7"/>
    <sheet name="Calcs" sheetId="8" r:id="rId8"/>
    <sheet name="Checks" sheetId="9" r:id="rId9"/>
    <sheet name="SoBRCbIC-urbanresidential" sheetId="10" r:id="rId10"/>
    <sheet name="SoBRCbIC-ruralresidential" sheetId="11" r:id="rId11"/>
    <sheet name="SoBRCbIC-commercial" sheetId="12" r:id="rId12"/>
    <sheet name="SoBRCbIC-data-centers"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7" i="13" l="1"/>
  <c r="AZ7" i="13"/>
  <c r="AY7" i="13"/>
  <c r="AX7" i="13"/>
  <c r="AW7" i="13"/>
  <c r="AV7" i="13"/>
  <c r="AU7" i="13"/>
  <c r="AT7" i="13"/>
  <c r="AS7" i="13"/>
  <c r="AR7" i="13"/>
  <c r="AQ7" i="13"/>
  <c r="AP7" i="13"/>
  <c r="AO7" i="13"/>
  <c r="AN7" i="13"/>
  <c r="AM7" i="13"/>
  <c r="AL7" i="13"/>
  <c r="AK7" i="13"/>
  <c r="AJ7" i="13"/>
  <c r="AI7" i="13"/>
  <c r="AH7" i="13"/>
  <c r="AG7" i="13"/>
  <c r="AF7" i="13"/>
  <c r="AE7" i="13"/>
  <c r="AD7" i="13"/>
  <c r="AC7" i="13"/>
  <c r="AB7" i="13"/>
  <c r="AA7" i="13"/>
  <c r="Z7" i="13"/>
  <c r="Y7" i="13"/>
  <c r="X7" i="13"/>
  <c r="W7" i="13"/>
  <c r="V7" i="13"/>
  <c r="U7" i="13"/>
  <c r="T7" i="13"/>
  <c r="S7" i="13"/>
  <c r="R7" i="13"/>
  <c r="Q7" i="13"/>
  <c r="P7" i="13"/>
  <c r="O7" i="13"/>
  <c r="N7" i="13"/>
  <c r="M7" i="13"/>
  <c r="L7" i="13"/>
  <c r="K7" i="13"/>
  <c r="J7" i="13"/>
  <c r="I7" i="13"/>
  <c r="H7" i="13"/>
  <c r="G7" i="13"/>
  <c r="F7" i="13"/>
  <c r="E7" i="13"/>
  <c r="D7" i="13"/>
  <c r="C7" i="13"/>
  <c r="B7" i="13"/>
  <c r="BA6" i="13"/>
  <c r="AZ6" i="13"/>
  <c r="AY6" i="13"/>
  <c r="AX6" i="13"/>
  <c r="AW6" i="13"/>
  <c r="AV6" i="13"/>
  <c r="AU6" i="13"/>
  <c r="AT6" i="13"/>
  <c r="AS6" i="13"/>
  <c r="AR6" i="13"/>
  <c r="AQ6" i="13"/>
  <c r="AP6" i="13"/>
  <c r="AO6" i="13"/>
  <c r="AN6" i="13"/>
  <c r="AM6" i="13"/>
  <c r="AL6" i="13"/>
  <c r="AK6" i="13"/>
  <c r="AJ6" i="13"/>
  <c r="AI6" i="13"/>
  <c r="AH6" i="13"/>
  <c r="AG6" i="13"/>
  <c r="AF6" i="13"/>
  <c r="AE6" i="13"/>
  <c r="AD6" i="13"/>
  <c r="AC6"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BA5" i="13"/>
  <c r="AZ5" i="13"/>
  <c r="AY5" i="13"/>
  <c r="AX5" i="13"/>
  <c r="AW5" i="13"/>
  <c r="AV5" i="13"/>
  <c r="AU5" i="13"/>
  <c r="AT5" i="13"/>
  <c r="AS5" i="13"/>
  <c r="AR5" i="13"/>
  <c r="AQ5" i="13"/>
  <c r="AP5" i="13"/>
  <c r="AO5" i="13"/>
  <c r="AN5" i="13"/>
  <c r="AM5" i="13"/>
  <c r="AL5" i="13"/>
  <c r="AK5" i="13"/>
  <c r="AJ5" i="13"/>
  <c r="AI5" i="13"/>
  <c r="AH5" i="13"/>
  <c r="AG5" i="13"/>
  <c r="AF5" i="13"/>
  <c r="AE5" i="13"/>
  <c r="AD5" i="13"/>
  <c r="AC5" i="13"/>
  <c r="AB5" i="13"/>
  <c r="AA5" i="13"/>
  <c r="Z5" i="13"/>
  <c r="Y5" i="13"/>
  <c r="X5" i="13"/>
  <c r="W5" i="13"/>
  <c r="V5" i="13"/>
  <c r="U5" i="13"/>
  <c r="T5" i="13"/>
  <c r="S5" i="13"/>
  <c r="R5" i="13"/>
  <c r="Q5" i="13"/>
  <c r="P5" i="13"/>
  <c r="O5" i="13"/>
  <c r="N5" i="13"/>
  <c r="M5" i="13"/>
  <c r="L5" i="13"/>
  <c r="K5" i="13"/>
  <c r="J5" i="13"/>
  <c r="I5" i="13"/>
  <c r="H5" i="13"/>
  <c r="G5" i="13"/>
  <c r="F5" i="13"/>
  <c r="E5" i="13"/>
  <c r="D5" i="13"/>
  <c r="C5" i="13"/>
  <c r="B5" i="13"/>
  <c r="BA4" i="13"/>
  <c r="AZ4" i="13"/>
  <c r="AY4" i="13"/>
  <c r="AX4" i="13"/>
  <c r="AW4" i="13"/>
  <c r="AV4" i="13"/>
  <c r="AU4" i="13"/>
  <c r="AT4" i="13"/>
  <c r="AS4" i="13"/>
  <c r="AR4" i="13"/>
  <c r="AQ4" i="13"/>
  <c r="AP4" i="13"/>
  <c r="AO4" i="13"/>
  <c r="AN4" i="13"/>
  <c r="AM4" i="13"/>
  <c r="AL4" i="13"/>
  <c r="AK4" i="13"/>
  <c r="AJ4" i="13"/>
  <c r="AI4" i="13"/>
  <c r="AH4" i="13"/>
  <c r="AG4" i="13"/>
  <c r="AF4" i="13"/>
  <c r="AE4" i="13"/>
  <c r="AD4" i="13"/>
  <c r="AC4" i="13"/>
  <c r="AB4" i="13"/>
  <c r="AA4" i="13"/>
  <c r="Z4" i="13"/>
  <c r="Y4" i="13"/>
  <c r="X4" i="13"/>
  <c r="W4" i="13"/>
  <c r="V4" i="13"/>
  <c r="U4" i="13"/>
  <c r="T4" i="13"/>
  <c r="S4" i="13"/>
  <c r="R4" i="13"/>
  <c r="Q4" i="13"/>
  <c r="P4" i="13"/>
  <c r="O4" i="13"/>
  <c r="N4" i="13"/>
  <c r="M4" i="13"/>
  <c r="L4" i="13"/>
  <c r="K4" i="13"/>
  <c r="J4" i="13"/>
  <c r="I4" i="13"/>
  <c r="H4" i="13"/>
  <c r="G4" i="13"/>
  <c r="F4" i="13"/>
  <c r="E4" i="13"/>
  <c r="D4" i="13"/>
  <c r="C4" i="13"/>
  <c r="B4" i="13"/>
  <c r="BA7" i="12"/>
  <c r="AZ7" i="12"/>
  <c r="AY7" i="12"/>
  <c r="AX7" i="12"/>
  <c r="AW7" i="12"/>
  <c r="AV7" i="12"/>
  <c r="AU7" i="12"/>
  <c r="AT7" i="12"/>
  <c r="AS7" i="12"/>
  <c r="AR7" i="12"/>
  <c r="AQ7" i="12"/>
  <c r="AP7" i="12"/>
  <c r="AO7" i="12"/>
  <c r="AN7" i="12"/>
  <c r="AM7" i="12"/>
  <c r="AL7" i="12"/>
  <c r="AK7" i="12"/>
  <c r="AJ7" i="12"/>
  <c r="AI7" i="12"/>
  <c r="AH7" i="12"/>
  <c r="AG7" i="12"/>
  <c r="AF7" i="12"/>
  <c r="AE7" i="12"/>
  <c r="AD7" i="12"/>
  <c r="AC7" i="12"/>
  <c r="AB7" i="12"/>
  <c r="AA7" i="12"/>
  <c r="Z7" i="12"/>
  <c r="Y7" i="12"/>
  <c r="X7" i="12"/>
  <c r="W7" i="12"/>
  <c r="V7" i="12"/>
  <c r="U7" i="12"/>
  <c r="T7" i="12"/>
  <c r="S7" i="12"/>
  <c r="R7" i="12"/>
  <c r="Q7" i="12"/>
  <c r="P7" i="12"/>
  <c r="O7" i="12"/>
  <c r="N7" i="12"/>
  <c r="M7" i="12"/>
  <c r="L7" i="12"/>
  <c r="K7" i="12"/>
  <c r="J7" i="12"/>
  <c r="I7" i="12"/>
  <c r="H7" i="12"/>
  <c r="G7" i="12"/>
  <c r="F7" i="12"/>
  <c r="E7" i="12"/>
  <c r="D7" i="12"/>
  <c r="C7" i="12"/>
  <c r="B7" i="12"/>
  <c r="BA6" i="12"/>
  <c r="AZ6" i="12"/>
  <c r="AY6" i="12"/>
  <c r="AX6" i="12"/>
  <c r="AW6" i="12"/>
  <c r="AV6" i="12"/>
  <c r="AU6" i="12"/>
  <c r="AT6" i="12"/>
  <c r="AS6" i="12"/>
  <c r="AR6" i="12"/>
  <c r="AQ6" i="12"/>
  <c r="AP6" i="12"/>
  <c r="AO6" i="12"/>
  <c r="AN6" i="12"/>
  <c r="AM6" i="12"/>
  <c r="AL6" i="12"/>
  <c r="AK6" i="12"/>
  <c r="AJ6" i="12"/>
  <c r="AI6" i="12"/>
  <c r="AH6" i="12"/>
  <c r="AG6" i="12"/>
  <c r="AF6" i="12"/>
  <c r="AE6" i="12"/>
  <c r="AD6" i="12"/>
  <c r="AC6"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BA5" i="12"/>
  <c r="AZ5" i="12"/>
  <c r="AY5" i="12"/>
  <c r="AX5" i="12"/>
  <c r="AW5" i="12"/>
  <c r="AV5" i="12"/>
  <c r="AU5" i="12"/>
  <c r="AT5" i="12"/>
  <c r="AS5" i="12"/>
  <c r="AR5" i="12"/>
  <c r="AQ5" i="12"/>
  <c r="AP5" i="12"/>
  <c r="AO5" i="12"/>
  <c r="AN5" i="12"/>
  <c r="AM5" i="12"/>
  <c r="AL5" i="12"/>
  <c r="AK5" i="12"/>
  <c r="AJ5" i="12"/>
  <c r="AI5" i="12"/>
  <c r="AH5" i="12"/>
  <c r="AG5" i="12"/>
  <c r="AF5" i="12"/>
  <c r="AE5" i="12"/>
  <c r="AD5" i="12"/>
  <c r="AC5"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BA4" i="12"/>
  <c r="AZ4" i="12"/>
  <c r="AY4" i="12"/>
  <c r="AX4" i="12"/>
  <c r="AW4" i="12"/>
  <c r="AV4" i="12"/>
  <c r="AU4" i="12"/>
  <c r="AT4" i="12"/>
  <c r="AS4" i="12"/>
  <c r="AR4" i="12"/>
  <c r="AQ4" i="12"/>
  <c r="AP4" i="12"/>
  <c r="AO4" i="12"/>
  <c r="AN4" i="12"/>
  <c r="AM4" i="12"/>
  <c r="AL4" i="12"/>
  <c r="AK4" i="12"/>
  <c r="AJ4" i="12"/>
  <c r="AI4" i="12"/>
  <c r="AH4" i="12"/>
  <c r="AG4" i="12"/>
  <c r="AF4" i="12"/>
  <c r="AE4" i="12"/>
  <c r="AD4" i="12"/>
  <c r="AC4" i="12"/>
  <c r="AB4" i="12"/>
  <c r="AA4" i="12"/>
  <c r="Z4" i="12"/>
  <c r="Y4" i="12"/>
  <c r="X4" i="12"/>
  <c r="W4" i="12"/>
  <c r="V4" i="12"/>
  <c r="U4" i="12"/>
  <c r="T4" i="12"/>
  <c r="S4" i="12"/>
  <c r="R4" i="12"/>
  <c r="Q4" i="12"/>
  <c r="P4" i="12"/>
  <c r="O4" i="12"/>
  <c r="N4" i="12"/>
  <c r="M4" i="12"/>
  <c r="L4" i="12"/>
  <c r="K4" i="12"/>
  <c r="J4" i="12"/>
  <c r="I4" i="12"/>
  <c r="H4" i="12"/>
  <c r="G4" i="12"/>
  <c r="F4" i="12"/>
  <c r="E4" i="12"/>
  <c r="D4" i="12"/>
  <c r="C4" i="12"/>
  <c r="B4" i="12"/>
  <c r="BA7" i="11"/>
  <c r="AZ7" i="11"/>
  <c r="AY7" i="11"/>
  <c r="AX7" i="11"/>
  <c r="AW7" i="11"/>
  <c r="AV7" i="11"/>
  <c r="AU7" i="11"/>
  <c r="AT7" i="11"/>
  <c r="AS7" i="11"/>
  <c r="AR7" i="11"/>
  <c r="AQ7" i="11"/>
  <c r="AP7" i="11"/>
  <c r="AO7" i="11"/>
  <c r="AN7" i="11"/>
  <c r="AM7" i="11"/>
  <c r="AL7" i="11"/>
  <c r="AK7" i="11"/>
  <c r="AJ7" i="11"/>
  <c r="AI7" i="11"/>
  <c r="AH7" i="11"/>
  <c r="AG7" i="11"/>
  <c r="AF7" i="11"/>
  <c r="AE7" i="11"/>
  <c r="AD7" i="11"/>
  <c r="AC7" i="11"/>
  <c r="AB7" i="11"/>
  <c r="AA7" i="11"/>
  <c r="Z7" i="11"/>
  <c r="Y7" i="11"/>
  <c r="X7" i="11"/>
  <c r="W7" i="11"/>
  <c r="V7" i="11"/>
  <c r="U7" i="11"/>
  <c r="T7" i="11"/>
  <c r="S7" i="11"/>
  <c r="R7" i="11"/>
  <c r="Q7" i="11"/>
  <c r="P7" i="11"/>
  <c r="O7" i="11"/>
  <c r="N7" i="11"/>
  <c r="M7" i="11"/>
  <c r="L7" i="11"/>
  <c r="K7" i="11"/>
  <c r="J7" i="11"/>
  <c r="I7" i="11"/>
  <c r="H7" i="11"/>
  <c r="G7" i="11"/>
  <c r="F7" i="11"/>
  <c r="E7" i="11"/>
  <c r="D7" i="11"/>
  <c r="C7" i="11"/>
  <c r="B7" i="11"/>
  <c r="BA6" i="11"/>
  <c r="AZ6" i="11"/>
  <c r="AY6" i="11"/>
  <c r="AX6" i="11"/>
  <c r="AW6" i="11"/>
  <c r="AV6" i="11"/>
  <c r="AU6" i="11"/>
  <c r="AT6" i="11"/>
  <c r="AS6" i="11"/>
  <c r="AR6" i="11"/>
  <c r="AQ6" i="11"/>
  <c r="AP6" i="11"/>
  <c r="AO6" i="11"/>
  <c r="AN6" i="11"/>
  <c r="AM6" i="11"/>
  <c r="AL6" i="11"/>
  <c r="AK6" i="11"/>
  <c r="AJ6" i="11"/>
  <c r="AI6" i="11"/>
  <c r="AH6" i="11"/>
  <c r="AG6"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E6" i="11"/>
  <c r="D6" i="11"/>
  <c r="C6" i="11"/>
  <c r="B6" i="11"/>
  <c r="BA5" i="11"/>
  <c r="AZ5" i="11"/>
  <c r="AY5" i="11"/>
  <c r="AX5" i="11"/>
  <c r="AW5" i="11"/>
  <c r="AV5" i="11"/>
  <c r="AU5" i="11"/>
  <c r="AT5" i="11"/>
  <c r="AS5" i="11"/>
  <c r="AR5" i="11"/>
  <c r="AQ5" i="11"/>
  <c r="AP5" i="11"/>
  <c r="AO5" i="11"/>
  <c r="AN5" i="11"/>
  <c r="AM5" i="11"/>
  <c r="AL5" i="11"/>
  <c r="AK5" i="11"/>
  <c r="AJ5" i="11"/>
  <c r="AI5" i="11"/>
  <c r="AH5" i="11"/>
  <c r="AG5" i="11"/>
  <c r="AF5" i="11"/>
  <c r="AE5" i="11"/>
  <c r="AD5" i="11"/>
  <c r="AC5" i="11"/>
  <c r="AB5" i="11"/>
  <c r="AA5" i="11"/>
  <c r="Z5" i="11"/>
  <c r="Y5" i="11"/>
  <c r="X5" i="11"/>
  <c r="W5" i="11"/>
  <c r="V5" i="11"/>
  <c r="U5" i="11"/>
  <c r="T5" i="11"/>
  <c r="S5" i="11"/>
  <c r="R5" i="11"/>
  <c r="Q5" i="11"/>
  <c r="P5" i="11"/>
  <c r="O5" i="11"/>
  <c r="N5" i="11"/>
  <c r="M5" i="11"/>
  <c r="L5" i="11"/>
  <c r="K5" i="11"/>
  <c r="J5" i="11"/>
  <c r="I5" i="11"/>
  <c r="H5" i="11"/>
  <c r="G5" i="11"/>
  <c r="F5" i="11"/>
  <c r="E5" i="11"/>
  <c r="D5" i="11"/>
  <c r="C5" i="11"/>
  <c r="B5" i="11"/>
  <c r="BA4" i="11"/>
  <c r="AZ4" i="11"/>
  <c r="AY4" i="11"/>
  <c r="AX4" i="11"/>
  <c r="AW4" i="11"/>
  <c r="AV4" i="11"/>
  <c r="AU4" i="11"/>
  <c r="AT4" i="11"/>
  <c r="AS4" i="11"/>
  <c r="AR4" i="11"/>
  <c r="AQ4" i="11"/>
  <c r="AP4" i="11"/>
  <c r="AO4" i="11"/>
  <c r="AN4" i="11"/>
  <c r="AM4" i="11"/>
  <c r="AL4" i="11"/>
  <c r="AK4" i="11"/>
  <c r="AJ4" i="11"/>
  <c r="AI4" i="11"/>
  <c r="AH4" i="11"/>
  <c r="AG4" i="11"/>
  <c r="AF4" i="11"/>
  <c r="AE4" i="11"/>
  <c r="AD4" i="11"/>
  <c r="AC4" i="11"/>
  <c r="AB4" i="11"/>
  <c r="AA4" i="11"/>
  <c r="Z4" i="11"/>
  <c r="Y4" i="11"/>
  <c r="X4" i="11"/>
  <c r="W4" i="11"/>
  <c r="V4" i="11"/>
  <c r="U4" i="11"/>
  <c r="T4" i="11"/>
  <c r="S4" i="11"/>
  <c r="R4" i="11"/>
  <c r="Q4" i="11"/>
  <c r="P4" i="11"/>
  <c r="O4" i="11"/>
  <c r="N4" i="11"/>
  <c r="M4" i="11"/>
  <c r="L4" i="11"/>
  <c r="K4" i="11"/>
  <c r="J4" i="11"/>
  <c r="I4" i="11"/>
  <c r="H4" i="11"/>
  <c r="G4" i="11"/>
  <c r="F4" i="11"/>
  <c r="E4" i="11"/>
  <c r="D4" i="11"/>
  <c r="C4" i="11"/>
  <c r="B4" i="11"/>
  <c r="BA7" i="10"/>
  <c r="AZ7" i="10"/>
  <c r="AY7" i="10"/>
  <c r="AX7" i="10"/>
  <c r="AW7" i="10"/>
  <c r="AV7" i="10"/>
  <c r="AU7" i="10"/>
  <c r="AT7" i="10"/>
  <c r="AS7" i="10"/>
  <c r="AR7" i="10"/>
  <c r="AQ7" i="10"/>
  <c r="AP7" i="10"/>
  <c r="AO7" i="10"/>
  <c r="AN7" i="10"/>
  <c r="AM7" i="10"/>
  <c r="AL7" i="10"/>
  <c r="AK7" i="10"/>
  <c r="AJ7" i="10"/>
  <c r="AI7" i="10"/>
  <c r="AH7" i="10"/>
  <c r="AG7"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B7" i="10"/>
  <c r="BA6" i="10"/>
  <c r="AZ6" i="10"/>
  <c r="AY6" i="10"/>
  <c r="AX6" i="10"/>
  <c r="AW6" i="10"/>
  <c r="AV6" i="10"/>
  <c r="AU6" i="10"/>
  <c r="AT6" i="10"/>
  <c r="AS6" i="10"/>
  <c r="AR6" i="10"/>
  <c r="AQ6" i="10"/>
  <c r="AP6" i="10"/>
  <c r="AO6" i="10"/>
  <c r="AN6" i="10"/>
  <c r="AM6" i="10"/>
  <c r="AL6" i="10"/>
  <c r="AK6" i="10"/>
  <c r="AJ6" i="10"/>
  <c r="AI6" i="10"/>
  <c r="AH6" i="10"/>
  <c r="AG6"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B6" i="10"/>
  <c r="BA5" i="10"/>
  <c r="AZ5" i="10"/>
  <c r="AY5" i="10"/>
  <c r="AX5" i="10"/>
  <c r="AW5" i="10"/>
  <c r="AV5" i="10"/>
  <c r="AU5" i="10"/>
  <c r="AT5" i="10"/>
  <c r="AS5" i="10"/>
  <c r="AR5" i="10"/>
  <c r="AQ5" i="10"/>
  <c r="AP5" i="10"/>
  <c r="AO5" i="10"/>
  <c r="AN5" i="10"/>
  <c r="AM5" i="10"/>
  <c r="AL5" i="10"/>
  <c r="AK5" i="10"/>
  <c r="AJ5" i="10"/>
  <c r="AI5" i="10"/>
  <c r="AH5" i="10"/>
  <c r="AG5"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B5" i="10"/>
  <c r="BA4" i="10"/>
  <c r="AZ4" i="10"/>
  <c r="AY4" i="10"/>
  <c r="AX4" i="10"/>
  <c r="AW4" i="10"/>
  <c r="AV4" i="10"/>
  <c r="AU4" i="10"/>
  <c r="AT4" i="10"/>
  <c r="AS4" i="10"/>
  <c r="AR4" i="10"/>
  <c r="AQ4" i="10"/>
  <c r="AP4" i="10"/>
  <c r="AO4" i="10"/>
  <c r="AN4" i="10"/>
  <c r="AM4" i="10"/>
  <c r="AL4" i="10"/>
  <c r="AK4" i="10"/>
  <c r="AJ4" i="10"/>
  <c r="AI4" i="10"/>
  <c r="AH4" i="10"/>
  <c r="AG4"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B4" i="10"/>
  <c r="B29" i="9"/>
  <c r="C29" i="9" s="1"/>
  <c r="B28" i="9"/>
  <c r="C28" i="9" s="1"/>
  <c r="B27" i="9"/>
  <c r="C27" i="9" s="1"/>
  <c r="B26" i="9"/>
  <c r="C26" i="9" s="1"/>
  <c r="B25" i="9"/>
  <c r="C25" i="9" s="1"/>
  <c r="B24" i="9"/>
  <c r="C24" i="9" s="1"/>
  <c r="B23" i="9"/>
  <c r="C23" i="9" s="1"/>
  <c r="B22" i="9"/>
  <c r="C22" i="9" s="1"/>
  <c r="B19" i="9"/>
  <c r="C19" i="9" s="1"/>
  <c r="B18" i="9"/>
  <c r="C18" i="9" s="1"/>
  <c r="B17" i="9"/>
  <c r="C17" i="9" s="1"/>
  <c r="B16" i="9"/>
  <c r="C16" i="9" s="1"/>
  <c r="B12" i="9"/>
  <c r="C12" i="9" s="1"/>
  <c r="B11" i="9"/>
  <c r="C11" i="9" s="1"/>
  <c r="B10" i="9"/>
  <c r="C10" i="9" s="1"/>
  <c r="B7" i="9"/>
  <c r="C7" i="9" s="1"/>
  <c r="B6" i="9"/>
  <c r="C6" i="9" s="1"/>
  <c r="B5" i="9"/>
  <c r="C5" i="9" s="1"/>
  <c r="B4" i="9"/>
  <c r="C4" i="9" s="1"/>
  <c r="G109" i="8"/>
  <c r="F109" i="8"/>
  <c r="E109" i="8"/>
  <c r="BA3" i="11" s="1"/>
  <c r="D109" i="8"/>
  <c r="BA2" i="11" s="1"/>
  <c r="C109" i="8"/>
  <c r="BA3" i="10" s="1"/>
  <c r="B109" i="8"/>
  <c r="BA2" i="10" s="1"/>
  <c r="G108" i="8"/>
  <c r="F108" i="8"/>
  <c r="E108" i="8"/>
  <c r="AZ3" i="11" s="1"/>
  <c r="D108" i="8"/>
  <c r="AZ2" i="11" s="1"/>
  <c r="C108" i="8"/>
  <c r="AZ3" i="10" s="1"/>
  <c r="B108" i="8"/>
  <c r="AZ2" i="10" s="1"/>
  <c r="G107" i="8"/>
  <c r="F107" i="8"/>
  <c r="E107" i="8"/>
  <c r="AY3" i="11" s="1"/>
  <c r="D107" i="8"/>
  <c r="AY2" i="11" s="1"/>
  <c r="C107" i="8"/>
  <c r="AY3" i="10" s="1"/>
  <c r="B107" i="8"/>
  <c r="AY2" i="10" s="1"/>
  <c r="G106" i="8"/>
  <c r="F106" i="8"/>
  <c r="E106" i="8"/>
  <c r="AX3" i="11" s="1"/>
  <c r="D106" i="8"/>
  <c r="AX2" i="11" s="1"/>
  <c r="C106" i="8"/>
  <c r="AX3" i="10" s="1"/>
  <c r="B106" i="8"/>
  <c r="AX2" i="10" s="1"/>
  <c r="G105" i="8"/>
  <c r="F105" i="8"/>
  <c r="E105" i="8"/>
  <c r="AW3" i="11" s="1"/>
  <c r="D105" i="8"/>
  <c r="AW2" i="11" s="1"/>
  <c r="C105" i="8"/>
  <c r="AW3" i="10" s="1"/>
  <c r="B105" i="8"/>
  <c r="AW2" i="10" s="1"/>
  <c r="G104" i="8"/>
  <c r="F104" i="8"/>
  <c r="E104" i="8"/>
  <c r="AV3" i="11" s="1"/>
  <c r="D104" i="8"/>
  <c r="AV2" i="11" s="1"/>
  <c r="C104" i="8"/>
  <c r="AV3" i="10" s="1"/>
  <c r="B104" i="8"/>
  <c r="AV2" i="10" s="1"/>
  <c r="G103" i="8"/>
  <c r="F103" i="8"/>
  <c r="E103" i="8"/>
  <c r="AU3" i="11" s="1"/>
  <c r="D103" i="8"/>
  <c r="AU2" i="11" s="1"/>
  <c r="C103" i="8"/>
  <c r="AU3" i="10" s="1"/>
  <c r="B103" i="8"/>
  <c r="AU2" i="10" s="1"/>
  <c r="G102" i="8"/>
  <c r="F102" i="8"/>
  <c r="E102" i="8"/>
  <c r="AT3" i="11" s="1"/>
  <c r="D102" i="8"/>
  <c r="AT2" i="11" s="1"/>
  <c r="C102" i="8"/>
  <c r="AT3" i="10" s="1"/>
  <c r="B102" i="8"/>
  <c r="AT2" i="10" s="1"/>
  <c r="G101" i="8"/>
  <c r="F101" i="8"/>
  <c r="E101" i="8"/>
  <c r="AS3" i="11" s="1"/>
  <c r="D101" i="8"/>
  <c r="AS2" i="11" s="1"/>
  <c r="C101" i="8"/>
  <c r="AS3" i="10" s="1"/>
  <c r="B101" i="8"/>
  <c r="AS2" i="10" s="1"/>
  <c r="G100" i="8"/>
  <c r="F100" i="8"/>
  <c r="E100" i="8"/>
  <c r="AR3" i="11" s="1"/>
  <c r="D100" i="8"/>
  <c r="AR2" i="11" s="1"/>
  <c r="C100" i="8"/>
  <c r="AR3" i="10" s="1"/>
  <c r="B100" i="8"/>
  <c r="AR2" i="10" s="1"/>
  <c r="G99" i="8"/>
  <c r="F99" i="8"/>
  <c r="E99" i="8"/>
  <c r="AQ3" i="11" s="1"/>
  <c r="D99" i="8"/>
  <c r="AQ2" i="11" s="1"/>
  <c r="C99" i="8"/>
  <c r="AQ3" i="10" s="1"/>
  <c r="B99" i="8"/>
  <c r="AQ2" i="10" s="1"/>
  <c r="G98" i="8"/>
  <c r="F98" i="8"/>
  <c r="E98" i="8"/>
  <c r="AP3" i="11" s="1"/>
  <c r="D98" i="8"/>
  <c r="AP2" i="11" s="1"/>
  <c r="C98" i="8"/>
  <c r="AP3" i="10" s="1"/>
  <c r="B98" i="8"/>
  <c r="AP2" i="10" s="1"/>
  <c r="G97" i="8"/>
  <c r="F97" i="8"/>
  <c r="E97" i="8"/>
  <c r="AO3" i="11" s="1"/>
  <c r="D97" i="8"/>
  <c r="AO2" i="11" s="1"/>
  <c r="C97" i="8"/>
  <c r="AO3" i="10" s="1"/>
  <c r="B97" i="8"/>
  <c r="AO2" i="10" s="1"/>
  <c r="G96" i="8"/>
  <c r="F96" i="8"/>
  <c r="E96" i="8"/>
  <c r="AN3" i="11" s="1"/>
  <c r="D96" i="8"/>
  <c r="AN2" i="11" s="1"/>
  <c r="C96" i="8"/>
  <c r="AN3" i="10" s="1"/>
  <c r="B96" i="8"/>
  <c r="AN2" i="10" s="1"/>
  <c r="G95" i="8"/>
  <c r="F95" i="8"/>
  <c r="E95" i="8"/>
  <c r="AM3" i="11" s="1"/>
  <c r="D95" i="8"/>
  <c r="AM2" i="11" s="1"/>
  <c r="C95" i="8"/>
  <c r="AM3" i="10" s="1"/>
  <c r="B95" i="8"/>
  <c r="AM2" i="10" s="1"/>
  <c r="G94" i="8"/>
  <c r="F94" i="8"/>
  <c r="E94" i="8"/>
  <c r="AL3" i="11" s="1"/>
  <c r="D94" i="8"/>
  <c r="AL2" i="11" s="1"/>
  <c r="C94" i="8"/>
  <c r="AL3" i="10" s="1"/>
  <c r="B94" i="8"/>
  <c r="AL2" i="10" s="1"/>
  <c r="G93" i="8"/>
  <c r="F93" i="8"/>
  <c r="E93" i="8"/>
  <c r="AK3" i="11" s="1"/>
  <c r="D93" i="8"/>
  <c r="AK2" i="11" s="1"/>
  <c r="C93" i="8"/>
  <c r="AK3" i="10" s="1"/>
  <c r="B93" i="8"/>
  <c r="AK2" i="10" s="1"/>
  <c r="G92" i="8"/>
  <c r="F92" i="8"/>
  <c r="E92" i="8"/>
  <c r="AJ3" i="11" s="1"/>
  <c r="D92" i="8"/>
  <c r="AJ2" i="11" s="1"/>
  <c r="C92" i="8"/>
  <c r="AJ3" i="10" s="1"/>
  <c r="B92" i="8"/>
  <c r="AJ2" i="10" s="1"/>
  <c r="G88" i="8"/>
  <c r="F88" i="8"/>
  <c r="E88" i="8"/>
  <c r="AF3" i="11" s="1"/>
  <c r="D88" i="8"/>
  <c r="AF2" i="11" s="1"/>
  <c r="C88" i="8"/>
  <c r="AF3" i="10" s="1"/>
  <c r="B88" i="8"/>
  <c r="AF2" i="10" s="1"/>
  <c r="G87" i="8"/>
  <c r="F87" i="8"/>
  <c r="E87" i="8"/>
  <c r="AE3" i="11" s="1"/>
  <c r="D87" i="8"/>
  <c r="AE2" i="11" s="1"/>
  <c r="C87" i="8"/>
  <c r="AE3" i="10" s="1"/>
  <c r="B87" i="8"/>
  <c r="AE2" i="10" s="1"/>
  <c r="G86" i="8"/>
  <c r="F86" i="8"/>
  <c r="E86" i="8"/>
  <c r="AD3" i="11" s="1"/>
  <c r="D86" i="8"/>
  <c r="AD2" i="11" s="1"/>
  <c r="C86" i="8"/>
  <c r="AD3" i="10" s="1"/>
  <c r="B86" i="8"/>
  <c r="AD2" i="10" s="1"/>
  <c r="G85" i="8"/>
  <c r="F85" i="8"/>
  <c r="E85" i="8"/>
  <c r="AC3" i="11" s="1"/>
  <c r="D85" i="8"/>
  <c r="AC2" i="11" s="1"/>
  <c r="C85" i="8"/>
  <c r="AC3" i="10" s="1"/>
  <c r="B85" i="8"/>
  <c r="AC2" i="10" s="1"/>
  <c r="G84" i="8"/>
  <c r="F84" i="8"/>
  <c r="E84" i="8"/>
  <c r="AB3" i="11" s="1"/>
  <c r="D84" i="8"/>
  <c r="AB2" i="11" s="1"/>
  <c r="C84" i="8"/>
  <c r="AB3" i="10" s="1"/>
  <c r="B84" i="8"/>
  <c r="AB2" i="10" s="1"/>
  <c r="G83" i="8"/>
  <c r="F83" i="8"/>
  <c r="E83" i="8"/>
  <c r="AA3" i="11" s="1"/>
  <c r="D83" i="8"/>
  <c r="AA2" i="11" s="1"/>
  <c r="C83" i="8"/>
  <c r="AA3" i="10" s="1"/>
  <c r="B83" i="8"/>
  <c r="AA2" i="10" s="1"/>
  <c r="G82" i="8"/>
  <c r="F82" i="8"/>
  <c r="E82" i="8"/>
  <c r="Z3" i="11" s="1"/>
  <c r="D82" i="8"/>
  <c r="Z2" i="11" s="1"/>
  <c r="C82" i="8"/>
  <c r="Z3" i="10" s="1"/>
  <c r="B82" i="8"/>
  <c r="Z2" i="10" s="1"/>
  <c r="E80" i="8"/>
  <c r="X3" i="11" s="1"/>
  <c r="D80" i="8"/>
  <c r="X2" i="11" s="1"/>
  <c r="C80" i="8"/>
  <c r="X3" i="10" s="1"/>
  <c r="B80" i="8"/>
  <c r="X2" i="10" s="1"/>
  <c r="E79" i="8"/>
  <c r="W3" i="11" s="1"/>
  <c r="D79" i="8"/>
  <c r="W2" i="11" s="1"/>
  <c r="C79" i="8"/>
  <c r="W3" i="10" s="1"/>
  <c r="B79" i="8"/>
  <c r="W2" i="10" s="1"/>
  <c r="E78" i="8"/>
  <c r="V3" i="11" s="1"/>
  <c r="D78" i="8"/>
  <c r="V2" i="11" s="1"/>
  <c r="C78" i="8"/>
  <c r="V3" i="10" s="1"/>
  <c r="B78" i="8"/>
  <c r="V2" i="10" s="1"/>
  <c r="G77" i="8"/>
  <c r="F77" i="8"/>
  <c r="E77" i="8"/>
  <c r="U3" i="11" s="1"/>
  <c r="D77" i="8"/>
  <c r="U2" i="11" s="1"/>
  <c r="C77" i="8"/>
  <c r="U3" i="10" s="1"/>
  <c r="B77" i="8"/>
  <c r="U2" i="10" s="1"/>
  <c r="G76" i="8"/>
  <c r="F76" i="8"/>
  <c r="E76" i="8"/>
  <c r="T3" i="11" s="1"/>
  <c r="D76" i="8"/>
  <c r="T2" i="11" s="1"/>
  <c r="C76" i="8"/>
  <c r="T3" i="10" s="1"/>
  <c r="B76" i="8"/>
  <c r="T2" i="10" s="1"/>
  <c r="G75" i="8"/>
  <c r="F75" i="8"/>
  <c r="E75" i="8"/>
  <c r="S3" i="11" s="1"/>
  <c r="D75" i="8"/>
  <c r="S2" i="11" s="1"/>
  <c r="C75" i="8"/>
  <c r="S3" i="10" s="1"/>
  <c r="B75" i="8"/>
  <c r="S2" i="10" s="1"/>
  <c r="G74" i="8"/>
  <c r="F74" i="8"/>
  <c r="E74" i="8"/>
  <c r="R3" i="11" s="1"/>
  <c r="D74" i="8"/>
  <c r="R2" i="11" s="1"/>
  <c r="C74" i="8"/>
  <c r="R3" i="10" s="1"/>
  <c r="B74" i="8"/>
  <c r="R2" i="10" s="1"/>
  <c r="G73" i="8"/>
  <c r="F73" i="8"/>
  <c r="E73" i="8"/>
  <c r="Q3" i="11" s="1"/>
  <c r="D73" i="8"/>
  <c r="Q2" i="11" s="1"/>
  <c r="C73" i="8"/>
  <c r="Q3" i="10" s="1"/>
  <c r="B73" i="8"/>
  <c r="Q2" i="10" s="1"/>
  <c r="G72" i="8"/>
  <c r="F72" i="8"/>
  <c r="E72" i="8"/>
  <c r="P3" i="11" s="1"/>
  <c r="D72" i="8"/>
  <c r="P2" i="11" s="1"/>
  <c r="C72" i="8"/>
  <c r="P3" i="10" s="1"/>
  <c r="B72" i="8"/>
  <c r="P2" i="10" s="1"/>
  <c r="G71" i="8"/>
  <c r="F71" i="8"/>
  <c r="E71" i="8"/>
  <c r="O3" i="11" s="1"/>
  <c r="D71" i="8"/>
  <c r="O2" i="11" s="1"/>
  <c r="C71" i="8"/>
  <c r="O3" i="10" s="1"/>
  <c r="B71" i="8"/>
  <c r="O2" i="10" s="1"/>
  <c r="G70" i="8"/>
  <c r="F70" i="8"/>
  <c r="E70" i="8"/>
  <c r="N3" i="11" s="1"/>
  <c r="D70" i="8"/>
  <c r="N2" i="11" s="1"/>
  <c r="C70" i="8"/>
  <c r="N3" i="10" s="1"/>
  <c r="B70" i="8"/>
  <c r="N2" i="10" s="1"/>
  <c r="G69" i="8"/>
  <c r="F69" i="8"/>
  <c r="E69" i="8"/>
  <c r="M3" i="11" s="1"/>
  <c r="D69" i="8"/>
  <c r="M2" i="11" s="1"/>
  <c r="C69" i="8"/>
  <c r="M3" i="10" s="1"/>
  <c r="B69" i="8"/>
  <c r="M2" i="10" s="1"/>
  <c r="G68" i="8"/>
  <c r="F68" i="8"/>
  <c r="E68" i="8"/>
  <c r="L3" i="11" s="1"/>
  <c r="D68" i="8"/>
  <c r="L2" i="11" s="1"/>
  <c r="C68" i="8"/>
  <c r="L3" i="10" s="1"/>
  <c r="B68" i="8"/>
  <c r="L2" i="10" s="1"/>
  <c r="G67" i="8"/>
  <c r="F67" i="8"/>
  <c r="E67" i="8"/>
  <c r="K3" i="11" s="1"/>
  <c r="D67" i="8"/>
  <c r="K2" i="11" s="1"/>
  <c r="C67" i="8"/>
  <c r="K3" i="10" s="1"/>
  <c r="B67" i="8"/>
  <c r="K2" i="10" s="1"/>
  <c r="G66" i="8"/>
  <c r="F66" i="8"/>
  <c r="E66" i="8"/>
  <c r="J3" i="11" s="1"/>
  <c r="D66" i="8"/>
  <c r="J2" i="11" s="1"/>
  <c r="C66" i="8"/>
  <c r="J3" i="10" s="1"/>
  <c r="B66" i="8"/>
  <c r="J2" i="10" s="1"/>
  <c r="G65" i="8"/>
  <c r="F65" i="8"/>
  <c r="E65" i="8"/>
  <c r="I3" i="11" s="1"/>
  <c r="D65" i="8"/>
  <c r="I2" i="11" s="1"/>
  <c r="C65" i="8"/>
  <c r="I3" i="10" s="1"/>
  <c r="B65" i="8"/>
  <c r="I2" i="10" s="1"/>
  <c r="G64" i="8"/>
  <c r="F64" i="8"/>
  <c r="E64" i="8"/>
  <c r="H3" i="11" s="1"/>
  <c r="D64" i="8"/>
  <c r="H2" i="11" s="1"/>
  <c r="C64" i="8"/>
  <c r="H3" i="10" s="1"/>
  <c r="B64" i="8"/>
  <c r="H2" i="10" s="1"/>
  <c r="G63" i="8"/>
  <c r="F63" i="8"/>
  <c r="E63" i="8"/>
  <c r="G3" i="11" s="1"/>
  <c r="D63" i="8"/>
  <c r="G2" i="11" s="1"/>
  <c r="C63" i="8"/>
  <c r="G3" i="10" s="1"/>
  <c r="B63" i="8"/>
  <c r="G2" i="10" s="1"/>
  <c r="G62" i="8"/>
  <c r="F62" i="8"/>
  <c r="E62" i="8"/>
  <c r="F3" i="11" s="1"/>
  <c r="D62" i="8"/>
  <c r="F2" i="11" s="1"/>
  <c r="C62" i="8"/>
  <c r="F3" i="10" s="1"/>
  <c r="B62" i="8"/>
  <c r="F2" i="10" s="1"/>
  <c r="G61" i="8"/>
  <c r="F61" i="8"/>
  <c r="E61" i="8"/>
  <c r="E3" i="11" s="1"/>
  <c r="D61" i="8"/>
  <c r="E2" i="11" s="1"/>
  <c r="C61" i="8"/>
  <c r="E3" i="10" s="1"/>
  <c r="B61" i="8"/>
  <c r="E2" i="10" s="1"/>
  <c r="G60" i="8"/>
  <c r="F60" i="8"/>
  <c r="E60" i="8"/>
  <c r="D3" i="11" s="1"/>
  <c r="D60" i="8"/>
  <c r="D2" i="11" s="1"/>
  <c r="C60" i="8"/>
  <c r="D3" i="10" s="1"/>
  <c r="B60" i="8"/>
  <c r="D2" i="10" s="1"/>
  <c r="G59" i="8"/>
  <c r="F59" i="8"/>
  <c r="E59" i="8"/>
  <c r="C3" i="11" s="1"/>
  <c r="D59" i="8"/>
  <c r="C2" i="11" s="1"/>
  <c r="C59" i="8"/>
  <c r="C3" i="10" s="1"/>
  <c r="B59" i="8"/>
  <c r="C2" i="10" s="1"/>
  <c r="G58" i="8"/>
  <c r="F58" i="8"/>
  <c r="E58" i="8"/>
  <c r="D58" i="8"/>
  <c r="C58" i="8"/>
  <c r="B58" i="8"/>
  <c r="E56" i="8"/>
  <c r="D56" i="8"/>
  <c r="C56" i="8"/>
  <c r="B56" i="8"/>
  <c r="T49" i="8"/>
  <c r="S49" i="8"/>
  <c r="Q49" i="8"/>
  <c r="P49" i="8"/>
  <c r="N49" i="8"/>
  <c r="M49" i="8"/>
  <c r="K49" i="8"/>
  <c r="J49" i="8"/>
  <c r="H49" i="8"/>
  <c r="G49" i="8"/>
  <c r="T48" i="8"/>
  <c r="S48" i="8"/>
  <c r="Q48" i="8"/>
  <c r="P48" i="8"/>
  <c r="N48" i="8"/>
  <c r="M48" i="8"/>
  <c r="K48" i="8"/>
  <c r="J48" i="8"/>
  <c r="H48" i="8"/>
  <c r="G48" i="8"/>
  <c r="T47" i="8"/>
  <c r="S47" i="8"/>
  <c r="Q47" i="8"/>
  <c r="P47" i="8"/>
  <c r="N47" i="8"/>
  <c r="M47" i="8"/>
  <c r="K47" i="8"/>
  <c r="J47" i="8"/>
  <c r="H47" i="8"/>
  <c r="G47" i="8"/>
  <c r="T46" i="8"/>
  <c r="S46" i="8"/>
  <c r="Q46" i="8"/>
  <c r="P46" i="8"/>
  <c r="N46" i="8"/>
  <c r="M46" i="8"/>
  <c r="K46" i="8"/>
  <c r="J46" i="8"/>
  <c r="H46" i="8"/>
  <c r="G46" i="8"/>
  <c r="Y45" i="8"/>
  <c r="X45" i="8"/>
  <c r="W45" i="8"/>
  <c r="T45" i="8"/>
  <c r="S45" i="8"/>
  <c r="Q45" i="8"/>
  <c r="P45" i="8"/>
  <c r="N45" i="8"/>
  <c r="M45" i="8"/>
  <c r="K45" i="8"/>
  <c r="J45" i="8"/>
  <c r="H45" i="8"/>
  <c r="G45" i="8"/>
  <c r="T44" i="8"/>
  <c r="S44" i="8"/>
  <c r="Q44" i="8"/>
  <c r="P44" i="8"/>
  <c r="N44" i="8"/>
  <c r="M44" i="8"/>
  <c r="K44" i="8"/>
  <c r="J44" i="8"/>
  <c r="H44" i="8"/>
  <c r="G44" i="8"/>
  <c r="T41" i="8"/>
  <c r="S41" i="8"/>
  <c r="Q41" i="8"/>
  <c r="P41" i="8"/>
  <c r="N41" i="8"/>
  <c r="M41" i="8"/>
  <c r="K41" i="8"/>
  <c r="J41" i="8"/>
  <c r="H41" i="8"/>
  <c r="G41" i="8"/>
  <c r="Y40" i="8"/>
  <c r="X40" i="8"/>
  <c r="W40" i="8"/>
  <c r="T40" i="8"/>
  <c r="S40" i="8"/>
  <c r="Q40" i="8"/>
  <c r="P40" i="8"/>
  <c r="N40" i="8"/>
  <c r="M40" i="8"/>
  <c r="K40" i="8"/>
  <c r="J40" i="8"/>
  <c r="H40" i="8"/>
  <c r="G40" i="8"/>
  <c r="G36" i="8"/>
  <c r="F36" i="8"/>
  <c r="S42" i="8" s="1"/>
  <c r="C36" i="8"/>
  <c r="B36" i="8"/>
  <c r="G35" i="8"/>
  <c r="Q42" i="8" s="1"/>
  <c r="F35" i="8"/>
  <c r="P42" i="8" s="1"/>
  <c r="C35" i="8"/>
  <c r="B35" i="8"/>
  <c r="G34" i="8"/>
  <c r="F34" i="8"/>
  <c r="C34" i="8"/>
  <c r="B34" i="8"/>
  <c r="G33" i="8"/>
  <c r="F33" i="8"/>
  <c r="C33" i="8"/>
  <c r="B33" i="8"/>
  <c r="G32" i="8"/>
  <c r="F32" i="8"/>
  <c r="C32" i="8"/>
  <c r="B32" i="8"/>
  <c r="D32" i="8" s="1"/>
  <c r="G25" i="8"/>
  <c r="F25" i="8"/>
  <c r="E25" i="8"/>
  <c r="J25" i="8" s="1"/>
  <c r="Y50" i="8" s="1"/>
  <c r="D25" i="8"/>
  <c r="I25" i="8" s="1"/>
  <c r="X50" i="8" s="1"/>
  <c r="C25" i="8"/>
  <c r="G24" i="8"/>
  <c r="F24" i="8"/>
  <c r="E24" i="8"/>
  <c r="D24" i="8"/>
  <c r="C24" i="8"/>
  <c r="H24" i="8" s="1"/>
  <c r="G23" i="8"/>
  <c r="F23" i="8"/>
  <c r="E23" i="8"/>
  <c r="D23" i="8"/>
  <c r="I23" i="8" s="1"/>
  <c r="C23" i="8"/>
  <c r="G22" i="8"/>
  <c r="F22" i="8"/>
  <c r="E22" i="8"/>
  <c r="D22" i="8"/>
  <c r="C22" i="8"/>
  <c r="G21" i="8"/>
  <c r="F21" i="8"/>
  <c r="E21" i="8"/>
  <c r="J21" i="8" s="1"/>
  <c r="D21" i="8"/>
  <c r="C21" i="8"/>
  <c r="B14" i="8"/>
  <c r="B13" i="8"/>
  <c r="J8" i="8"/>
  <c r="I8" i="8"/>
  <c r="H8" i="8"/>
  <c r="G8" i="8"/>
  <c r="F8" i="8"/>
  <c r="E8" i="8"/>
  <c r="D8" i="8"/>
  <c r="B11" i="8" s="1"/>
  <c r="C8" i="8"/>
  <c r="C11" i="8" s="1"/>
  <c r="B8" i="8"/>
  <c r="J7" i="8"/>
  <c r="I7" i="8"/>
  <c r="H7" i="8"/>
  <c r="G7" i="8"/>
  <c r="F7" i="8"/>
  <c r="E7" i="8"/>
  <c r="D7" i="8"/>
  <c r="B10" i="8" s="1"/>
  <c r="D10" i="8" s="1"/>
  <c r="B12" i="8" s="1"/>
  <c r="C7" i="8"/>
  <c r="C10" i="8" s="1"/>
  <c r="B7" i="8"/>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36" i="8" l="1"/>
  <c r="H21" i="8"/>
  <c r="D35" i="8"/>
  <c r="J23" i="8"/>
  <c r="H25" i="8"/>
  <c r="W50" i="8" s="1"/>
  <c r="J24" i="8"/>
  <c r="Y47" i="8" s="1"/>
  <c r="H23" i="8"/>
  <c r="I24" i="8"/>
  <c r="B13" i="9"/>
  <c r="C13" i="9" s="1"/>
  <c r="D34" i="8"/>
  <c r="D33" i="8"/>
  <c r="I21" i="8"/>
  <c r="T43" i="8"/>
  <c r="T50" i="8"/>
  <c r="T42" i="8"/>
  <c r="R46" i="8"/>
  <c r="R45" i="8"/>
  <c r="R41" i="8"/>
  <c r="R47" i="8"/>
  <c r="R42" i="8"/>
  <c r="R50" i="8"/>
  <c r="O47" i="8"/>
  <c r="O50" i="8"/>
  <c r="O42" i="8"/>
  <c r="O46" i="8"/>
  <c r="L50" i="8"/>
  <c r="L42" i="8"/>
  <c r="L47" i="8"/>
  <c r="L46" i="8"/>
  <c r="I42" i="8"/>
  <c r="I46" i="8"/>
  <c r="I43" i="8"/>
  <c r="I47" i="8"/>
  <c r="I50" i="8"/>
  <c r="F43" i="8"/>
  <c r="F46" i="8"/>
  <c r="F50" i="8"/>
  <c r="F47" i="8"/>
  <c r="F42" i="8"/>
  <c r="BA3" i="13"/>
  <c r="BA3" i="12"/>
  <c r="BA2" i="13"/>
  <c r="BA2" i="12"/>
  <c r="AZ3" i="13"/>
  <c r="AZ3" i="12"/>
  <c r="AZ2" i="13"/>
  <c r="AZ2" i="12"/>
  <c r="AY3" i="13"/>
  <c r="AY3" i="12"/>
  <c r="AY2" i="12"/>
  <c r="AY2" i="13"/>
  <c r="AX3" i="13"/>
  <c r="AX3" i="12"/>
  <c r="AX2" i="12"/>
  <c r="AX2" i="13"/>
  <c r="AW3" i="13"/>
  <c r="AW3" i="12"/>
  <c r="AW2" i="13"/>
  <c r="AW2" i="12"/>
  <c r="AV3" i="13"/>
  <c r="AV3" i="12"/>
  <c r="AV2" i="13"/>
  <c r="AV2" i="12"/>
  <c r="AU3" i="13"/>
  <c r="AU3" i="12"/>
  <c r="AU2" i="13"/>
  <c r="AU2" i="12"/>
  <c r="AT3" i="13"/>
  <c r="AT3" i="12"/>
  <c r="AT2" i="13"/>
  <c r="AT2" i="12"/>
  <c r="AS3" i="13"/>
  <c r="AS3" i="12"/>
  <c r="AS2" i="13"/>
  <c r="AS2" i="12"/>
  <c r="AR3" i="12"/>
  <c r="AR3" i="13"/>
  <c r="AR2" i="13"/>
  <c r="AR2" i="12"/>
  <c r="AQ3" i="12"/>
  <c r="AQ3" i="13"/>
  <c r="AQ2" i="13"/>
  <c r="AQ2" i="12"/>
  <c r="AP3" i="13"/>
  <c r="AP3" i="12"/>
  <c r="AP2" i="13"/>
  <c r="AP2" i="12"/>
  <c r="AO3" i="12"/>
  <c r="AO3" i="13"/>
  <c r="AO2" i="12"/>
  <c r="AO2" i="13"/>
  <c r="AN3" i="13"/>
  <c r="AN3" i="12"/>
  <c r="AN2" i="12"/>
  <c r="AN2" i="13"/>
  <c r="AM3" i="12"/>
  <c r="AM3" i="13"/>
  <c r="AM2" i="12"/>
  <c r="AM2" i="13"/>
  <c r="AL3" i="13"/>
  <c r="AL3" i="12"/>
  <c r="AL2" i="13"/>
  <c r="AL2" i="12"/>
  <c r="AK3" i="13"/>
  <c r="AK3" i="12"/>
  <c r="AK2" i="12"/>
  <c r="AK2" i="13"/>
  <c r="AJ3" i="13"/>
  <c r="AJ3" i="12"/>
  <c r="AJ2" i="13"/>
  <c r="AJ2" i="12"/>
  <c r="AF3" i="13"/>
  <c r="AF3" i="12"/>
  <c r="AF2" i="13"/>
  <c r="AF2" i="12"/>
  <c r="AE3" i="13"/>
  <c r="AE3" i="12"/>
  <c r="AE2" i="13"/>
  <c r="AE2" i="12"/>
  <c r="AD3" i="12"/>
  <c r="AD3" i="13"/>
  <c r="AD2" i="13"/>
  <c r="AD2" i="12"/>
  <c r="AC3" i="12"/>
  <c r="AC3" i="13"/>
  <c r="AC2" i="12"/>
  <c r="AC2" i="13"/>
  <c r="AB3" i="13"/>
  <c r="AB3" i="12"/>
  <c r="AB2" i="12"/>
  <c r="AB2" i="13"/>
  <c r="AA3" i="12"/>
  <c r="AA3" i="13"/>
  <c r="AA2" i="12"/>
  <c r="AA2" i="13"/>
  <c r="Z3" i="12"/>
  <c r="Z3" i="13"/>
  <c r="Z2" i="13"/>
  <c r="Z2" i="12"/>
  <c r="U3" i="12"/>
  <c r="U3" i="13"/>
  <c r="U2" i="13"/>
  <c r="U2" i="12"/>
  <c r="T3" i="12"/>
  <c r="T3" i="13"/>
  <c r="T2" i="13"/>
  <c r="T2" i="12"/>
  <c r="S3" i="12"/>
  <c r="S3" i="13"/>
  <c r="S2" i="12"/>
  <c r="S2" i="13"/>
  <c r="R3" i="13"/>
  <c r="R3" i="12"/>
  <c r="R2" i="12"/>
  <c r="R2" i="13"/>
  <c r="Q3" i="12"/>
  <c r="Q3" i="13"/>
  <c r="Q2" i="13"/>
  <c r="Q2" i="12"/>
  <c r="P3" i="13"/>
  <c r="P3" i="12"/>
  <c r="P2" i="13"/>
  <c r="P2" i="12"/>
  <c r="O3" i="13"/>
  <c r="O3" i="12"/>
  <c r="O2" i="12"/>
  <c r="O2" i="13"/>
  <c r="N3" i="12"/>
  <c r="N3" i="13"/>
  <c r="N2" i="12"/>
  <c r="N2" i="13"/>
  <c r="M3" i="12"/>
  <c r="M3" i="13"/>
  <c r="M2" i="13"/>
  <c r="M2" i="12"/>
  <c r="L3" i="12"/>
  <c r="L3" i="13"/>
  <c r="L2" i="13"/>
  <c r="L2" i="12"/>
  <c r="K3" i="13"/>
  <c r="K3" i="12"/>
  <c r="K2" i="13"/>
  <c r="K2" i="12"/>
  <c r="J3" i="12"/>
  <c r="J3" i="13"/>
  <c r="J2" i="13"/>
  <c r="J2" i="12"/>
  <c r="I3" i="12"/>
  <c r="I3" i="13"/>
  <c r="I2" i="13"/>
  <c r="I2" i="12"/>
  <c r="H3" i="13"/>
  <c r="H3" i="12"/>
  <c r="H2" i="12"/>
  <c r="H2" i="13"/>
  <c r="G3" i="13"/>
  <c r="G3" i="12"/>
  <c r="G2" i="12"/>
  <c r="G2" i="13"/>
  <c r="F3" i="13"/>
  <c r="F3" i="12"/>
  <c r="F2" i="12"/>
  <c r="F2" i="13"/>
  <c r="E3" i="12"/>
  <c r="E3" i="13"/>
  <c r="E2" i="13"/>
  <c r="E2" i="12"/>
  <c r="D3" i="13"/>
  <c r="D3" i="12"/>
  <c r="D2" i="12"/>
  <c r="D2" i="13"/>
  <c r="C3" i="12"/>
  <c r="C3" i="13"/>
  <c r="C2" i="12"/>
  <c r="C2" i="13"/>
  <c r="B3" i="12"/>
  <c r="B3" i="13"/>
  <c r="B2" i="13"/>
  <c r="B2" i="12"/>
  <c r="B3" i="11"/>
  <c r="B2" i="11"/>
  <c r="B3" i="10"/>
  <c r="B2" i="10"/>
  <c r="S50" i="8"/>
  <c r="S43" i="8"/>
  <c r="Q50" i="8"/>
  <c r="Q43" i="8"/>
  <c r="P43" i="8"/>
  <c r="P50" i="8"/>
  <c r="N43" i="8"/>
  <c r="N42" i="8"/>
  <c r="N50" i="8"/>
  <c r="M43" i="8"/>
  <c r="M50" i="8"/>
  <c r="M42" i="8"/>
  <c r="K43" i="8"/>
  <c r="K50" i="8"/>
  <c r="K42" i="8"/>
  <c r="J43" i="8"/>
  <c r="J50" i="8"/>
  <c r="J42" i="8"/>
  <c r="H42" i="8"/>
  <c r="H50" i="8"/>
  <c r="H43" i="8"/>
  <c r="G50" i="8"/>
  <c r="G42" i="8"/>
  <c r="G43" i="8"/>
  <c r="B31" i="9"/>
  <c r="C31" i="9" s="1"/>
  <c r="B37" i="9"/>
  <c r="C37" i="9" s="1"/>
  <c r="W47" i="8"/>
  <c r="X44" i="8"/>
  <c r="X48" i="8"/>
  <c r="X46" i="8"/>
  <c r="X49" i="8"/>
  <c r="H22" i="8"/>
  <c r="J22" i="8"/>
  <c r="I22" i="8"/>
  <c r="B15" i="8"/>
  <c r="B16" i="8"/>
  <c r="R49" i="8"/>
  <c r="R48" i="8"/>
  <c r="R44" i="8"/>
  <c r="R40" i="8"/>
  <c r="R43" i="8"/>
  <c r="O44" i="8"/>
  <c r="O48" i="8"/>
  <c r="O43" i="8"/>
  <c r="O41" i="8"/>
  <c r="O49" i="8"/>
  <c r="O40" i="8"/>
  <c r="O45" i="8"/>
  <c r="L49" i="8"/>
  <c r="L44" i="8"/>
  <c r="L48" i="8"/>
  <c r="L41" i="8"/>
  <c r="L40" i="8"/>
  <c r="L43" i="8"/>
  <c r="L45" i="8"/>
  <c r="I49" i="8"/>
  <c r="I44" i="8"/>
  <c r="I41" i="8"/>
  <c r="I40" i="8"/>
  <c r="I48" i="8"/>
  <c r="I45" i="8"/>
  <c r="F49" i="8"/>
  <c r="F45" i="8"/>
  <c r="F48" i="8"/>
  <c r="F41" i="8"/>
  <c r="F44" i="8"/>
  <c r="F40" i="8"/>
  <c r="D11" i="8"/>
  <c r="B33" i="9" l="1"/>
  <c r="C33" i="9" s="1"/>
  <c r="M51" i="8"/>
  <c r="E34" i="8" s="1"/>
  <c r="Y44" i="8"/>
  <c r="Y48" i="8"/>
  <c r="Y46" i="8"/>
  <c r="Y49" i="8"/>
  <c r="W44" i="8"/>
  <c r="W48" i="8"/>
  <c r="W46" i="8"/>
  <c r="B35" i="9"/>
  <c r="C35" i="9" s="1"/>
  <c r="W49" i="8"/>
  <c r="X47" i="8"/>
  <c r="B36" i="9"/>
  <c r="C36" i="9" s="1"/>
  <c r="W41" i="8"/>
  <c r="W42" i="8"/>
  <c r="W43" i="8"/>
  <c r="B34" i="9"/>
  <c r="C34" i="9" s="1"/>
  <c r="Y41" i="8"/>
  <c r="Y42" i="8"/>
  <c r="Y43" i="8"/>
  <c r="X41" i="8"/>
  <c r="X42" i="8"/>
  <c r="X43" i="8"/>
  <c r="B81" i="8"/>
  <c r="C81" i="8"/>
  <c r="D81" i="8"/>
  <c r="C89" i="8"/>
  <c r="AG3" i="10" s="1"/>
  <c r="E89" i="8"/>
  <c r="AG3" i="11" s="1"/>
  <c r="B90" i="8"/>
  <c r="AH2" i="10" s="1"/>
  <c r="D90" i="8"/>
  <c r="AH2" i="11" s="1"/>
  <c r="E90" i="8"/>
  <c r="AH3" i="11" s="1"/>
  <c r="C91" i="8"/>
  <c r="AI3" i="10" s="1"/>
  <c r="B32" i="9"/>
  <c r="C32" i="9" s="1"/>
  <c r="E81" i="8"/>
  <c r="B89" i="8"/>
  <c r="AG2" i="10" s="1"/>
  <c r="D89" i="8"/>
  <c r="AG2" i="11" s="1"/>
  <c r="C90" i="8"/>
  <c r="AH3" i="10" s="1"/>
  <c r="B91" i="8"/>
  <c r="AI2" i="10" s="1"/>
  <c r="D91" i="8"/>
  <c r="AI2" i="11" s="1"/>
  <c r="E91" i="8"/>
  <c r="AI3" i="11" s="1"/>
  <c r="J51" i="8"/>
  <c r="E33" i="8" s="1"/>
  <c r="G51" i="8"/>
  <c r="E32" i="8" s="1"/>
  <c r="S51" i="8"/>
  <c r="E36" i="8" s="1"/>
  <c r="P51" i="8"/>
  <c r="E35" i="8" s="1"/>
  <c r="B110" i="8" l="1"/>
  <c r="Y2" i="10"/>
  <c r="B2" i="9" s="1"/>
  <c r="C2" i="9" s="1"/>
  <c r="C110" i="8"/>
  <c r="Y3" i="10"/>
  <c r="B3" i="9" s="1"/>
  <c r="C3" i="9" s="1"/>
  <c r="D110" i="8"/>
  <c r="Y2" i="11"/>
  <c r="B8" i="9" s="1"/>
  <c r="C8" i="9" s="1"/>
  <c r="E110" i="8"/>
  <c r="Y3" i="11"/>
  <c r="B9" i="9" s="1"/>
  <c r="C9" i="9" s="1"/>
  <c r="U43" i="8"/>
  <c r="U42" i="8"/>
  <c r="U50" i="8"/>
  <c r="V42" i="8"/>
  <c r="V43" i="8"/>
  <c r="V46" i="8"/>
  <c r="V50" i="8"/>
  <c r="U46" i="8"/>
  <c r="V47" i="8"/>
  <c r="U47" i="8"/>
  <c r="U49" i="8"/>
  <c r="V49" i="8"/>
  <c r="U45" i="8"/>
  <c r="V45" i="8"/>
  <c r="U48" i="8"/>
  <c r="V48" i="8"/>
  <c r="U41" i="8"/>
  <c r="V41" i="8"/>
  <c r="U44" i="8"/>
  <c r="V44" i="8"/>
  <c r="U40" i="8"/>
  <c r="V40" i="8"/>
  <c r="AB43" i="8" l="1"/>
  <c r="AA43" i="8"/>
  <c r="Z43" i="8"/>
  <c r="AB42" i="8"/>
  <c r="AA42" i="8"/>
  <c r="Z42" i="8"/>
  <c r="AA50" i="8"/>
  <c r="AB50" i="8"/>
  <c r="Z50" i="8"/>
  <c r="AB46" i="8"/>
  <c r="AA46" i="8"/>
  <c r="Z46" i="8"/>
  <c r="AB47" i="8"/>
  <c r="AA47" i="8"/>
  <c r="Z47" i="8"/>
  <c r="AA49" i="8"/>
  <c r="Z49" i="8"/>
  <c r="AB49" i="8"/>
  <c r="Z45" i="8"/>
  <c r="AA45" i="8"/>
  <c r="AB45" i="8"/>
  <c r="Z48" i="8"/>
  <c r="AA48" i="8"/>
  <c r="AB48" i="8"/>
  <c r="Z41" i="8"/>
  <c r="AB41" i="8"/>
  <c r="AA41" i="8"/>
  <c r="Z44" i="8"/>
  <c r="AA44" i="8"/>
  <c r="AB44" i="8"/>
  <c r="Z40" i="8"/>
  <c r="AA40" i="8"/>
  <c r="AB40" i="8"/>
  <c r="U51" i="8"/>
  <c r="V51" i="8"/>
  <c r="B30" i="9" l="1"/>
  <c r="C30" i="9" s="1"/>
  <c r="F78" i="8"/>
  <c r="G78" i="8"/>
  <c r="F81" i="8"/>
  <c r="G81" i="8"/>
  <c r="F79" i="8"/>
  <c r="G79" i="8"/>
  <c r="G80" i="8"/>
  <c r="F80" i="8"/>
  <c r="F89" i="8"/>
  <c r="G89" i="8"/>
  <c r="Z51" i="8"/>
  <c r="AB51" i="8"/>
  <c r="AA51" i="8"/>
  <c r="V2" i="12" l="1"/>
  <c r="V2" i="13"/>
  <c r="V3" i="12"/>
  <c r="V3" i="13"/>
  <c r="Y2" i="12"/>
  <c r="Y2" i="13"/>
  <c r="Y3" i="12"/>
  <c r="Y3" i="13"/>
  <c r="W2" i="12"/>
  <c r="W2" i="13"/>
  <c r="W3" i="12"/>
  <c r="W3" i="13"/>
  <c r="X3" i="12"/>
  <c r="X3" i="13"/>
  <c r="X2" i="12"/>
  <c r="X2" i="13"/>
  <c r="AG2" i="12"/>
  <c r="AG2" i="13"/>
  <c r="AG3" i="12"/>
  <c r="AG3" i="13"/>
  <c r="F91" i="8"/>
  <c r="G91" i="8"/>
  <c r="F90" i="8"/>
  <c r="F110" i="8" s="1"/>
  <c r="G90" i="8"/>
  <c r="G110" i="8" s="1"/>
  <c r="AI2" i="12" l="1"/>
  <c r="AI2" i="13"/>
  <c r="AI3" i="12"/>
  <c r="AI3" i="13"/>
  <c r="AH2" i="12"/>
  <c r="B14" i="9" s="1"/>
  <c r="C14" i="9" s="1"/>
  <c r="AH2" i="13"/>
  <c r="B20" i="9" s="1"/>
  <c r="C20" i="9" s="1"/>
  <c r="AH3" i="12"/>
  <c r="B15" i="9" s="1"/>
  <c r="C15" i="9" s="1"/>
  <c r="AH3" i="13"/>
  <c r="B21" i="9" s="1"/>
  <c r="C21" i="9" s="1"/>
  <c r="C39" i="9" l="1"/>
</calcChain>
</file>

<file path=xl/sharedStrings.xml><?xml version="1.0" encoding="utf-8"?>
<sst xmlns="http://schemas.openxmlformats.org/spreadsheetml/2006/main" count="1444" uniqueCount="459">
  <si>
    <t>SoBRCbIC Shr of Bldg Retrofitting Costs by ISIC Code</t>
  </si>
  <si>
    <t>Sources:</t>
  </si>
  <si>
    <t>Single-family deep retrofit: envelope work vs. heating and cooling equipment</t>
  </si>
  <si>
    <t>Which industry makes each piece of equipment</t>
  </si>
  <si>
    <t>Lawrence Berkeley National Laboratory (Less, Walker, Casquero-Modrego &amp; Rainer)</t>
  </si>
  <si>
    <t>U.S. Census Bureau</t>
  </si>
  <si>
    <t>The Cost of Decarbonization and Energy Upgrade Retrofits for US Homes</t>
  </si>
  <si>
    <t>2017 NAICS to ISIC Rev. 4 concordance</t>
  </si>
  <si>
    <t>https://eta-publications.lbl.gov/sites/default/files/final_walker_-_the_cost_of_decarbonization_and_energy.pdf</t>
  </si>
  <si>
    <t>https://www.census.gov/naics/concordances/2017_NAICS_to_ISIC_4.xlsx</t>
  </si>
  <si>
    <t>Tables 4, 6, 7 and 8 (pp. 24-27), typed on the "LBNL 2021 Res Costs" tab for the two deep-retrofit clusters. Table 7 gives the median cost of each measure category among the projects that had it, and Table 8 the share of projects that had it; multiplying the two gives an expected cost per project. Medians do not add up to the cluster total, so use these only for shares, never as a project cost.</t>
  </si>
  <si>
    <t>Rows for the industries used here are on the "NAICS-ISIC Concordance" tab. Building automation controls map to ISIC 26, motors and drives to 27, pumps, burners and HVAC equipment to 28, and central heating boilers to 25.</t>
  </si>
  <si>
    <t>Which kind of project BRESaC's single-family cost describes</t>
  </si>
  <si>
    <t>Why envelope work and installation count as construction</t>
  </si>
  <si>
    <t>Lawrence Berkeley National Laboratory (Less &amp; Walker)</t>
  </si>
  <si>
    <t>U.S. Bureau of Economic Analysis</t>
  </si>
  <si>
    <t>A Meta-Analysis of Single-Family Deep Energy Retrofit Performance in the U.S.</t>
  </si>
  <si>
    <t>NIPA Handbook, Chapter 6: Private Fixed Investment</t>
  </si>
  <si>
    <t>https://www.osti.gov/servlets/purl/1129577</t>
  </si>
  <si>
    <t>https://www.bea.gov/resources/methodologies/nipa-handbook/pdf/chapter-06.pdf</t>
  </si>
  <si>
    <t>This is the source of BRESaC's single-family cost. It did not record which measures each project installed (p. 6), so it cannot give the split by itself. It does describe the projects: they targeted "all or nearly all building assemblies" (p. 2), fuel switching was "relatively infrequent" (p. 17), and most came from cold-climate envelope programs. No numbers from it are used in this file.</t>
  </si>
  <si>
    <t>Table 6.1: investment in structures includes improvements (additions, alterations and major structural replacements) and equipment that is an integral part of the structure. The construction industry is the seller; its own purchases of insulation, lumber, windows and so on reach the makers through the input-output model. No numbers from it are used.</t>
  </si>
  <si>
    <t>Multifamily retrofit: envelope work vs. heating and cooling equipment</t>
  </si>
  <si>
    <t>Equipment vs. installation shares for heating and cooling equipment</t>
  </si>
  <si>
    <t>Building Energy Exchange</t>
  </si>
  <si>
    <t>EPS input file SoBCaICbIC</t>
  </si>
  <si>
    <t>Evaluating New York City's Multifamily Building Energy Data for Savings Opportunities: Retrofitting Affordability</t>
  </si>
  <si>
    <t>Share of Buildings Capital and Installation Costs by ISIC Code (built from EIA 2018, "Updated Buildings Sector Appliance and Equipment Costs and Efficiencies")</t>
  </si>
  <si>
    <t>https://be-exchange.org/wp-content/uploads/2017/11/BEEx_Retrofitting_Affordability_Update_Nov2015-1.pdf</t>
  </si>
  <si>
    <t>https://www.eia.gov/analysis/studies/buildings/equipcosts/pdf/full.pdf</t>
  </si>
  <si>
    <t>Table 6 (p. 31), typed on the "BEEx 2015 MF Costs" tab: citywide cost of the measures recommended in NYC energy audits, by category. These are audit recommendations for large NYC buildings, not deep retrofits. Domestic hot water, lighting and "other" are left out, as BRESaC does for its multifamily cost.</t>
  </si>
  <si>
    <t>The published SoBCaICbIC values are copied to the "EPS Inputs" tab; the heating and cooling rows give the equipment part of an installed heating or cooling system (everything not sent to installation). Update the tab if SoBCaICbIC changes.</t>
  </si>
  <si>
    <t>Commercial retrofit: equipment and installation cost of each measure</t>
  </si>
  <si>
    <t>Weights that match how BRESaC builds its retrofit cost</t>
  </si>
  <si>
    <t>Pacific Northwest National Laboratory</t>
  </si>
  <si>
    <t>EPS input file BRESaC</t>
  </si>
  <si>
    <t>Advanced Energy Retrofit Guides: Office Buildings (PNNL-20761)</t>
  </si>
  <si>
    <t>Bldg Retrofitting E Savings and Costs</t>
  </si>
  <si>
    <t>https://www.pnnl.gov/main/publications/external/technical_reports/PNNL-20761.pdf</t>
  </si>
  <si>
    <t>https://www.eia.gov/outlooks/aeo/tables_side_xls.php</t>
  </si>
  <si>
    <t>Appendix 10 financial analysis tables for each measure (Equipment Cost and Install Cost columns), and Table 5.3 (p. 78) for which measures make up the deep retrofit package in each climate zone; both on the "PNNL Office Measures" tab. Equipment cost is "equipment and associated materials" with no labor (p. 119). Costs are for one large reference office building in January 2012 dollars and are totals, not increments over a code-minimum replacement. Not a cost survey of the US commercial stock.</t>
  </si>
  <si>
    <t>Household counts (AEO 2026 Table 4) and single-family / multifamily cost per BTU saved; commercial floorspace shares, cost per BTU saved by climate zone, and the list of measures counted. Values are on the "EPS Inputs" tab with the BRESaC cell each came from. Update the tab if BRESaC changes. The URL is AEO's table page.</t>
  </si>
  <si>
    <t>Wholesale, retail and freight markups on equipment bought by contractors</t>
  </si>
  <si>
    <t>Margins, Before Redefinitions, Detail (input-output accounts)</t>
  </si>
  <si>
    <t>https://apps.bea.gov/industry/release/xlsx/Margins_Before_Redefinitions_Detail.xlsx</t>
  </si>
  <si>
    <t>Sheet "2017": rows for the five equipment commodities this file uses, bought by the construction industries (industry codes starting with 23), copied verbatim on the "BEA 2017 Margins" tab. Accessed October 2026. The shares are national averages over all construction purchases of each commodity, not retrofit-specific.</t>
  </si>
  <si>
    <t>Notes:</t>
  </si>
  <si>
    <t>What this file does</t>
  </si>
  <si>
    <t>When the building retrofitting policy is on, the EPS works out how much is spent on retrofits ("Amount Spent on Retrofitting Buildings"). This file says which industries receive that money, so the input-output model can work out the jobs and GDP effects. The retrofit cost is booked against the heating and cooling components, because that is where the energy savings are counted, so those two rows carry the retrofit split. The other rows copy SoBCaICbIC and carry no retrofit spending today.</t>
  </si>
  <si>
    <t>How the workbook is laid out</t>
  </si>
  <si>
    <t>The source tabs hold the published tables (typed from PDFs or copied from spreadsheets). "EPS Inputs" holds values from two other EPS input files. "Calcs" does the work in four sections: A, residential envelope share; B, equipment markups; C, commercial measures; D, the shares by industry. "Checks" should show zero problems. The three dark blue tabs are exported as the CSV files the model reads.</t>
  </si>
  <si>
    <t>The three rules</t>
  </si>
  <si>
    <t>Envelope work (insulation, air sealing, windows, roofing) and all installation labor go to construction (ISIC 41T43), the way the national accounts treat building improvements; the materials contractors buy then reach their makers through the input-output model. Equipment that is actually replaced (heat pumps, controls, motors, pumps, burners) goes to the industry that makes it. Of each equipment dollar, the wholesale and retail markup goes to trade (ISIC 45T47) and freight to transport (ISIC 49), using BEA's 2017 margins for equipment bought by contractors.</t>
  </si>
  <si>
    <t>Residential</t>
  </si>
  <si>
    <t>BRESaC's residential cost blends a single-family deep-retrofit study with a New York multifamily study, weighted by household counts. Here, the single-family envelope share comes from LBNL's 2021 "Superinsulation" cluster, the group of classic envelope-led deep retrofits that matches the projects in BRESaC's single-family source. LBNL's other deep cluster, "Electrification with PV", is mostly heat pumps and solar; you can switch to it with the selector in Calcs!B4 to see how much the split depends on this choice. The multifamily envelope share comes from the NYC audit data. The heating and cooling part is then split into equipment and installation the same way SoBCaICbIC splits a new system.</t>
  </si>
  <si>
    <t>Commercial</t>
  </si>
  <si>
    <t>For each measure BRESaC counts, PNNL gives an equipment cost and an installation cost in five climate zones. Each climate zone is weighted by its share of BRESaC's average cost per BTU (floorspace times cost per BTU), and within a zone each measure by its share of that zone's cost. Commercial heating and cooling get the same split, because the measures serve both. PNNL prices four of the measures (HA13, HA14, HA15 and HW15) as if each one had to upgrade the building's zone controls from pneumatic to digital. A building only does that once, so it is counted once, in HA13, as BRESaC does; the upgrade's cost is HA14 minus HA12, two versions of the same measure with and without it.</t>
  </si>
  <si>
    <t>Data centers</t>
  </si>
  <si>
    <t>BRESaC gives data centers no retrofit energy savings, so they have no retrofit spending today. Their heating and cooling rows copy the commercial split so the file is ready if that changes; the other rows copy the data-center rows of SoBCaICbIC.</t>
  </si>
  <si>
    <t>What is not covered</t>
  </si>
  <si>
    <t>PNNL adds a planning and design allowance of 10% of construction cost for deep retrofit packages (p. 121). BRESaC does not include it, so this file has no professional services share; add one here if BRESaC adds that cost. Multifamily "fuel switching" (oil-to-gas boiler conversions) is treated as heating equipment. The commercial split rests on one reference office building.</t>
  </si>
  <si>
    <t>Less, Walker, Casquero-Modrego &amp; Rainer (2021), "The Cost of Decarbonization and Energy Upgrade Retrofits for US Homes", Lawrence Berkeley National Laboratory. Typed from the report, Tables 4, 6, 7 and 8 (pp. 24-27).</t>
  </si>
  <si>
    <t>Only the two deep-retrofit clusters are transcribed (the report has six). Costs are 2019 dollars, medians across the projects in each cluster.</t>
  </si>
  <si>
    <t>Table 4. Cluster label descriptions</t>
  </si>
  <si>
    <t>Cluster</t>
  </si>
  <si>
    <t>Description</t>
  </si>
  <si>
    <t>Superinsulation</t>
  </si>
  <si>
    <t>Comprehensive deep retrofits focused on aggressive envelope upgrades (e.g. exterior wall insulation; triple pane windows; etc.) with some gas equipment and little or no PV</t>
  </si>
  <si>
    <t>Electrification with PV</t>
  </si>
  <si>
    <t>Equipment electrification projects that include moderate envelope upgrades and PV in all cases</t>
  </si>
  <si>
    <t>Table 6. Median cluster project characteristics</t>
  </si>
  <si>
    <t>Number of projects</t>
  </si>
  <si>
    <t>Number of measures</t>
  </si>
  <si>
    <t>Vintage</t>
  </si>
  <si>
    <t>Floor area (ft2)</t>
  </si>
  <si>
    <t>Project length (months)</t>
  </si>
  <si>
    <t>Total cost ($)</t>
  </si>
  <si>
    <t>Total cost ($/ft2)</t>
  </si>
  <si>
    <t>Table 7. Median category cost for clusters with recorded costs in the measure category ($)</t>
  </si>
  <si>
    <t>PV</t>
  </si>
  <si>
    <t>HVAC</t>
  </si>
  <si>
    <t>House</t>
  </si>
  <si>
    <t>Appliance</t>
  </si>
  <si>
    <t>Doors and Windows</t>
  </si>
  <si>
    <t>Lighting</t>
  </si>
  <si>
    <t>DHW</t>
  </si>
  <si>
    <t>Electrical</t>
  </si>
  <si>
    <t>Seal and Insulate</t>
  </si>
  <si>
    <t>Table 8. Fraction of cluster projects with each measure</t>
  </si>
  <si>
    <t>Building Energy Exchange (2015), "Evaluating New York City's Multifamily Building Energy Data for Savings Opportunities: Retrofitting Affordability". Typed from Table 6, p. 31.</t>
  </si>
  <si>
    <t>Table 6: Potential Source Energy Savings by ECM Category (citywide totals for covered multifamily buildings).</t>
  </si>
  <si>
    <t>Category</t>
  </si>
  <si>
    <t>Potential source energy savings (TBTU)</t>
  </si>
  <si>
    <t>Percent of total source energy potential savings</t>
  </si>
  <si>
    <t>GHG potential reduction (MMT CO2e)</t>
  </si>
  <si>
    <t>Percent of total GHG emissions reduction potential</t>
  </si>
  <si>
    <t>Citywide cost (million $)</t>
  </si>
  <si>
    <t>Percent of citywide cost</t>
  </si>
  <si>
    <t>Payback (years)</t>
  </si>
  <si>
    <t>Kept in BRESaC?
1 = yes (heating; cooling; envelope work)</t>
  </si>
  <si>
    <t>Envelope work?
1 = yes</t>
  </si>
  <si>
    <t>Heating &amp; Distribution</t>
  </si>
  <si>
    <t>Domestic Hot Water</t>
  </si>
  <si>
    <t>Envelope</t>
  </si>
  <si>
    <t>Fuel Switching</t>
  </si>
  <si>
    <t>Ventilation &amp; Cooling</t>
  </si>
  <si>
    <t>Other</t>
  </si>
  <si>
    <t>Total</t>
  </si>
  <si>
    <t>The last two columns are added for this file. BRESaC removed domestic hot water, lighting and other measures from the multifamily costs, so the same categories are left out here.</t>
  </si>
  <si>
    <t>PNNL (2011), "Advanced Energy Retrofit Guides: Office Buildings", PNNL-20761. Appendix 10 financial analysis tables, Equipment Cost and Install Cost columns (January 2012 dollars, one large reference office).</t>
  </si>
  <si>
    <t>Equipment cost is "equipment and associated materials" and excludes labor; install cost is labor (p. 119). Values are total costs, not increments over a code baseline. E7 uses the AEDG-level table.</t>
  </si>
  <si>
    <t>Measure</t>
  </si>
  <si>
    <t>Measure name (PNNL)</t>
  </si>
  <si>
    <t>Appendix page</t>
  </si>
  <si>
    <t>Climate zone</t>
  </si>
  <si>
    <t>Equipment cost ($)</t>
  </si>
  <si>
    <t>Install cost ($)</t>
  </si>
  <si>
    <t>In deep retrofit package (Table 5.3)?
1 = yes</t>
  </si>
  <si>
    <t>E7</t>
  </si>
  <si>
    <t>Add roof insulation (AEDG level)</t>
  </si>
  <si>
    <t>Hot &amp; Humid</t>
  </si>
  <si>
    <t>Hot &amp; Dry</t>
  </si>
  <si>
    <t>Marine</t>
  </si>
  <si>
    <t>Cold</t>
  </si>
  <si>
    <t>Very Cold</t>
  </si>
  <si>
    <t>HA12</t>
  </si>
  <si>
    <t>Lower VAV box minimum flow setpoints (rebalance pneumatic boxes)</t>
  </si>
  <si>
    <t>HA13</t>
  </si>
  <si>
    <t>Widen zone temperature deadband; add conference room standby control (upgrade to DDC zone control)</t>
  </si>
  <si>
    <t>HA14</t>
  </si>
  <si>
    <t>Lower VAV box minimum flow setpoints; reset duct static pressure (upgrade to DDC zone control)</t>
  </si>
  <si>
    <t>HA15</t>
  </si>
  <si>
    <t>Add demand-controlled ventilation</t>
  </si>
  <si>
    <t>HA16</t>
  </si>
  <si>
    <t>Replace supply fan motor and VFD</t>
  </si>
  <si>
    <t>HW7</t>
  </si>
  <si>
    <t>Shut down heating plant when there's no heating load</t>
  </si>
  <si>
    <t>HW8</t>
  </si>
  <si>
    <t>Increase efficiency of condenser water system</t>
  </si>
  <si>
    <t>HW9</t>
  </si>
  <si>
    <t>Increase efficiency of condenser water pumping system</t>
  </si>
  <si>
    <t>HW10</t>
  </si>
  <si>
    <t>Change cooling plant pumping system to variable primary</t>
  </si>
  <si>
    <t>HW12</t>
  </si>
  <si>
    <t>Add a VFD to one chiller</t>
  </si>
  <si>
    <t>HW15</t>
  </si>
  <si>
    <t>Replace boilers and change heating plant pumping system to variable flow primary</t>
  </si>
  <si>
    <t>HW16</t>
  </si>
  <si>
    <t>Replace boiler burners with modulating burners</t>
  </si>
  <si>
    <t>The last column is typed from Table 5.3 (p. 78). HA12 and HW16 are not in the deep package; HA12 is kept because it is the same VAV setpoint measure as HA14 done without upgrading the controls to DDC.</t>
  </si>
  <si>
    <t>Margins, Before Redefinitions, 2017</t>
  </si>
  <si>
    <t>[Millions of dollars]</t>
  </si>
  <si>
    <t>Bureau of Economic Analysis</t>
  </si>
  <si>
    <t>Producers' Value</t>
  </si>
  <si>
    <t>Transportation Costs</t>
  </si>
  <si>
    <t xml:space="preserve">            Trade Margins</t>
  </si>
  <si>
    <t>Purchasers' Value</t>
  </si>
  <si>
    <t>Industry Code</t>
  </si>
  <si>
    <t>Industry Description</t>
  </si>
  <si>
    <t>Commodity Code</t>
  </si>
  <si>
    <t>Commodity Description</t>
  </si>
  <si>
    <t>Wholesale</t>
  </si>
  <si>
    <t>Retail</t>
  </si>
  <si>
    <t>1111A0</t>
  </si>
  <si>
    <t>Oilseed farming</t>
  </si>
  <si>
    <t>8332</t>
  </si>
  <si>
    <t>1105</t>
  </si>
  <si>
    <t>2723</t>
  </si>
  <si>
    <t>0</t>
  </si>
  <si>
    <t>12160</t>
  </si>
  <si>
    <t>Nonresidential maintenance and repair</t>
  </si>
  <si>
    <t>Heating equipment (except warm air furnaces) manufacturing</t>
  </si>
  <si>
    <t>Air conditioning, refrigeration, and warm air heating equipment manufacturing</t>
  </si>
  <si>
    <t>Pump and pumping equipment manufacturing</t>
  </si>
  <si>
    <t>Automatic environmental control manufacturing</t>
  </si>
  <si>
    <t>Motor and generator manufacturing</t>
  </si>
  <si>
    <t>Residential maintenance and repair</t>
  </si>
  <si>
    <t>Health care structures</t>
  </si>
  <si>
    <t>Industrial and commercial fan and blower and air purification equipment manufacturing</t>
  </si>
  <si>
    <t>Relay and industrial control manufacturing</t>
  </si>
  <si>
    <t>Manufacturing structures</t>
  </si>
  <si>
    <t>Power and communication structures</t>
  </si>
  <si>
    <t>Educational and vocational structures</t>
  </si>
  <si>
    <t>2332A0</t>
  </si>
  <si>
    <t>Office and commercial structures</t>
  </si>
  <si>
    <t>2332C0</t>
  </si>
  <si>
    <t>Transportation structures and highways and streets</t>
  </si>
  <si>
    <t>2332D0</t>
  </si>
  <si>
    <t>Other nonresidential structures</t>
  </si>
  <si>
    <t>Single-family residential structures</t>
  </si>
  <si>
    <t>Multifamily residential structures</t>
  </si>
  <si>
    <t>2334A0</t>
  </si>
  <si>
    <t>Other residential structures</t>
  </si>
  <si>
    <t>Rows copied verbatim from BEA "Margins, Before Redefinitions, 2017" (detail, sheet 2017) for the commodities this file uses, keeping only the rows where the buying industry is construction (industry codes starting with 23).</t>
  </si>
  <si>
    <t>U.S. Census Bureau, 2017 NAICS to ISIC Rev. 4 concordance (technical version). Rows for the industries this file uses.</t>
  </si>
  <si>
    <t>Part of NAICS US</t>
  </si>
  <si>
    <t>2017 NAICS US</t>
  </si>
  <si>
    <t>2017 NAICS US title</t>
  </si>
  <si>
    <t>ISIC 4.0</t>
  </si>
  <si>
    <t>ISIC Revision 4.0 title</t>
  </si>
  <si>
    <t>Notes (link content based on NAICS definition; entire NAICS industry if blank)</t>
  </si>
  <si>
    <t>Automatic Environmental Control Manufacturing for Residential, Commercial, and Appliance Use</t>
  </si>
  <si>
    <t>Manufacture of measuring, testing, navigating, and control equipment</t>
  </si>
  <si>
    <t>Motor and Generator Manufacturing</t>
  </si>
  <si>
    <t>Manufacture of electric motors, generators, transformers and electricity distribution and control apparatus</t>
  </si>
  <si>
    <t>Measuring, Dispensing, and Other Pumping Equipment Manufacturing</t>
  </si>
  <si>
    <t>Manufacture of other pumps, compressors, taps and valves</t>
  </si>
  <si>
    <t>*</t>
  </si>
  <si>
    <t>Heating Equipment (except Warm Air Furnaces) Manufacturing</t>
  </si>
  <si>
    <t>Manufacture of tanks, reservoirs and containers of metal</t>
  </si>
  <si>
    <t>central heating boilers and radiators</t>
  </si>
  <si>
    <t>Manufacture of ovens, furnaces and furnace burners</t>
  </si>
  <si>
    <t>except central heating boilers and radiators</t>
  </si>
  <si>
    <t>Air-Conditioning and Warm Air Heating Equipment and Commercial and Industrial Refrigeration Equipment Manufacturing</t>
  </si>
  <si>
    <t>air-conditioning compressors</t>
  </si>
  <si>
    <t>forced air heating furnaces and heat pumps</t>
  </si>
  <si>
    <t>Manufacture of other general-purpose machinery</t>
  </si>
  <si>
    <t>except separate air-conditioning compressors and forced air heating furnaces</t>
  </si>
  <si>
    <t>Residential Remodelers</t>
  </si>
  <si>
    <t>Construction of buildings</t>
  </si>
  <si>
    <t>Plumbing, Heating, and Air-Conditioning Contractors</t>
  </si>
  <si>
    <t>Plumbing, heat and air-conditioning installation</t>
  </si>
  <si>
    <t>except boiler chipping, cleaning, and scaling; industrial furnace and power boiler installation; chimney liner installation</t>
  </si>
  <si>
    <t>Drywall and Insulation Contractors</t>
  </si>
  <si>
    <t>Other construction installation</t>
  </si>
  <si>
    <t>soundproofing and building insulation contractors (wall cavity, attic, for example)</t>
  </si>
  <si>
    <t>Roofing Contractors</t>
  </si>
  <si>
    <t>Other specialized construction activities</t>
  </si>
  <si>
    <t>Electrical Contractors and Other Wiring Installation Contractors</t>
  </si>
  <si>
    <t>Electrical installation</t>
  </si>
  <si>
    <t>Commas in the source titles are kept; this tab is not exported. Census marks rows that cover only part of a NAICS industry with *, and the notes column says which part.</t>
  </si>
  <si>
    <t>Values taken from other EPS input files. Update them if those files change.</t>
  </si>
  <si>
    <t>SoBCaICbIC Share of Buildings Capital and Installation Costs by ISIC Code: urban residential (InputData/bldgs/SoBCaICbIC/SoBCaICbIC-urbanresidential.csv, pasted as published)</t>
  </si>
  <si>
    <t>Unit: dimensionless (%)</t>
  </si>
  <si>
    <t>ISIC 01</t>
  </si>
  <si>
    <t>ISIC 02</t>
  </si>
  <si>
    <t>ISIC 03</t>
  </si>
  <si>
    <t>ISIC 05</t>
  </si>
  <si>
    <t>ISIC 06</t>
  </si>
  <si>
    <t>ISIC 07</t>
  </si>
  <si>
    <t>ISIC 08</t>
  </si>
  <si>
    <t>ISIC 09</t>
  </si>
  <si>
    <t>ISIC 10T12</t>
  </si>
  <si>
    <t>ISIC 13T15</t>
  </si>
  <si>
    <t>ISIC 16</t>
  </si>
  <si>
    <t>ISIC 17T18</t>
  </si>
  <si>
    <t>ISIC 19</t>
  </si>
  <si>
    <t>ISIC 20</t>
  </si>
  <si>
    <t>ISIC 21</t>
  </si>
  <si>
    <t>ISIC 22</t>
  </si>
  <si>
    <t>ISIC 231</t>
  </si>
  <si>
    <t>ISIC 239</t>
  </si>
  <si>
    <t>ISIC 241</t>
  </si>
  <si>
    <t>ISIC 242</t>
  </si>
  <si>
    <t>ISIC 25</t>
  </si>
  <si>
    <t>ISIC 26</t>
  </si>
  <si>
    <t>ISIC 27</t>
  </si>
  <si>
    <t>ISIC 28</t>
  </si>
  <si>
    <t>ISIC 29</t>
  </si>
  <si>
    <t>ISIC 301</t>
  </si>
  <si>
    <t>ISIC 302T309</t>
  </si>
  <si>
    <t>ISIC 31T33</t>
  </si>
  <si>
    <t>ISIC 351</t>
  </si>
  <si>
    <t>ISIC 352T353</t>
  </si>
  <si>
    <t>ISIC 36T39</t>
  </si>
  <si>
    <t>ISIC 41T43</t>
  </si>
  <si>
    <t>ISIC 45T47</t>
  </si>
  <si>
    <t>ISIC 49</t>
  </si>
  <si>
    <t>ISIC 50</t>
  </si>
  <si>
    <t>ISIC 51</t>
  </si>
  <si>
    <t>ISIC 52</t>
  </si>
  <si>
    <t>ISIC 53</t>
  </si>
  <si>
    <t>ISIC 55T56</t>
  </si>
  <si>
    <t>ISIC 58T60</t>
  </si>
  <si>
    <t>ISIC 61</t>
  </si>
  <si>
    <t>ISIC 62T63</t>
  </si>
  <si>
    <t>ISIC 64T66</t>
  </si>
  <si>
    <t>ISIC 68</t>
  </si>
  <si>
    <t>ISIC 69T75</t>
  </si>
  <si>
    <t>ISIC 77T82</t>
  </si>
  <si>
    <t>ISIC 84</t>
  </si>
  <si>
    <t>ISIC 85</t>
  </si>
  <si>
    <t>ISIC 86T88</t>
  </si>
  <si>
    <t>ISIC 90T93</t>
  </si>
  <si>
    <t>ISIC 94T96</t>
  </si>
  <si>
    <t>ISIC 97T98</t>
  </si>
  <si>
    <t>Heating</t>
  </si>
  <si>
    <t>Cooling</t>
  </si>
  <si>
    <t>Appliances</t>
  </si>
  <si>
    <t>SoBCaICbIC Share of Buildings Capital and Installation Costs by ISIC Code: rural residential (InputData/bldgs/SoBCaICbIC/SoBCaICbIC-ruralresidential.csv, pasted as published)</t>
  </si>
  <si>
    <t>SoBCaICbIC Share of Buildings Capital and Installation Costs by ISIC Code: commercial (InputData/bldgs/SoBCaICbIC/SoBCaICbIC-commercial.csv, pasted as published)</t>
  </si>
  <si>
    <t>SoBCaICbIC Share of Buildings Capital and Installation Costs by ISIC Code: data centers (InputData/bldgs/SoBCaICbIC/SoBCaICbIC-data-centers.csv, pasted as published)</t>
  </si>
  <si>
    <t>BRESaC Retrofitting Cost per Unit Energy Saved: residential inputs (InputData/bldgs/BRESaC/Bldg Retrofitting E Savings and Costs.xlsx)</t>
  </si>
  <si>
    <t>Building group</t>
  </si>
  <si>
    <t>Households (millions), AEO26 Table 4</t>
  </si>
  <si>
    <t>Retrofit cost per unit energy saved ($/BTU)</t>
  </si>
  <si>
    <t>BRESaC cell</t>
  </si>
  <si>
    <t>Single-family</t>
  </si>
  <si>
    <t>'AEO26 Table 4'!E8; 'Residential'!B6</t>
  </si>
  <si>
    <t>Multifamily</t>
  </si>
  <si>
    <t>'AEO26 Table 4'!E9; 'Residential'!C50</t>
  </si>
  <si>
    <t>BRESaC: commercial inputs (same workbook, Commercial tab)</t>
  </si>
  <si>
    <t>Share of commercial floorspace (Commercial!I)</t>
  </si>
  <si>
    <t>Retrofit cost per unit energy saved ($/BTU) (Commercial!N)</t>
  </si>
  <si>
    <t>BRESaC: commercial measures included in the retrofit cost (Commercial tab, columns A, B and F)</t>
  </si>
  <si>
    <t>Measure (as labeled in BRESaC)</t>
  </si>
  <si>
    <t>Included?
1 = yes</t>
  </si>
  <si>
    <t>Measure code</t>
  </si>
  <si>
    <t>E7 Add AEDG roof insulation</t>
  </si>
  <si>
    <t>HA13 Widen Zone Temperature Deadband, Add Conference Room Standby Control (Upgrade To DDC Zone Control)</t>
  </si>
  <si>
    <t>HA14 Lower VAV Box Minimum Flow Setpoints, Reset Duct Static Pressure (Upgrade to DDC Zone Control)</t>
  </si>
  <si>
    <t>HA15 Add Demand Controlled Ventilation</t>
  </si>
  <si>
    <t>HA16 Replace Supply Fan Motor and VFD</t>
  </si>
  <si>
    <t>HW7 Shut Down Heating Plant When There's No Heating Load</t>
  </si>
  <si>
    <t>HW8 Increase Efficiency of Condenser Water System</t>
  </si>
  <si>
    <t>HW9 Increase Efficiency of Condenser Water Pumping System</t>
  </si>
  <si>
    <t>HW10 Change Cooling Plant Pumping System to Variable Primary</t>
  </si>
  <si>
    <t>HW12 Add a VFD to One Chiller</t>
  </si>
  <si>
    <t>HW15 Replace Boilers and Change Heating Plant Pumping System to Variable Flow Primary</t>
  </si>
  <si>
    <t>A. Residential: how much of retrofit spending is envelope work</t>
  </si>
  <si>
    <t>What share of a residential retrofit dollar pays for envelope work (insulation, air sealing, windows) rather than heating and cooling equipment? Answer in B16.</t>
  </si>
  <si>
    <t>Single-family stand-in cluster (pick one)</t>
  </si>
  <si>
    <t>LBNL 2021 cluster that best matches the projects in BRESaC's single-family source (see About).</t>
  </si>
  <si>
    <t>Expected cost per project by category
median cost x share of projects with it ($)</t>
  </si>
  <si>
    <t>Envelope work
house + doors &amp; windows + seal &amp; insulate ($)</t>
  </si>
  <si>
    <t>Heating and cooling equipment
HVAC ($)</t>
  </si>
  <si>
    <t>Envelope share
of envelope + HVAC</t>
  </si>
  <si>
    <t>Single-family envelope share used</t>
  </si>
  <si>
    <t>Multifamily envelope share (BEEx)</t>
  </si>
  <si>
    <t>Envelope cost / cost of the categories BRESaC keeps (heating &amp; distribution, envelope, fuel switching, ventilation &amp; cooling).</t>
  </si>
  <si>
    <t>Single-family weight in BRESaC residential cost</t>
  </si>
  <si>
    <t>BRESaC averages the two $/BTU figures by household count, so each group's share of the average is households x $/BTU.</t>
  </si>
  <si>
    <t>Multifamily weight</t>
  </si>
  <si>
    <t>RESIDENTIAL ENVELOPE SHARE USED IN THE OUTPUT FILE</t>
  </si>
  <si>
    <t>B. Markups on equipment bought by construction contractors (BEA 2017)</t>
  </si>
  <si>
    <t>Of each dollar a contractor pays for a piece of equipment, how much is the manufacturer's price, freight, and wholesale + retail markup?</t>
  </si>
  <si>
    <t>BEA commodity code</t>
  </si>
  <si>
    <t>Commodity</t>
  </si>
  <si>
    <t>Producers' value ($M)</t>
  </si>
  <si>
    <t>Transportation costs ($M)</t>
  </si>
  <si>
    <t>Wholesale margin ($M)</t>
  </si>
  <si>
    <t>Retail margin ($M)</t>
  </si>
  <si>
    <t>Purchasers' value ($M)</t>
  </si>
  <si>
    <t>Manufacturer's share
(to the making industry)</t>
  </si>
  <si>
    <t>Freight share
(to ISIC 49)</t>
  </si>
  <si>
    <t>Wholesale + retail share
(to ISIC 45T47)</t>
  </si>
  <si>
    <t>333415</t>
  </si>
  <si>
    <t>Air conditioning, refrigeration, and warm air heating equipment</t>
  </si>
  <si>
    <t>334512</t>
  </si>
  <si>
    <t>Automatic environmental controls</t>
  </si>
  <si>
    <t>335312</t>
  </si>
  <si>
    <t>Motors and generators</t>
  </si>
  <si>
    <t>333914</t>
  </si>
  <si>
    <t>Pumps and pumping equipment</t>
  </si>
  <si>
    <t>333414</t>
  </si>
  <si>
    <t>Heating equipment (except warm air furnaces)</t>
  </si>
  <si>
    <t>envelope work</t>
  </si>
  <si>
    <t>Envelope work: all of it counts as construction (see About)</t>
  </si>
  <si>
    <t>none</t>
  </si>
  <si>
    <t>No equipment bought (programming change only)</t>
  </si>
  <si>
    <t>BEA rounds each figure to the nearest million dollars, so the four parts can differ slightly from purchasers' value; the shares divide by the sum of the four parts so they add to exactly 100%.</t>
  </si>
  <si>
    <t>C. Commercial: which industries the retrofit measures buy from (PNNL office building)</t>
  </si>
  <si>
    <t>For the measures BRESaC counts, what share of commercial retrofit spending is equipment (by maker) and what share is installation labor? Answers in columns AA-AC.</t>
  </si>
  <si>
    <t>Share of commercial floorspace</t>
  </si>
  <si>
    <t>Share of BRESaC average cost
floorspace x $/BTU</t>
  </si>
  <si>
    <t>Total cost of the counted measures in one building ($)</t>
  </si>
  <si>
    <t>Digital zone control upgrade
equipment ($)
HA14 minus HA12</t>
  </si>
  <si>
    <t>Digital zone control upgrade
installation ($)
HA14 minus HA12</t>
  </si>
  <si>
    <t>HA13, HA14, HA15 and HW15 each include the full upgrade from pneumatic to digital zone controls. It is counted once, in HA13; the other three have it subtracted.</t>
  </si>
  <si>
    <t>BRESaC measure</t>
  </si>
  <si>
    <t>PNNL measure costed</t>
  </si>
  <si>
    <t>Main hardware bought</t>
  </si>
  <si>
    <t>BEA commodity for markups</t>
  </si>
  <si>
    <t>Industry that makes the hardware</t>
  </si>
  <si>
    <t>Hot &amp; Humid
counted? 1 = yes</t>
  </si>
  <si>
    <t>Hot &amp; Humid
equipment ($)</t>
  </si>
  <si>
    <t>Hot &amp; Humid
installation ($)</t>
  </si>
  <si>
    <t>Hot &amp; Dry
counted? 1 = yes</t>
  </si>
  <si>
    <t>Hot &amp; Dry
equipment ($)</t>
  </si>
  <si>
    <t>Hot &amp; Dry
installation ($)</t>
  </si>
  <si>
    <t>Marine
counted? 1 = yes</t>
  </si>
  <si>
    <t>Marine
equipment ($)</t>
  </si>
  <si>
    <t>Marine
installation ($)</t>
  </si>
  <si>
    <t>Cold
counted? 1 = yes</t>
  </si>
  <si>
    <t>Cold
equipment ($)</t>
  </si>
  <si>
    <t>Cold
installation ($)</t>
  </si>
  <si>
    <t>Very Cold
counted? 1 = yes</t>
  </si>
  <si>
    <t>Very Cold
equipment ($)</t>
  </si>
  <si>
    <t>Very Cold
installation ($)</t>
  </si>
  <si>
    <t>EQUIPMENT SHARE OF COMMERCIAL RETROFIT SPENDING</t>
  </si>
  <si>
    <t>INSTALLATION SHARE OF COMMERCIAL RETROFIT SPENDING</t>
  </si>
  <si>
    <t>Manufacturer's share of equipment</t>
  </si>
  <si>
    <t>Freight share</t>
  </si>
  <si>
    <t>Wholesale + retail share</t>
  </si>
  <si>
    <t>TO THE HARDWARE MAKER</t>
  </si>
  <si>
    <t>TO WHOLESALE + RETAIL TRADE (ISIC 45T47)</t>
  </si>
  <si>
    <t>TO FREIGHT (ISIC 49)</t>
  </si>
  <si>
    <t>Roof insulation and new membrane</t>
  </si>
  <si>
    <t>DDC zone controls; occupancy sensors</t>
  </si>
  <si>
    <t>DDC zone controls</t>
  </si>
  <si>
    <t>DDC zone controls; CO2 sensors</t>
  </si>
  <si>
    <t>Supply fan motors and VFDs</t>
  </si>
  <si>
    <t>Programming change only</t>
  </si>
  <si>
    <t>Cooling tower fan motors and VFDs</t>
  </si>
  <si>
    <t>Condenser water pumps and VFDs</t>
  </si>
  <si>
    <t>Pump VFDs and motors; valves; sensors</t>
  </si>
  <si>
    <t>VFD for one chiller compressor</t>
  </si>
  <si>
    <t>Condensing boilers and pumps (DDC upgrade counted under HA13)</t>
  </si>
  <si>
    <t>Total cost of counted measures in one building ($)</t>
  </si>
  <si>
    <t>D. Retrofit spending by receiving industry (heating and cooling rows of the output tabs)</t>
  </si>
  <si>
    <t>Urban residential
heating</t>
  </si>
  <si>
    <t>Urban residential
cooling</t>
  </si>
  <si>
    <t>Rural residential
heating</t>
  </si>
  <si>
    <t>Rural residential
cooling</t>
  </si>
  <si>
    <t>Commercial
heating</t>
  </si>
  <si>
    <t>Commercial
cooling</t>
  </si>
  <si>
    <t>Equipment part of an installed system: everything SoBCaICbIC does not send to installation (1 - its ISIC 41T43 share)</t>
  </si>
  <si>
    <t>n/a</t>
  </si>
  <si>
    <t>ISIC code</t>
  </si>
  <si>
    <t>Check</t>
  </si>
  <si>
    <t>Value</t>
  </si>
  <si>
    <t>CHECK: problem?
1 = problem</t>
  </si>
  <si>
    <t>urbanresidential Heating: row sums to 100% (or 0% for rows SoBCaICbIC leaves empty)</t>
  </si>
  <si>
    <t>urbanresidential Cooling: row sums to 100% (or 0% for rows SoBCaICbIC leaves empty)</t>
  </si>
  <si>
    <t>urbanresidential Envelope: row sums to 100% (or 0% for rows SoBCaICbIC leaves empty)</t>
  </si>
  <si>
    <t>urbanresidential Lighting: row sums to 100% (or 0% for rows SoBCaICbIC leaves empty)</t>
  </si>
  <si>
    <t>urbanresidential Appliances: row sums to 100% (or 0% for rows SoBCaICbIC leaves empty)</t>
  </si>
  <si>
    <t>urbanresidential Other: row sums to 100% (or 0% for rows SoBCaICbIC leaves empty)</t>
  </si>
  <si>
    <t>ruralresidential Heating: row sums to 100% (or 0% for rows SoBCaICbIC leaves empty)</t>
  </si>
  <si>
    <t>ruralresidential Cooling: row sums to 100% (or 0% for rows SoBCaICbIC leaves empty)</t>
  </si>
  <si>
    <t>ruralresidential Envelope: row sums to 100% (or 0% for rows SoBCaICbIC leaves empty)</t>
  </si>
  <si>
    <t>ruralresidential Lighting: row sums to 100% (or 0% for rows SoBCaICbIC leaves empty)</t>
  </si>
  <si>
    <t>ruralresidential Appliances: row sums to 100% (or 0% for rows SoBCaICbIC leaves empty)</t>
  </si>
  <si>
    <t>ruralresidential Other: row sums to 100% (or 0% for rows SoBCaICbIC leaves empty)</t>
  </si>
  <si>
    <t>commercial Heating: row sums to 100% (or 0% for rows SoBCaICbIC leaves empty)</t>
  </si>
  <si>
    <t>commercial Cooling: row sums to 100% (or 0% for rows SoBCaICbIC leaves empty)</t>
  </si>
  <si>
    <t>commercial Envelope: row sums to 100% (or 0% for rows SoBCaICbIC leaves empty)</t>
  </si>
  <si>
    <t>commercial Lighting: row sums to 100% (or 0% for rows SoBCaICbIC leaves empty)</t>
  </si>
  <si>
    <t>commercial Appliances: row sums to 100% (or 0% for rows SoBCaICbIC leaves empty)</t>
  </si>
  <si>
    <t>commercial Other: row sums to 100% (or 0% for rows SoBCaICbIC leaves empty)</t>
  </si>
  <si>
    <t>data-centers Heating: row sums to 100% (or 0% for rows SoBCaICbIC leaves empty)</t>
  </si>
  <si>
    <t>data-centers Cooling: row sums to 100% (or 0% for rows SoBCaICbIC leaves empty)</t>
  </si>
  <si>
    <t>data-centers Envelope: row sums to 100% (or 0% for rows SoBCaICbIC leaves empty)</t>
  </si>
  <si>
    <t>data-centers Lighting: row sums to 100% (or 0% for rows SoBCaICbIC leaves empty)</t>
  </si>
  <si>
    <t>data-centers Appliances: row sums to 100% (or 0% for rows SoBCaICbIC leaves empty)</t>
  </si>
  <si>
    <t>data-centers Other: row sums to 100% (or 0% for rows SoBCaICbIC leaves empty)</t>
  </si>
  <si>
    <t>SoBCaICbIC urbanresidential Heating: only the HVAC maker, trade, freight and installation are nonzero (the residential formula assumes it)</t>
  </si>
  <si>
    <t>SoBCaICbIC urbanresidential Cooling: only the HVAC maker, trade, freight and installation are nonzero (the residential formula assumes it)</t>
  </si>
  <si>
    <t>SoBCaICbIC ruralresidential Heating: only the HVAC maker, trade, freight and installation are nonzero (the residential formula assumes it)</t>
  </si>
  <si>
    <t>SoBCaICbIC ruralresidential Cooling: only the HVAC maker, trade, freight and installation are nonzero (the residential formula assumes it)</t>
  </si>
  <si>
    <t>Commercial equipment + installation shares add to 100%</t>
  </si>
  <si>
    <t>Commercial climate weights add to 100%</t>
  </si>
  <si>
    <t>Residential envelope share is between 0 and 100%</t>
  </si>
  <si>
    <t>BEA 333415: producer + freight + trade shares add to 100%</t>
  </si>
  <si>
    <t>BEA 334512: producer + freight + trade shares add to 100%</t>
  </si>
  <si>
    <t>BEA 335312: producer + freight + trade shares add to 100%</t>
  </si>
  <si>
    <t>BEA 333914: producer + freight + trade shares add to 100%</t>
  </si>
  <si>
    <t>BEA 333414: producer + freight + trade shares add to 100%</t>
  </si>
  <si>
    <t>Number of problems (should be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</si>
</sst>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0"/>
    <numFmt numFmtId="166" formatCode="0.000%"/>
  </numFmts>
  <fonts count="3" x14ac:knownFonts="1">
    <font>
      <sz val="11"/>
      <color theme="1"/>
      <name val="Calibri"/>
      <family val="2"/>
      <scheme val="minor"/>
    </font>
    <font>
      <b/>
      <sz val="11"/>
      <name val="Calibri"/>
    </font>
    <font>
      <u/>
      <sz val="11"/>
      <color rgb="FF0563C1"/>
      <name val="Calibri"/>
    </font>
  </fonts>
  <fills count="5">
    <fill>
      <patternFill patternType="none"/>
    </fill>
    <fill>
      <patternFill patternType="gray125"/>
    </fill>
    <fill>
      <patternFill patternType="solid">
        <fgColor rgb="FFDDEBF7"/>
        <bgColor rgb="FFDDEBF7"/>
      </patternFill>
    </fill>
    <fill>
      <patternFill patternType="solid">
        <fgColor rgb="FFFFF2CC"/>
        <bgColor rgb="FFFFF2CC"/>
      </patternFill>
    </fill>
    <fill>
      <patternFill patternType="solid">
        <fgColor rgb="FFD9D9D9"/>
        <bgColor rgb="FFD9D9D9"/>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1" fillId="4" borderId="0" xfId="0" applyFont="1" applyFill="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xf numFmtId="0" fontId="1" fillId="0" borderId="0" xfId="0" applyFont="1" applyAlignment="1">
      <alignment horizontal="left" vertical="top" wrapText="1"/>
    </xf>
    <xf numFmtId="0" fontId="1" fillId="0" borderId="0" xfId="0" applyFont="1" applyAlignment="1">
      <alignment horizontal="center" vertical="top" wrapText="1"/>
    </xf>
    <xf numFmtId="3" fontId="0" fillId="0" borderId="0" xfId="0" applyNumberFormat="1"/>
    <xf numFmtId="9" fontId="0" fillId="0" borderId="0" xfId="0" applyNumberFormat="1"/>
    <xf numFmtId="0" fontId="1" fillId="2" borderId="0" xfId="0" applyFont="1" applyFill="1"/>
    <xf numFmtId="0" fontId="0" fillId="2" borderId="0" xfId="0" applyFill="1"/>
    <xf numFmtId="0" fontId="0" fillId="0" borderId="0" xfId="0" applyAlignment="1">
      <alignment vertical="top"/>
    </xf>
    <xf numFmtId="0" fontId="0" fillId="3" borderId="0" xfId="0" applyFill="1"/>
    <xf numFmtId="164" fontId="0" fillId="0" borderId="0" xfId="0" applyNumberFormat="1"/>
    <xf numFmtId="164" fontId="1" fillId="0" borderId="0" xfId="0" applyNumberFormat="1" applyFont="1"/>
    <xf numFmtId="165" fontId="0" fillId="0" borderId="0" xfId="0" applyNumberFormat="1"/>
    <xf numFmtId="166"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eia.gov/outlooks/aeo/tables_side_xls.php" TargetMode="External"/><Relationship Id="rId3" Type="http://schemas.openxmlformats.org/officeDocument/2006/relationships/hyperlink" Target="https://www.osti.gov/servlets/purl/1129577" TargetMode="External"/><Relationship Id="rId7" Type="http://schemas.openxmlformats.org/officeDocument/2006/relationships/hyperlink" Target="https://www.pnnl.gov/main/publications/external/technical_reports/PNNL-20761.pdf" TargetMode="External"/><Relationship Id="rId2" Type="http://schemas.openxmlformats.org/officeDocument/2006/relationships/hyperlink" Target="https://www.census.gov/naics/concordances/2017_NAICS_to_ISIC_4.xlsx" TargetMode="External"/><Relationship Id="rId1" Type="http://schemas.openxmlformats.org/officeDocument/2006/relationships/hyperlink" Target="https://eta-publications.lbl.gov/sites/default/files/final_walker_-_the_cost_of_decarbonization_and_energy.pdf" TargetMode="External"/><Relationship Id="rId6" Type="http://schemas.openxmlformats.org/officeDocument/2006/relationships/hyperlink" Target="https://www.eia.gov/analysis/studies/buildings/equipcosts/pdf/full.pdf" TargetMode="External"/><Relationship Id="rId5" Type="http://schemas.openxmlformats.org/officeDocument/2006/relationships/hyperlink" Target="https://be-exchange.org/wp-content/uploads/2017/11/BEEx_Retrofitting_Affordability_Update_Nov2015-1.pdf" TargetMode="External"/><Relationship Id="rId4" Type="http://schemas.openxmlformats.org/officeDocument/2006/relationships/hyperlink" Target="https://www.bea.gov/resources/methodologies/nipa-handbook/pdf/chapter-06.pdf" TargetMode="External"/><Relationship Id="rId9" Type="http://schemas.openxmlformats.org/officeDocument/2006/relationships/hyperlink" Target="https://apps.bea.gov/industry/release/xlsx/Margins_Before_Redefinitions_Detail.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6"/>
  <sheetViews>
    <sheetView tabSelected="1" workbookViewId="0"/>
  </sheetViews>
  <sheetFormatPr defaultRowHeight="14.5" x14ac:dyDescent="0.35"/>
  <cols>
    <col min="1" max="1" width="14" customWidth="1"/>
    <col min="2" max="2" width="110" customWidth="1"/>
    <col min="3" max="3" width="3" customWidth="1"/>
    <col min="4" max="4" width="110" customWidth="1"/>
  </cols>
  <sheetData>
    <row r="1" spans="1:4" x14ac:dyDescent="0.35">
      <c r="A1" s="1" t="s">
        <v>0</v>
      </c>
    </row>
    <row r="3" spans="1:4" x14ac:dyDescent="0.35">
      <c r="A3" s="1" t="s">
        <v>1</v>
      </c>
      <c r="B3" s="2" t="s">
        <v>2</v>
      </c>
      <c r="D3" s="2" t="s">
        <v>3</v>
      </c>
    </row>
    <row r="4" spans="1:4" x14ac:dyDescent="0.35">
      <c r="B4" s="3" t="s">
        <v>4</v>
      </c>
      <c r="D4" s="3" t="s">
        <v>5</v>
      </c>
    </row>
    <row r="5" spans="1:4" x14ac:dyDescent="0.35">
      <c r="B5" s="3" t="s">
        <v>6</v>
      </c>
      <c r="D5" s="3" t="s">
        <v>7</v>
      </c>
    </row>
    <row r="6" spans="1:4" x14ac:dyDescent="0.35">
      <c r="B6" s="3">
        <v>2021</v>
      </c>
      <c r="D6" s="3">
        <v>2017</v>
      </c>
    </row>
    <row r="7" spans="1:4" x14ac:dyDescent="0.35">
      <c r="B7" s="4" t="s">
        <v>8</v>
      </c>
      <c r="D7" s="4" t="s">
        <v>9</v>
      </c>
    </row>
    <row r="8" spans="1:4" ht="58" x14ac:dyDescent="0.35">
      <c r="B8" s="3" t="s">
        <v>10</v>
      </c>
      <c r="D8" s="3" t="s">
        <v>11</v>
      </c>
    </row>
    <row r="10" spans="1:4" x14ac:dyDescent="0.35">
      <c r="B10" s="2" t="s">
        <v>12</v>
      </c>
      <c r="D10" s="2" t="s">
        <v>13</v>
      </c>
    </row>
    <row r="11" spans="1:4" x14ac:dyDescent="0.35">
      <c r="B11" s="3" t="s">
        <v>14</v>
      </c>
      <c r="D11" s="3" t="s">
        <v>15</v>
      </c>
    </row>
    <row r="12" spans="1:4" x14ac:dyDescent="0.35">
      <c r="B12" s="3" t="s">
        <v>16</v>
      </c>
      <c r="D12" s="3" t="s">
        <v>17</v>
      </c>
    </row>
    <row r="13" spans="1:4" x14ac:dyDescent="0.35">
      <c r="B13" s="3">
        <v>2014</v>
      </c>
      <c r="D13" s="3">
        <v>2024</v>
      </c>
    </row>
    <row r="14" spans="1:4" x14ac:dyDescent="0.35">
      <c r="B14" s="4" t="s">
        <v>18</v>
      </c>
      <c r="D14" s="4" t="s">
        <v>19</v>
      </c>
    </row>
    <row r="15" spans="1:4" ht="43.5" x14ac:dyDescent="0.35">
      <c r="B15" s="3" t="s">
        <v>20</v>
      </c>
      <c r="D15" s="3" t="s">
        <v>21</v>
      </c>
    </row>
    <row r="17" spans="2:4" x14ac:dyDescent="0.35">
      <c r="B17" s="2" t="s">
        <v>22</v>
      </c>
      <c r="D17" s="2" t="s">
        <v>23</v>
      </c>
    </row>
    <row r="18" spans="2:4" x14ac:dyDescent="0.35">
      <c r="B18" s="3" t="s">
        <v>24</v>
      </c>
      <c r="D18" s="3" t="s">
        <v>25</v>
      </c>
    </row>
    <row r="19" spans="2:4" ht="29" x14ac:dyDescent="0.35">
      <c r="B19" s="3" t="s">
        <v>26</v>
      </c>
      <c r="D19" s="3" t="s">
        <v>27</v>
      </c>
    </row>
    <row r="20" spans="2:4" x14ac:dyDescent="0.35">
      <c r="B20" s="3">
        <v>2015</v>
      </c>
      <c r="D20" s="3">
        <v>2026</v>
      </c>
    </row>
    <row r="21" spans="2:4" x14ac:dyDescent="0.35">
      <c r="B21" s="4" t="s">
        <v>28</v>
      </c>
      <c r="D21" s="4" t="s">
        <v>29</v>
      </c>
    </row>
    <row r="22" spans="2:4" ht="43.5" x14ac:dyDescent="0.35">
      <c r="B22" s="3" t="s">
        <v>30</v>
      </c>
      <c r="D22" s="3" t="s">
        <v>31</v>
      </c>
    </row>
    <row r="24" spans="2:4" x14ac:dyDescent="0.35">
      <c r="B24" s="2" t="s">
        <v>32</v>
      </c>
      <c r="D24" s="2" t="s">
        <v>33</v>
      </c>
    </row>
    <row r="25" spans="2:4" x14ac:dyDescent="0.35">
      <c r="B25" s="3" t="s">
        <v>34</v>
      </c>
      <c r="D25" s="3" t="s">
        <v>35</v>
      </c>
    </row>
    <row r="26" spans="2:4" x14ac:dyDescent="0.35">
      <c r="B26" s="3" t="s">
        <v>36</v>
      </c>
      <c r="D26" s="3" t="s">
        <v>37</v>
      </c>
    </row>
    <row r="27" spans="2:4" x14ac:dyDescent="0.35">
      <c r="B27" s="3">
        <v>2011</v>
      </c>
      <c r="D27" s="3">
        <v>2026</v>
      </c>
    </row>
    <row r="28" spans="2:4" x14ac:dyDescent="0.35">
      <c r="B28" s="4" t="s">
        <v>38</v>
      </c>
      <c r="D28" s="4" t="s">
        <v>39</v>
      </c>
    </row>
    <row r="29" spans="2:4" ht="58" x14ac:dyDescent="0.35">
      <c r="B29" s="3" t="s">
        <v>40</v>
      </c>
      <c r="D29" s="3" t="s">
        <v>41</v>
      </c>
    </row>
    <row r="31" spans="2:4" x14ac:dyDescent="0.35">
      <c r="B31" s="2" t="s">
        <v>42</v>
      </c>
    </row>
    <row r="32" spans="2:4" x14ac:dyDescent="0.35">
      <c r="B32" s="3" t="s">
        <v>15</v>
      </c>
    </row>
    <row r="33" spans="1:2" x14ac:dyDescent="0.35">
      <c r="B33" s="3" t="s">
        <v>43</v>
      </c>
    </row>
    <row r="34" spans="1:2" x14ac:dyDescent="0.35">
      <c r="B34" s="3">
        <v>2017</v>
      </c>
    </row>
    <row r="35" spans="1:2" x14ac:dyDescent="0.35">
      <c r="B35" s="4" t="s">
        <v>44</v>
      </c>
    </row>
    <row r="36" spans="1:2" ht="43.5" x14ac:dyDescent="0.35">
      <c r="B36" s="3" t="s">
        <v>45</v>
      </c>
    </row>
    <row r="39" spans="1:2" x14ac:dyDescent="0.35">
      <c r="A39" s="1" t="s">
        <v>46</v>
      </c>
    </row>
    <row r="40" spans="1:2" ht="58" x14ac:dyDescent="0.35">
      <c r="A40" s="5" t="s">
        <v>47</v>
      </c>
      <c r="B40" s="3" t="s">
        <v>48</v>
      </c>
    </row>
    <row r="41" spans="1:2" ht="58" x14ac:dyDescent="0.35">
      <c r="A41" s="5" t="s">
        <v>49</v>
      </c>
      <c r="B41" s="3" t="s">
        <v>50</v>
      </c>
    </row>
    <row r="42" spans="1:2" ht="72.5" x14ac:dyDescent="0.35">
      <c r="A42" s="5" t="s">
        <v>51</v>
      </c>
      <c r="B42" s="3" t="s">
        <v>52</v>
      </c>
    </row>
    <row r="43" spans="1:2" ht="87" x14ac:dyDescent="0.35">
      <c r="A43" s="5" t="s">
        <v>53</v>
      </c>
      <c r="B43" s="3" t="s">
        <v>54</v>
      </c>
    </row>
    <row r="44" spans="1:2" ht="87" x14ac:dyDescent="0.35">
      <c r="A44" s="5" t="s">
        <v>55</v>
      </c>
      <c r="B44" s="3" t="s">
        <v>56</v>
      </c>
    </row>
    <row r="45" spans="1:2" ht="29" x14ac:dyDescent="0.35">
      <c r="A45" s="5" t="s">
        <v>57</v>
      </c>
      <c r="B45" s="3" t="s">
        <v>58</v>
      </c>
    </row>
    <row r="46" spans="1:2" ht="43.5" x14ac:dyDescent="0.35">
      <c r="A46" s="5" t="s">
        <v>59</v>
      </c>
      <c r="B46" s="3" t="s">
        <v>60</v>
      </c>
    </row>
  </sheetData>
  <hyperlinks>
    <hyperlink ref="B7" r:id="rId1" xr:uid="{00000000-0004-0000-0000-000000000000}"/>
    <hyperlink ref="D7" r:id="rId2" xr:uid="{00000000-0004-0000-0000-000001000000}"/>
    <hyperlink ref="B14" r:id="rId3" xr:uid="{00000000-0004-0000-0000-000002000000}"/>
    <hyperlink ref="D14" r:id="rId4" xr:uid="{00000000-0004-0000-0000-000003000000}"/>
    <hyperlink ref="B21" r:id="rId5" xr:uid="{00000000-0004-0000-0000-000004000000}"/>
    <hyperlink ref="D21" r:id="rId6" xr:uid="{00000000-0004-0000-0000-000005000000}"/>
    <hyperlink ref="B28" r:id="rId7" xr:uid="{00000000-0004-0000-0000-000006000000}"/>
    <hyperlink ref="D28" r:id="rId8" xr:uid="{00000000-0004-0000-0000-000007000000}"/>
    <hyperlink ref="B35" r:id="rId9" xr:uid="{00000000-0004-0000-0000-000008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2"/>
  <sheetViews>
    <sheetView workbookViewId="0"/>
  </sheetViews>
  <sheetFormatPr defaultRowHeight="14.5" x14ac:dyDescent="0.35"/>
  <cols>
    <col min="1" max="1" width="24" customWidth="1"/>
    <col min="2" max="10" width="13" customWidth="1"/>
  </cols>
  <sheetData>
    <row r="1" spans="1:10" x14ac:dyDescent="0.35">
      <c r="A1" s="1" t="s">
        <v>61</v>
      </c>
    </row>
    <row r="2" spans="1:10" x14ac:dyDescent="0.35">
      <c r="A2" t="s">
        <v>62</v>
      </c>
    </row>
    <row r="4" spans="1:10" x14ac:dyDescent="0.35">
      <c r="A4" s="1" t="s">
        <v>63</v>
      </c>
    </row>
    <row r="5" spans="1:10" ht="18" customHeight="1" x14ac:dyDescent="0.35">
      <c r="A5" s="6" t="s">
        <v>64</v>
      </c>
      <c r="B5" s="6" t="s">
        <v>65</v>
      </c>
    </row>
    <row r="6" spans="1:10" x14ac:dyDescent="0.35">
      <c r="A6" t="s">
        <v>66</v>
      </c>
      <c r="B6" t="s">
        <v>67</v>
      </c>
    </row>
    <row r="7" spans="1:10" x14ac:dyDescent="0.35">
      <c r="A7" t="s">
        <v>68</v>
      </c>
      <c r="B7" t="s">
        <v>69</v>
      </c>
    </row>
    <row r="9" spans="1:10" x14ac:dyDescent="0.35">
      <c r="A9" s="1" t="s">
        <v>70</v>
      </c>
    </row>
    <row r="10" spans="1:10" ht="48" customHeight="1" x14ac:dyDescent="0.35">
      <c r="A10" s="6" t="s">
        <v>64</v>
      </c>
      <c r="B10" s="6" t="s">
        <v>71</v>
      </c>
      <c r="C10" s="6" t="s">
        <v>72</v>
      </c>
      <c r="D10" s="6" t="s">
        <v>73</v>
      </c>
      <c r="E10" s="6" t="s">
        <v>74</v>
      </c>
      <c r="F10" s="6" t="s">
        <v>75</v>
      </c>
      <c r="G10" s="6" t="s">
        <v>76</v>
      </c>
      <c r="H10" s="6" t="s">
        <v>77</v>
      </c>
    </row>
    <row r="11" spans="1:10" x14ac:dyDescent="0.35">
      <c r="A11" t="s">
        <v>66</v>
      </c>
      <c r="B11">
        <v>15</v>
      </c>
      <c r="C11">
        <v>16</v>
      </c>
      <c r="D11">
        <v>1941</v>
      </c>
      <c r="E11">
        <v>1670</v>
      </c>
      <c r="F11">
        <v>15</v>
      </c>
      <c r="G11">
        <v>109059</v>
      </c>
      <c r="H11">
        <v>57</v>
      </c>
    </row>
    <row r="12" spans="1:10" x14ac:dyDescent="0.35">
      <c r="A12" t="s">
        <v>68</v>
      </c>
      <c r="B12">
        <v>43</v>
      </c>
      <c r="C12">
        <v>10</v>
      </c>
      <c r="D12">
        <v>1953</v>
      </c>
      <c r="E12">
        <v>1987</v>
      </c>
      <c r="F12">
        <v>4</v>
      </c>
      <c r="G12">
        <v>54098</v>
      </c>
      <c r="H12">
        <v>28</v>
      </c>
    </row>
    <row r="14" spans="1:10" x14ac:dyDescent="0.35">
      <c r="A14" s="1" t="s">
        <v>78</v>
      </c>
    </row>
    <row r="15" spans="1:10" ht="32" customHeight="1" x14ac:dyDescent="0.35">
      <c r="A15" s="6" t="s">
        <v>64</v>
      </c>
      <c r="B15" s="6" t="s">
        <v>79</v>
      </c>
      <c r="C15" s="6" t="s">
        <v>80</v>
      </c>
      <c r="D15" s="6" t="s">
        <v>81</v>
      </c>
      <c r="E15" s="6" t="s">
        <v>82</v>
      </c>
      <c r="F15" s="6" t="s">
        <v>83</v>
      </c>
      <c r="G15" s="6" t="s">
        <v>84</v>
      </c>
      <c r="H15" s="6" t="s">
        <v>85</v>
      </c>
      <c r="I15" s="6" t="s">
        <v>86</v>
      </c>
      <c r="J15" s="6" t="s">
        <v>87</v>
      </c>
    </row>
    <row r="16" spans="1:10" x14ac:dyDescent="0.35">
      <c r="A16" t="s">
        <v>66</v>
      </c>
      <c r="B16" s="7">
        <v>29262</v>
      </c>
      <c r="C16" s="7">
        <v>13722</v>
      </c>
      <c r="D16" s="7">
        <v>34581</v>
      </c>
      <c r="E16" s="7">
        <v>1125</v>
      </c>
      <c r="F16" s="7">
        <v>11189</v>
      </c>
      <c r="G16" s="7">
        <v>1052</v>
      </c>
      <c r="H16" s="7">
        <v>3538</v>
      </c>
      <c r="I16" s="7">
        <v>643</v>
      </c>
      <c r="J16" s="7">
        <v>53421</v>
      </c>
    </row>
    <row r="17" spans="1:10" x14ac:dyDescent="0.35">
      <c r="A17" t="s">
        <v>68</v>
      </c>
      <c r="B17" s="7">
        <v>29443</v>
      </c>
      <c r="C17" s="7">
        <v>12314</v>
      </c>
      <c r="D17" s="7">
        <v>1900</v>
      </c>
      <c r="E17" s="7">
        <v>1832</v>
      </c>
      <c r="F17" s="7">
        <v>5347</v>
      </c>
      <c r="G17" s="7">
        <v>2864</v>
      </c>
      <c r="H17" s="7">
        <v>2503</v>
      </c>
      <c r="I17" s="7">
        <v>170</v>
      </c>
      <c r="J17" s="7">
        <v>11193</v>
      </c>
    </row>
    <row r="19" spans="1:10" x14ac:dyDescent="0.35">
      <c r="A19" s="1" t="s">
        <v>88</v>
      </c>
    </row>
    <row r="20" spans="1:10" ht="32" customHeight="1" x14ac:dyDescent="0.35">
      <c r="A20" s="6" t="s">
        <v>64</v>
      </c>
      <c r="B20" s="6" t="s">
        <v>79</v>
      </c>
      <c r="C20" s="6" t="s">
        <v>80</v>
      </c>
      <c r="D20" s="6" t="s">
        <v>81</v>
      </c>
      <c r="E20" s="6" t="s">
        <v>82</v>
      </c>
      <c r="F20" s="6" t="s">
        <v>83</v>
      </c>
      <c r="G20" s="6" t="s">
        <v>84</v>
      </c>
      <c r="H20" s="6" t="s">
        <v>85</v>
      </c>
      <c r="I20" s="6" t="s">
        <v>86</v>
      </c>
      <c r="J20" s="6" t="s">
        <v>87</v>
      </c>
    </row>
    <row r="21" spans="1:10" x14ac:dyDescent="0.35">
      <c r="A21" t="s">
        <v>66</v>
      </c>
      <c r="B21" s="8">
        <v>7.0000000000000007E-2</v>
      </c>
      <c r="C21" s="8">
        <v>1</v>
      </c>
      <c r="D21" s="8">
        <v>0.47</v>
      </c>
      <c r="E21" s="8">
        <v>7.0000000000000007E-2</v>
      </c>
      <c r="F21" s="8">
        <v>0.4</v>
      </c>
      <c r="G21" s="8">
        <v>7.0000000000000007E-2</v>
      </c>
      <c r="H21" s="8">
        <v>0.4</v>
      </c>
      <c r="I21" s="8">
        <v>0.33</v>
      </c>
      <c r="J21" s="8">
        <v>1</v>
      </c>
    </row>
    <row r="22" spans="1:10" x14ac:dyDescent="0.35">
      <c r="A22" t="s">
        <v>68</v>
      </c>
      <c r="B22" s="8">
        <v>1</v>
      </c>
      <c r="C22" s="8">
        <v>0.98</v>
      </c>
      <c r="D22" s="8">
        <v>0.02</v>
      </c>
      <c r="E22" s="8">
        <v>0.05</v>
      </c>
      <c r="F22" s="8">
        <v>0.09</v>
      </c>
      <c r="G22" s="8">
        <v>7.0000000000000007E-2</v>
      </c>
      <c r="H22" s="8">
        <v>0.53</v>
      </c>
      <c r="I22" s="8">
        <v>0.02</v>
      </c>
      <c r="J22" s="8">
        <v>0.91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4"/>
  <sheetViews>
    <sheetView workbookViewId="0"/>
  </sheetViews>
  <sheetFormatPr defaultRowHeight="14.5" x14ac:dyDescent="0.35"/>
  <cols>
    <col min="1" max="1" width="24" customWidth="1"/>
    <col min="2" max="10" width="15" customWidth="1"/>
  </cols>
  <sheetData>
    <row r="1" spans="1:10" x14ac:dyDescent="0.35">
      <c r="A1" s="1" t="s">
        <v>89</v>
      </c>
    </row>
    <row r="2" spans="1:10" x14ac:dyDescent="0.35">
      <c r="A2" t="s">
        <v>90</v>
      </c>
    </row>
    <row r="4" spans="1:10" ht="64" customHeight="1" x14ac:dyDescent="0.35">
      <c r="A4" s="6" t="s">
        <v>91</v>
      </c>
      <c r="B4" s="6" t="s">
        <v>92</v>
      </c>
      <c r="C4" s="6" t="s">
        <v>93</v>
      </c>
      <c r="D4" s="6" t="s">
        <v>94</v>
      </c>
      <c r="E4" s="6" t="s">
        <v>95</v>
      </c>
      <c r="F4" s="6" t="s">
        <v>96</v>
      </c>
      <c r="G4" s="6" t="s">
        <v>97</v>
      </c>
      <c r="H4" s="6" t="s">
        <v>98</v>
      </c>
      <c r="I4" s="6" t="s">
        <v>99</v>
      </c>
      <c r="J4" s="6" t="s">
        <v>100</v>
      </c>
    </row>
    <row r="5" spans="1:10" x14ac:dyDescent="0.35">
      <c r="A5" t="s">
        <v>101</v>
      </c>
      <c r="B5">
        <v>7.9</v>
      </c>
      <c r="C5" s="8">
        <v>0.38</v>
      </c>
      <c r="D5">
        <v>0.4</v>
      </c>
      <c r="E5" s="8">
        <v>0.39</v>
      </c>
      <c r="F5">
        <v>350</v>
      </c>
      <c r="G5" s="8">
        <v>0.16</v>
      </c>
      <c r="H5">
        <v>4</v>
      </c>
      <c r="I5">
        <v>1</v>
      </c>
      <c r="J5">
        <v>0</v>
      </c>
    </row>
    <row r="6" spans="1:10" x14ac:dyDescent="0.35">
      <c r="A6" t="s">
        <v>102</v>
      </c>
      <c r="B6">
        <v>5.8</v>
      </c>
      <c r="C6" s="8">
        <v>0.28000000000000003</v>
      </c>
      <c r="D6">
        <v>0.28000000000000003</v>
      </c>
      <c r="E6" s="8">
        <v>0.27</v>
      </c>
      <c r="F6">
        <v>240</v>
      </c>
      <c r="G6" s="8">
        <v>0.11</v>
      </c>
      <c r="H6">
        <v>4</v>
      </c>
      <c r="I6">
        <v>0</v>
      </c>
      <c r="J6">
        <v>0</v>
      </c>
    </row>
    <row r="7" spans="1:10" x14ac:dyDescent="0.35">
      <c r="A7" t="s">
        <v>103</v>
      </c>
      <c r="B7">
        <v>3.1</v>
      </c>
      <c r="C7" s="8">
        <v>0.15</v>
      </c>
      <c r="D7">
        <v>0.15</v>
      </c>
      <c r="E7" s="8">
        <v>0.15</v>
      </c>
      <c r="F7">
        <v>750</v>
      </c>
      <c r="G7" s="8">
        <v>0.34</v>
      </c>
      <c r="H7">
        <v>17</v>
      </c>
      <c r="I7">
        <v>1</v>
      </c>
      <c r="J7">
        <v>1</v>
      </c>
    </row>
    <row r="8" spans="1:10" x14ac:dyDescent="0.35">
      <c r="A8" t="s">
        <v>84</v>
      </c>
      <c r="B8">
        <v>1.5</v>
      </c>
      <c r="C8" s="8">
        <v>7.0000000000000007E-2</v>
      </c>
      <c r="D8">
        <v>7.0000000000000007E-2</v>
      </c>
      <c r="E8" s="8">
        <v>7.0000000000000007E-2</v>
      </c>
      <c r="F8">
        <v>330</v>
      </c>
      <c r="G8" s="8">
        <v>0.15</v>
      </c>
      <c r="H8">
        <v>6</v>
      </c>
      <c r="I8">
        <v>0</v>
      </c>
      <c r="J8">
        <v>0</v>
      </c>
    </row>
    <row r="9" spans="1:10" x14ac:dyDescent="0.35">
      <c r="A9" t="s">
        <v>104</v>
      </c>
      <c r="B9">
        <v>1.1000000000000001</v>
      </c>
      <c r="C9" s="8">
        <v>0.05</v>
      </c>
      <c r="D9">
        <v>0.06</v>
      </c>
      <c r="E9" s="8">
        <v>0.06</v>
      </c>
      <c r="F9">
        <v>350</v>
      </c>
      <c r="G9" s="8">
        <v>0.16</v>
      </c>
      <c r="H9">
        <v>4</v>
      </c>
      <c r="I9">
        <v>1</v>
      </c>
      <c r="J9">
        <v>0</v>
      </c>
    </row>
    <row r="10" spans="1:10" x14ac:dyDescent="0.35">
      <c r="A10" t="s">
        <v>105</v>
      </c>
      <c r="B10">
        <v>0.8</v>
      </c>
      <c r="C10" s="8">
        <v>0.04</v>
      </c>
      <c r="D10">
        <v>0.04</v>
      </c>
      <c r="E10" s="8">
        <v>0.04</v>
      </c>
      <c r="F10">
        <v>60</v>
      </c>
      <c r="G10" s="8">
        <v>0.03</v>
      </c>
      <c r="H10">
        <v>9</v>
      </c>
      <c r="I10">
        <v>1</v>
      </c>
      <c r="J10">
        <v>0</v>
      </c>
    </row>
    <row r="11" spans="1:10" x14ac:dyDescent="0.35">
      <c r="A11" t="s">
        <v>106</v>
      </c>
      <c r="B11">
        <v>0.8</v>
      </c>
      <c r="C11" s="8">
        <v>0.04</v>
      </c>
      <c r="D11">
        <v>0.03</v>
      </c>
      <c r="E11" s="8">
        <v>0.03</v>
      </c>
      <c r="F11">
        <v>110</v>
      </c>
      <c r="G11" s="8">
        <v>0.05</v>
      </c>
      <c r="H11">
        <v>4</v>
      </c>
      <c r="I11">
        <v>0</v>
      </c>
      <c r="J11">
        <v>0</v>
      </c>
    </row>
    <row r="12" spans="1:10" x14ac:dyDescent="0.35">
      <c r="A12" t="s">
        <v>107</v>
      </c>
      <c r="B12">
        <v>20.9</v>
      </c>
      <c r="C12" s="8">
        <v>1</v>
      </c>
      <c r="D12">
        <v>1.03</v>
      </c>
      <c r="E12" s="8">
        <v>1</v>
      </c>
      <c r="F12">
        <v>2180</v>
      </c>
      <c r="G12" s="8">
        <v>1</v>
      </c>
      <c r="H12">
        <v>6</v>
      </c>
    </row>
    <row r="14" spans="1:10" x14ac:dyDescent="0.35">
      <c r="A14" t="s">
        <v>108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71"/>
  <sheetViews>
    <sheetView workbookViewId="0"/>
  </sheetViews>
  <sheetFormatPr defaultRowHeight="14.5" x14ac:dyDescent="0.35"/>
  <cols>
    <col min="1" max="1" width="9" customWidth="1"/>
    <col min="2" max="2" width="60" customWidth="1"/>
    <col min="3" max="3" width="14" customWidth="1"/>
    <col min="4" max="4" width="13" customWidth="1"/>
    <col min="5" max="8" width="14" customWidth="1"/>
  </cols>
  <sheetData>
    <row r="1" spans="1:8" x14ac:dyDescent="0.35">
      <c r="A1" s="1" t="s">
        <v>109</v>
      </c>
    </row>
    <row r="2" spans="1:8" x14ac:dyDescent="0.35">
      <c r="A2" t="s">
        <v>110</v>
      </c>
    </row>
    <row r="4" spans="1:8" ht="48" customHeight="1" x14ac:dyDescent="0.35">
      <c r="A4" s="6" t="s">
        <v>111</v>
      </c>
      <c r="B4" s="6" t="s">
        <v>112</v>
      </c>
      <c r="C4" s="6" t="s">
        <v>113</v>
      </c>
      <c r="D4" s="6" t="s">
        <v>114</v>
      </c>
      <c r="E4" s="6" t="s">
        <v>115</v>
      </c>
      <c r="F4" s="6" t="s">
        <v>116</v>
      </c>
      <c r="G4" s="6" t="s">
        <v>76</v>
      </c>
      <c r="H4" s="6" t="s">
        <v>117</v>
      </c>
    </row>
    <row r="5" spans="1:8" x14ac:dyDescent="0.35">
      <c r="A5" t="s">
        <v>118</v>
      </c>
      <c r="B5" t="s">
        <v>119</v>
      </c>
      <c r="C5">
        <v>155</v>
      </c>
      <c r="D5" t="s">
        <v>120</v>
      </c>
      <c r="E5" s="7">
        <v>104502</v>
      </c>
      <c r="F5" s="7">
        <v>207856</v>
      </c>
      <c r="G5" s="7">
        <v>312358</v>
      </c>
      <c r="H5">
        <v>0</v>
      </c>
    </row>
    <row r="6" spans="1:8" x14ac:dyDescent="0.35">
      <c r="A6" t="s">
        <v>118</v>
      </c>
      <c r="B6" t="s">
        <v>119</v>
      </c>
      <c r="C6">
        <v>155</v>
      </c>
      <c r="D6" t="s">
        <v>121</v>
      </c>
      <c r="E6" s="7">
        <v>139044</v>
      </c>
      <c r="F6" s="7">
        <v>237533</v>
      </c>
      <c r="G6" s="7">
        <v>376577</v>
      </c>
      <c r="H6">
        <v>1</v>
      </c>
    </row>
    <row r="7" spans="1:8" x14ac:dyDescent="0.35">
      <c r="A7" t="s">
        <v>118</v>
      </c>
      <c r="B7" t="s">
        <v>119</v>
      </c>
      <c r="C7">
        <v>155</v>
      </c>
      <c r="D7" t="s">
        <v>122</v>
      </c>
      <c r="E7" s="7">
        <v>144000</v>
      </c>
      <c r="F7" s="7">
        <v>246000</v>
      </c>
      <c r="G7" s="7">
        <v>390000</v>
      </c>
      <c r="H7">
        <v>1</v>
      </c>
    </row>
    <row r="8" spans="1:8" x14ac:dyDescent="0.35">
      <c r="A8" t="s">
        <v>118</v>
      </c>
      <c r="B8" t="s">
        <v>119</v>
      </c>
      <c r="C8">
        <v>155</v>
      </c>
      <c r="D8" t="s">
        <v>123</v>
      </c>
      <c r="E8" s="7">
        <v>136291</v>
      </c>
      <c r="F8" s="7">
        <v>232830</v>
      </c>
      <c r="G8" s="7">
        <v>369120</v>
      </c>
      <c r="H8">
        <v>1</v>
      </c>
    </row>
    <row r="9" spans="1:8" x14ac:dyDescent="0.35">
      <c r="A9" t="s">
        <v>118</v>
      </c>
      <c r="B9" t="s">
        <v>119</v>
      </c>
      <c r="C9">
        <v>155</v>
      </c>
      <c r="D9" t="s">
        <v>124</v>
      </c>
      <c r="E9" s="7">
        <v>152707</v>
      </c>
      <c r="F9" s="7">
        <v>260168</v>
      </c>
      <c r="G9" s="7">
        <v>412876</v>
      </c>
      <c r="H9">
        <v>1</v>
      </c>
    </row>
    <row r="10" spans="1:8" x14ac:dyDescent="0.35">
      <c r="A10" t="s">
        <v>125</v>
      </c>
      <c r="B10" t="s">
        <v>126</v>
      </c>
      <c r="C10">
        <v>161</v>
      </c>
      <c r="D10" t="s">
        <v>120</v>
      </c>
      <c r="E10" s="7">
        <v>0</v>
      </c>
      <c r="F10" s="7">
        <v>36684</v>
      </c>
      <c r="G10" s="7">
        <v>36684</v>
      </c>
      <c r="H10">
        <v>0</v>
      </c>
    </row>
    <row r="11" spans="1:8" x14ac:dyDescent="0.35">
      <c r="A11" t="s">
        <v>125</v>
      </c>
      <c r="B11" t="s">
        <v>126</v>
      </c>
      <c r="C11">
        <v>161</v>
      </c>
      <c r="D11" t="s">
        <v>121</v>
      </c>
      <c r="E11" s="7">
        <v>0</v>
      </c>
      <c r="F11" s="7">
        <v>37014</v>
      </c>
      <c r="G11" s="7">
        <v>37014</v>
      </c>
      <c r="H11">
        <v>0</v>
      </c>
    </row>
    <row r="12" spans="1:8" x14ac:dyDescent="0.35">
      <c r="A12" t="s">
        <v>125</v>
      </c>
      <c r="B12" t="s">
        <v>126</v>
      </c>
      <c r="C12">
        <v>161</v>
      </c>
      <c r="D12" t="s">
        <v>122</v>
      </c>
      <c r="E12" s="7">
        <v>0</v>
      </c>
      <c r="F12" s="7">
        <v>38333</v>
      </c>
      <c r="G12" s="7">
        <v>38333</v>
      </c>
      <c r="H12">
        <v>0</v>
      </c>
    </row>
    <row r="13" spans="1:8" x14ac:dyDescent="0.35">
      <c r="A13" t="s">
        <v>125</v>
      </c>
      <c r="B13" t="s">
        <v>126</v>
      </c>
      <c r="C13">
        <v>161</v>
      </c>
      <c r="D13" t="s">
        <v>123</v>
      </c>
      <c r="E13" s="7">
        <v>0</v>
      </c>
      <c r="F13" s="7">
        <v>36281</v>
      </c>
      <c r="G13" s="7">
        <v>36281</v>
      </c>
      <c r="H13">
        <v>0</v>
      </c>
    </row>
    <row r="14" spans="1:8" x14ac:dyDescent="0.35">
      <c r="A14" t="s">
        <v>125</v>
      </c>
      <c r="B14" t="s">
        <v>126</v>
      </c>
      <c r="C14">
        <v>161</v>
      </c>
      <c r="D14" t="s">
        <v>124</v>
      </c>
      <c r="E14" s="7">
        <v>0</v>
      </c>
      <c r="F14" s="7">
        <v>36134</v>
      </c>
      <c r="G14" s="7">
        <v>36134</v>
      </c>
      <c r="H14">
        <v>0</v>
      </c>
    </row>
    <row r="15" spans="1:8" x14ac:dyDescent="0.35">
      <c r="A15" t="s">
        <v>127</v>
      </c>
      <c r="B15" t="s">
        <v>128</v>
      </c>
      <c r="C15">
        <v>163</v>
      </c>
      <c r="D15" t="s">
        <v>120</v>
      </c>
      <c r="E15" s="7">
        <v>66500</v>
      </c>
      <c r="F15" s="7">
        <v>147308</v>
      </c>
      <c r="G15" s="7">
        <v>213808</v>
      </c>
      <c r="H15">
        <v>1</v>
      </c>
    </row>
    <row r="16" spans="1:8" x14ac:dyDescent="0.35">
      <c r="A16" t="s">
        <v>127</v>
      </c>
      <c r="B16" t="s">
        <v>128</v>
      </c>
      <c r="C16">
        <v>163</v>
      </c>
      <c r="D16" t="s">
        <v>121</v>
      </c>
      <c r="E16" s="7">
        <v>67098</v>
      </c>
      <c r="F16" s="7">
        <v>148632</v>
      </c>
      <c r="G16" s="7">
        <v>215730</v>
      </c>
      <c r="H16">
        <v>1</v>
      </c>
    </row>
    <row r="17" spans="1:8" x14ac:dyDescent="0.35">
      <c r="A17" t="s">
        <v>127</v>
      </c>
      <c r="B17" t="s">
        <v>128</v>
      </c>
      <c r="C17">
        <v>163</v>
      </c>
      <c r="D17" t="s">
        <v>122</v>
      </c>
      <c r="E17" s="7">
        <v>69490</v>
      </c>
      <c r="F17" s="7">
        <v>153930</v>
      </c>
      <c r="G17" s="7">
        <v>223420</v>
      </c>
      <c r="H17">
        <v>1</v>
      </c>
    </row>
    <row r="18" spans="1:8" x14ac:dyDescent="0.35">
      <c r="A18" t="s">
        <v>127</v>
      </c>
      <c r="B18" t="s">
        <v>128</v>
      </c>
      <c r="C18">
        <v>163</v>
      </c>
      <c r="D18" t="s">
        <v>123</v>
      </c>
      <c r="E18" s="7">
        <v>65769</v>
      </c>
      <c r="F18" s="7">
        <v>145689</v>
      </c>
      <c r="G18" s="7">
        <v>211458</v>
      </c>
      <c r="H18">
        <v>1</v>
      </c>
    </row>
    <row r="19" spans="1:8" x14ac:dyDescent="0.35">
      <c r="A19" t="s">
        <v>127</v>
      </c>
      <c r="B19" t="s">
        <v>128</v>
      </c>
      <c r="C19">
        <v>163</v>
      </c>
      <c r="D19" t="s">
        <v>124</v>
      </c>
      <c r="E19" s="7">
        <v>65504</v>
      </c>
      <c r="F19" s="7">
        <v>145100</v>
      </c>
      <c r="G19" s="7">
        <v>210604</v>
      </c>
      <c r="H19">
        <v>1</v>
      </c>
    </row>
    <row r="20" spans="1:8" x14ac:dyDescent="0.35">
      <c r="A20" t="s">
        <v>129</v>
      </c>
      <c r="B20" t="s">
        <v>130</v>
      </c>
      <c r="C20">
        <v>165</v>
      </c>
      <c r="D20" t="s">
        <v>120</v>
      </c>
      <c r="E20" s="7">
        <v>61907</v>
      </c>
      <c r="F20" s="7">
        <v>164980</v>
      </c>
      <c r="G20" s="7">
        <v>226887</v>
      </c>
      <c r="H20">
        <v>1</v>
      </c>
    </row>
    <row r="21" spans="1:8" x14ac:dyDescent="0.35">
      <c r="A21" t="s">
        <v>129</v>
      </c>
      <c r="B21" t="s">
        <v>130</v>
      </c>
      <c r="C21">
        <v>165</v>
      </c>
      <c r="D21" t="s">
        <v>121</v>
      </c>
      <c r="E21" s="7">
        <v>62463</v>
      </c>
      <c r="F21" s="7">
        <v>166463</v>
      </c>
      <c r="G21" s="7">
        <v>228927</v>
      </c>
      <c r="H21">
        <v>1</v>
      </c>
    </row>
    <row r="22" spans="1:8" x14ac:dyDescent="0.35">
      <c r="A22" t="s">
        <v>129</v>
      </c>
      <c r="B22" t="s">
        <v>130</v>
      </c>
      <c r="C22">
        <v>165</v>
      </c>
      <c r="D22" t="s">
        <v>122</v>
      </c>
      <c r="E22" s="7">
        <v>64690</v>
      </c>
      <c r="F22" s="7">
        <v>172397</v>
      </c>
      <c r="G22" s="7">
        <v>237086</v>
      </c>
      <c r="H22">
        <v>1</v>
      </c>
    </row>
    <row r="23" spans="1:8" x14ac:dyDescent="0.35">
      <c r="A23" t="s">
        <v>129</v>
      </c>
      <c r="B23" t="s">
        <v>130</v>
      </c>
      <c r="C23">
        <v>165</v>
      </c>
      <c r="D23" t="s">
        <v>123</v>
      </c>
      <c r="E23" s="7">
        <v>61226</v>
      </c>
      <c r="F23" s="7">
        <v>163167</v>
      </c>
      <c r="G23" s="7">
        <v>224393</v>
      </c>
      <c r="H23">
        <v>1</v>
      </c>
    </row>
    <row r="24" spans="1:8" x14ac:dyDescent="0.35">
      <c r="A24" t="s">
        <v>129</v>
      </c>
      <c r="B24" t="s">
        <v>130</v>
      </c>
      <c r="C24">
        <v>165</v>
      </c>
      <c r="D24" t="s">
        <v>124</v>
      </c>
      <c r="E24" s="7">
        <v>60979</v>
      </c>
      <c r="F24" s="7">
        <v>162508</v>
      </c>
      <c r="G24" s="7">
        <v>223487</v>
      </c>
      <c r="H24">
        <v>1</v>
      </c>
    </row>
    <row r="25" spans="1:8" x14ac:dyDescent="0.35">
      <c r="A25" t="s">
        <v>131</v>
      </c>
      <c r="B25" t="s">
        <v>132</v>
      </c>
      <c r="C25">
        <v>167</v>
      </c>
      <c r="D25" t="s">
        <v>120</v>
      </c>
      <c r="E25" s="7">
        <v>78581</v>
      </c>
      <c r="F25" s="7">
        <v>154455</v>
      </c>
      <c r="G25" s="7">
        <v>233036</v>
      </c>
      <c r="H25">
        <v>1</v>
      </c>
    </row>
    <row r="26" spans="1:8" x14ac:dyDescent="0.35">
      <c r="A26" t="s">
        <v>131</v>
      </c>
      <c r="B26" t="s">
        <v>132</v>
      </c>
      <c r="C26">
        <v>167</v>
      </c>
      <c r="D26" t="s">
        <v>121</v>
      </c>
      <c r="E26" s="7">
        <v>79288</v>
      </c>
      <c r="F26" s="7">
        <v>221372</v>
      </c>
      <c r="G26" s="7">
        <v>300659</v>
      </c>
      <c r="H26">
        <v>1</v>
      </c>
    </row>
    <row r="27" spans="1:8" x14ac:dyDescent="0.35">
      <c r="A27" t="s">
        <v>131</v>
      </c>
      <c r="B27" t="s">
        <v>132</v>
      </c>
      <c r="C27">
        <v>167</v>
      </c>
      <c r="D27" t="s">
        <v>122</v>
      </c>
      <c r="E27" s="7">
        <v>82114</v>
      </c>
      <c r="F27" s="7">
        <v>203670</v>
      </c>
      <c r="G27" s="7">
        <v>285784</v>
      </c>
      <c r="H27">
        <v>1</v>
      </c>
    </row>
    <row r="28" spans="1:8" x14ac:dyDescent="0.35">
      <c r="A28" t="s">
        <v>131</v>
      </c>
      <c r="B28" t="s">
        <v>132</v>
      </c>
      <c r="C28">
        <v>167</v>
      </c>
      <c r="D28" t="s">
        <v>123</v>
      </c>
      <c r="E28" s="7">
        <v>77717</v>
      </c>
      <c r="F28" s="7">
        <v>267669</v>
      </c>
      <c r="G28" s="7">
        <v>345387</v>
      </c>
      <c r="H28">
        <v>1</v>
      </c>
    </row>
    <row r="29" spans="1:8" x14ac:dyDescent="0.35">
      <c r="A29" t="s">
        <v>131</v>
      </c>
      <c r="B29" t="s">
        <v>132</v>
      </c>
      <c r="C29">
        <v>167</v>
      </c>
      <c r="D29" t="s">
        <v>124</v>
      </c>
      <c r="E29" s="7">
        <v>77403</v>
      </c>
      <c r="F29" s="7">
        <v>222928</v>
      </c>
      <c r="G29" s="7">
        <v>300332</v>
      </c>
      <c r="H29">
        <v>1</v>
      </c>
    </row>
    <row r="30" spans="1:8" x14ac:dyDescent="0.35">
      <c r="A30" t="s">
        <v>133</v>
      </c>
      <c r="B30" t="s">
        <v>134</v>
      </c>
      <c r="C30">
        <v>168</v>
      </c>
      <c r="D30" t="s">
        <v>120</v>
      </c>
      <c r="E30" s="7">
        <v>24116</v>
      </c>
      <c r="F30" s="7">
        <v>18374</v>
      </c>
      <c r="G30" s="7">
        <v>42490</v>
      </c>
      <c r="H30">
        <v>1</v>
      </c>
    </row>
    <row r="31" spans="1:8" x14ac:dyDescent="0.35">
      <c r="A31" t="s">
        <v>133</v>
      </c>
      <c r="B31" t="s">
        <v>134</v>
      </c>
      <c r="C31">
        <v>168</v>
      </c>
      <c r="D31" t="s">
        <v>121</v>
      </c>
      <c r="E31" s="7">
        <v>25491</v>
      </c>
      <c r="F31" s="7">
        <v>19698</v>
      </c>
      <c r="G31" s="7">
        <v>45189</v>
      </c>
      <c r="H31">
        <v>1</v>
      </c>
    </row>
    <row r="32" spans="1:8" x14ac:dyDescent="0.35">
      <c r="A32" t="s">
        <v>133</v>
      </c>
      <c r="B32" t="s">
        <v>134</v>
      </c>
      <c r="C32">
        <v>168</v>
      </c>
      <c r="D32" t="s">
        <v>122</v>
      </c>
      <c r="E32" s="7">
        <v>21480</v>
      </c>
      <c r="F32" s="7">
        <v>15888</v>
      </c>
      <c r="G32" s="7">
        <v>37368</v>
      </c>
      <c r="H32">
        <v>1</v>
      </c>
    </row>
    <row r="33" spans="1:8" x14ac:dyDescent="0.35">
      <c r="A33" t="s">
        <v>133</v>
      </c>
      <c r="B33" t="s">
        <v>134</v>
      </c>
      <c r="C33">
        <v>168</v>
      </c>
      <c r="D33" t="s">
        <v>123</v>
      </c>
      <c r="E33" s="7">
        <v>18172</v>
      </c>
      <c r="F33" s="7">
        <v>12493</v>
      </c>
      <c r="G33" s="7">
        <v>30665</v>
      </c>
      <c r="H33">
        <v>1</v>
      </c>
    </row>
    <row r="34" spans="1:8" x14ac:dyDescent="0.35">
      <c r="A34" t="s">
        <v>133</v>
      </c>
      <c r="B34" t="s">
        <v>134</v>
      </c>
      <c r="C34">
        <v>168</v>
      </c>
      <c r="D34" t="s">
        <v>124</v>
      </c>
      <c r="E34" s="7">
        <v>18099</v>
      </c>
      <c r="F34" s="7">
        <v>12443</v>
      </c>
      <c r="G34" s="7">
        <v>30541</v>
      </c>
      <c r="H34">
        <v>1</v>
      </c>
    </row>
    <row r="35" spans="1:8" x14ac:dyDescent="0.35">
      <c r="A35" t="s">
        <v>135</v>
      </c>
      <c r="B35" t="s">
        <v>136</v>
      </c>
      <c r="C35">
        <v>170</v>
      </c>
      <c r="D35" t="s">
        <v>120</v>
      </c>
      <c r="E35" s="7">
        <v>0</v>
      </c>
      <c r="F35" s="7">
        <v>1837</v>
      </c>
      <c r="G35" s="7">
        <v>1837</v>
      </c>
      <c r="H35">
        <v>1</v>
      </c>
    </row>
    <row r="36" spans="1:8" x14ac:dyDescent="0.35">
      <c r="A36" t="s">
        <v>135</v>
      </c>
      <c r="B36" t="s">
        <v>136</v>
      </c>
      <c r="C36">
        <v>170</v>
      </c>
      <c r="D36" t="s">
        <v>121</v>
      </c>
      <c r="E36" s="7">
        <v>0</v>
      </c>
      <c r="F36" s="7">
        <v>1854</v>
      </c>
      <c r="G36" s="7">
        <v>1854</v>
      </c>
      <c r="H36">
        <v>1</v>
      </c>
    </row>
    <row r="37" spans="1:8" x14ac:dyDescent="0.35">
      <c r="A37" t="s">
        <v>135</v>
      </c>
      <c r="B37" t="s">
        <v>136</v>
      </c>
      <c r="C37">
        <v>170</v>
      </c>
      <c r="D37" t="s">
        <v>122</v>
      </c>
      <c r="E37" s="7">
        <v>0</v>
      </c>
      <c r="F37" s="7">
        <v>1920</v>
      </c>
      <c r="G37" s="7">
        <v>1920</v>
      </c>
      <c r="H37">
        <v>0</v>
      </c>
    </row>
    <row r="38" spans="1:8" x14ac:dyDescent="0.35">
      <c r="A38" t="s">
        <v>135</v>
      </c>
      <c r="B38" t="s">
        <v>136</v>
      </c>
      <c r="C38">
        <v>170</v>
      </c>
      <c r="D38" t="s">
        <v>123</v>
      </c>
      <c r="E38" s="7">
        <v>0</v>
      </c>
      <c r="F38" s="7">
        <v>1817</v>
      </c>
      <c r="G38" s="7">
        <v>1817</v>
      </c>
      <c r="H38">
        <v>0</v>
      </c>
    </row>
    <row r="39" spans="1:8" x14ac:dyDescent="0.35">
      <c r="A39" t="s">
        <v>135</v>
      </c>
      <c r="B39" t="s">
        <v>136</v>
      </c>
      <c r="C39">
        <v>170</v>
      </c>
      <c r="D39" t="s">
        <v>124</v>
      </c>
      <c r="E39" s="7">
        <v>0</v>
      </c>
      <c r="F39" s="7">
        <v>1810</v>
      </c>
      <c r="G39" s="7">
        <v>1810</v>
      </c>
      <c r="H39">
        <v>0</v>
      </c>
    </row>
    <row r="40" spans="1:8" x14ac:dyDescent="0.35">
      <c r="A40" t="s">
        <v>137</v>
      </c>
      <c r="B40" t="s">
        <v>138</v>
      </c>
      <c r="C40">
        <v>172</v>
      </c>
      <c r="D40" t="s">
        <v>120</v>
      </c>
      <c r="E40" s="7">
        <v>24460</v>
      </c>
      <c r="F40" s="7">
        <v>12693</v>
      </c>
      <c r="G40" s="7">
        <v>37153</v>
      </c>
      <c r="H40">
        <v>0</v>
      </c>
    </row>
    <row r="41" spans="1:8" x14ac:dyDescent="0.35">
      <c r="A41" t="s">
        <v>137</v>
      </c>
      <c r="B41" t="s">
        <v>138</v>
      </c>
      <c r="C41">
        <v>172</v>
      </c>
      <c r="D41" t="s">
        <v>121</v>
      </c>
      <c r="E41" s="7">
        <v>26998</v>
      </c>
      <c r="F41" s="7">
        <v>18192</v>
      </c>
      <c r="G41" s="7">
        <v>45190</v>
      </c>
      <c r="H41">
        <v>1</v>
      </c>
    </row>
    <row r="42" spans="1:8" x14ac:dyDescent="0.35">
      <c r="A42" t="s">
        <v>137</v>
      </c>
      <c r="B42" t="s">
        <v>138</v>
      </c>
      <c r="C42">
        <v>172</v>
      </c>
      <c r="D42" t="s">
        <v>122</v>
      </c>
      <c r="E42" s="7">
        <v>25560</v>
      </c>
      <c r="F42" s="7">
        <v>16738</v>
      </c>
      <c r="G42" s="7">
        <v>42298</v>
      </c>
      <c r="H42">
        <v>0</v>
      </c>
    </row>
    <row r="43" spans="1:8" x14ac:dyDescent="0.35">
      <c r="A43" t="s">
        <v>137</v>
      </c>
      <c r="B43" t="s">
        <v>138</v>
      </c>
      <c r="C43">
        <v>172</v>
      </c>
      <c r="D43" t="s">
        <v>123</v>
      </c>
      <c r="E43" s="7">
        <v>24192</v>
      </c>
      <c r="F43" s="7">
        <v>21997</v>
      </c>
      <c r="G43" s="7">
        <v>46189</v>
      </c>
      <c r="H43">
        <v>0</v>
      </c>
    </row>
    <row r="44" spans="1:8" x14ac:dyDescent="0.35">
      <c r="A44" t="s">
        <v>137</v>
      </c>
      <c r="B44" t="s">
        <v>138</v>
      </c>
      <c r="C44">
        <v>172</v>
      </c>
      <c r="D44" t="s">
        <v>124</v>
      </c>
      <c r="E44" s="7">
        <v>24094</v>
      </c>
      <c r="F44" s="7">
        <v>18320</v>
      </c>
      <c r="G44" s="7">
        <v>42414</v>
      </c>
      <c r="H44">
        <v>0</v>
      </c>
    </row>
    <row r="45" spans="1:8" x14ac:dyDescent="0.35">
      <c r="A45" t="s">
        <v>139</v>
      </c>
      <c r="B45" t="s">
        <v>140</v>
      </c>
      <c r="C45">
        <v>173</v>
      </c>
      <c r="D45" t="s">
        <v>120</v>
      </c>
      <c r="E45" s="7">
        <v>16307</v>
      </c>
      <c r="F45" s="7">
        <v>8559</v>
      </c>
      <c r="G45" s="7">
        <v>24866</v>
      </c>
      <c r="H45">
        <v>1</v>
      </c>
    </row>
    <row r="46" spans="1:8" x14ac:dyDescent="0.35">
      <c r="A46" t="s">
        <v>139</v>
      </c>
      <c r="B46" t="s">
        <v>140</v>
      </c>
      <c r="C46">
        <v>173</v>
      </c>
      <c r="D46" t="s">
        <v>121</v>
      </c>
      <c r="E46" s="7">
        <v>17033</v>
      </c>
      <c r="F46" s="7">
        <v>12267</v>
      </c>
      <c r="G46" s="7">
        <v>29300</v>
      </c>
      <c r="H46">
        <v>1</v>
      </c>
    </row>
    <row r="47" spans="1:8" x14ac:dyDescent="0.35">
      <c r="A47" t="s">
        <v>139</v>
      </c>
      <c r="B47" t="s">
        <v>140</v>
      </c>
      <c r="C47">
        <v>173</v>
      </c>
      <c r="D47" t="s">
        <v>122</v>
      </c>
      <c r="E47" s="7">
        <v>17040</v>
      </c>
      <c r="F47" s="7">
        <v>11286</v>
      </c>
      <c r="G47" s="7">
        <v>28326</v>
      </c>
      <c r="H47">
        <v>0</v>
      </c>
    </row>
    <row r="48" spans="1:8" x14ac:dyDescent="0.35">
      <c r="A48" t="s">
        <v>139</v>
      </c>
      <c r="B48" t="s">
        <v>140</v>
      </c>
      <c r="C48">
        <v>173</v>
      </c>
      <c r="D48" t="s">
        <v>123</v>
      </c>
      <c r="E48" s="7">
        <v>16128</v>
      </c>
      <c r="F48" s="7">
        <v>14832</v>
      </c>
      <c r="G48" s="7">
        <v>30960</v>
      </c>
      <c r="H48">
        <v>0</v>
      </c>
    </row>
    <row r="49" spans="1:8" x14ac:dyDescent="0.35">
      <c r="A49" t="s">
        <v>139</v>
      </c>
      <c r="B49" t="s">
        <v>140</v>
      </c>
      <c r="C49">
        <v>173</v>
      </c>
      <c r="D49" t="s">
        <v>124</v>
      </c>
      <c r="E49" s="7">
        <v>16063</v>
      </c>
      <c r="F49" s="7">
        <v>12353</v>
      </c>
      <c r="G49" s="7">
        <v>28416</v>
      </c>
      <c r="H49">
        <v>0</v>
      </c>
    </row>
    <row r="50" spans="1:8" x14ac:dyDescent="0.35">
      <c r="A50" t="s">
        <v>141</v>
      </c>
      <c r="B50" t="s">
        <v>142</v>
      </c>
      <c r="C50">
        <v>175</v>
      </c>
      <c r="D50" t="s">
        <v>120</v>
      </c>
      <c r="E50" s="7">
        <v>37782</v>
      </c>
      <c r="F50" s="7">
        <v>26868</v>
      </c>
      <c r="G50" s="7">
        <v>64649</v>
      </c>
      <c r="H50">
        <v>1</v>
      </c>
    </row>
    <row r="51" spans="1:8" x14ac:dyDescent="0.35">
      <c r="A51" t="s">
        <v>141</v>
      </c>
      <c r="B51" t="s">
        <v>142</v>
      </c>
      <c r="C51">
        <v>175</v>
      </c>
      <c r="D51" t="s">
        <v>121</v>
      </c>
      <c r="E51" s="7">
        <v>45595</v>
      </c>
      <c r="F51" s="7">
        <v>39552</v>
      </c>
      <c r="G51" s="7">
        <v>85146</v>
      </c>
      <c r="H51">
        <v>1</v>
      </c>
    </row>
    <row r="52" spans="1:8" x14ac:dyDescent="0.35">
      <c r="A52" t="s">
        <v>141</v>
      </c>
      <c r="B52" t="s">
        <v>142</v>
      </c>
      <c r="C52">
        <v>175</v>
      </c>
      <c r="D52" t="s">
        <v>122</v>
      </c>
      <c r="E52" s="7">
        <v>39480</v>
      </c>
      <c r="F52" s="7">
        <v>35429</v>
      </c>
      <c r="G52" s="7">
        <v>74909</v>
      </c>
      <c r="H52">
        <v>0</v>
      </c>
    </row>
    <row r="53" spans="1:8" x14ac:dyDescent="0.35">
      <c r="A53" t="s">
        <v>141</v>
      </c>
      <c r="B53" t="s">
        <v>142</v>
      </c>
      <c r="C53">
        <v>175</v>
      </c>
      <c r="D53" t="s">
        <v>123</v>
      </c>
      <c r="E53" s="7">
        <v>37366</v>
      </c>
      <c r="F53" s="7">
        <v>46562</v>
      </c>
      <c r="G53" s="7">
        <v>83928</v>
      </c>
      <c r="H53">
        <v>0</v>
      </c>
    </row>
    <row r="54" spans="1:8" x14ac:dyDescent="0.35">
      <c r="A54" t="s">
        <v>141</v>
      </c>
      <c r="B54" t="s">
        <v>142</v>
      </c>
      <c r="C54">
        <v>175</v>
      </c>
      <c r="D54" t="s">
        <v>124</v>
      </c>
      <c r="E54" s="7">
        <v>37215</v>
      </c>
      <c r="F54" s="7">
        <v>38779</v>
      </c>
      <c r="G54" s="7">
        <v>75994</v>
      </c>
      <c r="H54">
        <v>0</v>
      </c>
    </row>
    <row r="55" spans="1:8" x14ac:dyDescent="0.35">
      <c r="A55" t="s">
        <v>143</v>
      </c>
      <c r="B55" t="s">
        <v>144</v>
      </c>
      <c r="C55">
        <v>178</v>
      </c>
      <c r="D55" t="s">
        <v>120</v>
      </c>
      <c r="E55" s="7">
        <v>38126</v>
      </c>
      <c r="F55" s="7">
        <v>11799</v>
      </c>
      <c r="G55" s="7">
        <v>49925</v>
      </c>
      <c r="H55">
        <v>1</v>
      </c>
    </row>
    <row r="56" spans="1:8" x14ac:dyDescent="0.35">
      <c r="A56" t="s">
        <v>143</v>
      </c>
      <c r="B56" t="s">
        <v>144</v>
      </c>
      <c r="C56">
        <v>178</v>
      </c>
      <c r="D56" t="s">
        <v>121</v>
      </c>
      <c r="E56" s="7">
        <v>38469</v>
      </c>
      <c r="F56" s="7">
        <v>16912</v>
      </c>
      <c r="G56" s="7">
        <v>55380</v>
      </c>
      <c r="H56">
        <v>1</v>
      </c>
    </row>
    <row r="57" spans="1:8" x14ac:dyDescent="0.35">
      <c r="A57" t="s">
        <v>143</v>
      </c>
      <c r="B57" t="s">
        <v>144</v>
      </c>
      <c r="C57">
        <v>178</v>
      </c>
      <c r="D57" t="s">
        <v>122</v>
      </c>
      <c r="E57" s="7">
        <v>39840</v>
      </c>
      <c r="F57" s="7">
        <v>15559</v>
      </c>
      <c r="G57" s="7">
        <v>55399</v>
      </c>
      <c r="H57">
        <v>0</v>
      </c>
    </row>
    <row r="58" spans="1:8" x14ac:dyDescent="0.35">
      <c r="A58" t="s">
        <v>143</v>
      </c>
      <c r="B58" t="s">
        <v>144</v>
      </c>
      <c r="C58">
        <v>178</v>
      </c>
      <c r="D58" t="s">
        <v>123</v>
      </c>
      <c r="E58" s="7">
        <v>37707</v>
      </c>
      <c r="F58" s="7">
        <v>20448</v>
      </c>
      <c r="G58" s="7">
        <v>58155</v>
      </c>
      <c r="H58">
        <v>0</v>
      </c>
    </row>
    <row r="59" spans="1:8" x14ac:dyDescent="0.35">
      <c r="A59" t="s">
        <v>143</v>
      </c>
      <c r="B59" t="s">
        <v>144</v>
      </c>
      <c r="C59">
        <v>178</v>
      </c>
      <c r="D59" t="s">
        <v>124</v>
      </c>
      <c r="E59" s="7">
        <v>37555</v>
      </c>
      <c r="F59" s="7">
        <v>17030</v>
      </c>
      <c r="G59" s="7">
        <v>54585</v>
      </c>
      <c r="H59">
        <v>0</v>
      </c>
    </row>
    <row r="60" spans="1:8" x14ac:dyDescent="0.35">
      <c r="A60" t="s">
        <v>145</v>
      </c>
      <c r="B60" t="s">
        <v>146</v>
      </c>
      <c r="C60">
        <v>181</v>
      </c>
      <c r="D60" t="s">
        <v>120</v>
      </c>
      <c r="E60" s="7">
        <v>201595</v>
      </c>
      <c r="F60" s="7">
        <v>202160</v>
      </c>
      <c r="G60" s="7">
        <v>403755</v>
      </c>
      <c r="H60">
        <v>0</v>
      </c>
    </row>
    <row r="61" spans="1:8" x14ac:dyDescent="0.35">
      <c r="A61" t="s">
        <v>145</v>
      </c>
      <c r="B61" t="s">
        <v>146</v>
      </c>
      <c r="C61">
        <v>181</v>
      </c>
      <c r="D61" t="s">
        <v>121</v>
      </c>
      <c r="E61" s="7">
        <v>223847</v>
      </c>
      <c r="F61" s="7">
        <v>203978</v>
      </c>
      <c r="G61" s="7">
        <v>427824</v>
      </c>
      <c r="H61">
        <v>0</v>
      </c>
    </row>
    <row r="62" spans="1:8" x14ac:dyDescent="0.35">
      <c r="A62" t="s">
        <v>145</v>
      </c>
      <c r="B62" t="s">
        <v>146</v>
      </c>
      <c r="C62">
        <v>181</v>
      </c>
      <c r="D62" t="s">
        <v>122</v>
      </c>
      <c r="E62" s="7">
        <v>230290</v>
      </c>
      <c r="F62" s="7">
        <v>211248</v>
      </c>
      <c r="G62" s="7">
        <v>441538</v>
      </c>
      <c r="H62">
        <v>1</v>
      </c>
    </row>
    <row r="63" spans="1:8" x14ac:dyDescent="0.35">
      <c r="A63" t="s">
        <v>145</v>
      </c>
      <c r="B63" t="s">
        <v>146</v>
      </c>
      <c r="C63">
        <v>181</v>
      </c>
      <c r="D63" t="s">
        <v>123</v>
      </c>
      <c r="E63" s="7">
        <v>234474</v>
      </c>
      <c r="F63" s="7">
        <v>199938</v>
      </c>
      <c r="G63" s="7">
        <v>434413</v>
      </c>
      <c r="H63">
        <v>1</v>
      </c>
    </row>
    <row r="64" spans="1:8" x14ac:dyDescent="0.35">
      <c r="A64" t="s">
        <v>145</v>
      </c>
      <c r="B64" t="s">
        <v>146</v>
      </c>
      <c r="C64">
        <v>181</v>
      </c>
      <c r="D64" t="s">
        <v>124</v>
      </c>
      <c r="E64" s="7">
        <v>241581</v>
      </c>
      <c r="F64" s="7">
        <v>199131</v>
      </c>
      <c r="G64" s="7">
        <v>440711</v>
      </c>
      <c r="H64">
        <v>1</v>
      </c>
    </row>
    <row r="65" spans="1:8" x14ac:dyDescent="0.35">
      <c r="A65" t="s">
        <v>147</v>
      </c>
      <c r="B65" t="s">
        <v>148</v>
      </c>
      <c r="C65">
        <v>183</v>
      </c>
      <c r="D65" t="s">
        <v>120</v>
      </c>
      <c r="E65" s="7">
        <v>4019</v>
      </c>
      <c r="F65" s="7">
        <v>29420</v>
      </c>
      <c r="G65" s="7">
        <v>33440</v>
      </c>
      <c r="H65">
        <v>0</v>
      </c>
    </row>
    <row r="66" spans="1:8" x14ac:dyDescent="0.35">
      <c r="A66" t="s">
        <v>147</v>
      </c>
      <c r="B66" t="s">
        <v>148</v>
      </c>
      <c r="C66">
        <v>183</v>
      </c>
      <c r="D66" t="s">
        <v>121</v>
      </c>
      <c r="E66" s="7">
        <v>4635</v>
      </c>
      <c r="F66" s="7">
        <v>42167</v>
      </c>
      <c r="G66" s="7">
        <v>46801</v>
      </c>
      <c r="H66">
        <v>0</v>
      </c>
    </row>
    <row r="67" spans="1:8" x14ac:dyDescent="0.35">
      <c r="A67" t="s">
        <v>147</v>
      </c>
      <c r="B67" t="s">
        <v>148</v>
      </c>
      <c r="C67">
        <v>183</v>
      </c>
      <c r="D67" t="s">
        <v>122</v>
      </c>
      <c r="E67" s="7">
        <v>5400</v>
      </c>
      <c r="F67" s="7">
        <v>38795</v>
      </c>
      <c r="G67" s="7">
        <v>44195</v>
      </c>
      <c r="H67">
        <v>0</v>
      </c>
    </row>
    <row r="68" spans="1:8" x14ac:dyDescent="0.35">
      <c r="A68" t="s">
        <v>147</v>
      </c>
      <c r="B68" t="s">
        <v>148</v>
      </c>
      <c r="C68">
        <v>183</v>
      </c>
      <c r="D68" t="s">
        <v>123</v>
      </c>
      <c r="E68" s="7">
        <v>6247</v>
      </c>
      <c r="F68" s="7">
        <v>50985</v>
      </c>
      <c r="G68" s="7">
        <v>57232</v>
      </c>
      <c r="H68">
        <v>0</v>
      </c>
    </row>
    <row r="69" spans="1:8" x14ac:dyDescent="0.35">
      <c r="A69" t="s">
        <v>147</v>
      </c>
      <c r="B69" t="s">
        <v>148</v>
      </c>
      <c r="C69">
        <v>183</v>
      </c>
      <c r="D69" t="s">
        <v>124</v>
      </c>
      <c r="E69" s="7">
        <v>5656</v>
      </c>
      <c r="F69" s="7">
        <v>42463</v>
      </c>
      <c r="G69" s="7">
        <v>48119</v>
      </c>
      <c r="H69">
        <v>0</v>
      </c>
    </row>
    <row r="71" spans="1:8" x14ac:dyDescent="0.35">
      <c r="A71" t="s">
        <v>149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80"/>
  <sheetViews>
    <sheetView workbookViewId="0"/>
  </sheetViews>
  <sheetFormatPr defaultRowHeight="14.5" x14ac:dyDescent="0.35"/>
  <cols>
    <col min="2" max="2" width="40" customWidth="1"/>
    <col min="4" max="4" width="50" customWidth="1"/>
  </cols>
  <sheetData>
    <row r="1" spans="1:9" x14ac:dyDescent="0.35">
      <c r="A1" t="s">
        <v>150</v>
      </c>
    </row>
    <row r="2" spans="1:9" x14ac:dyDescent="0.35">
      <c r="A2" t="s">
        <v>151</v>
      </c>
    </row>
    <row r="3" spans="1:9" x14ac:dyDescent="0.35">
      <c r="A3" t="s">
        <v>152</v>
      </c>
    </row>
    <row r="4" spans="1:9" x14ac:dyDescent="0.35">
      <c r="E4" t="s">
        <v>153</v>
      </c>
      <c r="F4" t="s">
        <v>154</v>
      </c>
      <c r="G4" t="s">
        <v>155</v>
      </c>
      <c r="I4" t="s">
        <v>156</v>
      </c>
    </row>
    <row r="5" spans="1:9" x14ac:dyDescent="0.35">
      <c r="A5" t="s">
        <v>157</v>
      </c>
      <c r="B5" t="s">
        <v>158</v>
      </c>
      <c r="C5" t="s">
        <v>159</v>
      </c>
      <c r="D5" t="s">
        <v>160</v>
      </c>
      <c r="G5" t="s">
        <v>161</v>
      </c>
      <c r="H5" t="s">
        <v>162</v>
      </c>
    </row>
    <row r="6" spans="1:9" x14ac:dyDescent="0.35">
      <c r="A6" t="s">
        <v>163</v>
      </c>
      <c r="B6" t="s">
        <v>164</v>
      </c>
      <c r="C6" t="s">
        <v>163</v>
      </c>
      <c r="D6" t="s">
        <v>164</v>
      </c>
      <c r="E6" t="s">
        <v>165</v>
      </c>
      <c r="F6" t="s">
        <v>166</v>
      </c>
      <c r="G6" t="s">
        <v>167</v>
      </c>
      <c r="H6" t="s">
        <v>168</v>
      </c>
      <c r="I6" t="s">
        <v>169</v>
      </c>
    </row>
    <row r="7" spans="1:9" x14ac:dyDescent="0.35">
      <c r="A7">
        <v>230301</v>
      </c>
      <c r="B7" t="s">
        <v>170</v>
      </c>
      <c r="C7">
        <v>333414</v>
      </c>
      <c r="D7" t="s">
        <v>171</v>
      </c>
      <c r="E7">
        <v>292</v>
      </c>
      <c r="F7">
        <v>9</v>
      </c>
      <c r="G7">
        <v>132</v>
      </c>
      <c r="H7">
        <v>132</v>
      </c>
      <c r="I7">
        <v>565</v>
      </c>
    </row>
    <row r="8" spans="1:9" x14ac:dyDescent="0.35">
      <c r="A8">
        <v>230301</v>
      </c>
      <c r="B8" t="s">
        <v>170</v>
      </c>
      <c r="C8">
        <v>333415</v>
      </c>
      <c r="D8" t="s">
        <v>172</v>
      </c>
      <c r="E8">
        <v>1367</v>
      </c>
      <c r="F8">
        <v>40</v>
      </c>
      <c r="G8">
        <v>202</v>
      </c>
      <c r="H8">
        <v>1248</v>
      </c>
      <c r="I8">
        <v>2857</v>
      </c>
    </row>
    <row r="9" spans="1:9" x14ac:dyDescent="0.35">
      <c r="A9">
        <v>230301</v>
      </c>
      <c r="B9" t="s">
        <v>170</v>
      </c>
      <c r="C9">
        <v>333914</v>
      </c>
      <c r="D9" t="s">
        <v>173</v>
      </c>
      <c r="E9">
        <v>248</v>
      </c>
      <c r="F9">
        <v>7</v>
      </c>
      <c r="G9">
        <v>47</v>
      </c>
      <c r="H9">
        <v>0</v>
      </c>
      <c r="I9">
        <v>302</v>
      </c>
    </row>
    <row r="10" spans="1:9" x14ac:dyDescent="0.35">
      <c r="A10">
        <v>230301</v>
      </c>
      <c r="B10" t="s">
        <v>170</v>
      </c>
      <c r="C10">
        <v>334512</v>
      </c>
      <c r="D10" t="s">
        <v>174</v>
      </c>
      <c r="E10">
        <v>206</v>
      </c>
      <c r="F10">
        <v>6</v>
      </c>
      <c r="G10">
        <v>40</v>
      </c>
      <c r="H10">
        <v>0</v>
      </c>
      <c r="I10">
        <v>252</v>
      </c>
    </row>
    <row r="11" spans="1:9" x14ac:dyDescent="0.35">
      <c r="A11">
        <v>230301</v>
      </c>
      <c r="B11" t="s">
        <v>170</v>
      </c>
      <c r="C11">
        <v>335312</v>
      </c>
      <c r="D11" t="s">
        <v>175</v>
      </c>
      <c r="E11">
        <v>174</v>
      </c>
      <c r="F11">
        <v>2</v>
      </c>
      <c r="G11">
        <v>55</v>
      </c>
      <c r="H11">
        <v>232</v>
      </c>
      <c r="I11">
        <v>462</v>
      </c>
    </row>
    <row r="12" spans="1:9" x14ac:dyDescent="0.35">
      <c r="A12">
        <v>230302</v>
      </c>
      <c r="B12" t="s">
        <v>176</v>
      </c>
      <c r="C12">
        <v>333414</v>
      </c>
      <c r="D12" t="s">
        <v>171</v>
      </c>
      <c r="E12">
        <v>137</v>
      </c>
      <c r="F12">
        <v>4</v>
      </c>
      <c r="G12">
        <v>62</v>
      </c>
      <c r="H12">
        <v>70</v>
      </c>
      <c r="I12">
        <v>272</v>
      </c>
    </row>
    <row r="13" spans="1:9" x14ac:dyDescent="0.35">
      <c r="A13">
        <v>230302</v>
      </c>
      <c r="B13" t="s">
        <v>176</v>
      </c>
      <c r="C13">
        <v>333415</v>
      </c>
      <c r="D13" t="s">
        <v>172</v>
      </c>
      <c r="E13">
        <v>662</v>
      </c>
      <c r="F13">
        <v>19</v>
      </c>
      <c r="G13">
        <v>83</v>
      </c>
      <c r="H13">
        <v>611</v>
      </c>
      <c r="I13">
        <v>1375</v>
      </c>
    </row>
    <row r="14" spans="1:9" x14ac:dyDescent="0.35">
      <c r="A14">
        <v>230302</v>
      </c>
      <c r="B14" t="s">
        <v>176</v>
      </c>
      <c r="C14">
        <v>333914</v>
      </c>
      <c r="D14" t="s">
        <v>173</v>
      </c>
      <c r="E14">
        <v>335</v>
      </c>
      <c r="F14">
        <v>10</v>
      </c>
      <c r="G14">
        <v>64</v>
      </c>
      <c r="H14">
        <v>0</v>
      </c>
      <c r="I14">
        <v>408</v>
      </c>
    </row>
    <row r="15" spans="1:9" x14ac:dyDescent="0.35">
      <c r="A15">
        <v>230302</v>
      </c>
      <c r="B15" t="s">
        <v>176</v>
      </c>
      <c r="C15">
        <v>334512</v>
      </c>
      <c r="D15" t="s">
        <v>174</v>
      </c>
      <c r="E15">
        <v>118</v>
      </c>
      <c r="F15">
        <v>3</v>
      </c>
      <c r="G15">
        <v>23</v>
      </c>
      <c r="H15">
        <v>0</v>
      </c>
      <c r="I15">
        <v>145</v>
      </c>
    </row>
    <row r="16" spans="1:9" x14ac:dyDescent="0.35">
      <c r="A16">
        <v>230302</v>
      </c>
      <c r="B16" t="s">
        <v>176</v>
      </c>
      <c r="C16">
        <v>335312</v>
      </c>
      <c r="D16" t="s">
        <v>175</v>
      </c>
      <c r="E16">
        <v>58</v>
      </c>
      <c r="F16">
        <v>1</v>
      </c>
      <c r="G16">
        <v>18</v>
      </c>
      <c r="H16">
        <v>87</v>
      </c>
      <c r="I16">
        <v>164</v>
      </c>
    </row>
    <row r="17" spans="1:9" x14ac:dyDescent="0.35">
      <c r="A17">
        <v>233210</v>
      </c>
      <c r="B17" t="s">
        <v>177</v>
      </c>
      <c r="C17">
        <v>333413</v>
      </c>
      <c r="D17" t="s">
        <v>178</v>
      </c>
      <c r="E17">
        <v>121</v>
      </c>
      <c r="F17">
        <v>4</v>
      </c>
      <c r="G17">
        <v>54</v>
      </c>
      <c r="H17">
        <v>0</v>
      </c>
      <c r="I17">
        <v>179</v>
      </c>
    </row>
    <row r="18" spans="1:9" x14ac:dyDescent="0.35">
      <c r="A18">
        <v>233210</v>
      </c>
      <c r="B18" t="s">
        <v>177</v>
      </c>
      <c r="C18">
        <v>333414</v>
      </c>
      <c r="D18" t="s">
        <v>171</v>
      </c>
      <c r="E18">
        <v>96</v>
      </c>
      <c r="F18">
        <v>3</v>
      </c>
      <c r="G18">
        <v>43</v>
      </c>
      <c r="H18">
        <v>1</v>
      </c>
      <c r="I18">
        <v>143</v>
      </c>
    </row>
    <row r="19" spans="1:9" x14ac:dyDescent="0.35">
      <c r="A19">
        <v>233210</v>
      </c>
      <c r="B19" t="s">
        <v>177</v>
      </c>
      <c r="C19">
        <v>333415</v>
      </c>
      <c r="D19" t="s">
        <v>172</v>
      </c>
      <c r="E19">
        <v>248</v>
      </c>
      <c r="F19">
        <v>7</v>
      </c>
      <c r="G19">
        <v>66</v>
      </c>
      <c r="H19">
        <v>4</v>
      </c>
      <c r="I19">
        <v>326</v>
      </c>
    </row>
    <row r="20" spans="1:9" x14ac:dyDescent="0.35">
      <c r="A20">
        <v>233210</v>
      </c>
      <c r="B20" t="s">
        <v>177</v>
      </c>
      <c r="C20">
        <v>333914</v>
      </c>
      <c r="D20" t="s">
        <v>173</v>
      </c>
      <c r="E20">
        <v>88</v>
      </c>
      <c r="F20">
        <v>3</v>
      </c>
      <c r="G20">
        <v>17</v>
      </c>
      <c r="H20">
        <v>0</v>
      </c>
      <c r="I20">
        <v>108</v>
      </c>
    </row>
    <row r="21" spans="1:9" x14ac:dyDescent="0.35">
      <c r="A21">
        <v>233210</v>
      </c>
      <c r="B21" t="s">
        <v>177</v>
      </c>
      <c r="C21">
        <v>334512</v>
      </c>
      <c r="D21" t="s">
        <v>174</v>
      </c>
      <c r="E21">
        <v>45</v>
      </c>
      <c r="F21">
        <v>1</v>
      </c>
      <c r="G21">
        <v>9</v>
      </c>
      <c r="H21">
        <v>0</v>
      </c>
      <c r="I21">
        <v>55</v>
      </c>
    </row>
    <row r="22" spans="1:9" x14ac:dyDescent="0.35">
      <c r="A22">
        <v>233210</v>
      </c>
      <c r="B22" t="s">
        <v>177</v>
      </c>
      <c r="C22">
        <v>335312</v>
      </c>
      <c r="D22" t="s">
        <v>175</v>
      </c>
      <c r="E22">
        <v>143</v>
      </c>
      <c r="F22">
        <v>1</v>
      </c>
      <c r="G22">
        <v>45</v>
      </c>
      <c r="H22">
        <v>7</v>
      </c>
      <c r="I22">
        <v>196</v>
      </c>
    </row>
    <row r="23" spans="1:9" x14ac:dyDescent="0.35">
      <c r="A23">
        <v>233210</v>
      </c>
      <c r="B23" t="s">
        <v>177</v>
      </c>
      <c r="C23">
        <v>335314</v>
      </c>
      <c r="D23" t="s">
        <v>179</v>
      </c>
      <c r="E23">
        <v>0</v>
      </c>
      <c r="F23">
        <v>0</v>
      </c>
      <c r="G23">
        <v>0</v>
      </c>
      <c r="H23">
        <v>0</v>
      </c>
      <c r="I23">
        <v>0</v>
      </c>
    </row>
    <row r="24" spans="1:9" x14ac:dyDescent="0.35">
      <c r="A24">
        <v>233230</v>
      </c>
      <c r="B24" t="s">
        <v>180</v>
      </c>
      <c r="C24">
        <v>333413</v>
      </c>
      <c r="D24" t="s">
        <v>178</v>
      </c>
      <c r="E24">
        <v>168</v>
      </c>
      <c r="F24">
        <v>5</v>
      </c>
      <c r="G24">
        <v>71</v>
      </c>
      <c r="H24">
        <v>0</v>
      </c>
      <c r="I24">
        <v>243</v>
      </c>
    </row>
    <row r="25" spans="1:9" x14ac:dyDescent="0.35">
      <c r="A25">
        <v>233230</v>
      </c>
      <c r="B25" t="s">
        <v>180</v>
      </c>
      <c r="C25">
        <v>333414</v>
      </c>
      <c r="D25" t="s">
        <v>171</v>
      </c>
      <c r="E25">
        <v>160</v>
      </c>
      <c r="F25">
        <v>5</v>
      </c>
      <c r="G25">
        <v>72</v>
      </c>
      <c r="H25">
        <v>0</v>
      </c>
      <c r="I25">
        <v>238</v>
      </c>
    </row>
    <row r="26" spans="1:9" x14ac:dyDescent="0.35">
      <c r="A26">
        <v>233230</v>
      </c>
      <c r="B26" t="s">
        <v>180</v>
      </c>
      <c r="C26">
        <v>333415</v>
      </c>
      <c r="D26" t="s">
        <v>172</v>
      </c>
      <c r="E26">
        <v>275</v>
      </c>
      <c r="F26">
        <v>8</v>
      </c>
      <c r="G26">
        <v>120</v>
      </c>
      <c r="H26">
        <v>0</v>
      </c>
      <c r="I26">
        <v>403</v>
      </c>
    </row>
    <row r="27" spans="1:9" x14ac:dyDescent="0.35">
      <c r="A27">
        <v>233230</v>
      </c>
      <c r="B27" t="s">
        <v>180</v>
      </c>
      <c r="C27">
        <v>333914</v>
      </c>
      <c r="D27" t="s">
        <v>173</v>
      </c>
      <c r="E27">
        <v>88</v>
      </c>
      <c r="F27">
        <v>3</v>
      </c>
      <c r="G27">
        <v>17</v>
      </c>
      <c r="H27">
        <v>0</v>
      </c>
      <c r="I27">
        <v>107</v>
      </c>
    </row>
    <row r="28" spans="1:9" x14ac:dyDescent="0.35">
      <c r="A28">
        <v>233230</v>
      </c>
      <c r="B28" t="s">
        <v>180</v>
      </c>
      <c r="C28">
        <v>334512</v>
      </c>
      <c r="D28" t="s">
        <v>174</v>
      </c>
      <c r="E28">
        <v>9</v>
      </c>
      <c r="F28">
        <v>0</v>
      </c>
      <c r="G28">
        <v>2</v>
      </c>
      <c r="H28">
        <v>0</v>
      </c>
      <c r="I28">
        <v>11</v>
      </c>
    </row>
    <row r="29" spans="1:9" x14ac:dyDescent="0.35">
      <c r="A29">
        <v>233230</v>
      </c>
      <c r="B29" t="s">
        <v>180</v>
      </c>
      <c r="C29">
        <v>335312</v>
      </c>
      <c r="D29" t="s">
        <v>175</v>
      </c>
      <c r="E29">
        <v>3</v>
      </c>
      <c r="F29">
        <v>0</v>
      </c>
      <c r="G29">
        <v>1</v>
      </c>
      <c r="H29">
        <v>0</v>
      </c>
      <c r="I29">
        <v>4</v>
      </c>
    </row>
    <row r="30" spans="1:9" x14ac:dyDescent="0.35">
      <c r="A30">
        <v>233230</v>
      </c>
      <c r="B30" t="s">
        <v>180</v>
      </c>
      <c r="C30">
        <v>335314</v>
      </c>
      <c r="D30" t="s">
        <v>179</v>
      </c>
      <c r="E30">
        <v>0</v>
      </c>
      <c r="F30">
        <v>0</v>
      </c>
      <c r="G30">
        <v>0</v>
      </c>
      <c r="H30">
        <v>0</v>
      </c>
      <c r="I30">
        <v>0</v>
      </c>
    </row>
    <row r="31" spans="1:9" x14ac:dyDescent="0.35">
      <c r="A31">
        <v>233240</v>
      </c>
      <c r="B31" t="s">
        <v>181</v>
      </c>
      <c r="C31">
        <v>333413</v>
      </c>
      <c r="D31" t="s">
        <v>178</v>
      </c>
      <c r="E31">
        <v>23</v>
      </c>
      <c r="F31">
        <v>1</v>
      </c>
      <c r="G31">
        <v>9</v>
      </c>
      <c r="H31">
        <v>0</v>
      </c>
      <c r="I31">
        <v>33</v>
      </c>
    </row>
    <row r="32" spans="1:9" x14ac:dyDescent="0.35">
      <c r="A32">
        <v>233240</v>
      </c>
      <c r="B32" t="s">
        <v>181</v>
      </c>
      <c r="C32">
        <v>333414</v>
      </c>
      <c r="D32" t="s">
        <v>171</v>
      </c>
      <c r="E32">
        <v>19</v>
      </c>
      <c r="F32">
        <v>1</v>
      </c>
      <c r="G32">
        <v>9</v>
      </c>
      <c r="H32">
        <v>0</v>
      </c>
      <c r="I32">
        <v>29</v>
      </c>
    </row>
    <row r="33" spans="1:9" x14ac:dyDescent="0.35">
      <c r="A33">
        <v>233240</v>
      </c>
      <c r="B33" t="s">
        <v>181</v>
      </c>
      <c r="C33">
        <v>333415</v>
      </c>
      <c r="D33" t="s">
        <v>172</v>
      </c>
      <c r="E33">
        <v>207</v>
      </c>
      <c r="F33">
        <v>6</v>
      </c>
      <c r="G33">
        <v>70</v>
      </c>
      <c r="H33">
        <v>0</v>
      </c>
      <c r="I33">
        <v>284</v>
      </c>
    </row>
    <row r="34" spans="1:9" x14ac:dyDescent="0.35">
      <c r="A34">
        <v>233240</v>
      </c>
      <c r="B34" t="s">
        <v>181</v>
      </c>
      <c r="C34">
        <v>333914</v>
      </c>
      <c r="D34" t="s">
        <v>173</v>
      </c>
      <c r="E34">
        <v>12</v>
      </c>
      <c r="F34">
        <v>0</v>
      </c>
      <c r="G34">
        <v>2</v>
      </c>
      <c r="H34">
        <v>0</v>
      </c>
      <c r="I34">
        <v>14</v>
      </c>
    </row>
    <row r="35" spans="1:9" x14ac:dyDescent="0.35">
      <c r="A35">
        <v>233240</v>
      </c>
      <c r="B35" t="s">
        <v>181</v>
      </c>
      <c r="C35">
        <v>335312</v>
      </c>
      <c r="D35" t="s">
        <v>175</v>
      </c>
      <c r="E35">
        <v>18</v>
      </c>
      <c r="F35">
        <v>0</v>
      </c>
      <c r="G35">
        <v>6</v>
      </c>
      <c r="H35">
        <v>27</v>
      </c>
      <c r="I35">
        <v>50</v>
      </c>
    </row>
    <row r="36" spans="1:9" x14ac:dyDescent="0.35">
      <c r="A36">
        <v>233262</v>
      </c>
      <c r="B36" t="s">
        <v>182</v>
      </c>
      <c r="C36">
        <v>333413</v>
      </c>
      <c r="D36" t="s">
        <v>178</v>
      </c>
      <c r="E36">
        <v>160</v>
      </c>
      <c r="F36">
        <v>5</v>
      </c>
      <c r="G36">
        <v>71</v>
      </c>
      <c r="H36">
        <v>0</v>
      </c>
      <c r="I36">
        <v>236</v>
      </c>
    </row>
    <row r="37" spans="1:9" x14ac:dyDescent="0.35">
      <c r="A37">
        <v>233262</v>
      </c>
      <c r="B37" t="s">
        <v>182</v>
      </c>
      <c r="C37">
        <v>333414</v>
      </c>
      <c r="D37" t="s">
        <v>171</v>
      </c>
      <c r="E37">
        <v>342</v>
      </c>
      <c r="F37">
        <v>10</v>
      </c>
      <c r="G37">
        <v>155</v>
      </c>
      <c r="H37">
        <v>0</v>
      </c>
      <c r="I37">
        <v>507</v>
      </c>
    </row>
    <row r="38" spans="1:9" x14ac:dyDescent="0.35">
      <c r="A38">
        <v>233262</v>
      </c>
      <c r="B38" t="s">
        <v>182</v>
      </c>
      <c r="C38">
        <v>333415</v>
      </c>
      <c r="D38" t="s">
        <v>172</v>
      </c>
      <c r="E38">
        <v>1455</v>
      </c>
      <c r="F38">
        <v>42</v>
      </c>
      <c r="G38">
        <v>654</v>
      </c>
      <c r="H38">
        <v>0</v>
      </c>
      <c r="I38">
        <v>2151</v>
      </c>
    </row>
    <row r="39" spans="1:9" x14ac:dyDescent="0.35">
      <c r="A39">
        <v>233262</v>
      </c>
      <c r="B39" t="s">
        <v>182</v>
      </c>
      <c r="C39">
        <v>333914</v>
      </c>
      <c r="D39" t="s">
        <v>173</v>
      </c>
      <c r="E39">
        <v>468</v>
      </c>
      <c r="F39">
        <v>14</v>
      </c>
      <c r="G39">
        <v>89</v>
      </c>
      <c r="H39">
        <v>0</v>
      </c>
      <c r="I39">
        <v>571</v>
      </c>
    </row>
    <row r="40" spans="1:9" x14ac:dyDescent="0.35">
      <c r="A40">
        <v>233262</v>
      </c>
      <c r="B40" t="s">
        <v>182</v>
      </c>
      <c r="C40">
        <v>334512</v>
      </c>
      <c r="D40" t="s">
        <v>174</v>
      </c>
      <c r="E40">
        <v>776</v>
      </c>
      <c r="F40">
        <v>23</v>
      </c>
      <c r="G40">
        <v>151</v>
      </c>
      <c r="H40">
        <v>0</v>
      </c>
      <c r="I40">
        <v>950</v>
      </c>
    </row>
    <row r="41" spans="1:9" x14ac:dyDescent="0.35">
      <c r="A41">
        <v>233262</v>
      </c>
      <c r="B41" t="s">
        <v>182</v>
      </c>
      <c r="C41">
        <v>335312</v>
      </c>
      <c r="D41" t="s">
        <v>175</v>
      </c>
      <c r="E41">
        <v>332</v>
      </c>
      <c r="F41">
        <v>3</v>
      </c>
      <c r="G41">
        <v>104</v>
      </c>
      <c r="H41">
        <v>0</v>
      </c>
      <c r="I41">
        <v>439</v>
      </c>
    </row>
    <row r="42" spans="1:9" x14ac:dyDescent="0.35">
      <c r="A42">
        <v>233262</v>
      </c>
      <c r="B42" t="s">
        <v>182</v>
      </c>
      <c r="C42">
        <v>335314</v>
      </c>
      <c r="D42" t="s">
        <v>179</v>
      </c>
      <c r="E42">
        <v>0</v>
      </c>
      <c r="F42">
        <v>0</v>
      </c>
      <c r="G42">
        <v>0</v>
      </c>
      <c r="H42">
        <v>0</v>
      </c>
      <c r="I42">
        <v>0</v>
      </c>
    </row>
    <row r="43" spans="1:9" x14ac:dyDescent="0.35">
      <c r="A43" t="s">
        <v>183</v>
      </c>
      <c r="B43" t="s">
        <v>184</v>
      </c>
      <c r="C43">
        <v>333413</v>
      </c>
      <c r="D43" t="s">
        <v>178</v>
      </c>
      <c r="E43">
        <v>245</v>
      </c>
      <c r="F43">
        <v>7</v>
      </c>
      <c r="G43">
        <v>68</v>
      </c>
      <c r="H43">
        <v>0</v>
      </c>
      <c r="I43">
        <v>320</v>
      </c>
    </row>
    <row r="44" spans="1:9" x14ac:dyDescent="0.35">
      <c r="A44" t="s">
        <v>183</v>
      </c>
      <c r="B44" t="s">
        <v>184</v>
      </c>
      <c r="C44">
        <v>333414</v>
      </c>
      <c r="D44" t="s">
        <v>171</v>
      </c>
      <c r="E44">
        <v>401</v>
      </c>
      <c r="F44">
        <v>12</v>
      </c>
      <c r="G44">
        <v>181</v>
      </c>
      <c r="H44">
        <v>0</v>
      </c>
      <c r="I44">
        <v>594</v>
      </c>
    </row>
    <row r="45" spans="1:9" x14ac:dyDescent="0.35">
      <c r="A45" t="s">
        <v>183</v>
      </c>
      <c r="B45" t="s">
        <v>184</v>
      </c>
      <c r="C45">
        <v>333415</v>
      </c>
      <c r="D45" t="s">
        <v>172</v>
      </c>
      <c r="E45">
        <v>2372</v>
      </c>
      <c r="F45">
        <v>69</v>
      </c>
      <c r="G45">
        <v>382</v>
      </c>
      <c r="H45">
        <v>30</v>
      </c>
      <c r="I45">
        <v>2852</v>
      </c>
    </row>
    <row r="46" spans="1:9" x14ac:dyDescent="0.35">
      <c r="A46" t="s">
        <v>183</v>
      </c>
      <c r="B46" t="s">
        <v>184</v>
      </c>
      <c r="C46">
        <v>333914</v>
      </c>
      <c r="D46" t="s">
        <v>173</v>
      </c>
      <c r="E46">
        <v>168</v>
      </c>
      <c r="F46">
        <v>5</v>
      </c>
      <c r="G46">
        <v>32</v>
      </c>
      <c r="H46">
        <v>0</v>
      </c>
      <c r="I46">
        <v>205</v>
      </c>
    </row>
    <row r="47" spans="1:9" x14ac:dyDescent="0.35">
      <c r="A47" t="s">
        <v>183</v>
      </c>
      <c r="B47" t="s">
        <v>184</v>
      </c>
      <c r="C47">
        <v>334512</v>
      </c>
      <c r="D47" t="s">
        <v>174</v>
      </c>
      <c r="E47">
        <v>340</v>
      </c>
      <c r="F47">
        <v>10</v>
      </c>
      <c r="G47">
        <v>66</v>
      </c>
      <c r="H47">
        <v>0</v>
      </c>
      <c r="I47">
        <v>416</v>
      </c>
    </row>
    <row r="48" spans="1:9" x14ac:dyDescent="0.35">
      <c r="A48" t="s">
        <v>183</v>
      </c>
      <c r="B48" t="s">
        <v>184</v>
      </c>
      <c r="C48">
        <v>335312</v>
      </c>
      <c r="D48" t="s">
        <v>175</v>
      </c>
      <c r="E48">
        <v>89</v>
      </c>
      <c r="F48">
        <v>1</v>
      </c>
      <c r="G48">
        <v>28</v>
      </c>
      <c r="H48">
        <v>0</v>
      </c>
      <c r="I48">
        <v>118</v>
      </c>
    </row>
    <row r="49" spans="1:9" x14ac:dyDescent="0.35">
      <c r="A49" t="s">
        <v>183</v>
      </c>
      <c r="B49" t="s">
        <v>184</v>
      </c>
      <c r="C49">
        <v>335314</v>
      </c>
      <c r="D49" t="s">
        <v>179</v>
      </c>
      <c r="E49">
        <v>0</v>
      </c>
      <c r="F49">
        <v>0</v>
      </c>
      <c r="G49">
        <v>0</v>
      </c>
      <c r="H49">
        <v>0</v>
      </c>
      <c r="I49">
        <v>0</v>
      </c>
    </row>
    <row r="50" spans="1:9" x14ac:dyDescent="0.35">
      <c r="A50" t="s">
        <v>185</v>
      </c>
      <c r="B50" t="s">
        <v>186</v>
      </c>
      <c r="C50">
        <v>333413</v>
      </c>
      <c r="D50" t="s">
        <v>178</v>
      </c>
      <c r="E50">
        <v>147</v>
      </c>
      <c r="F50">
        <v>4</v>
      </c>
      <c r="G50">
        <v>67</v>
      </c>
      <c r="H50">
        <v>0</v>
      </c>
      <c r="I50">
        <v>218</v>
      </c>
    </row>
    <row r="51" spans="1:9" x14ac:dyDescent="0.35">
      <c r="A51" t="s">
        <v>185</v>
      </c>
      <c r="B51" t="s">
        <v>186</v>
      </c>
      <c r="C51">
        <v>333414</v>
      </c>
      <c r="D51" t="s">
        <v>171</v>
      </c>
      <c r="E51">
        <v>139</v>
      </c>
      <c r="F51">
        <v>4</v>
      </c>
      <c r="G51">
        <v>63</v>
      </c>
      <c r="H51">
        <v>0</v>
      </c>
      <c r="I51">
        <v>206</v>
      </c>
    </row>
    <row r="52" spans="1:9" x14ac:dyDescent="0.35">
      <c r="A52" t="s">
        <v>185</v>
      </c>
      <c r="B52" t="s">
        <v>186</v>
      </c>
      <c r="C52">
        <v>333415</v>
      </c>
      <c r="D52" t="s">
        <v>172</v>
      </c>
      <c r="E52">
        <v>393</v>
      </c>
      <c r="F52">
        <v>11</v>
      </c>
      <c r="G52">
        <v>105</v>
      </c>
      <c r="H52">
        <v>0</v>
      </c>
      <c r="I52">
        <v>509</v>
      </c>
    </row>
    <row r="53" spans="1:9" x14ac:dyDescent="0.35">
      <c r="A53" t="s">
        <v>185</v>
      </c>
      <c r="B53" t="s">
        <v>186</v>
      </c>
      <c r="C53">
        <v>333914</v>
      </c>
      <c r="D53" t="s">
        <v>173</v>
      </c>
      <c r="E53">
        <v>319</v>
      </c>
      <c r="F53">
        <v>9</v>
      </c>
      <c r="G53">
        <v>61</v>
      </c>
      <c r="H53">
        <v>0</v>
      </c>
      <c r="I53">
        <v>389</v>
      </c>
    </row>
    <row r="54" spans="1:9" x14ac:dyDescent="0.35">
      <c r="A54" t="s">
        <v>185</v>
      </c>
      <c r="B54" t="s">
        <v>186</v>
      </c>
      <c r="C54">
        <v>334512</v>
      </c>
      <c r="D54" t="s">
        <v>174</v>
      </c>
      <c r="E54">
        <v>12</v>
      </c>
      <c r="F54">
        <v>0</v>
      </c>
      <c r="G54">
        <v>2</v>
      </c>
      <c r="H54">
        <v>0</v>
      </c>
      <c r="I54">
        <v>15</v>
      </c>
    </row>
    <row r="55" spans="1:9" x14ac:dyDescent="0.35">
      <c r="A55" t="s">
        <v>185</v>
      </c>
      <c r="B55" t="s">
        <v>186</v>
      </c>
      <c r="C55">
        <v>335312</v>
      </c>
      <c r="D55" t="s">
        <v>175</v>
      </c>
      <c r="E55">
        <v>16</v>
      </c>
      <c r="F55">
        <v>0</v>
      </c>
      <c r="G55">
        <v>5</v>
      </c>
      <c r="H55">
        <v>0</v>
      </c>
      <c r="I55">
        <v>21</v>
      </c>
    </row>
    <row r="56" spans="1:9" x14ac:dyDescent="0.35">
      <c r="A56" t="s">
        <v>187</v>
      </c>
      <c r="B56" t="s">
        <v>188</v>
      </c>
      <c r="C56">
        <v>333413</v>
      </c>
      <c r="D56" t="s">
        <v>178</v>
      </c>
      <c r="E56">
        <v>118</v>
      </c>
      <c r="F56">
        <v>3</v>
      </c>
      <c r="G56">
        <v>27</v>
      </c>
      <c r="H56">
        <v>0</v>
      </c>
      <c r="I56">
        <v>149</v>
      </c>
    </row>
    <row r="57" spans="1:9" x14ac:dyDescent="0.35">
      <c r="A57" t="s">
        <v>187</v>
      </c>
      <c r="B57" t="s">
        <v>188</v>
      </c>
      <c r="C57">
        <v>333414</v>
      </c>
      <c r="D57" t="s">
        <v>171</v>
      </c>
      <c r="E57">
        <v>168</v>
      </c>
      <c r="F57">
        <v>5</v>
      </c>
      <c r="G57">
        <v>76</v>
      </c>
      <c r="H57">
        <v>90</v>
      </c>
      <c r="I57">
        <v>339</v>
      </c>
    </row>
    <row r="58" spans="1:9" x14ac:dyDescent="0.35">
      <c r="A58" t="s">
        <v>187</v>
      </c>
      <c r="B58" t="s">
        <v>188</v>
      </c>
      <c r="C58">
        <v>333415</v>
      </c>
      <c r="D58" t="s">
        <v>172</v>
      </c>
      <c r="E58">
        <v>531</v>
      </c>
      <c r="F58">
        <v>15</v>
      </c>
      <c r="G58">
        <v>87</v>
      </c>
      <c r="H58">
        <v>353</v>
      </c>
      <c r="I58">
        <v>986</v>
      </c>
    </row>
    <row r="59" spans="1:9" x14ac:dyDescent="0.35">
      <c r="A59" t="s">
        <v>187</v>
      </c>
      <c r="B59" t="s">
        <v>188</v>
      </c>
      <c r="C59">
        <v>333914</v>
      </c>
      <c r="D59" t="s">
        <v>173</v>
      </c>
      <c r="E59">
        <v>608</v>
      </c>
      <c r="F59">
        <v>18</v>
      </c>
      <c r="G59">
        <v>116</v>
      </c>
      <c r="H59">
        <v>0</v>
      </c>
      <c r="I59">
        <v>741</v>
      </c>
    </row>
    <row r="60" spans="1:9" x14ac:dyDescent="0.35">
      <c r="A60" t="s">
        <v>187</v>
      </c>
      <c r="B60" t="s">
        <v>188</v>
      </c>
      <c r="C60">
        <v>334512</v>
      </c>
      <c r="D60" t="s">
        <v>174</v>
      </c>
      <c r="E60">
        <v>61</v>
      </c>
      <c r="F60">
        <v>2</v>
      </c>
      <c r="G60">
        <v>12</v>
      </c>
      <c r="H60">
        <v>0</v>
      </c>
      <c r="I60">
        <v>75</v>
      </c>
    </row>
    <row r="61" spans="1:9" x14ac:dyDescent="0.35">
      <c r="A61" t="s">
        <v>187</v>
      </c>
      <c r="B61" t="s">
        <v>188</v>
      </c>
      <c r="C61">
        <v>335312</v>
      </c>
      <c r="D61" t="s">
        <v>175</v>
      </c>
      <c r="E61">
        <v>62</v>
      </c>
      <c r="F61">
        <v>1</v>
      </c>
      <c r="G61">
        <v>19</v>
      </c>
      <c r="H61">
        <v>85</v>
      </c>
      <c r="I61">
        <v>167</v>
      </c>
    </row>
    <row r="62" spans="1:9" x14ac:dyDescent="0.35">
      <c r="A62">
        <v>233411</v>
      </c>
      <c r="B62" t="s">
        <v>189</v>
      </c>
      <c r="C62">
        <v>333413</v>
      </c>
      <c r="D62" t="s">
        <v>178</v>
      </c>
      <c r="E62">
        <v>63</v>
      </c>
      <c r="F62">
        <v>2</v>
      </c>
      <c r="G62">
        <v>28</v>
      </c>
      <c r="H62">
        <v>0</v>
      </c>
      <c r="I62">
        <v>93</v>
      </c>
    </row>
    <row r="63" spans="1:9" x14ac:dyDescent="0.35">
      <c r="A63">
        <v>233411</v>
      </c>
      <c r="B63" t="s">
        <v>189</v>
      </c>
      <c r="C63">
        <v>333414</v>
      </c>
      <c r="D63" t="s">
        <v>171</v>
      </c>
      <c r="E63">
        <v>294</v>
      </c>
      <c r="F63">
        <v>9</v>
      </c>
      <c r="G63">
        <v>133</v>
      </c>
      <c r="H63">
        <v>249</v>
      </c>
      <c r="I63">
        <v>684</v>
      </c>
    </row>
    <row r="64" spans="1:9" x14ac:dyDescent="0.35">
      <c r="A64">
        <v>233411</v>
      </c>
      <c r="B64" t="s">
        <v>189</v>
      </c>
      <c r="C64">
        <v>333415</v>
      </c>
      <c r="D64" t="s">
        <v>172</v>
      </c>
      <c r="E64">
        <v>992</v>
      </c>
      <c r="F64">
        <v>29</v>
      </c>
      <c r="G64">
        <v>364</v>
      </c>
      <c r="H64">
        <v>1094</v>
      </c>
      <c r="I64">
        <v>2480</v>
      </c>
    </row>
    <row r="65" spans="1:9" x14ac:dyDescent="0.35">
      <c r="A65">
        <v>233411</v>
      </c>
      <c r="B65" t="s">
        <v>189</v>
      </c>
      <c r="C65">
        <v>333914</v>
      </c>
      <c r="D65" t="s">
        <v>173</v>
      </c>
      <c r="E65">
        <v>1511</v>
      </c>
      <c r="F65">
        <v>44</v>
      </c>
      <c r="G65">
        <v>288</v>
      </c>
      <c r="H65">
        <v>0</v>
      </c>
      <c r="I65">
        <v>1842</v>
      </c>
    </row>
    <row r="66" spans="1:9" x14ac:dyDescent="0.35">
      <c r="A66">
        <v>233411</v>
      </c>
      <c r="B66" t="s">
        <v>189</v>
      </c>
      <c r="C66">
        <v>334512</v>
      </c>
      <c r="D66" t="s">
        <v>174</v>
      </c>
      <c r="E66">
        <v>126</v>
      </c>
      <c r="F66">
        <v>4</v>
      </c>
      <c r="G66">
        <v>25</v>
      </c>
      <c r="H66">
        <v>0</v>
      </c>
      <c r="I66">
        <v>154</v>
      </c>
    </row>
    <row r="67" spans="1:9" x14ac:dyDescent="0.35">
      <c r="A67">
        <v>233411</v>
      </c>
      <c r="B67" t="s">
        <v>189</v>
      </c>
      <c r="C67">
        <v>335312</v>
      </c>
      <c r="D67" t="s">
        <v>175</v>
      </c>
      <c r="E67">
        <v>95</v>
      </c>
      <c r="F67">
        <v>1</v>
      </c>
      <c r="G67">
        <v>30</v>
      </c>
      <c r="H67">
        <v>142</v>
      </c>
      <c r="I67">
        <v>267</v>
      </c>
    </row>
    <row r="68" spans="1:9" x14ac:dyDescent="0.35">
      <c r="A68">
        <v>233412</v>
      </c>
      <c r="B68" t="s">
        <v>190</v>
      </c>
      <c r="C68">
        <v>333413</v>
      </c>
      <c r="D68" t="s">
        <v>178</v>
      </c>
      <c r="E68">
        <v>66</v>
      </c>
      <c r="F68">
        <v>2</v>
      </c>
      <c r="G68">
        <v>28</v>
      </c>
      <c r="H68">
        <v>0</v>
      </c>
      <c r="I68">
        <v>97</v>
      </c>
    </row>
    <row r="69" spans="1:9" x14ac:dyDescent="0.35">
      <c r="A69">
        <v>233412</v>
      </c>
      <c r="B69" t="s">
        <v>190</v>
      </c>
      <c r="C69">
        <v>333414</v>
      </c>
      <c r="D69" t="s">
        <v>171</v>
      </c>
      <c r="E69">
        <v>87</v>
      </c>
      <c r="F69">
        <v>3</v>
      </c>
      <c r="G69">
        <v>39</v>
      </c>
      <c r="H69">
        <v>60</v>
      </c>
      <c r="I69">
        <v>189</v>
      </c>
    </row>
    <row r="70" spans="1:9" x14ac:dyDescent="0.35">
      <c r="A70">
        <v>233412</v>
      </c>
      <c r="B70" t="s">
        <v>190</v>
      </c>
      <c r="C70">
        <v>333415</v>
      </c>
      <c r="D70" t="s">
        <v>172</v>
      </c>
      <c r="E70">
        <v>376</v>
      </c>
      <c r="F70">
        <v>11</v>
      </c>
      <c r="G70">
        <v>48</v>
      </c>
      <c r="H70">
        <v>339</v>
      </c>
      <c r="I70">
        <v>774</v>
      </c>
    </row>
    <row r="71" spans="1:9" x14ac:dyDescent="0.35">
      <c r="A71">
        <v>233412</v>
      </c>
      <c r="B71" t="s">
        <v>190</v>
      </c>
      <c r="C71">
        <v>334512</v>
      </c>
      <c r="D71" t="s">
        <v>174</v>
      </c>
      <c r="E71">
        <v>35</v>
      </c>
      <c r="F71">
        <v>1</v>
      </c>
      <c r="G71">
        <v>7</v>
      </c>
      <c r="H71">
        <v>0</v>
      </c>
      <c r="I71">
        <v>42</v>
      </c>
    </row>
    <row r="72" spans="1:9" x14ac:dyDescent="0.35">
      <c r="A72">
        <v>233412</v>
      </c>
      <c r="B72" t="s">
        <v>190</v>
      </c>
      <c r="C72">
        <v>335312</v>
      </c>
      <c r="D72" t="s">
        <v>175</v>
      </c>
      <c r="E72">
        <v>8</v>
      </c>
      <c r="F72">
        <v>0</v>
      </c>
      <c r="G72">
        <v>2</v>
      </c>
      <c r="H72">
        <v>12</v>
      </c>
      <c r="I72">
        <v>22</v>
      </c>
    </row>
    <row r="73" spans="1:9" x14ac:dyDescent="0.35">
      <c r="A73" t="s">
        <v>191</v>
      </c>
      <c r="B73" t="s">
        <v>192</v>
      </c>
      <c r="C73">
        <v>333413</v>
      </c>
      <c r="D73" t="s">
        <v>178</v>
      </c>
      <c r="E73">
        <v>386</v>
      </c>
      <c r="F73">
        <v>11</v>
      </c>
      <c r="G73">
        <v>174</v>
      </c>
      <c r="H73">
        <v>0</v>
      </c>
      <c r="I73">
        <v>572</v>
      </c>
    </row>
    <row r="74" spans="1:9" x14ac:dyDescent="0.35">
      <c r="A74" t="s">
        <v>191</v>
      </c>
      <c r="B74" t="s">
        <v>192</v>
      </c>
      <c r="C74">
        <v>333414</v>
      </c>
      <c r="D74" t="s">
        <v>171</v>
      </c>
      <c r="E74">
        <v>405</v>
      </c>
      <c r="F74">
        <v>12</v>
      </c>
      <c r="G74">
        <v>183</v>
      </c>
      <c r="H74">
        <v>301</v>
      </c>
      <c r="I74">
        <v>900</v>
      </c>
    </row>
    <row r="75" spans="1:9" x14ac:dyDescent="0.35">
      <c r="A75" t="s">
        <v>191</v>
      </c>
      <c r="B75" t="s">
        <v>192</v>
      </c>
      <c r="C75">
        <v>333415</v>
      </c>
      <c r="D75" t="s">
        <v>172</v>
      </c>
      <c r="E75">
        <v>1676</v>
      </c>
      <c r="F75">
        <v>49</v>
      </c>
      <c r="G75">
        <v>273</v>
      </c>
      <c r="H75">
        <v>1454</v>
      </c>
      <c r="I75">
        <v>3452</v>
      </c>
    </row>
    <row r="76" spans="1:9" x14ac:dyDescent="0.35">
      <c r="A76" t="s">
        <v>191</v>
      </c>
      <c r="B76" t="s">
        <v>192</v>
      </c>
      <c r="C76">
        <v>333914</v>
      </c>
      <c r="D76" t="s">
        <v>173</v>
      </c>
      <c r="E76">
        <v>1003</v>
      </c>
      <c r="F76">
        <v>29</v>
      </c>
      <c r="G76">
        <v>191</v>
      </c>
      <c r="H76">
        <v>0</v>
      </c>
      <c r="I76">
        <v>1224</v>
      </c>
    </row>
    <row r="77" spans="1:9" x14ac:dyDescent="0.35">
      <c r="A77" t="s">
        <v>191</v>
      </c>
      <c r="B77" t="s">
        <v>192</v>
      </c>
      <c r="C77">
        <v>334512</v>
      </c>
      <c r="D77" t="s">
        <v>174</v>
      </c>
      <c r="E77">
        <v>867</v>
      </c>
      <c r="F77">
        <v>25</v>
      </c>
      <c r="G77">
        <v>169</v>
      </c>
      <c r="H77">
        <v>0</v>
      </c>
      <c r="I77">
        <v>1061</v>
      </c>
    </row>
    <row r="78" spans="1:9" x14ac:dyDescent="0.35">
      <c r="A78" t="s">
        <v>191</v>
      </c>
      <c r="B78" t="s">
        <v>192</v>
      </c>
      <c r="C78">
        <v>335312</v>
      </c>
      <c r="D78" t="s">
        <v>175</v>
      </c>
      <c r="E78">
        <v>66</v>
      </c>
      <c r="F78">
        <v>1</v>
      </c>
      <c r="G78">
        <v>21</v>
      </c>
      <c r="H78">
        <v>99</v>
      </c>
      <c r="I78">
        <v>185</v>
      </c>
    </row>
    <row r="80" spans="1:9" x14ac:dyDescent="0.35">
      <c r="A80" t="s">
        <v>193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
  <sheetViews>
    <sheetView workbookViewId="0"/>
  </sheetViews>
  <sheetFormatPr defaultRowHeight="14.5" x14ac:dyDescent="0.35"/>
  <cols>
    <col min="3" max="3" width="60" customWidth="1"/>
    <col min="5" max="6" width="60" customWidth="1"/>
  </cols>
  <sheetData>
    <row r="1" spans="1:6" x14ac:dyDescent="0.35">
      <c r="A1" s="1" t="s">
        <v>194</v>
      </c>
    </row>
    <row r="3" spans="1:6" ht="48" customHeight="1" x14ac:dyDescent="0.35">
      <c r="A3" s="6" t="s">
        <v>195</v>
      </c>
      <c r="B3" s="6" t="s">
        <v>196</v>
      </c>
      <c r="C3" s="6" t="s">
        <v>197</v>
      </c>
      <c r="D3" s="6" t="s">
        <v>198</v>
      </c>
      <c r="E3" s="6" t="s">
        <v>199</v>
      </c>
      <c r="F3" s="6" t="s">
        <v>200</v>
      </c>
    </row>
    <row r="4" spans="1:6" x14ac:dyDescent="0.35">
      <c r="B4">
        <v>334512</v>
      </c>
      <c r="C4" t="s">
        <v>201</v>
      </c>
      <c r="D4">
        <v>2651</v>
      </c>
      <c r="E4" t="s">
        <v>202</v>
      </c>
    </row>
    <row r="5" spans="1:6" x14ac:dyDescent="0.35">
      <c r="B5">
        <v>335312</v>
      </c>
      <c r="C5" t="s">
        <v>203</v>
      </c>
      <c r="D5">
        <v>2710</v>
      </c>
      <c r="E5" t="s">
        <v>204</v>
      </c>
    </row>
    <row r="6" spans="1:6" x14ac:dyDescent="0.35">
      <c r="B6">
        <v>333914</v>
      </c>
      <c r="C6" t="s">
        <v>205</v>
      </c>
      <c r="D6">
        <v>2813</v>
      </c>
      <c r="E6" t="s">
        <v>206</v>
      </c>
    </row>
    <row r="7" spans="1:6" x14ac:dyDescent="0.35">
      <c r="A7" t="s">
        <v>207</v>
      </c>
      <c r="B7">
        <v>333414</v>
      </c>
      <c r="C7" t="s">
        <v>208</v>
      </c>
      <c r="D7">
        <v>2512</v>
      </c>
      <c r="E7" t="s">
        <v>209</v>
      </c>
      <c r="F7" t="s">
        <v>210</v>
      </c>
    </row>
    <row r="8" spans="1:6" x14ac:dyDescent="0.35">
      <c r="A8" t="s">
        <v>207</v>
      </c>
      <c r="B8">
        <v>333414</v>
      </c>
      <c r="C8" t="s">
        <v>208</v>
      </c>
      <c r="D8">
        <v>2815</v>
      </c>
      <c r="E8" t="s">
        <v>211</v>
      </c>
      <c r="F8" t="s">
        <v>212</v>
      </c>
    </row>
    <row r="9" spans="1:6" x14ac:dyDescent="0.35">
      <c r="A9" t="s">
        <v>207</v>
      </c>
      <c r="B9">
        <v>333415</v>
      </c>
      <c r="C9" t="s">
        <v>213</v>
      </c>
      <c r="D9">
        <v>2813</v>
      </c>
      <c r="E9" t="s">
        <v>206</v>
      </c>
      <c r="F9" t="s">
        <v>214</v>
      </c>
    </row>
    <row r="10" spans="1:6" x14ac:dyDescent="0.35">
      <c r="A10" t="s">
        <v>207</v>
      </c>
      <c r="B10">
        <v>333415</v>
      </c>
      <c r="C10" t="s">
        <v>213</v>
      </c>
      <c r="D10">
        <v>2815</v>
      </c>
      <c r="E10" t="s">
        <v>211</v>
      </c>
      <c r="F10" t="s">
        <v>215</v>
      </c>
    </row>
    <row r="11" spans="1:6" x14ac:dyDescent="0.35">
      <c r="A11" t="s">
        <v>207</v>
      </c>
      <c r="B11">
        <v>333415</v>
      </c>
      <c r="C11" t="s">
        <v>213</v>
      </c>
      <c r="D11">
        <v>2819</v>
      </c>
      <c r="E11" t="s">
        <v>216</v>
      </c>
      <c r="F11" t="s">
        <v>217</v>
      </c>
    </row>
    <row r="12" spans="1:6" x14ac:dyDescent="0.35">
      <c r="B12">
        <v>236118</v>
      </c>
      <c r="C12" t="s">
        <v>218</v>
      </c>
      <c r="D12">
        <v>4100</v>
      </c>
      <c r="E12" t="s">
        <v>219</v>
      </c>
    </row>
    <row r="13" spans="1:6" x14ac:dyDescent="0.35">
      <c r="A13" t="s">
        <v>207</v>
      </c>
      <c r="B13">
        <v>238220</v>
      </c>
      <c r="C13" t="s">
        <v>220</v>
      </c>
      <c r="D13">
        <v>4322</v>
      </c>
      <c r="E13" t="s">
        <v>221</v>
      </c>
      <c r="F13" t="s">
        <v>222</v>
      </c>
    </row>
    <row r="14" spans="1:6" x14ac:dyDescent="0.35">
      <c r="A14" t="s">
        <v>207</v>
      </c>
      <c r="B14">
        <v>238310</v>
      </c>
      <c r="C14" t="s">
        <v>223</v>
      </c>
      <c r="D14">
        <v>4329</v>
      </c>
      <c r="E14" t="s">
        <v>224</v>
      </c>
      <c r="F14" t="s">
        <v>225</v>
      </c>
    </row>
    <row r="15" spans="1:6" x14ac:dyDescent="0.35">
      <c r="B15">
        <v>238160</v>
      </c>
      <c r="C15" t="s">
        <v>226</v>
      </c>
      <c r="D15">
        <v>4390</v>
      </c>
      <c r="E15" t="s">
        <v>227</v>
      </c>
    </row>
    <row r="16" spans="1:6" x14ac:dyDescent="0.35">
      <c r="B16">
        <v>238210</v>
      </c>
      <c r="C16" t="s">
        <v>228</v>
      </c>
      <c r="D16">
        <v>4321</v>
      </c>
      <c r="E16" t="s">
        <v>229</v>
      </c>
    </row>
    <row r="18" spans="1:1" x14ac:dyDescent="0.35">
      <c r="A18" t="s">
        <v>230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A108"/>
  <sheetViews>
    <sheetView workbookViewId="0"/>
  </sheetViews>
  <sheetFormatPr defaultRowHeight="14.5" x14ac:dyDescent="0.35"/>
  <cols>
    <col min="1" max="1" width="24" customWidth="1"/>
    <col min="2" max="2" width="26" customWidth="1"/>
    <col min="3" max="3" width="22" customWidth="1"/>
  </cols>
  <sheetData>
    <row r="1" spans="1:53" x14ac:dyDescent="0.35">
      <c r="A1" s="1" t="s">
        <v>231</v>
      </c>
    </row>
    <row r="3" spans="1:53" x14ac:dyDescent="0.35">
      <c r="A3" s="1" t="s">
        <v>232</v>
      </c>
    </row>
    <row r="4" spans="1:53" x14ac:dyDescent="0.35">
      <c r="A4" t="s">
        <v>233</v>
      </c>
      <c r="B4" t="s">
        <v>234</v>
      </c>
      <c r="C4" t="s">
        <v>235</v>
      </c>
      <c r="D4" t="s">
        <v>236</v>
      </c>
      <c r="E4" t="s">
        <v>237</v>
      </c>
      <c r="F4" t="s">
        <v>238</v>
      </c>
      <c r="G4" t="s">
        <v>239</v>
      </c>
      <c r="H4" t="s">
        <v>240</v>
      </c>
      <c r="I4" t="s">
        <v>241</v>
      </c>
      <c r="J4" t="s">
        <v>242</v>
      </c>
      <c r="K4" t="s">
        <v>243</v>
      </c>
      <c r="L4" t="s">
        <v>244</v>
      </c>
      <c r="M4" t="s">
        <v>245</v>
      </c>
      <c r="N4" t="s">
        <v>246</v>
      </c>
      <c r="O4" t="s">
        <v>247</v>
      </c>
      <c r="P4" t="s">
        <v>248</v>
      </c>
      <c r="Q4" t="s">
        <v>249</v>
      </c>
      <c r="R4" t="s">
        <v>250</v>
      </c>
      <c r="S4" t="s">
        <v>251</v>
      </c>
      <c r="T4" t="s">
        <v>252</v>
      </c>
      <c r="U4" t="s">
        <v>253</v>
      </c>
      <c r="V4" t="s">
        <v>254</v>
      </c>
      <c r="W4" t="s">
        <v>255</v>
      </c>
      <c r="X4" t="s">
        <v>256</v>
      </c>
      <c r="Y4" t="s">
        <v>257</v>
      </c>
      <c r="Z4" t="s">
        <v>258</v>
      </c>
      <c r="AA4" t="s">
        <v>259</v>
      </c>
      <c r="AB4" t="s">
        <v>260</v>
      </c>
      <c r="AC4" t="s">
        <v>261</v>
      </c>
      <c r="AD4" t="s">
        <v>262</v>
      </c>
      <c r="AE4" t="s">
        <v>263</v>
      </c>
      <c r="AF4" t="s">
        <v>264</v>
      </c>
      <c r="AG4" t="s">
        <v>265</v>
      </c>
      <c r="AH4" t="s">
        <v>266</v>
      </c>
      <c r="AI4" t="s">
        <v>267</v>
      </c>
      <c r="AJ4" t="s">
        <v>268</v>
      </c>
      <c r="AK4" t="s">
        <v>269</v>
      </c>
      <c r="AL4" t="s">
        <v>270</v>
      </c>
      <c r="AM4" t="s">
        <v>271</v>
      </c>
      <c r="AN4" t="s">
        <v>272</v>
      </c>
      <c r="AO4" t="s">
        <v>273</v>
      </c>
      <c r="AP4" t="s">
        <v>274</v>
      </c>
      <c r="AQ4" t="s">
        <v>275</v>
      </c>
      <c r="AR4" t="s">
        <v>276</v>
      </c>
      <c r="AS4" t="s">
        <v>277</v>
      </c>
      <c r="AT4" t="s">
        <v>278</v>
      </c>
      <c r="AU4" t="s">
        <v>279</v>
      </c>
      <c r="AV4" t="s">
        <v>280</v>
      </c>
      <c r="AW4" t="s">
        <v>281</v>
      </c>
      <c r="AX4" t="s">
        <v>282</v>
      </c>
      <c r="AY4" t="s">
        <v>283</v>
      </c>
      <c r="AZ4" t="s">
        <v>284</v>
      </c>
      <c r="BA4" t="s">
        <v>285</v>
      </c>
    </row>
    <row r="5" spans="1:53" x14ac:dyDescent="0.35">
      <c r="A5" t="s">
        <v>286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0.25957514999999998</v>
      </c>
      <c r="Z5">
        <v>0</v>
      </c>
      <c r="AA5">
        <v>0</v>
      </c>
      <c r="AB5">
        <v>0</v>
      </c>
      <c r="AC5">
        <v>0</v>
      </c>
      <c r="AD5">
        <v>0</v>
      </c>
      <c r="AE5">
        <v>0</v>
      </c>
      <c r="AF5">
        <v>0</v>
      </c>
      <c r="AG5">
        <v>0.44971872899999998</v>
      </c>
      <c r="AH5">
        <v>0.28309632800000001</v>
      </c>
      <c r="AI5">
        <v>7.6097930000000001E-3</v>
      </c>
      <c r="AJ5">
        <v>0</v>
      </c>
      <c r="AK5">
        <v>0</v>
      </c>
      <c r="AL5">
        <v>0</v>
      </c>
      <c r="AM5">
        <v>0</v>
      </c>
      <c r="AN5">
        <v>0</v>
      </c>
      <c r="AO5">
        <v>0</v>
      </c>
      <c r="AP5">
        <v>0</v>
      </c>
      <c r="AQ5">
        <v>0</v>
      </c>
      <c r="AR5">
        <v>0</v>
      </c>
      <c r="AS5">
        <v>0</v>
      </c>
      <c r="AT5">
        <v>0</v>
      </c>
      <c r="AU5">
        <v>0</v>
      </c>
      <c r="AV5">
        <v>0</v>
      </c>
      <c r="AW5">
        <v>0</v>
      </c>
      <c r="AX5">
        <v>0</v>
      </c>
      <c r="AY5">
        <v>0</v>
      </c>
      <c r="AZ5">
        <v>0</v>
      </c>
      <c r="BA5">
        <v>0</v>
      </c>
    </row>
    <row r="6" spans="1:53" x14ac:dyDescent="0.35">
      <c r="A6" t="s">
        <v>287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0.347194577</v>
      </c>
      <c r="Z6">
        <v>0</v>
      </c>
      <c r="AA6">
        <v>0</v>
      </c>
      <c r="AB6">
        <v>0</v>
      </c>
      <c r="AC6">
        <v>0</v>
      </c>
      <c r="AD6">
        <v>0</v>
      </c>
      <c r="AE6">
        <v>0</v>
      </c>
      <c r="AF6">
        <v>0</v>
      </c>
      <c r="AG6">
        <v>0.26375431300000002</v>
      </c>
      <c r="AH6">
        <v>0.37896261199999998</v>
      </c>
      <c r="AI6">
        <v>1.0088498E-2</v>
      </c>
      <c r="AJ6">
        <v>0</v>
      </c>
      <c r="AK6">
        <v>0</v>
      </c>
      <c r="AL6">
        <v>0</v>
      </c>
      <c r="AM6">
        <v>0</v>
      </c>
      <c r="AN6">
        <v>0</v>
      </c>
      <c r="AO6">
        <v>0</v>
      </c>
      <c r="AP6">
        <v>0</v>
      </c>
      <c r="AQ6">
        <v>0</v>
      </c>
      <c r="AR6">
        <v>0</v>
      </c>
      <c r="AS6">
        <v>0</v>
      </c>
      <c r="AT6">
        <v>0</v>
      </c>
      <c r="AU6">
        <v>0</v>
      </c>
      <c r="AV6">
        <v>0</v>
      </c>
      <c r="AW6">
        <v>0</v>
      </c>
      <c r="AX6">
        <v>0</v>
      </c>
      <c r="AY6">
        <v>0</v>
      </c>
      <c r="AZ6">
        <v>0</v>
      </c>
      <c r="BA6">
        <v>0</v>
      </c>
    </row>
    <row r="7" spans="1:53" x14ac:dyDescent="0.35">
      <c r="A7" t="s">
        <v>103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row>
    <row r="8" spans="1:53" x14ac:dyDescent="0.35">
      <c r="A8" t="s">
        <v>84</v>
      </c>
      <c r="B8">
        <v>0</v>
      </c>
      <c r="C8">
        <v>0</v>
      </c>
      <c r="D8">
        <v>0</v>
      </c>
      <c r="E8">
        <v>0</v>
      </c>
      <c r="F8">
        <v>0</v>
      </c>
      <c r="G8">
        <v>0</v>
      </c>
      <c r="H8">
        <v>0</v>
      </c>
      <c r="I8">
        <v>0</v>
      </c>
      <c r="J8">
        <v>0</v>
      </c>
      <c r="K8">
        <v>0</v>
      </c>
      <c r="L8">
        <v>0</v>
      </c>
      <c r="M8">
        <v>0</v>
      </c>
      <c r="N8">
        <v>0</v>
      </c>
      <c r="O8">
        <v>0</v>
      </c>
      <c r="P8">
        <v>0</v>
      </c>
      <c r="Q8">
        <v>0</v>
      </c>
      <c r="R8">
        <v>0</v>
      </c>
      <c r="S8">
        <v>0</v>
      </c>
      <c r="T8">
        <v>0</v>
      </c>
      <c r="U8">
        <v>0</v>
      </c>
      <c r="V8">
        <v>0</v>
      </c>
      <c r="W8">
        <v>0</v>
      </c>
      <c r="X8">
        <v>0.399985111</v>
      </c>
      <c r="Y8">
        <v>0</v>
      </c>
      <c r="Z8">
        <v>0</v>
      </c>
      <c r="AA8">
        <v>0</v>
      </c>
      <c r="AB8">
        <v>0</v>
      </c>
      <c r="AC8">
        <v>0</v>
      </c>
      <c r="AD8">
        <v>0</v>
      </c>
      <c r="AE8">
        <v>0</v>
      </c>
      <c r="AF8">
        <v>0</v>
      </c>
      <c r="AG8">
        <v>0</v>
      </c>
      <c r="AH8">
        <v>0.55505099400000002</v>
      </c>
      <c r="AI8">
        <v>4.4963894999999997E-2</v>
      </c>
      <c r="AJ8">
        <v>0</v>
      </c>
      <c r="AK8">
        <v>0</v>
      </c>
      <c r="AL8">
        <v>0</v>
      </c>
      <c r="AM8">
        <v>0</v>
      </c>
      <c r="AN8">
        <v>0</v>
      </c>
      <c r="AO8">
        <v>0</v>
      </c>
      <c r="AP8">
        <v>0</v>
      </c>
      <c r="AQ8">
        <v>0</v>
      </c>
      <c r="AR8">
        <v>0</v>
      </c>
      <c r="AS8">
        <v>0</v>
      </c>
      <c r="AT8">
        <v>0</v>
      </c>
      <c r="AU8">
        <v>0</v>
      </c>
      <c r="AV8">
        <v>0</v>
      </c>
      <c r="AW8">
        <v>0</v>
      </c>
      <c r="AX8">
        <v>0</v>
      </c>
      <c r="AY8">
        <v>0</v>
      </c>
      <c r="AZ8">
        <v>0</v>
      </c>
      <c r="BA8">
        <v>0</v>
      </c>
    </row>
    <row r="9" spans="1:53" x14ac:dyDescent="0.35">
      <c r="A9" t="s">
        <v>288</v>
      </c>
      <c r="B9">
        <v>0</v>
      </c>
      <c r="C9">
        <v>0</v>
      </c>
      <c r="D9">
        <v>0</v>
      </c>
      <c r="E9">
        <v>0</v>
      </c>
      <c r="F9">
        <v>0</v>
      </c>
      <c r="G9">
        <v>0</v>
      </c>
      <c r="H9">
        <v>0</v>
      </c>
      <c r="I9">
        <v>0</v>
      </c>
      <c r="J9">
        <v>0</v>
      </c>
      <c r="K9">
        <v>0</v>
      </c>
      <c r="L9">
        <v>0</v>
      </c>
      <c r="M9">
        <v>0</v>
      </c>
      <c r="N9">
        <v>0</v>
      </c>
      <c r="O9">
        <v>0</v>
      </c>
      <c r="P9">
        <v>0</v>
      </c>
      <c r="Q9">
        <v>0</v>
      </c>
      <c r="R9">
        <v>0</v>
      </c>
      <c r="S9">
        <v>0</v>
      </c>
      <c r="T9">
        <v>0</v>
      </c>
      <c r="U9">
        <v>0</v>
      </c>
      <c r="V9">
        <v>0</v>
      </c>
      <c r="W9">
        <v>0</v>
      </c>
      <c r="X9">
        <v>0.41594354500000003</v>
      </c>
      <c r="Y9">
        <v>0</v>
      </c>
      <c r="Z9">
        <v>0</v>
      </c>
      <c r="AA9">
        <v>0</v>
      </c>
      <c r="AB9">
        <v>0</v>
      </c>
      <c r="AC9">
        <v>0</v>
      </c>
      <c r="AD9">
        <v>0</v>
      </c>
      <c r="AE9">
        <v>0</v>
      </c>
      <c r="AF9">
        <v>0</v>
      </c>
      <c r="AG9">
        <v>0.245648581</v>
      </c>
      <c r="AH9">
        <v>0.33246167500000001</v>
      </c>
      <c r="AI9">
        <v>5.9461990000000001E-3</v>
      </c>
      <c r="AJ9">
        <v>0</v>
      </c>
      <c r="AK9">
        <v>0</v>
      </c>
      <c r="AL9">
        <v>0</v>
      </c>
      <c r="AM9">
        <v>0</v>
      </c>
      <c r="AN9">
        <v>0</v>
      </c>
      <c r="AO9">
        <v>0</v>
      </c>
      <c r="AP9">
        <v>0</v>
      </c>
      <c r="AQ9">
        <v>0</v>
      </c>
      <c r="AR9">
        <v>0</v>
      </c>
      <c r="AS9">
        <v>0</v>
      </c>
      <c r="AT9">
        <v>0</v>
      </c>
      <c r="AU9">
        <v>0</v>
      </c>
      <c r="AV9">
        <v>0</v>
      </c>
      <c r="AW9">
        <v>0</v>
      </c>
      <c r="AX9">
        <v>0</v>
      </c>
      <c r="AY9">
        <v>0</v>
      </c>
      <c r="AZ9">
        <v>0</v>
      </c>
      <c r="BA9">
        <v>0</v>
      </c>
    </row>
    <row r="10" spans="1:53" x14ac:dyDescent="0.35">
      <c r="A10" t="s">
        <v>106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0.39439856499999998</v>
      </c>
      <c r="Y10">
        <v>0</v>
      </c>
      <c r="Z10">
        <v>0</v>
      </c>
      <c r="AA10">
        <v>0</v>
      </c>
      <c r="AB10">
        <v>0</v>
      </c>
      <c r="AC10">
        <v>0</v>
      </c>
      <c r="AD10">
        <v>0</v>
      </c>
      <c r="AE10">
        <v>0</v>
      </c>
      <c r="AF10">
        <v>0</v>
      </c>
      <c r="AG10">
        <v>0.245648581</v>
      </c>
      <c r="AH10">
        <v>0.34557880800000002</v>
      </c>
      <c r="AI10">
        <v>1.4374046E-2</v>
      </c>
      <c r="AJ10">
        <v>0</v>
      </c>
      <c r="AK10">
        <v>0</v>
      </c>
      <c r="AL10">
        <v>0</v>
      </c>
      <c r="AM10">
        <v>0</v>
      </c>
      <c r="AN10">
        <v>0</v>
      </c>
      <c r="AO10">
        <v>0</v>
      </c>
      <c r="AP10">
        <v>0</v>
      </c>
      <c r="AQ10">
        <v>0</v>
      </c>
      <c r="AR10">
        <v>0</v>
      </c>
      <c r="AS10">
        <v>0</v>
      </c>
      <c r="AT10">
        <v>0</v>
      </c>
      <c r="AU10">
        <v>0</v>
      </c>
      <c r="AV10">
        <v>0</v>
      </c>
      <c r="AW10">
        <v>0</v>
      </c>
      <c r="AX10">
        <v>0</v>
      </c>
      <c r="AY10">
        <v>0</v>
      </c>
      <c r="AZ10">
        <v>0</v>
      </c>
      <c r="BA10">
        <v>0</v>
      </c>
    </row>
    <row r="12" spans="1:53" x14ac:dyDescent="0.35">
      <c r="A12" s="1" t="s">
        <v>289</v>
      </c>
    </row>
    <row r="13" spans="1:53" x14ac:dyDescent="0.35">
      <c r="A13" t="s">
        <v>233</v>
      </c>
      <c r="B13" t="s">
        <v>234</v>
      </c>
      <c r="C13" t="s">
        <v>235</v>
      </c>
      <c r="D13" t="s">
        <v>236</v>
      </c>
      <c r="E13" t="s">
        <v>237</v>
      </c>
      <c r="F13" t="s">
        <v>238</v>
      </c>
      <c r="G13" t="s">
        <v>239</v>
      </c>
      <c r="H13" t="s">
        <v>240</v>
      </c>
      <c r="I13" t="s">
        <v>241</v>
      </c>
      <c r="J13" t="s">
        <v>242</v>
      </c>
      <c r="K13" t="s">
        <v>243</v>
      </c>
      <c r="L13" t="s">
        <v>244</v>
      </c>
      <c r="M13" t="s">
        <v>245</v>
      </c>
      <c r="N13" t="s">
        <v>246</v>
      </c>
      <c r="O13" t="s">
        <v>247</v>
      </c>
      <c r="P13" t="s">
        <v>248</v>
      </c>
      <c r="Q13" t="s">
        <v>249</v>
      </c>
      <c r="R13" t="s">
        <v>250</v>
      </c>
      <c r="S13" t="s">
        <v>251</v>
      </c>
      <c r="T13" t="s">
        <v>252</v>
      </c>
      <c r="U13" t="s">
        <v>253</v>
      </c>
      <c r="V13" t="s">
        <v>254</v>
      </c>
      <c r="W13" t="s">
        <v>255</v>
      </c>
      <c r="X13" t="s">
        <v>256</v>
      </c>
      <c r="Y13" t="s">
        <v>257</v>
      </c>
      <c r="Z13" t="s">
        <v>258</v>
      </c>
      <c r="AA13" t="s">
        <v>259</v>
      </c>
      <c r="AB13" t="s">
        <v>260</v>
      </c>
      <c r="AC13" t="s">
        <v>261</v>
      </c>
      <c r="AD13" t="s">
        <v>262</v>
      </c>
      <c r="AE13" t="s">
        <v>263</v>
      </c>
      <c r="AF13" t="s">
        <v>264</v>
      </c>
      <c r="AG13" t="s">
        <v>265</v>
      </c>
      <c r="AH13" t="s">
        <v>266</v>
      </c>
      <c r="AI13" t="s">
        <v>267</v>
      </c>
      <c r="AJ13" t="s">
        <v>268</v>
      </c>
      <c r="AK13" t="s">
        <v>269</v>
      </c>
      <c r="AL13" t="s">
        <v>270</v>
      </c>
      <c r="AM13" t="s">
        <v>271</v>
      </c>
      <c r="AN13" t="s">
        <v>272</v>
      </c>
      <c r="AO13" t="s">
        <v>273</v>
      </c>
      <c r="AP13" t="s">
        <v>274</v>
      </c>
      <c r="AQ13" t="s">
        <v>275</v>
      </c>
      <c r="AR13" t="s">
        <v>276</v>
      </c>
      <c r="AS13" t="s">
        <v>277</v>
      </c>
      <c r="AT13" t="s">
        <v>278</v>
      </c>
      <c r="AU13" t="s">
        <v>279</v>
      </c>
      <c r="AV13" t="s">
        <v>280</v>
      </c>
      <c r="AW13" t="s">
        <v>281</v>
      </c>
      <c r="AX13" t="s">
        <v>282</v>
      </c>
      <c r="AY13" t="s">
        <v>283</v>
      </c>
      <c r="AZ13" t="s">
        <v>284</v>
      </c>
      <c r="BA13" t="s">
        <v>285</v>
      </c>
    </row>
    <row r="14" spans="1:53" x14ac:dyDescent="0.35">
      <c r="A14" t="s">
        <v>286</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0.25957514999999998</v>
      </c>
      <c r="Z14">
        <v>0</v>
      </c>
      <c r="AA14">
        <v>0</v>
      </c>
      <c r="AB14">
        <v>0</v>
      </c>
      <c r="AC14">
        <v>0</v>
      </c>
      <c r="AD14">
        <v>0</v>
      </c>
      <c r="AE14">
        <v>0</v>
      </c>
      <c r="AF14">
        <v>0</v>
      </c>
      <c r="AG14">
        <v>0.44971872899999998</v>
      </c>
      <c r="AH14">
        <v>0.28309632800000001</v>
      </c>
      <c r="AI14">
        <v>7.6097930000000001E-3</v>
      </c>
      <c r="AJ14">
        <v>0</v>
      </c>
      <c r="AK14">
        <v>0</v>
      </c>
      <c r="AL14">
        <v>0</v>
      </c>
      <c r="AM14">
        <v>0</v>
      </c>
      <c r="AN14">
        <v>0</v>
      </c>
      <c r="AO14">
        <v>0</v>
      </c>
      <c r="AP14">
        <v>0</v>
      </c>
      <c r="AQ14">
        <v>0</v>
      </c>
      <c r="AR14">
        <v>0</v>
      </c>
      <c r="AS14">
        <v>0</v>
      </c>
      <c r="AT14">
        <v>0</v>
      </c>
      <c r="AU14">
        <v>0</v>
      </c>
      <c r="AV14">
        <v>0</v>
      </c>
      <c r="AW14">
        <v>0</v>
      </c>
      <c r="AX14">
        <v>0</v>
      </c>
      <c r="AY14">
        <v>0</v>
      </c>
      <c r="AZ14">
        <v>0</v>
      </c>
      <c r="BA14">
        <v>0</v>
      </c>
    </row>
    <row r="15" spans="1:53" x14ac:dyDescent="0.35">
      <c r="A15" t="s">
        <v>287</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0.347194577</v>
      </c>
      <c r="Z15">
        <v>0</v>
      </c>
      <c r="AA15">
        <v>0</v>
      </c>
      <c r="AB15">
        <v>0</v>
      </c>
      <c r="AC15">
        <v>0</v>
      </c>
      <c r="AD15">
        <v>0</v>
      </c>
      <c r="AE15">
        <v>0</v>
      </c>
      <c r="AF15">
        <v>0</v>
      </c>
      <c r="AG15">
        <v>0.26375431300000002</v>
      </c>
      <c r="AH15">
        <v>0.37896261199999998</v>
      </c>
      <c r="AI15">
        <v>1.0088498E-2</v>
      </c>
      <c r="AJ15">
        <v>0</v>
      </c>
      <c r="AK15">
        <v>0</v>
      </c>
      <c r="AL15">
        <v>0</v>
      </c>
      <c r="AM15">
        <v>0</v>
      </c>
      <c r="AN15">
        <v>0</v>
      </c>
      <c r="AO15">
        <v>0</v>
      </c>
      <c r="AP15">
        <v>0</v>
      </c>
      <c r="AQ15">
        <v>0</v>
      </c>
      <c r="AR15">
        <v>0</v>
      </c>
      <c r="AS15">
        <v>0</v>
      </c>
      <c r="AT15">
        <v>0</v>
      </c>
      <c r="AU15">
        <v>0</v>
      </c>
      <c r="AV15">
        <v>0</v>
      </c>
      <c r="AW15">
        <v>0</v>
      </c>
      <c r="AX15">
        <v>0</v>
      </c>
      <c r="AY15">
        <v>0</v>
      </c>
      <c r="AZ15">
        <v>0</v>
      </c>
      <c r="BA15">
        <v>0</v>
      </c>
    </row>
    <row r="16" spans="1:53" x14ac:dyDescent="0.35">
      <c r="A16" t="s">
        <v>103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row>
    <row r="17" spans="1:53" x14ac:dyDescent="0.35">
      <c r="A17" t="s">
        <v>84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0.399985111</v>
      </c>
      <c r="Y17">
        <v>0</v>
      </c>
      <c r="Z17">
        <v>0</v>
      </c>
      <c r="AA17">
        <v>0</v>
      </c>
      <c r="AB17">
        <v>0</v>
      </c>
      <c r="AC17">
        <v>0</v>
      </c>
      <c r="AD17">
        <v>0</v>
      </c>
      <c r="AE17">
        <v>0</v>
      </c>
      <c r="AF17">
        <v>0</v>
      </c>
      <c r="AG17">
        <v>0</v>
      </c>
      <c r="AH17">
        <v>0.55505099400000002</v>
      </c>
      <c r="AI17">
        <v>4.4963894999999997E-2</v>
      </c>
      <c r="AJ17">
        <v>0</v>
      </c>
      <c r="AK17">
        <v>0</v>
      </c>
      <c r="AL17">
        <v>0</v>
      </c>
      <c r="AM17">
        <v>0</v>
      </c>
      <c r="AN17">
        <v>0</v>
      </c>
      <c r="AO17">
        <v>0</v>
      </c>
      <c r="AP17">
        <v>0</v>
      </c>
      <c r="AQ17">
        <v>0</v>
      </c>
      <c r="AR17">
        <v>0</v>
      </c>
      <c r="AS17">
        <v>0</v>
      </c>
      <c r="AT17">
        <v>0</v>
      </c>
      <c r="AU17">
        <v>0</v>
      </c>
      <c r="AV17">
        <v>0</v>
      </c>
      <c r="AW17">
        <v>0</v>
      </c>
      <c r="AX17">
        <v>0</v>
      </c>
      <c r="AY17">
        <v>0</v>
      </c>
      <c r="AZ17">
        <v>0</v>
      </c>
      <c r="BA17">
        <v>0</v>
      </c>
    </row>
    <row r="18" spans="1:53" x14ac:dyDescent="0.35">
      <c r="A18" t="s">
        <v>288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0.41594354500000003</v>
      </c>
      <c r="Y18">
        <v>0</v>
      </c>
      <c r="Z18">
        <v>0</v>
      </c>
      <c r="AA18">
        <v>0</v>
      </c>
      <c r="AB18">
        <v>0</v>
      </c>
      <c r="AC18">
        <v>0</v>
      </c>
      <c r="AD18">
        <v>0</v>
      </c>
      <c r="AE18">
        <v>0</v>
      </c>
      <c r="AF18">
        <v>0</v>
      </c>
      <c r="AG18">
        <v>0.245648581</v>
      </c>
      <c r="AH18">
        <v>0.33246167500000001</v>
      </c>
      <c r="AI18">
        <v>5.9461990000000001E-3</v>
      </c>
      <c r="AJ18">
        <v>0</v>
      </c>
      <c r="AK18">
        <v>0</v>
      </c>
      <c r="AL18">
        <v>0</v>
      </c>
      <c r="AM18">
        <v>0</v>
      </c>
      <c r="AN18">
        <v>0</v>
      </c>
      <c r="AO18">
        <v>0</v>
      </c>
      <c r="AP18">
        <v>0</v>
      </c>
      <c r="AQ18">
        <v>0</v>
      </c>
      <c r="AR18">
        <v>0</v>
      </c>
      <c r="AS18">
        <v>0</v>
      </c>
      <c r="AT18">
        <v>0</v>
      </c>
      <c r="AU18">
        <v>0</v>
      </c>
      <c r="AV18">
        <v>0</v>
      </c>
      <c r="AW18">
        <v>0</v>
      </c>
      <c r="AX18">
        <v>0</v>
      </c>
      <c r="AY18">
        <v>0</v>
      </c>
      <c r="AZ18">
        <v>0</v>
      </c>
      <c r="BA18">
        <v>0</v>
      </c>
    </row>
    <row r="19" spans="1:53" x14ac:dyDescent="0.35">
      <c r="A19" t="s">
        <v>106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0.39439856499999998</v>
      </c>
      <c r="Y19">
        <v>0</v>
      </c>
      <c r="Z19">
        <v>0</v>
      </c>
      <c r="AA19">
        <v>0</v>
      </c>
      <c r="AB19">
        <v>0</v>
      </c>
      <c r="AC19">
        <v>0</v>
      </c>
      <c r="AD19">
        <v>0</v>
      </c>
      <c r="AE19">
        <v>0</v>
      </c>
      <c r="AF19">
        <v>0</v>
      </c>
      <c r="AG19">
        <v>0.245648581</v>
      </c>
      <c r="AH19">
        <v>0.34557880800000002</v>
      </c>
      <c r="AI19">
        <v>1.4374046E-2</v>
      </c>
      <c r="AJ19">
        <v>0</v>
      </c>
      <c r="AK19">
        <v>0</v>
      </c>
      <c r="AL19">
        <v>0</v>
      </c>
      <c r="AM19">
        <v>0</v>
      </c>
      <c r="AN19">
        <v>0</v>
      </c>
      <c r="AO19">
        <v>0</v>
      </c>
      <c r="AP19">
        <v>0</v>
      </c>
      <c r="AQ19">
        <v>0</v>
      </c>
      <c r="AR19">
        <v>0</v>
      </c>
      <c r="AS19">
        <v>0</v>
      </c>
      <c r="AT19">
        <v>0</v>
      </c>
      <c r="AU19">
        <v>0</v>
      </c>
      <c r="AV19">
        <v>0</v>
      </c>
      <c r="AW19">
        <v>0</v>
      </c>
      <c r="AX19">
        <v>0</v>
      </c>
      <c r="AY19">
        <v>0</v>
      </c>
      <c r="AZ19">
        <v>0</v>
      </c>
      <c r="BA19">
        <v>0</v>
      </c>
    </row>
    <row r="21" spans="1:53" x14ac:dyDescent="0.35">
      <c r="A21" s="1" t="s">
        <v>290</v>
      </c>
    </row>
    <row r="22" spans="1:53" x14ac:dyDescent="0.35">
      <c r="A22" t="s">
        <v>233</v>
      </c>
      <c r="B22" t="s">
        <v>234</v>
      </c>
      <c r="C22" t="s">
        <v>235</v>
      </c>
      <c r="D22" t="s">
        <v>236</v>
      </c>
      <c r="E22" t="s">
        <v>237</v>
      </c>
      <c r="F22" t="s">
        <v>238</v>
      </c>
      <c r="G22" t="s">
        <v>239</v>
      </c>
      <c r="H22" t="s">
        <v>240</v>
      </c>
      <c r="I22" t="s">
        <v>241</v>
      </c>
      <c r="J22" t="s">
        <v>242</v>
      </c>
      <c r="K22" t="s">
        <v>243</v>
      </c>
      <c r="L22" t="s">
        <v>244</v>
      </c>
      <c r="M22" t="s">
        <v>245</v>
      </c>
      <c r="N22" t="s">
        <v>246</v>
      </c>
      <c r="O22" t="s">
        <v>247</v>
      </c>
      <c r="P22" t="s">
        <v>248</v>
      </c>
      <c r="Q22" t="s">
        <v>249</v>
      </c>
      <c r="R22" t="s">
        <v>250</v>
      </c>
      <c r="S22" t="s">
        <v>251</v>
      </c>
      <c r="T22" t="s">
        <v>252</v>
      </c>
      <c r="U22" t="s">
        <v>253</v>
      </c>
      <c r="V22" t="s">
        <v>254</v>
      </c>
      <c r="W22" t="s">
        <v>255</v>
      </c>
      <c r="X22" t="s">
        <v>256</v>
      </c>
      <c r="Y22" t="s">
        <v>257</v>
      </c>
      <c r="Z22" t="s">
        <v>258</v>
      </c>
      <c r="AA22" t="s">
        <v>259</v>
      </c>
      <c r="AB22" t="s">
        <v>260</v>
      </c>
      <c r="AC22" t="s">
        <v>261</v>
      </c>
      <c r="AD22" t="s">
        <v>262</v>
      </c>
      <c r="AE22" t="s">
        <v>263</v>
      </c>
      <c r="AF22" t="s">
        <v>264</v>
      </c>
      <c r="AG22" t="s">
        <v>265</v>
      </c>
      <c r="AH22" t="s">
        <v>266</v>
      </c>
      <c r="AI22" t="s">
        <v>267</v>
      </c>
      <c r="AJ22" t="s">
        <v>268</v>
      </c>
      <c r="AK22" t="s">
        <v>269</v>
      </c>
      <c r="AL22" t="s">
        <v>270</v>
      </c>
      <c r="AM22" t="s">
        <v>271</v>
      </c>
      <c r="AN22" t="s">
        <v>272</v>
      </c>
      <c r="AO22" t="s">
        <v>273</v>
      </c>
      <c r="AP22" t="s">
        <v>274</v>
      </c>
      <c r="AQ22" t="s">
        <v>275</v>
      </c>
      <c r="AR22" t="s">
        <v>276</v>
      </c>
      <c r="AS22" t="s">
        <v>277</v>
      </c>
      <c r="AT22" t="s">
        <v>278</v>
      </c>
      <c r="AU22" t="s">
        <v>279</v>
      </c>
      <c r="AV22" t="s">
        <v>280</v>
      </c>
      <c r="AW22" t="s">
        <v>281</v>
      </c>
      <c r="AX22" t="s">
        <v>282</v>
      </c>
      <c r="AY22" t="s">
        <v>283</v>
      </c>
      <c r="AZ22" t="s">
        <v>284</v>
      </c>
      <c r="BA22" t="s">
        <v>285</v>
      </c>
    </row>
    <row r="23" spans="1:53" x14ac:dyDescent="0.35">
      <c r="A23" t="s">
        <v>286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0.480142966</v>
      </c>
      <c r="Z23">
        <v>0</v>
      </c>
      <c r="AA23">
        <v>0</v>
      </c>
      <c r="AB23">
        <v>0</v>
      </c>
      <c r="AC23">
        <v>0</v>
      </c>
      <c r="AD23">
        <v>0</v>
      </c>
      <c r="AE23">
        <v>0</v>
      </c>
      <c r="AF23">
        <v>0</v>
      </c>
      <c r="AG23">
        <v>0.29601249699999999</v>
      </c>
      <c r="AH23">
        <v>0.210068117</v>
      </c>
      <c r="AI23">
        <v>1.3776419E-2</v>
      </c>
      <c r="AJ23">
        <v>0</v>
      </c>
      <c r="AK23">
        <v>0</v>
      </c>
      <c r="AL23">
        <v>0</v>
      </c>
      <c r="AM23">
        <v>0</v>
      </c>
      <c r="AN23">
        <v>0</v>
      </c>
      <c r="AO23">
        <v>0</v>
      </c>
      <c r="AP23">
        <v>0</v>
      </c>
      <c r="AQ23">
        <v>0</v>
      </c>
      <c r="AR23">
        <v>0</v>
      </c>
      <c r="AS23">
        <v>0</v>
      </c>
      <c r="AT23">
        <v>0</v>
      </c>
      <c r="AU23">
        <v>0</v>
      </c>
      <c r="AV23">
        <v>0</v>
      </c>
      <c r="AW23">
        <v>0</v>
      </c>
      <c r="AX23">
        <v>0</v>
      </c>
      <c r="AY23">
        <v>0</v>
      </c>
      <c r="AZ23">
        <v>0</v>
      </c>
      <c r="BA23">
        <v>0</v>
      </c>
    </row>
    <row r="24" spans="1:53" x14ac:dyDescent="0.35">
      <c r="A24" t="s">
        <v>287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0.39823637499999998</v>
      </c>
      <c r="Z24">
        <v>0</v>
      </c>
      <c r="AA24">
        <v>0</v>
      </c>
      <c r="AB24">
        <v>0</v>
      </c>
      <c r="AC24">
        <v>0</v>
      </c>
      <c r="AD24">
        <v>0</v>
      </c>
      <c r="AE24">
        <v>0</v>
      </c>
      <c r="AF24">
        <v>0</v>
      </c>
      <c r="AG24">
        <v>0.42016988999999999</v>
      </c>
      <c r="AH24">
        <v>0.170194022</v>
      </c>
      <c r="AI24">
        <v>1.1399713000000001E-2</v>
      </c>
      <c r="AJ24">
        <v>0</v>
      </c>
      <c r="AK24">
        <v>0</v>
      </c>
      <c r="AL24">
        <v>0</v>
      </c>
      <c r="AM24">
        <v>0</v>
      </c>
      <c r="AN24">
        <v>0</v>
      </c>
      <c r="AO24">
        <v>0</v>
      </c>
      <c r="AP24">
        <v>0</v>
      </c>
      <c r="AQ24">
        <v>0</v>
      </c>
      <c r="AR24">
        <v>0</v>
      </c>
      <c r="AS24">
        <v>0</v>
      </c>
      <c r="AT24">
        <v>0</v>
      </c>
      <c r="AU24">
        <v>0</v>
      </c>
      <c r="AV24">
        <v>0</v>
      </c>
      <c r="AW24">
        <v>0</v>
      </c>
      <c r="AX24">
        <v>0</v>
      </c>
      <c r="AY24">
        <v>0</v>
      </c>
      <c r="AZ24">
        <v>0</v>
      </c>
      <c r="BA24">
        <v>0</v>
      </c>
    </row>
    <row r="25" spans="1:53" x14ac:dyDescent="0.35">
      <c r="A25" t="s">
        <v>103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row>
    <row r="26" spans="1:53" x14ac:dyDescent="0.35">
      <c r="A26" t="s">
        <v>84</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0.28238603800000001</v>
      </c>
      <c r="Y26">
        <v>0</v>
      </c>
      <c r="Z26">
        <v>0</v>
      </c>
      <c r="AA26">
        <v>0</v>
      </c>
      <c r="AB26">
        <v>0</v>
      </c>
      <c r="AC26">
        <v>0</v>
      </c>
      <c r="AD26">
        <v>0</v>
      </c>
      <c r="AE26">
        <v>0</v>
      </c>
      <c r="AF26">
        <v>0</v>
      </c>
      <c r="AG26">
        <v>0.592331053</v>
      </c>
      <c r="AH26">
        <v>9.1251813000000001E-2</v>
      </c>
      <c r="AI26">
        <v>3.4031095999999997E-2</v>
      </c>
      <c r="AJ26">
        <v>0</v>
      </c>
      <c r="AK26">
        <v>0</v>
      </c>
      <c r="AL26">
        <v>0</v>
      </c>
      <c r="AM26">
        <v>0</v>
      </c>
      <c r="AN26">
        <v>0</v>
      </c>
      <c r="AO26">
        <v>0</v>
      </c>
      <c r="AP26">
        <v>0</v>
      </c>
      <c r="AQ26">
        <v>0</v>
      </c>
      <c r="AR26">
        <v>0</v>
      </c>
      <c r="AS26">
        <v>0</v>
      </c>
      <c r="AT26">
        <v>0</v>
      </c>
      <c r="AU26">
        <v>0</v>
      </c>
      <c r="AV26">
        <v>0</v>
      </c>
      <c r="AW26">
        <v>0</v>
      </c>
      <c r="AX26">
        <v>0</v>
      </c>
      <c r="AY26">
        <v>0</v>
      </c>
      <c r="AZ26">
        <v>0</v>
      </c>
      <c r="BA26">
        <v>0</v>
      </c>
    </row>
    <row r="27" spans="1:53" x14ac:dyDescent="0.35">
      <c r="A27" t="s">
        <v>288</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0.51313159200000003</v>
      </c>
      <c r="Y27">
        <v>0</v>
      </c>
      <c r="Z27">
        <v>0</v>
      </c>
      <c r="AA27">
        <v>0</v>
      </c>
      <c r="AB27">
        <v>0</v>
      </c>
      <c r="AC27">
        <v>0</v>
      </c>
      <c r="AD27">
        <v>0</v>
      </c>
      <c r="AE27">
        <v>0</v>
      </c>
      <c r="AF27">
        <v>0</v>
      </c>
      <c r="AG27">
        <v>0.245601131</v>
      </c>
      <c r="AH27">
        <v>0.227081377</v>
      </c>
      <c r="AI27">
        <v>1.41859E-2</v>
      </c>
      <c r="AJ27">
        <v>0</v>
      </c>
      <c r="AK27">
        <v>0</v>
      </c>
      <c r="AL27">
        <v>0</v>
      </c>
      <c r="AM27">
        <v>0</v>
      </c>
      <c r="AN27">
        <v>0</v>
      </c>
      <c r="AO27">
        <v>0</v>
      </c>
      <c r="AP27">
        <v>0</v>
      </c>
      <c r="AQ27">
        <v>0</v>
      </c>
      <c r="AR27">
        <v>0</v>
      </c>
      <c r="AS27">
        <v>0</v>
      </c>
      <c r="AT27">
        <v>0</v>
      </c>
      <c r="AU27">
        <v>0</v>
      </c>
      <c r="AV27">
        <v>0</v>
      </c>
      <c r="AW27">
        <v>0</v>
      </c>
      <c r="AX27">
        <v>0</v>
      </c>
      <c r="AY27">
        <v>0</v>
      </c>
      <c r="AZ27">
        <v>0</v>
      </c>
      <c r="BA27">
        <v>0</v>
      </c>
    </row>
    <row r="28" spans="1:53" x14ac:dyDescent="0.35">
      <c r="A28" t="s">
        <v>106</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0.51142569199999999</v>
      </c>
      <c r="Y28">
        <v>0</v>
      </c>
      <c r="Z28">
        <v>0</v>
      </c>
      <c r="AA28">
        <v>0</v>
      </c>
      <c r="AB28">
        <v>0</v>
      </c>
      <c r="AC28">
        <v>0</v>
      </c>
      <c r="AD28">
        <v>0</v>
      </c>
      <c r="AE28">
        <v>0</v>
      </c>
      <c r="AF28">
        <v>0</v>
      </c>
      <c r="AG28">
        <v>0.245601131</v>
      </c>
      <c r="AH28">
        <v>0.23490525200000001</v>
      </c>
      <c r="AI28">
        <v>8.0679259999999996E-3</v>
      </c>
      <c r="AJ28">
        <v>0</v>
      </c>
      <c r="AK28">
        <v>0</v>
      </c>
      <c r="AL28">
        <v>0</v>
      </c>
      <c r="AM28">
        <v>0</v>
      </c>
      <c r="AN28">
        <v>0</v>
      </c>
      <c r="AO28">
        <v>0</v>
      </c>
      <c r="AP28">
        <v>0</v>
      </c>
      <c r="AQ28">
        <v>0</v>
      </c>
      <c r="AR28">
        <v>0</v>
      </c>
      <c r="AS28">
        <v>0</v>
      </c>
      <c r="AT28">
        <v>0</v>
      </c>
      <c r="AU28">
        <v>0</v>
      </c>
      <c r="AV28">
        <v>0</v>
      </c>
      <c r="AW28">
        <v>0</v>
      </c>
      <c r="AX28">
        <v>0</v>
      </c>
      <c r="AY28">
        <v>0</v>
      </c>
      <c r="AZ28">
        <v>0</v>
      </c>
      <c r="BA28">
        <v>0</v>
      </c>
    </row>
    <row r="30" spans="1:53" x14ac:dyDescent="0.35">
      <c r="A30" s="1" t="s">
        <v>291</v>
      </c>
    </row>
    <row r="31" spans="1:53" x14ac:dyDescent="0.35">
      <c r="A31" t="s">
        <v>233</v>
      </c>
      <c r="B31" t="s">
        <v>234</v>
      </c>
      <c r="C31" t="s">
        <v>235</v>
      </c>
      <c r="D31" t="s">
        <v>236</v>
      </c>
      <c r="E31" t="s">
        <v>237</v>
      </c>
      <c r="F31" t="s">
        <v>238</v>
      </c>
      <c r="G31" t="s">
        <v>239</v>
      </c>
      <c r="H31" t="s">
        <v>240</v>
      </c>
      <c r="I31" t="s">
        <v>241</v>
      </c>
      <c r="J31" t="s">
        <v>242</v>
      </c>
      <c r="K31" t="s">
        <v>243</v>
      </c>
      <c r="L31" t="s">
        <v>244</v>
      </c>
      <c r="M31" t="s">
        <v>245</v>
      </c>
      <c r="N31" t="s">
        <v>246</v>
      </c>
      <c r="O31" t="s">
        <v>247</v>
      </c>
      <c r="P31" t="s">
        <v>248</v>
      </c>
      <c r="Q31" t="s">
        <v>249</v>
      </c>
      <c r="R31" t="s">
        <v>250</v>
      </c>
      <c r="S31" t="s">
        <v>251</v>
      </c>
      <c r="T31" t="s">
        <v>252</v>
      </c>
      <c r="U31" t="s">
        <v>253</v>
      </c>
      <c r="V31" t="s">
        <v>254</v>
      </c>
      <c r="W31" t="s">
        <v>255</v>
      </c>
      <c r="X31" t="s">
        <v>256</v>
      </c>
      <c r="Y31" t="s">
        <v>257</v>
      </c>
      <c r="Z31" t="s">
        <v>258</v>
      </c>
      <c r="AA31" t="s">
        <v>259</v>
      </c>
      <c r="AB31" t="s">
        <v>260</v>
      </c>
      <c r="AC31" t="s">
        <v>261</v>
      </c>
      <c r="AD31" t="s">
        <v>262</v>
      </c>
      <c r="AE31" t="s">
        <v>263</v>
      </c>
      <c r="AF31" t="s">
        <v>264</v>
      </c>
      <c r="AG31" t="s">
        <v>265</v>
      </c>
      <c r="AH31" t="s">
        <v>266</v>
      </c>
      <c r="AI31" t="s">
        <v>267</v>
      </c>
      <c r="AJ31" t="s">
        <v>268</v>
      </c>
      <c r="AK31" t="s">
        <v>269</v>
      </c>
      <c r="AL31" t="s">
        <v>270</v>
      </c>
      <c r="AM31" t="s">
        <v>271</v>
      </c>
      <c r="AN31" t="s">
        <v>272</v>
      </c>
      <c r="AO31" t="s">
        <v>273</v>
      </c>
      <c r="AP31" t="s">
        <v>274</v>
      </c>
      <c r="AQ31" t="s">
        <v>275</v>
      </c>
      <c r="AR31" t="s">
        <v>276</v>
      </c>
      <c r="AS31" t="s">
        <v>277</v>
      </c>
      <c r="AT31" t="s">
        <v>278</v>
      </c>
      <c r="AU31" t="s">
        <v>279</v>
      </c>
      <c r="AV31" t="s">
        <v>280</v>
      </c>
      <c r="AW31" t="s">
        <v>281</v>
      </c>
      <c r="AX31" t="s">
        <v>282</v>
      </c>
      <c r="AY31" t="s">
        <v>283</v>
      </c>
      <c r="AZ31" t="s">
        <v>284</v>
      </c>
      <c r="BA31" t="s">
        <v>285</v>
      </c>
    </row>
    <row r="32" spans="1:53" x14ac:dyDescent="0.35">
      <c r="A32" t="s">
        <v>286</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0.480142966</v>
      </c>
      <c r="Z32">
        <v>0</v>
      </c>
      <c r="AA32">
        <v>0</v>
      </c>
      <c r="AB32">
        <v>0</v>
      </c>
      <c r="AC32">
        <v>0</v>
      </c>
      <c r="AD32">
        <v>0</v>
      </c>
      <c r="AE32">
        <v>0</v>
      </c>
      <c r="AF32">
        <v>0</v>
      </c>
      <c r="AG32">
        <v>0.29601249699999999</v>
      </c>
      <c r="AH32">
        <v>0.210068117</v>
      </c>
      <c r="AI32">
        <v>1.3776419E-2</v>
      </c>
      <c r="AJ32">
        <v>0</v>
      </c>
      <c r="AK32">
        <v>0</v>
      </c>
      <c r="AL32">
        <v>0</v>
      </c>
      <c r="AM32">
        <v>0</v>
      </c>
      <c r="AN32">
        <v>0</v>
      </c>
      <c r="AO32">
        <v>0</v>
      </c>
      <c r="AP32">
        <v>0</v>
      </c>
      <c r="AQ32">
        <v>0</v>
      </c>
      <c r="AR32">
        <v>0</v>
      </c>
      <c r="AS32">
        <v>0</v>
      </c>
      <c r="AT32">
        <v>0</v>
      </c>
      <c r="AU32">
        <v>0</v>
      </c>
      <c r="AV32">
        <v>0</v>
      </c>
      <c r="AW32">
        <v>0</v>
      </c>
      <c r="AX32">
        <v>0</v>
      </c>
      <c r="AY32">
        <v>0</v>
      </c>
      <c r="AZ32">
        <v>0</v>
      </c>
      <c r="BA32">
        <v>0</v>
      </c>
    </row>
    <row r="33" spans="1:53" x14ac:dyDescent="0.35">
      <c r="A33" t="s">
        <v>287</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0.39823637499999998</v>
      </c>
      <c r="Z33">
        <v>0</v>
      </c>
      <c r="AA33">
        <v>0</v>
      </c>
      <c r="AB33">
        <v>0</v>
      </c>
      <c r="AC33">
        <v>0</v>
      </c>
      <c r="AD33">
        <v>0</v>
      </c>
      <c r="AE33">
        <v>0</v>
      </c>
      <c r="AF33">
        <v>0</v>
      </c>
      <c r="AG33">
        <v>0.42016988999999999</v>
      </c>
      <c r="AH33">
        <v>0.170194022</v>
      </c>
      <c r="AI33">
        <v>1.1399713000000001E-2</v>
      </c>
      <c r="AJ33">
        <v>0</v>
      </c>
      <c r="AK33">
        <v>0</v>
      </c>
      <c r="AL33">
        <v>0</v>
      </c>
      <c r="AM33">
        <v>0</v>
      </c>
      <c r="AN33">
        <v>0</v>
      </c>
      <c r="AO33">
        <v>0</v>
      </c>
      <c r="AP33">
        <v>0</v>
      </c>
      <c r="AQ33">
        <v>0</v>
      </c>
      <c r="AR33">
        <v>0</v>
      </c>
      <c r="AS33">
        <v>0</v>
      </c>
      <c r="AT33">
        <v>0</v>
      </c>
      <c r="AU33">
        <v>0</v>
      </c>
      <c r="AV33">
        <v>0</v>
      </c>
      <c r="AW33">
        <v>0</v>
      </c>
      <c r="AX33">
        <v>0</v>
      </c>
      <c r="AY33">
        <v>0</v>
      </c>
      <c r="AZ33">
        <v>0</v>
      </c>
      <c r="BA33">
        <v>0</v>
      </c>
    </row>
    <row r="34" spans="1:53" x14ac:dyDescent="0.35">
      <c r="A34" t="s">
        <v>103</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row>
    <row r="35" spans="1:53" x14ac:dyDescent="0.35">
      <c r="A35" t="s">
        <v>84</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0.28238603800000001</v>
      </c>
      <c r="Y35">
        <v>0</v>
      </c>
      <c r="Z35">
        <v>0</v>
      </c>
      <c r="AA35">
        <v>0</v>
      </c>
      <c r="AB35">
        <v>0</v>
      </c>
      <c r="AC35">
        <v>0</v>
      </c>
      <c r="AD35">
        <v>0</v>
      </c>
      <c r="AE35">
        <v>0</v>
      </c>
      <c r="AF35">
        <v>0</v>
      </c>
      <c r="AG35">
        <v>0.592331053</v>
      </c>
      <c r="AH35">
        <v>9.1251813000000001E-2</v>
      </c>
      <c r="AI35">
        <v>3.4031095999999997E-2</v>
      </c>
      <c r="AJ35">
        <v>0</v>
      </c>
      <c r="AK35">
        <v>0</v>
      </c>
      <c r="AL35">
        <v>0</v>
      </c>
      <c r="AM35">
        <v>0</v>
      </c>
      <c r="AN35">
        <v>0</v>
      </c>
      <c r="AO35">
        <v>0</v>
      </c>
      <c r="AP35">
        <v>0</v>
      </c>
      <c r="AQ35">
        <v>0</v>
      </c>
      <c r="AR35">
        <v>0</v>
      </c>
      <c r="AS35">
        <v>0</v>
      </c>
      <c r="AT35">
        <v>0</v>
      </c>
      <c r="AU35">
        <v>0</v>
      </c>
      <c r="AV35">
        <v>0</v>
      </c>
      <c r="AW35">
        <v>0</v>
      </c>
      <c r="AX35">
        <v>0</v>
      </c>
      <c r="AY35">
        <v>0</v>
      </c>
      <c r="AZ35">
        <v>0</v>
      </c>
      <c r="BA35">
        <v>0</v>
      </c>
    </row>
    <row r="36" spans="1:53" x14ac:dyDescent="0.35">
      <c r="A36" t="s">
        <v>288</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0.51313159200000003</v>
      </c>
      <c r="Y36">
        <v>0</v>
      </c>
      <c r="Z36">
        <v>0</v>
      </c>
      <c r="AA36">
        <v>0</v>
      </c>
      <c r="AB36">
        <v>0</v>
      </c>
      <c r="AC36">
        <v>0</v>
      </c>
      <c r="AD36">
        <v>0</v>
      </c>
      <c r="AE36">
        <v>0</v>
      </c>
      <c r="AF36">
        <v>0</v>
      </c>
      <c r="AG36">
        <v>0.245601131</v>
      </c>
      <c r="AH36">
        <v>0.227081377</v>
      </c>
      <c r="AI36">
        <v>1.41859E-2</v>
      </c>
      <c r="AJ36">
        <v>0</v>
      </c>
      <c r="AK36">
        <v>0</v>
      </c>
      <c r="AL36">
        <v>0</v>
      </c>
      <c r="AM36">
        <v>0</v>
      </c>
      <c r="AN36">
        <v>0</v>
      </c>
      <c r="AO36">
        <v>0</v>
      </c>
      <c r="AP36">
        <v>0</v>
      </c>
      <c r="AQ36">
        <v>0</v>
      </c>
      <c r="AR36">
        <v>0</v>
      </c>
      <c r="AS36">
        <v>0</v>
      </c>
      <c r="AT36">
        <v>0</v>
      </c>
      <c r="AU36">
        <v>0</v>
      </c>
      <c r="AV36">
        <v>0</v>
      </c>
      <c r="AW36">
        <v>0</v>
      </c>
      <c r="AX36">
        <v>0</v>
      </c>
      <c r="AY36">
        <v>0</v>
      </c>
      <c r="AZ36">
        <v>0</v>
      </c>
      <c r="BA36">
        <v>0</v>
      </c>
    </row>
    <row r="37" spans="1:53" x14ac:dyDescent="0.35">
      <c r="A37" t="s">
        <v>106</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0.51142569199999999</v>
      </c>
      <c r="Y37">
        <v>0</v>
      </c>
      <c r="Z37">
        <v>0</v>
      </c>
      <c r="AA37">
        <v>0</v>
      </c>
      <c r="AB37">
        <v>0</v>
      </c>
      <c r="AC37">
        <v>0</v>
      </c>
      <c r="AD37">
        <v>0</v>
      </c>
      <c r="AE37">
        <v>0</v>
      </c>
      <c r="AF37">
        <v>0</v>
      </c>
      <c r="AG37">
        <v>0.245601131</v>
      </c>
      <c r="AH37">
        <v>0.23490525200000001</v>
      </c>
      <c r="AI37">
        <v>8.0679259999999996E-3</v>
      </c>
      <c r="AJ37">
        <v>0</v>
      </c>
      <c r="AK37">
        <v>0</v>
      </c>
      <c r="AL37">
        <v>0</v>
      </c>
      <c r="AM37">
        <v>0</v>
      </c>
      <c r="AN37">
        <v>0</v>
      </c>
      <c r="AO37">
        <v>0</v>
      </c>
      <c r="AP37">
        <v>0</v>
      </c>
      <c r="AQ37">
        <v>0</v>
      </c>
      <c r="AR37">
        <v>0</v>
      </c>
      <c r="AS37">
        <v>0</v>
      </c>
      <c r="AT37">
        <v>0</v>
      </c>
      <c r="AU37">
        <v>0</v>
      </c>
      <c r="AV37">
        <v>0</v>
      </c>
      <c r="AW37">
        <v>0</v>
      </c>
      <c r="AX37">
        <v>0</v>
      </c>
      <c r="AY37">
        <v>0</v>
      </c>
      <c r="AZ37">
        <v>0</v>
      </c>
      <c r="BA37">
        <v>0</v>
      </c>
    </row>
    <row r="39" spans="1:53" x14ac:dyDescent="0.35">
      <c r="A39" s="1" t="s">
        <v>292</v>
      </c>
    </row>
    <row r="40" spans="1:53" ht="48" customHeight="1" x14ac:dyDescent="0.35">
      <c r="A40" s="6" t="s">
        <v>293</v>
      </c>
      <c r="B40" s="6" t="s">
        <v>294</v>
      </c>
      <c r="C40" s="6" t="s">
        <v>295</v>
      </c>
      <c r="D40" s="6" t="s">
        <v>296</v>
      </c>
    </row>
    <row r="41" spans="1:53" x14ac:dyDescent="0.35">
      <c r="A41" t="s">
        <v>297</v>
      </c>
      <c r="B41">
        <v>89.551807999999994</v>
      </c>
      <c r="C41">
        <v>5.4255033557046978E-4</v>
      </c>
      <c r="D41" t="s">
        <v>298</v>
      </c>
    </row>
    <row r="42" spans="1:53" x14ac:dyDescent="0.35">
      <c r="A42" t="s">
        <v>299</v>
      </c>
      <c r="B42">
        <v>34.432312000000003</v>
      </c>
      <c r="C42">
        <v>1.126266180150786E-4</v>
      </c>
      <c r="D42" t="s">
        <v>300</v>
      </c>
    </row>
    <row r="44" spans="1:53" x14ac:dyDescent="0.35">
      <c r="A44" s="1" t="s">
        <v>301</v>
      </c>
    </row>
    <row r="45" spans="1:53" ht="48" customHeight="1" x14ac:dyDescent="0.35">
      <c r="A45" s="6" t="s">
        <v>114</v>
      </c>
      <c r="B45" s="6" t="s">
        <v>302</v>
      </c>
      <c r="C45" s="6" t="s">
        <v>303</v>
      </c>
    </row>
    <row r="46" spans="1:53" x14ac:dyDescent="0.35">
      <c r="A46" t="s">
        <v>120</v>
      </c>
      <c r="B46">
        <v>0.40566317524959927</v>
      </c>
      <c r="C46">
        <v>9.1827574525745243E-5</v>
      </c>
    </row>
    <row r="47" spans="1:53" x14ac:dyDescent="0.35">
      <c r="A47" t="s">
        <v>121</v>
      </c>
      <c r="B47">
        <v>6.1563024941687562E-2</v>
      </c>
      <c r="C47">
        <v>1.959678809919428E-4</v>
      </c>
    </row>
    <row r="48" spans="1:53" x14ac:dyDescent="0.35">
      <c r="A48" t="s">
        <v>122</v>
      </c>
      <c r="B48">
        <v>3.7672564038317383E-2</v>
      </c>
      <c r="C48">
        <v>1.9606404513407841E-4</v>
      </c>
    </row>
    <row r="49" spans="1:4" x14ac:dyDescent="0.35">
      <c r="A49" t="s">
        <v>123</v>
      </c>
      <c r="B49">
        <v>0.45140543049506737</v>
      </c>
      <c r="C49">
        <v>2.1417364549585339E-4</v>
      </c>
    </row>
    <row r="50" spans="1:4" x14ac:dyDescent="0.35">
      <c r="A50" t="s">
        <v>124</v>
      </c>
      <c r="B50">
        <v>4.3695805275328507E-2</v>
      </c>
      <c r="C50">
        <v>2.152723271593618E-4</v>
      </c>
    </row>
    <row r="52" spans="1:4" x14ac:dyDescent="0.35">
      <c r="A52" s="1" t="s">
        <v>304</v>
      </c>
    </row>
    <row r="53" spans="1:4" ht="32" customHeight="1" x14ac:dyDescent="0.35">
      <c r="A53" s="6" t="s">
        <v>114</v>
      </c>
      <c r="B53" s="6" t="s">
        <v>305</v>
      </c>
      <c r="C53" s="6" t="s">
        <v>306</v>
      </c>
      <c r="D53" s="6" t="s">
        <v>307</v>
      </c>
    </row>
    <row r="54" spans="1:4" x14ac:dyDescent="0.35">
      <c r="A54" t="s">
        <v>120</v>
      </c>
      <c r="B54" t="s">
        <v>308</v>
      </c>
      <c r="C54">
        <v>0</v>
      </c>
      <c r="D54" t="str">
        <f t="shared" ref="D54:D85" si="0">LEFT(B54,FIND(" ",B54)-1)</f>
        <v>E7</v>
      </c>
    </row>
    <row r="55" spans="1:4" x14ac:dyDescent="0.35">
      <c r="A55" t="s">
        <v>121</v>
      </c>
      <c r="B55" t="s">
        <v>308</v>
      </c>
      <c r="C55">
        <v>1</v>
      </c>
      <c r="D55" t="str">
        <f t="shared" si="0"/>
        <v>E7</v>
      </c>
    </row>
    <row r="56" spans="1:4" x14ac:dyDescent="0.35">
      <c r="A56" t="s">
        <v>122</v>
      </c>
      <c r="B56" t="s">
        <v>308</v>
      </c>
      <c r="C56">
        <v>1</v>
      </c>
      <c r="D56" t="str">
        <f t="shared" si="0"/>
        <v>E7</v>
      </c>
    </row>
    <row r="57" spans="1:4" x14ac:dyDescent="0.35">
      <c r="A57" t="s">
        <v>123</v>
      </c>
      <c r="B57" t="s">
        <v>308</v>
      </c>
      <c r="C57">
        <v>1</v>
      </c>
      <c r="D57" t="str">
        <f t="shared" si="0"/>
        <v>E7</v>
      </c>
    </row>
    <row r="58" spans="1:4" x14ac:dyDescent="0.35">
      <c r="A58" t="s">
        <v>124</v>
      </c>
      <c r="B58" t="s">
        <v>308</v>
      </c>
      <c r="C58">
        <v>1</v>
      </c>
      <c r="D58" t="str">
        <f t="shared" si="0"/>
        <v>E7</v>
      </c>
    </row>
    <row r="59" spans="1:4" x14ac:dyDescent="0.35">
      <c r="A59" t="s">
        <v>120</v>
      </c>
      <c r="B59" t="s">
        <v>309</v>
      </c>
      <c r="C59">
        <v>1</v>
      </c>
      <c r="D59" t="str">
        <f t="shared" si="0"/>
        <v>HA13</v>
      </c>
    </row>
    <row r="60" spans="1:4" x14ac:dyDescent="0.35">
      <c r="A60" t="s">
        <v>121</v>
      </c>
      <c r="B60" t="s">
        <v>309</v>
      </c>
      <c r="C60">
        <v>1</v>
      </c>
      <c r="D60" t="str">
        <f t="shared" si="0"/>
        <v>HA13</v>
      </c>
    </row>
    <row r="61" spans="1:4" x14ac:dyDescent="0.35">
      <c r="A61" t="s">
        <v>122</v>
      </c>
      <c r="B61" t="s">
        <v>309</v>
      </c>
      <c r="C61">
        <v>1</v>
      </c>
      <c r="D61" t="str">
        <f t="shared" si="0"/>
        <v>HA13</v>
      </c>
    </row>
    <row r="62" spans="1:4" x14ac:dyDescent="0.35">
      <c r="A62" t="s">
        <v>123</v>
      </c>
      <c r="B62" t="s">
        <v>309</v>
      </c>
      <c r="C62">
        <v>1</v>
      </c>
      <c r="D62" t="str">
        <f t="shared" si="0"/>
        <v>HA13</v>
      </c>
    </row>
    <row r="63" spans="1:4" x14ac:dyDescent="0.35">
      <c r="A63" t="s">
        <v>124</v>
      </c>
      <c r="B63" t="s">
        <v>309</v>
      </c>
      <c r="C63">
        <v>1</v>
      </c>
      <c r="D63" t="str">
        <f t="shared" si="0"/>
        <v>HA13</v>
      </c>
    </row>
    <row r="64" spans="1:4" x14ac:dyDescent="0.35">
      <c r="A64" t="s">
        <v>120</v>
      </c>
      <c r="B64" t="s">
        <v>310</v>
      </c>
      <c r="C64">
        <v>1</v>
      </c>
      <c r="D64" t="str">
        <f t="shared" si="0"/>
        <v>HA14</v>
      </c>
    </row>
    <row r="65" spans="1:4" x14ac:dyDescent="0.35">
      <c r="A65" t="s">
        <v>121</v>
      </c>
      <c r="B65" t="s">
        <v>310</v>
      </c>
      <c r="C65">
        <v>1</v>
      </c>
      <c r="D65" t="str">
        <f t="shared" si="0"/>
        <v>HA14</v>
      </c>
    </row>
    <row r="66" spans="1:4" x14ac:dyDescent="0.35">
      <c r="A66" t="s">
        <v>122</v>
      </c>
      <c r="B66" t="s">
        <v>310</v>
      </c>
      <c r="C66">
        <v>1</v>
      </c>
      <c r="D66" t="str">
        <f t="shared" si="0"/>
        <v>HA14</v>
      </c>
    </row>
    <row r="67" spans="1:4" x14ac:dyDescent="0.35">
      <c r="A67" t="s">
        <v>123</v>
      </c>
      <c r="B67" t="s">
        <v>310</v>
      </c>
      <c r="C67">
        <v>1</v>
      </c>
      <c r="D67" t="str">
        <f t="shared" si="0"/>
        <v>HA14</v>
      </c>
    </row>
    <row r="68" spans="1:4" x14ac:dyDescent="0.35">
      <c r="A68" t="s">
        <v>124</v>
      </c>
      <c r="B68" t="s">
        <v>310</v>
      </c>
      <c r="C68">
        <v>1</v>
      </c>
      <c r="D68" t="str">
        <f t="shared" si="0"/>
        <v>HA14</v>
      </c>
    </row>
    <row r="69" spans="1:4" x14ac:dyDescent="0.35">
      <c r="A69" t="s">
        <v>120</v>
      </c>
      <c r="B69" t="s">
        <v>311</v>
      </c>
      <c r="C69">
        <v>1</v>
      </c>
      <c r="D69" t="str">
        <f t="shared" si="0"/>
        <v>HA15</v>
      </c>
    </row>
    <row r="70" spans="1:4" x14ac:dyDescent="0.35">
      <c r="A70" t="s">
        <v>121</v>
      </c>
      <c r="B70" t="s">
        <v>311</v>
      </c>
      <c r="C70">
        <v>1</v>
      </c>
      <c r="D70" t="str">
        <f t="shared" si="0"/>
        <v>HA15</v>
      </c>
    </row>
    <row r="71" spans="1:4" x14ac:dyDescent="0.35">
      <c r="A71" t="s">
        <v>122</v>
      </c>
      <c r="B71" t="s">
        <v>311</v>
      </c>
      <c r="C71">
        <v>1</v>
      </c>
      <c r="D71" t="str">
        <f t="shared" si="0"/>
        <v>HA15</v>
      </c>
    </row>
    <row r="72" spans="1:4" x14ac:dyDescent="0.35">
      <c r="A72" t="s">
        <v>123</v>
      </c>
      <c r="B72" t="s">
        <v>311</v>
      </c>
      <c r="C72">
        <v>1</v>
      </c>
      <c r="D72" t="str">
        <f t="shared" si="0"/>
        <v>HA15</v>
      </c>
    </row>
    <row r="73" spans="1:4" x14ac:dyDescent="0.35">
      <c r="A73" t="s">
        <v>124</v>
      </c>
      <c r="B73" t="s">
        <v>311</v>
      </c>
      <c r="C73">
        <v>1</v>
      </c>
      <c r="D73" t="str">
        <f t="shared" si="0"/>
        <v>HA15</v>
      </c>
    </row>
    <row r="74" spans="1:4" x14ac:dyDescent="0.35">
      <c r="A74" t="s">
        <v>120</v>
      </c>
      <c r="B74" t="s">
        <v>312</v>
      </c>
      <c r="C74">
        <v>1</v>
      </c>
      <c r="D74" t="str">
        <f t="shared" si="0"/>
        <v>HA16</v>
      </c>
    </row>
    <row r="75" spans="1:4" x14ac:dyDescent="0.35">
      <c r="A75" t="s">
        <v>121</v>
      </c>
      <c r="B75" t="s">
        <v>312</v>
      </c>
      <c r="C75">
        <v>1</v>
      </c>
      <c r="D75" t="str">
        <f t="shared" si="0"/>
        <v>HA16</v>
      </c>
    </row>
    <row r="76" spans="1:4" x14ac:dyDescent="0.35">
      <c r="A76" t="s">
        <v>122</v>
      </c>
      <c r="B76" t="s">
        <v>312</v>
      </c>
      <c r="C76">
        <v>1</v>
      </c>
      <c r="D76" t="str">
        <f t="shared" si="0"/>
        <v>HA16</v>
      </c>
    </row>
    <row r="77" spans="1:4" x14ac:dyDescent="0.35">
      <c r="A77" t="s">
        <v>123</v>
      </c>
      <c r="B77" t="s">
        <v>312</v>
      </c>
      <c r="C77">
        <v>1</v>
      </c>
      <c r="D77" t="str">
        <f t="shared" si="0"/>
        <v>HA16</v>
      </c>
    </row>
    <row r="78" spans="1:4" x14ac:dyDescent="0.35">
      <c r="A78" t="s">
        <v>124</v>
      </c>
      <c r="B78" t="s">
        <v>312</v>
      </c>
      <c r="C78">
        <v>1</v>
      </c>
      <c r="D78" t="str">
        <f t="shared" si="0"/>
        <v>HA16</v>
      </c>
    </row>
    <row r="79" spans="1:4" x14ac:dyDescent="0.35">
      <c r="A79" t="s">
        <v>120</v>
      </c>
      <c r="B79" t="s">
        <v>313</v>
      </c>
      <c r="C79">
        <v>1</v>
      </c>
      <c r="D79" t="str">
        <f t="shared" si="0"/>
        <v>HW7</v>
      </c>
    </row>
    <row r="80" spans="1:4" x14ac:dyDescent="0.35">
      <c r="A80" t="s">
        <v>121</v>
      </c>
      <c r="B80" t="s">
        <v>313</v>
      </c>
      <c r="C80">
        <v>1</v>
      </c>
      <c r="D80" t="str">
        <f t="shared" si="0"/>
        <v>HW7</v>
      </c>
    </row>
    <row r="81" spans="1:4" x14ac:dyDescent="0.35">
      <c r="A81" t="s">
        <v>122</v>
      </c>
      <c r="B81" t="s">
        <v>313</v>
      </c>
      <c r="C81">
        <v>0</v>
      </c>
      <c r="D81" t="str">
        <f t="shared" si="0"/>
        <v>HW7</v>
      </c>
    </row>
    <row r="82" spans="1:4" x14ac:dyDescent="0.35">
      <c r="A82" t="s">
        <v>123</v>
      </c>
      <c r="B82" t="s">
        <v>313</v>
      </c>
      <c r="C82">
        <v>0</v>
      </c>
      <c r="D82" t="str">
        <f t="shared" si="0"/>
        <v>HW7</v>
      </c>
    </row>
    <row r="83" spans="1:4" x14ac:dyDescent="0.35">
      <c r="A83" t="s">
        <v>124</v>
      </c>
      <c r="B83" t="s">
        <v>313</v>
      </c>
      <c r="C83">
        <v>0</v>
      </c>
      <c r="D83" t="str">
        <f t="shared" si="0"/>
        <v>HW7</v>
      </c>
    </row>
    <row r="84" spans="1:4" x14ac:dyDescent="0.35">
      <c r="A84" t="s">
        <v>120</v>
      </c>
      <c r="B84" t="s">
        <v>314</v>
      </c>
      <c r="C84">
        <v>0</v>
      </c>
      <c r="D84" t="str">
        <f t="shared" si="0"/>
        <v>HW8</v>
      </c>
    </row>
    <row r="85" spans="1:4" x14ac:dyDescent="0.35">
      <c r="A85" t="s">
        <v>121</v>
      </c>
      <c r="B85" t="s">
        <v>314</v>
      </c>
      <c r="C85">
        <v>1</v>
      </c>
      <c r="D85" t="str">
        <f t="shared" si="0"/>
        <v>HW8</v>
      </c>
    </row>
    <row r="86" spans="1:4" x14ac:dyDescent="0.35">
      <c r="A86" t="s">
        <v>122</v>
      </c>
      <c r="B86" t="s">
        <v>314</v>
      </c>
      <c r="C86">
        <v>0</v>
      </c>
      <c r="D86" t="str">
        <f t="shared" ref="D86:D108" si="1">LEFT(B86,FIND(" ",B86)-1)</f>
        <v>HW8</v>
      </c>
    </row>
    <row r="87" spans="1:4" x14ac:dyDescent="0.35">
      <c r="A87" t="s">
        <v>123</v>
      </c>
      <c r="B87" t="s">
        <v>314</v>
      </c>
      <c r="C87">
        <v>0</v>
      </c>
      <c r="D87" t="str">
        <f t="shared" si="1"/>
        <v>HW8</v>
      </c>
    </row>
    <row r="88" spans="1:4" x14ac:dyDescent="0.35">
      <c r="A88" t="s">
        <v>124</v>
      </c>
      <c r="B88" t="s">
        <v>314</v>
      </c>
      <c r="C88">
        <v>0</v>
      </c>
      <c r="D88" t="str">
        <f t="shared" si="1"/>
        <v>HW8</v>
      </c>
    </row>
    <row r="89" spans="1:4" x14ac:dyDescent="0.35">
      <c r="A89" t="s">
        <v>120</v>
      </c>
      <c r="B89" t="s">
        <v>315</v>
      </c>
      <c r="C89">
        <v>1</v>
      </c>
      <c r="D89" t="str">
        <f t="shared" si="1"/>
        <v>HW9</v>
      </c>
    </row>
    <row r="90" spans="1:4" x14ac:dyDescent="0.35">
      <c r="A90" t="s">
        <v>121</v>
      </c>
      <c r="B90" t="s">
        <v>315</v>
      </c>
      <c r="C90">
        <v>1</v>
      </c>
      <c r="D90" t="str">
        <f t="shared" si="1"/>
        <v>HW9</v>
      </c>
    </row>
    <row r="91" spans="1:4" x14ac:dyDescent="0.35">
      <c r="A91" t="s">
        <v>122</v>
      </c>
      <c r="B91" t="s">
        <v>315</v>
      </c>
      <c r="C91">
        <v>0</v>
      </c>
      <c r="D91" t="str">
        <f t="shared" si="1"/>
        <v>HW9</v>
      </c>
    </row>
    <row r="92" spans="1:4" x14ac:dyDescent="0.35">
      <c r="A92" t="s">
        <v>123</v>
      </c>
      <c r="B92" t="s">
        <v>315</v>
      </c>
      <c r="C92">
        <v>0</v>
      </c>
      <c r="D92" t="str">
        <f t="shared" si="1"/>
        <v>HW9</v>
      </c>
    </row>
    <row r="93" spans="1:4" x14ac:dyDescent="0.35">
      <c r="A93" t="s">
        <v>124</v>
      </c>
      <c r="B93" t="s">
        <v>315</v>
      </c>
      <c r="C93">
        <v>0</v>
      </c>
      <c r="D93" t="str">
        <f t="shared" si="1"/>
        <v>HW9</v>
      </c>
    </row>
    <row r="94" spans="1:4" x14ac:dyDescent="0.35">
      <c r="A94" t="s">
        <v>120</v>
      </c>
      <c r="B94" t="s">
        <v>316</v>
      </c>
      <c r="C94">
        <v>1</v>
      </c>
      <c r="D94" t="str">
        <f t="shared" si="1"/>
        <v>HW10</v>
      </c>
    </row>
    <row r="95" spans="1:4" x14ac:dyDescent="0.35">
      <c r="A95" t="s">
        <v>121</v>
      </c>
      <c r="B95" t="s">
        <v>316</v>
      </c>
      <c r="C95">
        <v>1</v>
      </c>
      <c r="D95" t="str">
        <f t="shared" si="1"/>
        <v>HW10</v>
      </c>
    </row>
    <row r="96" spans="1:4" x14ac:dyDescent="0.35">
      <c r="A96" t="s">
        <v>122</v>
      </c>
      <c r="B96" t="s">
        <v>316</v>
      </c>
      <c r="C96">
        <v>0</v>
      </c>
      <c r="D96" t="str">
        <f t="shared" si="1"/>
        <v>HW10</v>
      </c>
    </row>
    <row r="97" spans="1:4" x14ac:dyDescent="0.35">
      <c r="A97" t="s">
        <v>123</v>
      </c>
      <c r="B97" t="s">
        <v>316</v>
      </c>
      <c r="C97">
        <v>0</v>
      </c>
      <c r="D97" t="str">
        <f t="shared" si="1"/>
        <v>HW10</v>
      </c>
    </row>
    <row r="98" spans="1:4" x14ac:dyDescent="0.35">
      <c r="A98" t="s">
        <v>124</v>
      </c>
      <c r="B98" t="s">
        <v>316</v>
      </c>
      <c r="C98">
        <v>0</v>
      </c>
      <c r="D98" t="str">
        <f t="shared" si="1"/>
        <v>HW10</v>
      </c>
    </row>
    <row r="99" spans="1:4" x14ac:dyDescent="0.35">
      <c r="A99" t="s">
        <v>120</v>
      </c>
      <c r="B99" t="s">
        <v>317</v>
      </c>
      <c r="C99">
        <v>1</v>
      </c>
      <c r="D99" t="str">
        <f t="shared" si="1"/>
        <v>HW12</v>
      </c>
    </row>
    <row r="100" spans="1:4" x14ac:dyDescent="0.35">
      <c r="A100" t="s">
        <v>121</v>
      </c>
      <c r="B100" t="s">
        <v>317</v>
      </c>
      <c r="C100">
        <v>1</v>
      </c>
      <c r="D100" t="str">
        <f t="shared" si="1"/>
        <v>HW12</v>
      </c>
    </row>
    <row r="101" spans="1:4" x14ac:dyDescent="0.35">
      <c r="A101" t="s">
        <v>122</v>
      </c>
      <c r="B101" t="s">
        <v>317</v>
      </c>
      <c r="C101">
        <v>0</v>
      </c>
      <c r="D101" t="str">
        <f t="shared" si="1"/>
        <v>HW12</v>
      </c>
    </row>
    <row r="102" spans="1:4" x14ac:dyDescent="0.35">
      <c r="A102" t="s">
        <v>123</v>
      </c>
      <c r="B102" t="s">
        <v>317</v>
      </c>
      <c r="C102">
        <v>0</v>
      </c>
      <c r="D102" t="str">
        <f t="shared" si="1"/>
        <v>HW12</v>
      </c>
    </row>
    <row r="103" spans="1:4" x14ac:dyDescent="0.35">
      <c r="A103" t="s">
        <v>124</v>
      </c>
      <c r="B103" t="s">
        <v>317</v>
      </c>
      <c r="C103">
        <v>0</v>
      </c>
      <c r="D103" t="str">
        <f t="shared" si="1"/>
        <v>HW12</v>
      </c>
    </row>
    <row r="104" spans="1:4" x14ac:dyDescent="0.35">
      <c r="A104" t="s">
        <v>120</v>
      </c>
      <c r="B104" t="s">
        <v>318</v>
      </c>
      <c r="C104">
        <v>0</v>
      </c>
      <c r="D104" t="str">
        <f t="shared" si="1"/>
        <v>HW15</v>
      </c>
    </row>
    <row r="105" spans="1:4" x14ac:dyDescent="0.35">
      <c r="A105" t="s">
        <v>121</v>
      </c>
      <c r="B105" t="s">
        <v>318</v>
      </c>
      <c r="C105">
        <v>0</v>
      </c>
      <c r="D105" t="str">
        <f t="shared" si="1"/>
        <v>HW15</v>
      </c>
    </row>
    <row r="106" spans="1:4" x14ac:dyDescent="0.35">
      <c r="A106" t="s">
        <v>122</v>
      </c>
      <c r="B106" t="s">
        <v>318</v>
      </c>
      <c r="C106">
        <v>1</v>
      </c>
      <c r="D106" t="str">
        <f t="shared" si="1"/>
        <v>HW15</v>
      </c>
    </row>
    <row r="107" spans="1:4" x14ac:dyDescent="0.35">
      <c r="A107" t="s">
        <v>123</v>
      </c>
      <c r="B107" t="s">
        <v>318</v>
      </c>
      <c r="C107">
        <v>1</v>
      </c>
      <c r="D107" t="str">
        <f t="shared" si="1"/>
        <v>HW15</v>
      </c>
    </row>
    <row r="108" spans="1:4" x14ac:dyDescent="0.35">
      <c r="A108" t="s">
        <v>124</v>
      </c>
      <c r="B108" t="s">
        <v>318</v>
      </c>
      <c r="C108">
        <v>1</v>
      </c>
      <c r="D108" t="str">
        <f t="shared" si="1"/>
        <v>HW15</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110"/>
  <sheetViews>
    <sheetView workbookViewId="0"/>
  </sheetViews>
  <sheetFormatPr defaultRowHeight="14.5" x14ac:dyDescent="0.35"/>
  <cols>
    <col min="1" max="1" width="34" customWidth="1"/>
    <col min="2" max="2" width="14" customWidth="1"/>
    <col min="3" max="3" width="30" customWidth="1"/>
    <col min="4" max="4" width="16" customWidth="1"/>
    <col min="5" max="30" width="14" customWidth="1"/>
  </cols>
  <sheetData>
    <row r="1" spans="1:10" x14ac:dyDescent="0.35">
      <c r="A1" s="9" t="s">
        <v>319</v>
      </c>
      <c r="B1" s="10"/>
      <c r="C1" s="10"/>
      <c r="D1" s="10"/>
      <c r="E1" s="10"/>
      <c r="F1" s="10"/>
      <c r="G1" s="10"/>
      <c r="H1" s="10"/>
    </row>
    <row r="2" spans="1:10" x14ac:dyDescent="0.35">
      <c r="A2" s="11" t="s">
        <v>320</v>
      </c>
    </row>
    <row r="4" spans="1:10" x14ac:dyDescent="0.35">
      <c r="A4" s="1" t="s">
        <v>321</v>
      </c>
      <c r="B4" s="12" t="s">
        <v>66</v>
      </c>
      <c r="C4" t="s">
        <v>322</v>
      </c>
    </row>
    <row r="6" spans="1:10" ht="60" customHeight="1" x14ac:dyDescent="0.35">
      <c r="A6" s="6" t="s">
        <v>323</v>
      </c>
      <c r="B6" s="6" t="s">
        <v>79</v>
      </c>
      <c r="C6" s="6" t="s">
        <v>80</v>
      </c>
      <c r="D6" s="6" t="s">
        <v>81</v>
      </c>
      <c r="E6" s="6" t="s">
        <v>82</v>
      </c>
      <c r="F6" s="6" t="s">
        <v>83</v>
      </c>
      <c r="G6" s="6" t="s">
        <v>84</v>
      </c>
      <c r="H6" s="6" t="s">
        <v>85</v>
      </c>
      <c r="I6" s="6" t="s">
        <v>86</v>
      </c>
      <c r="J6" s="6" t="s">
        <v>87</v>
      </c>
    </row>
    <row r="7" spans="1:10" x14ac:dyDescent="0.35">
      <c r="A7" t="s">
        <v>66</v>
      </c>
      <c r="B7" s="7">
        <f>'LBNL 2021 Res Costs'!B16*'LBNL 2021 Res Costs'!B21</f>
        <v>2048.34</v>
      </c>
      <c r="C7" s="7">
        <f>'LBNL 2021 Res Costs'!C16*'LBNL 2021 Res Costs'!C21</f>
        <v>13722</v>
      </c>
      <c r="D7" s="7">
        <f>'LBNL 2021 Res Costs'!D16*'LBNL 2021 Res Costs'!D21</f>
        <v>16253.07</v>
      </c>
      <c r="E7" s="7">
        <f>'LBNL 2021 Res Costs'!E16*'LBNL 2021 Res Costs'!E21</f>
        <v>78.750000000000014</v>
      </c>
      <c r="F7" s="7">
        <f>'LBNL 2021 Res Costs'!F16*'LBNL 2021 Res Costs'!F21</f>
        <v>4475.6000000000004</v>
      </c>
      <c r="G7" s="7">
        <f>'LBNL 2021 Res Costs'!G16*'LBNL 2021 Res Costs'!G21</f>
        <v>73.64</v>
      </c>
      <c r="H7" s="7">
        <f>'LBNL 2021 Res Costs'!H16*'LBNL 2021 Res Costs'!H21</f>
        <v>1415.2</v>
      </c>
      <c r="I7" s="7">
        <f>'LBNL 2021 Res Costs'!I16*'LBNL 2021 Res Costs'!I21</f>
        <v>212.19</v>
      </c>
      <c r="J7" s="7">
        <f>'LBNL 2021 Res Costs'!J16*'LBNL 2021 Res Costs'!J21</f>
        <v>53421</v>
      </c>
    </row>
    <row r="8" spans="1:10" x14ac:dyDescent="0.35">
      <c r="A8" t="s">
        <v>68</v>
      </c>
      <c r="B8" s="7">
        <f>'LBNL 2021 Res Costs'!B17*'LBNL 2021 Res Costs'!B22</f>
        <v>29443</v>
      </c>
      <c r="C8" s="7">
        <f>'LBNL 2021 Res Costs'!C17*'LBNL 2021 Res Costs'!C22</f>
        <v>12067.72</v>
      </c>
      <c r="D8" s="7">
        <f>'LBNL 2021 Res Costs'!D17*'LBNL 2021 Res Costs'!D22</f>
        <v>38</v>
      </c>
      <c r="E8" s="7">
        <f>'LBNL 2021 Res Costs'!E17*'LBNL 2021 Res Costs'!E22</f>
        <v>91.600000000000009</v>
      </c>
      <c r="F8" s="7">
        <f>'LBNL 2021 Res Costs'!F17*'LBNL 2021 Res Costs'!F22</f>
        <v>481.22999999999996</v>
      </c>
      <c r="G8" s="7">
        <f>'LBNL 2021 Res Costs'!G17*'LBNL 2021 Res Costs'!G22</f>
        <v>200.48000000000002</v>
      </c>
      <c r="H8" s="7">
        <f>'LBNL 2021 Res Costs'!H17*'LBNL 2021 Res Costs'!H22</f>
        <v>1326.5900000000001</v>
      </c>
      <c r="I8" s="7">
        <f>'LBNL 2021 Res Costs'!I17*'LBNL 2021 Res Costs'!I22</f>
        <v>3.4</v>
      </c>
      <c r="J8" s="7">
        <f>'LBNL 2021 Res Costs'!J17*'LBNL 2021 Res Costs'!J22</f>
        <v>10185.630000000001</v>
      </c>
    </row>
    <row r="9" spans="1:10" ht="60" customHeight="1" x14ac:dyDescent="0.35">
      <c r="A9" s="6"/>
      <c r="B9" s="6" t="s">
        <v>324</v>
      </c>
      <c r="C9" s="6" t="s">
        <v>325</v>
      </c>
      <c r="D9" s="6" t="s">
        <v>326</v>
      </c>
    </row>
    <row r="10" spans="1:10" x14ac:dyDescent="0.35">
      <c r="A10" t="s">
        <v>66</v>
      </c>
      <c r="B10" s="7">
        <f>D7+F7+J7</f>
        <v>74149.67</v>
      </c>
      <c r="C10" s="7">
        <f>C7</f>
        <v>13722</v>
      </c>
      <c r="D10" s="13">
        <f>B10/(B10+C10)</f>
        <v>0.84384045506361716</v>
      </c>
    </row>
    <row r="11" spans="1:10" x14ac:dyDescent="0.35">
      <c r="A11" t="s">
        <v>68</v>
      </c>
      <c r="B11" s="7">
        <f>D8+F8+J8</f>
        <v>10704.86</v>
      </c>
      <c r="C11" s="7">
        <f>C8</f>
        <v>12067.72</v>
      </c>
      <c r="D11" s="13">
        <f>B11/(B11+C11)</f>
        <v>0.47007673263196353</v>
      </c>
    </row>
    <row r="12" spans="1:10" x14ac:dyDescent="0.35">
      <c r="A12" t="s">
        <v>327</v>
      </c>
      <c r="B12" s="13">
        <f>INDEX(D10:D11,MATCH(B4,A10:A11,0))</f>
        <v>0.84384045506361716</v>
      </c>
    </row>
    <row r="13" spans="1:10" x14ac:dyDescent="0.35">
      <c r="A13" t="s">
        <v>328</v>
      </c>
      <c r="B13" s="13">
        <f>SUMIFS('BEEx 2015 MF Costs'!F5:F11,'BEEx 2015 MF Costs'!I5:I11,1,'BEEx 2015 MF Costs'!J5:J11,1)/SUMIFS('BEEx 2015 MF Costs'!F5:F11,'BEEx 2015 MF Costs'!I5:I11,1)</f>
        <v>0.49668874172185429</v>
      </c>
      <c r="C13" t="s">
        <v>329</v>
      </c>
    </row>
    <row r="14" spans="1:10" x14ac:dyDescent="0.35">
      <c r="A14" t="s">
        <v>330</v>
      </c>
      <c r="B14" s="13">
        <f>'EPS Inputs'!B41*'EPS Inputs'!C41/('EPS Inputs'!B41*'EPS Inputs'!C41+'EPS Inputs'!B42*'EPS Inputs'!C42)</f>
        <v>0.92608325014795101</v>
      </c>
      <c r="C14" t="s">
        <v>331</v>
      </c>
    </row>
    <row r="15" spans="1:10" x14ac:dyDescent="0.35">
      <c r="A15" t="s">
        <v>332</v>
      </c>
      <c r="B15" s="13">
        <f>1-B14</f>
        <v>7.3916749852048991E-2</v>
      </c>
    </row>
    <row r="16" spans="1:10" x14ac:dyDescent="0.35">
      <c r="A16" s="1" t="s">
        <v>333</v>
      </c>
      <c r="B16" s="14">
        <f>B14*B12+B15*B13</f>
        <v>0.81818012870782386</v>
      </c>
    </row>
    <row r="18" spans="1:30" x14ac:dyDescent="0.35">
      <c r="A18" s="9" t="s">
        <v>334</v>
      </c>
      <c r="B18" s="10"/>
      <c r="C18" s="10"/>
      <c r="D18" s="10"/>
      <c r="E18" s="10"/>
      <c r="F18" s="10"/>
      <c r="G18" s="10"/>
      <c r="H18" s="10"/>
    </row>
    <row r="19" spans="1:30" x14ac:dyDescent="0.35">
      <c r="A19" s="11" t="s">
        <v>335</v>
      </c>
    </row>
    <row r="20" spans="1:30" ht="60" customHeight="1" x14ac:dyDescent="0.35">
      <c r="A20" s="6" t="s">
        <v>336</v>
      </c>
      <c r="B20" s="6" t="s">
        <v>337</v>
      </c>
      <c r="C20" s="6" t="s">
        <v>338</v>
      </c>
      <c r="D20" s="6" t="s">
        <v>339</v>
      </c>
      <c r="E20" s="6" t="s">
        <v>340</v>
      </c>
      <c r="F20" s="6" t="s">
        <v>341</v>
      </c>
      <c r="G20" s="6" t="s">
        <v>342</v>
      </c>
      <c r="H20" s="6" t="s">
        <v>343</v>
      </c>
      <c r="I20" s="6" t="s">
        <v>344</v>
      </c>
      <c r="J20" s="6" t="s">
        <v>345</v>
      </c>
    </row>
    <row r="21" spans="1:30" x14ac:dyDescent="0.35">
      <c r="A21" t="s">
        <v>346</v>
      </c>
      <c r="B21" t="s">
        <v>347</v>
      </c>
      <c r="C21" s="7">
        <f>SUMIFS('BEA 2017 Margins'!E$7:E$78,'BEA 2017 Margins'!$C$7:$C$78,$A21)</f>
        <v>10554</v>
      </c>
      <c r="D21" s="7">
        <f>SUMIFS('BEA 2017 Margins'!F$7:F$78,'BEA 2017 Margins'!$C$7:$C$78,$A21)</f>
        <v>306</v>
      </c>
      <c r="E21" s="7">
        <f>SUMIFS('BEA 2017 Margins'!G$7:G$78,'BEA 2017 Margins'!$C$7:$C$78,$A21)</f>
        <v>2454</v>
      </c>
      <c r="F21" s="7">
        <f>SUMIFS('BEA 2017 Margins'!H$7:H$78,'BEA 2017 Margins'!$C$7:$C$78,$A21)</f>
        <v>5133</v>
      </c>
      <c r="G21" s="7">
        <f>SUMIFS('BEA 2017 Margins'!I$7:I$78,'BEA 2017 Margins'!$C$7:$C$78,$A21)</f>
        <v>18449</v>
      </c>
      <c r="H21" s="13">
        <f>C21/SUM(C21:F21)</f>
        <v>0.57212554886973488</v>
      </c>
      <c r="I21" s="13">
        <f>D21/SUM(C21:F21)</f>
        <v>1.6588063099691006E-2</v>
      </c>
      <c r="J21" s="13">
        <f>(E21+F21)/SUM(C21:F21)</f>
        <v>0.4112863880305741</v>
      </c>
    </row>
    <row r="22" spans="1:30" x14ac:dyDescent="0.35">
      <c r="A22" t="s">
        <v>348</v>
      </c>
      <c r="B22" t="s">
        <v>349</v>
      </c>
      <c r="C22" s="7">
        <f>SUMIFS('BEA 2017 Margins'!E$7:E$78,'BEA 2017 Margins'!$C$7:$C$78,$A22)</f>
        <v>2595</v>
      </c>
      <c r="D22" s="7">
        <f>SUMIFS('BEA 2017 Margins'!F$7:F$78,'BEA 2017 Margins'!$C$7:$C$78,$A22)</f>
        <v>75</v>
      </c>
      <c r="E22" s="7">
        <f>SUMIFS('BEA 2017 Margins'!G$7:G$78,'BEA 2017 Margins'!$C$7:$C$78,$A22)</f>
        <v>506</v>
      </c>
      <c r="F22" s="7">
        <f>SUMIFS('BEA 2017 Margins'!H$7:H$78,'BEA 2017 Margins'!$C$7:$C$78,$A22)</f>
        <v>0</v>
      </c>
      <c r="G22" s="7">
        <f>SUMIFS('BEA 2017 Margins'!I$7:I$78,'BEA 2017 Margins'!$C$7:$C$78,$A22)</f>
        <v>3176</v>
      </c>
      <c r="H22" s="13">
        <f>C22/SUM(C22:F22)</f>
        <v>0.81706549118387906</v>
      </c>
      <c r="I22" s="13">
        <f>D22/SUM(C22:F22)</f>
        <v>2.3614609571788413E-2</v>
      </c>
      <c r="J22" s="13">
        <f>(E22+F22)/SUM(C22:F22)</f>
        <v>0.15931989924433249</v>
      </c>
    </row>
    <row r="23" spans="1:30" x14ac:dyDescent="0.35">
      <c r="A23" t="s">
        <v>350</v>
      </c>
      <c r="B23" t="s">
        <v>351</v>
      </c>
      <c r="C23" s="7">
        <f>SUMIFS('BEA 2017 Margins'!E$7:E$78,'BEA 2017 Margins'!$C$7:$C$78,$A23)</f>
        <v>1064</v>
      </c>
      <c r="D23" s="7">
        <f>SUMIFS('BEA 2017 Margins'!F$7:F$78,'BEA 2017 Margins'!$C$7:$C$78,$A23)</f>
        <v>11</v>
      </c>
      <c r="E23" s="7">
        <f>SUMIFS('BEA 2017 Margins'!G$7:G$78,'BEA 2017 Margins'!$C$7:$C$78,$A23)</f>
        <v>334</v>
      </c>
      <c r="F23" s="7">
        <f>SUMIFS('BEA 2017 Margins'!H$7:H$78,'BEA 2017 Margins'!$C$7:$C$78,$A23)</f>
        <v>691</v>
      </c>
      <c r="G23" s="7">
        <f>SUMIFS('BEA 2017 Margins'!I$7:I$78,'BEA 2017 Margins'!$C$7:$C$78,$A23)</f>
        <v>2095</v>
      </c>
      <c r="H23" s="13">
        <f>C23/SUM(C23:F23)</f>
        <v>0.50666666666666671</v>
      </c>
      <c r="I23" s="13">
        <f>D23/SUM(C23:F23)</f>
        <v>5.2380952380952379E-3</v>
      </c>
      <c r="J23" s="13">
        <f>(E23+F23)/SUM(C23:F23)</f>
        <v>0.48809523809523808</v>
      </c>
    </row>
    <row r="24" spans="1:30" x14ac:dyDescent="0.35">
      <c r="A24" t="s">
        <v>352</v>
      </c>
      <c r="B24" t="s">
        <v>353</v>
      </c>
      <c r="C24" s="7">
        <f>SUMIFS('BEA 2017 Margins'!E$7:E$78,'BEA 2017 Margins'!$C$7:$C$78,$A24)</f>
        <v>4848</v>
      </c>
      <c r="D24" s="7">
        <f>SUMIFS('BEA 2017 Margins'!F$7:F$78,'BEA 2017 Margins'!$C$7:$C$78,$A24)</f>
        <v>142</v>
      </c>
      <c r="E24" s="7">
        <f>SUMIFS('BEA 2017 Margins'!G$7:G$78,'BEA 2017 Margins'!$C$7:$C$78,$A24)</f>
        <v>924</v>
      </c>
      <c r="F24" s="7">
        <f>SUMIFS('BEA 2017 Margins'!H$7:H$78,'BEA 2017 Margins'!$C$7:$C$78,$A24)</f>
        <v>0</v>
      </c>
      <c r="G24" s="7">
        <f>SUMIFS('BEA 2017 Margins'!I$7:I$78,'BEA 2017 Margins'!$C$7:$C$78,$A24)</f>
        <v>5911</v>
      </c>
      <c r="H24" s="13">
        <f>C24/SUM(C24:F24)</f>
        <v>0.81974974636455866</v>
      </c>
      <c r="I24" s="13">
        <f>D24/SUM(C24:F24)</f>
        <v>2.4010821778829895E-2</v>
      </c>
      <c r="J24" s="13">
        <f>(E24+F24)/SUM(C24:F24)</f>
        <v>0.15623943185661143</v>
      </c>
    </row>
    <row r="25" spans="1:30" x14ac:dyDescent="0.35">
      <c r="A25" t="s">
        <v>354</v>
      </c>
      <c r="B25" t="s">
        <v>355</v>
      </c>
      <c r="C25" s="7">
        <f>SUMIFS('BEA 2017 Margins'!E$7:E$78,'BEA 2017 Margins'!$C$7:$C$78,$A25)</f>
        <v>2540</v>
      </c>
      <c r="D25" s="7">
        <f>SUMIFS('BEA 2017 Margins'!F$7:F$78,'BEA 2017 Margins'!$C$7:$C$78,$A25)</f>
        <v>77</v>
      </c>
      <c r="E25" s="7">
        <f>SUMIFS('BEA 2017 Margins'!G$7:G$78,'BEA 2017 Margins'!$C$7:$C$78,$A25)</f>
        <v>1148</v>
      </c>
      <c r="F25" s="7">
        <f>SUMIFS('BEA 2017 Margins'!H$7:H$78,'BEA 2017 Margins'!$C$7:$C$78,$A25)</f>
        <v>903</v>
      </c>
      <c r="G25" s="7">
        <f>SUMIFS('BEA 2017 Margins'!I$7:I$78,'BEA 2017 Margins'!$C$7:$C$78,$A25)</f>
        <v>4666</v>
      </c>
      <c r="H25" s="13">
        <f>C25/SUM(C25:F25)</f>
        <v>0.54413024850042846</v>
      </c>
      <c r="I25" s="13">
        <f>D25/SUM(C25:F25)</f>
        <v>1.6495287060839761E-2</v>
      </c>
      <c r="J25" s="13">
        <f>(E25+F25)/SUM(C25:F25)</f>
        <v>0.43937446443873179</v>
      </c>
    </row>
    <row r="26" spans="1:30" x14ac:dyDescent="0.35">
      <c r="A26" t="s">
        <v>356</v>
      </c>
      <c r="B26" t="s">
        <v>357</v>
      </c>
      <c r="H26">
        <v>1</v>
      </c>
      <c r="I26">
        <v>0</v>
      </c>
      <c r="J26">
        <v>0</v>
      </c>
    </row>
    <row r="27" spans="1:30" x14ac:dyDescent="0.35">
      <c r="A27" t="s">
        <v>358</v>
      </c>
      <c r="B27" t="s">
        <v>359</v>
      </c>
      <c r="H27">
        <v>1</v>
      </c>
      <c r="I27">
        <v>0</v>
      </c>
      <c r="J27">
        <v>0</v>
      </c>
    </row>
    <row r="28" spans="1:30" x14ac:dyDescent="0.35">
      <c r="A28" t="s">
        <v>360</v>
      </c>
    </row>
    <row r="29" spans="1:30" x14ac:dyDescent="0.35">
      <c r="A29" s="9" t="s">
        <v>361</v>
      </c>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1:30" x14ac:dyDescent="0.35">
      <c r="A30" s="11" t="s">
        <v>362</v>
      </c>
    </row>
    <row r="31" spans="1:30" ht="60" customHeight="1" x14ac:dyDescent="0.35">
      <c r="A31" s="6" t="s">
        <v>114</v>
      </c>
      <c r="B31" s="6" t="s">
        <v>363</v>
      </c>
      <c r="C31" s="6" t="s">
        <v>295</v>
      </c>
      <c r="D31" s="6" t="s">
        <v>364</v>
      </c>
      <c r="E31" s="6" t="s">
        <v>365</v>
      </c>
      <c r="F31" s="6" t="s">
        <v>366</v>
      </c>
      <c r="G31" s="6" t="s">
        <v>367</v>
      </c>
    </row>
    <row r="32" spans="1:30" x14ac:dyDescent="0.35">
      <c r="A32" t="s">
        <v>120</v>
      </c>
      <c r="B32" s="13">
        <f>'EPS Inputs'!B46</f>
        <v>0.40566317524959927</v>
      </c>
      <c r="C32" s="15">
        <f>'EPS Inputs'!C46</f>
        <v>9.1827574525745243E-5</v>
      </c>
      <c r="D32" s="13">
        <f>B32*C32/SUMPRODUCT($B$32:$B$36,$C$32:$C$36)</f>
        <v>0.22883272058703505</v>
      </c>
      <c r="E32" s="7">
        <f>G51</f>
        <v>477093</v>
      </c>
      <c r="F32" s="7">
        <f>SUMIFS('PNNL Office Measures'!$E$5:$E$69,'PNNL Office Measures'!$A$5:$A$69,"HA14",'PNNL Office Measures'!$D$5:$D$69,$A32)-SUMIFS('PNNL Office Measures'!$E$5:$E$69,'PNNL Office Measures'!$A$5:$A$69,"HA12",'PNNL Office Measures'!$D$5:$D$69,$A32)</f>
        <v>61907</v>
      </c>
      <c r="G32" s="7">
        <f>SUMIFS('PNNL Office Measures'!$F$5:$F$69,'PNNL Office Measures'!$A$5:$A$69,"HA14",'PNNL Office Measures'!$D$5:$D$69,$A32)-SUMIFS('PNNL Office Measures'!$F$5:$F$69,'PNNL Office Measures'!$A$5:$A$69,"HA12",'PNNL Office Measures'!$D$5:$D$69,$A32)</f>
        <v>128296</v>
      </c>
    </row>
    <row r="33" spans="1:28" x14ac:dyDescent="0.35">
      <c r="A33" t="s">
        <v>121</v>
      </c>
      <c r="B33" s="13">
        <f>'EPS Inputs'!B47</f>
        <v>6.1563024941687562E-2</v>
      </c>
      <c r="C33" s="15">
        <f>'EPS Inputs'!C47</f>
        <v>1.959678809919428E-4</v>
      </c>
      <c r="D33" s="13">
        <f>B33*C33/SUMPRODUCT($B$32:$B$36,$C$32:$C$36)</f>
        <v>7.4111272907158104E-2</v>
      </c>
      <c r="E33" s="7">
        <f>J51</f>
        <v>1000130</v>
      </c>
      <c r="F33" s="7">
        <f>SUMIFS('PNNL Office Measures'!$E$5:$E$69,'PNNL Office Measures'!$A$5:$A$69,"HA14",'PNNL Office Measures'!$D$5:$D$69,$A33)-SUMIFS('PNNL Office Measures'!$E$5:$E$69,'PNNL Office Measures'!$A$5:$A$69,"HA12",'PNNL Office Measures'!$D$5:$D$69,$A33)</f>
        <v>62463</v>
      </c>
      <c r="G33" s="7">
        <f>SUMIFS('PNNL Office Measures'!$F$5:$F$69,'PNNL Office Measures'!$A$5:$A$69,"HA14",'PNNL Office Measures'!$D$5:$D$69,$A33)-SUMIFS('PNNL Office Measures'!$F$5:$F$69,'PNNL Office Measures'!$A$5:$A$69,"HA12",'PNNL Office Measures'!$D$5:$D$69,$A33)</f>
        <v>129449</v>
      </c>
    </row>
    <row r="34" spans="1:28" x14ac:dyDescent="0.35">
      <c r="A34" t="s">
        <v>122</v>
      </c>
      <c r="B34" s="13">
        <f>'EPS Inputs'!B48</f>
        <v>3.7672564038317383E-2</v>
      </c>
      <c r="C34" s="15">
        <f>'EPS Inputs'!C48</f>
        <v>1.9606404513407841E-4</v>
      </c>
      <c r="D34" s="13">
        <f>B34*C34/SUMPRODUCT($B$32:$B$36,$C$32:$C$36)</f>
        <v>4.5373529505810681E-2</v>
      </c>
      <c r="E34" s="7">
        <f>M51</f>
        <v>1018935</v>
      </c>
      <c r="F34" s="7">
        <f>SUMIFS('PNNL Office Measures'!$E$5:$E$69,'PNNL Office Measures'!$A$5:$A$69,"HA14",'PNNL Office Measures'!$D$5:$D$69,$A34)-SUMIFS('PNNL Office Measures'!$E$5:$E$69,'PNNL Office Measures'!$A$5:$A$69,"HA12",'PNNL Office Measures'!$D$5:$D$69,$A34)</f>
        <v>64690</v>
      </c>
      <c r="G34" s="7">
        <f>SUMIFS('PNNL Office Measures'!$F$5:$F$69,'PNNL Office Measures'!$A$5:$A$69,"HA14",'PNNL Office Measures'!$D$5:$D$69,$A34)-SUMIFS('PNNL Office Measures'!$F$5:$F$69,'PNNL Office Measures'!$A$5:$A$69,"HA12",'PNNL Office Measures'!$D$5:$D$69,$A34)</f>
        <v>134064</v>
      </c>
    </row>
    <row r="35" spans="1:28" x14ac:dyDescent="0.35">
      <c r="A35" t="s">
        <v>123</v>
      </c>
      <c r="B35" s="13">
        <f>'EPS Inputs'!B49</f>
        <v>0.45140543049506737</v>
      </c>
      <c r="C35" s="15">
        <f>'EPS Inputs'!C49</f>
        <v>2.1417364549585339E-4</v>
      </c>
      <c r="D35" s="13">
        <f>B35*C35/SUMPRODUCT($B$32:$B$36,$C$32:$C$36)</f>
        <v>0.59389850677350708</v>
      </c>
      <c r="E35" s="7">
        <f>P51</f>
        <v>1051099</v>
      </c>
      <c r="F35" s="7">
        <f>SUMIFS('PNNL Office Measures'!$E$5:$E$69,'PNNL Office Measures'!$A$5:$A$69,"HA14",'PNNL Office Measures'!$D$5:$D$69,$A35)-SUMIFS('PNNL Office Measures'!$E$5:$E$69,'PNNL Office Measures'!$A$5:$A$69,"HA12",'PNNL Office Measures'!$D$5:$D$69,$A35)</f>
        <v>61226</v>
      </c>
      <c r="G35" s="7">
        <f>SUMIFS('PNNL Office Measures'!$F$5:$F$69,'PNNL Office Measures'!$A$5:$A$69,"HA14",'PNNL Office Measures'!$D$5:$D$69,$A35)-SUMIFS('PNNL Office Measures'!$F$5:$F$69,'PNNL Office Measures'!$A$5:$A$69,"HA12",'PNNL Office Measures'!$D$5:$D$69,$A35)</f>
        <v>126886</v>
      </c>
    </row>
    <row r="36" spans="1:28" x14ac:dyDescent="0.35">
      <c r="A36" t="s">
        <v>124</v>
      </c>
      <c r="B36" s="13">
        <f>'EPS Inputs'!B50</f>
        <v>4.3695805275328507E-2</v>
      </c>
      <c r="C36" s="15">
        <f>'EPS Inputs'!C50</f>
        <v>2.152723271593618E-4</v>
      </c>
      <c r="D36" s="13">
        <f>B36*C36/SUMPRODUCT($B$32:$B$36,$C$32:$C$36)</f>
        <v>5.7783970226489186E-2</v>
      </c>
      <c r="E36" s="7">
        <f>S51</f>
        <v>1056492</v>
      </c>
      <c r="F36" s="7">
        <f>SUMIFS('PNNL Office Measures'!$E$5:$E$69,'PNNL Office Measures'!$A$5:$A$69,"HA14",'PNNL Office Measures'!$D$5:$D$69,$A36)-SUMIFS('PNNL Office Measures'!$E$5:$E$69,'PNNL Office Measures'!$A$5:$A$69,"HA12",'PNNL Office Measures'!$D$5:$D$69,$A36)</f>
        <v>60979</v>
      </c>
      <c r="G36" s="7">
        <f>SUMIFS('PNNL Office Measures'!$F$5:$F$69,'PNNL Office Measures'!$A$5:$A$69,"HA14",'PNNL Office Measures'!$D$5:$D$69,$A36)-SUMIFS('PNNL Office Measures'!$F$5:$F$69,'PNNL Office Measures'!$A$5:$A$69,"HA12",'PNNL Office Measures'!$D$5:$D$69,$A36)</f>
        <v>126374</v>
      </c>
    </row>
    <row r="37" spans="1:28" x14ac:dyDescent="0.35">
      <c r="A37" t="s">
        <v>368</v>
      </c>
    </row>
    <row r="39" spans="1:28" ht="96" customHeight="1" x14ac:dyDescent="0.35">
      <c r="A39" s="6" t="s">
        <v>369</v>
      </c>
      <c r="B39" s="6" t="s">
        <v>370</v>
      </c>
      <c r="C39" s="6" t="s">
        <v>371</v>
      </c>
      <c r="D39" s="6" t="s">
        <v>372</v>
      </c>
      <c r="E39" s="6" t="s">
        <v>373</v>
      </c>
      <c r="F39" s="6" t="s">
        <v>374</v>
      </c>
      <c r="G39" s="6" t="s">
        <v>375</v>
      </c>
      <c r="H39" s="6" t="s">
        <v>376</v>
      </c>
      <c r="I39" s="6" t="s">
        <v>377</v>
      </c>
      <c r="J39" s="6" t="s">
        <v>378</v>
      </c>
      <c r="K39" s="6" t="s">
        <v>379</v>
      </c>
      <c r="L39" s="6" t="s">
        <v>380</v>
      </c>
      <c r="M39" s="6" t="s">
        <v>381</v>
      </c>
      <c r="N39" s="6" t="s">
        <v>382</v>
      </c>
      <c r="O39" s="6" t="s">
        <v>383</v>
      </c>
      <c r="P39" s="6" t="s">
        <v>384</v>
      </c>
      <c r="Q39" s="6" t="s">
        <v>385</v>
      </c>
      <c r="R39" s="6" t="s">
        <v>386</v>
      </c>
      <c r="S39" s="6" t="s">
        <v>387</v>
      </c>
      <c r="T39" s="6" t="s">
        <v>388</v>
      </c>
      <c r="U39" s="6" t="s">
        <v>389</v>
      </c>
      <c r="V39" s="6" t="s">
        <v>390</v>
      </c>
      <c r="W39" s="6" t="s">
        <v>391</v>
      </c>
      <c r="X39" s="6" t="s">
        <v>392</v>
      </c>
      <c r="Y39" s="6" t="s">
        <v>393</v>
      </c>
      <c r="Z39" s="6" t="s">
        <v>394</v>
      </c>
      <c r="AA39" s="6" t="s">
        <v>395</v>
      </c>
      <c r="AB39" s="6" t="s">
        <v>396</v>
      </c>
    </row>
    <row r="40" spans="1:28" x14ac:dyDescent="0.35">
      <c r="A40" t="s">
        <v>118</v>
      </c>
      <c r="B40" t="s">
        <v>118</v>
      </c>
      <c r="C40" t="s">
        <v>397</v>
      </c>
      <c r="D40" t="s">
        <v>356</v>
      </c>
      <c r="E40" t="s">
        <v>265</v>
      </c>
      <c r="F40">
        <f>SUMIFS('EPS Inputs'!$C$54:$C$108,'EPS Inputs'!$A$54:$A$108,"Hot &amp; Humid",'EPS Inputs'!$D$54:$D$108,$A40)</f>
        <v>0</v>
      </c>
      <c r="G40" s="7">
        <f>SUMIFS('PNNL Office Measures'!$E$5:$E$69,'PNNL Office Measures'!$A$5:$A$69,$B40,'PNNL Office Measures'!$D$5:$D$69,"Hot &amp; Humid")</f>
        <v>104502</v>
      </c>
      <c r="H40" s="7">
        <f>SUMIFS('PNNL Office Measures'!$F$5:$F$69,'PNNL Office Measures'!$A$5:$A$69,$B40,'PNNL Office Measures'!$D$5:$D$69,"Hot &amp; Humid")</f>
        <v>207856</v>
      </c>
      <c r="I40">
        <f>SUMIFS('EPS Inputs'!$C$54:$C$108,'EPS Inputs'!$A$54:$A$108,"Hot &amp; Dry",'EPS Inputs'!$D$54:$D$108,$A40)</f>
        <v>1</v>
      </c>
      <c r="J40" s="7">
        <f>SUMIFS('PNNL Office Measures'!$E$5:$E$69,'PNNL Office Measures'!$A$5:$A$69,$B40,'PNNL Office Measures'!$D$5:$D$69,"Hot &amp; Dry")</f>
        <v>139044</v>
      </c>
      <c r="K40" s="7">
        <f>SUMIFS('PNNL Office Measures'!$F$5:$F$69,'PNNL Office Measures'!$A$5:$A$69,$B40,'PNNL Office Measures'!$D$5:$D$69,"Hot &amp; Dry")</f>
        <v>237533</v>
      </c>
      <c r="L40">
        <f>SUMIFS('EPS Inputs'!$C$54:$C$108,'EPS Inputs'!$A$54:$A$108,"Marine",'EPS Inputs'!$D$54:$D$108,$A40)</f>
        <v>1</v>
      </c>
      <c r="M40" s="7">
        <f>SUMIFS('PNNL Office Measures'!$E$5:$E$69,'PNNL Office Measures'!$A$5:$A$69,$B40,'PNNL Office Measures'!$D$5:$D$69,"Marine")</f>
        <v>144000</v>
      </c>
      <c r="N40" s="7">
        <f>SUMIFS('PNNL Office Measures'!$F$5:$F$69,'PNNL Office Measures'!$A$5:$A$69,$B40,'PNNL Office Measures'!$D$5:$D$69,"Marine")</f>
        <v>246000</v>
      </c>
      <c r="O40">
        <f>SUMIFS('EPS Inputs'!$C$54:$C$108,'EPS Inputs'!$A$54:$A$108,"Cold",'EPS Inputs'!$D$54:$D$108,$A40)</f>
        <v>1</v>
      </c>
      <c r="P40" s="7">
        <f>SUMIFS('PNNL Office Measures'!$E$5:$E$69,'PNNL Office Measures'!$A$5:$A$69,$B40,'PNNL Office Measures'!$D$5:$D$69,"Cold")</f>
        <v>136291</v>
      </c>
      <c r="Q40" s="7">
        <f>SUMIFS('PNNL Office Measures'!$F$5:$F$69,'PNNL Office Measures'!$A$5:$A$69,$B40,'PNNL Office Measures'!$D$5:$D$69,"Cold")</f>
        <v>232830</v>
      </c>
      <c r="R40">
        <f>SUMIFS('EPS Inputs'!$C$54:$C$108,'EPS Inputs'!$A$54:$A$108,"Very Cold",'EPS Inputs'!$D$54:$D$108,$A40)</f>
        <v>1</v>
      </c>
      <c r="S40" s="7">
        <f>SUMIFS('PNNL Office Measures'!$E$5:$E$69,'PNNL Office Measures'!$A$5:$A$69,$B40,'PNNL Office Measures'!$D$5:$D$69,"Very Cold")</f>
        <v>152707</v>
      </c>
      <c r="T40" s="7">
        <f>SUMIFS('PNNL Office Measures'!$F$5:$F$69,'PNNL Office Measures'!$A$5:$A$69,$B40,'PNNL Office Measures'!$D$5:$D$69,"Very Cold")</f>
        <v>260168</v>
      </c>
      <c r="U40" s="13">
        <f t="shared" ref="U40:U50" si="0">$D$32*F40*G40/$E$32+$D$33*I40*J40/$E$33+$D$34*L40*M40/$E$34+$D$35*O40*P40/$E$35+$D$36*R40*S40/$E$36</f>
        <v>0.10207593361326465</v>
      </c>
      <c r="V40" s="13">
        <f t="shared" ref="V40:V50" si="1">$D$32*F40*H40/$E$32+$D$33*I40*K40/$E$33+$D$34*L40*N40/$E$34+$D$35*O40*Q40/$E$35+$D$36*R40*T40/$E$36</f>
        <v>0.17434078473781875</v>
      </c>
      <c r="W40" s="13">
        <f>VLOOKUP($D40,Calcs!$A$21:$J$27,8,FALSE)</f>
        <v>1</v>
      </c>
      <c r="X40" s="13">
        <f>VLOOKUP($D40,Calcs!$A$21:$J$27,9,FALSE)</f>
        <v>0</v>
      </c>
      <c r="Y40" s="13">
        <f>VLOOKUP($D40,Calcs!$A$21:$J$27,10,FALSE)</f>
        <v>0</v>
      </c>
      <c r="Z40" s="13">
        <f t="shared" ref="Z40:Z50" si="2">U40*W40</f>
        <v>0.10207593361326465</v>
      </c>
      <c r="AA40" s="13">
        <f t="shared" ref="AA40:AA50" si="3">U40*Y40</f>
        <v>0</v>
      </c>
      <c r="AB40" s="13">
        <f t="shared" ref="AB40:AB50" si="4">U40*X40</f>
        <v>0</v>
      </c>
    </row>
    <row r="41" spans="1:28" x14ac:dyDescent="0.35">
      <c r="A41" t="s">
        <v>127</v>
      </c>
      <c r="B41" t="s">
        <v>127</v>
      </c>
      <c r="C41" t="s">
        <v>398</v>
      </c>
      <c r="D41" t="s">
        <v>348</v>
      </c>
      <c r="E41" t="s">
        <v>255</v>
      </c>
      <c r="F41">
        <f>SUMIFS('EPS Inputs'!$C$54:$C$108,'EPS Inputs'!$A$54:$A$108,"Hot &amp; Humid",'EPS Inputs'!$D$54:$D$108,$A41)</f>
        <v>1</v>
      </c>
      <c r="G41" s="7">
        <f>SUMIFS('PNNL Office Measures'!$E$5:$E$69,'PNNL Office Measures'!$A$5:$A$69,$B41,'PNNL Office Measures'!$D$5:$D$69,"Hot &amp; Humid")</f>
        <v>66500</v>
      </c>
      <c r="H41" s="7">
        <f>SUMIFS('PNNL Office Measures'!$F$5:$F$69,'PNNL Office Measures'!$A$5:$A$69,$B41,'PNNL Office Measures'!$D$5:$D$69,"Hot &amp; Humid")</f>
        <v>147308</v>
      </c>
      <c r="I41">
        <f>SUMIFS('EPS Inputs'!$C$54:$C$108,'EPS Inputs'!$A$54:$A$108,"Hot &amp; Dry",'EPS Inputs'!$D$54:$D$108,$A41)</f>
        <v>1</v>
      </c>
      <c r="J41" s="7">
        <f>SUMIFS('PNNL Office Measures'!$E$5:$E$69,'PNNL Office Measures'!$A$5:$A$69,$B41,'PNNL Office Measures'!$D$5:$D$69,"Hot &amp; Dry")</f>
        <v>67098</v>
      </c>
      <c r="K41" s="7">
        <f>SUMIFS('PNNL Office Measures'!$F$5:$F$69,'PNNL Office Measures'!$A$5:$A$69,$B41,'PNNL Office Measures'!$D$5:$D$69,"Hot &amp; Dry")</f>
        <v>148632</v>
      </c>
      <c r="L41">
        <f>SUMIFS('EPS Inputs'!$C$54:$C$108,'EPS Inputs'!$A$54:$A$108,"Marine",'EPS Inputs'!$D$54:$D$108,$A41)</f>
        <v>1</v>
      </c>
      <c r="M41" s="7">
        <f>SUMIFS('PNNL Office Measures'!$E$5:$E$69,'PNNL Office Measures'!$A$5:$A$69,$B41,'PNNL Office Measures'!$D$5:$D$69,"Marine")</f>
        <v>69490</v>
      </c>
      <c r="N41" s="7">
        <f>SUMIFS('PNNL Office Measures'!$F$5:$F$69,'PNNL Office Measures'!$A$5:$A$69,$B41,'PNNL Office Measures'!$D$5:$D$69,"Marine")</f>
        <v>153930</v>
      </c>
      <c r="O41">
        <f>SUMIFS('EPS Inputs'!$C$54:$C$108,'EPS Inputs'!$A$54:$A$108,"Cold",'EPS Inputs'!$D$54:$D$108,$A41)</f>
        <v>1</v>
      </c>
      <c r="P41" s="7">
        <f>SUMIFS('PNNL Office Measures'!$E$5:$E$69,'PNNL Office Measures'!$A$5:$A$69,$B41,'PNNL Office Measures'!$D$5:$D$69,"Cold")</f>
        <v>65769</v>
      </c>
      <c r="Q41" s="7">
        <f>SUMIFS('PNNL Office Measures'!$F$5:$F$69,'PNNL Office Measures'!$A$5:$A$69,$B41,'PNNL Office Measures'!$D$5:$D$69,"Cold")</f>
        <v>145689</v>
      </c>
      <c r="R41">
        <f>SUMIFS('EPS Inputs'!$C$54:$C$108,'EPS Inputs'!$A$54:$A$108,"Very Cold",'EPS Inputs'!$D$54:$D$108,$A41)</f>
        <v>1</v>
      </c>
      <c r="S41" s="7">
        <f>SUMIFS('PNNL Office Measures'!$E$5:$E$69,'PNNL Office Measures'!$A$5:$A$69,$B41,'PNNL Office Measures'!$D$5:$D$69,"Very Cold")</f>
        <v>65504</v>
      </c>
      <c r="T41" s="7">
        <f>SUMIFS('PNNL Office Measures'!$F$5:$F$69,'PNNL Office Measures'!$A$5:$A$69,$B41,'PNNL Office Measures'!$D$5:$D$69,"Very Cold")</f>
        <v>145100</v>
      </c>
      <c r="U41" s="13">
        <f t="shared" si="0"/>
        <v>8.0706420718736266E-2</v>
      </c>
      <c r="V41" s="13">
        <f t="shared" si="1"/>
        <v>0.17877742221801018</v>
      </c>
      <c r="W41" s="13">
        <f>VLOOKUP($D41,Calcs!$A$21:$J$27,8,FALSE)</f>
        <v>0.81706549118387906</v>
      </c>
      <c r="X41" s="13">
        <f>VLOOKUP($D41,Calcs!$A$21:$J$27,9,FALSE)</f>
        <v>2.3614609571788413E-2</v>
      </c>
      <c r="Y41" s="13">
        <f>VLOOKUP($D41,Calcs!$A$21:$J$27,10,FALSE)</f>
        <v>0.15931989924433249</v>
      </c>
      <c r="Z41" s="13">
        <f t="shared" si="2"/>
        <v>6.5942431286247036E-2</v>
      </c>
      <c r="AA41" s="13">
        <f t="shared" si="3"/>
        <v>1.285813881727977E-2</v>
      </c>
      <c r="AB41" s="13">
        <f t="shared" si="4"/>
        <v>1.9058506152094521E-3</v>
      </c>
    </row>
    <row r="42" spans="1:28" x14ac:dyDescent="0.35">
      <c r="A42" t="s">
        <v>129</v>
      </c>
      <c r="B42" t="s">
        <v>129</v>
      </c>
      <c r="C42" t="s">
        <v>399</v>
      </c>
      <c r="D42" t="s">
        <v>348</v>
      </c>
      <c r="E42" t="s">
        <v>255</v>
      </c>
      <c r="F42">
        <f>SUMIFS('EPS Inputs'!$C$54:$C$108,'EPS Inputs'!$A$54:$A$108,"Hot &amp; Humid",'EPS Inputs'!$D$54:$D$108,$A42)</f>
        <v>1</v>
      </c>
      <c r="G42" s="7">
        <f>SUMIFS('PNNL Office Measures'!$E$5:$E$69,'PNNL Office Measures'!$A$5:$A$69,$B42,'PNNL Office Measures'!$D$5:$D$69,"Hot &amp; Humid")-$F$32</f>
        <v>0</v>
      </c>
      <c r="H42" s="7">
        <f>SUMIFS('PNNL Office Measures'!$F$5:$F$69,'PNNL Office Measures'!$A$5:$A$69,$B42,'PNNL Office Measures'!$D$5:$D$69,"Hot &amp; Humid")-$G$32</f>
        <v>36684</v>
      </c>
      <c r="I42">
        <f>SUMIFS('EPS Inputs'!$C$54:$C$108,'EPS Inputs'!$A$54:$A$108,"Hot &amp; Dry",'EPS Inputs'!$D$54:$D$108,$A42)</f>
        <v>1</v>
      </c>
      <c r="J42" s="7">
        <f>SUMIFS('PNNL Office Measures'!$E$5:$E$69,'PNNL Office Measures'!$A$5:$A$69,$B42,'PNNL Office Measures'!$D$5:$D$69,"Hot &amp; Dry")-$F$33</f>
        <v>0</v>
      </c>
      <c r="K42" s="7">
        <f>SUMIFS('PNNL Office Measures'!$F$5:$F$69,'PNNL Office Measures'!$A$5:$A$69,$B42,'PNNL Office Measures'!$D$5:$D$69,"Hot &amp; Dry")-$G$33</f>
        <v>37014</v>
      </c>
      <c r="L42">
        <f>SUMIFS('EPS Inputs'!$C$54:$C$108,'EPS Inputs'!$A$54:$A$108,"Marine",'EPS Inputs'!$D$54:$D$108,$A42)</f>
        <v>1</v>
      </c>
      <c r="M42" s="7">
        <f>SUMIFS('PNNL Office Measures'!$E$5:$E$69,'PNNL Office Measures'!$A$5:$A$69,$B42,'PNNL Office Measures'!$D$5:$D$69,"Marine")-$F$34</f>
        <v>0</v>
      </c>
      <c r="N42" s="7">
        <f>SUMIFS('PNNL Office Measures'!$F$5:$F$69,'PNNL Office Measures'!$A$5:$A$69,$B42,'PNNL Office Measures'!$D$5:$D$69,"Marine")-$G$34</f>
        <v>38333</v>
      </c>
      <c r="O42">
        <f>SUMIFS('EPS Inputs'!$C$54:$C$108,'EPS Inputs'!$A$54:$A$108,"Cold",'EPS Inputs'!$D$54:$D$108,$A42)</f>
        <v>1</v>
      </c>
      <c r="P42" s="7">
        <f>SUMIFS('PNNL Office Measures'!$E$5:$E$69,'PNNL Office Measures'!$A$5:$A$69,$B42,'PNNL Office Measures'!$D$5:$D$69,"Cold")-$F$35</f>
        <v>0</v>
      </c>
      <c r="Q42" s="7">
        <f>SUMIFS('PNNL Office Measures'!$F$5:$F$69,'PNNL Office Measures'!$A$5:$A$69,$B42,'PNNL Office Measures'!$D$5:$D$69,"Cold")-$G$35</f>
        <v>36281</v>
      </c>
      <c r="R42">
        <f>SUMIFS('EPS Inputs'!$C$54:$C$108,'EPS Inputs'!$A$54:$A$108,"Very Cold",'EPS Inputs'!$D$54:$D$108,$A42)</f>
        <v>1</v>
      </c>
      <c r="S42" s="7">
        <f>SUMIFS('PNNL Office Measures'!$E$5:$E$69,'PNNL Office Measures'!$A$5:$A$69,$B42,'PNNL Office Measures'!$D$5:$D$69,"Very Cold")-$F$36</f>
        <v>0</v>
      </c>
      <c r="T42" s="7">
        <f>SUMIFS('PNNL Office Measures'!$F$5:$F$69,'PNNL Office Measures'!$A$5:$A$69,$B42,'PNNL Office Measures'!$D$5:$D$69,"Very Cold")-$G$36</f>
        <v>36134</v>
      </c>
      <c r="U42" s="13">
        <f t="shared" si="0"/>
        <v>0</v>
      </c>
      <c r="V42" s="13">
        <f t="shared" si="1"/>
        <v>4.452091732574489E-2</v>
      </c>
      <c r="W42" s="13">
        <f>VLOOKUP($D42,Calcs!$A$21:$J$27,8,FALSE)</f>
        <v>0.81706549118387906</v>
      </c>
      <c r="X42" s="13">
        <f>VLOOKUP($D42,Calcs!$A$21:$J$27,9,FALSE)</f>
        <v>2.3614609571788413E-2</v>
      </c>
      <c r="Y42" s="13">
        <f>VLOOKUP($D42,Calcs!$A$21:$J$27,10,FALSE)</f>
        <v>0.15931989924433249</v>
      </c>
      <c r="Z42" s="13">
        <f t="shared" si="2"/>
        <v>0</v>
      </c>
      <c r="AA42" s="13">
        <f t="shared" si="3"/>
        <v>0</v>
      </c>
      <c r="AB42" s="13">
        <f t="shared" si="4"/>
        <v>0</v>
      </c>
    </row>
    <row r="43" spans="1:28" x14ac:dyDescent="0.35">
      <c r="A43" t="s">
        <v>131</v>
      </c>
      <c r="B43" t="s">
        <v>131</v>
      </c>
      <c r="C43" t="s">
        <v>400</v>
      </c>
      <c r="D43" t="s">
        <v>348</v>
      </c>
      <c r="E43" t="s">
        <v>255</v>
      </c>
      <c r="F43">
        <f>SUMIFS('EPS Inputs'!$C$54:$C$108,'EPS Inputs'!$A$54:$A$108,"Hot &amp; Humid",'EPS Inputs'!$D$54:$D$108,$A43)</f>
        <v>1</v>
      </c>
      <c r="G43" s="7">
        <f>SUMIFS('PNNL Office Measures'!$E$5:$E$69,'PNNL Office Measures'!$A$5:$A$69,$B43,'PNNL Office Measures'!$D$5:$D$69,"Hot &amp; Humid")-$F$32</f>
        <v>16674</v>
      </c>
      <c r="H43" s="7">
        <f>SUMIFS('PNNL Office Measures'!$F$5:$F$69,'PNNL Office Measures'!$A$5:$A$69,$B43,'PNNL Office Measures'!$D$5:$D$69,"Hot &amp; Humid")-$G$32</f>
        <v>26159</v>
      </c>
      <c r="I43">
        <f>SUMIFS('EPS Inputs'!$C$54:$C$108,'EPS Inputs'!$A$54:$A$108,"Hot &amp; Dry",'EPS Inputs'!$D$54:$D$108,$A43)</f>
        <v>1</v>
      </c>
      <c r="J43" s="7">
        <f>SUMIFS('PNNL Office Measures'!$E$5:$E$69,'PNNL Office Measures'!$A$5:$A$69,$B43,'PNNL Office Measures'!$D$5:$D$69,"Hot &amp; Dry")-$F$33</f>
        <v>16825</v>
      </c>
      <c r="K43" s="7">
        <f>SUMIFS('PNNL Office Measures'!$F$5:$F$69,'PNNL Office Measures'!$A$5:$A$69,$B43,'PNNL Office Measures'!$D$5:$D$69,"Hot &amp; Dry")-$G$33</f>
        <v>91923</v>
      </c>
      <c r="L43">
        <f>SUMIFS('EPS Inputs'!$C$54:$C$108,'EPS Inputs'!$A$54:$A$108,"Marine",'EPS Inputs'!$D$54:$D$108,$A43)</f>
        <v>1</v>
      </c>
      <c r="M43" s="7">
        <f>SUMIFS('PNNL Office Measures'!$E$5:$E$69,'PNNL Office Measures'!$A$5:$A$69,$B43,'PNNL Office Measures'!$D$5:$D$69,"Marine")-$F$34</f>
        <v>17424</v>
      </c>
      <c r="N43" s="7">
        <f>SUMIFS('PNNL Office Measures'!$F$5:$F$69,'PNNL Office Measures'!$A$5:$A$69,$B43,'PNNL Office Measures'!$D$5:$D$69,"Marine")-$G$34</f>
        <v>69606</v>
      </c>
      <c r="O43">
        <f>SUMIFS('EPS Inputs'!$C$54:$C$108,'EPS Inputs'!$A$54:$A$108,"Cold",'EPS Inputs'!$D$54:$D$108,$A43)</f>
        <v>1</v>
      </c>
      <c r="P43" s="7">
        <f>SUMIFS('PNNL Office Measures'!$E$5:$E$69,'PNNL Office Measures'!$A$5:$A$69,$B43,'PNNL Office Measures'!$D$5:$D$69,"Cold")-$F$35</f>
        <v>16491</v>
      </c>
      <c r="Q43" s="7">
        <f>SUMIFS('PNNL Office Measures'!$F$5:$F$69,'PNNL Office Measures'!$A$5:$A$69,$B43,'PNNL Office Measures'!$D$5:$D$69,"Cold")-$G$35</f>
        <v>140783</v>
      </c>
      <c r="R43">
        <f>SUMIFS('EPS Inputs'!$C$54:$C$108,'EPS Inputs'!$A$54:$A$108,"Very Cold",'EPS Inputs'!$D$54:$D$108,$A43)</f>
        <v>1</v>
      </c>
      <c r="S43" s="7">
        <f>SUMIFS('PNNL Office Measures'!$E$5:$E$69,'PNNL Office Measures'!$A$5:$A$69,$B43,'PNNL Office Measures'!$D$5:$D$69,"Very Cold")-$F$36</f>
        <v>16424</v>
      </c>
      <c r="T43" s="7">
        <f>SUMIFS('PNNL Office Measures'!$F$5:$F$69,'PNNL Office Measures'!$A$5:$A$69,$B43,'PNNL Office Measures'!$D$5:$D$69,"Very Cold")-$G$36</f>
        <v>96554</v>
      </c>
      <c r="U43" s="13">
        <f t="shared" si="0"/>
        <v>2.0236313318056302E-2</v>
      </c>
      <c r="V43" s="13">
        <f t="shared" si="1"/>
        <v>0.10728514843877061</v>
      </c>
      <c r="W43" s="13">
        <f>VLOOKUP($D43,Calcs!$A$21:$J$27,8,FALSE)</f>
        <v>0.81706549118387906</v>
      </c>
      <c r="X43" s="13">
        <f>VLOOKUP($D43,Calcs!$A$21:$J$27,9,FALSE)</f>
        <v>2.3614609571788413E-2</v>
      </c>
      <c r="Y43" s="13">
        <f>VLOOKUP($D43,Calcs!$A$21:$J$27,10,FALSE)</f>
        <v>0.15931989924433249</v>
      </c>
      <c r="Z43" s="13">
        <f t="shared" si="2"/>
        <v>1.6534393280968545E-2</v>
      </c>
      <c r="AA43" s="13">
        <f t="shared" si="3"/>
        <v>3.2240473989094739E-3</v>
      </c>
      <c r="AB43" s="13">
        <f t="shared" si="4"/>
        <v>4.7787263817828171E-4</v>
      </c>
    </row>
    <row r="44" spans="1:28" x14ac:dyDescent="0.35">
      <c r="A44" t="s">
        <v>133</v>
      </c>
      <c r="B44" t="s">
        <v>133</v>
      </c>
      <c r="C44" t="s">
        <v>401</v>
      </c>
      <c r="D44" t="s">
        <v>350</v>
      </c>
      <c r="E44" t="s">
        <v>256</v>
      </c>
      <c r="F44">
        <f>SUMIFS('EPS Inputs'!$C$54:$C$108,'EPS Inputs'!$A$54:$A$108,"Hot &amp; Humid",'EPS Inputs'!$D$54:$D$108,$A44)</f>
        <v>1</v>
      </c>
      <c r="G44" s="7">
        <f>SUMIFS('PNNL Office Measures'!$E$5:$E$69,'PNNL Office Measures'!$A$5:$A$69,$B44,'PNNL Office Measures'!$D$5:$D$69,"Hot &amp; Humid")</f>
        <v>24116</v>
      </c>
      <c r="H44" s="7">
        <f>SUMIFS('PNNL Office Measures'!$F$5:$F$69,'PNNL Office Measures'!$A$5:$A$69,$B44,'PNNL Office Measures'!$D$5:$D$69,"Hot &amp; Humid")</f>
        <v>18374</v>
      </c>
      <c r="I44">
        <f>SUMIFS('EPS Inputs'!$C$54:$C$108,'EPS Inputs'!$A$54:$A$108,"Hot &amp; Dry",'EPS Inputs'!$D$54:$D$108,$A44)</f>
        <v>1</v>
      </c>
      <c r="J44" s="7">
        <f>SUMIFS('PNNL Office Measures'!$E$5:$E$69,'PNNL Office Measures'!$A$5:$A$69,$B44,'PNNL Office Measures'!$D$5:$D$69,"Hot &amp; Dry")</f>
        <v>25491</v>
      </c>
      <c r="K44" s="7">
        <f>SUMIFS('PNNL Office Measures'!$F$5:$F$69,'PNNL Office Measures'!$A$5:$A$69,$B44,'PNNL Office Measures'!$D$5:$D$69,"Hot &amp; Dry")</f>
        <v>19698</v>
      </c>
      <c r="L44">
        <f>SUMIFS('EPS Inputs'!$C$54:$C$108,'EPS Inputs'!$A$54:$A$108,"Marine",'EPS Inputs'!$D$54:$D$108,$A44)</f>
        <v>1</v>
      </c>
      <c r="M44" s="7">
        <f>SUMIFS('PNNL Office Measures'!$E$5:$E$69,'PNNL Office Measures'!$A$5:$A$69,$B44,'PNNL Office Measures'!$D$5:$D$69,"Marine")</f>
        <v>21480</v>
      </c>
      <c r="N44" s="7">
        <f>SUMIFS('PNNL Office Measures'!$F$5:$F$69,'PNNL Office Measures'!$A$5:$A$69,$B44,'PNNL Office Measures'!$D$5:$D$69,"Marine")</f>
        <v>15888</v>
      </c>
      <c r="O44">
        <f>SUMIFS('EPS Inputs'!$C$54:$C$108,'EPS Inputs'!$A$54:$A$108,"Cold",'EPS Inputs'!$D$54:$D$108,$A44)</f>
        <v>1</v>
      </c>
      <c r="P44" s="7">
        <f>SUMIFS('PNNL Office Measures'!$E$5:$E$69,'PNNL Office Measures'!$A$5:$A$69,$B44,'PNNL Office Measures'!$D$5:$D$69,"Cold")</f>
        <v>18172</v>
      </c>
      <c r="Q44" s="7">
        <f>SUMIFS('PNNL Office Measures'!$F$5:$F$69,'PNNL Office Measures'!$A$5:$A$69,$B44,'PNNL Office Measures'!$D$5:$D$69,"Cold")</f>
        <v>12493</v>
      </c>
      <c r="R44">
        <f>SUMIFS('EPS Inputs'!$C$54:$C$108,'EPS Inputs'!$A$54:$A$108,"Very Cold",'EPS Inputs'!$D$54:$D$108,$A44)</f>
        <v>1</v>
      </c>
      <c r="S44" s="7">
        <f>SUMIFS('PNNL Office Measures'!$E$5:$E$69,'PNNL Office Measures'!$A$5:$A$69,$B44,'PNNL Office Measures'!$D$5:$D$69,"Very Cold")</f>
        <v>18099</v>
      </c>
      <c r="T44" s="7">
        <f>SUMIFS('PNNL Office Measures'!$F$5:$F$69,'PNNL Office Measures'!$A$5:$A$69,$B44,'PNNL Office Measures'!$D$5:$D$69,"Very Cold")</f>
        <v>12443</v>
      </c>
      <c r="U44" s="13">
        <f t="shared" si="0"/>
        <v>2.566999336520593E-2</v>
      </c>
      <c r="V44" s="13">
        <f t="shared" si="1"/>
        <v>1.8719483695534223E-2</v>
      </c>
      <c r="W44" s="13">
        <f>VLOOKUP($D44,Calcs!$A$21:$J$27,8,FALSE)</f>
        <v>0.50666666666666671</v>
      </c>
      <c r="X44" s="13">
        <f>VLOOKUP($D44,Calcs!$A$21:$J$27,9,FALSE)</f>
        <v>5.2380952380952379E-3</v>
      </c>
      <c r="Y44" s="13">
        <f>VLOOKUP($D44,Calcs!$A$21:$J$27,10,FALSE)</f>
        <v>0.48809523809523808</v>
      </c>
      <c r="Z44" s="13">
        <f t="shared" si="2"/>
        <v>1.3006129971704338E-2</v>
      </c>
      <c r="AA44" s="13">
        <f t="shared" si="3"/>
        <v>1.2529401523493371E-2</v>
      </c>
      <c r="AB44" s="13">
        <f t="shared" si="4"/>
        <v>1.3446187000822152E-4</v>
      </c>
    </row>
    <row r="45" spans="1:28" x14ac:dyDescent="0.35">
      <c r="A45" t="s">
        <v>135</v>
      </c>
      <c r="B45" t="s">
        <v>135</v>
      </c>
      <c r="C45" t="s">
        <v>402</v>
      </c>
      <c r="D45" t="s">
        <v>358</v>
      </c>
      <c r="E45" t="s">
        <v>265</v>
      </c>
      <c r="F45">
        <f>SUMIFS('EPS Inputs'!$C$54:$C$108,'EPS Inputs'!$A$54:$A$108,"Hot &amp; Humid",'EPS Inputs'!$D$54:$D$108,$A45)</f>
        <v>1</v>
      </c>
      <c r="G45" s="7">
        <f>SUMIFS('PNNL Office Measures'!$E$5:$E$69,'PNNL Office Measures'!$A$5:$A$69,$B45,'PNNL Office Measures'!$D$5:$D$69,"Hot &amp; Humid")</f>
        <v>0</v>
      </c>
      <c r="H45" s="7">
        <f>SUMIFS('PNNL Office Measures'!$F$5:$F$69,'PNNL Office Measures'!$A$5:$A$69,$B45,'PNNL Office Measures'!$D$5:$D$69,"Hot &amp; Humid")</f>
        <v>1837</v>
      </c>
      <c r="I45">
        <f>SUMIFS('EPS Inputs'!$C$54:$C$108,'EPS Inputs'!$A$54:$A$108,"Hot &amp; Dry",'EPS Inputs'!$D$54:$D$108,$A45)</f>
        <v>1</v>
      </c>
      <c r="J45" s="7">
        <f>SUMIFS('PNNL Office Measures'!$E$5:$E$69,'PNNL Office Measures'!$A$5:$A$69,$B45,'PNNL Office Measures'!$D$5:$D$69,"Hot &amp; Dry")</f>
        <v>0</v>
      </c>
      <c r="K45" s="7">
        <f>SUMIFS('PNNL Office Measures'!$F$5:$F$69,'PNNL Office Measures'!$A$5:$A$69,$B45,'PNNL Office Measures'!$D$5:$D$69,"Hot &amp; Dry")</f>
        <v>1854</v>
      </c>
      <c r="L45">
        <f>SUMIFS('EPS Inputs'!$C$54:$C$108,'EPS Inputs'!$A$54:$A$108,"Marine",'EPS Inputs'!$D$54:$D$108,$A45)</f>
        <v>0</v>
      </c>
      <c r="M45" s="7">
        <f>SUMIFS('PNNL Office Measures'!$E$5:$E$69,'PNNL Office Measures'!$A$5:$A$69,$B45,'PNNL Office Measures'!$D$5:$D$69,"Marine")</f>
        <v>0</v>
      </c>
      <c r="N45" s="7">
        <f>SUMIFS('PNNL Office Measures'!$F$5:$F$69,'PNNL Office Measures'!$A$5:$A$69,$B45,'PNNL Office Measures'!$D$5:$D$69,"Marine")</f>
        <v>1920</v>
      </c>
      <c r="O45">
        <f>SUMIFS('EPS Inputs'!$C$54:$C$108,'EPS Inputs'!$A$54:$A$108,"Cold",'EPS Inputs'!$D$54:$D$108,$A45)</f>
        <v>0</v>
      </c>
      <c r="P45" s="7">
        <f>SUMIFS('PNNL Office Measures'!$E$5:$E$69,'PNNL Office Measures'!$A$5:$A$69,$B45,'PNNL Office Measures'!$D$5:$D$69,"Cold")</f>
        <v>0</v>
      </c>
      <c r="Q45" s="7">
        <f>SUMIFS('PNNL Office Measures'!$F$5:$F$69,'PNNL Office Measures'!$A$5:$A$69,$B45,'PNNL Office Measures'!$D$5:$D$69,"Cold")</f>
        <v>1817</v>
      </c>
      <c r="R45">
        <f>SUMIFS('EPS Inputs'!$C$54:$C$108,'EPS Inputs'!$A$54:$A$108,"Very Cold",'EPS Inputs'!$D$54:$D$108,$A45)</f>
        <v>0</v>
      </c>
      <c r="S45" s="7">
        <f>SUMIFS('PNNL Office Measures'!$E$5:$E$69,'PNNL Office Measures'!$A$5:$A$69,$B45,'PNNL Office Measures'!$D$5:$D$69,"Very Cold")</f>
        <v>0</v>
      </c>
      <c r="T45" s="7">
        <f>SUMIFS('PNNL Office Measures'!$F$5:$F$69,'PNNL Office Measures'!$A$5:$A$69,$B45,'PNNL Office Measures'!$D$5:$D$69,"Very Cold")</f>
        <v>1810</v>
      </c>
      <c r="U45" s="13">
        <f t="shared" si="0"/>
        <v>0</v>
      </c>
      <c r="V45" s="13">
        <f t="shared" si="1"/>
        <v>1.0184824810839967E-3</v>
      </c>
      <c r="W45" s="13">
        <f>VLOOKUP($D45,Calcs!$A$21:$J$27,8,FALSE)</f>
        <v>1</v>
      </c>
      <c r="X45" s="13">
        <f>VLOOKUP($D45,Calcs!$A$21:$J$27,9,FALSE)</f>
        <v>0</v>
      </c>
      <c r="Y45" s="13">
        <f>VLOOKUP($D45,Calcs!$A$21:$J$27,10,FALSE)</f>
        <v>0</v>
      </c>
      <c r="Z45" s="13">
        <f t="shared" si="2"/>
        <v>0</v>
      </c>
      <c r="AA45" s="13">
        <f t="shared" si="3"/>
        <v>0</v>
      </c>
      <c r="AB45" s="13">
        <f t="shared" si="4"/>
        <v>0</v>
      </c>
    </row>
    <row r="46" spans="1:28" x14ac:dyDescent="0.35">
      <c r="A46" t="s">
        <v>137</v>
      </c>
      <c r="B46" t="s">
        <v>137</v>
      </c>
      <c r="C46" t="s">
        <v>403</v>
      </c>
      <c r="D46" t="s">
        <v>350</v>
      </c>
      <c r="E46" t="s">
        <v>256</v>
      </c>
      <c r="F46">
        <f>SUMIFS('EPS Inputs'!$C$54:$C$108,'EPS Inputs'!$A$54:$A$108,"Hot &amp; Humid",'EPS Inputs'!$D$54:$D$108,$A46)</f>
        <v>0</v>
      </c>
      <c r="G46" s="7">
        <f>SUMIFS('PNNL Office Measures'!$E$5:$E$69,'PNNL Office Measures'!$A$5:$A$69,$B46,'PNNL Office Measures'!$D$5:$D$69,"Hot &amp; Humid")</f>
        <v>24460</v>
      </c>
      <c r="H46" s="7">
        <f>SUMIFS('PNNL Office Measures'!$F$5:$F$69,'PNNL Office Measures'!$A$5:$A$69,$B46,'PNNL Office Measures'!$D$5:$D$69,"Hot &amp; Humid")</f>
        <v>12693</v>
      </c>
      <c r="I46">
        <f>SUMIFS('EPS Inputs'!$C$54:$C$108,'EPS Inputs'!$A$54:$A$108,"Hot &amp; Dry",'EPS Inputs'!$D$54:$D$108,$A46)</f>
        <v>1</v>
      </c>
      <c r="J46" s="7">
        <f>SUMIFS('PNNL Office Measures'!$E$5:$E$69,'PNNL Office Measures'!$A$5:$A$69,$B46,'PNNL Office Measures'!$D$5:$D$69,"Hot &amp; Dry")</f>
        <v>26998</v>
      </c>
      <c r="K46" s="7">
        <f>SUMIFS('PNNL Office Measures'!$F$5:$F$69,'PNNL Office Measures'!$A$5:$A$69,$B46,'PNNL Office Measures'!$D$5:$D$69,"Hot &amp; Dry")</f>
        <v>18192</v>
      </c>
      <c r="L46">
        <f>SUMIFS('EPS Inputs'!$C$54:$C$108,'EPS Inputs'!$A$54:$A$108,"Marine",'EPS Inputs'!$D$54:$D$108,$A46)</f>
        <v>0</v>
      </c>
      <c r="M46" s="7">
        <f>SUMIFS('PNNL Office Measures'!$E$5:$E$69,'PNNL Office Measures'!$A$5:$A$69,$B46,'PNNL Office Measures'!$D$5:$D$69,"Marine")</f>
        <v>25560</v>
      </c>
      <c r="N46" s="7">
        <f>SUMIFS('PNNL Office Measures'!$F$5:$F$69,'PNNL Office Measures'!$A$5:$A$69,$B46,'PNNL Office Measures'!$D$5:$D$69,"Marine")</f>
        <v>16738</v>
      </c>
      <c r="O46">
        <f>SUMIFS('EPS Inputs'!$C$54:$C$108,'EPS Inputs'!$A$54:$A$108,"Cold",'EPS Inputs'!$D$54:$D$108,$A46)</f>
        <v>0</v>
      </c>
      <c r="P46" s="7">
        <f>SUMIFS('PNNL Office Measures'!$E$5:$E$69,'PNNL Office Measures'!$A$5:$A$69,$B46,'PNNL Office Measures'!$D$5:$D$69,"Cold")</f>
        <v>24192</v>
      </c>
      <c r="Q46" s="7">
        <f>SUMIFS('PNNL Office Measures'!$F$5:$F$69,'PNNL Office Measures'!$A$5:$A$69,$B46,'PNNL Office Measures'!$D$5:$D$69,"Cold")</f>
        <v>21997</v>
      </c>
      <c r="R46">
        <f>SUMIFS('EPS Inputs'!$C$54:$C$108,'EPS Inputs'!$A$54:$A$108,"Very Cold",'EPS Inputs'!$D$54:$D$108,$A46)</f>
        <v>0</v>
      </c>
      <c r="S46" s="7">
        <f>SUMIFS('PNNL Office Measures'!$E$5:$E$69,'PNNL Office Measures'!$A$5:$A$69,$B46,'PNNL Office Measures'!$D$5:$D$69,"Very Cold")</f>
        <v>24094</v>
      </c>
      <c r="T46" s="7">
        <f>SUMIFS('PNNL Office Measures'!$F$5:$F$69,'PNNL Office Measures'!$A$5:$A$69,$B46,'PNNL Office Measures'!$D$5:$D$69,"Very Cold")</f>
        <v>18320</v>
      </c>
      <c r="U46" s="13">
        <f t="shared" si="0"/>
        <v>2.0005960684585547E-3</v>
      </c>
      <c r="V46" s="13">
        <f t="shared" si="1"/>
        <v>1.3480570293132096E-3</v>
      </c>
      <c r="W46" s="13">
        <f>VLOOKUP($D46,Calcs!$A$21:$J$27,8,FALSE)</f>
        <v>0.50666666666666671</v>
      </c>
      <c r="X46" s="13">
        <f>VLOOKUP($D46,Calcs!$A$21:$J$27,9,FALSE)</f>
        <v>5.2380952380952379E-3</v>
      </c>
      <c r="Y46" s="13">
        <f>VLOOKUP($D46,Calcs!$A$21:$J$27,10,FALSE)</f>
        <v>0.48809523809523808</v>
      </c>
      <c r="Z46" s="13">
        <f t="shared" si="2"/>
        <v>1.0136353413523346E-3</v>
      </c>
      <c r="AA46" s="13">
        <f t="shared" si="3"/>
        <v>9.7648141436667548E-4</v>
      </c>
      <c r="AB46" s="13">
        <f t="shared" si="4"/>
        <v>1.0479312739544809E-5</v>
      </c>
    </row>
    <row r="47" spans="1:28" x14ac:dyDescent="0.35">
      <c r="A47" t="s">
        <v>139</v>
      </c>
      <c r="B47" t="s">
        <v>139</v>
      </c>
      <c r="C47" t="s">
        <v>404</v>
      </c>
      <c r="D47" t="s">
        <v>352</v>
      </c>
      <c r="E47" t="s">
        <v>257</v>
      </c>
      <c r="F47">
        <f>SUMIFS('EPS Inputs'!$C$54:$C$108,'EPS Inputs'!$A$54:$A$108,"Hot &amp; Humid",'EPS Inputs'!$D$54:$D$108,$A47)</f>
        <v>1</v>
      </c>
      <c r="G47" s="7">
        <f>SUMIFS('PNNL Office Measures'!$E$5:$E$69,'PNNL Office Measures'!$A$5:$A$69,$B47,'PNNL Office Measures'!$D$5:$D$69,"Hot &amp; Humid")</f>
        <v>16307</v>
      </c>
      <c r="H47" s="7">
        <f>SUMIFS('PNNL Office Measures'!$F$5:$F$69,'PNNL Office Measures'!$A$5:$A$69,$B47,'PNNL Office Measures'!$D$5:$D$69,"Hot &amp; Humid")</f>
        <v>8559</v>
      </c>
      <c r="I47">
        <f>SUMIFS('EPS Inputs'!$C$54:$C$108,'EPS Inputs'!$A$54:$A$108,"Hot &amp; Dry",'EPS Inputs'!$D$54:$D$108,$A47)</f>
        <v>1</v>
      </c>
      <c r="J47" s="7">
        <f>SUMIFS('PNNL Office Measures'!$E$5:$E$69,'PNNL Office Measures'!$A$5:$A$69,$B47,'PNNL Office Measures'!$D$5:$D$69,"Hot &amp; Dry")</f>
        <v>17033</v>
      </c>
      <c r="K47" s="7">
        <f>SUMIFS('PNNL Office Measures'!$F$5:$F$69,'PNNL Office Measures'!$A$5:$A$69,$B47,'PNNL Office Measures'!$D$5:$D$69,"Hot &amp; Dry")</f>
        <v>12267</v>
      </c>
      <c r="L47">
        <f>SUMIFS('EPS Inputs'!$C$54:$C$108,'EPS Inputs'!$A$54:$A$108,"Marine",'EPS Inputs'!$D$54:$D$108,$A47)</f>
        <v>0</v>
      </c>
      <c r="M47" s="7">
        <f>SUMIFS('PNNL Office Measures'!$E$5:$E$69,'PNNL Office Measures'!$A$5:$A$69,$B47,'PNNL Office Measures'!$D$5:$D$69,"Marine")</f>
        <v>17040</v>
      </c>
      <c r="N47" s="7">
        <f>SUMIFS('PNNL Office Measures'!$F$5:$F$69,'PNNL Office Measures'!$A$5:$A$69,$B47,'PNNL Office Measures'!$D$5:$D$69,"Marine")</f>
        <v>11286</v>
      </c>
      <c r="O47">
        <f>SUMIFS('EPS Inputs'!$C$54:$C$108,'EPS Inputs'!$A$54:$A$108,"Cold",'EPS Inputs'!$D$54:$D$108,$A47)</f>
        <v>0</v>
      </c>
      <c r="P47" s="7">
        <f>SUMIFS('PNNL Office Measures'!$E$5:$E$69,'PNNL Office Measures'!$A$5:$A$69,$B47,'PNNL Office Measures'!$D$5:$D$69,"Cold")</f>
        <v>16128</v>
      </c>
      <c r="Q47" s="7">
        <f>SUMIFS('PNNL Office Measures'!$F$5:$F$69,'PNNL Office Measures'!$A$5:$A$69,$B47,'PNNL Office Measures'!$D$5:$D$69,"Cold")</f>
        <v>14832</v>
      </c>
      <c r="R47">
        <f>SUMIFS('EPS Inputs'!$C$54:$C$108,'EPS Inputs'!$A$54:$A$108,"Very Cold",'EPS Inputs'!$D$54:$D$108,$A47)</f>
        <v>0</v>
      </c>
      <c r="S47" s="7">
        <f>SUMIFS('PNNL Office Measures'!$E$5:$E$69,'PNNL Office Measures'!$A$5:$A$69,$B47,'PNNL Office Measures'!$D$5:$D$69,"Very Cold")</f>
        <v>16063</v>
      </c>
      <c r="T47" s="7">
        <f>SUMIFS('PNNL Office Measures'!$F$5:$F$69,'PNNL Office Measures'!$A$5:$A$69,$B47,'PNNL Office Measures'!$D$5:$D$69,"Very Cold")</f>
        <v>12353</v>
      </c>
      <c r="U47" s="13">
        <f t="shared" si="0"/>
        <v>9.0836570373325973E-3</v>
      </c>
      <c r="V47" s="13">
        <f t="shared" si="1"/>
        <v>5.014240597305721E-3</v>
      </c>
      <c r="W47" s="13">
        <f>VLOOKUP($D47,Calcs!$A$21:$J$27,8,FALSE)</f>
        <v>0.81974974636455866</v>
      </c>
      <c r="X47" s="13">
        <f>VLOOKUP($D47,Calcs!$A$21:$J$27,9,FALSE)</f>
        <v>2.4010821778829895E-2</v>
      </c>
      <c r="Y47" s="13">
        <f>VLOOKUP($D47,Calcs!$A$21:$J$27,10,FALSE)</f>
        <v>0.15623943185661143</v>
      </c>
      <c r="Z47" s="13">
        <f t="shared" si="2"/>
        <v>7.446325552416035E-3</v>
      </c>
      <c r="AA47" s="13">
        <f t="shared" si="3"/>
        <v>1.4192254146931551E-3</v>
      </c>
      <c r="AB47" s="13">
        <f t="shared" si="4"/>
        <v>2.1810607022340695E-4</v>
      </c>
    </row>
    <row r="48" spans="1:28" x14ac:dyDescent="0.35">
      <c r="A48" t="s">
        <v>141</v>
      </c>
      <c r="B48" t="s">
        <v>141</v>
      </c>
      <c r="C48" t="s">
        <v>405</v>
      </c>
      <c r="D48" t="s">
        <v>350</v>
      </c>
      <c r="E48" t="s">
        <v>256</v>
      </c>
      <c r="F48">
        <f>SUMIFS('EPS Inputs'!$C$54:$C$108,'EPS Inputs'!$A$54:$A$108,"Hot &amp; Humid",'EPS Inputs'!$D$54:$D$108,$A48)</f>
        <v>1</v>
      </c>
      <c r="G48" s="7">
        <f>SUMIFS('PNNL Office Measures'!$E$5:$E$69,'PNNL Office Measures'!$A$5:$A$69,$B48,'PNNL Office Measures'!$D$5:$D$69,"Hot &amp; Humid")</f>
        <v>37782</v>
      </c>
      <c r="H48" s="7">
        <f>SUMIFS('PNNL Office Measures'!$F$5:$F$69,'PNNL Office Measures'!$A$5:$A$69,$B48,'PNNL Office Measures'!$D$5:$D$69,"Hot &amp; Humid")</f>
        <v>26868</v>
      </c>
      <c r="I48">
        <f>SUMIFS('EPS Inputs'!$C$54:$C$108,'EPS Inputs'!$A$54:$A$108,"Hot &amp; Dry",'EPS Inputs'!$D$54:$D$108,$A48)</f>
        <v>1</v>
      </c>
      <c r="J48" s="7">
        <f>SUMIFS('PNNL Office Measures'!$E$5:$E$69,'PNNL Office Measures'!$A$5:$A$69,$B48,'PNNL Office Measures'!$D$5:$D$69,"Hot &amp; Dry")</f>
        <v>45595</v>
      </c>
      <c r="K48" s="7">
        <f>SUMIFS('PNNL Office Measures'!$F$5:$F$69,'PNNL Office Measures'!$A$5:$A$69,$B48,'PNNL Office Measures'!$D$5:$D$69,"Hot &amp; Dry")</f>
        <v>39552</v>
      </c>
      <c r="L48">
        <f>SUMIFS('EPS Inputs'!$C$54:$C$108,'EPS Inputs'!$A$54:$A$108,"Marine",'EPS Inputs'!$D$54:$D$108,$A48)</f>
        <v>0</v>
      </c>
      <c r="M48" s="7">
        <f>SUMIFS('PNNL Office Measures'!$E$5:$E$69,'PNNL Office Measures'!$A$5:$A$69,$B48,'PNNL Office Measures'!$D$5:$D$69,"Marine")</f>
        <v>39480</v>
      </c>
      <c r="N48" s="7">
        <f>SUMIFS('PNNL Office Measures'!$F$5:$F$69,'PNNL Office Measures'!$A$5:$A$69,$B48,'PNNL Office Measures'!$D$5:$D$69,"Marine")</f>
        <v>35429</v>
      </c>
      <c r="O48">
        <f>SUMIFS('EPS Inputs'!$C$54:$C$108,'EPS Inputs'!$A$54:$A$108,"Cold",'EPS Inputs'!$D$54:$D$108,$A48)</f>
        <v>0</v>
      </c>
      <c r="P48" s="7">
        <f>SUMIFS('PNNL Office Measures'!$E$5:$E$69,'PNNL Office Measures'!$A$5:$A$69,$B48,'PNNL Office Measures'!$D$5:$D$69,"Cold")</f>
        <v>37366</v>
      </c>
      <c r="Q48" s="7">
        <f>SUMIFS('PNNL Office Measures'!$F$5:$F$69,'PNNL Office Measures'!$A$5:$A$69,$B48,'PNNL Office Measures'!$D$5:$D$69,"Cold")</f>
        <v>46562</v>
      </c>
      <c r="R48">
        <f>SUMIFS('EPS Inputs'!$C$54:$C$108,'EPS Inputs'!$A$54:$A$108,"Very Cold",'EPS Inputs'!$D$54:$D$108,$A48)</f>
        <v>0</v>
      </c>
      <c r="S48" s="7">
        <f>SUMIFS('PNNL Office Measures'!$E$5:$E$69,'PNNL Office Measures'!$A$5:$A$69,$B48,'PNNL Office Measures'!$D$5:$D$69,"Very Cold")</f>
        <v>37215</v>
      </c>
      <c r="T48" s="7">
        <f>SUMIFS('PNNL Office Measures'!$F$5:$F$69,'PNNL Office Measures'!$A$5:$A$69,$B48,'PNNL Office Measures'!$D$5:$D$69,"Very Cold")</f>
        <v>38779</v>
      </c>
      <c r="U48" s="13">
        <f t="shared" si="0"/>
        <v>2.1500409601266687E-2</v>
      </c>
      <c r="V48" s="13">
        <f t="shared" si="1"/>
        <v>1.5817826228485501E-2</v>
      </c>
      <c r="W48" s="13">
        <f>VLOOKUP($D48,Calcs!$A$21:$J$27,8,FALSE)</f>
        <v>0.50666666666666671</v>
      </c>
      <c r="X48" s="13">
        <f>VLOOKUP($D48,Calcs!$A$21:$J$27,9,FALSE)</f>
        <v>5.2380952380952379E-3</v>
      </c>
      <c r="Y48" s="13">
        <f>VLOOKUP($D48,Calcs!$A$21:$J$27,10,FALSE)</f>
        <v>0.48809523809523808</v>
      </c>
      <c r="Z48" s="13">
        <f t="shared" si="2"/>
        <v>1.0893540864641789E-2</v>
      </c>
      <c r="AA48" s="13">
        <f t="shared" si="3"/>
        <v>1.0494247543475407E-2</v>
      </c>
      <c r="AB48" s="13">
        <f t="shared" si="4"/>
        <v>1.1262119314949217E-4</v>
      </c>
    </row>
    <row r="49" spans="1:28" x14ac:dyDescent="0.35">
      <c r="A49" t="s">
        <v>143</v>
      </c>
      <c r="B49" t="s">
        <v>143</v>
      </c>
      <c r="C49" t="s">
        <v>406</v>
      </c>
      <c r="D49" t="s">
        <v>350</v>
      </c>
      <c r="E49" t="s">
        <v>256</v>
      </c>
      <c r="F49">
        <f>SUMIFS('EPS Inputs'!$C$54:$C$108,'EPS Inputs'!$A$54:$A$108,"Hot &amp; Humid",'EPS Inputs'!$D$54:$D$108,$A49)</f>
        <v>1</v>
      </c>
      <c r="G49" s="7">
        <f>SUMIFS('PNNL Office Measures'!$E$5:$E$69,'PNNL Office Measures'!$A$5:$A$69,$B49,'PNNL Office Measures'!$D$5:$D$69,"Hot &amp; Humid")</f>
        <v>38126</v>
      </c>
      <c r="H49" s="7">
        <f>SUMIFS('PNNL Office Measures'!$F$5:$F$69,'PNNL Office Measures'!$A$5:$A$69,$B49,'PNNL Office Measures'!$D$5:$D$69,"Hot &amp; Humid")</f>
        <v>11799</v>
      </c>
      <c r="I49">
        <f>SUMIFS('EPS Inputs'!$C$54:$C$108,'EPS Inputs'!$A$54:$A$108,"Hot &amp; Dry",'EPS Inputs'!$D$54:$D$108,$A49)</f>
        <v>1</v>
      </c>
      <c r="J49" s="7">
        <f>SUMIFS('PNNL Office Measures'!$E$5:$E$69,'PNNL Office Measures'!$A$5:$A$69,$B49,'PNNL Office Measures'!$D$5:$D$69,"Hot &amp; Dry")</f>
        <v>38469</v>
      </c>
      <c r="K49" s="7">
        <f>SUMIFS('PNNL Office Measures'!$F$5:$F$69,'PNNL Office Measures'!$A$5:$A$69,$B49,'PNNL Office Measures'!$D$5:$D$69,"Hot &amp; Dry")</f>
        <v>16912</v>
      </c>
      <c r="L49">
        <f>SUMIFS('EPS Inputs'!$C$54:$C$108,'EPS Inputs'!$A$54:$A$108,"Marine",'EPS Inputs'!$D$54:$D$108,$A49)</f>
        <v>0</v>
      </c>
      <c r="M49" s="7">
        <f>SUMIFS('PNNL Office Measures'!$E$5:$E$69,'PNNL Office Measures'!$A$5:$A$69,$B49,'PNNL Office Measures'!$D$5:$D$69,"Marine")</f>
        <v>39840</v>
      </c>
      <c r="N49" s="7">
        <f>SUMIFS('PNNL Office Measures'!$F$5:$F$69,'PNNL Office Measures'!$A$5:$A$69,$B49,'PNNL Office Measures'!$D$5:$D$69,"Marine")</f>
        <v>15559</v>
      </c>
      <c r="O49">
        <f>SUMIFS('EPS Inputs'!$C$54:$C$108,'EPS Inputs'!$A$54:$A$108,"Cold",'EPS Inputs'!$D$54:$D$108,$A49)</f>
        <v>0</v>
      </c>
      <c r="P49" s="7">
        <f>SUMIFS('PNNL Office Measures'!$E$5:$E$69,'PNNL Office Measures'!$A$5:$A$69,$B49,'PNNL Office Measures'!$D$5:$D$69,"Cold")</f>
        <v>37707</v>
      </c>
      <c r="Q49" s="7">
        <f>SUMIFS('PNNL Office Measures'!$F$5:$F$69,'PNNL Office Measures'!$A$5:$A$69,$B49,'PNNL Office Measures'!$D$5:$D$69,"Cold")</f>
        <v>20448</v>
      </c>
      <c r="R49">
        <f>SUMIFS('EPS Inputs'!$C$54:$C$108,'EPS Inputs'!$A$54:$A$108,"Very Cold",'EPS Inputs'!$D$54:$D$108,$A49)</f>
        <v>0</v>
      </c>
      <c r="S49" s="7">
        <f>SUMIFS('PNNL Office Measures'!$E$5:$E$69,'PNNL Office Measures'!$A$5:$A$69,$B49,'PNNL Office Measures'!$D$5:$D$69,"Very Cold")</f>
        <v>37555</v>
      </c>
      <c r="T49" s="7">
        <f>SUMIFS('PNNL Office Measures'!$F$5:$F$69,'PNNL Office Measures'!$A$5:$A$69,$B49,'PNNL Office Measures'!$D$5:$D$69,"Very Cold")</f>
        <v>17030</v>
      </c>
      <c r="U49" s="13">
        <f t="shared" si="0"/>
        <v>2.113735735716404E-2</v>
      </c>
      <c r="V49" s="13">
        <f t="shared" si="1"/>
        <v>6.9124751868122093E-3</v>
      </c>
      <c r="W49" s="13">
        <f>VLOOKUP($D49,Calcs!$A$21:$J$27,8,FALSE)</f>
        <v>0.50666666666666671</v>
      </c>
      <c r="X49" s="13">
        <f>VLOOKUP($D49,Calcs!$A$21:$J$27,9,FALSE)</f>
        <v>5.2380952380952379E-3</v>
      </c>
      <c r="Y49" s="13">
        <f>VLOOKUP($D49,Calcs!$A$21:$J$27,10,FALSE)</f>
        <v>0.48809523809523808</v>
      </c>
      <c r="Z49" s="13">
        <f t="shared" si="2"/>
        <v>1.0709594394296447E-2</v>
      </c>
      <c r="AA49" s="13">
        <f t="shared" si="3"/>
        <v>1.0317043471949115E-2</v>
      </c>
      <c r="AB49" s="13">
        <f t="shared" si="4"/>
        <v>1.1071949091847831E-4</v>
      </c>
    </row>
    <row r="50" spans="1:28" x14ac:dyDescent="0.35">
      <c r="A50" t="s">
        <v>145</v>
      </c>
      <c r="B50" t="s">
        <v>145</v>
      </c>
      <c r="C50" t="s">
        <v>407</v>
      </c>
      <c r="D50" t="s">
        <v>354</v>
      </c>
      <c r="E50" t="s">
        <v>254</v>
      </c>
      <c r="F50">
        <f>SUMIFS('EPS Inputs'!$C$54:$C$108,'EPS Inputs'!$A$54:$A$108,"Hot &amp; Humid",'EPS Inputs'!$D$54:$D$108,$A50)</f>
        <v>0</v>
      </c>
      <c r="G50" s="7">
        <f>SUMIFS('PNNL Office Measures'!$E$5:$E$69,'PNNL Office Measures'!$A$5:$A$69,$B50,'PNNL Office Measures'!$D$5:$D$69,"Hot &amp; Humid")-$F$32</f>
        <v>139688</v>
      </c>
      <c r="H50" s="7">
        <f>SUMIFS('PNNL Office Measures'!$F$5:$F$69,'PNNL Office Measures'!$A$5:$A$69,$B50,'PNNL Office Measures'!$D$5:$D$69,"Hot &amp; Humid")-$G$32</f>
        <v>73864</v>
      </c>
      <c r="I50">
        <f>SUMIFS('EPS Inputs'!$C$54:$C$108,'EPS Inputs'!$A$54:$A$108,"Hot &amp; Dry",'EPS Inputs'!$D$54:$D$108,$A50)</f>
        <v>0</v>
      </c>
      <c r="J50" s="7">
        <f>SUMIFS('PNNL Office Measures'!$E$5:$E$69,'PNNL Office Measures'!$A$5:$A$69,$B50,'PNNL Office Measures'!$D$5:$D$69,"Hot &amp; Dry")-$F$33</f>
        <v>161384</v>
      </c>
      <c r="K50" s="7">
        <f>SUMIFS('PNNL Office Measures'!$F$5:$F$69,'PNNL Office Measures'!$A$5:$A$69,$B50,'PNNL Office Measures'!$D$5:$D$69,"Hot &amp; Dry")-$G$33</f>
        <v>74529</v>
      </c>
      <c r="L50">
        <f>SUMIFS('EPS Inputs'!$C$54:$C$108,'EPS Inputs'!$A$54:$A$108,"Marine",'EPS Inputs'!$D$54:$D$108,$A50)</f>
        <v>1</v>
      </c>
      <c r="M50" s="7">
        <f>SUMIFS('PNNL Office Measures'!$E$5:$E$69,'PNNL Office Measures'!$A$5:$A$69,$B50,'PNNL Office Measures'!$D$5:$D$69,"Marine")-$F$34</f>
        <v>165600</v>
      </c>
      <c r="N50" s="7">
        <f>SUMIFS('PNNL Office Measures'!$F$5:$F$69,'PNNL Office Measures'!$A$5:$A$69,$B50,'PNNL Office Measures'!$D$5:$D$69,"Marine")-$G$34</f>
        <v>77184</v>
      </c>
      <c r="O50">
        <f>SUMIFS('EPS Inputs'!$C$54:$C$108,'EPS Inputs'!$A$54:$A$108,"Cold",'EPS Inputs'!$D$54:$D$108,$A50)</f>
        <v>1</v>
      </c>
      <c r="P50" s="7">
        <f>SUMIFS('PNNL Office Measures'!$E$5:$E$69,'PNNL Office Measures'!$A$5:$A$69,$B50,'PNNL Office Measures'!$D$5:$D$69,"Cold")-$F$35</f>
        <v>173248</v>
      </c>
      <c r="Q50" s="7">
        <f>SUMIFS('PNNL Office Measures'!$F$5:$F$69,'PNNL Office Measures'!$A$5:$A$69,$B50,'PNNL Office Measures'!$D$5:$D$69,"Cold")-$G$35</f>
        <v>73052</v>
      </c>
      <c r="R50">
        <f>SUMIFS('EPS Inputs'!$C$54:$C$108,'EPS Inputs'!$A$54:$A$108,"Very Cold",'EPS Inputs'!$D$54:$D$108,$A50)</f>
        <v>1</v>
      </c>
      <c r="S50" s="7">
        <f>SUMIFS('PNNL Office Measures'!$E$5:$E$69,'PNNL Office Measures'!$A$5:$A$69,$B50,'PNNL Office Measures'!$D$5:$D$69,"Very Cold")-$F$36</f>
        <v>180602</v>
      </c>
      <c r="T50" s="7">
        <f>SUMIFS('PNNL Office Measures'!$F$5:$F$69,'PNNL Office Measures'!$A$5:$A$69,$B50,'PNNL Office Measures'!$D$5:$D$69,"Very Cold")-$G$36</f>
        <v>72757</v>
      </c>
      <c r="U50" s="13">
        <f t="shared" si="0"/>
        <v>0.1151417694856241</v>
      </c>
      <c r="V50" s="13">
        <f t="shared" si="1"/>
        <v>4.8692711496011676E-2</v>
      </c>
      <c r="W50" s="13">
        <f>VLOOKUP($D50,Calcs!$A$21:$J$27,8,FALSE)</f>
        <v>0.54413024850042846</v>
      </c>
      <c r="X50" s="13">
        <f>VLOOKUP($D50,Calcs!$A$21:$J$27,9,FALSE)</f>
        <v>1.6495287060839761E-2</v>
      </c>
      <c r="Y50" s="13">
        <f>VLOOKUP($D50,Calcs!$A$21:$J$27,10,FALSE)</f>
        <v>0.43937446443873179</v>
      </c>
      <c r="Z50" s="13">
        <f t="shared" si="2"/>
        <v>6.2652119642991694E-2</v>
      </c>
      <c r="AA50" s="13">
        <f t="shared" si="3"/>
        <v>5.0590353302274002E-2</v>
      </c>
      <c r="AB50" s="13">
        <f t="shared" si="4"/>
        <v>1.8992965403584097E-3</v>
      </c>
    </row>
    <row r="51" spans="1:28" x14ac:dyDescent="0.35">
      <c r="A51" s="1" t="s">
        <v>408</v>
      </c>
      <c r="G51" s="7">
        <f>SUMPRODUCT(F40:F50,G40:G50)+SUMPRODUCT(F40:F50,H40:H50)</f>
        <v>477093</v>
      </c>
      <c r="J51" s="7">
        <f>SUMPRODUCT(I40:I50,J40:J50)+SUMPRODUCT(I40:I50,K40:K50)</f>
        <v>1000130</v>
      </c>
      <c r="M51" s="7">
        <f>SUMPRODUCT(L40:L50,M40:M50)+SUMPRODUCT(L40:L50,N40:N50)</f>
        <v>1018935</v>
      </c>
      <c r="P51" s="7">
        <f>SUMPRODUCT(O40:O50,P40:P50)+SUMPRODUCT(O40:O50,Q40:Q50)</f>
        <v>1051099</v>
      </c>
      <c r="S51" s="7">
        <f>SUMPRODUCT(R40:R50,S40:S50)+SUMPRODUCT(R40:R50,T40:T50)</f>
        <v>1056492</v>
      </c>
      <c r="U51" s="13">
        <f>SUM(U40:U50)</f>
        <v>0.39755245056510913</v>
      </c>
      <c r="V51" s="13">
        <f>SUM(V40:V50)</f>
        <v>0.60244754943489109</v>
      </c>
      <c r="Z51" s="13">
        <f>SUM(Z40:Z50)</f>
        <v>0.29027410394788289</v>
      </c>
      <c r="AA51" s="13">
        <f>SUM(AA40:AA50)</f>
        <v>0.10240893888644097</v>
      </c>
      <c r="AB51" s="13">
        <f>SUM(AB40:AB50)</f>
        <v>4.8694077307852874E-3</v>
      </c>
    </row>
    <row r="54" spans="1:28" x14ac:dyDescent="0.35">
      <c r="A54" s="9" t="s">
        <v>409</v>
      </c>
      <c r="B54" s="10"/>
      <c r="C54" s="10"/>
      <c r="D54" s="10"/>
      <c r="E54" s="10"/>
      <c r="F54" s="10"/>
      <c r="G54" s="10"/>
      <c r="H54" s="10"/>
      <c r="I54" s="10"/>
      <c r="J54" s="10"/>
    </row>
    <row r="55" spans="1:28" ht="48" customHeight="1" x14ac:dyDescent="0.35">
      <c r="A55" s="6"/>
      <c r="B55" s="6" t="s">
        <v>410</v>
      </c>
      <c r="C55" s="6" t="s">
        <v>411</v>
      </c>
      <c r="D55" s="6" t="s">
        <v>412</v>
      </c>
      <c r="E55" s="6" t="s">
        <v>413</v>
      </c>
      <c r="F55" s="6" t="s">
        <v>414</v>
      </c>
      <c r="G55" s="6" t="s">
        <v>415</v>
      </c>
    </row>
    <row r="56" spans="1:28" ht="43.5" x14ac:dyDescent="0.35">
      <c r="A56" s="3" t="s">
        <v>416</v>
      </c>
      <c r="B56" s="13">
        <f>1-INDEX('EPS Inputs'!$B$5:$BA$5,MATCH("ISIC 41T43",'EPS Inputs'!$B$4:$BA$4,0))</f>
        <v>0.55028127100000002</v>
      </c>
      <c r="C56" s="13">
        <f>1-INDEX('EPS Inputs'!$B$6:$BA$6,MATCH("ISIC 41T43",'EPS Inputs'!$B$4:$BA$4,0))</f>
        <v>0.73624568700000004</v>
      </c>
      <c r="D56" s="13">
        <f>1-INDEX('EPS Inputs'!$B$14:$BA$14,MATCH("ISIC 41T43",'EPS Inputs'!$B$13:$BA$13,0))</f>
        <v>0.55028127100000002</v>
      </c>
      <c r="E56" s="13">
        <f>1-INDEX('EPS Inputs'!$B$15:$BA$15,MATCH("ISIC 41T43",'EPS Inputs'!$B$13:$BA$13,0))</f>
        <v>0.73624568700000004</v>
      </c>
      <c r="F56" t="s">
        <v>417</v>
      </c>
      <c r="G56" t="s">
        <v>417</v>
      </c>
    </row>
    <row r="57" spans="1:28" ht="18" customHeight="1" x14ac:dyDescent="0.35">
      <c r="A57" s="6" t="s">
        <v>418</v>
      </c>
    </row>
    <row r="58" spans="1:28" x14ac:dyDescent="0.35">
      <c r="A58" t="s">
        <v>234</v>
      </c>
      <c r="B58" s="16">
        <f>IF($A58="ISIC 41T43",Calcs!$B$16+(1-Calcs!$B$16)*(1-B$56),0)+IF($A58="ISIC 28",(1-Calcs!$B$16)*B$56*Calcs!$H$21,0)+IF($A58="ISIC 49",(1-Calcs!$B$16)*B$56*Calcs!$I$21,0)+IF($A58="ISIC 45T47",(1-Calcs!$B$16)*B$56*Calcs!$J$21,0)</f>
        <v>0</v>
      </c>
      <c r="C58" s="16">
        <f>IF($A58="ISIC 41T43",Calcs!$B$16+(1-Calcs!$B$16)*(1-C$56),0)+IF($A58="ISIC 28",(1-Calcs!$B$16)*C$56*Calcs!$H$21,0)+IF($A58="ISIC 49",(1-Calcs!$B$16)*C$56*Calcs!$I$21,0)+IF($A58="ISIC 45T47",(1-Calcs!$B$16)*C$56*Calcs!$J$21,0)</f>
        <v>0</v>
      </c>
      <c r="D58" s="16">
        <f>IF($A58="ISIC 41T43",Calcs!$B$16+(1-Calcs!$B$16)*(1-D$56),0)+IF($A58="ISIC 28",(1-Calcs!$B$16)*D$56*Calcs!$H$21,0)+IF($A58="ISIC 49",(1-Calcs!$B$16)*D$56*Calcs!$I$21,0)+IF($A58="ISIC 45T47",(1-Calcs!$B$16)*D$56*Calcs!$J$21,0)</f>
        <v>0</v>
      </c>
      <c r="E58" s="16">
        <f>IF($A58="ISIC 41T43",Calcs!$B$16+(1-Calcs!$B$16)*(1-E$56),0)+IF($A58="ISIC 28",(1-Calcs!$B$16)*E$56*Calcs!$H$21,0)+IF($A58="ISIC 49",(1-Calcs!$B$16)*E$56*Calcs!$I$21,0)+IF($A58="ISIC 45T47",(1-Calcs!$B$16)*E$56*Calcs!$J$21,0)</f>
        <v>0</v>
      </c>
      <c r="F58" s="16">
        <f t="shared" ref="F58:G77" si="5">SUMIFS($Z$40:$Z$50,$E$40:$E$50,$A58)+IF($A58="ISIC 41T43",$V$51,0)+IF($A58="ISIC 45T47",$AA$51,0)+IF($A58="ISIC 49",$AB$51,0)</f>
        <v>0</v>
      </c>
      <c r="G58" s="16">
        <f t="shared" si="5"/>
        <v>0</v>
      </c>
    </row>
    <row r="59" spans="1:28" x14ac:dyDescent="0.35">
      <c r="A59" t="s">
        <v>235</v>
      </c>
      <c r="B59" s="16">
        <f>IF($A59="ISIC 41T43",Calcs!$B$16+(1-Calcs!$B$16)*(1-B$56),0)+IF($A59="ISIC 28",(1-Calcs!$B$16)*B$56*Calcs!$H$21,0)+IF($A59="ISIC 49",(1-Calcs!$B$16)*B$56*Calcs!$I$21,0)+IF($A59="ISIC 45T47",(1-Calcs!$B$16)*B$56*Calcs!$J$21,0)</f>
        <v>0</v>
      </c>
      <c r="C59" s="16">
        <f>IF($A59="ISIC 41T43",Calcs!$B$16+(1-Calcs!$B$16)*(1-C$56),0)+IF($A59="ISIC 28",(1-Calcs!$B$16)*C$56*Calcs!$H$21,0)+IF($A59="ISIC 49",(1-Calcs!$B$16)*C$56*Calcs!$I$21,0)+IF($A59="ISIC 45T47",(1-Calcs!$B$16)*C$56*Calcs!$J$21,0)</f>
        <v>0</v>
      </c>
      <c r="D59" s="16">
        <f>IF($A59="ISIC 41T43",Calcs!$B$16+(1-Calcs!$B$16)*(1-D$56),0)+IF($A59="ISIC 28",(1-Calcs!$B$16)*D$56*Calcs!$H$21,0)+IF($A59="ISIC 49",(1-Calcs!$B$16)*D$56*Calcs!$I$21,0)+IF($A59="ISIC 45T47",(1-Calcs!$B$16)*D$56*Calcs!$J$21,0)</f>
        <v>0</v>
      </c>
      <c r="E59" s="16">
        <f>IF($A59="ISIC 41T43",Calcs!$B$16+(1-Calcs!$B$16)*(1-E$56),0)+IF($A59="ISIC 28",(1-Calcs!$B$16)*E$56*Calcs!$H$21,0)+IF($A59="ISIC 49",(1-Calcs!$B$16)*E$56*Calcs!$I$21,0)+IF($A59="ISIC 45T47",(1-Calcs!$B$16)*E$56*Calcs!$J$21,0)</f>
        <v>0</v>
      </c>
      <c r="F59" s="16">
        <f t="shared" si="5"/>
        <v>0</v>
      </c>
      <c r="G59" s="16">
        <f t="shared" si="5"/>
        <v>0</v>
      </c>
    </row>
    <row r="60" spans="1:28" x14ac:dyDescent="0.35">
      <c r="A60" t="s">
        <v>236</v>
      </c>
      <c r="B60" s="16">
        <f>IF($A60="ISIC 41T43",Calcs!$B$16+(1-Calcs!$B$16)*(1-B$56),0)+IF($A60="ISIC 28",(1-Calcs!$B$16)*B$56*Calcs!$H$21,0)+IF($A60="ISIC 49",(1-Calcs!$B$16)*B$56*Calcs!$I$21,0)+IF($A60="ISIC 45T47",(1-Calcs!$B$16)*B$56*Calcs!$J$21,0)</f>
        <v>0</v>
      </c>
      <c r="C60" s="16">
        <f>IF($A60="ISIC 41T43",Calcs!$B$16+(1-Calcs!$B$16)*(1-C$56),0)+IF($A60="ISIC 28",(1-Calcs!$B$16)*C$56*Calcs!$H$21,0)+IF($A60="ISIC 49",(1-Calcs!$B$16)*C$56*Calcs!$I$21,0)+IF($A60="ISIC 45T47",(1-Calcs!$B$16)*C$56*Calcs!$J$21,0)</f>
        <v>0</v>
      </c>
      <c r="D60" s="16">
        <f>IF($A60="ISIC 41T43",Calcs!$B$16+(1-Calcs!$B$16)*(1-D$56),0)+IF($A60="ISIC 28",(1-Calcs!$B$16)*D$56*Calcs!$H$21,0)+IF($A60="ISIC 49",(1-Calcs!$B$16)*D$56*Calcs!$I$21,0)+IF($A60="ISIC 45T47",(1-Calcs!$B$16)*D$56*Calcs!$J$21,0)</f>
        <v>0</v>
      </c>
      <c r="E60" s="16">
        <f>IF($A60="ISIC 41T43",Calcs!$B$16+(1-Calcs!$B$16)*(1-E$56),0)+IF($A60="ISIC 28",(1-Calcs!$B$16)*E$56*Calcs!$H$21,0)+IF($A60="ISIC 49",(1-Calcs!$B$16)*E$56*Calcs!$I$21,0)+IF($A60="ISIC 45T47",(1-Calcs!$B$16)*E$56*Calcs!$J$21,0)</f>
        <v>0</v>
      </c>
      <c r="F60" s="16">
        <f t="shared" si="5"/>
        <v>0</v>
      </c>
      <c r="G60" s="16">
        <f t="shared" si="5"/>
        <v>0</v>
      </c>
    </row>
    <row r="61" spans="1:28" x14ac:dyDescent="0.35">
      <c r="A61" t="s">
        <v>237</v>
      </c>
      <c r="B61" s="16">
        <f>IF($A61="ISIC 41T43",Calcs!$B$16+(1-Calcs!$B$16)*(1-B$56),0)+IF($A61="ISIC 28",(1-Calcs!$B$16)*B$56*Calcs!$H$21,0)+IF($A61="ISIC 49",(1-Calcs!$B$16)*B$56*Calcs!$I$21,0)+IF($A61="ISIC 45T47",(1-Calcs!$B$16)*B$56*Calcs!$J$21,0)</f>
        <v>0</v>
      </c>
      <c r="C61" s="16">
        <f>IF($A61="ISIC 41T43",Calcs!$B$16+(1-Calcs!$B$16)*(1-C$56),0)+IF($A61="ISIC 28",(1-Calcs!$B$16)*C$56*Calcs!$H$21,0)+IF($A61="ISIC 49",(1-Calcs!$B$16)*C$56*Calcs!$I$21,0)+IF($A61="ISIC 45T47",(1-Calcs!$B$16)*C$56*Calcs!$J$21,0)</f>
        <v>0</v>
      </c>
      <c r="D61" s="16">
        <f>IF($A61="ISIC 41T43",Calcs!$B$16+(1-Calcs!$B$16)*(1-D$56),0)+IF($A61="ISIC 28",(1-Calcs!$B$16)*D$56*Calcs!$H$21,0)+IF($A61="ISIC 49",(1-Calcs!$B$16)*D$56*Calcs!$I$21,0)+IF($A61="ISIC 45T47",(1-Calcs!$B$16)*D$56*Calcs!$J$21,0)</f>
        <v>0</v>
      </c>
      <c r="E61" s="16">
        <f>IF($A61="ISIC 41T43",Calcs!$B$16+(1-Calcs!$B$16)*(1-E$56),0)+IF($A61="ISIC 28",(1-Calcs!$B$16)*E$56*Calcs!$H$21,0)+IF($A61="ISIC 49",(1-Calcs!$B$16)*E$56*Calcs!$I$21,0)+IF($A61="ISIC 45T47",(1-Calcs!$B$16)*E$56*Calcs!$J$21,0)</f>
        <v>0</v>
      </c>
      <c r="F61" s="16">
        <f t="shared" si="5"/>
        <v>0</v>
      </c>
      <c r="G61" s="16">
        <f t="shared" si="5"/>
        <v>0</v>
      </c>
    </row>
    <row r="62" spans="1:28" x14ac:dyDescent="0.35">
      <c r="A62" t="s">
        <v>238</v>
      </c>
      <c r="B62" s="16">
        <f>IF($A62="ISIC 41T43",Calcs!$B$16+(1-Calcs!$B$16)*(1-B$56),0)+IF($A62="ISIC 28",(1-Calcs!$B$16)*B$56*Calcs!$H$21,0)+IF($A62="ISIC 49",(1-Calcs!$B$16)*B$56*Calcs!$I$21,0)+IF($A62="ISIC 45T47",(1-Calcs!$B$16)*B$56*Calcs!$J$21,0)</f>
        <v>0</v>
      </c>
      <c r="C62" s="16">
        <f>IF($A62="ISIC 41T43",Calcs!$B$16+(1-Calcs!$B$16)*(1-C$56),0)+IF($A62="ISIC 28",(1-Calcs!$B$16)*C$56*Calcs!$H$21,0)+IF($A62="ISIC 49",(1-Calcs!$B$16)*C$56*Calcs!$I$21,0)+IF($A62="ISIC 45T47",(1-Calcs!$B$16)*C$56*Calcs!$J$21,0)</f>
        <v>0</v>
      </c>
      <c r="D62" s="16">
        <f>IF($A62="ISIC 41T43",Calcs!$B$16+(1-Calcs!$B$16)*(1-D$56),0)+IF($A62="ISIC 28",(1-Calcs!$B$16)*D$56*Calcs!$H$21,0)+IF($A62="ISIC 49",(1-Calcs!$B$16)*D$56*Calcs!$I$21,0)+IF($A62="ISIC 45T47",(1-Calcs!$B$16)*D$56*Calcs!$J$21,0)</f>
        <v>0</v>
      </c>
      <c r="E62" s="16">
        <f>IF($A62="ISIC 41T43",Calcs!$B$16+(1-Calcs!$B$16)*(1-E$56),0)+IF($A62="ISIC 28",(1-Calcs!$B$16)*E$56*Calcs!$H$21,0)+IF($A62="ISIC 49",(1-Calcs!$B$16)*E$56*Calcs!$I$21,0)+IF($A62="ISIC 45T47",(1-Calcs!$B$16)*E$56*Calcs!$J$21,0)</f>
        <v>0</v>
      </c>
      <c r="F62" s="16">
        <f t="shared" si="5"/>
        <v>0</v>
      </c>
      <c r="G62" s="16">
        <f t="shared" si="5"/>
        <v>0</v>
      </c>
    </row>
    <row r="63" spans="1:28" x14ac:dyDescent="0.35">
      <c r="A63" t="s">
        <v>239</v>
      </c>
      <c r="B63" s="16">
        <f>IF($A63="ISIC 41T43",Calcs!$B$16+(1-Calcs!$B$16)*(1-B$56),0)+IF($A63="ISIC 28",(1-Calcs!$B$16)*B$56*Calcs!$H$21,0)+IF($A63="ISIC 49",(1-Calcs!$B$16)*B$56*Calcs!$I$21,0)+IF($A63="ISIC 45T47",(1-Calcs!$B$16)*B$56*Calcs!$J$21,0)</f>
        <v>0</v>
      </c>
      <c r="C63" s="16">
        <f>IF($A63="ISIC 41T43",Calcs!$B$16+(1-Calcs!$B$16)*(1-C$56),0)+IF($A63="ISIC 28",(1-Calcs!$B$16)*C$56*Calcs!$H$21,0)+IF($A63="ISIC 49",(1-Calcs!$B$16)*C$56*Calcs!$I$21,0)+IF($A63="ISIC 45T47",(1-Calcs!$B$16)*C$56*Calcs!$J$21,0)</f>
        <v>0</v>
      </c>
      <c r="D63" s="16">
        <f>IF($A63="ISIC 41T43",Calcs!$B$16+(1-Calcs!$B$16)*(1-D$56),0)+IF($A63="ISIC 28",(1-Calcs!$B$16)*D$56*Calcs!$H$21,0)+IF($A63="ISIC 49",(1-Calcs!$B$16)*D$56*Calcs!$I$21,0)+IF($A63="ISIC 45T47",(1-Calcs!$B$16)*D$56*Calcs!$J$21,0)</f>
        <v>0</v>
      </c>
      <c r="E63" s="16">
        <f>IF($A63="ISIC 41T43",Calcs!$B$16+(1-Calcs!$B$16)*(1-E$56),0)+IF($A63="ISIC 28",(1-Calcs!$B$16)*E$56*Calcs!$H$21,0)+IF($A63="ISIC 49",(1-Calcs!$B$16)*E$56*Calcs!$I$21,0)+IF($A63="ISIC 45T47",(1-Calcs!$B$16)*E$56*Calcs!$J$21,0)</f>
        <v>0</v>
      </c>
      <c r="F63" s="16">
        <f t="shared" si="5"/>
        <v>0</v>
      </c>
      <c r="G63" s="16">
        <f t="shared" si="5"/>
        <v>0</v>
      </c>
    </row>
    <row r="64" spans="1:28" x14ac:dyDescent="0.35">
      <c r="A64" t="s">
        <v>240</v>
      </c>
      <c r="B64" s="16">
        <f>IF($A64="ISIC 41T43",Calcs!$B$16+(1-Calcs!$B$16)*(1-B$56),0)+IF($A64="ISIC 28",(1-Calcs!$B$16)*B$56*Calcs!$H$21,0)+IF($A64="ISIC 49",(1-Calcs!$B$16)*B$56*Calcs!$I$21,0)+IF($A64="ISIC 45T47",(1-Calcs!$B$16)*B$56*Calcs!$J$21,0)</f>
        <v>0</v>
      </c>
      <c r="C64" s="16">
        <f>IF($A64="ISIC 41T43",Calcs!$B$16+(1-Calcs!$B$16)*(1-C$56),0)+IF($A64="ISIC 28",(1-Calcs!$B$16)*C$56*Calcs!$H$21,0)+IF($A64="ISIC 49",(1-Calcs!$B$16)*C$56*Calcs!$I$21,0)+IF($A64="ISIC 45T47",(1-Calcs!$B$16)*C$56*Calcs!$J$21,0)</f>
        <v>0</v>
      </c>
      <c r="D64" s="16">
        <f>IF($A64="ISIC 41T43",Calcs!$B$16+(1-Calcs!$B$16)*(1-D$56),0)+IF($A64="ISIC 28",(1-Calcs!$B$16)*D$56*Calcs!$H$21,0)+IF($A64="ISIC 49",(1-Calcs!$B$16)*D$56*Calcs!$I$21,0)+IF($A64="ISIC 45T47",(1-Calcs!$B$16)*D$56*Calcs!$J$21,0)</f>
        <v>0</v>
      </c>
      <c r="E64" s="16">
        <f>IF($A64="ISIC 41T43",Calcs!$B$16+(1-Calcs!$B$16)*(1-E$56),0)+IF($A64="ISIC 28",(1-Calcs!$B$16)*E$56*Calcs!$H$21,0)+IF($A64="ISIC 49",(1-Calcs!$B$16)*E$56*Calcs!$I$21,0)+IF($A64="ISIC 45T47",(1-Calcs!$B$16)*E$56*Calcs!$J$21,0)</f>
        <v>0</v>
      </c>
      <c r="F64" s="16">
        <f t="shared" si="5"/>
        <v>0</v>
      </c>
      <c r="G64" s="16">
        <f t="shared" si="5"/>
        <v>0</v>
      </c>
    </row>
    <row r="65" spans="1:7" x14ac:dyDescent="0.35">
      <c r="A65" t="s">
        <v>241</v>
      </c>
      <c r="B65" s="16">
        <f>IF($A65="ISIC 41T43",Calcs!$B$16+(1-Calcs!$B$16)*(1-B$56),0)+IF($A65="ISIC 28",(1-Calcs!$B$16)*B$56*Calcs!$H$21,0)+IF($A65="ISIC 49",(1-Calcs!$B$16)*B$56*Calcs!$I$21,0)+IF($A65="ISIC 45T47",(1-Calcs!$B$16)*B$56*Calcs!$J$21,0)</f>
        <v>0</v>
      </c>
      <c r="C65" s="16">
        <f>IF($A65="ISIC 41T43",Calcs!$B$16+(1-Calcs!$B$16)*(1-C$56),0)+IF($A65="ISIC 28",(1-Calcs!$B$16)*C$56*Calcs!$H$21,0)+IF($A65="ISIC 49",(1-Calcs!$B$16)*C$56*Calcs!$I$21,0)+IF($A65="ISIC 45T47",(1-Calcs!$B$16)*C$56*Calcs!$J$21,0)</f>
        <v>0</v>
      </c>
      <c r="D65" s="16">
        <f>IF($A65="ISIC 41T43",Calcs!$B$16+(1-Calcs!$B$16)*(1-D$56),0)+IF($A65="ISIC 28",(1-Calcs!$B$16)*D$56*Calcs!$H$21,0)+IF($A65="ISIC 49",(1-Calcs!$B$16)*D$56*Calcs!$I$21,0)+IF($A65="ISIC 45T47",(1-Calcs!$B$16)*D$56*Calcs!$J$21,0)</f>
        <v>0</v>
      </c>
      <c r="E65" s="16">
        <f>IF($A65="ISIC 41T43",Calcs!$B$16+(1-Calcs!$B$16)*(1-E$56),0)+IF($A65="ISIC 28",(1-Calcs!$B$16)*E$56*Calcs!$H$21,0)+IF($A65="ISIC 49",(1-Calcs!$B$16)*E$56*Calcs!$I$21,0)+IF($A65="ISIC 45T47",(1-Calcs!$B$16)*E$56*Calcs!$J$21,0)</f>
        <v>0</v>
      </c>
      <c r="F65" s="16">
        <f t="shared" si="5"/>
        <v>0</v>
      </c>
      <c r="G65" s="16">
        <f t="shared" si="5"/>
        <v>0</v>
      </c>
    </row>
    <row r="66" spans="1:7" x14ac:dyDescent="0.35">
      <c r="A66" t="s">
        <v>242</v>
      </c>
      <c r="B66" s="16">
        <f>IF($A66="ISIC 41T43",Calcs!$B$16+(1-Calcs!$B$16)*(1-B$56),0)+IF($A66="ISIC 28",(1-Calcs!$B$16)*B$56*Calcs!$H$21,0)+IF($A66="ISIC 49",(1-Calcs!$B$16)*B$56*Calcs!$I$21,0)+IF($A66="ISIC 45T47",(1-Calcs!$B$16)*B$56*Calcs!$J$21,0)</f>
        <v>0</v>
      </c>
      <c r="C66" s="16">
        <f>IF($A66="ISIC 41T43",Calcs!$B$16+(1-Calcs!$B$16)*(1-C$56),0)+IF($A66="ISIC 28",(1-Calcs!$B$16)*C$56*Calcs!$H$21,0)+IF($A66="ISIC 49",(1-Calcs!$B$16)*C$56*Calcs!$I$21,0)+IF($A66="ISIC 45T47",(1-Calcs!$B$16)*C$56*Calcs!$J$21,0)</f>
        <v>0</v>
      </c>
      <c r="D66" s="16">
        <f>IF($A66="ISIC 41T43",Calcs!$B$16+(1-Calcs!$B$16)*(1-D$56),0)+IF($A66="ISIC 28",(1-Calcs!$B$16)*D$56*Calcs!$H$21,0)+IF($A66="ISIC 49",(1-Calcs!$B$16)*D$56*Calcs!$I$21,0)+IF($A66="ISIC 45T47",(1-Calcs!$B$16)*D$56*Calcs!$J$21,0)</f>
        <v>0</v>
      </c>
      <c r="E66" s="16">
        <f>IF($A66="ISIC 41T43",Calcs!$B$16+(1-Calcs!$B$16)*(1-E$56),0)+IF($A66="ISIC 28",(1-Calcs!$B$16)*E$56*Calcs!$H$21,0)+IF($A66="ISIC 49",(1-Calcs!$B$16)*E$56*Calcs!$I$21,0)+IF($A66="ISIC 45T47",(1-Calcs!$B$16)*E$56*Calcs!$J$21,0)</f>
        <v>0</v>
      </c>
      <c r="F66" s="16">
        <f t="shared" si="5"/>
        <v>0</v>
      </c>
      <c r="G66" s="16">
        <f t="shared" si="5"/>
        <v>0</v>
      </c>
    </row>
    <row r="67" spans="1:7" x14ac:dyDescent="0.35">
      <c r="A67" t="s">
        <v>243</v>
      </c>
      <c r="B67" s="16">
        <f>IF($A67="ISIC 41T43",Calcs!$B$16+(1-Calcs!$B$16)*(1-B$56),0)+IF($A67="ISIC 28",(1-Calcs!$B$16)*B$56*Calcs!$H$21,0)+IF($A67="ISIC 49",(1-Calcs!$B$16)*B$56*Calcs!$I$21,0)+IF($A67="ISIC 45T47",(1-Calcs!$B$16)*B$56*Calcs!$J$21,0)</f>
        <v>0</v>
      </c>
      <c r="C67" s="16">
        <f>IF($A67="ISIC 41T43",Calcs!$B$16+(1-Calcs!$B$16)*(1-C$56),0)+IF($A67="ISIC 28",(1-Calcs!$B$16)*C$56*Calcs!$H$21,0)+IF($A67="ISIC 49",(1-Calcs!$B$16)*C$56*Calcs!$I$21,0)+IF($A67="ISIC 45T47",(1-Calcs!$B$16)*C$56*Calcs!$J$21,0)</f>
        <v>0</v>
      </c>
      <c r="D67" s="16">
        <f>IF($A67="ISIC 41T43",Calcs!$B$16+(1-Calcs!$B$16)*(1-D$56),0)+IF($A67="ISIC 28",(1-Calcs!$B$16)*D$56*Calcs!$H$21,0)+IF($A67="ISIC 49",(1-Calcs!$B$16)*D$56*Calcs!$I$21,0)+IF($A67="ISIC 45T47",(1-Calcs!$B$16)*D$56*Calcs!$J$21,0)</f>
        <v>0</v>
      </c>
      <c r="E67" s="16">
        <f>IF($A67="ISIC 41T43",Calcs!$B$16+(1-Calcs!$B$16)*(1-E$56),0)+IF($A67="ISIC 28",(1-Calcs!$B$16)*E$56*Calcs!$H$21,0)+IF($A67="ISIC 49",(1-Calcs!$B$16)*E$56*Calcs!$I$21,0)+IF($A67="ISIC 45T47",(1-Calcs!$B$16)*E$56*Calcs!$J$21,0)</f>
        <v>0</v>
      </c>
      <c r="F67" s="16">
        <f t="shared" si="5"/>
        <v>0</v>
      </c>
      <c r="G67" s="16">
        <f t="shared" si="5"/>
        <v>0</v>
      </c>
    </row>
    <row r="68" spans="1:7" x14ac:dyDescent="0.35">
      <c r="A68" t="s">
        <v>244</v>
      </c>
      <c r="B68" s="16">
        <f>IF($A68="ISIC 41T43",Calcs!$B$16+(1-Calcs!$B$16)*(1-B$56),0)+IF($A68="ISIC 28",(1-Calcs!$B$16)*B$56*Calcs!$H$21,0)+IF($A68="ISIC 49",(1-Calcs!$B$16)*B$56*Calcs!$I$21,0)+IF($A68="ISIC 45T47",(1-Calcs!$B$16)*B$56*Calcs!$J$21,0)</f>
        <v>0</v>
      </c>
      <c r="C68" s="16">
        <f>IF($A68="ISIC 41T43",Calcs!$B$16+(1-Calcs!$B$16)*(1-C$56),0)+IF($A68="ISIC 28",(1-Calcs!$B$16)*C$56*Calcs!$H$21,0)+IF($A68="ISIC 49",(1-Calcs!$B$16)*C$56*Calcs!$I$21,0)+IF($A68="ISIC 45T47",(1-Calcs!$B$16)*C$56*Calcs!$J$21,0)</f>
        <v>0</v>
      </c>
      <c r="D68" s="16">
        <f>IF($A68="ISIC 41T43",Calcs!$B$16+(1-Calcs!$B$16)*(1-D$56),0)+IF($A68="ISIC 28",(1-Calcs!$B$16)*D$56*Calcs!$H$21,0)+IF($A68="ISIC 49",(1-Calcs!$B$16)*D$56*Calcs!$I$21,0)+IF($A68="ISIC 45T47",(1-Calcs!$B$16)*D$56*Calcs!$J$21,0)</f>
        <v>0</v>
      </c>
      <c r="E68" s="16">
        <f>IF($A68="ISIC 41T43",Calcs!$B$16+(1-Calcs!$B$16)*(1-E$56),0)+IF($A68="ISIC 28",(1-Calcs!$B$16)*E$56*Calcs!$H$21,0)+IF($A68="ISIC 49",(1-Calcs!$B$16)*E$56*Calcs!$I$21,0)+IF($A68="ISIC 45T47",(1-Calcs!$B$16)*E$56*Calcs!$J$21,0)</f>
        <v>0</v>
      </c>
      <c r="F68" s="16">
        <f t="shared" si="5"/>
        <v>0</v>
      </c>
      <c r="G68" s="16">
        <f t="shared" si="5"/>
        <v>0</v>
      </c>
    </row>
    <row r="69" spans="1:7" x14ac:dyDescent="0.35">
      <c r="A69" t="s">
        <v>245</v>
      </c>
      <c r="B69" s="16">
        <f>IF($A69="ISIC 41T43",Calcs!$B$16+(1-Calcs!$B$16)*(1-B$56),0)+IF($A69="ISIC 28",(1-Calcs!$B$16)*B$56*Calcs!$H$21,0)+IF($A69="ISIC 49",(1-Calcs!$B$16)*B$56*Calcs!$I$21,0)+IF($A69="ISIC 45T47",(1-Calcs!$B$16)*B$56*Calcs!$J$21,0)</f>
        <v>0</v>
      </c>
      <c r="C69" s="16">
        <f>IF($A69="ISIC 41T43",Calcs!$B$16+(1-Calcs!$B$16)*(1-C$56),0)+IF($A69="ISIC 28",(1-Calcs!$B$16)*C$56*Calcs!$H$21,0)+IF($A69="ISIC 49",(1-Calcs!$B$16)*C$56*Calcs!$I$21,0)+IF($A69="ISIC 45T47",(1-Calcs!$B$16)*C$56*Calcs!$J$21,0)</f>
        <v>0</v>
      </c>
      <c r="D69" s="16">
        <f>IF($A69="ISIC 41T43",Calcs!$B$16+(1-Calcs!$B$16)*(1-D$56),0)+IF($A69="ISIC 28",(1-Calcs!$B$16)*D$56*Calcs!$H$21,0)+IF($A69="ISIC 49",(1-Calcs!$B$16)*D$56*Calcs!$I$21,0)+IF($A69="ISIC 45T47",(1-Calcs!$B$16)*D$56*Calcs!$J$21,0)</f>
        <v>0</v>
      </c>
      <c r="E69" s="16">
        <f>IF($A69="ISIC 41T43",Calcs!$B$16+(1-Calcs!$B$16)*(1-E$56),0)+IF($A69="ISIC 28",(1-Calcs!$B$16)*E$56*Calcs!$H$21,0)+IF($A69="ISIC 49",(1-Calcs!$B$16)*E$56*Calcs!$I$21,0)+IF($A69="ISIC 45T47",(1-Calcs!$B$16)*E$56*Calcs!$J$21,0)</f>
        <v>0</v>
      </c>
      <c r="F69" s="16">
        <f t="shared" si="5"/>
        <v>0</v>
      </c>
      <c r="G69" s="16">
        <f t="shared" si="5"/>
        <v>0</v>
      </c>
    </row>
    <row r="70" spans="1:7" x14ac:dyDescent="0.35">
      <c r="A70" t="s">
        <v>246</v>
      </c>
      <c r="B70" s="16">
        <f>IF($A70="ISIC 41T43",Calcs!$B$16+(1-Calcs!$B$16)*(1-B$56),0)+IF($A70="ISIC 28",(1-Calcs!$B$16)*B$56*Calcs!$H$21,0)+IF($A70="ISIC 49",(1-Calcs!$B$16)*B$56*Calcs!$I$21,0)+IF($A70="ISIC 45T47",(1-Calcs!$B$16)*B$56*Calcs!$J$21,0)</f>
        <v>0</v>
      </c>
      <c r="C70" s="16">
        <f>IF($A70="ISIC 41T43",Calcs!$B$16+(1-Calcs!$B$16)*(1-C$56),0)+IF($A70="ISIC 28",(1-Calcs!$B$16)*C$56*Calcs!$H$21,0)+IF($A70="ISIC 49",(1-Calcs!$B$16)*C$56*Calcs!$I$21,0)+IF($A70="ISIC 45T47",(1-Calcs!$B$16)*C$56*Calcs!$J$21,0)</f>
        <v>0</v>
      </c>
      <c r="D70" s="16">
        <f>IF($A70="ISIC 41T43",Calcs!$B$16+(1-Calcs!$B$16)*(1-D$56),0)+IF($A70="ISIC 28",(1-Calcs!$B$16)*D$56*Calcs!$H$21,0)+IF($A70="ISIC 49",(1-Calcs!$B$16)*D$56*Calcs!$I$21,0)+IF($A70="ISIC 45T47",(1-Calcs!$B$16)*D$56*Calcs!$J$21,0)</f>
        <v>0</v>
      </c>
      <c r="E70" s="16">
        <f>IF($A70="ISIC 41T43",Calcs!$B$16+(1-Calcs!$B$16)*(1-E$56),0)+IF($A70="ISIC 28",(1-Calcs!$B$16)*E$56*Calcs!$H$21,0)+IF($A70="ISIC 49",(1-Calcs!$B$16)*E$56*Calcs!$I$21,0)+IF($A70="ISIC 45T47",(1-Calcs!$B$16)*E$56*Calcs!$J$21,0)</f>
        <v>0</v>
      </c>
      <c r="F70" s="16">
        <f t="shared" si="5"/>
        <v>0</v>
      </c>
      <c r="G70" s="16">
        <f t="shared" si="5"/>
        <v>0</v>
      </c>
    </row>
    <row r="71" spans="1:7" x14ac:dyDescent="0.35">
      <c r="A71" t="s">
        <v>247</v>
      </c>
      <c r="B71" s="16">
        <f>IF($A71="ISIC 41T43",Calcs!$B$16+(1-Calcs!$B$16)*(1-B$56),0)+IF($A71="ISIC 28",(1-Calcs!$B$16)*B$56*Calcs!$H$21,0)+IF($A71="ISIC 49",(1-Calcs!$B$16)*B$56*Calcs!$I$21,0)+IF($A71="ISIC 45T47",(1-Calcs!$B$16)*B$56*Calcs!$J$21,0)</f>
        <v>0</v>
      </c>
      <c r="C71" s="16">
        <f>IF($A71="ISIC 41T43",Calcs!$B$16+(1-Calcs!$B$16)*(1-C$56),0)+IF($A71="ISIC 28",(1-Calcs!$B$16)*C$56*Calcs!$H$21,0)+IF($A71="ISIC 49",(1-Calcs!$B$16)*C$56*Calcs!$I$21,0)+IF($A71="ISIC 45T47",(1-Calcs!$B$16)*C$56*Calcs!$J$21,0)</f>
        <v>0</v>
      </c>
      <c r="D71" s="16">
        <f>IF($A71="ISIC 41T43",Calcs!$B$16+(1-Calcs!$B$16)*(1-D$56),0)+IF($A71="ISIC 28",(1-Calcs!$B$16)*D$56*Calcs!$H$21,0)+IF($A71="ISIC 49",(1-Calcs!$B$16)*D$56*Calcs!$I$21,0)+IF($A71="ISIC 45T47",(1-Calcs!$B$16)*D$56*Calcs!$J$21,0)</f>
        <v>0</v>
      </c>
      <c r="E71" s="16">
        <f>IF($A71="ISIC 41T43",Calcs!$B$16+(1-Calcs!$B$16)*(1-E$56),0)+IF($A71="ISIC 28",(1-Calcs!$B$16)*E$56*Calcs!$H$21,0)+IF($A71="ISIC 49",(1-Calcs!$B$16)*E$56*Calcs!$I$21,0)+IF($A71="ISIC 45T47",(1-Calcs!$B$16)*E$56*Calcs!$J$21,0)</f>
        <v>0</v>
      </c>
      <c r="F71" s="16">
        <f t="shared" si="5"/>
        <v>0</v>
      </c>
      <c r="G71" s="16">
        <f t="shared" si="5"/>
        <v>0</v>
      </c>
    </row>
    <row r="72" spans="1:7" x14ac:dyDescent="0.35">
      <c r="A72" t="s">
        <v>248</v>
      </c>
      <c r="B72" s="16">
        <f>IF($A72="ISIC 41T43",Calcs!$B$16+(1-Calcs!$B$16)*(1-B$56),0)+IF($A72="ISIC 28",(1-Calcs!$B$16)*B$56*Calcs!$H$21,0)+IF($A72="ISIC 49",(1-Calcs!$B$16)*B$56*Calcs!$I$21,0)+IF($A72="ISIC 45T47",(1-Calcs!$B$16)*B$56*Calcs!$J$21,0)</f>
        <v>0</v>
      </c>
      <c r="C72" s="16">
        <f>IF($A72="ISIC 41T43",Calcs!$B$16+(1-Calcs!$B$16)*(1-C$56),0)+IF($A72="ISIC 28",(1-Calcs!$B$16)*C$56*Calcs!$H$21,0)+IF($A72="ISIC 49",(1-Calcs!$B$16)*C$56*Calcs!$I$21,0)+IF($A72="ISIC 45T47",(1-Calcs!$B$16)*C$56*Calcs!$J$21,0)</f>
        <v>0</v>
      </c>
      <c r="D72" s="16">
        <f>IF($A72="ISIC 41T43",Calcs!$B$16+(1-Calcs!$B$16)*(1-D$56),0)+IF($A72="ISIC 28",(1-Calcs!$B$16)*D$56*Calcs!$H$21,0)+IF($A72="ISIC 49",(1-Calcs!$B$16)*D$56*Calcs!$I$21,0)+IF($A72="ISIC 45T47",(1-Calcs!$B$16)*D$56*Calcs!$J$21,0)</f>
        <v>0</v>
      </c>
      <c r="E72" s="16">
        <f>IF($A72="ISIC 41T43",Calcs!$B$16+(1-Calcs!$B$16)*(1-E$56),0)+IF($A72="ISIC 28",(1-Calcs!$B$16)*E$56*Calcs!$H$21,0)+IF($A72="ISIC 49",(1-Calcs!$B$16)*E$56*Calcs!$I$21,0)+IF($A72="ISIC 45T47",(1-Calcs!$B$16)*E$56*Calcs!$J$21,0)</f>
        <v>0</v>
      </c>
      <c r="F72" s="16">
        <f t="shared" si="5"/>
        <v>0</v>
      </c>
      <c r="G72" s="16">
        <f t="shared" si="5"/>
        <v>0</v>
      </c>
    </row>
    <row r="73" spans="1:7" x14ac:dyDescent="0.35">
      <c r="A73" t="s">
        <v>249</v>
      </c>
      <c r="B73" s="16">
        <f>IF($A73="ISIC 41T43",Calcs!$B$16+(1-Calcs!$B$16)*(1-B$56),0)+IF($A73="ISIC 28",(1-Calcs!$B$16)*B$56*Calcs!$H$21,0)+IF($A73="ISIC 49",(1-Calcs!$B$16)*B$56*Calcs!$I$21,0)+IF($A73="ISIC 45T47",(1-Calcs!$B$16)*B$56*Calcs!$J$21,0)</f>
        <v>0</v>
      </c>
      <c r="C73" s="16">
        <f>IF($A73="ISIC 41T43",Calcs!$B$16+(1-Calcs!$B$16)*(1-C$56),0)+IF($A73="ISIC 28",(1-Calcs!$B$16)*C$56*Calcs!$H$21,0)+IF($A73="ISIC 49",(1-Calcs!$B$16)*C$56*Calcs!$I$21,0)+IF($A73="ISIC 45T47",(1-Calcs!$B$16)*C$56*Calcs!$J$21,0)</f>
        <v>0</v>
      </c>
      <c r="D73" s="16">
        <f>IF($A73="ISIC 41T43",Calcs!$B$16+(1-Calcs!$B$16)*(1-D$56),0)+IF($A73="ISIC 28",(1-Calcs!$B$16)*D$56*Calcs!$H$21,0)+IF($A73="ISIC 49",(1-Calcs!$B$16)*D$56*Calcs!$I$21,0)+IF($A73="ISIC 45T47",(1-Calcs!$B$16)*D$56*Calcs!$J$21,0)</f>
        <v>0</v>
      </c>
      <c r="E73" s="16">
        <f>IF($A73="ISIC 41T43",Calcs!$B$16+(1-Calcs!$B$16)*(1-E$56),0)+IF($A73="ISIC 28",(1-Calcs!$B$16)*E$56*Calcs!$H$21,0)+IF($A73="ISIC 49",(1-Calcs!$B$16)*E$56*Calcs!$I$21,0)+IF($A73="ISIC 45T47",(1-Calcs!$B$16)*E$56*Calcs!$J$21,0)</f>
        <v>0</v>
      </c>
      <c r="F73" s="16">
        <f t="shared" si="5"/>
        <v>0</v>
      </c>
      <c r="G73" s="16">
        <f t="shared" si="5"/>
        <v>0</v>
      </c>
    </row>
    <row r="74" spans="1:7" x14ac:dyDescent="0.35">
      <c r="A74" t="s">
        <v>250</v>
      </c>
      <c r="B74" s="16">
        <f>IF($A74="ISIC 41T43",Calcs!$B$16+(1-Calcs!$B$16)*(1-B$56),0)+IF($A74="ISIC 28",(1-Calcs!$B$16)*B$56*Calcs!$H$21,0)+IF($A74="ISIC 49",(1-Calcs!$B$16)*B$56*Calcs!$I$21,0)+IF($A74="ISIC 45T47",(1-Calcs!$B$16)*B$56*Calcs!$J$21,0)</f>
        <v>0</v>
      </c>
      <c r="C74" s="16">
        <f>IF($A74="ISIC 41T43",Calcs!$B$16+(1-Calcs!$B$16)*(1-C$56),0)+IF($A74="ISIC 28",(1-Calcs!$B$16)*C$56*Calcs!$H$21,0)+IF($A74="ISIC 49",(1-Calcs!$B$16)*C$56*Calcs!$I$21,0)+IF($A74="ISIC 45T47",(1-Calcs!$B$16)*C$56*Calcs!$J$21,0)</f>
        <v>0</v>
      </c>
      <c r="D74" s="16">
        <f>IF($A74="ISIC 41T43",Calcs!$B$16+(1-Calcs!$B$16)*(1-D$56),0)+IF($A74="ISIC 28",(1-Calcs!$B$16)*D$56*Calcs!$H$21,0)+IF($A74="ISIC 49",(1-Calcs!$B$16)*D$56*Calcs!$I$21,0)+IF($A74="ISIC 45T47",(1-Calcs!$B$16)*D$56*Calcs!$J$21,0)</f>
        <v>0</v>
      </c>
      <c r="E74" s="16">
        <f>IF($A74="ISIC 41T43",Calcs!$B$16+(1-Calcs!$B$16)*(1-E$56),0)+IF($A74="ISIC 28",(1-Calcs!$B$16)*E$56*Calcs!$H$21,0)+IF($A74="ISIC 49",(1-Calcs!$B$16)*E$56*Calcs!$I$21,0)+IF($A74="ISIC 45T47",(1-Calcs!$B$16)*E$56*Calcs!$J$21,0)</f>
        <v>0</v>
      </c>
      <c r="F74" s="16">
        <f t="shared" si="5"/>
        <v>0</v>
      </c>
      <c r="G74" s="16">
        <f t="shared" si="5"/>
        <v>0</v>
      </c>
    </row>
    <row r="75" spans="1:7" x14ac:dyDescent="0.35">
      <c r="A75" t="s">
        <v>251</v>
      </c>
      <c r="B75" s="16">
        <f>IF($A75="ISIC 41T43",Calcs!$B$16+(1-Calcs!$B$16)*(1-B$56),0)+IF($A75="ISIC 28",(1-Calcs!$B$16)*B$56*Calcs!$H$21,0)+IF($A75="ISIC 49",(1-Calcs!$B$16)*B$56*Calcs!$I$21,0)+IF($A75="ISIC 45T47",(1-Calcs!$B$16)*B$56*Calcs!$J$21,0)</f>
        <v>0</v>
      </c>
      <c r="C75" s="16">
        <f>IF($A75="ISIC 41T43",Calcs!$B$16+(1-Calcs!$B$16)*(1-C$56),0)+IF($A75="ISIC 28",(1-Calcs!$B$16)*C$56*Calcs!$H$21,0)+IF($A75="ISIC 49",(1-Calcs!$B$16)*C$56*Calcs!$I$21,0)+IF($A75="ISIC 45T47",(1-Calcs!$B$16)*C$56*Calcs!$J$21,0)</f>
        <v>0</v>
      </c>
      <c r="D75" s="16">
        <f>IF($A75="ISIC 41T43",Calcs!$B$16+(1-Calcs!$B$16)*(1-D$56),0)+IF($A75="ISIC 28",(1-Calcs!$B$16)*D$56*Calcs!$H$21,0)+IF($A75="ISIC 49",(1-Calcs!$B$16)*D$56*Calcs!$I$21,0)+IF($A75="ISIC 45T47",(1-Calcs!$B$16)*D$56*Calcs!$J$21,0)</f>
        <v>0</v>
      </c>
      <c r="E75" s="16">
        <f>IF($A75="ISIC 41T43",Calcs!$B$16+(1-Calcs!$B$16)*(1-E$56),0)+IF($A75="ISIC 28",(1-Calcs!$B$16)*E$56*Calcs!$H$21,0)+IF($A75="ISIC 49",(1-Calcs!$B$16)*E$56*Calcs!$I$21,0)+IF($A75="ISIC 45T47",(1-Calcs!$B$16)*E$56*Calcs!$J$21,0)</f>
        <v>0</v>
      </c>
      <c r="F75" s="16">
        <f t="shared" si="5"/>
        <v>0</v>
      </c>
      <c r="G75" s="16">
        <f t="shared" si="5"/>
        <v>0</v>
      </c>
    </row>
    <row r="76" spans="1:7" x14ac:dyDescent="0.35">
      <c r="A76" t="s">
        <v>252</v>
      </c>
      <c r="B76" s="16">
        <f>IF($A76="ISIC 41T43",Calcs!$B$16+(1-Calcs!$B$16)*(1-B$56),0)+IF($A76="ISIC 28",(1-Calcs!$B$16)*B$56*Calcs!$H$21,0)+IF($A76="ISIC 49",(1-Calcs!$B$16)*B$56*Calcs!$I$21,0)+IF($A76="ISIC 45T47",(1-Calcs!$B$16)*B$56*Calcs!$J$21,0)</f>
        <v>0</v>
      </c>
      <c r="C76" s="16">
        <f>IF($A76="ISIC 41T43",Calcs!$B$16+(1-Calcs!$B$16)*(1-C$56),0)+IF($A76="ISIC 28",(1-Calcs!$B$16)*C$56*Calcs!$H$21,0)+IF($A76="ISIC 49",(1-Calcs!$B$16)*C$56*Calcs!$I$21,0)+IF($A76="ISIC 45T47",(1-Calcs!$B$16)*C$56*Calcs!$J$21,0)</f>
        <v>0</v>
      </c>
      <c r="D76" s="16">
        <f>IF($A76="ISIC 41T43",Calcs!$B$16+(1-Calcs!$B$16)*(1-D$56),0)+IF($A76="ISIC 28",(1-Calcs!$B$16)*D$56*Calcs!$H$21,0)+IF($A76="ISIC 49",(1-Calcs!$B$16)*D$56*Calcs!$I$21,0)+IF($A76="ISIC 45T47",(1-Calcs!$B$16)*D$56*Calcs!$J$21,0)</f>
        <v>0</v>
      </c>
      <c r="E76" s="16">
        <f>IF($A76="ISIC 41T43",Calcs!$B$16+(1-Calcs!$B$16)*(1-E$56),0)+IF($A76="ISIC 28",(1-Calcs!$B$16)*E$56*Calcs!$H$21,0)+IF($A76="ISIC 49",(1-Calcs!$B$16)*E$56*Calcs!$I$21,0)+IF($A76="ISIC 45T47",(1-Calcs!$B$16)*E$56*Calcs!$J$21,0)</f>
        <v>0</v>
      </c>
      <c r="F76" s="16">
        <f t="shared" si="5"/>
        <v>0</v>
      </c>
      <c r="G76" s="16">
        <f t="shared" si="5"/>
        <v>0</v>
      </c>
    </row>
    <row r="77" spans="1:7" x14ac:dyDescent="0.35">
      <c r="A77" t="s">
        <v>253</v>
      </c>
      <c r="B77" s="16">
        <f>IF($A77="ISIC 41T43",Calcs!$B$16+(1-Calcs!$B$16)*(1-B$56),0)+IF($A77="ISIC 28",(1-Calcs!$B$16)*B$56*Calcs!$H$21,0)+IF($A77="ISIC 49",(1-Calcs!$B$16)*B$56*Calcs!$I$21,0)+IF($A77="ISIC 45T47",(1-Calcs!$B$16)*B$56*Calcs!$J$21,0)</f>
        <v>0</v>
      </c>
      <c r="C77" s="16">
        <f>IF($A77="ISIC 41T43",Calcs!$B$16+(1-Calcs!$B$16)*(1-C$56),0)+IF($A77="ISIC 28",(1-Calcs!$B$16)*C$56*Calcs!$H$21,0)+IF($A77="ISIC 49",(1-Calcs!$B$16)*C$56*Calcs!$I$21,0)+IF($A77="ISIC 45T47",(1-Calcs!$B$16)*C$56*Calcs!$J$21,0)</f>
        <v>0</v>
      </c>
      <c r="D77" s="16">
        <f>IF($A77="ISIC 41T43",Calcs!$B$16+(1-Calcs!$B$16)*(1-D$56),0)+IF($A77="ISIC 28",(1-Calcs!$B$16)*D$56*Calcs!$H$21,0)+IF($A77="ISIC 49",(1-Calcs!$B$16)*D$56*Calcs!$I$21,0)+IF($A77="ISIC 45T47",(1-Calcs!$B$16)*D$56*Calcs!$J$21,0)</f>
        <v>0</v>
      </c>
      <c r="E77" s="16">
        <f>IF($A77="ISIC 41T43",Calcs!$B$16+(1-Calcs!$B$16)*(1-E$56),0)+IF($A77="ISIC 28",(1-Calcs!$B$16)*E$56*Calcs!$H$21,0)+IF($A77="ISIC 49",(1-Calcs!$B$16)*E$56*Calcs!$I$21,0)+IF($A77="ISIC 45T47",(1-Calcs!$B$16)*E$56*Calcs!$J$21,0)</f>
        <v>0</v>
      </c>
      <c r="F77" s="16">
        <f t="shared" si="5"/>
        <v>0</v>
      </c>
      <c r="G77" s="16">
        <f t="shared" si="5"/>
        <v>0</v>
      </c>
    </row>
    <row r="78" spans="1:7" x14ac:dyDescent="0.35">
      <c r="A78" t="s">
        <v>254</v>
      </c>
      <c r="B78" s="16">
        <f>IF($A78="ISIC 41T43",Calcs!$B$16+(1-Calcs!$B$16)*(1-B$56),0)+IF($A78="ISIC 28",(1-Calcs!$B$16)*B$56*Calcs!$H$21,0)+IF($A78="ISIC 49",(1-Calcs!$B$16)*B$56*Calcs!$I$21,0)+IF($A78="ISIC 45T47",(1-Calcs!$B$16)*B$56*Calcs!$J$21,0)</f>
        <v>0</v>
      </c>
      <c r="C78" s="16">
        <f>IF($A78="ISIC 41T43",Calcs!$B$16+(1-Calcs!$B$16)*(1-C$56),0)+IF($A78="ISIC 28",(1-Calcs!$B$16)*C$56*Calcs!$H$21,0)+IF($A78="ISIC 49",(1-Calcs!$B$16)*C$56*Calcs!$I$21,0)+IF($A78="ISIC 45T47",(1-Calcs!$B$16)*C$56*Calcs!$J$21,0)</f>
        <v>0</v>
      </c>
      <c r="D78" s="16">
        <f>IF($A78="ISIC 41T43",Calcs!$B$16+(1-Calcs!$B$16)*(1-D$56),0)+IF($A78="ISIC 28",(1-Calcs!$B$16)*D$56*Calcs!$H$21,0)+IF($A78="ISIC 49",(1-Calcs!$B$16)*D$56*Calcs!$I$21,0)+IF($A78="ISIC 45T47",(1-Calcs!$B$16)*D$56*Calcs!$J$21,0)</f>
        <v>0</v>
      </c>
      <c r="E78" s="16">
        <f>IF($A78="ISIC 41T43",Calcs!$B$16+(1-Calcs!$B$16)*(1-E$56),0)+IF($A78="ISIC 28",(1-Calcs!$B$16)*E$56*Calcs!$H$21,0)+IF($A78="ISIC 49",(1-Calcs!$B$16)*E$56*Calcs!$I$21,0)+IF($A78="ISIC 45T47",(1-Calcs!$B$16)*E$56*Calcs!$J$21,0)</f>
        <v>0</v>
      </c>
      <c r="F78" s="16">
        <f t="shared" ref="F78:G97" si="6">SUMIFS($Z$40:$Z$50,$E$40:$E$50,$A78)+IF($A78="ISIC 41T43",$V$51,0)+IF($A78="ISIC 45T47",$AA$51,0)+IF($A78="ISIC 49",$AB$51,0)</f>
        <v>6.2652119642991694E-2</v>
      </c>
      <c r="G78" s="16">
        <f t="shared" si="6"/>
        <v>6.2652119642991694E-2</v>
      </c>
    </row>
    <row r="79" spans="1:7" x14ac:dyDescent="0.35">
      <c r="A79" t="s">
        <v>255</v>
      </c>
      <c r="B79" s="16">
        <f>IF($A79="ISIC 41T43",Calcs!$B$16+(1-Calcs!$B$16)*(1-B$56),0)+IF($A79="ISIC 28",(1-Calcs!$B$16)*B$56*Calcs!$H$21,0)+IF($A79="ISIC 49",(1-Calcs!$B$16)*B$56*Calcs!$I$21,0)+IF($A79="ISIC 45T47",(1-Calcs!$B$16)*B$56*Calcs!$J$21,0)</f>
        <v>0</v>
      </c>
      <c r="C79" s="16">
        <f>IF($A79="ISIC 41T43",Calcs!$B$16+(1-Calcs!$B$16)*(1-C$56),0)+IF($A79="ISIC 28",(1-Calcs!$B$16)*C$56*Calcs!$H$21,0)+IF($A79="ISIC 49",(1-Calcs!$B$16)*C$56*Calcs!$I$21,0)+IF($A79="ISIC 45T47",(1-Calcs!$B$16)*C$56*Calcs!$J$21,0)</f>
        <v>0</v>
      </c>
      <c r="D79" s="16">
        <f>IF($A79="ISIC 41T43",Calcs!$B$16+(1-Calcs!$B$16)*(1-D$56),0)+IF($A79="ISIC 28",(1-Calcs!$B$16)*D$56*Calcs!$H$21,0)+IF($A79="ISIC 49",(1-Calcs!$B$16)*D$56*Calcs!$I$21,0)+IF($A79="ISIC 45T47",(1-Calcs!$B$16)*D$56*Calcs!$J$21,0)</f>
        <v>0</v>
      </c>
      <c r="E79" s="16">
        <f>IF($A79="ISIC 41T43",Calcs!$B$16+(1-Calcs!$B$16)*(1-E$56),0)+IF($A79="ISIC 28",(1-Calcs!$B$16)*E$56*Calcs!$H$21,0)+IF($A79="ISIC 49",(1-Calcs!$B$16)*E$56*Calcs!$I$21,0)+IF($A79="ISIC 45T47",(1-Calcs!$B$16)*E$56*Calcs!$J$21,0)</f>
        <v>0</v>
      </c>
      <c r="F79" s="16">
        <f t="shared" si="6"/>
        <v>8.2476824567215584E-2</v>
      </c>
      <c r="G79" s="16">
        <f t="shared" si="6"/>
        <v>8.2476824567215584E-2</v>
      </c>
    </row>
    <row r="80" spans="1:7" x14ac:dyDescent="0.35">
      <c r="A80" t="s">
        <v>256</v>
      </c>
      <c r="B80" s="16">
        <f>IF($A80="ISIC 41T43",Calcs!$B$16+(1-Calcs!$B$16)*(1-B$56),0)+IF($A80="ISIC 28",(1-Calcs!$B$16)*B$56*Calcs!$H$21,0)+IF($A80="ISIC 49",(1-Calcs!$B$16)*B$56*Calcs!$I$21,0)+IF($A80="ISIC 45T47",(1-Calcs!$B$16)*B$56*Calcs!$J$21,0)</f>
        <v>0</v>
      </c>
      <c r="C80" s="16">
        <f>IF($A80="ISIC 41T43",Calcs!$B$16+(1-Calcs!$B$16)*(1-C$56),0)+IF($A80="ISIC 28",(1-Calcs!$B$16)*C$56*Calcs!$H$21,0)+IF($A80="ISIC 49",(1-Calcs!$B$16)*C$56*Calcs!$I$21,0)+IF($A80="ISIC 45T47",(1-Calcs!$B$16)*C$56*Calcs!$J$21,0)</f>
        <v>0</v>
      </c>
      <c r="D80" s="16">
        <f>IF($A80="ISIC 41T43",Calcs!$B$16+(1-Calcs!$B$16)*(1-D$56),0)+IF($A80="ISIC 28",(1-Calcs!$B$16)*D$56*Calcs!$H$21,0)+IF($A80="ISIC 49",(1-Calcs!$B$16)*D$56*Calcs!$I$21,0)+IF($A80="ISIC 45T47",(1-Calcs!$B$16)*D$56*Calcs!$J$21,0)</f>
        <v>0</v>
      </c>
      <c r="E80" s="16">
        <f>IF($A80="ISIC 41T43",Calcs!$B$16+(1-Calcs!$B$16)*(1-E$56),0)+IF($A80="ISIC 28",(1-Calcs!$B$16)*E$56*Calcs!$H$21,0)+IF($A80="ISIC 49",(1-Calcs!$B$16)*E$56*Calcs!$I$21,0)+IF($A80="ISIC 45T47",(1-Calcs!$B$16)*E$56*Calcs!$J$21,0)</f>
        <v>0</v>
      </c>
      <c r="F80" s="16">
        <f t="shared" si="6"/>
        <v>3.5622900571994909E-2</v>
      </c>
      <c r="G80" s="16">
        <f t="shared" si="6"/>
        <v>3.5622900571994909E-2</v>
      </c>
    </row>
    <row r="81" spans="1:7" x14ac:dyDescent="0.35">
      <c r="A81" t="s">
        <v>257</v>
      </c>
      <c r="B81" s="16">
        <f>IF($A81="ISIC 41T43",Calcs!$B$16+(1-Calcs!$B$16)*(1-B$56),0)+IF($A81="ISIC 28",(1-Calcs!$B$16)*B$56*Calcs!$H$21,0)+IF($A81="ISIC 49",(1-Calcs!$B$16)*B$56*Calcs!$I$21,0)+IF($A81="ISIC 45T47",(1-Calcs!$B$16)*B$56*Calcs!$J$21,0)</f>
        <v>5.7242345388619567E-2</v>
      </c>
      <c r="C81" s="16">
        <f>IF($A81="ISIC 41T43",Calcs!$B$16+(1-Calcs!$B$16)*(1-C$56),0)+IF($A81="ISIC 28",(1-Calcs!$B$16)*C$56*Calcs!$H$21,0)+IF($A81="ISIC 49",(1-Calcs!$B$16)*C$56*Calcs!$I$21,0)+IF($A81="ISIC 45T47",(1-Calcs!$B$16)*C$56*Calcs!$J$21,0)</f>
        <v>7.6587069426419727E-2</v>
      </c>
      <c r="D81" s="16">
        <f>IF($A81="ISIC 41T43",Calcs!$B$16+(1-Calcs!$B$16)*(1-D$56),0)+IF($A81="ISIC 28",(1-Calcs!$B$16)*D$56*Calcs!$H$21,0)+IF($A81="ISIC 49",(1-Calcs!$B$16)*D$56*Calcs!$I$21,0)+IF($A81="ISIC 45T47",(1-Calcs!$B$16)*D$56*Calcs!$J$21,0)</f>
        <v>5.7242345388619567E-2</v>
      </c>
      <c r="E81" s="16">
        <f>IF($A81="ISIC 41T43",Calcs!$B$16+(1-Calcs!$B$16)*(1-E$56),0)+IF($A81="ISIC 28",(1-Calcs!$B$16)*E$56*Calcs!$H$21,0)+IF($A81="ISIC 49",(1-Calcs!$B$16)*E$56*Calcs!$I$21,0)+IF($A81="ISIC 45T47",(1-Calcs!$B$16)*E$56*Calcs!$J$21,0)</f>
        <v>7.6587069426419727E-2</v>
      </c>
      <c r="F81" s="16">
        <f t="shared" si="6"/>
        <v>7.446325552416035E-3</v>
      </c>
      <c r="G81" s="16">
        <f t="shared" si="6"/>
        <v>7.446325552416035E-3</v>
      </c>
    </row>
    <row r="82" spans="1:7" x14ac:dyDescent="0.35">
      <c r="A82" t="s">
        <v>258</v>
      </c>
      <c r="B82" s="16">
        <f>IF($A82="ISIC 41T43",Calcs!$B$16+(1-Calcs!$B$16)*(1-B$56),0)+IF($A82="ISIC 28",(1-Calcs!$B$16)*B$56*Calcs!$H$21,0)+IF($A82="ISIC 49",(1-Calcs!$B$16)*B$56*Calcs!$I$21,0)+IF($A82="ISIC 45T47",(1-Calcs!$B$16)*B$56*Calcs!$J$21,0)</f>
        <v>0</v>
      </c>
      <c r="C82" s="16">
        <f>IF($A82="ISIC 41T43",Calcs!$B$16+(1-Calcs!$B$16)*(1-C$56),0)+IF($A82="ISIC 28",(1-Calcs!$B$16)*C$56*Calcs!$H$21,0)+IF($A82="ISIC 49",(1-Calcs!$B$16)*C$56*Calcs!$I$21,0)+IF($A82="ISIC 45T47",(1-Calcs!$B$16)*C$56*Calcs!$J$21,0)</f>
        <v>0</v>
      </c>
      <c r="D82" s="16">
        <f>IF($A82="ISIC 41T43",Calcs!$B$16+(1-Calcs!$B$16)*(1-D$56),0)+IF($A82="ISIC 28",(1-Calcs!$B$16)*D$56*Calcs!$H$21,0)+IF($A82="ISIC 49",(1-Calcs!$B$16)*D$56*Calcs!$I$21,0)+IF($A82="ISIC 45T47",(1-Calcs!$B$16)*D$56*Calcs!$J$21,0)</f>
        <v>0</v>
      </c>
      <c r="E82" s="16">
        <f>IF($A82="ISIC 41T43",Calcs!$B$16+(1-Calcs!$B$16)*(1-E$56),0)+IF($A82="ISIC 28",(1-Calcs!$B$16)*E$56*Calcs!$H$21,0)+IF($A82="ISIC 49",(1-Calcs!$B$16)*E$56*Calcs!$I$21,0)+IF($A82="ISIC 45T47",(1-Calcs!$B$16)*E$56*Calcs!$J$21,0)</f>
        <v>0</v>
      </c>
      <c r="F82" s="16">
        <f t="shared" si="6"/>
        <v>0</v>
      </c>
      <c r="G82" s="16">
        <f t="shared" si="6"/>
        <v>0</v>
      </c>
    </row>
    <row r="83" spans="1:7" x14ac:dyDescent="0.35">
      <c r="A83" t="s">
        <v>259</v>
      </c>
      <c r="B83" s="16">
        <f>IF($A83="ISIC 41T43",Calcs!$B$16+(1-Calcs!$B$16)*(1-B$56),0)+IF($A83="ISIC 28",(1-Calcs!$B$16)*B$56*Calcs!$H$21,0)+IF($A83="ISIC 49",(1-Calcs!$B$16)*B$56*Calcs!$I$21,0)+IF($A83="ISIC 45T47",(1-Calcs!$B$16)*B$56*Calcs!$J$21,0)</f>
        <v>0</v>
      </c>
      <c r="C83" s="16">
        <f>IF($A83="ISIC 41T43",Calcs!$B$16+(1-Calcs!$B$16)*(1-C$56),0)+IF($A83="ISIC 28",(1-Calcs!$B$16)*C$56*Calcs!$H$21,0)+IF($A83="ISIC 49",(1-Calcs!$B$16)*C$56*Calcs!$I$21,0)+IF($A83="ISIC 45T47",(1-Calcs!$B$16)*C$56*Calcs!$J$21,0)</f>
        <v>0</v>
      </c>
      <c r="D83" s="16">
        <f>IF($A83="ISIC 41T43",Calcs!$B$16+(1-Calcs!$B$16)*(1-D$56),0)+IF($A83="ISIC 28",(1-Calcs!$B$16)*D$56*Calcs!$H$21,0)+IF($A83="ISIC 49",(1-Calcs!$B$16)*D$56*Calcs!$I$21,0)+IF($A83="ISIC 45T47",(1-Calcs!$B$16)*D$56*Calcs!$J$21,0)</f>
        <v>0</v>
      </c>
      <c r="E83" s="16">
        <f>IF($A83="ISIC 41T43",Calcs!$B$16+(1-Calcs!$B$16)*(1-E$56),0)+IF($A83="ISIC 28",(1-Calcs!$B$16)*E$56*Calcs!$H$21,0)+IF($A83="ISIC 49",(1-Calcs!$B$16)*E$56*Calcs!$I$21,0)+IF($A83="ISIC 45T47",(1-Calcs!$B$16)*E$56*Calcs!$J$21,0)</f>
        <v>0</v>
      </c>
      <c r="F83" s="16">
        <f t="shared" si="6"/>
        <v>0</v>
      </c>
      <c r="G83" s="16">
        <f t="shared" si="6"/>
        <v>0</v>
      </c>
    </row>
    <row r="84" spans="1:7" x14ac:dyDescent="0.35">
      <c r="A84" t="s">
        <v>260</v>
      </c>
      <c r="B84" s="16">
        <f>IF($A84="ISIC 41T43",Calcs!$B$16+(1-Calcs!$B$16)*(1-B$56),0)+IF($A84="ISIC 28",(1-Calcs!$B$16)*B$56*Calcs!$H$21,0)+IF($A84="ISIC 49",(1-Calcs!$B$16)*B$56*Calcs!$I$21,0)+IF($A84="ISIC 45T47",(1-Calcs!$B$16)*B$56*Calcs!$J$21,0)</f>
        <v>0</v>
      </c>
      <c r="C84" s="16">
        <f>IF($A84="ISIC 41T43",Calcs!$B$16+(1-Calcs!$B$16)*(1-C$56),0)+IF($A84="ISIC 28",(1-Calcs!$B$16)*C$56*Calcs!$H$21,0)+IF($A84="ISIC 49",(1-Calcs!$B$16)*C$56*Calcs!$I$21,0)+IF($A84="ISIC 45T47",(1-Calcs!$B$16)*C$56*Calcs!$J$21,0)</f>
        <v>0</v>
      </c>
      <c r="D84" s="16">
        <f>IF($A84="ISIC 41T43",Calcs!$B$16+(1-Calcs!$B$16)*(1-D$56),0)+IF($A84="ISIC 28",(1-Calcs!$B$16)*D$56*Calcs!$H$21,0)+IF($A84="ISIC 49",(1-Calcs!$B$16)*D$56*Calcs!$I$21,0)+IF($A84="ISIC 45T47",(1-Calcs!$B$16)*D$56*Calcs!$J$21,0)</f>
        <v>0</v>
      </c>
      <c r="E84" s="16">
        <f>IF($A84="ISIC 41T43",Calcs!$B$16+(1-Calcs!$B$16)*(1-E$56),0)+IF($A84="ISIC 28",(1-Calcs!$B$16)*E$56*Calcs!$H$21,0)+IF($A84="ISIC 49",(1-Calcs!$B$16)*E$56*Calcs!$I$21,0)+IF($A84="ISIC 45T47",(1-Calcs!$B$16)*E$56*Calcs!$J$21,0)</f>
        <v>0</v>
      </c>
      <c r="F84" s="16">
        <f t="shared" si="6"/>
        <v>0</v>
      </c>
      <c r="G84" s="16">
        <f t="shared" si="6"/>
        <v>0</v>
      </c>
    </row>
    <row r="85" spans="1:7" x14ac:dyDescent="0.35">
      <c r="A85" t="s">
        <v>261</v>
      </c>
      <c r="B85" s="16">
        <f>IF($A85="ISIC 41T43",Calcs!$B$16+(1-Calcs!$B$16)*(1-B$56),0)+IF($A85="ISIC 28",(1-Calcs!$B$16)*B$56*Calcs!$H$21,0)+IF($A85="ISIC 49",(1-Calcs!$B$16)*B$56*Calcs!$I$21,0)+IF($A85="ISIC 45T47",(1-Calcs!$B$16)*B$56*Calcs!$J$21,0)</f>
        <v>0</v>
      </c>
      <c r="C85" s="16">
        <f>IF($A85="ISIC 41T43",Calcs!$B$16+(1-Calcs!$B$16)*(1-C$56),0)+IF($A85="ISIC 28",(1-Calcs!$B$16)*C$56*Calcs!$H$21,0)+IF($A85="ISIC 49",(1-Calcs!$B$16)*C$56*Calcs!$I$21,0)+IF($A85="ISIC 45T47",(1-Calcs!$B$16)*C$56*Calcs!$J$21,0)</f>
        <v>0</v>
      </c>
      <c r="D85" s="16">
        <f>IF($A85="ISIC 41T43",Calcs!$B$16+(1-Calcs!$B$16)*(1-D$56),0)+IF($A85="ISIC 28",(1-Calcs!$B$16)*D$56*Calcs!$H$21,0)+IF($A85="ISIC 49",(1-Calcs!$B$16)*D$56*Calcs!$I$21,0)+IF($A85="ISIC 45T47",(1-Calcs!$B$16)*D$56*Calcs!$J$21,0)</f>
        <v>0</v>
      </c>
      <c r="E85" s="16">
        <f>IF($A85="ISIC 41T43",Calcs!$B$16+(1-Calcs!$B$16)*(1-E$56),0)+IF($A85="ISIC 28",(1-Calcs!$B$16)*E$56*Calcs!$H$21,0)+IF($A85="ISIC 49",(1-Calcs!$B$16)*E$56*Calcs!$I$21,0)+IF($A85="ISIC 45T47",(1-Calcs!$B$16)*E$56*Calcs!$J$21,0)</f>
        <v>0</v>
      </c>
      <c r="F85" s="16">
        <f t="shared" si="6"/>
        <v>0</v>
      </c>
      <c r="G85" s="16">
        <f t="shared" si="6"/>
        <v>0</v>
      </c>
    </row>
    <row r="86" spans="1:7" x14ac:dyDescent="0.35">
      <c r="A86" t="s">
        <v>262</v>
      </c>
      <c r="B86" s="16">
        <f>IF($A86="ISIC 41T43",Calcs!$B$16+(1-Calcs!$B$16)*(1-B$56),0)+IF($A86="ISIC 28",(1-Calcs!$B$16)*B$56*Calcs!$H$21,0)+IF($A86="ISIC 49",(1-Calcs!$B$16)*B$56*Calcs!$I$21,0)+IF($A86="ISIC 45T47",(1-Calcs!$B$16)*B$56*Calcs!$J$21,0)</f>
        <v>0</v>
      </c>
      <c r="C86" s="16">
        <f>IF($A86="ISIC 41T43",Calcs!$B$16+(1-Calcs!$B$16)*(1-C$56),0)+IF($A86="ISIC 28",(1-Calcs!$B$16)*C$56*Calcs!$H$21,0)+IF($A86="ISIC 49",(1-Calcs!$B$16)*C$56*Calcs!$I$21,0)+IF($A86="ISIC 45T47",(1-Calcs!$B$16)*C$56*Calcs!$J$21,0)</f>
        <v>0</v>
      </c>
      <c r="D86" s="16">
        <f>IF($A86="ISIC 41T43",Calcs!$B$16+(1-Calcs!$B$16)*(1-D$56),0)+IF($A86="ISIC 28",(1-Calcs!$B$16)*D$56*Calcs!$H$21,0)+IF($A86="ISIC 49",(1-Calcs!$B$16)*D$56*Calcs!$I$21,0)+IF($A86="ISIC 45T47",(1-Calcs!$B$16)*D$56*Calcs!$J$21,0)</f>
        <v>0</v>
      </c>
      <c r="E86" s="16">
        <f>IF($A86="ISIC 41T43",Calcs!$B$16+(1-Calcs!$B$16)*(1-E$56),0)+IF($A86="ISIC 28",(1-Calcs!$B$16)*E$56*Calcs!$H$21,0)+IF($A86="ISIC 49",(1-Calcs!$B$16)*E$56*Calcs!$I$21,0)+IF($A86="ISIC 45T47",(1-Calcs!$B$16)*E$56*Calcs!$J$21,0)</f>
        <v>0</v>
      </c>
      <c r="F86" s="16">
        <f t="shared" si="6"/>
        <v>0</v>
      </c>
      <c r="G86" s="16">
        <f t="shared" si="6"/>
        <v>0</v>
      </c>
    </row>
    <row r="87" spans="1:7" x14ac:dyDescent="0.35">
      <c r="A87" t="s">
        <v>263</v>
      </c>
      <c r="B87" s="16">
        <f>IF($A87="ISIC 41T43",Calcs!$B$16+(1-Calcs!$B$16)*(1-B$56),0)+IF($A87="ISIC 28",(1-Calcs!$B$16)*B$56*Calcs!$H$21,0)+IF($A87="ISIC 49",(1-Calcs!$B$16)*B$56*Calcs!$I$21,0)+IF($A87="ISIC 45T47",(1-Calcs!$B$16)*B$56*Calcs!$J$21,0)</f>
        <v>0</v>
      </c>
      <c r="C87" s="16">
        <f>IF($A87="ISIC 41T43",Calcs!$B$16+(1-Calcs!$B$16)*(1-C$56),0)+IF($A87="ISIC 28",(1-Calcs!$B$16)*C$56*Calcs!$H$21,0)+IF($A87="ISIC 49",(1-Calcs!$B$16)*C$56*Calcs!$I$21,0)+IF($A87="ISIC 45T47",(1-Calcs!$B$16)*C$56*Calcs!$J$21,0)</f>
        <v>0</v>
      </c>
      <c r="D87" s="16">
        <f>IF($A87="ISIC 41T43",Calcs!$B$16+(1-Calcs!$B$16)*(1-D$56),0)+IF($A87="ISIC 28",(1-Calcs!$B$16)*D$56*Calcs!$H$21,0)+IF($A87="ISIC 49",(1-Calcs!$B$16)*D$56*Calcs!$I$21,0)+IF($A87="ISIC 45T47",(1-Calcs!$B$16)*D$56*Calcs!$J$21,0)</f>
        <v>0</v>
      </c>
      <c r="E87" s="16">
        <f>IF($A87="ISIC 41T43",Calcs!$B$16+(1-Calcs!$B$16)*(1-E$56),0)+IF($A87="ISIC 28",(1-Calcs!$B$16)*E$56*Calcs!$H$21,0)+IF($A87="ISIC 49",(1-Calcs!$B$16)*E$56*Calcs!$I$21,0)+IF($A87="ISIC 45T47",(1-Calcs!$B$16)*E$56*Calcs!$J$21,0)</f>
        <v>0</v>
      </c>
      <c r="F87" s="16">
        <f t="shared" si="6"/>
        <v>0</v>
      </c>
      <c r="G87" s="16">
        <f t="shared" si="6"/>
        <v>0</v>
      </c>
    </row>
    <row r="88" spans="1:7" x14ac:dyDescent="0.35">
      <c r="A88" t="s">
        <v>264</v>
      </c>
      <c r="B88" s="16">
        <f>IF($A88="ISIC 41T43",Calcs!$B$16+(1-Calcs!$B$16)*(1-B$56),0)+IF($A88="ISIC 28",(1-Calcs!$B$16)*B$56*Calcs!$H$21,0)+IF($A88="ISIC 49",(1-Calcs!$B$16)*B$56*Calcs!$I$21,0)+IF($A88="ISIC 45T47",(1-Calcs!$B$16)*B$56*Calcs!$J$21,0)</f>
        <v>0</v>
      </c>
      <c r="C88" s="16">
        <f>IF($A88="ISIC 41T43",Calcs!$B$16+(1-Calcs!$B$16)*(1-C$56),0)+IF($A88="ISIC 28",(1-Calcs!$B$16)*C$56*Calcs!$H$21,0)+IF($A88="ISIC 49",(1-Calcs!$B$16)*C$56*Calcs!$I$21,0)+IF($A88="ISIC 45T47",(1-Calcs!$B$16)*C$56*Calcs!$J$21,0)</f>
        <v>0</v>
      </c>
      <c r="D88" s="16">
        <f>IF($A88="ISIC 41T43",Calcs!$B$16+(1-Calcs!$B$16)*(1-D$56),0)+IF($A88="ISIC 28",(1-Calcs!$B$16)*D$56*Calcs!$H$21,0)+IF($A88="ISIC 49",(1-Calcs!$B$16)*D$56*Calcs!$I$21,0)+IF($A88="ISIC 45T47",(1-Calcs!$B$16)*D$56*Calcs!$J$21,0)</f>
        <v>0</v>
      </c>
      <c r="E88" s="16">
        <f>IF($A88="ISIC 41T43",Calcs!$B$16+(1-Calcs!$B$16)*(1-E$56),0)+IF($A88="ISIC 28",(1-Calcs!$B$16)*E$56*Calcs!$H$21,0)+IF($A88="ISIC 49",(1-Calcs!$B$16)*E$56*Calcs!$I$21,0)+IF($A88="ISIC 45T47",(1-Calcs!$B$16)*E$56*Calcs!$J$21,0)</f>
        <v>0</v>
      </c>
      <c r="F88" s="16">
        <f t="shared" si="6"/>
        <v>0</v>
      </c>
      <c r="G88" s="16">
        <f t="shared" si="6"/>
        <v>0</v>
      </c>
    </row>
    <row r="89" spans="1:7" x14ac:dyDescent="0.35">
      <c r="A89" t="s">
        <v>265</v>
      </c>
      <c r="B89" s="16">
        <f>IF($A89="ISIC 41T43",Calcs!$B$16+(1-Calcs!$B$16)*(1-B$56),0)+IF($A89="ISIC 28",(1-Calcs!$B$16)*B$56*Calcs!$H$21,0)+IF($A89="ISIC 49",(1-Calcs!$B$16)*B$56*Calcs!$I$21,0)+IF($A89="ISIC 45T47",(1-Calcs!$B$16)*B$56*Calcs!$J$21,0)</f>
        <v>0.89994793013228491</v>
      </c>
      <c r="C89" s="16">
        <f>IF($A89="ISIC 41T43",Calcs!$B$16+(1-Calcs!$B$16)*(1-C$56),0)+IF($A89="ISIC 28",(1-Calcs!$B$16)*C$56*Calcs!$H$21,0)+IF($A89="ISIC 49",(1-Calcs!$B$16)*C$56*Calcs!$I$21,0)+IF($A89="ISIC 45T47",(1-Calcs!$B$16)*C$56*Calcs!$J$21,0)</f>
        <v>0.8661359039502402</v>
      </c>
      <c r="D89" s="16">
        <f>IF($A89="ISIC 41T43",Calcs!$B$16+(1-Calcs!$B$16)*(1-D$56),0)+IF($A89="ISIC 28",(1-Calcs!$B$16)*D$56*Calcs!$H$21,0)+IF($A89="ISIC 49",(1-Calcs!$B$16)*D$56*Calcs!$I$21,0)+IF($A89="ISIC 45T47",(1-Calcs!$B$16)*D$56*Calcs!$J$21,0)</f>
        <v>0.89994793013228491</v>
      </c>
      <c r="E89" s="16">
        <f>IF($A89="ISIC 41T43",Calcs!$B$16+(1-Calcs!$B$16)*(1-E$56),0)+IF($A89="ISIC 28",(1-Calcs!$B$16)*E$56*Calcs!$H$21,0)+IF($A89="ISIC 49",(1-Calcs!$B$16)*E$56*Calcs!$I$21,0)+IF($A89="ISIC 45T47",(1-Calcs!$B$16)*E$56*Calcs!$J$21,0)</f>
        <v>0.8661359039502402</v>
      </c>
      <c r="F89" s="16">
        <f t="shared" si="6"/>
        <v>0.70452348304815571</v>
      </c>
      <c r="G89" s="16">
        <f t="shared" si="6"/>
        <v>0.70452348304815571</v>
      </c>
    </row>
    <row r="90" spans="1:7" x14ac:dyDescent="0.35">
      <c r="A90" t="s">
        <v>266</v>
      </c>
      <c r="B90" s="16">
        <f>IF($A90="ISIC 41T43",Calcs!$B$16+(1-Calcs!$B$16)*(1-B$56),0)+IF($A90="ISIC 28",(1-Calcs!$B$16)*B$56*Calcs!$H$21,0)+IF($A90="ISIC 49",(1-Calcs!$B$16)*B$56*Calcs!$I$21,0)+IF($A90="ISIC 45T47",(1-Calcs!$B$16)*B$56*Calcs!$J$21,0)</f>
        <v>4.1150054430875181E-2</v>
      </c>
      <c r="C90" s="16">
        <f>IF($A90="ISIC 41T43",Calcs!$B$16+(1-Calcs!$B$16)*(1-C$56),0)+IF($A90="ISIC 28",(1-Calcs!$B$16)*C$56*Calcs!$H$21,0)+IF($A90="ISIC 49",(1-Calcs!$B$16)*C$56*Calcs!$I$21,0)+IF($A90="ISIC 45T47",(1-Calcs!$B$16)*C$56*Calcs!$J$21,0)</f>
        <v>5.5056480551283551E-2</v>
      </c>
      <c r="D90" s="16">
        <f>IF($A90="ISIC 41T43",Calcs!$B$16+(1-Calcs!$B$16)*(1-D$56),0)+IF($A90="ISIC 28",(1-Calcs!$B$16)*D$56*Calcs!$H$21,0)+IF($A90="ISIC 49",(1-Calcs!$B$16)*D$56*Calcs!$I$21,0)+IF($A90="ISIC 45T47",(1-Calcs!$B$16)*D$56*Calcs!$J$21,0)</f>
        <v>4.1150054430875181E-2</v>
      </c>
      <c r="E90" s="16">
        <f>IF($A90="ISIC 41T43",Calcs!$B$16+(1-Calcs!$B$16)*(1-E$56),0)+IF($A90="ISIC 28",(1-Calcs!$B$16)*E$56*Calcs!$H$21,0)+IF($A90="ISIC 49",(1-Calcs!$B$16)*E$56*Calcs!$I$21,0)+IF($A90="ISIC 45T47",(1-Calcs!$B$16)*E$56*Calcs!$J$21,0)</f>
        <v>5.5056480551283551E-2</v>
      </c>
      <c r="F90" s="16">
        <f t="shared" si="6"/>
        <v>0.10240893888644097</v>
      </c>
      <c r="G90" s="16">
        <f t="shared" si="6"/>
        <v>0.10240893888644097</v>
      </c>
    </row>
    <row r="91" spans="1:7" x14ac:dyDescent="0.35">
      <c r="A91" t="s">
        <v>267</v>
      </c>
      <c r="B91" s="16">
        <f>IF($A91="ISIC 41T43",Calcs!$B$16+(1-Calcs!$B$16)*(1-B$56),0)+IF($A91="ISIC 28",(1-Calcs!$B$16)*B$56*Calcs!$H$21,0)+IF($A91="ISIC 49",(1-Calcs!$B$16)*B$56*Calcs!$I$21,0)+IF($A91="ISIC 45T47",(1-Calcs!$B$16)*B$56*Calcs!$J$21,0)</f>
        <v>1.6596700482203511E-3</v>
      </c>
      <c r="C91" s="16">
        <f>IF($A91="ISIC 41T43",Calcs!$B$16+(1-Calcs!$B$16)*(1-C$56),0)+IF($A91="ISIC 28",(1-Calcs!$B$16)*C$56*Calcs!$H$21,0)+IF($A91="ISIC 49",(1-Calcs!$B$16)*C$56*Calcs!$I$21,0)+IF($A91="ISIC 45T47",(1-Calcs!$B$16)*C$56*Calcs!$J$21,0)</f>
        <v>2.220546072056513E-3</v>
      </c>
      <c r="D91" s="16">
        <f>IF($A91="ISIC 41T43",Calcs!$B$16+(1-Calcs!$B$16)*(1-D$56),0)+IF($A91="ISIC 28",(1-Calcs!$B$16)*D$56*Calcs!$H$21,0)+IF($A91="ISIC 49",(1-Calcs!$B$16)*D$56*Calcs!$I$21,0)+IF($A91="ISIC 45T47",(1-Calcs!$B$16)*D$56*Calcs!$J$21,0)</f>
        <v>1.6596700482203511E-3</v>
      </c>
      <c r="E91" s="16">
        <f>IF($A91="ISIC 41T43",Calcs!$B$16+(1-Calcs!$B$16)*(1-E$56),0)+IF($A91="ISIC 28",(1-Calcs!$B$16)*E$56*Calcs!$H$21,0)+IF($A91="ISIC 49",(1-Calcs!$B$16)*E$56*Calcs!$I$21,0)+IF($A91="ISIC 45T47",(1-Calcs!$B$16)*E$56*Calcs!$J$21,0)</f>
        <v>2.220546072056513E-3</v>
      </c>
      <c r="F91" s="16">
        <f t="shared" si="6"/>
        <v>4.8694077307852874E-3</v>
      </c>
      <c r="G91" s="16">
        <f t="shared" si="6"/>
        <v>4.8694077307852874E-3</v>
      </c>
    </row>
    <row r="92" spans="1:7" x14ac:dyDescent="0.35">
      <c r="A92" t="s">
        <v>268</v>
      </c>
      <c r="B92" s="16">
        <f>IF($A92="ISIC 41T43",Calcs!$B$16+(1-Calcs!$B$16)*(1-B$56),0)+IF($A92="ISIC 28",(1-Calcs!$B$16)*B$56*Calcs!$H$21,0)+IF($A92="ISIC 49",(1-Calcs!$B$16)*B$56*Calcs!$I$21,0)+IF($A92="ISIC 45T47",(1-Calcs!$B$16)*B$56*Calcs!$J$21,0)</f>
        <v>0</v>
      </c>
      <c r="C92" s="16">
        <f>IF($A92="ISIC 41T43",Calcs!$B$16+(1-Calcs!$B$16)*(1-C$56),0)+IF($A92="ISIC 28",(1-Calcs!$B$16)*C$56*Calcs!$H$21,0)+IF($A92="ISIC 49",(1-Calcs!$B$16)*C$56*Calcs!$I$21,0)+IF($A92="ISIC 45T47",(1-Calcs!$B$16)*C$56*Calcs!$J$21,0)</f>
        <v>0</v>
      </c>
      <c r="D92" s="16">
        <f>IF($A92="ISIC 41T43",Calcs!$B$16+(1-Calcs!$B$16)*(1-D$56),0)+IF($A92="ISIC 28",(1-Calcs!$B$16)*D$56*Calcs!$H$21,0)+IF($A92="ISIC 49",(1-Calcs!$B$16)*D$56*Calcs!$I$21,0)+IF($A92="ISIC 45T47",(1-Calcs!$B$16)*D$56*Calcs!$J$21,0)</f>
        <v>0</v>
      </c>
      <c r="E92" s="16">
        <f>IF($A92="ISIC 41T43",Calcs!$B$16+(1-Calcs!$B$16)*(1-E$56),0)+IF($A92="ISIC 28",(1-Calcs!$B$16)*E$56*Calcs!$H$21,0)+IF($A92="ISIC 49",(1-Calcs!$B$16)*E$56*Calcs!$I$21,0)+IF($A92="ISIC 45T47",(1-Calcs!$B$16)*E$56*Calcs!$J$21,0)</f>
        <v>0</v>
      </c>
      <c r="F92" s="16">
        <f t="shared" si="6"/>
        <v>0</v>
      </c>
      <c r="G92" s="16">
        <f t="shared" si="6"/>
        <v>0</v>
      </c>
    </row>
    <row r="93" spans="1:7" x14ac:dyDescent="0.35">
      <c r="A93" t="s">
        <v>269</v>
      </c>
      <c r="B93" s="16">
        <f>IF($A93="ISIC 41T43",Calcs!$B$16+(1-Calcs!$B$16)*(1-B$56),0)+IF($A93="ISIC 28",(1-Calcs!$B$16)*B$56*Calcs!$H$21,0)+IF($A93="ISIC 49",(1-Calcs!$B$16)*B$56*Calcs!$I$21,0)+IF($A93="ISIC 45T47",(1-Calcs!$B$16)*B$56*Calcs!$J$21,0)</f>
        <v>0</v>
      </c>
      <c r="C93" s="16">
        <f>IF($A93="ISIC 41T43",Calcs!$B$16+(1-Calcs!$B$16)*(1-C$56),0)+IF($A93="ISIC 28",(1-Calcs!$B$16)*C$56*Calcs!$H$21,0)+IF($A93="ISIC 49",(1-Calcs!$B$16)*C$56*Calcs!$I$21,0)+IF($A93="ISIC 45T47",(1-Calcs!$B$16)*C$56*Calcs!$J$21,0)</f>
        <v>0</v>
      </c>
      <c r="D93" s="16">
        <f>IF($A93="ISIC 41T43",Calcs!$B$16+(1-Calcs!$B$16)*(1-D$56),0)+IF($A93="ISIC 28",(1-Calcs!$B$16)*D$56*Calcs!$H$21,0)+IF($A93="ISIC 49",(1-Calcs!$B$16)*D$56*Calcs!$I$21,0)+IF($A93="ISIC 45T47",(1-Calcs!$B$16)*D$56*Calcs!$J$21,0)</f>
        <v>0</v>
      </c>
      <c r="E93" s="16">
        <f>IF($A93="ISIC 41T43",Calcs!$B$16+(1-Calcs!$B$16)*(1-E$56),0)+IF($A93="ISIC 28",(1-Calcs!$B$16)*E$56*Calcs!$H$21,0)+IF($A93="ISIC 49",(1-Calcs!$B$16)*E$56*Calcs!$I$21,0)+IF($A93="ISIC 45T47",(1-Calcs!$B$16)*E$56*Calcs!$J$21,0)</f>
        <v>0</v>
      </c>
      <c r="F93" s="16">
        <f t="shared" si="6"/>
        <v>0</v>
      </c>
      <c r="G93" s="16">
        <f t="shared" si="6"/>
        <v>0</v>
      </c>
    </row>
    <row r="94" spans="1:7" x14ac:dyDescent="0.35">
      <c r="A94" t="s">
        <v>270</v>
      </c>
      <c r="B94" s="16">
        <f>IF($A94="ISIC 41T43",Calcs!$B$16+(1-Calcs!$B$16)*(1-B$56),0)+IF($A94="ISIC 28",(1-Calcs!$B$16)*B$56*Calcs!$H$21,0)+IF($A94="ISIC 49",(1-Calcs!$B$16)*B$56*Calcs!$I$21,0)+IF($A94="ISIC 45T47",(1-Calcs!$B$16)*B$56*Calcs!$J$21,0)</f>
        <v>0</v>
      </c>
      <c r="C94" s="16">
        <f>IF($A94="ISIC 41T43",Calcs!$B$16+(1-Calcs!$B$16)*(1-C$56),0)+IF($A94="ISIC 28",(1-Calcs!$B$16)*C$56*Calcs!$H$21,0)+IF($A94="ISIC 49",(1-Calcs!$B$16)*C$56*Calcs!$I$21,0)+IF($A94="ISIC 45T47",(1-Calcs!$B$16)*C$56*Calcs!$J$21,0)</f>
        <v>0</v>
      </c>
      <c r="D94" s="16">
        <f>IF($A94="ISIC 41T43",Calcs!$B$16+(1-Calcs!$B$16)*(1-D$56),0)+IF($A94="ISIC 28",(1-Calcs!$B$16)*D$56*Calcs!$H$21,0)+IF($A94="ISIC 49",(1-Calcs!$B$16)*D$56*Calcs!$I$21,0)+IF($A94="ISIC 45T47",(1-Calcs!$B$16)*D$56*Calcs!$J$21,0)</f>
        <v>0</v>
      </c>
      <c r="E94" s="16">
        <f>IF($A94="ISIC 41T43",Calcs!$B$16+(1-Calcs!$B$16)*(1-E$56),0)+IF($A94="ISIC 28",(1-Calcs!$B$16)*E$56*Calcs!$H$21,0)+IF($A94="ISIC 49",(1-Calcs!$B$16)*E$56*Calcs!$I$21,0)+IF($A94="ISIC 45T47",(1-Calcs!$B$16)*E$56*Calcs!$J$21,0)</f>
        <v>0</v>
      </c>
      <c r="F94" s="16">
        <f t="shared" si="6"/>
        <v>0</v>
      </c>
      <c r="G94" s="16">
        <f t="shared" si="6"/>
        <v>0</v>
      </c>
    </row>
    <row r="95" spans="1:7" x14ac:dyDescent="0.35">
      <c r="A95" t="s">
        <v>271</v>
      </c>
      <c r="B95" s="16">
        <f>IF($A95="ISIC 41T43",Calcs!$B$16+(1-Calcs!$B$16)*(1-B$56),0)+IF($A95="ISIC 28",(1-Calcs!$B$16)*B$56*Calcs!$H$21,0)+IF($A95="ISIC 49",(1-Calcs!$B$16)*B$56*Calcs!$I$21,0)+IF($A95="ISIC 45T47",(1-Calcs!$B$16)*B$56*Calcs!$J$21,0)</f>
        <v>0</v>
      </c>
      <c r="C95" s="16">
        <f>IF($A95="ISIC 41T43",Calcs!$B$16+(1-Calcs!$B$16)*(1-C$56),0)+IF($A95="ISIC 28",(1-Calcs!$B$16)*C$56*Calcs!$H$21,0)+IF($A95="ISIC 49",(1-Calcs!$B$16)*C$56*Calcs!$I$21,0)+IF($A95="ISIC 45T47",(1-Calcs!$B$16)*C$56*Calcs!$J$21,0)</f>
        <v>0</v>
      </c>
      <c r="D95" s="16">
        <f>IF($A95="ISIC 41T43",Calcs!$B$16+(1-Calcs!$B$16)*(1-D$56),0)+IF($A95="ISIC 28",(1-Calcs!$B$16)*D$56*Calcs!$H$21,0)+IF($A95="ISIC 49",(1-Calcs!$B$16)*D$56*Calcs!$I$21,0)+IF($A95="ISIC 45T47",(1-Calcs!$B$16)*D$56*Calcs!$J$21,0)</f>
        <v>0</v>
      </c>
      <c r="E95" s="16">
        <f>IF($A95="ISIC 41T43",Calcs!$B$16+(1-Calcs!$B$16)*(1-E$56),0)+IF($A95="ISIC 28",(1-Calcs!$B$16)*E$56*Calcs!$H$21,0)+IF($A95="ISIC 49",(1-Calcs!$B$16)*E$56*Calcs!$I$21,0)+IF($A95="ISIC 45T47",(1-Calcs!$B$16)*E$56*Calcs!$J$21,0)</f>
        <v>0</v>
      </c>
      <c r="F95" s="16">
        <f t="shared" si="6"/>
        <v>0</v>
      </c>
      <c r="G95" s="16">
        <f t="shared" si="6"/>
        <v>0</v>
      </c>
    </row>
    <row r="96" spans="1:7" x14ac:dyDescent="0.35">
      <c r="A96" t="s">
        <v>272</v>
      </c>
      <c r="B96" s="16">
        <f>IF($A96="ISIC 41T43",Calcs!$B$16+(1-Calcs!$B$16)*(1-B$56),0)+IF($A96="ISIC 28",(1-Calcs!$B$16)*B$56*Calcs!$H$21,0)+IF($A96="ISIC 49",(1-Calcs!$B$16)*B$56*Calcs!$I$21,0)+IF($A96="ISIC 45T47",(1-Calcs!$B$16)*B$56*Calcs!$J$21,0)</f>
        <v>0</v>
      </c>
      <c r="C96" s="16">
        <f>IF($A96="ISIC 41T43",Calcs!$B$16+(1-Calcs!$B$16)*(1-C$56),0)+IF($A96="ISIC 28",(1-Calcs!$B$16)*C$56*Calcs!$H$21,0)+IF($A96="ISIC 49",(1-Calcs!$B$16)*C$56*Calcs!$I$21,0)+IF($A96="ISIC 45T47",(1-Calcs!$B$16)*C$56*Calcs!$J$21,0)</f>
        <v>0</v>
      </c>
      <c r="D96" s="16">
        <f>IF($A96="ISIC 41T43",Calcs!$B$16+(1-Calcs!$B$16)*(1-D$56),0)+IF($A96="ISIC 28",(1-Calcs!$B$16)*D$56*Calcs!$H$21,0)+IF($A96="ISIC 49",(1-Calcs!$B$16)*D$56*Calcs!$I$21,0)+IF($A96="ISIC 45T47",(1-Calcs!$B$16)*D$56*Calcs!$J$21,0)</f>
        <v>0</v>
      </c>
      <c r="E96" s="16">
        <f>IF($A96="ISIC 41T43",Calcs!$B$16+(1-Calcs!$B$16)*(1-E$56),0)+IF($A96="ISIC 28",(1-Calcs!$B$16)*E$56*Calcs!$H$21,0)+IF($A96="ISIC 49",(1-Calcs!$B$16)*E$56*Calcs!$I$21,0)+IF($A96="ISIC 45T47",(1-Calcs!$B$16)*E$56*Calcs!$J$21,0)</f>
        <v>0</v>
      </c>
      <c r="F96" s="16">
        <f t="shared" si="6"/>
        <v>0</v>
      </c>
      <c r="G96" s="16">
        <f t="shared" si="6"/>
        <v>0</v>
      </c>
    </row>
    <row r="97" spans="1:7" x14ac:dyDescent="0.35">
      <c r="A97" t="s">
        <v>273</v>
      </c>
      <c r="B97" s="16">
        <f>IF($A97="ISIC 41T43",Calcs!$B$16+(1-Calcs!$B$16)*(1-B$56),0)+IF($A97="ISIC 28",(1-Calcs!$B$16)*B$56*Calcs!$H$21,0)+IF($A97="ISIC 49",(1-Calcs!$B$16)*B$56*Calcs!$I$21,0)+IF($A97="ISIC 45T47",(1-Calcs!$B$16)*B$56*Calcs!$J$21,0)</f>
        <v>0</v>
      </c>
      <c r="C97" s="16">
        <f>IF($A97="ISIC 41T43",Calcs!$B$16+(1-Calcs!$B$16)*(1-C$56),0)+IF($A97="ISIC 28",(1-Calcs!$B$16)*C$56*Calcs!$H$21,0)+IF($A97="ISIC 49",(1-Calcs!$B$16)*C$56*Calcs!$I$21,0)+IF($A97="ISIC 45T47",(1-Calcs!$B$16)*C$56*Calcs!$J$21,0)</f>
        <v>0</v>
      </c>
      <c r="D97" s="16">
        <f>IF($A97="ISIC 41T43",Calcs!$B$16+(1-Calcs!$B$16)*(1-D$56),0)+IF($A97="ISIC 28",(1-Calcs!$B$16)*D$56*Calcs!$H$21,0)+IF($A97="ISIC 49",(1-Calcs!$B$16)*D$56*Calcs!$I$21,0)+IF($A97="ISIC 45T47",(1-Calcs!$B$16)*D$56*Calcs!$J$21,0)</f>
        <v>0</v>
      </c>
      <c r="E97" s="16">
        <f>IF($A97="ISIC 41T43",Calcs!$B$16+(1-Calcs!$B$16)*(1-E$56),0)+IF($A97="ISIC 28",(1-Calcs!$B$16)*E$56*Calcs!$H$21,0)+IF($A97="ISIC 49",(1-Calcs!$B$16)*E$56*Calcs!$I$21,0)+IF($A97="ISIC 45T47",(1-Calcs!$B$16)*E$56*Calcs!$J$21,0)</f>
        <v>0</v>
      </c>
      <c r="F97" s="16">
        <f t="shared" si="6"/>
        <v>0</v>
      </c>
      <c r="G97" s="16">
        <f t="shared" si="6"/>
        <v>0</v>
      </c>
    </row>
    <row r="98" spans="1:7" x14ac:dyDescent="0.35">
      <c r="A98" t="s">
        <v>274</v>
      </c>
      <c r="B98" s="16">
        <f>IF($A98="ISIC 41T43",Calcs!$B$16+(1-Calcs!$B$16)*(1-B$56),0)+IF($A98="ISIC 28",(1-Calcs!$B$16)*B$56*Calcs!$H$21,0)+IF($A98="ISIC 49",(1-Calcs!$B$16)*B$56*Calcs!$I$21,0)+IF($A98="ISIC 45T47",(1-Calcs!$B$16)*B$56*Calcs!$J$21,0)</f>
        <v>0</v>
      </c>
      <c r="C98" s="16">
        <f>IF($A98="ISIC 41T43",Calcs!$B$16+(1-Calcs!$B$16)*(1-C$56),0)+IF($A98="ISIC 28",(1-Calcs!$B$16)*C$56*Calcs!$H$21,0)+IF($A98="ISIC 49",(1-Calcs!$B$16)*C$56*Calcs!$I$21,0)+IF($A98="ISIC 45T47",(1-Calcs!$B$16)*C$56*Calcs!$J$21,0)</f>
        <v>0</v>
      </c>
      <c r="D98" s="16">
        <f>IF($A98="ISIC 41T43",Calcs!$B$16+(1-Calcs!$B$16)*(1-D$56),0)+IF($A98="ISIC 28",(1-Calcs!$B$16)*D$56*Calcs!$H$21,0)+IF($A98="ISIC 49",(1-Calcs!$B$16)*D$56*Calcs!$I$21,0)+IF($A98="ISIC 45T47",(1-Calcs!$B$16)*D$56*Calcs!$J$21,0)</f>
        <v>0</v>
      </c>
      <c r="E98" s="16">
        <f>IF($A98="ISIC 41T43",Calcs!$B$16+(1-Calcs!$B$16)*(1-E$56),0)+IF($A98="ISIC 28",(1-Calcs!$B$16)*E$56*Calcs!$H$21,0)+IF($A98="ISIC 49",(1-Calcs!$B$16)*E$56*Calcs!$I$21,0)+IF($A98="ISIC 45T47",(1-Calcs!$B$16)*E$56*Calcs!$J$21,0)</f>
        <v>0</v>
      </c>
      <c r="F98" s="16">
        <f t="shared" ref="F98:G109" si="7">SUMIFS($Z$40:$Z$50,$E$40:$E$50,$A98)+IF($A98="ISIC 41T43",$V$51,0)+IF($A98="ISIC 45T47",$AA$51,0)+IF($A98="ISIC 49",$AB$51,0)</f>
        <v>0</v>
      </c>
      <c r="G98" s="16">
        <f t="shared" si="7"/>
        <v>0</v>
      </c>
    </row>
    <row r="99" spans="1:7" x14ac:dyDescent="0.35">
      <c r="A99" t="s">
        <v>275</v>
      </c>
      <c r="B99" s="16">
        <f>IF($A99="ISIC 41T43",Calcs!$B$16+(1-Calcs!$B$16)*(1-B$56),0)+IF($A99="ISIC 28",(1-Calcs!$B$16)*B$56*Calcs!$H$21,0)+IF($A99="ISIC 49",(1-Calcs!$B$16)*B$56*Calcs!$I$21,0)+IF($A99="ISIC 45T47",(1-Calcs!$B$16)*B$56*Calcs!$J$21,0)</f>
        <v>0</v>
      </c>
      <c r="C99" s="16">
        <f>IF($A99="ISIC 41T43",Calcs!$B$16+(1-Calcs!$B$16)*(1-C$56),0)+IF($A99="ISIC 28",(1-Calcs!$B$16)*C$56*Calcs!$H$21,0)+IF($A99="ISIC 49",(1-Calcs!$B$16)*C$56*Calcs!$I$21,0)+IF($A99="ISIC 45T47",(1-Calcs!$B$16)*C$56*Calcs!$J$21,0)</f>
        <v>0</v>
      </c>
      <c r="D99" s="16">
        <f>IF($A99="ISIC 41T43",Calcs!$B$16+(1-Calcs!$B$16)*(1-D$56),0)+IF($A99="ISIC 28",(1-Calcs!$B$16)*D$56*Calcs!$H$21,0)+IF($A99="ISIC 49",(1-Calcs!$B$16)*D$56*Calcs!$I$21,0)+IF($A99="ISIC 45T47",(1-Calcs!$B$16)*D$56*Calcs!$J$21,0)</f>
        <v>0</v>
      </c>
      <c r="E99" s="16">
        <f>IF($A99="ISIC 41T43",Calcs!$B$16+(1-Calcs!$B$16)*(1-E$56),0)+IF($A99="ISIC 28",(1-Calcs!$B$16)*E$56*Calcs!$H$21,0)+IF($A99="ISIC 49",(1-Calcs!$B$16)*E$56*Calcs!$I$21,0)+IF($A99="ISIC 45T47",(1-Calcs!$B$16)*E$56*Calcs!$J$21,0)</f>
        <v>0</v>
      </c>
      <c r="F99" s="16">
        <f t="shared" si="7"/>
        <v>0</v>
      </c>
      <c r="G99" s="16">
        <f t="shared" si="7"/>
        <v>0</v>
      </c>
    </row>
    <row r="100" spans="1:7" x14ac:dyDescent="0.35">
      <c r="A100" t="s">
        <v>276</v>
      </c>
      <c r="B100" s="16">
        <f>IF($A100="ISIC 41T43",Calcs!$B$16+(1-Calcs!$B$16)*(1-B$56),0)+IF($A100="ISIC 28",(1-Calcs!$B$16)*B$56*Calcs!$H$21,0)+IF($A100="ISIC 49",(1-Calcs!$B$16)*B$56*Calcs!$I$21,0)+IF($A100="ISIC 45T47",(1-Calcs!$B$16)*B$56*Calcs!$J$21,0)</f>
        <v>0</v>
      </c>
      <c r="C100" s="16">
        <f>IF($A100="ISIC 41T43",Calcs!$B$16+(1-Calcs!$B$16)*(1-C$56),0)+IF($A100="ISIC 28",(1-Calcs!$B$16)*C$56*Calcs!$H$21,0)+IF($A100="ISIC 49",(1-Calcs!$B$16)*C$56*Calcs!$I$21,0)+IF($A100="ISIC 45T47",(1-Calcs!$B$16)*C$56*Calcs!$J$21,0)</f>
        <v>0</v>
      </c>
      <c r="D100" s="16">
        <f>IF($A100="ISIC 41T43",Calcs!$B$16+(1-Calcs!$B$16)*(1-D$56),0)+IF($A100="ISIC 28",(1-Calcs!$B$16)*D$56*Calcs!$H$21,0)+IF($A100="ISIC 49",(1-Calcs!$B$16)*D$56*Calcs!$I$21,0)+IF($A100="ISIC 45T47",(1-Calcs!$B$16)*D$56*Calcs!$J$21,0)</f>
        <v>0</v>
      </c>
      <c r="E100" s="16">
        <f>IF($A100="ISIC 41T43",Calcs!$B$16+(1-Calcs!$B$16)*(1-E$56),0)+IF($A100="ISIC 28",(1-Calcs!$B$16)*E$56*Calcs!$H$21,0)+IF($A100="ISIC 49",(1-Calcs!$B$16)*E$56*Calcs!$I$21,0)+IF($A100="ISIC 45T47",(1-Calcs!$B$16)*E$56*Calcs!$J$21,0)</f>
        <v>0</v>
      </c>
      <c r="F100" s="16">
        <f t="shared" si="7"/>
        <v>0</v>
      </c>
      <c r="G100" s="16">
        <f t="shared" si="7"/>
        <v>0</v>
      </c>
    </row>
    <row r="101" spans="1:7" x14ac:dyDescent="0.35">
      <c r="A101" t="s">
        <v>277</v>
      </c>
      <c r="B101" s="16">
        <f>IF($A101="ISIC 41T43",Calcs!$B$16+(1-Calcs!$B$16)*(1-B$56),0)+IF($A101="ISIC 28",(1-Calcs!$B$16)*B$56*Calcs!$H$21,0)+IF($A101="ISIC 49",(1-Calcs!$B$16)*B$56*Calcs!$I$21,0)+IF($A101="ISIC 45T47",(1-Calcs!$B$16)*B$56*Calcs!$J$21,0)</f>
        <v>0</v>
      </c>
      <c r="C101" s="16">
        <f>IF($A101="ISIC 41T43",Calcs!$B$16+(1-Calcs!$B$16)*(1-C$56),0)+IF($A101="ISIC 28",(1-Calcs!$B$16)*C$56*Calcs!$H$21,0)+IF($A101="ISIC 49",(1-Calcs!$B$16)*C$56*Calcs!$I$21,0)+IF($A101="ISIC 45T47",(1-Calcs!$B$16)*C$56*Calcs!$J$21,0)</f>
        <v>0</v>
      </c>
      <c r="D101" s="16">
        <f>IF($A101="ISIC 41T43",Calcs!$B$16+(1-Calcs!$B$16)*(1-D$56),0)+IF($A101="ISIC 28",(1-Calcs!$B$16)*D$56*Calcs!$H$21,0)+IF($A101="ISIC 49",(1-Calcs!$B$16)*D$56*Calcs!$I$21,0)+IF($A101="ISIC 45T47",(1-Calcs!$B$16)*D$56*Calcs!$J$21,0)</f>
        <v>0</v>
      </c>
      <c r="E101" s="16">
        <f>IF($A101="ISIC 41T43",Calcs!$B$16+(1-Calcs!$B$16)*(1-E$56),0)+IF($A101="ISIC 28",(1-Calcs!$B$16)*E$56*Calcs!$H$21,0)+IF($A101="ISIC 49",(1-Calcs!$B$16)*E$56*Calcs!$I$21,0)+IF($A101="ISIC 45T47",(1-Calcs!$B$16)*E$56*Calcs!$J$21,0)</f>
        <v>0</v>
      </c>
      <c r="F101" s="16">
        <f t="shared" si="7"/>
        <v>0</v>
      </c>
      <c r="G101" s="16">
        <f t="shared" si="7"/>
        <v>0</v>
      </c>
    </row>
    <row r="102" spans="1:7" x14ac:dyDescent="0.35">
      <c r="A102" t="s">
        <v>278</v>
      </c>
      <c r="B102" s="16">
        <f>IF($A102="ISIC 41T43",Calcs!$B$16+(1-Calcs!$B$16)*(1-B$56),0)+IF($A102="ISIC 28",(1-Calcs!$B$16)*B$56*Calcs!$H$21,0)+IF($A102="ISIC 49",(1-Calcs!$B$16)*B$56*Calcs!$I$21,0)+IF($A102="ISIC 45T47",(1-Calcs!$B$16)*B$56*Calcs!$J$21,0)</f>
        <v>0</v>
      </c>
      <c r="C102" s="16">
        <f>IF($A102="ISIC 41T43",Calcs!$B$16+(1-Calcs!$B$16)*(1-C$56),0)+IF($A102="ISIC 28",(1-Calcs!$B$16)*C$56*Calcs!$H$21,0)+IF($A102="ISIC 49",(1-Calcs!$B$16)*C$56*Calcs!$I$21,0)+IF($A102="ISIC 45T47",(1-Calcs!$B$16)*C$56*Calcs!$J$21,0)</f>
        <v>0</v>
      </c>
      <c r="D102" s="16">
        <f>IF($A102="ISIC 41T43",Calcs!$B$16+(1-Calcs!$B$16)*(1-D$56),0)+IF($A102="ISIC 28",(1-Calcs!$B$16)*D$56*Calcs!$H$21,0)+IF($A102="ISIC 49",(1-Calcs!$B$16)*D$56*Calcs!$I$21,0)+IF($A102="ISIC 45T47",(1-Calcs!$B$16)*D$56*Calcs!$J$21,0)</f>
        <v>0</v>
      </c>
      <c r="E102" s="16">
        <f>IF($A102="ISIC 41T43",Calcs!$B$16+(1-Calcs!$B$16)*(1-E$56),0)+IF($A102="ISIC 28",(1-Calcs!$B$16)*E$56*Calcs!$H$21,0)+IF($A102="ISIC 49",(1-Calcs!$B$16)*E$56*Calcs!$I$21,0)+IF($A102="ISIC 45T47",(1-Calcs!$B$16)*E$56*Calcs!$J$21,0)</f>
        <v>0</v>
      </c>
      <c r="F102" s="16">
        <f t="shared" si="7"/>
        <v>0</v>
      </c>
      <c r="G102" s="16">
        <f t="shared" si="7"/>
        <v>0</v>
      </c>
    </row>
    <row r="103" spans="1:7" x14ac:dyDescent="0.35">
      <c r="A103" t="s">
        <v>279</v>
      </c>
      <c r="B103" s="16">
        <f>IF($A103="ISIC 41T43",Calcs!$B$16+(1-Calcs!$B$16)*(1-B$56),0)+IF($A103="ISIC 28",(1-Calcs!$B$16)*B$56*Calcs!$H$21,0)+IF($A103="ISIC 49",(1-Calcs!$B$16)*B$56*Calcs!$I$21,0)+IF($A103="ISIC 45T47",(1-Calcs!$B$16)*B$56*Calcs!$J$21,0)</f>
        <v>0</v>
      </c>
      <c r="C103" s="16">
        <f>IF($A103="ISIC 41T43",Calcs!$B$16+(1-Calcs!$B$16)*(1-C$56),0)+IF($A103="ISIC 28",(1-Calcs!$B$16)*C$56*Calcs!$H$21,0)+IF($A103="ISIC 49",(1-Calcs!$B$16)*C$56*Calcs!$I$21,0)+IF($A103="ISIC 45T47",(1-Calcs!$B$16)*C$56*Calcs!$J$21,0)</f>
        <v>0</v>
      </c>
      <c r="D103" s="16">
        <f>IF($A103="ISIC 41T43",Calcs!$B$16+(1-Calcs!$B$16)*(1-D$56),0)+IF($A103="ISIC 28",(1-Calcs!$B$16)*D$56*Calcs!$H$21,0)+IF($A103="ISIC 49",(1-Calcs!$B$16)*D$56*Calcs!$I$21,0)+IF($A103="ISIC 45T47",(1-Calcs!$B$16)*D$56*Calcs!$J$21,0)</f>
        <v>0</v>
      </c>
      <c r="E103" s="16">
        <f>IF($A103="ISIC 41T43",Calcs!$B$16+(1-Calcs!$B$16)*(1-E$56),0)+IF($A103="ISIC 28",(1-Calcs!$B$16)*E$56*Calcs!$H$21,0)+IF($A103="ISIC 49",(1-Calcs!$B$16)*E$56*Calcs!$I$21,0)+IF($A103="ISIC 45T47",(1-Calcs!$B$16)*E$56*Calcs!$J$21,0)</f>
        <v>0</v>
      </c>
      <c r="F103" s="16">
        <f t="shared" si="7"/>
        <v>0</v>
      </c>
      <c r="G103" s="16">
        <f t="shared" si="7"/>
        <v>0</v>
      </c>
    </row>
    <row r="104" spans="1:7" x14ac:dyDescent="0.35">
      <c r="A104" t="s">
        <v>280</v>
      </c>
      <c r="B104" s="16">
        <f>IF($A104="ISIC 41T43",Calcs!$B$16+(1-Calcs!$B$16)*(1-B$56),0)+IF($A104="ISIC 28",(1-Calcs!$B$16)*B$56*Calcs!$H$21,0)+IF($A104="ISIC 49",(1-Calcs!$B$16)*B$56*Calcs!$I$21,0)+IF($A104="ISIC 45T47",(1-Calcs!$B$16)*B$56*Calcs!$J$21,0)</f>
        <v>0</v>
      </c>
      <c r="C104" s="16">
        <f>IF($A104="ISIC 41T43",Calcs!$B$16+(1-Calcs!$B$16)*(1-C$56),0)+IF($A104="ISIC 28",(1-Calcs!$B$16)*C$56*Calcs!$H$21,0)+IF($A104="ISIC 49",(1-Calcs!$B$16)*C$56*Calcs!$I$21,0)+IF($A104="ISIC 45T47",(1-Calcs!$B$16)*C$56*Calcs!$J$21,0)</f>
        <v>0</v>
      </c>
      <c r="D104" s="16">
        <f>IF($A104="ISIC 41T43",Calcs!$B$16+(1-Calcs!$B$16)*(1-D$56),0)+IF($A104="ISIC 28",(1-Calcs!$B$16)*D$56*Calcs!$H$21,0)+IF($A104="ISIC 49",(1-Calcs!$B$16)*D$56*Calcs!$I$21,0)+IF($A104="ISIC 45T47",(1-Calcs!$B$16)*D$56*Calcs!$J$21,0)</f>
        <v>0</v>
      </c>
      <c r="E104" s="16">
        <f>IF($A104="ISIC 41T43",Calcs!$B$16+(1-Calcs!$B$16)*(1-E$56),0)+IF($A104="ISIC 28",(1-Calcs!$B$16)*E$56*Calcs!$H$21,0)+IF($A104="ISIC 49",(1-Calcs!$B$16)*E$56*Calcs!$I$21,0)+IF($A104="ISIC 45T47",(1-Calcs!$B$16)*E$56*Calcs!$J$21,0)</f>
        <v>0</v>
      </c>
      <c r="F104" s="16">
        <f t="shared" si="7"/>
        <v>0</v>
      </c>
      <c r="G104" s="16">
        <f t="shared" si="7"/>
        <v>0</v>
      </c>
    </row>
    <row r="105" spans="1:7" x14ac:dyDescent="0.35">
      <c r="A105" t="s">
        <v>281</v>
      </c>
      <c r="B105" s="16">
        <f>IF($A105="ISIC 41T43",Calcs!$B$16+(1-Calcs!$B$16)*(1-B$56),0)+IF($A105="ISIC 28",(1-Calcs!$B$16)*B$56*Calcs!$H$21,0)+IF($A105="ISIC 49",(1-Calcs!$B$16)*B$56*Calcs!$I$21,0)+IF($A105="ISIC 45T47",(1-Calcs!$B$16)*B$56*Calcs!$J$21,0)</f>
        <v>0</v>
      </c>
      <c r="C105" s="16">
        <f>IF($A105="ISIC 41T43",Calcs!$B$16+(1-Calcs!$B$16)*(1-C$56),0)+IF($A105="ISIC 28",(1-Calcs!$B$16)*C$56*Calcs!$H$21,0)+IF($A105="ISIC 49",(1-Calcs!$B$16)*C$56*Calcs!$I$21,0)+IF($A105="ISIC 45T47",(1-Calcs!$B$16)*C$56*Calcs!$J$21,0)</f>
        <v>0</v>
      </c>
      <c r="D105" s="16">
        <f>IF($A105="ISIC 41T43",Calcs!$B$16+(1-Calcs!$B$16)*(1-D$56),0)+IF($A105="ISIC 28",(1-Calcs!$B$16)*D$56*Calcs!$H$21,0)+IF($A105="ISIC 49",(1-Calcs!$B$16)*D$56*Calcs!$I$21,0)+IF($A105="ISIC 45T47",(1-Calcs!$B$16)*D$56*Calcs!$J$21,0)</f>
        <v>0</v>
      </c>
      <c r="E105" s="16">
        <f>IF($A105="ISIC 41T43",Calcs!$B$16+(1-Calcs!$B$16)*(1-E$56),0)+IF($A105="ISIC 28",(1-Calcs!$B$16)*E$56*Calcs!$H$21,0)+IF($A105="ISIC 49",(1-Calcs!$B$16)*E$56*Calcs!$I$21,0)+IF($A105="ISIC 45T47",(1-Calcs!$B$16)*E$56*Calcs!$J$21,0)</f>
        <v>0</v>
      </c>
      <c r="F105" s="16">
        <f t="shared" si="7"/>
        <v>0</v>
      </c>
      <c r="G105" s="16">
        <f t="shared" si="7"/>
        <v>0</v>
      </c>
    </row>
    <row r="106" spans="1:7" x14ac:dyDescent="0.35">
      <c r="A106" t="s">
        <v>282</v>
      </c>
      <c r="B106" s="16">
        <f>IF($A106="ISIC 41T43",Calcs!$B$16+(1-Calcs!$B$16)*(1-B$56),0)+IF($A106="ISIC 28",(1-Calcs!$B$16)*B$56*Calcs!$H$21,0)+IF($A106="ISIC 49",(1-Calcs!$B$16)*B$56*Calcs!$I$21,0)+IF($A106="ISIC 45T47",(1-Calcs!$B$16)*B$56*Calcs!$J$21,0)</f>
        <v>0</v>
      </c>
      <c r="C106" s="16">
        <f>IF($A106="ISIC 41T43",Calcs!$B$16+(1-Calcs!$B$16)*(1-C$56),0)+IF($A106="ISIC 28",(1-Calcs!$B$16)*C$56*Calcs!$H$21,0)+IF($A106="ISIC 49",(1-Calcs!$B$16)*C$56*Calcs!$I$21,0)+IF($A106="ISIC 45T47",(1-Calcs!$B$16)*C$56*Calcs!$J$21,0)</f>
        <v>0</v>
      </c>
      <c r="D106" s="16">
        <f>IF($A106="ISIC 41T43",Calcs!$B$16+(1-Calcs!$B$16)*(1-D$56),0)+IF($A106="ISIC 28",(1-Calcs!$B$16)*D$56*Calcs!$H$21,0)+IF($A106="ISIC 49",(1-Calcs!$B$16)*D$56*Calcs!$I$21,0)+IF($A106="ISIC 45T47",(1-Calcs!$B$16)*D$56*Calcs!$J$21,0)</f>
        <v>0</v>
      </c>
      <c r="E106" s="16">
        <f>IF($A106="ISIC 41T43",Calcs!$B$16+(1-Calcs!$B$16)*(1-E$56),0)+IF($A106="ISIC 28",(1-Calcs!$B$16)*E$56*Calcs!$H$21,0)+IF($A106="ISIC 49",(1-Calcs!$B$16)*E$56*Calcs!$I$21,0)+IF($A106="ISIC 45T47",(1-Calcs!$B$16)*E$56*Calcs!$J$21,0)</f>
        <v>0</v>
      </c>
      <c r="F106" s="16">
        <f t="shared" si="7"/>
        <v>0</v>
      </c>
      <c r="G106" s="16">
        <f t="shared" si="7"/>
        <v>0</v>
      </c>
    </row>
    <row r="107" spans="1:7" x14ac:dyDescent="0.35">
      <c r="A107" t="s">
        <v>283</v>
      </c>
      <c r="B107" s="16">
        <f>IF($A107="ISIC 41T43",Calcs!$B$16+(1-Calcs!$B$16)*(1-B$56),0)+IF($A107="ISIC 28",(1-Calcs!$B$16)*B$56*Calcs!$H$21,0)+IF($A107="ISIC 49",(1-Calcs!$B$16)*B$56*Calcs!$I$21,0)+IF($A107="ISIC 45T47",(1-Calcs!$B$16)*B$56*Calcs!$J$21,0)</f>
        <v>0</v>
      </c>
      <c r="C107" s="16">
        <f>IF($A107="ISIC 41T43",Calcs!$B$16+(1-Calcs!$B$16)*(1-C$56),0)+IF($A107="ISIC 28",(1-Calcs!$B$16)*C$56*Calcs!$H$21,0)+IF($A107="ISIC 49",(1-Calcs!$B$16)*C$56*Calcs!$I$21,0)+IF($A107="ISIC 45T47",(1-Calcs!$B$16)*C$56*Calcs!$J$21,0)</f>
        <v>0</v>
      </c>
      <c r="D107" s="16">
        <f>IF($A107="ISIC 41T43",Calcs!$B$16+(1-Calcs!$B$16)*(1-D$56),0)+IF($A107="ISIC 28",(1-Calcs!$B$16)*D$56*Calcs!$H$21,0)+IF($A107="ISIC 49",(1-Calcs!$B$16)*D$56*Calcs!$I$21,0)+IF($A107="ISIC 45T47",(1-Calcs!$B$16)*D$56*Calcs!$J$21,0)</f>
        <v>0</v>
      </c>
      <c r="E107" s="16">
        <f>IF($A107="ISIC 41T43",Calcs!$B$16+(1-Calcs!$B$16)*(1-E$56),0)+IF($A107="ISIC 28",(1-Calcs!$B$16)*E$56*Calcs!$H$21,0)+IF($A107="ISIC 49",(1-Calcs!$B$16)*E$56*Calcs!$I$21,0)+IF($A107="ISIC 45T47",(1-Calcs!$B$16)*E$56*Calcs!$J$21,0)</f>
        <v>0</v>
      </c>
      <c r="F107" s="16">
        <f t="shared" si="7"/>
        <v>0</v>
      </c>
      <c r="G107" s="16">
        <f t="shared" si="7"/>
        <v>0</v>
      </c>
    </row>
    <row r="108" spans="1:7" x14ac:dyDescent="0.35">
      <c r="A108" t="s">
        <v>284</v>
      </c>
      <c r="B108" s="16">
        <f>IF($A108="ISIC 41T43",Calcs!$B$16+(1-Calcs!$B$16)*(1-B$56),0)+IF($A108="ISIC 28",(1-Calcs!$B$16)*B$56*Calcs!$H$21,0)+IF($A108="ISIC 49",(1-Calcs!$B$16)*B$56*Calcs!$I$21,0)+IF($A108="ISIC 45T47",(1-Calcs!$B$16)*B$56*Calcs!$J$21,0)</f>
        <v>0</v>
      </c>
      <c r="C108" s="16">
        <f>IF($A108="ISIC 41T43",Calcs!$B$16+(1-Calcs!$B$16)*(1-C$56),0)+IF($A108="ISIC 28",(1-Calcs!$B$16)*C$56*Calcs!$H$21,0)+IF($A108="ISIC 49",(1-Calcs!$B$16)*C$56*Calcs!$I$21,0)+IF($A108="ISIC 45T47",(1-Calcs!$B$16)*C$56*Calcs!$J$21,0)</f>
        <v>0</v>
      </c>
      <c r="D108" s="16">
        <f>IF($A108="ISIC 41T43",Calcs!$B$16+(1-Calcs!$B$16)*(1-D$56),0)+IF($A108="ISIC 28",(1-Calcs!$B$16)*D$56*Calcs!$H$21,0)+IF($A108="ISIC 49",(1-Calcs!$B$16)*D$56*Calcs!$I$21,0)+IF($A108="ISIC 45T47",(1-Calcs!$B$16)*D$56*Calcs!$J$21,0)</f>
        <v>0</v>
      </c>
      <c r="E108" s="16">
        <f>IF($A108="ISIC 41T43",Calcs!$B$16+(1-Calcs!$B$16)*(1-E$56),0)+IF($A108="ISIC 28",(1-Calcs!$B$16)*E$56*Calcs!$H$21,0)+IF($A108="ISIC 49",(1-Calcs!$B$16)*E$56*Calcs!$I$21,0)+IF($A108="ISIC 45T47",(1-Calcs!$B$16)*E$56*Calcs!$J$21,0)</f>
        <v>0</v>
      </c>
      <c r="F108" s="16">
        <f t="shared" si="7"/>
        <v>0</v>
      </c>
      <c r="G108" s="16">
        <f t="shared" si="7"/>
        <v>0</v>
      </c>
    </row>
    <row r="109" spans="1:7" x14ac:dyDescent="0.35">
      <c r="A109" t="s">
        <v>285</v>
      </c>
      <c r="B109" s="16">
        <f>IF($A109="ISIC 41T43",Calcs!$B$16+(1-Calcs!$B$16)*(1-B$56),0)+IF($A109="ISIC 28",(1-Calcs!$B$16)*B$56*Calcs!$H$21,0)+IF($A109="ISIC 49",(1-Calcs!$B$16)*B$56*Calcs!$I$21,0)+IF($A109="ISIC 45T47",(1-Calcs!$B$16)*B$56*Calcs!$J$21,0)</f>
        <v>0</v>
      </c>
      <c r="C109" s="16">
        <f>IF($A109="ISIC 41T43",Calcs!$B$16+(1-Calcs!$B$16)*(1-C$56),0)+IF($A109="ISIC 28",(1-Calcs!$B$16)*C$56*Calcs!$H$21,0)+IF($A109="ISIC 49",(1-Calcs!$B$16)*C$56*Calcs!$I$21,0)+IF($A109="ISIC 45T47",(1-Calcs!$B$16)*C$56*Calcs!$J$21,0)</f>
        <v>0</v>
      </c>
      <c r="D109" s="16">
        <f>IF($A109="ISIC 41T43",Calcs!$B$16+(1-Calcs!$B$16)*(1-D$56),0)+IF($A109="ISIC 28",(1-Calcs!$B$16)*D$56*Calcs!$H$21,0)+IF($A109="ISIC 49",(1-Calcs!$B$16)*D$56*Calcs!$I$21,0)+IF($A109="ISIC 45T47",(1-Calcs!$B$16)*D$56*Calcs!$J$21,0)</f>
        <v>0</v>
      </c>
      <c r="E109" s="16">
        <f>IF($A109="ISIC 41T43",Calcs!$B$16+(1-Calcs!$B$16)*(1-E$56),0)+IF($A109="ISIC 28",(1-Calcs!$B$16)*E$56*Calcs!$H$21,0)+IF($A109="ISIC 49",(1-Calcs!$B$16)*E$56*Calcs!$I$21,0)+IF($A109="ISIC 45T47",(1-Calcs!$B$16)*E$56*Calcs!$J$21,0)</f>
        <v>0</v>
      </c>
      <c r="F109" s="16">
        <f t="shared" si="7"/>
        <v>0</v>
      </c>
      <c r="G109" s="16">
        <f t="shared" si="7"/>
        <v>0</v>
      </c>
    </row>
    <row r="110" spans="1:7" x14ac:dyDescent="0.35">
      <c r="A110" s="1" t="s">
        <v>107</v>
      </c>
      <c r="B110" s="13">
        <f t="shared" ref="B110:G110" si="8">SUM(B58:B109)</f>
        <v>1</v>
      </c>
      <c r="C110" s="13">
        <f t="shared" si="8"/>
        <v>0.99999999999999989</v>
      </c>
      <c r="D110" s="13">
        <f t="shared" si="8"/>
        <v>1</v>
      </c>
      <c r="E110" s="13">
        <f t="shared" si="8"/>
        <v>0.99999999999999989</v>
      </c>
      <c r="F110" s="13">
        <f t="shared" si="8"/>
        <v>1.0000000000000002</v>
      </c>
      <c r="G110" s="13">
        <f t="shared" si="8"/>
        <v>1.0000000000000002</v>
      </c>
    </row>
  </sheetData>
  <dataValidations count="1">
    <dataValidation type="list" sqref="B4" xr:uid="{00000000-0002-0000-0700-000000000000}">
      <formula1>"Superinsulation,Electrification with PV"</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39"/>
  <sheetViews>
    <sheetView workbookViewId="0"/>
  </sheetViews>
  <sheetFormatPr defaultRowHeight="14.5" x14ac:dyDescent="0.35"/>
  <cols>
    <col min="1" max="1" width="70" customWidth="1"/>
    <col min="2" max="2" width="16" customWidth="1"/>
    <col min="3" max="3" width="22" customWidth="1"/>
  </cols>
  <sheetData>
    <row r="1" spans="1:3" ht="32" customHeight="1" x14ac:dyDescent="0.35">
      <c r="A1" s="6" t="s">
        <v>419</v>
      </c>
      <c r="B1" s="6" t="s">
        <v>420</v>
      </c>
      <c r="C1" s="6" t="s">
        <v>421</v>
      </c>
    </row>
    <row r="2" spans="1:3" x14ac:dyDescent="0.35">
      <c r="A2" t="s">
        <v>422</v>
      </c>
      <c r="B2">
        <f>SUM('SoBRCbIC-urbanresidential'!B2:BA2)</f>
        <v>1</v>
      </c>
      <c r="C2">
        <f t="shared" ref="C2:C25" si="0">IF(AND(ABS(B2-1)&gt;0.00000001,ABS(B2)&gt;0.00000001),1,0)</f>
        <v>0</v>
      </c>
    </row>
    <row r="3" spans="1:3" x14ac:dyDescent="0.35">
      <c r="A3" t="s">
        <v>423</v>
      </c>
      <c r="B3">
        <f>SUM('SoBRCbIC-urbanresidential'!B3:BA3)</f>
        <v>0.99999999999999989</v>
      </c>
      <c r="C3">
        <f t="shared" si="0"/>
        <v>0</v>
      </c>
    </row>
    <row r="4" spans="1:3" x14ac:dyDescent="0.35">
      <c r="A4" t="s">
        <v>424</v>
      </c>
      <c r="B4">
        <f>SUM('SoBRCbIC-urbanresidential'!B4:BA4)</f>
        <v>0</v>
      </c>
      <c r="C4">
        <f t="shared" si="0"/>
        <v>0</v>
      </c>
    </row>
    <row r="5" spans="1:3" x14ac:dyDescent="0.35">
      <c r="A5" t="s">
        <v>425</v>
      </c>
      <c r="B5">
        <f>SUM('SoBRCbIC-urbanresidential'!B5:BA5)</f>
        <v>1</v>
      </c>
      <c r="C5">
        <f t="shared" si="0"/>
        <v>0</v>
      </c>
    </row>
    <row r="6" spans="1:3" x14ac:dyDescent="0.35">
      <c r="A6" t="s">
        <v>426</v>
      </c>
      <c r="B6">
        <f>SUM('SoBRCbIC-urbanresidential'!B6:BA6)</f>
        <v>1</v>
      </c>
      <c r="C6">
        <f t="shared" si="0"/>
        <v>0</v>
      </c>
    </row>
    <row r="7" spans="1:3" x14ac:dyDescent="0.35">
      <c r="A7" t="s">
        <v>427</v>
      </c>
      <c r="B7">
        <f>SUM('SoBRCbIC-urbanresidential'!B7:BA7)</f>
        <v>1</v>
      </c>
      <c r="C7">
        <f t="shared" si="0"/>
        <v>0</v>
      </c>
    </row>
    <row r="8" spans="1:3" x14ac:dyDescent="0.35">
      <c r="A8" t="s">
        <v>428</v>
      </c>
      <c r="B8">
        <f>SUM('SoBRCbIC-ruralresidential'!B2:BA2)</f>
        <v>1</v>
      </c>
      <c r="C8">
        <f t="shared" si="0"/>
        <v>0</v>
      </c>
    </row>
    <row r="9" spans="1:3" x14ac:dyDescent="0.35">
      <c r="A9" t="s">
        <v>429</v>
      </c>
      <c r="B9">
        <f>SUM('SoBRCbIC-ruralresidential'!B3:BA3)</f>
        <v>0.99999999999999989</v>
      </c>
      <c r="C9">
        <f t="shared" si="0"/>
        <v>0</v>
      </c>
    </row>
    <row r="10" spans="1:3" x14ac:dyDescent="0.35">
      <c r="A10" t="s">
        <v>430</v>
      </c>
      <c r="B10">
        <f>SUM('SoBRCbIC-ruralresidential'!B4:BA4)</f>
        <v>0</v>
      </c>
      <c r="C10">
        <f t="shared" si="0"/>
        <v>0</v>
      </c>
    </row>
    <row r="11" spans="1:3" x14ac:dyDescent="0.35">
      <c r="A11" t="s">
        <v>431</v>
      </c>
      <c r="B11">
        <f>SUM('SoBRCbIC-ruralresidential'!B5:BA5)</f>
        <v>1</v>
      </c>
      <c r="C11">
        <f t="shared" si="0"/>
        <v>0</v>
      </c>
    </row>
    <row r="12" spans="1:3" x14ac:dyDescent="0.35">
      <c r="A12" t="s">
        <v>432</v>
      </c>
      <c r="B12">
        <f>SUM('SoBRCbIC-ruralresidential'!B6:BA6)</f>
        <v>1</v>
      </c>
      <c r="C12">
        <f t="shared" si="0"/>
        <v>0</v>
      </c>
    </row>
    <row r="13" spans="1:3" x14ac:dyDescent="0.35">
      <c r="A13" t="s">
        <v>433</v>
      </c>
      <c r="B13">
        <f>SUM('SoBRCbIC-ruralresidential'!B7:BA7)</f>
        <v>1</v>
      </c>
      <c r="C13">
        <f t="shared" si="0"/>
        <v>0</v>
      </c>
    </row>
    <row r="14" spans="1:3" x14ac:dyDescent="0.35">
      <c r="A14" t="s">
        <v>434</v>
      </c>
      <c r="B14">
        <f>SUM('SoBRCbIC-commercial'!B2:BA2)</f>
        <v>1.0000000000000002</v>
      </c>
      <c r="C14">
        <f t="shared" si="0"/>
        <v>0</v>
      </c>
    </row>
    <row r="15" spans="1:3" x14ac:dyDescent="0.35">
      <c r="A15" t="s">
        <v>435</v>
      </c>
      <c r="B15">
        <f>SUM('SoBRCbIC-commercial'!B3:BA3)</f>
        <v>1.0000000000000002</v>
      </c>
      <c r="C15">
        <f t="shared" si="0"/>
        <v>0</v>
      </c>
    </row>
    <row r="16" spans="1:3" x14ac:dyDescent="0.35">
      <c r="A16" t="s">
        <v>436</v>
      </c>
      <c r="B16">
        <f>SUM('SoBRCbIC-commercial'!B4:BA4)</f>
        <v>0</v>
      </c>
      <c r="C16">
        <f t="shared" si="0"/>
        <v>0</v>
      </c>
    </row>
    <row r="17" spans="1:3" x14ac:dyDescent="0.35">
      <c r="A17" t="s">
        <v>437</v>
      </c>
      <c r="B17">
        <f>SUM('SoBRCbIC-commercial'!B5:BA5)</f>
        <v>0.99999999999999989</v>
      </c>
      <c r="C17">
        <f t="shared" si="0"/>
        <v>0</v>
      </c>
    </row>
    <row r="18" spans="1:3" x14ac:dyDescent="0.35">
      <c r="A18" t="s">
        <v>438</v>
      </c>
      <c r="B18">
        <f>SUM('SoBRCbIC-commercial'!B6:BA6)</f>
        <v>1</v>
      </c>
      <c r="C18">
        <f t="shared" si="0"/>
        <v>0</v>
      </c>
    </row>
    <row r="19" spans="1:3" x14ac:dyDescent="0.35">
      <c r="A19" t="s">
        <v>439</v>
      </c>
      <c r="B19">
        <f>SUM('SoBRCbIC-commercial'!B7:BA7)</f>
        <v>1.0000000010000001</v>
      </c>
      <c r="C19">
        <f t="shared" si="0"/>
        <v>0</v>
      </c>
    </row>
    <row r="20" spans="1:3" x14ac:dyDescent="0.35">
      <c r="A20" t="s">
        <v>440</v>
      </c>
      <c r="B20">
        <f>SUM('SoBRCbIC-data-centers'!B2:BA2)</f>
        <v>1.0000000000000002</v>
      </c>
      <c r="C20">
        <f t="shared" si="0"/>
        <v>0</v>
      </c>
    </row>
    <row r="21" spans="1:3" x14ac:dyDescent="0.35">
      <c r="A21" t="s">
        <v>441</v>
      </c>
      <c r="B21">
        <f>SUM('SoBRCbIC-data-centers'!B3:BA3)</f>
        <v>1.0000000000000002</v>
      </c>
      <c r="C21">
        <f t="shared" si="0"/>
        <v>0</v>
      </c>
    </row>
    <row r="22" spans="1:3" x14ac:dyDescent="0.35">
      <c r="A22" t="s">
        <v>442</v>
      </c>
      <c r="B22">
        <f>SUM('SoBRCbIC-data-centers'!B4:BA4)</f>
        <v>0</v>
      </c>
      <c r="C22">
        <f t="shared" si="0"/>
        <v>0</v>
      </c>
    </row>
    <row r="23" spans="1:3" x14ac:dyDescent="0.35">
      <c r="A23" t="s">
        <v>443</v>
      </c>
      <c r="B23">
        <f>SUM('SoBRCbIC-data-centers'!B5:BA5)</f>
        <v>0.99999999999999989</v>
      </c>
      <c r="C23">
        <f t="shared" si="0"/>
        <v>0</v>
      </c>
    </row>
    <row r="24" spans="1:3" x14ac:dyDescent="0.35">
      <c r="A24" t="s">
        <v>444</v>
      </c>
      <c r="B24">
        <f>SUM('SoBRCbIC-data-centers'!B6:BA6)</f>
        <v>1</v>
      </c>
      <c r="C24">
        <f t="shared" si="0"/>
        <v>0</v>
      </c>
    </row>
    <row r="25" spans="1:3" x14ac:dyDescent="0.35">
      <c r="A25" t="s">
        <v>445</v>
      </c>
      <c r="B25">
        <f>SUM('SoBRCbIC-data-centers'!B7:BA7)</f>
        <v>1.0000000010000001</v>
      </c>
      <c r="C25">
        <f t="shared" si="0"/>
        <v>0</v>
      </c>
    </row>
    <row r="26" spans="1:3" x14ac:dyDescent="0.35">
      <c r="A26" t="s">
        <v>446</v>
      </c>
      <c r="B26">
        <f>INDEX('EPS Inputs'!$B$5:$BA$5,MATCH("ISIC 28",'EPS Inputs'!$B$4:$BA$4,0))+INDEX('EPS Inputs'!$B$5:$BA$5,MATCH("ISIC 41T43",'EPS Inputs'!$B$4:$BA$4,0))+INDEX('EPS Inputs'!$B$5:$BA$5,MATCH("ISIC 45T47",'EPS Inputs'!$B$4:$BA$4,0))+INDEX('EPS Inputs'!$B$5:$BA$5,MATCH("ISIC 49",'EPS Inputs'!$B$4:$BA$4,0))</f>
        <v>0.99999999999999989</v>
      </c>
      <c r="C26">
        <f t="shared" ref="C26:C31" si="1">IF(ABS(B26-1)&gt;0.000000001,1,0)</f>
        <v>0</v>
      </c>
    </row>
    <row r="27" spans="1:3" x14ac:dyDescent="0.35">
      <c r="A27" t="s">
        <v>447</v>
      </c>
      <c r="B27">
        <f>INDEX('EPS Inputs'!$B$6:$BA$6,MATCH("ISIC 28",'EPS Inputs'!$B$4:$BA$4,0))+INDEX('EPS Inputs'!$B$6:$BA$6,MATCH("ISIC 41T43",'EPS Inputs'!$B$4:$BA$4,0))+INDEX('EPS Inputs'!$B$6:$BA$6,MATCH("ISIC 45T47",'EPS Inputs'!$B$4:$BA$4,0))+INDEX('EPS Inputs'!$B$6:$BA$6,MATCH("ISIC 49",'EPS Inputs'!$B$4:$BA$4,0))</f>
        <v>1</v>
      </c>
      <c r="C27">
        <f t="shared" si="1"/>
        <v>0</v>
      </c>
    </row>
    <row r="28" spans="1:3" x14ac:dyDescent="0.35">
      <c r="A28" t="s">
        <v>448</v>
      </c>
      <c r="B28">
        <f>INDEX('EPS Inputs'!$B$14:$BA$14,MATCH("ISIC 28",'EPS Inputs'!$B$13:$BA$13,0))+INDEX('EPS Inputs'!$B$14:$BA$14,MATCH("ISIC 41T43",'EPS Inputs'!$B$13:$BA$13,0))+INDEX('EPS Inputs'!$B$14:$BA$14,MATCH("ISIC 45T47",'EPS Inputs'!$B$13:$BA$13,0))+INDEX('EPS Inputs'!$B$14:$BA$14,MATCH("ISIC 49",'EPS Inputs'!$B$13:$BA$13,0))</f>
        <v>0.99999999999999989</v>
      </c>
      <c r="C28">
        <f t="shared" si="1"/>
        <v>0</v>
      </c>
    </row>
    <row r="29" spans="1:3" x14ac:dyDescent="0.35">
      <c r="A29" t="s">
        <v>449</v>
      </c>
      <c r="B29">
        <f>INDEX('EPS Inputs'!$B$15:$BA$15,MATCH("ISIC 28",'EPS Inputs'!$B$13:$BA$13,0))+INDEX('EPS Inputs'!$B$15:$BA$15,MATCH("ISIC 41T43",'EPS Inputs'!$B$13:$BA$13,0))+INDEX('EPS Inputs'!$B$15:$BA$15,MATCH("ISIC 45T47",'EPS Inputs'!$B$13:$BA$13,0))+INDEX('EPS Inputs'!$B$15:$BA$15,MATCH("ISIC 49",'EPS Inputs'!$B$13:$BA$13,0))</f>
        <v>1</v>
      </c>
      <c r="C29">
        <f t="shared" si="1"/>
        <v>0</v>
      </c>
    </row>
    <row r="30" spans="1:3" x14ac:dyDescent="0.35">
      <c r="A30" t="s">
        <v>450</v>
      </c>
      <c r="B30">
        <f>Calcs!U51+Calcs!V51</f>
        <v>1.0000000000000002</v>
      </c>
      <c r="C30">
        <f t="shared" si="1"/>
        <v>0</v>
      </c>
    </row>
    <row r="31" spans="1:3" x14ac:dyDescent="0.35">
      <c r="A31" t="s">
        <v>451</v>
      </c>
      <c r="B31">
        <f>SUM(Calcs!D32:D36)</f>
        <v>1.0000000000000002</v>
      </c>
      <c r="C31">
        <f t="shared" si="1"/>
        <v>0</v>
      </c>
    </row>
    <row r="32" spans="1:3" x14ac:dyDescent="0.35">
      <c r="A32" t="s">
        <v>452</v>
      </c>
      <c r="B32">
        <f>Calcs!B16</f>
        <v>0.81818012870782386</v>
      </c>
      <c r="C32">
        <f>IF(OR(B32&lt;0,B32&gt;1),1,0)</f>
        <v>0</v>
      </c>
    </row>
    <row r="33" spans="1:3" x14ac:dyDescent="0.35">
      <c r="A33" t="s">
        <v>453</v>
      </c>
      <c r="B33">
        <f>Calcs!H21+Calcs!I21+Calcs!J21</f>
        <v>1</v>
      </c>
      <c r="C33">
        <f>IF(ABS(B33-1)&gt;0.000000001,1,0)</f>
        <v>0</v>
      </c>
    </row>
    <row r="34" spans="1:3" x14ac:dyDescent="0.35">
      <c r="A34" t="s">
        <v>454</v>
      </c>
      <c r="B34">
        <f>Calcs!H22+Calcs!I22+Calcs!J22</f>
        <v>1</v>
      </c>
      <c r="C34">
        <f>IF(ABS(B34-1)&gt;0.000000001,1,0)</f>
        <v>0</v>
      </c>
    </row>
    <row r="35" spans="1:3" x14ac:dyDescent="0.35">
      <c r="A35" t="s">
        <v>455</v>
      </c>
      <c r="B35">
        <f>Calcs!H23+Calcs!I23+Calcs!J23</f>
        <v>1</v>
      </c>
      <c r="C35">
        <f>IF(ABS(B35-1)&gt;0.000000001,1,0)</f>
        <v>0</v>
      </c>
    </row>
    <row r="36" spans="1:3" x14ac:dyDescent="0.35">
      <c r="A36" t="s">
        <v>456</v>
      </c>
      <c r="B36">
        <f>Calcs!H24+Calcs!I24+Calcs!J24</f>
        <v>1</v>
      </c>
      <c r="C36">
        <f>IF(ABS(B36-1)&gt;0.000000001,1,0)</f>
        <v>0</v>
      </c>
    </row>
    <row r="37" spans="1:3" x14ac:dyDescent="0.35">
      <c r="A37" t="s">
        <v>457</v>
      </c>
      <c r="B37">
        <f>Calcs!H25+Calcs!I25+Calcs!J25</f>
        <v>1</v>
      </c>
      <c r="C37">
        <f>IF(ABS(B37-1)&gt;0.000000001,1,0)</f>
        <v>0</v>
      </c>
    </row>
    <row r="39" spans="1:3" x14ac:dyDescent="0.35">
      <c r="A39" s="1" t="s">
        <v>458</v>
      </c>
      <c r="C39" s="1">
        <f>SUM(C2:C37)</f>
        <v>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BA7"/>
  <sheetViews>
    <sheetView workbookViewId="0"/>
  </sheetViews>
  <sheetFormatPr defaultRowHeight="14.5" x14ac:dyDescent="0.35"/>
  <sheetData>
    <row r="1" spans="1:53" x14ac:dyDescent="0.35">
      <c r="A1" t="s">
        <v>233</v>
      </c>
      <c r="B1" t="s">
        <v>234</v>
      </c>
      <c r="C1" t="s">
        <v>235</v>
      </c>
      <c r="D1" t="s">
        <v>236</v>
      </c>
      <c r="E1" t="s">
        <v>237</v>
      </c>
      <c r="F1" t="s">
        <v>238</v>
      </c>
      <c r="G1" t="s">
        <v>239</v>
      </c>
      <c r="H1" t="s">
        <v>240</v>
      </c>
      <c r="I1" t="s">
        <v>241</v>
      </c>
      <c r="J1" t="s">
        <v>242</v>
      </c>
      <c r="K1" t="s">
        <v>243</v>
      </c>
      <c r="L1" t="s">
        <v>244</v>
      </c>
      <c r="M1" t="s">
        <v>245</v>
      </c>
      <c r="N1" t="s">
        <v>246</v>
      </c>
      <c r="O1" t="s">
        <v>247</v>
      </c>
      <c r="P1" t="s">
        <v>248</v>
      </c>
      <c r="Q1" t="s">
        <v>249</v>
      </c>
      <c r="R1" t="s">
        <v>250</v>
      </c>
      <c r="S1" t="s">
        <v>251</v>
      </c>
      <c r="T1" t="s">
        <v>252</v>
      </c>
      <c r="U1" t="s">
        <v>253</v>
      </c>
      <c r="V1" t="s">
        <v>254</v>
      </c>
      <c r="W1" t="s">
        <v>255</v>
      </c>
      <c r="X1" t="s">
        <v>256</v>
      </c>
      <c r="Y1" t="s">
        <v>257</v>
      </c>
      <c r="Z1" t="s">
        <v>258</v>
      </c>
      <c r="AA1" t="s">
        <v>259</v>
      </c>
      <c r="AB1" t="s">
        <v>260</v>
      </c>
      <c r="AC1" t="s">
        <v>261</v>
      </c>
      <c r="AD1" t="s">
        <v>262</v>
      </c>
      <c r="AE1" t="s">
        <v>263</v>
      </c>
      <c r="AF1" t="s">
        <v>264</v>
      </c>
      <c r="AG1" t="s">
        <v>265</v>
      </c>
      <c r="AH1" t="s">
        <v>266</v>
      </c>
      <c r="AI1" t="s">
        <v>267</v>
      </c>
      <c r="AJ1" t="s">
        <v>268</v>
      </c>
      <c r="AK1" t="s">
        <v>269</v>
      </c>
      <c r="AL1" t="s">
        <v>270</v>
      </c>
      <c r="AM1" t="s">
        <v>271</v>
      </c>
      <c r="AN1" t="s">
        <v>272</v>
      </c>
      <c r="AO1" t="s">
        <v>273</v>
      </c>
      <c r="AP1" t="s">
        <v>274</v>
      </c>
      <c r="AQ1" t="s">
        <v>275</v>
      </c>
      <c r="AR1" t="s">
        <v>276</v>
      </c>
      <c r="AS1" t="s">
        <v>277</v>
      </c>
      <c r="AT1" t="s">
        <v>278</v>
      </c>
      <c r="AU1" t="s">
        <v>279</v>
      </c>
      <c r="AV1" t="s">
        <v>280</v>
      </c>
      <c r="AW1" t="s">
        <v>281</v>
      </c>
      <c r="AX1" t="s">
        <v>282</v>
      </c>
      <c r="AY1" t="s">
        <v>283</v>
      </c>
      <c r="AZ1" t="s">
        <v>284</v>
      </c>
      <c r="BA1" t="s">
        <v>285</v>
      </c>
    </row>
    <row r="2" spans="1:53" x14ac:dyDescent="0.35">
      <c r="A2" t="s">
        <v>286</v>
      </c>
      <c r="B2">
        <f>INDEX(Calcs!$B$58:$B$109,MATCH(B$1,Calcs!$A$58:$A$109,0))</f>
        <v>0</v>
      </c>
      <c r="C2">
        <f>INDEX(Calcs!$B$58:$B$109,MATCH(C$1,Calcs!$A$58:$A$109,0))</f>
        <v>0</v>
      </c>
      <c r="D2">
        <f>INDEX(Calcs!$B$58:$B$109,MATCH(D$1,Calcs!$A$58:$A$109,0))</f>
        <v>0</v>
      </c>
      <c r="E2">
        <f>INDEX(Calcs!$B$58:$B$109,MATCH(E$1,Calcs!$A$58:$A$109,0))</f>
        <v>0</v>
      </c>
      <c r="F2">
        <f>INDEX(Calcs!$B$58:$B$109,MATCH(F$1,Calcs!$A$58:$A$109,0))</f>
        <v>0</v>
      </c>
      <c r="G2">
        <f>INDEX(Calcs!$B$58:$B$109,MATCH(G$1,Calcs!$A$58:$A$109,0))</f>
        <v>0</v>
      </c>
      <c r="H2">
        <f>INDEX(Calcs!$B$58:$B$109,MATCH(H$1,Calcs!$A$58:$A$109,0))</f>
        <v>0</v>
      </c>
      <c r="I2">
        <f>INDEX(Calcs!$B$58:$B$109,MATCH(I$1,Calcs!$A$58:$A$109,0))</f>
        <v>0</v>
      </c>
      <c r="J2">
        <f>INDEX(Calcs!$B$58:$B$109,MATCH(J$1,Calcs!$A$58:$A$109,0))</f>
        <v>0</v>
      </c>
      <c r="K2">
        <f>INDEX(Calcs!$B$58:$B$109,MATCH(K$1,Calcs!$A$58:$A$109,0))</f>
        <v>0</v>
      </c>
      <c r="L2">
        <f>INDEX(Calcs!$B$58:$B$109,MATCH(L$1,Calcs!$A$58:$A$109,0))</f>
        <v>0</v>
      </c>
      <c r="M2">
        <f>INDEX(Calcs!$B$58:$B$109,MATCH(M$1,Calcs!$A$58:$A$109,0))</f>
        <v>0</v>
      </c>
      <c r="N2">
        <f>INDEX(Calcs!$B$58:$B$109,MATCH(N$1,Calcs!$A$58:$A$109,0))</f>
        <v>0</v>
      </c>
      <c r="O2">
        <f>INDEX(Calcs!$B$58:$B$109,MATCH(O$1,Calcs!$A$58:$A$109,0))</f>
        <v>0</v>
      </c>
      <c r="P2">
        <f>INDEX(Calcs!$B$58:$B$109,MATCH(P$1,Calcs!$A$58:$A$109,0))</f>
        <v>0</v>
      </c>
      <c r="Q2">
        <f>INDEX(Calcs!$B$58:$B$109,MATCH(Q$1,Calcs!$A$58:$A$109,0))</f>
        <v>0</v>
      </c>
      <c r="R2">
        <f>INDEX(Calcs!$B$58:$B$109,MATCH(R$1,Calcs!$A$58:$A$109,0))</f>
        <v>0</v>
      </c>
      <c r="S2">
        <f>INDEX(Calcs!$B$58:$B$109,MATCH(S$1,Calcs!$A$58:$A$109,0))</f>
        <v>0</v>
      </c>
      <c r="T2">
        <f>INDEX(Calcs!$B$58:$B$109,MATCH(T$1,Calcs!$A$58:$A$109,0))</f>
        <v>0</v>
      </c>
      <c r="U2">
        <f>INDEX(Calcs!$B$58:$B$109,MATCH(U$1,Calcs!$A$58:$A$109,0))</f>
        <v>0</v>
      </c>
      <c r="V2">
        <f>INDEX(Calcs!$B$58:$B$109,MATCH(V$1,Calcs!$A$58:$A$109,0))</f>
        <v>0</v>
      </c>
      <c r="W2">
        <f>INDEX(Calcs!$B$58:$B$109,MATCH(W$1,Calcs!$A$58:$A$109,0))</f>
        <v>0</v>
      </c>
      <c r="X2">
        <f>INDEX(Calcs!$B$58:$B$109,MATCH(X$1,Calcs!$A$58:$A$109,0))</f>
        <v>0</v>
      </c>
      <c r="Y2">
        <f>INDEX(Calcs!$B$58:$B$109,MATCH(Y$1,Calcs!$A$58:$A$109,0))</f>
        <v>5.7242345388619567E-2</v>
      </c>
      <c r="Z2">
        <f>INDEX(Calcs!$B$58:$B$109,MATCH(Z$1,Calcs!$A$58:$A$109,0))</f>
        <v>0</v>
      </c>
      <c r="AA2">
        <f>INDEX(Calcs!$B$58:$B$109,MATCH(AA$1,Calcs!$A$58:$A$109,0))</f>
        <v>0</v>
      </c>
      <c r="AB2">
        <f>INDEX(Calcs!$B$58:$B$109,MATCH(AB$1,Calcs!$A$58:$A$109,0))</f>
        <v>0</v>
      </c>
      <c r="AC2">
        <f>INDEX(Calcs!$B$58:$B$109,MATCH(AC$1,Calcs!$A$58:$A$109,0))</f>
        <v>0</v>
      </c>
      <c r="AD2">
        <f>INDEX(Calcs!$B$58:$B$109,MATCH(AD$1,Calcs!$A$58:$A$109,0))</f>
        <v>0</v>
      </c>
      <c r="AE2">
        <f>INDEX(Calcs!$B$58:$B$109,MATCH(AE$1,Calcs!$A$58:$A$109,0))</f>
        <v>0</v>
      </c>
      <c r="AF2">
        <f>INDEX(Calcs!$B$58:$B$109,MATCH(AF$1,Calcs!$A$58:$A$109,0))</f>
        <v>0</v>
      </c>
      <c r="AG2">
        <f>INDEX(Calcs!$B$58:$B$109,MATCH(AG$1,Calcs!$A$58:$A$109,0))</f>
        <v>0.89994793013228491</v>
      </c>
      <c r="AH2">
        <f>INDEX(Calcs!$B$58:$B$109,MATCH(AH$1,Calcs!$A$58:$A$109,0))</f>
        <v>4.1150054430875181E-2</v>
      </c>
      <c r="AI2">
        <f>INDEX(Calcs!$B$58:$B$109,MATCH(AI$1,Calcs!$A$58:$A$109,0))</f>
        <v>1.6596700482203511E-3</v>
      </c>
      <c r="AJ2">
        <f>INDEX(Calcs!$B$58:$B$109,MATCH(AJ$1,Calcs!$A$58:$A$109,0))</f>
        <v>0</v>
      </c>
      <c r="AK2">
        <f>INDEX(Calcs!$B$58:$B$109,MATCH(AK$1,Calcs!$A$58:$A$109,0))</f>
        <v>0</v>
      </c>
      <c r="AL2">
        <f>INDEX(Calcs!$B$58:$B$109,MATCH(AL$1,Calcs!$A$58:$A$109,0))</f>
        <v>0</v>
      </c>
      <c r="AM2">
        <f>INDEX(Calcs!$B$58:$B$109,MATCH(AM$1,Calcs!$A$58:$A$109,0))</f>
        <v>0</v>
      </c>
      <c r="AN2">
        <f>INDEX(Calcs!$B$58:$B$109,MATCH(AN$1,Calcs!$A$58:$A$109,0))</f>
        <v>0</v>
      </c>
      <c r="AO2">
        <f>INDEX(Calcs!$B$58:$B$109,MATCH(AO$1,Calcs!$A$58:$A$109,0))</f>
        <v>0</v>
      </c>
      <c r="AP2">
        <f>INDEX(Calcs!$B$58:$B$109,MATCH(AP$1,Calcs!$A$58:$A$109,0))</f>
        <v>0</v>
      </c>
      <c r="AQ2">
        <f>INDEX(Calcs!$B$58:$B$109,MATCH(AQ$1,Calcs!$A$58:$A$109,0))</f>
        <v>0</v>
      </c>
      <c r="AR2">
        <f>INDEX(Calcs!$B$58:$B$109,MATCH(AR$1,Calcs!$A$58:$A$109,0))</f>
        <v>0</v>
      </c>
      <c r="AS2">
        <f>INDEX(Calcs!$B$58:$B$109,MATCH(AS$1,Calcs!$A$58:$A$109,0))</f>
        <v>0</v>
      </c>
      <c r="AT2">
        <f>INDEX(Calcs!$B$58:$B$109,MATCH(AT$1,Calcs!$A$58:$A$109,0))</f>
        <v>0</v>
      </c>
      <c r="AU2">
        <f>INDEX(Calcs!$B$58:$B$109,MATCH(AU$1,Calcs!$A$58:$A$109,0))</f>
        <v>0</v>
      </c>
      <c r="AV2">
        <f>INDEX(Calcs!$B$58:$B$109,MATCH(AV$1,Calcs!$A$58:$A$109,0))</f>
        <v>0</v>
      </c>
      <c r="AW2">
        <f>INDEX(Calcs!$B$58:$B$109,MATCH(AW$1,Calcs!$A$58:$A$109,0))</f>
        <v>0</v>
      </c>
      <c r="AX2">
        <f>INDEX(Calcs!$B$58:$B$109,MATCH(AX$1,Calcs!$A$58:$A$109,0))</f>
        <v>0</v>
      </c>
      <c r="AY2">
        <f>INDEX(Calcs!$B$58:$B$109,MATCH(AY$1,Calcs!$A$58:$A$109,0))</f>
        <v>0</v>
      </c>
      <c r="AZ2">
        <f>INDEX(Calcs!$B$58:$B$109,MATCH(AZ$1,Calcs!$A$58:$A$109,0))</f>
        <v>0</v>
      </c>
      <c r="BA2">
        <f>INDEX(Calcs!$B$58:$B$109,MATCH(BA$1,Calcs!$A$58:$A$109,0))</f>
        <v>0</v>
      </c>
    </row>
    <row r="3" spans="1:53" x14ac:dyDescent="0.35">
      <c r="A3" t="s">
        <v>287</v>
      </c>
      <c r="B3">
        <f>INDEX(Calcs!$C$58:$C$109,MATCH(B$1,Calcs!$A$58:$A$109,0))</f>
        <v>0</v>
      </c>
      <c r="C3">
        <f>INDEX(Calcs!$C$58:$C$109,MATCH(C$1,Calcs!$A$58:$A$109,0))</f>
        <v>0</v>
      </c>
      <c r="D3">
        <f>INDEX(Calcs!$C$58:$C$109,MATCH(D$1,Calcs!$A$58:$A$109,0))</f>
        <v>0</v>
      </c>
      <c r="E3">
        <f>INDEX(Calcs!$C$58:$C$109,MATCH(E$1,Calcs!$A$58:$A$109,0))</f>
        <v>0</v>
      </c>
      <c r="F3">
        <f>INDEX(Calcs!$C$58:$C$109,MATCH(F$1,Calcs!$A$58:$A$109,0))</f>
        <v>0</v>
      </c>
      <c r="G3">
        <f>INDEX(Calcs!$C$58:$C$109,MATCH(G$1,Calcs!$A$58:$A$109,0))</f>
        <v>0</v>
      </c>
      <c r="H3">
        <f>INDEX(Calcs!$C$58:$C$109,MATCH(H$1,Calcs!$A$58:$A$109,0))</f>
        <v>0</v>
      </c>
      <c r="I3">
        <f>INDEX(Calcs!$C$58:$C$109,MATCH(I$1,Calcs!$A$58:$A$109,0))</f>
        <v>0</v>
      </c>
      <c r="J3">
        <f>INDEX(Calcs!$C$58:$C$109,MATCH(J$1,Calcs!$A$58:$A$109,0))</f>
        <v>0</v>
      </c>
      <c r="K3">
        <f>INDEX(Calcs!$C$58:$C$109,MATCH(K$1,Calcs!$A$58:$A$109,0))</f>
        <v>0</v>
      </c>
      <c r="L3">
        <f>INDEX(Calcs!$C$58:$C$109,MATCH(L$1,Calcs!$A$58:$A$109,0))</f>
        <v>0</v>
      </c>
      <c r="M3">
        <f>INDEX(Calcs!$C$58:$C$109,MATCH(M$1,Calcs!$A$58:$A$109,0))</f>
        <v>0</v>
      </c>
      <c r="N3">
        <f>INDEX(Calcs!$C$58:$C$109,MATCH(N$1,Calcs!$A$58:$A$109,0))</f>
        <v>0</v>
      </c>
      <c r="O3">
        <f>INDEX(Calcs!$C$58:$C$109,MATCH(O$1,Calcs!$A$58:$A$109,0))</f>
        <v>0</v>
      </c>
      <c r="P3">
        <f>INDEX(Calcs!$C$58:$C$109,MATCH(P$1,Calcs!$A$58:$A$109,0))</f>
        <v>0</v>
      </c>
      <c r="Q3">
        <f>INDEX(Calcs!$C$58:$C$109,MATCH(Q$1,Calcs!$A$58:$A$109,0))</f>
        <v>0</v>
      </c>
      <c r="R3">
        <f>INDEX(Calcs!$C$58:$C$109,MATCH(R$1,Calcs!$A$58:$A$109,0))</f>
        <v>0</v>
      </c>
      <c r="S3">
        <f>INDEX(Calcs!$C$58:$C$109,MATCH(S$1,Calcs!$A$58:$A$109,0))</f>
        <v>0</v>
      </c>
      <c r="T3">
        <f>INDEX(Calcs!$C$58:$C$109,MATCH(T$1,Calcs!$A$58:$A$109,0))</f>
        <v>0</v>
      </c>
      <c r="U3">
        <f>INDEX(Calcs!$C$58:$C$109,MATCH(U$1,Calcs!$A$58:$A$109,0))</f>
        <v>0</v>
      </c>
      <c r="V3">
        <f>INDEX(Calcs!$C$58:$C$109,MATCH(V$1,Calcs!$A$58:$A$109,0))</f>
        <v>0</v>
      </c>
      <c r="W3">
        <f>INDEX(Calcs!$C$58:$C$109,MATCH(W$1,Calcs!$A$58:$A$109,0))</f>
        <v>0</v>
      </c>
      <c r="X3">
        <f>INDEX(Calcs!$C$58:$C$109,MATCH(X$1,Calcs!$A$58:$A$109,0))</f>
        <v>0</v>
      </c>
      <c r="Y3">
        <f>INDEX(Calcs!$C$58:$C$109,MATCH(Y$1,Calcs!$A$58:$A$109,0))</f>
        <v>7.6587069426419727E-2</v>
      </c>
      <c r="Z3">
        <f>INDEX(Calcs!$C$58:$C$109,MATCH(Z$1,Calcs!$A$58:$A$109,0))</f>
        <v>0</v>
      </c>
      <c r="AA3">
        <f>INDEX(Calcs!$C$58:$C$109,MATCH(AA$1,Calcs!$A$58:$A$109,0))</f>
        <v>0</v>
      </c>
      <c r="AB3">
        <f>INDEX(Calcs!$C$58:$C$109,MATCH(AB$1,Calcs!$A$58:$A$109,0))</f>
        <v>0</v>
      </c>
      <c r="AC3">
        <f>INDEX(Calcs!$C$58:$C$109,MATCH(AC$1,Calcs!$A$58:$A$109,0))</f>
        <v>0</v>
      </c>
      <c r="AD3">
        <f>INDEX(Calcs!$C$58:$C$109,MATCH(AD$1,Calcs!$A$58:$A$109,0))</f>
        <v>0</v>
      </c>
      <c r="AE3">
        <f>INDEX(Calcs!$C$58:$C$109,MATCH(AE$1,Calcs!$A$58:$A$109,0))</f>
        <v>0</v>
      </c>
      <c r="AF3">
        <f>INDEX(Calcs!$C$58:$C$109,MATCH(AF$1,Calcs!$A$58:$A$109,0))</f>
        <v>0</v>
      </c>
      <c r="AG3">
        <f>INDEX(Calcs!$C$58:$C$109,MATCH(AG$1,Calcs!$A$58:$A$109,0))</f>
        <v>0.8661359039502402</v>
      </c>
      <c r="AH3">
        <f>INDEX(Calcs!$C$58:$C$109,MATCH(AH$1,Calcs!$A$58:$A$109,0))</f>
        <v>5.5056480551283551E-2</v>
      </c>
      <c r="AI3">
        <f>INDEX(Calcs!$C$58:$C$109,MATCH(AI$1,Calcs!$A$58:$A$109,0))</f>
        <v>2.220546072056513E-3</v>
      </c>
      <c r="AJ3">
        <f>INDEX(Calcs!$C$58:$C$109,MATCH(AJ$1,Calcs!$A$58:$A$109,0))</f>
        <v>0</v>
      </c>
      <c r="AK3">
        <f>INDEX(Calcs!$C$58:$C$109,MATCH(AK$1,Calcs!$A$58:$A$109,0))</f>
        <v>0</v>
      </c>
      <c r="AL3">
        <f>INDEX(Calcs!$C$58:$C$109,MATCH(AL$1,Calcs!$A$58:$A$109,0))</f>
        <v>0</v>
      </c>
      <c r="AM3">
        <f>INDEX(Calcs!$C$58:$C$109,MATCH(AM$1,Calcs!$A$58:$A$109,0))</f>
        <v>0</v>
      </c>
      <c r="AN3">
        <f>INDEX(Calcs!$C$58:$C$109,MATCH(AN$1,Calcs!$A$58:$A$109,0))</f>
        <v>0</v>
      </c>
      <c r="AO3">
        <f>INDEX(Calcs!$C$58:$C$109,MATCH(AO$1,Calcs!$A$58:$A$109,0))</f>
        <v>0</v>
      </c>
      <c r="AP3">
        <f>INDEX(Calcs!$C$58:$C$109,MATCH(AP$1,Calcs!$A$58:$A$109,0))</f>
        <v>0</v>
      </c>
      <c r="AQ3">
        <f>INDEX(Calcs!$C$58:$C$109,MATCH(AQ$1,Calcs!$A$58:$A$109,0))</f>
        <v>0</v>
      </c>
      <c r="AR3">
        <f>INDEX(Calcs!$C$58:$C$109,MATCH(AR$1,Calcs!$A$58:$A$109,0))</f>
        <v>0</v>
      </c>
      <c r="AS3">
        <f>INDEX(Calcs!$C$58:$C$109,MATCH(AS$1,Calcs!$A$58:$A$109,0))</f>
        <v>0</v>
      </c>
      <c r="AT3">
        <f>INDEX(Calcs!$C$58:$C$109,MATCH(AT$1,Calcs!$A$58:$A$109,0))</f>
        <v>0</v>
      </c>
      <c r="AU3">
        <f>INDEX(Calcs!$C$58:$C$109,MATCH(AU$1,Calcs!$A$58:$A$109,0))</f>
        <v>0</v>
      </c>
      <c r="AV3">
        <f>INDEX(Calcs!$C$58:$C$109,MATCH(AV$1,Calcs!$A$58:$A$109,0))</f>
        <v>0</v>
      </c>
      <c r="AW3">
        <f>INDEX(Calcs!$C$58:$C$109,MATCH(AW$1,Calcs!$A$58:$A$109,0))</f>
        <v>0</v>
      </c>
      <c r="AX3">
        <f>INDEX(Calcs!$C$58:$C$109,MATCH(AX$1,Calcs!$A$58:$A$109,0))</f>
        <v>0</v>
      </c>
      <c r="AY3">
        <f>INDEX(Calcs!$C$58:$C$109,MATCH(AY$1,Calcs!$A$58:$A$109,0))</f>
        <v>0</v>
      </c>
      <c r="AZ3">
        <f>INDEX(Calcs!$C$58:$C$109,MATCH(AZ$1,Calcs!$A$58:$A$109,0))</f>
        <v>0</v>
      </c>
      <c r="BA3">
        <f>INDEX(Calcs!$C$58:$C$109,MATCH(BA$1,Calcs!$A$58:$A$109,0))</f>
        <v>0</v>
      </c>
    </row>
    <row r="4" spans="1:53" x14ac:dyDescent="0.35">
      <c r="A4" t="s">
        <v>103</v>
      </c>
      <c r="B4">
        <f>'EPS Inputs'!B7</f>
        <v>0</v>
      </c>
      <c r="C4">
        <f>'EPS Inputs'!C7</f>
        <v>0</v>
      </c>
      <c r="D4">
        <f>'EPS Inputs'!D7</f>
        <v>0</v>
      </c>
      <c r="E4">
        <f>'EPS Inputs'!E7</f>
        <v>0</v>
      </c>
      <c r="F4">
        <f>'EPS Inputs'!F7</f>
        <v>0</v>
      </c>
      <c r="G4">
        <f>'EPS Inputs'!G7</f>
        <v>0</v>
      </c>
      <c r="H4">
        <f>'EPS Inputs'!H7</f>
        <v>0</v>
      </c>
      <c r="I4">
        <f>'EPS Inputs'!I7</f>
        <v>0</v>
      </c>
      <c r="J4">
        <f>'EPS Inputs'!J7</f>
        <v>0</v>
      </c>
      <c r="K4">
        <f>'EPS Inputs'!K7</f>
        <v>0</v>
      </c>
      <c r="L4">
        <f>'EPS Inputs'!L7</f>
        <v>0</v>
      </c>
      <c r="M4">
        <f>'EPS Inputs'!M7</f>
        <v>0</v>
      </c>
      <c r="N4">
        <f>'EPS Inputs'!N7</f>
        <v>0</v>
      </c>
      <c r="O4">
        <f>'EPS Inputs'!O7</f>
        <v>0</v>
      </c>
      <c r="P4">
        <f>'EPS Inputs'!P7</f>
        <v>0</v>
      </c>
      <c r="Q4">
        <f>'EPS Inputs'!Q7</f>
        <v>0</v>
      </c>
      <c r="R4">
        <f>'EPS Inputs'!R7</f>
        <v>0</v>
      </c>
      <c r="S4">
        <f>'EPS Inputs'!S7</f>
        <v>0</v>
      </c>
      <c r="T4">
        <f>'EPS Inputs'!T7</f>
        <v>0</v>
      </c>
      <c r="U4">
        <f>'EPS Inputs'!U7</f>
        <v>0</v>
      </c>
      <c r="V4">
        <f>'EPS Inputs'!V7</f>
        <v>0</v>
      </c>
      <c r="W4">
        <f>'EPS Inputs'!W7</f>
        <v>0</v>
      </c>
      <c r="X4">
        <f>'EPS Inputs'!X7</f>
        <v>0</v>
      </c>
      <c r="Y4">
        <f>'EPS Inputs'!Y7</f>
        <v>0</v>
      </c>
      <c r="Z4">
        <f>'EPS Inputs'!Z7</f>
        <v>0</v>
      </c>
      <c r="AA4">
        <f>'EPS Inputs'!AA7</f>
        <v>0</v>
      </c>
      <c r="AB4">
        <f>'EPS Inputs'!AB7</f>
        <v>0</v>
      </c>
      <c r="AC4">
        <f>'EPS Inputs'!AC7</f>
        <v>0</v>
      </c>
      <c r="AD4">
        <f>'EPS Inputs'!AD7</f>
        <v>0</v>
      </c>
      <c r="AE4">
        <f>'EPS Inputs'!AE7</f>
        <v>0</v>
      </c>
      <c r="AF4">
        <f>'EPS Inputs'!AF7</f>
        <v>0</v>
      </c>
      <c r="AG4">
        <f>'EPS Inputs'!AG7</f>
        <v>0</v>
      </c>
      <c r="AH4">
        <f>'EPS Inputs'!AH7</f>
        <v>0</v>
      </c>
      <c r="AI4">
        <f>'EPS Inputs'!AI7</f>
        <v>0</v>
      </c>
      <c r="AJ4">
        <f>'EPS Inputs'!AJ7</f>
        <v>0</v>
      </c>
      <c r="AK4">
        <f>'EPS Inputs'!AK7</f>
        <v>0</v>
      </c>
      <c r="AL4">
        <f>'EPS Inputs'!AL7</f>
        <v>0</v>
      </c>
      <c r="AM4">
        <f>'EPS Inputs'!AM7</f>
        <v>0</v>
      </c>
      <c r="AN4">
        <f>'EPS Inputs'!AN7</f>
        <v>0</v>
      </c>
      <c r="AO4">
        <f>'EPS Inputs'!AO7</f>
        <v>0</v>
      </c>
      <c r="AP4">
        <f>'EPS Inputs'!AP7</f>
        <v>0</v>
      </c>
      <c r="AQ4">
        <f>'EPS Inputs'!AQ7</f>
        <v>0</v>
      </c>
      <c r="AR4">
        <f>'EPS Inputs'!AR7</f>
        <v>0</v>
      </c>
      <c r="AS4">
        <f>'EPS Inputs'!AS7</f>
        <v>0</v>
      </c>
      <c r="AT4">
        <f>'EPS Inputs'!AT7</f>
        <v>0</v>
      </c>
      <c r="AU4">
        <f>'EPS Inputs'!AU7</f>
        <v>0</v>
      </c>
      <c r="AV4">
        <f>'EPS Inputs'!AV7</f>
        <v>0</v>
      </c>
      <c r="AW4">
        <f>'EPS Inputs'!AW7</f>
        <v>0</v>
      </c>
      <c r="AX4">
        <f>'EPS Inputs'!AX7</f>
        <v>0</v>
      </c>
      <c r="AY4">
        <f>'EPS Inputs'!AY7</f>
        <v>0</v>
      </c>
      <c r="AZ4">
        <f>'EPS Inputs'!AZ7</f>
        <v>0</v>
      </c>
      <c r="BA4">
        <f>'EPS Inputs'!BA7</f>
        <v>0</v>
      </c>
    </row>
    <row r="5" spans="1:53" x14ac:dyDescent="0.35">
      <c r="A5" t="s">
        <v>84</v>
      </c>
      <c r="B5">
        <f>'EPS Inputs'!B8</f>
        <v>0</v>
      </c>
      <c r="C5">
        <f>'EPS Inputs'!C8</f>
        <v>0</v>
      </c>
      <c r="D5">
        <f>'EPS Inputs'!D8</f>
        <v>0</v>
      </c>
      <c r="E5">
        <f>'EPS Inputs'!E8</f>
        <v>0</v>
      </c>
      <c r="F5">
        <f>'EPS Inputs'!F8</f>
        <v>0</v>
      </c>
      <c r="G5">
        <f>'EPS Inputs'!G8</f>
        <v>0</v>
      </c>
      <c r="H5">
        <f>'EPS Inputs'!H8</f>
        <v>0</v>
      </c>
      <c r="I5">
        <f>'EPS Inputs'!I8</f>
        <v>0</v>
      </c>
      <c r="J5">
        <f>'EPS Inputs'!J8</f>
        <v>0</v>
      </c>
      <c r="K5">
        <f>'EPS Inputs'!K8</f>
        <v>0</v>
      </c>
      <c r="L5">
        <f>'EPS Inputs'!L8</f>
        <v>0</v>
      </c>
      <c r="M5">
        <f>'EPS Inputs'!M8</f>
        <v>0</v>
      </c>
      <c r="N5">
        <f>'EPS Inputs'!N8</f>
        <v>0</v>
      </c>
      <c r="O5">
        <f>'EPS Inputs'!O8</f>
        <v>0</v>
      </c>
      <c r="P5">
        <f>'EPS Inputs'!P8</f>
        <v>0</v>
      </c>
      <c r="Q5">
        <f>'EPS Inputs'!Q8</f>
        <v>0</v>
      </c>
      <c r="R5">
        <f>'EPS Inputs'!R8</f>
        <v>0</v>
      </c>
      <c r="S5">
        <f>'EPS Inputs'!S8</f>
        <v>0</v>
      </c>
      <c r="T5">
        <f>'EPS Inputs'!T8</f>
        <v>0</v>
      </c>
      <c r="U5">
        <f>'EPS Inputs'!U8</f>
        <v>0</v>
      </c>
      <c r="V5">
        <f>'EPS Inputs'!V8</f>
        <v>0</v>
      </c>
      <c r="W5">
        <f>'EPS Inputs'!W8</f>
        <v>0</v>
      </c>
      <c r="X5">
        <f>'EPS Inputs'!X8</f>
        <v>0.399985111</v>
      </c>
      <c r="Y5">
        <f>'EPS Inputs'!Y8</f>
        <v>0</v>
      </c>
      <c r="Z5">
        <f>'EPS Inputs'!Z8</f>
        <v>0</v>
      </c>
      <c r="AA5">
        <f>'EPS Inputs'!AA8</f>
        <v>0</v>
      </c>
      <c r="AB5">
        <f>'EPS Inputs'!AB8</f>
        <v>0</v>
      </c>
      <c r="AC5">
        <f>'EPS Inputs'!AC8</f>
        <v>0</v>
      </c>
      <c r="AD5">
        <f>'EPS Inputs'!AD8</f>
        <v>0</v>
      </c>
      <c r="AE5">
        <f>'EPS Inputs'!AE8</f>
        <v>0</v>
      </c>
      <c r="AF5">
        <f>'EPS Inputs'!AF8</f>
        <v>0</v>
      </c>
      <c r="AG5">
        <f>'EPS Inputs'!AG8</f>
        <v>0</v>
      </c>
      <c r="AH5">
        <f>'EPS Inputs'!AH8</f>
        <v>0.55505099400000002</v>
      </c>
      <c r="AI5">
        <f>'EPS Inputs'!AI8</f>
        <v>4.4963894999999997E-2</v>
      </c>
      <c r="AJ5">
        <f>'EPS Inputs'!AJ8</f>
        <v>0</v>
      </c>
      <c r="AK5">
        <f>'EPS Inputs'!AK8</f>
        <v>0</v>
      </c>
      <c r="AL5">
        <f>'EPS Inputs'!AL8</f>
        <v>0</v>
      </c>
      <c r="AM5">
        <f>'EPS Inputs'!AM8</f>
        <v>0</v>
      </c>
      <c r="AN5">
        <f>'EPS Inputs'!AN8</f>
        <v>0</v>
      </c>
      <c r="AO5">
        <f>'EPS Inputs'!AO8</f>
        <v>0</v>
      </c>
      <c r="AP5">
        <f>'EPS Inputs'!AP8</f>
        <v>0</v>
      </c>
      <c r="AQ5">
        <f>'EPS Inputs'!AQ8</f>
        <v>0</v>
      </c>
      <c r="AR5">
        <f>'EPS Inputs'!AR8</f>
        <v>0</v>
      </c>
      <c r="AS5">
        <f>'EPS Inputs'!AS8</f>
        <v>0</v>
      </c>
      <c r="AT5">
        <f>'EPS Inputs'!AT8</f>
        <v>0</v>
      </c>
      <c r="AU5">
        <f>'EPS Inputs'!AU8</f>
        <v>0</v>
      </c>
      <c r="AV5">
        <f>'EPS Inputs'!AV8</f>
        <v>0</v>
      </c>
      <c r="AW5">
        <f>'EPS Inputs'!AW8</f>
        <v>0</v>
      </c>
      <c r="AX5">
        <f>'EPS Inputs'!AX8</f>
        <v>0</v>
      </c>
      <c r="AY5">
        <f>'EPS Inputs'!AY8</f>
        <v>0</v>
      </c>
      <c r="AZ5">
        <f>'EPS Inputs'!AZ8</f>
        <v>0</v>
      </c>
      <c r="BA5">
        <f>'EPS Inputs'!BA8</f>
        <v>0</v>
      </c>
    </row>
    <row r="6" spans="1:53" x14ac:dyDescent="0.35">
      <c r="A6" t="s">
        <v>288</v>
      </c>
      <c r="B6">
        <f>'EPS Inputs'!B9</f>
        <v>0</v>
      </c>
      <c r="C6">
        <f>'EPS Inputs'!C9</f>
        <v>0</v>
      </c>
      <c r="D6">
        <f>'EPS Inputs'!D9</f>
        <v>0</v>
      </c>
      <c r="E6">
        <f>'EPS Inputs'!E9</f>
        <v>0</v>
      </c>
      <c r="F6">
        <f>'EPS Inputs'!F9</f>
        <v>0</v>
      </c>
      <c r="G6">
        <f>'EPS Inputs'!G9</f>
        <v>0</v>
      </c>
      <c r="H6">
        <f>'EPS Inputs'!H9</f>
        <v>0</v>
      </c>
      <c r="I6">
        <f>'EPS Inputs'!I9</f>
        <v>0</v>
      </c>
      <c r="J6">
        <f>'EPS Inputs'!J9</f>
        <v>0</v>
      </c>
      <c r="K6">
        <f>'EPS Inputs'!K9</f>
        <v>0</v>
      </c>
      <c r="L6">
        <f>'EPS Inputs'!L9</f>
        <v>0</v>
      </c>
      <c r="M6">
        <f>'EPS Inputs'!M9</f>
        <v>0</v>
      </c>
      <c r="N6">
        <f>'EPS Inputs'!N9</f>
        <v>0</v>
      </c>
      <c r="O6">
        <f>'EPS Inputs'!O9</f>
        <v>0</v>
      </c>
      <c r="P6">
        <f>'EPS Inputs'!P9</f>
        <v>0</v>
      </c>
      <c r="Q6">
        <f>'EPS Inputs'!Q9</f>
        <v>0</v>
      </c>
      <c r="R6">
        <f>'EPS Inputs'!R9</f>
        <v>0</v>
      </c>
      <c r="S6">
        <f>'EPS Inputs'!S9</f>
        <v>0</v>
      </c>
      <c r="T6">
        <f>'EPS Inputs'!T9</f>
        <v>0</v>
      </c>
      <c r="U6">
        <f>'EPS Inputs'!U9</f>
        <v>0</v>
      </c>
      <c r="V6">
        <f>'EPS Inputs'!V9</f>
        <v>0</v>
      </c>
      <c r="W6">
        <f>'EPS Inputs'!W9</f>
        <v>0</v>
      </c>
      <c r="X6">
        <f>'EPS Inputs'!X9</f>
        <v>0.41594354500000003</v>
      </c>
      <c r="Y6">
        <f>'EPS Inputs'!Y9</f>
        <v>0</v>
      </c>
      <c r="Z6">
        <f>'EPS Inputs'!Z9</f>
        <v>0</v>
      </c>
      <c r="AA6">
        <f>'EPS Inputs'!AA9</f>
        <v>0</v>
      </c>
      <c r="AB6">
        <f>'EPS Inputs'!AB9</f>
        <v>0</v>
      </c>
      <c r="AC6">
        <f>'EPS Inputs'!AC9</f>
        <v>0</v>
      </c>
      <c r="AD6">
        <f>'EPS Inputs'!AD9</f>
        <v>0</v>
      </c>
      <c r="AE6">
        <f>'EPS Inputs'!AE9</f>
        <v>0</v>
      </c>
      <c r="AF6">
        <f>'EPS Inputs'!AF9</f>
        <v>0</v>
      </c>
      <c r="AG6">
        <f>'EPS Inputs'!AG9</f>
        <v>0.245648581</v>
      </c>
      <c r="AH6">
        <f>'EPS Inputs'!AH9</f>
        <v>0.33246167500000001</v>
      </c>
      <c r="AI6">
        <f>'EPS Inputs'!AI9</f>
        <v>5.9461990000000001E-3</v>
      </c>
      <c r="AJ6">
        <f>'EPS Inputs'!AJ9</f>
        <v>0</v>
      </c>
      <c r="AK6">
        <f>'EPS Inputs'!AK9</f>
        <v>0</v>
      </c>
      <c r="AL6">
        <f>'EPS Inputs'!AL9</f>
        <v>0</v>
      </c>
      <c r="AM6">
        <f>'EPS Inputs'!AM9</f>
        <v>0</v>
      </c>
      <c r="AN6">
        <f>'EPS Inputs'!AN9</f>
        <v>0</v>
      </c>
      <c r="AO6">
        <f>'EPS Inputs'!AO9</f>
        <v>0</v>
      </c>
      <c r="AP6">
        <f>'EPS Inputs'!AP9</f>
        <v>0</v>
      </c>
      <c r="AQ6">
        <f>'EPS Inputs'!AQ9</f>
        <v>0</v>
      </c>
      <c r="AR6">
        <f>'EPS Inputs'!AR9</f>
        <v>0</v>
      </c>
      <c r="AS6">
        <f>'EPS Inputs'!AS9</f>
        <v>0</v>
      </c>
      <c r="AT6">
        <f>'EPS Inputs'!AT9</f>
        <v>0</v>
      </c>
      <c r="AU6">
        <f>'EPS Inputs'!AU9</f>
        <v>0</v>
      </c>
      <c r="AV6">
        <f>'EPS Inputs'!AV9</f>
        <v>0</v>
      </c>
      <c r="AW6">
        <f>'EPS Inputs'!AW9</f>
        <v>0</v>
      </c>
      <c r="AX6">
        <f>'EPS Inputs'!AX9</f>
        <v>0</v>
      </c>
      <c r="AY6">
        <f>'EPS Inputs'!AY9</f>
        <v>0</v>
      </c>
      <c r="AZ6">
        <f>'EPS Inputs'!AZ9</f>
        <v>0</v>
      </c>
      <c r="BA6">
        <f>'EPS Inputs'!BA9</f>
        <v>0</v>
      </c>
    </row>
    <row r="7" spans="1:53" x14ac:dyDescent="0.35">
      <c r="A7" t="s">
        <v>106</v>
      </c>
      <c r="B7">
        <f>'EPS Inputs'!B10</f>
        <v>0</v>
      </c>
      <c r="C7">
        <f>'EPS Inputs'!C10</f>
        <v>0</v>
      </c>
      <c r="D7">
        <f>'EPS Inputs'!D10</f>
        <v>0</v>
      </c>
      <c r="E7">
        <f>'EPS Inputs'!E10</f>
        <v>0</v>
      </c>
      <c r="F7">
        <f>'EPS Inputs'!F10</f>
        <v>0</v>
      </c>
      <c r="G7">
        <f>'EPS Inputs'!G10</f>
        <v>0</v>
      </c>
      <c r="H7">
        <f>'EPS Inputs'!H10</f>
        <v>0</v>
      </c>
      <c r="I7">
        <f>'EPS Inputs'!I10</f>
        <v>0</v>
      </c>
      <c r="J7">
        <f>'EPS Inputs'!J10</f>
        <v>0</v>
      </c>
      <c r="K7">
        <f>'EPS Inputs'!K10</f>
        <v>0</v>
      </c>
      <c r="L7">
        <f>'EPS Inputs'!L10</f>
        <v>0</v>
      </c>
      <c r="M7">
        <f>'EPS Inputs'!M10</f>
        <v>0</v>
      </c>
      <c r="N7">
        <f>'EPS Inputs'!N10</f>
        <v>0</v>
      </c>
      <c r="O7">
        <f>'EPS Inputs'!O10</f>
        <v>0</v>
      </c>
      <c r="P7">
        <f>'EPS Inputs'!P10</f>
        <v>0</v>
      </c>
      <c r="Q7">
        <f>'EPS Inputs'!Q10</f>
        <v>0</v>
      </c>
      <c r="R7">
        <f>'EPS Inputs'!R10</f>
        <v>0</v>
      </c>
      <c r="S7">
        <f>'EPS Inputs'!S10</f>
        <v>0</v>
      </c>
      <c r="T7">
        <f>'EPS Inputs'!T10</f>
        <v>0</v>
      </c>
      <c r="U7">
        <f>'EPS Inputs'!U10</f>
        <v>0</v>
      </c>
      <c r="V7">
        <f>'EPS Inputs'!V10</f>
        <v>0</v>
      </c>
      <c r="W7">
        <f>'EPS Inputs'!W10</f>
        <v>0</v>
      </c>
      <c r="X7">
        <f>'EPS Inputs'!X10</f>
        <v>0.39439856499999998</v>
      </c>
      <c r="Y7">
        <f>'EPS Inputs'!Y10</f>
        <v>0</v>
      </c>
      <c r="Z7">
        <f>'EPS Inputs'!Z10</f>
        <v>0</v>
      </c>
      <c r="AA7">
        <f>'EPS Inputs'!AA10</f>
        <v>0</v>
      </c>
      <c r="AB7">
        <f>'EPS Inputs'!AB10</f>
        <v>0</v>
      </c>
      <c r="AC7">
        <f>'EPS Inputs'!AC10</f>
        <v>0</v>
      </c>
      <c r="AD7">
        <f>'EPS Inputs'!AD10</f>
        <v>0</v>
      </c>
      <c r="AE7">
        <f>'EPS Inputs'!AE10</f>
        <v>0</v>
      </c>
      <c r="AF7">
        <f>'EPS Inputs'!AF10</f>
        <v>0</v>
      </c>
      <c r="AG7">
        <f>'EPS Inputs'!AG10</f>
        <v>0.245648581</v>
      </c>
      <c r="AH7">
        <f>'EPS Inputs'!AH10</f>
        <v>0.34557880800000002</v>
      </c>
      <c r="AI7">
        <f>'EPS Inputs'!AI10</f>
        <v>1.4374046E-2</v>
      </c>
      <c r="AJ7">
        <f>'EPS Inputs'!AJ10</f>
        <v>0</v>
      </c>
      <c r="AK7">
        <f>'EPS Inputs'!AK10</f>
        <v>0</v>
      </c>
      <c r="AL7">
        <f>'EPS Inputs'!AL10</f>
        <v>0</v>
      </c>
      <c r="AM7">
        <f>'EPS Inputs'!AM10</f>
        <v>0</v>
      </c>
      <c r="AN7">
        <f>'EPS Inputs'!AN10</f>
        <v>0</v>
      </c>
      <c r="AO7">
        <f>'EPS Inputs'!AO10</f>
        <v>0</v>
      </c>
      <c r="AP7">
        <f>'EPS Inputs'!AP10</f>
        <v>0</v>
      </c>
      <c r="AQ7">
        <f>'EPS Inputs'!AQ10</f>
        <v>0</v>
      </c>
      <c r="AR7">
        <f>'EPS Inputs'!AR10</f>
        <v>0</v>
      </c>
      <c r="AS7">
        <f>'EPS Inputs'!AS10</f>
        <v>0</v>
      </c>
      <c r="AT7">
        <f>'EPS Inputs'!AT10</f>
        <v>0</v>
      </c>
      <c r="AU7">
        <f>'EPS Inputs'!AU10</f>
        <v>0</v>
      </c>
      <c r="AV7">
        <f>'EPS Inputs'!AV10</f>
        <v>0</v>
      </c>
      <c r="AW7">
        <f>'EPS Inputs'!AW10</f>
        <v>0</v>
      </c>
      <c r="AX7">
        <f>'EPS Inputs'!AX10</f>
        <v>0</v>
      </c>
      <c r="AY7">
        <f>'EPS Inputs'!AY10</f>
        <v>0</v>
      </c>
      <c r="AZ7">
        <f>'EPS Inputs'!AZ10</f>
        <v>0</v>
      </c>
      <c r="BA7">
        <f>'EPS Inputs'!BA10</f>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BA7"/>
  <sheetViews>
    <sheetView workbookViewId="0"/>
  </sheetViews>
  <sheetFormatPr defaultRowHeight="14.5" x14ac:dyDescent="0.35"/>
  <sheetData>
    <row r="1" spans="1:53" x14ac:dyDescent="0.35">
      <c r="A1" t="s">
        <v>233</v>
      </c>
      <c r="B1" t="s">
        <v>234</v>
      </c>
      <c r="C1" t="s">
        <v>235</v>
      </c>
      <c r="D1" t="s">
        <v>236</v>
      </c>
      <c r="E1" t="s">
        <v>237</v>
      </c>
      <c r="F1" t="s">
        <v>238</v>
      </c>
      <c r="G1" t="s">
        <v>239</v>
      </c>
      <c r="H1" t="s">
        <v>240</v>
      </c>
      <c r="I1" t="s">
        <v>241</v>
      </c>
      <c r="J1" t="s">
        <v>242</v>
      </c>
      <c r="K1" t="s">
        <v>243</v>
      </c>
      <c r="L1" t="s">
        <v>244</v>
      </c>
      <c r="M1" t="s">
        <v>245</v>
      </c>
      <c r="N1" t="s">
        <v>246</v>
      </c>
      <c r="O1" t="s">
        <v>247</v>
      </c>
      <c r="P1" t="s">
        <v>248</v>
      </c>
      <c r="Q1" t="s">
        <v>249</v>
      </c>
      <c r="R1" t="s">
        <v>250</v>
      </c>
      <c r="S1" t="s">
        <v>251</v>
      </c>
      <c r="T1" t="s">
        <v>252</v>
      </c>
      <c r="U1" t="s">
        <v>253</v>
      </c>
      <c r="V1" t="s">
        <v>254</v>
      </c>
      <c r="W1" t="s">
        <v>255</v>
      </c>
      <c r="X1" t="s">
        <v>256</v>
      </c>
      <c r="Y1" t="s">
        <v>257</v>
      </c>
      <c r="Z1" t="s">
        <v>258</v>
      </c>
      <c r="AA1" t="s">
        <v>259</v>
      </c>
      <c r="AB1" t="s">
        <v>260</v>
      </c>
      <c r="AC1" t="s">
        <v>261</v>
      </c>
      <c r="AD1" t="s">
        <v>262</v>
      </c>
      <c r="AE1" t="s">
        <v>263</v>
      </c>
      <c r="AF1" t="s">
        <v>264</v>
      </c>
      <c r="AG1" t="s">
        <v>265</v>
      </c>
      <c r="AH1" t="s">
        <v>266</v>
      </c>
      <c r="AI1" t="s">
        <v>267</v>
      </c>
      <c r="AJ1" t="s">
        <v>268</v>
      </c>
      <c r="AK1" t="s">
        <v>269</v>
      </c>
      <c r="AL1" t="s">
        <v>270</v>
      </c>
      <c r="AM1" t="s">
        <v>271</v>
      </c>
      <c r="AN1" t="s">
        <v>272</v>
      </c>
      <c r="AO1" t="s">
        <v>273</v>
      </c>
      <c r="AP1" t="s">
        <v>274</v>
      </c>
      <c r="AQ1" t="s">
        <v>275</v>
      </c>
      <c r="AR1" t="s">
        <v>276</v>
      </c>
      <c r="AS1" t="s">
        <v>277</v>
      </c>
      <c r="AT1" t="s">
        <v>278</v>
      </c>
      <c r="AU1" t="s">
        <v>279</v>
      </c>
      <c r="AV1" t="s">
        <v>280</v>
      </c>
      <c r="AW1" t="s">
        <v>281</v>
      </c>
      <c r="AX1" t="s">
        <v>282</v>
      </c>
      <c r="AY1" t="s">
        <v>283</v>
      </c>
      <c r="AZ1" t="s">
        <v>284</v>
      </c>
      <c r="BA1" t="s">
        <v>285</v>
      </c>
    </row>
    <row r="2" spans="1:53" x14ac:dyDescent="0.35">
      <c r="A2" t="s">
        <v>286</v>
      </c>
      <c r="B2">
        <f>INDEX(Calcs!$D$58:$D$109,MATCH(B$1,Calcs!$A$58:$A$109,0))</f>
        <v>0</v>
      </c>
      <c r="C2">
        <f>INDEX(Calcs!$D$58:$D$109,MATCH(C$1,Calcs!$A$58:$A$109,0))</f>
        <v>0</v>
      </c>
      <c r="D2">
        <f>INDEX(Calcs!$D$58:$D$109,MATCH(D$1,Calcs!$A$58:$A$109,0))</f>
        <v>0</v>
      </c>
      <c r="E2">
        <f>INDEX(Calcs!$D$58:$D$109,MATCH(E$1,Calcs!$A$58:$A$109,0))</f>
        <v>0</v>
      </c>
      <c r="F2">
        <f>INDEX(Calcs!$D$58:$D$109,MATCH(F$1,Calcs!$A$58:$A$109,0))</f>
        <v>0</v>
      </c>
      <c r="G2">
        <f>INDEX(Calcs!$D$58:$D$109,MATCH(G$1,Calcs!$A$58:$A$109,0))</f>
        <v>0</v>
      </c>
      <c r="H2">
        <f>INDEX(Calcs!$D$58:$D$109,MATCH(H$1,Calcs!$A$58:$A$109,0))</f>
        <v>0</v>
      </c>
      <c r="I2">
        <f>INDEX(Calcs!$D$58:$D$109,MATCH(I$1,Calcs!$A$58:$A$109,0))</f>
        <v>0</v>
      </c>
      <c r="J2">
        <f>INDEX(Calcs!$D$58:$D$109,MATCH(J$1,Calcs!$A$58:$A$109,0))</f>
        <v>0</v>
      </c>
      <c r="K2">
        <f>INDEX(Calcs!$D$58:$D$109,MATCH(K$1,Calcs!$A$58:$A$109,0))</f>
        <v>0</v>
      </c>
      <c r="L2">
        <f>INDEX(Calcs!$D$58:$D$109,MATCH(L$1,Calcs!$A$58:$A$109,0))</f>
        <v>0</v>
      </c>
      <c r="M2">
        <f>INDEX(Calcs!$D$58:$D$109,MATCH(M$1,Calcs!$A$58:$A$109,0))</f>
        <v>0</v>
      </c>
      <c r="N2">
        <f>INDEX(Calcs!$D$58:$D$109,MATCH(N$1,Calcs!$A$58:$A$109,0))</f>
        <v>0</v>
      </c>
      <c r="O2">
        <f>INDEX(Calcs!$D$58:$D$109,MATCH(O$1,Calcs!$A$58:$A$109,0))</f>
        <v>0</v>
      </c>
      <c r="P2">
        <f>INDEX(Calcs!$D$58:$D$109,MATCH(P$1,Calcs!$A$58:$A$109,0))</f>
        <v>0</v>
      </c>
      <c r="Q2">
        <f>INDEX(Calcs!$D$58:$D$109,MATCH(Q$1,Calcs!$A$58:$A$109,0))</f>
        <v>0</v>
      </c>
      <c r="R2">
        <f>INDEX(Calcs!$D$58:$D$109,MATCH(R$1,Calcs!$A$58:$A$109,0))</f>
        <v>0</v>
      </c>
      <c r="S2">
        <f>INDEX(Calcs!$D$58:$D$109,MATCH(S$1,Calcs!$A$58:$A$109,0))</f>
        <v>0</v>
      </c>
      <c r="T2">
        <f>INDEX(Calcs!$D$58:$D$109,MATCH(T$1,Calcs!$A$58:$A$109,0))</f>
        <v>0</v>
      </c>
      <c r="U2">
        <f>INDEX(Calcs!$D$58:$D$109,MATCH(U$1,Calcs!$A$58:$A$109,0))</f>
        <v>0</v>
      </c>
      <c r="V2">
        <f>INDEX(Calcs!$D$58:$D$109,MATCH(V$1,Calcs!$A$58:$A$109,0))</f>
        <v>0</v>
      </c>
      <c r="W2">
        <f>INDEX(Calcs!$D$58:$D$109,MATCH(W$1,Calcs!$A$58:$A$109,0))</f>
        <v>0</v>
      </c>
      <c r="X2">
        <f>INDEX(Calcs!$D$58:$D$109,MATCH(X$1,Calcs!$A$58:$A$109,0))</f>
        <v>0</v>
      </c>
      <c r="Y2">
        <f>INDEX(Calcs!$D$58:$D$109,MATCH(Y$1,Calcs!$A$58:$A$109,0))</f>
        <v>5.7242345388619567E-2</v>
      </c>
      <c r="Z2">
        <f>INDEX(Calcs!$D$58:$D$109,MATCH(Z$1,Calcs!$A$58:$A$109,0))</f>
        <v>0</v>
      </c>
      <c r="AA2">
        <f>INDEX(Calcs!$D$58:$D$109,MATCH(AA$1,Calcs!$A$58:$A$109,0))</f>
        <v>0</v>
      </c>
      <c r="AB2">
        <f>INDEX(Calcs!$D$58:$D$109,MATCH(AB$1,Calcs!$A$58:$A$109,0))</f>
        <v>0</v>
      </c>
      <c r="AC2">
        <f>INDEX(Calcs!$D$58:$D$109,MATCH(AC$1,Calcs!$A$58:$A$109,0))</f>
        <v>0</v>
      </c>
      <c r="AD2">
        <f>INDEX(Calcs!$D$58:$D$109,MATCH(AD$1,Calcs!$A$58:$A$109,0))</f>
        <v>0</v>
      </c>
      <c r="AE2">
        <f>INDEX(Calcs!$D$58:$D$109,MATCH(AE$1,Calcs!$A$58:$A$109,0))</f>
        <v>0</v>
      </c>
      <c r="AF2">
        <f>INDEX(Calcs!$D$58:$D$109,MATCH(AF$1,Calcs!$A$58:$A$109,0))</f>
        <v>0</v>
      </c>
      <c r="AG2">
        <f>INDEX(Calcs!$D$58:$D$109,MATCH(AG$1,Calcs!$A$58:$A$109,0))</f>
        <v>0.89994793013228491</v>
      </c>
      <c r="AH2">
        <f>INDEX(Calcs!$D$58:$D$109,MATCH(AH$1,Calcs!$A$58:$A$109,0))</f>
        <v>4.1150054430875181E-2</v>
      </c>
      <c r="AI2">
        <f>INDEX(Calcs!$D$58:$D$109,MATCH(AI$1,Calcs!$A$58:$A$109,0))</f>
        <v>1.6596700482203511E-3</v>
      </c>
      <c r="AJ2">
        <f>INDEX(Calcs!$D$58:$D$109,MATCH(AJ$1,Calcs!$A$58:$A$109,0))</f>
        <v>0</v>
      </c>
      <c r="AK2">
        <f>INDEX(Calcs!$D$58:$D$109,MATCH(AK$1,Calcs!$A$58:$A$109,0))</f>
        <v>0</v>
      </c>
      <c r="AL2">
        <f>INDEX(Calcs!$D$58:$D$109,MATCH(AL$1,Calcs!$A$58:$A$109,0))</f>
        <v>0</v>
      </c>
      <c r="AM2">
        <f>INDEX(Calcs!$D$58:$D$109,MATCH(AM$1,Calcs!$A$58:$A$109,0))</f>
        <v>0</v>
      </c>
      <c r="AN2">
        <f>INDEX(Calcs!$D$58:$D$109,MATCH(AN$1,Calcs!$A$58:$A$109,0))</f>
        <v>0</v>
      </c>
      <c r="AO2">
        <f>INDEX(Calcs!$D$58:$D$109,MATCH(AO$1,Calcs!$A$58:$A$109,0))</f>
        <v>0</v>
      </c>
      <c r="AP2">
        <f>INDEX(Calcs!$D$58:$D$109,MATCH(AP$1,Calcs!$A$58:$A$109,0))</f>
        <v>0</v>
      </c>
      <c r="AQ2">
        <f>INDEX(Calcs!$D$58:$D$109,MATCH(AQ$1,Calcs!$A$58:$A$109,0))</f>
        <v>0</v>
      </c>
      <c r="AR2">
        <f>INDEX(Calcs!$D$58:$D$109,MATCH(AR$1,Calcs!$A$58:$A$109,0))</f>
        <v>0</v>
      </c>
      <c r="AS2">
        <f>INDEX(Calcs!$D$58:$D$109,MATCH(AS$1,Calcs!$A$58:$A$109,0))</f>
        <v>0</v>
      </c>
      <c r="AT2">
        <f>INDEX(Calcs!$D$58:$D$109,MATCH(AT$1,Calcs!$A$58:$A$109,0))</f>
        <v>0</v>
      </c>
      <c r="AU2">
        <f>INDEX(Calcs!$D$58:$D$109,MATCH(AU$1,Calcs!$A$58:$A$109,0))</f>
        <v>0</v>
      </c>
      <c r="AV2">
        <f>INDEX(Calcs!$D$58:$D$109,MATCH(AV$1,Calcs!$A$58:$A$109,0))</f>
        <v>0</v>
      </c>
      <c r="AW2">
        <f>INDEX(Calcs!$D$58:$D$109,MATCH(AW$1,Calcs!$A$58:$A$109,0))</f>
        <v>0</v>
      </c>
      <c r="AX2">
        <f>INDEX(Calcs!$D$58:$D$109,MATCH(AX$1,Calcs!$A$58:$A$109,0))</f>
        <v>0</v>
      </c>
      <c r="AY2">
        <f>INDEX(Calcs!$D$58:$D$109,MATCH(AY$1,Calcs!$A$58:$A$109,0))</f>
        <v>0</v>
      </c>
      <c r="AZ2">
        <f>INDEX(Calcs!$D$58:$D$109,MATCH(AZ$1,Calcs!$A$58:$A$109,0))</f>
        <v>0</v>
      </c>
      <c r="BA2">
        <f>INDEX(Calcs!$D$58:$D$109,MATCH(BA$1,Calcs!$A$58:$A$109,0))</f>
        <v>0</v>
      </c>
    </row>
    <row r="3" spans="1:53" x14ac:dyDescent="0.35">
      <c r="A3" t="s">
        <v>287</v>
      </c>
      <c r="B3">
        <f>INDEX(Calcs!$E$58:$E$109,MATCH(B$1,Calcs!$A$58:$A$109,0))</f>
        <v>0</v>
      </c>
      <c r="C3">
        <f>INDEX(Calcs!$E$58:$E$109,MATCH(C$1,Calcs!$A$58:$A$109,0))</f>
        <v>0</v>
      </c>
      <c r="D3">
        <f>INDEX(Calcs!$E$58:$E$109,MATCH(D$1,Calcs!$A$58:$A$109,0))</f>
        <v>0</v>
      </c>
      <c r="E3">
        <f>INDEX(Calcs!$E$58:$E$109,MATCH(E$1,Calcs!$A$58:$A$109,0))</f>
        <v>0</v>
      </c>
      <c r="F3">
        <f>INDEX(Calcs!$E$58:$E$109,MATCH(F$1,Calcs!$A$58:$A$109,0))</f>
        <v>0</v>
      </c>
      <c r="G3">
        <f>INDEX(Calcs!$E$58:$E$109,MATCH(G$1,Calcs!$A$58:$A$109,0))</f>
        <v>0</v>
      </c>
      <c r="H3">
        <f>INDEX(Calcs!$E$58:$E$109,MATCH(H$1,Calcs!$A$58:$A$109,0))</f>
        <v>0</v>
      </c>
      <c r="I3">
        <f>INDEX(Calcs!$E$58:$E$109,MATCH(I$1,Calcs!$A$58:$A$109,0))</f>
        <v>0</v>
      </c>
      <c r="J3">
        <f>INDEX(Calcs!$E$58:$E$109,MATCH(J$1,Calcs!$A$58:$A$109,0))</f>
        <v>0</v>
      </c>
      <c r="K3">
        <f>INDEX(Calcs!$E$58:$E$109,MATCH(K$1,Calcs!$A$58:$A$109,0))</f>
        <v>0</v>
      </c>
      <c r="L3">
        <f>INDEX(Calcs!$E$58:$E$109,MATCH(L$1,Calcs!$A$58:$A$109,0))</f>
        <v>0</v>
      </c>
      <c r="M3">
        <f>INDEX(Calcs!$E$58:$E$109,MATCH(M$1,Calcs!$A$58:$A$109,0))</f>
        <v>0</v>
      </c>
      <c r="N3">
        <f>INDEX(Calcs!$E$58:$E$109,MATCH(N$1,Calcs!$A$58:$A$109,0))</f>
        <v>0</v>
      </c>
      <c r="O3">
        <f>INDEX(Calcs!$E$58:$E$109,MATCH(O$1,Calcs!$A$58:$A$109,0))</f>
        <v>0</v>
      </c>
      <c r="P3">
        <f>INDEX(Calcs!$E$58:$E$109,MATCH(P$1,Calcs!$A$58:$A$109,0))</f>
        <v>0</v>
      </c>
      <c r="Q3">
        <f>INDEX(Calcs!$E$58:$E$109,MATCH(Q$1,Calcs!$A$58:$A$109,0))</f>
        <v>0</v>
      </c>
      <c r="R3">
        <f>INDEX(Calcs!$E$58:$E$109,MATCH(R$1,Calcs!$A$58:$A$109,0))</f>
        <v>0</v>
      </c>
      <c r="S3">
        <f>INDEX(Calcs!$E$58:$E$109,MATCH(S$1,Calcs!$A$58:$A$109,0))</f>
        <v>0</v>
      </c>
      <c r="T3">
        <f>INDEX(Calcs!$E$58:$E$109,MATCH(T$1,Calcs!$A$58:$A$109,0))</f>
        <v>0</v>
      </c>
      <c r="U3">
        <f>INDEX(Calcs!$E$58:$E$109,MATCH(U$1,Calcs!$A$58:$A$109,0))</f>
        <v>0</v>
      </c>
      <c r="V3">
        <f>INDEX(Calcs!$E$58:$E$109,MATCH(V$1,Calcs!$A$58:$A$109,0))</f>
        <v>0</v>
      </c>
      <c r="W3">
        <f>INDEX(Calcs!$E$58:$E$109,MATCH(W$1,Calcs!$A$58:$A$109,0))</f>
        <v>0</v>
      </c>
      <c r="X3">
        <f>INDEX(Calcs!$E$58:$E$109,MATCH(X$1,Calcs!$A$58:$A$109,0))</f>
        <v>0</v>
      </c>
      <c r="Y3">
        <f>INDEX(Calcs!$E$58:$E$109,MATCH(Y$1,Calcs!$A$58:$A$109,0))</f>
        <v>7.6587069426419727E-2</v>
      </c>
      <c r="Z3">
        <f>INDEX(Calcs!$E$58:$E$109,MATCH(Z$1,Calcs!$A$58:$A$109,0))</f>
        <v>0</v>
      </c>
      <c r="AA3">
        <f>INDEX(Calcs!$E$58:$E$109,MATCH(AA$1,Calcs!$A$58:$A$109,0))</f>
        <v>0</v>
      </c>
      <c r="AB3">
        <f>INDEX(Calcs!$E$58:$E$109,MATCH(AB$1,Calcs!$A$58:$A$109,0))</f>
        <v>0</v>
      </c>
      <c r="AC3">
        <f>INDEX(Calcs!$E$58:$E$109,MATCH(AC$1,Calcs!$A$58:$A$109,0))</f>
        <v>0</v>
      </c>
      <c r="AD3">
        <f>INDEX(Calcs!$E$58:$E$109,MATCH(AD$1,Calcs!$A$58:$A$109,0))</f>
        <v>0</v>
      </c>
      <c r="AE3">
        <f>INDEX(Calcs!$E$58:$E$109,MATCH(AE$1,Calcs!$A$58:$A$109,0))</f>
        <v>0</v>
      </c>
      <c r="AF3">
        <f>INDEX(Calcs!$E$58:$E$109,MATCH(AF$1,Calcs!$A$58:$A$109,0))</f>
        <v>0</v>
      </c>
      <c r="AG3">
        <f>INDEX(Calcs!$E$58:$E$109,MATCH(AG$1,Calcs!$A$58:$A$109,0))</f>
        <v>0.8661359039502402</v>
      </c>
      <c r="AH3">
        <f>INDEX(Calcs!$E$58:$E$109,MATCH(AH$1,Calcs!$A$58:$A$109,0))</f>
        <v>5.5056480551283551E-2</v>
      </c>
      <c r="AI3">
        <f>INDEX(Calcs!$E$58:$E$109,MATCH(AI$1,Calcs!$A$58:$A$109,0))</f>
        <v>2.220546072056513E-3</v>
      </c>
      <c r="AJ3">
        <f>INDEX(Calcs!$E$58:$E$109,MATCH(AJ$1,Calcs!$A$58:$A$109,0))</f>
        <v>0</v>
      </c>
      <c r="AK3">
        <f>INDEX(Calcs!$E$58:$E$109,MATCH(AK$1,Calcs!$A$58:$A$109,0))</f>
        <v>0</v>
      </c>
      <c r="AL3">
        <f>INDEX(Calcs!$E$58:$E$109,MATCH(AL$1,Calcs!$A$58:$A$109,0))</f>
        <v>0</v>
      </c>
      <c r="AM3">
        <f>INDEX(Calcs!$E$58:$E$109,MATCH(AM$1,Calcs!$A$58:$A$109,0))</f>
        <v>0</v>
      </c>
      <c r="AN3">
        <f>INDEX(Calcs!$E$58:$E$109,MATCH(AN$1,Calcs!$A$58:$A$109,0))</f>
        <v>0</v>
      </c>
      <c r="AO3">
        <f>INDEX(Calcs!$E$58:$E$109,MATCH(AO$1,Calcs!$A$58:$A$109,0))</f>
        <v>0</v>
      </c>
      <c r="AP3">
        <f>INDEX(Calcs!$E$58:$E$109,MATCH(AP$1,Calcs!$A$58:$A$109,0))</f>
        <v>0</v>
      </c>
      <c r="AQ3">
        <f>INDEX(Calcs!$E$58:$E$109,MATCH(AQ$1,Calcs!$A$58:$A$109,0))</f>
        <v>0</v>
      </c>
      <c r="AR3">
        <f>INDEX(Calcs!$E$58:$E$109,MATCH(AR$1,Calcs!$A$58:$A$109,0))</f>
        <v>0</v>
      </c>
      <c r="AS3">
        <f>INDEX(Calcs!$E$58:$E$109,MATCH(AS$1,Calcs!$A$58:$A$109,0))</f>
        <v>0</v>
      </c>
      <c r="AT3">
        <f>INDEX(Calcs!$E$58:$E$109,MATCH(AT$1,Calcs!$A$58:$A$109,0))</f>
        <v>0</v>
      </c>
      <c r="AU3">
        <f>INDEX(Calcs!$E$58:$E$109,MATCH(AU$1,Calcs!$A$58:$A$109,0))</f>
        <v>0</v>
      </c>
      <c r="AV3">
        <f>INDEX(Calcs!$E$58:$E$109,MATCH(AV$1,Calcs!$A$58:$A$109,0))</f>
        <v>0</v>
      </c>
      <c r="AW3">
        <f>INDEX(Calcs!$E$58:$E$109,MATCH(AW$1,Calcs!$A$58:$A$109,0))</f>
        <v>0</v>
      </c>
      <c r="AX3">
        <f>INDEX(Calcs!$E$58:$E$109,MATCH(AX$1,Calcs!$A$58:$A$109,0))</f>
        <v>0</v>
      </c>
      <c r="AY3">
        <f>INDEX(Calcs!$E$58:$E$109,MATCH(AY$1,Calcs!$A$58:$A$109,0))</f>
        <v>0</v>
      </c>
      <c r="AZ3">
        <f>INDEX(Calcs!$E$58:$E$109,MATCH(AZ$1,Calcs!$A$58:$A$109,0))</f>
        <v>0</v>
      </c>
      <c r="BA3">
        <f>INDEX(Calcs!$E$58:$E$109,MATCH(BA$1,Calcs!$A$58:$A$109,0))</f>
        <v>0</v>
      </c>
    </row>
    <row r="4" spans="1:53" x14ac:dyDescent="0.35">
      <c r="A4" t="s">
        <v>103</v>
      </c>
      <c r="B4">
        <f>'EPS Inputs'!B16</f>
        <v>0</v>
      </c>
      <c r="C4">
        <f>'EPS Inputs'!C16</f>
        <v>0</v>
      </c>
      <c r="D4">
        <f>'EPS Inputs'!D16</f>
        <v>0</v>
      </c>
      <c r="E4">
        <f>'EPS Inputs'!E16</f>
        <v>0</v>
      </c>
      <c r="F4">
        <f>'EPS Inputs'!F16</f>
        <v>0</v>
      </c>
      <c r="G4">
        <f>'EPS Inputs'!G16</f>
        <v>0</v>
      </c>
      <c r="H4">
        <f>'EPS Inputs'!H16</f>
        <v>0</v>
      </c>
      <c r="I4">
        <f>'EPS Inputs'!I16</f>
        <v>0</v>
      </c>
      <c r="J4">
        <f>'EPS Inputs'!J16</f>
        <v>0</v>
      </c>
      <c r="K4">
        <f>'EPS Inputs'!K16</f>
        <v>0</v>
      </c>
      <c r="L4">
        <f>'EPS Inputs'!L16</f>
        <v>0</v>
      </c>
      <c r="M4">
        <f>'EPS Inputs'!M16</f>
        <v>0</v>
      </c>
      <c r="N4">
        <f>'EPS Inputs'!N16</f>
        <v>0</v>
      </c>
      <c r="O4">
        <f>'EPS Inputs'!O16</f>
        <v>0</v>
      </c>
      <c r="P4">
        <f>'EPS Inputs'!P16</f>
        <v>0</v>
      </c>
      <c r="Q4">
        <f>'EPS Inputs'!Q16</f>
        <v>0</v>
      </c>
      <c r="R4">
        <f>'EPS Inputs'!R16</f>
        <v>0</v>
      </c>
      <c r="S4">
        <f>'EPS Inputs'!S16</f>
        <v>0</v>
      </c>
      <c r="T4">
        <f>'EPS Inputs'!T16</f>
        <v>0</v>
      </c>
      <c r="U4">
        <f>'EPS Inputs'!U16</f>
        <v>0</v>
      </c>
      <c r="V4">
        <f>'EPS Inputs'!V16</f>
        <v>0</v>
      </c>
      <c r="W4">
        <f>'EPS Inputs'!W16</f>
        <v>0</v>
      </c>
      <c r="X4">
        <f>'EPS Inputs'!X16</f>
        <v>0</v>
      </c>
      <c r="Y4">
        <f>'EPS Inputs'!Y16</f>
        <v>0</v>
      </c>
      <c r="Z4">
        <f>'EPS Inputs'!Z16</f>
        <v>0</v>
      </c>
      <c r="AA4">
        <f>'EPS Inputs'!AA16</f>
        <v>0</v>
      </c>
      <c r="AB4">
        <f>'EPS Inputs'!AB16</f>
        <v>0</v>
      </c>
      <c r="AC4">
        <f>'EPS Inputs'!AC16</f>
        <v>0</v>
      </c>
      <c r="AD4">
        <f>'EPS Inputs'!AD16</f>
        <v>0</v>
      </c>
      <c r="AE4">
        <f>'EPS Inputs'!AE16</f>
        <v>0</v>
      </c>
      <c r="AF4">
        <f>'EPS Inputs'!AF16</f>
        <v>0</v>
      </c>
      <c r="AG4">
        <f>'EPS Inputs'!AG16</f>
        <v>0</v>
      </c>
      <c r="AH4">
        <f>'EPS Inputs'!AH16</f>
        <v>0</v>
      </c>
      <c r="AI4">
        <f>'EPS Inputs'!AI16</f>
        <v>0</v>
      </c>
      <c r="AJ4">
        <f>'EPS Inputs'!AJ16</f>
        <v>0</v>
      </c>
      <c r="AK4">
        <f>'EPS Inputs'!AK16</f>
        <v>0</v>
      </c>
      <c r="AL4">
        <f>'EPS Inputs'!AL16</f>
        <v>0</v>
      </c>
      <c r="AM4">
        <f>'EPS Inputs'!AM16</f>
        <v>0</v>
      </c>
      <c r="AN4">
        <f>'EPS Inputs'!AN16</f>
        <v>0</v>
      </c>
      <c r="AO4">
        <f>'EPS Inputs'!AO16</f>
        <v>0</v>
      </c>
      <c r="AP4">
        <f>'EPS Inputs'!AP16</f>
        <v>0</v>
      </c>
      <c r="AQ4">
        <f>'EPS Inputs'!AQ16</f>
        <v>0</v>
      </c>
      <c r="AR4">
        <f>'EPS Inputs'!AR16</f>
        <v>0</v>
      </c>
      <c r="AS4">
        <f>'EPS Inputs'!AS16</f>
        <v>0</v>
      </c>
      <c r="AT4">
        <f>'EPS Inputs'!AT16</f>
        <v>0</v>
      </c>
      <c r="AU4">
        <f>'EPS Inputs'!AU16</f>
        <v>0</v>
      </c>
      <c r="AV4">
        <f>'EPS Inputs'!AV16</f>
        <v>0</v>
      </c>
      <c r="AW4">
        <f>'EPS Inputs'!AW16</f>
        <v>0</v>
      </c>
      <c r="AX4">
        <f>'EPS Inputs'!AX16</f>
        <v>0</v>
      </c>
      <c r="AY4">
        <f>'EPS Inputs'!AY16</f>
        <v>0</v>
      </c>
      <c r="AZ4">
        <f>'EPS Inputs'!AZ16</f>
        <v>0</v>
      </c>
      <c r="BA4">
        <f>'EPS Inputs'!BA16</f>
        <v>0</v>
      </c>
    </row>
    <row r="5" spans="1:53" x14ac:dyDescent="0.35">
      <c r="A5" t="s">
        <v>84</v>
      </c>
      <c r="B5">
        <f>'EPS Inputs'!B17</f>
        <v>0</v>
      </c>
      <c r="C5">
        <f>'EPS Inputs'!C17</f>
        <v>0</v>
      </c>
      <c r="D5">
        <f>'EPS Inputs'!D17</f>
        <v>0</v>
      </c>
      <c r="E5">
        <f>'EPS Inputs'!E17</f>
        <v>0</v>
      </c>
      <c r="F5">
        <f>'EPS Inputs'!F17</f>
        <v>0</v>
      </c>
      <c r="G5">
        <f>'EPS Inputs'!G17</f>
        <v>0</v>
      </c>
      <c r="H5">
        <f>'EPS Inputs'!H17</f>
        <v>0</v>
      </c>
      <c r="I5">
        <f>'EPS Inputs'!I17</f>
        <v>0</v>
      </c>
      <c r="J5">
        <f>'EPS Inputs'!J17</f>
        <v>0</v>
      </c>
      <c r="K5">
        <f>'EPS Inputs'!K17</f>
        <v>0</v>
      </c>
      <c r="L5">
        <f>'EPS Inputs'!L17</f>
        <v>0</v>
      </c>
      <c r="M5">
        <f>'EPS Inputs'!M17</f>
        <v>0</v>
      </c>
      <c r="N5">
        <f>'EPS Inputs'!N17</f>
        <v>0</v>
      </c>
      <c r="O5">
        <f>'EPS Inputs'!O17</f>
        <v>0</v>
      </c>
      <c r="P5">
        <f>'EPS Inputs'!P17</f>
        <v>0</v>
      </c>
      <c r="Q5">
        <f>'EPS Inputs'!Q17</f>
        <v>0</v>
      </c>
      <c r="R5">
        <f>'EPS Inputs'!R17</f>
        <v>0</v>
      </c>
      <c r="S5">
        <f>'EPS Inputs'!S17</f>
        <v>0</v>
      </c>
      <c r="T5">
        <f>'EPS Inputs'!T17</f>
        <v>0</v>
      </c>
      <c r="U5">
        <f>'EPS Inputs'!U17</f>
        <v>0</v>
      </c>
      <c r="V5">
        <f>'EPS Inputs'!V17</f>
        <v>0</v>
      </c>
      <c r="W5">
        <f>'EPS Inputs'!W17</f>
        <v>0</v>
      </c>
      <c r="X5">
        <f>'EPS Inputs'!X17</f>
        <v>0.399985111</v>
      </c>
      <c r="Y5">
        <f>'EPS Inputs'!Y17</f>
        <v>0</v>
      </c>
      <c r="Z5">
        <f>'EPS Inputs'!Z17</f>
        <v>0</v>
      </c>
      <c r="AA5">
        <f>'EPS Inputs'!AA17</f>
        <v>0</v>
      </c>
      <c r="AB5">
        <f>'EPS Inputs'!AB17</f>
        <v>0</v>
      </c>
      <c r="AC5">
        <f>'EPS Inputs'!AC17</f>
        <v>0</v>
      </c>
      <c r="AD5">
        <f>'EPS Inputs'!AD17</f>
        <v>0</v>
      </c>
      <c r="AE5">
        <f>'EPS Inputs'!AE17</f>
        <v>0</v>
      </c>
      <c r="AF5">
        <f>'EPS Inputs'!AF17</f>
        <v>0</v>
      </c>
      <c r="AG5">
        <f>'EPS Inputs'!AG17</f>
        <v>0</v>
      </c>
      <c r="AH5">
        <f>'EPS Inputs'!AH17</f>
        <v>0.55505099400000002</v>
      </c>
      <c r="AI5">
        <f>'EPS Inputs'!AI17</f>
        <v>4.4963894999999997E-2</v>
      </c>
      <c r="AJ5">
        <f>'EPS Inputs'!AJ17</f>
        <v>0</v>
      </c>
      <c r="AK5">
        <f>'EPS Inputs'!AK17</f>
        <v>0</v>
      </c>
      <c r="AL5">
        <f>'EPS Inputs'!AL17</f>
        <v>0</v>
      </c>
      <c r="AM5">
        <f>'EPS Inputs'!AM17</f>
        <v>0</v>
      </c>
      <c r="AN5">
        <f>'EPS Inputs'!AN17</f>
        <v>0</v>
      </c>
      <c r="AO5">
        <f>'EPS Inputs'!AO17</f>
        <v>0</v>
      </c>
      <c r="AP5">
        <f>'EPS Inputs'!AP17</f>
        <v>0</v>
      </c>
      <c r="AQ5">
        <f>'EPS Inputs'!AQ17</f>
        <v>0</v>
      </c>
      <c r="AR5">
        <f>'EPS Inputs'!AR17</f>
        <v>0</v>
      </c>
      <c r="AS5">
        <f>'EPS Inputs'!AS17</f>
        <v>0</v>
      </c>
      <c r="AT5">
        <f>'EPS Inputs'!AT17</f>
        <v>0</v>
      </c>
      <c r="AU5">
        <f>'EPS Inputs'!AU17</f>
        <v>0</v>
      </c>
      <c r="AV5">
        <f>'EPS Inputs'!AV17</f>
        <v>0</v>
      </c>
      <c r="AW5">
        <f>'EPS Inputs'!AW17</f>
        <v>0</v>
      </c>
      <c r="AX5">
        <f>'EPS Inputs'!AX17</f>
        <v>0</v>
      </c>
      <c r="AY5">
        <f>'EPS Inputs'!AY17</f>
        <v>0</v>
      </c>
      <c r="AZ5">
        <f>'EPS Inputs'!AZ17</f>
        <v>0</v>
      </c>
      <c r="BA5">
        <f>'EPS Inputs'!BA17</f>
        <v>0</v>
      </c>
    </row>
    <row r="6" spans="1:53" x14ac:dyDescent="0.35">
      <c r="A6" t="s">
        <v>288</v>
      </c>
      <c r="B6">
        <f>'EPS Inputs'!B18</f>
        <v>0</v>
      </c>
      <c r="C6">
        <f>'EPS Inputs'!C18</f>
        <v>0</v>
      </c>
      <c r="D6">
        <f>'EPS Inputs'!D18</f>
        <v>0</v>
      </c>
      <c r="E6">
        <f>'EPS Inputs'!E18</f>
        <v>0</v>
      </c>
      <c r="F6">
        <f>'EPS Inputs'!F18</f>
        <v>0</v>
      </c>
      <c r="G6">
        <f>'EPS Inputs'!G18</f>
        <v>0</v>
      </c>
      <c r="H6">
        <f>'EPS Inputs'!H18</f>
        <v>0</v>
      </c>
      <c r="I6">
        <f>'EPS Inputs'!I18</f>
        <v>0</v>
      </c>
      <c r="J6">
        <f>'EPS Inputs'!J18</f>
        <v>0</v>
      </c>
      <c r="K6">
        <f>'EPS Inputs'!K18</f>
        <v>0</v>
      </c>
      <c r="L6">
        <f>'EPS Inputs'!L18</f>
        <v>0</v>
      </c>
      <c r="M6">
        <f>'EPS Inputs'!M18</f>
        <v>0</v>
      </c>
      <c r="N6">
        <f>'EPS Inputs'!N18</f>
        <v>0</v>
      </c>
      <c r="O6">
        <f>'EPS Inputs'!O18</f>
        <v>0</v>
      </c>
      <c r="P6">
        <f>'EPS Inputs'!P18</f>
        <v>0</v>
      </c>
      <c r="Q6">
        <f>'EPS Inputs'!Q18</f>
        <v>0</v>
      </c>
      <c r="R6">
        <f>'EPS Inputs'!R18</f>
        <v>0</v>
      </c>
      <c r="S6">
        <f>'EPS Inputs'!S18</f>
        <v>0</v>
      </c>
      <c r="T6">
        <f>'EPS Inputs'!T18</f>
        <v>0</v>
      </c>
      <c r="U6">
        <f>'EPS Inputs'!U18</f>
        <v>0</v>
      </c>
      <c r="V6">
        <f>'EPS Inputs'!V18</f>
        <v>0</v>
      </c>
      <c r="W6">
        <f>'EPS Inputs'!W18</f>
        <v>0</v>
      </c>
      <c r="X6">
        <f>'EPS Inputs'!X18</f>
        <v>0.41594354500000003</v>
      </c>
      <c r="Y6">
        <f>'EPS Inputs'!Y18</f>
        <v>0</v>
      </c>
      <c r="Z6">
        <f>'EPS Inputs'!Z18</f>
        <v>0</v>
      </c>
      <c r="AA6">
        <f>'EPS Inputs'!AA18</f>
        <v>0</v>
      </c>
      <c r="AB6">
        <f>'EPS Inputs'!AB18</f>
        <v>0</v>
      </c>
      <c r="AC6">
        <f>'EPS Inputs'!AC18</f>
        <v>0</v>
      </c>
      <c r="AD6">
        <f>'EPS Inputs'!AD18</f>
        <v>0</v>
      </c>
      <c r="AE6">
        <f>'EPS Inputs'!AE18</f>
        <v>0</v>
      </c>
      <c r="AF6">
        <f>'EPS Inputs'!AF18</f>
        <v>0</v>
      </c>
      <c r="AG6">
        <f>'EPS Inputs'!AG18</f>
        <v>0.245648581</v>
      </c>
      <c r="AH6">
        <f>'EPS Inputs'!AH18</f>
        <v>0.33246167500000001</v>
      </c>
      <c r="AI6">
        <f>'EPS Inputs'!AI18</f>
        <v>5.9461990000000001E-3</v>
      </c>
      <c r="AJ6">
        <f>'EPS Inputs'!AJ18</f>
        <v>0</v>
      </c>
      <c r="AK6">
        <f>'EPS Inputs'!AK18</f>
        <v>0</v>
      </c>
      <c r="AL6">
        <f>'EPS Inputs'!AL18</f>
        <v>0</v>
      </c>
      <c r="AM6">
        <f>'EPS Inputs'!AM18</f>
        <v>0</v>
      </c>
      <c r="AN6">
        <f>'EPS Inputs'!AN18</f>
        <v>0</v>
      </c>
      <c r="AO6">
        <f>'EPS Inputs'!AO18</f>
        <v>0</v>
      </c>
      <c r="AP6">
        <f>'EPS Inputs'!AP18</f>
        <v>0</v>
      </c>
      <c r="AQ6">
        <f>'EPS Inputs'!AQ18</f>
        <v>0</v>
      </c>
      <c r="AR6">
        <f>'EPS Inputs'!AR18</f>
        <v>0</v>
      </c>
      <c r="AS6">
        <f>'EPS Inputs'!AS18</f>
        <v>0</v>
      </c>
      <c r="AT6">
        <f>'EPS Inputs'!AT18</f>
        <v>0</v>
      </c>
      <c r="AU6">
        <f>'EPS Inputs'!AU18</f>
        <v>0</v>
      </c>
      <c r="AV6">
        <f>'EPS Inputs'!AV18</f>
        <v>0</v>
      </c>
      <c r="AW6">
        <f>'EPS Inputs'!AW18</f>
        <v>0</v>
      </c>
      <c r="AX6">
        <f>'EPS Inputs'!AX18</f>
        <v>0</v>
      </c>
      <c r="AY6">
        <f>'EPS Inputs'!AY18</f>
        <v>0</v>
      </c>
      <c r="AZ6">
        <f>'EPS Inputs'!AZ18</f>
        <v>0</v>
      </c>
      <c r="BA6">
        <f>'EPS Inputs'!BA18</f>
        <v>0</v>
      </c>
    </row>
    <row r="7" spans="1:53" x14ac:dyDescent="0.35">
      <c r="A7" t="s">
        <v>106</v>
      </c>
      <c r="B7">
        <f>'EPS Inputs'!B19</f>
        <v>0</v>
      </c>
      <c r="C7">
        <f>'EPS Inputs'!C19</f>
        <v>0</v>
      </c>
      <c r="D7">
        <f>'EPS Inputs'!D19</f>
        <v>0</v>
      </c>
      <c r="E7">
        <f>'EPS Inputs'!E19</f>
        <v>0</v>
      </c>
      <c r="F7">
        <f>'EPS Inputs'!F19</f>
        <v>0</v>
      </c>
      <c r="G7">
        <f>'EPS Inputs'!G19</f>
        <v>0</v>
      </c>
      <c r="H7">
        <f>'EPS Inputs'!H19</f>
        <v>0</v>
      </c>
      <c r="I7">
        <f>'EPS Inputs'!I19</f>
        <v>0</v>
      </c>
      <c r="J7">
        <f>'EPS Inputs'!J19</f>
        <v>0</v>
      </c>
      <c r="K7">
        <f>'EPS Inputs'!K19</f>
        <v>0</v>
      </c>
      <c r="L7">
        <f>'EPS Inputs'!L19</f>
        <v>0</v>
      </c>
      <c r="M7">
        <f>'EPS Inputs'!M19</f>
        <v>0</v>
      </c>
      <c r="N7">
        <f>'EPS Inputs'!N19</f>
        <v>0</v>
      </c>
      <c r="O7">
        <f>'EPS Inputs'!O19</f>
        <v>0</v>
      </c>
      <c r="P7">
        <f>'EPS Inputs'!P19</f>
        <v>0</v>
      </c>
      <c r="Q7">
        <f>'EPS Inputs'!Q19</f>
        <v>0</v>
      </c>
      <c r="R7">
        <f>'EPS Inputs'!R19</f>
        <v>0</v>
      </c>
      <c r="S7">
        <f>'EPS Inputs'!S19</f>
        <v>0</v>
      </c>
      <c r="T7">
        <f>'EPS Inputs'!T19</f>
        <v>0</v>
      </c>
      <c r="U7">
        <f>'EPS Inputs'!U19</f>
        <v>0</v>
      </c>
      <c r="V7">
        <f>'EPS Inputs'!V19</f>
        <v>0</v>
      </c>
      <c r="W7">
        <f>'EPS Inputs'!W19</f>
        <v>0</v>
      </c>
      <c r="X7">
        <f>'EPS Inputs'!X19</f>
        <v>0.39439856499999998</v>
      </c>
      <c r="Y7">
        <f>'EPS Inputs'!Y19</f>
        <v>0</v>
      </c>
      <c r="Z7">
        <f>'EPS Inputs'!Z19</f>
        <v>0</v>
      </c>
      <c r="AA7">
        <f>'EPS Inputs'!AA19</f>
        <v>0</v>
      </c>
      <c r="AB7">
        <f>'EPS Inputs'!AB19</f>
        <v>0</v>
      </c>
      <c r="AC7">
        <f>'EPS Inputs'!AC19</f>
        <v>0</v>
      </c>
      <c r="AD7">
        <f>'EPS Inputs'!AD19</f>
        <v>0</v>
      </c>
      <c r="AE7">
        <f>'EPS Inputs'!AE19</f>
        <v>0</v>
      </c>
      <c r="AF7">
        <f>'EPS Inputs'!AF19</f>
        <v>0</v>
      </c>
      <c r="AG7">
        <f>'EPS Inputs'!AG19</f>
        <v>0.245648581</v>
      </c>
      <c r="AH7">
        <f>'EPS Inputs'!AH19</f>
        <v>0.34557880800000002</v>
      </c>
      <c r="AI7">
        <f>'EPS Inputs'!AI19</f>
        <v>1.4374046E-2</v>
      </c>
      <c r="AJ7">
        <f>'EPS Inputs'!AJ19</f>
        <v>0</v>
      </c>
      <c r="AK7">
        <f>'EPS Inputs'!AK19</f>
        <v>0</v>
      </c>
      <c r="AL7">
        <f>'EPS Inputs'!AL19</f>
        <v>0</v>
      </c>
      <c r="AM7">
        <f>'EPS Inputs'!AM19</f>
        <v>0</v>
      </c>
      <c r="AN7">
        <f>'EPS Inputs'!AN19</f>
        <v>0</v>
      </c>
      <c r="AO7">
        <f>'EPS Inputs'!AO19</f>
        <v>0</v>
      </c>
      <c r="AP7">
        <f>'EPS Inputs'!AP19</f>
        <v>0</v>
      </c>
      <c r="AQ7">
        <f>'EPS Inputs'!AQ19</f>
        <v>0</v>
      </c>
      <c r="AR7">
        <f>'EPS Inputs'!AR19</f>
        <v>0</v>
      </c>
      <c r="AS7">
        <f>'EPS Inputs'!AS19</f>
        <v>0</v>
      </c>
      <c r="AT7">
        <f>'EPS Inputs'!AT19</f>
        <v>0</v>
      </c>
      <c r="AU7">
        <f>'EPS Inputs'!AU19</f>
        <v>0</v>
      </c>
      <c r="AV7">
        <f>'EPS Inputs'!AV19</f>
        <v>0</v>
      </c>
      <c r="AW7">
        <f>'EPS Inputs'!AW19</f>
        <v>0</v>
      </c>
      <c r="AX7">
        <f>'EPS Inputs'!AX19</f>
        <v>0</v>
      </c>
      <c r="AY7">
        <f>'EPS Inputs'!AY19</f>
        <v>0</v>
      </c>
      <c r="AZ7">
        <f>'EPS Inputs'!AZ19</f>
        <v>0</v>
      </c>
      <c r="BA7">
        <f>'EPS Inputs'!BA19</f>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sheetPr>
  <dimension ref="A1:BA7"/>
  <sheetViews>
    <sheetView workbookViewId="0"/>
  </sheetViews>
  <sheetFormatPr defaultRowHeight="14.5" x14ac:dyDescent="0.35"/>
  <sheetData>
    <row r="1" spans="1:53" x14ac:dyDescent="0.35">
      <c r="A1" t="s">
        <v>233</v>
      </c>
      <c r="B1" t="s">
        <v>234</v>
      </c>
      <c r="C1" t="s">
        <v>235</v>
      </c>
      <c r="D1" t="s">
        <v>236</v>
      </c>
      <c r="E1" t="s">
        <v>237</v>
      </c>
      <c r="F1" t="s">
        <v>238</v>
      </c>
      <c r="G1" t="s">
        <v>239</v>
      </c>
      <c r="H1" t="s">
        <v>240</v>
      </c>
      <c r="I1" t="s">
        <v>241</v>
      </c>
      <c r="J1" t="s">
        <v>242</v>
      </c>
      <c r="K1" t="s">
        <v>243</v>
      </c>
      <c r="L1" t="s">
        <v>244</v>
      </c>
      <c r="M1" t="s">
        <v>245</v>
      </c>
      <c r="N1" t="s">
        <v>246</v>
      </c>
      <c r="O1" t="s">
        <v>247</v>
      </c>
      <c r="P1" t="s">
        <v>248</v>
      </c>
      <c r="Q1" t="s">
        <v>249</v>
      </c>
      <c r="R1" t="s">
        <v>250</v>
      </c>
      <c r="S1" t="s">
        <v>251</v>
      </c>
      <c r="T1" t="s">
        <v>252</v>
      </c>
      <c r="U1" t="s">
        <v>253</v>
      </c>
      <c r="V1" t="s">
        <v>254</v>
      </c>
      <c r="W1" t="s">
        <v>255</v>
      </c>
      <c r="X1" t="s">
        <v>256</v>
      </c>
      <c r="Y1" t="s">
        <v>257</v>
      </c>
      <c r="Z1" t="s">
        <v>258</v>
      </c>
      <c r="AA1" t="s">
        <v>259</v>
      </c>
      <c r="AB1" t="s">
        <v>260</v>
      </c>
      <c r="AC1" t="s">
        <v>261</v>
      </c>
      <c r="AD1" t="s">
        <v>262</v>
      </c>
      <c r="AE1" t="s">
        <v>263</v>
      </c>
      <c r="AF1" t="s">
        <v>264</v>
      </c>
      <c r="AG1" t="s">
        <v>265</v>
      </c>
      <c r="AH1" t="s">
        <v>266</v>
      </c>
      <c r="AI1" t="s">
        <v>267</v>
      </c>
      <c r="AJ1" t="s">
        <v>268</v>
      </c>
      <c r="AK1" t="s">
        <v>269</v>
      </c>
      <c r="AL1" t="s">
        <v>270</v>
      </c>
      <c r="AM1" t="s">
        <v>271</v>
      </c>
      <c r="AN1" t="s">
        <v>272</v>
      </c>
      <c r="AO1" t="s">
        <v>273</v>
      </c>
      <c r="AP1" t="s">
        <v>274</v>
      </c>
      <c r="AQ1" t="s">
        <v>275</v>
      </c>
      <c r="AR1" t="s">
        <v>276</v>
      </c>
      <c r="AS1" t="s">
        <v>277</v>
      </c>
      <c r="AT1" t="s">
        <v>278</v>
      </c>
      <c r="AU1" t="s">
        <v>279</v>
      </c>
      <c r="AV1" t="s">
        <v>280</v>
      </c>
      <c r="AW1" t="s">
        <v>281</v>
      </c>
      <c r="AX1" t="s">
        <v>282</v>
      </c>
      <c r="AY1" t="s">
        <v>283</v>
      </c>
      <c r="AZ1" t="s">
        <v>284</v>
      </c>
      <c r="BA1" t="s">
        <v>285</v>
      </c>
    </row>
    <row r="2" spans="1:53" x14ac:dyDescent="0.35">
      <c r="A2" t="s">
        <v>286</v>
      </c>
      <c r="B2">
        <f>INDEX(Calcs!$F$58:$F$109,MATCH(B$1,Calcs!$A$58:$A$109,0))</f>
        <v>0</v>
      </c>
      <c r="C2">
        <f>INDEX(Calcs!$F$58:$F$109,MATCH(C$1,Calcs!$A$58:$A$109,0))</f>
        <v>0</v>
      </c>
      <c r="D2">
        <f>INDEX(Calcs!$F$58:$F$109,MATCH(D$1,Calcs!$A$58:$A$109,0))</f>
        <v>0</v>
      </c>
      <c r="E2">
        <f>INDEX(Calcs!$F$58:$F$109,MATCH(E$1,Calcs!$A$58:$A$109,0))</f>
        <v>0</v>
      </c>
      <c r="F2">
        <f>INDEX(Calcs!$F$58:$F$109,MATCH(F$1,Calcs!$A$58:$A$109,0))</f>
        <v>0</v>
      </c>
      <c r="G2">
        <f>INDEX(Calcs!$F$58:$F$109,MATCH(G$1,Calcs!$A$58:$A$109,0))</f>
        <v>0</v>
      </c>
      <c r="H2">
        <f>INDEX(Calcs!$F$58:$F$109,MATCH(H$1,Calcs!$A$58:$A$109,0))</f>
        <v>0</v>
      </c>
      <c r="I2">
        <f>INDEX(Calcs!$F$58:$F$109,MATCH(I$1,Calcs!$A$58:$A$109,0))</f>
        <v>0</v>
      </c>
      <c r="J2">
        <f>INDEX(Calcs!$F$58:$F$109,MATCH(J$1,Calcs!$A$58:$A$109,0))</f>
        <v>0</v>
      </c>
      <c r="K2">
        <f>INDEX(Calcs!$F$58:$F$109,MATCH(K$1,Calcs!$A$58:$A$109,0))</f>
        <v>0</v>
      </c>
      <c r="L2">
        <f>INDEX(Calcs!$F$58:$F$109,MATCH(L$1,Calcs!$A$58:$A$109,0))</f>
        <v>0</v>
      </c>
      <c r="M2">
        <f>INDEX(Calcs!$F$58:$F$109,MATCH(M$1,Calcs!$A$58:$A$109,0))</f>
        <v>0</v>
      </c>
      <c r="N2">
        <f>INDEX(Calcs!$F$58:$F$109,MATCH(N$1,Calcs!$A$58:$A$109,0))</f>
        <v>0</v>
      </c>
      <c r="O2">
        <f>INDEX(Calcs!$F$58:$F$109,MATCH(O$1,Calcs!$A$58:$A$109,0))</f>
        <v>0</v>
      </c>
      <c r="P2">
        <f>INDEX(Calcs!$F$58:$F$109,MATCH(P$1,Calcs!$A$58:$A$109,0))</f>
        <v>0</v>
      </c>
      <c r="Q2">
        <f>INDEX(Calcs!$F$58:$F$109,MATCH(Q$1,Calcs!$A$58:$A$109,0))</f>
        <v>0</v>
      </c>
      <c r="R2">
        <f>INDEX(Calcs!$F$58:$F$109,MATCH(R$1,Calcs!$A$58:$A$109,0))</f>
        <v>0</v>
      </c>
      <c r="S2">
        <f>INDEX(Calcs!$F$58:$F$109,MATCH(S$1,Calcs!$A$58:$A$109,0))</f>
        <v>0</v>
      </c>
      <c r="T2">
        <f>INDEX(Calcs!$F$58:$F$109,MATCH(T$1,Calcs!$A$58:$A$109,0))</f>
        <v>0</v>
      </c>
      <c r="U2">
        <f>INDEX(Calcs!$F$58:$F$109,MATCH(U$1,Calcs!$A$58:$A$109,0))</f>
        <v>0</v>
      </c>
      <c r="V2">
        <f>INDEX(Calcs!$F$58:$F$109,MATCH(V$1,Calcs!$A$58:$A$109,0))</f>
        <v>6.2652119642991694E-2</v>
      </c>
      <c r="W2">
        <f>INDEX(Calcs!$F$58:$F$109,MATCH(W$1,Calcs!$A$58:$A$109,0))</f>
        <v>8.2476824567215584E-2</v>
      </c>
      <c r="X2">
        <f>INDEX(Calcs!$F$58:$F$109,MATCH(X$1,Calcs!$A$58:$A$109,0))</f>
        <v>3.5622900571994909E-2</v>
      </c>
      <c r="Y2">
        <f>INDEX(Calcs!$F$58:$F$109,MATCH(Y$1,Calcs!$A$58:$A$109,0))</f>
        <v>7.446325552416035E-3</v>
      </c>
      <c r="Z2">
        <f>INDEX(Calcs!$F$58:$F$109,MATCH(Z$1,Calcs!$A$58:$A$109,0))</f>
        <v>0</v>
      </c>
      <c r="AA2">
        <f>INDEX(Calcs!$F$58:$F$109,MATCH(AA$1,Calcs!$A$58:$A$109,0))</f>
        <v>0</v>
      </c>
      <c r="AB2">
        <f>INDEX(Calcs!$F$58:$F$109,MATCH(AB$1,Calcs!$A$58:$A$109,0))</f>
        <v>0</v>
      </c>
      <c r="AC2">
        <f>INDEX(Calcs!$F$58:$F$109,MATCH(AC$1,Calcs!$A$58:$A$109,0))</f>
        <v>0</v>
      </c>
      <c r="AD2">
        <f>INDEX(Calcs!$F$58:$F$109,MATCH(AD$1,Calcs!$A$58:$A$109,0))</f>
        <v>0</v>
      </c>
      <c r="AE2">
        <f>INDEX(Calcs!$F$58:$F$109,MATCH(AE$1,Calcs!$A$58:$A$109,0))</f>
        <v>0</v>
      </c>
      <c r="AF2">
        <f>INDEX(Calcs!$F$58:$F$109,MATCH(AF$1,Calcs!$A$58:$A$109,0))</f>
        <v>0</v>
      </c>
      <c r="AG2">
        <f>INDEX(Calcs!$F$58:$F$109,MATCH(AG$1,Calcs!$A$58:$A$109,0))</f>
        <v>0.70452348304815571</v>
      </c>
      <c r="AH2">
        <f>INDEX(Calcs!$F$58:$F$109,MATCH(AH$1,Calcs!$A$58:$A$109,0))</f>
        <v>0.10240893888644097</v>
      </c>
      <c r="AI2">
        <f>INDEX(Calcs!$F$58:$F$109,MATCH(AI$1,Calcs!$A$58:$A$109,0))</f>
        <v>4.8694077307852874E-3</v>
      </c>
      <c r="AJ2">
        <f>INDEX(Calcs!$F$58:$F$109,MATCH(AJ$1,Calcs!$A$58:$A$109,0))</f>
        <v>0</v>
      </c>
      <c r="AK2">
        <f>INDEX(Calcs!$F$58:$F$109,MATCH(AK$1,Calcs!$A$58:$A$109,0))</f>
        <v>0</v>
      </c>
      <c r="AL2">
        <f>INDEX(Calcs!$F$58:$F$109,MATCH(AL$1,Calcs!$A$58:$A$109,0))</f>
        <v>0</v>
      </c>
      <c r="AM2">
        <f>INDEX(Calcs!$F$58:$F$109,MATCH(AM$1,Calcs!$A$58:$A$109,0))</f>
        <v>0</v>
      </c>
      <c r="AN2">
        <f>INDEX(Calcs!$F$58:$F$109,MATCH(AN$1,Calcs!$A$58:$A$109,0))</f>
        <v>0</v>
      </c>
      <c r="AO2">
        <f>INDEX(Calcs!$F$58:$F$109,MATCH(AO$1,Calcs!$A$58:$A$109,0))</f>
        <v>0</v>
      </c>
      <c r="AP2">
        <f>INDEX(Calcs!$F$58:$F$109,MATCH(AP$1,Calcs!$A$58:$A$109,0))</f>
        <v>0</v>
      </c>
      <c r="AQ2">
        <f>INDEX(Calcs!$F$58:$F$109,MATCH(AQ$1,Calcs!$A$58:$A$109,0))</f>
        <v>0</v>
      </c>
      <c r="AR2">
        <f>INDEX(Calcs!$F$58:$F$109,MATCH(AR$1,Calcs!$A$58:$A$109,0))</f>
        <v>0</v>
      </c>
      <c r="AS2">
        <f>INDEX(Calcs!$F$58:$F$109,MATCH(AS$1,Calcs!$A$58:$A$109,0))</f>
        <v>0</v>
      </c>
      <c r="AT2">
        <f>INDEX(Calcs!$F$58:$F$109,MATCH(AT$1,Calcs!$A$58:$A$109,0))</f>
        <v>0</v>
      </c>
      <c r="AU2">
        <f>INDEX(Calcs!$F$58:$F$109,MATCH(AU$1,Calcs!$A$58:$A$109,0))</f>
        <v>0</v>
      </c>
      <c r="AV2">
        <f>INDEX(Calcs!$F$58:$F$109,MATCH(AV$1,Calcs!$A$58:$A$109,0))</f>
        <v>0</v>
      </c>
      <c r="AW2">
        <f>INDEX(Calcs!$F$58:$F$109,MATCH(AW$1,Calcs!$A$58:$A$109,0))</f>
        <v>0</v>
      </c>
      <c r="AX2">
        <f>INDEX(Calcs!$F$58:$F$109,MATCH(AX$1,Calcs!$A$58:$A$109,0))</f>
        <v>0</v>
      </c>
      <c r="AY2">
        <f>INDEX(Calcs!$F$58:$F$109,MATCH(AY$1,Calcs!$A$58:$A$109,0))</f>
        <v>0</v>
      </c>
      <c r="AZ2">
        <f>INDEX(Calcs!$F$58:$F$109,MATCH(AZ$1,Calcs!$A$58:$A$109,0))</f>
        <v>0</v>
      </c>
      <c r="BA2">
        <f>INDEX(Calcs!$F$58:$F$109,MATCH(BA$1,Calcs!$A$58:$A$109,0))</f>
        <v>0</v>
      </c>
    </row>
    <row r="3" spans="1:53" x14ac:dyDescent="0.35">
      <c r="A3" t="s">
        <v>287</v>
      </c>
      <c r="B3">
        <f>INDEX(Calcs!$G$58:$G$109,MATCH(B$1,Calcs!$A$58:$A$109,0))</f>
        <v>0</v>
      </c>
      <c r="C3">
        <f>INDEX(Calcs!$G$58:$G$109,MATCH(C$1,Calcs!$A$58:$A$109,0))</f>
        <v>0</v>
      </c>
      <c r="D3">
        <f>INDEX(Calcs!$G$58:$G$109,MATCH(D$1,Calcs!$A$58:$A$109,0))</f>
        <v>0</v>
      </c>
      <c r="E3">
        <f>INDEX(Calcs!$G$58:$G$109,MATCH(E$1,Calcs!$A$58:$A$109,0))</f>
        <v>0</v>
      </c>
      <c r="F3">
        <f>INDEX(Calcs!$G$58:$G$109,MATCH(F$1,Calcs!$A$58:$A$109,0))</f>
        <v>0</v>
      </c>
      <c r="G3">
        <f>INDEX(Calcs!$G$58:$G$109,MATCH(G$1,Calcs!$A$58:$A$109,0))</f>
        <v>0</v>
      </c>
      <c r="H3">
        <f>INDEX(Calcs!$G$58:$G$109,MATCH(H$1,Calcs!$A$58:$A$109,0))</f>
        <v>0</v>
      </c>
      <c r="I3">
        <f>INDEX(Calcs!$G$58:$G$109,MATCH(I$1,Calcs!$A$58:$A$109,0))</f>
        <v>0</v>
      </c>
      <c r="J3">
        <f>INDEX(Calcs!$G$58:$G$109,MATCH(J$1,Calcs!$A$58:$A$109,0))</f>
        <v>0</v>
      </c>
      <c r="K3">
        <f>INDEX(Calcs!$G$58:$G$109,MATCH(K$1,Calcs!$A$58:$A$109,0))</f>
        <v>0</v>
      </c>
      <c r="L3">
        <f>INDEX(Calcs!$G$58:$G$109,MATCH(L$1,Calcs!$A$58:$A$109,0))</f>
        <v>0</v>
      </c>
      <c r="M3">
        <f>INDEX(Calcs!$G$58:$G$109,MATCH(M$1,Calcs!$A$58:$A$109,0))</f>
        <v>0</v>
      </c>
      <c r="N3">
        <f>INDEX(Calcs!$G$58:$G$109,MATCH(N$1,Calcs!$A$58:$A$109,0))</f>
        <v>0</v>
      </c>
      <c r="O3">
        <f>INDEX(Calcs!$G$58:$G$109,MATCH(O$1,Calcs!$A$58:$A$109,0))</f>
        <v>0</v>
      </c>
      <c r="P3">
        <f>INDEX(Calcs!$G$58:$G$109,MATCH(P$1,Calcs!$A$58:$A$109,0))</f>
        <v>0</v>
      </c>
      <c r="Q3">
        <f>INDEX(Calcs!$G$58:$G$109,MATCH(Q$1,Calcs!$A$58:$A$109,0))</f>
        <v>0</v>
      </c>
      <c r="R3">
        <f>INDEX(Calcs!$G$58:$G$109,MATCH(R$1,Calcs!$A$58:$A$109,0))</f>
        <v>0</v>
      </c>
      <c r="S3">
        <f>INDEX(Calcs!$G$58:$G$109,MATCH(S$1,Calcs!$A$58:$A$109,0))</f>
        <v>0</v>
      </c>
      <c r="T3">
        <f>INDEX(Calcs!$G$58:$G$109,MATCH(T$1,Calcs!$A$58:$A$109,0))</f>
        <v>0</v>
      </c>
      <c r="U3">
        <f>INDEX(Calcs!$G$58:$G$109,MATCH(U$1,Calcs!$A$58:$A$109,0))</f>
        <v>0</v>
      </c>
      <c r="V3">
        <f>INDEX(Calcs!$G$58:$G$109,MATCH(V$1,Calcs!$A$58:$A$109,0))</f>
        <v>6.2652119642991694E-2</v>
      </c>
      <c r="W3">
        <f>INDEX(Calcs!$G$58:$G$109,MATCH(W$1,Calcs!$A$58:$A$109,0))</f>
        <v>8.2476824567215584E-2</v>
      </c>
      <c r="X3">
        <f>INDEX(Calcs!$G$58:$G$109,MATCH(X$1,Calcs!$A$58:$A$109,0))</f>
        <v>3.5622900571994909E-2</v>
      </c>
      <c r="Y3">
        <f>INDEX(Calcs!$G$58:$G$109,MATCH(Y$1,Calcs!$A$58:$A$109,0))</f>
        <v>7.446325552416035E-3</v>
      </c>
      <c r="Z3">
        <f>INDEX(Calcs!$G$58:$G$109,MATCH(Z$1,Calcs!$A$58:$A$109,0))</f>
        <v>0</v>
      </c>
      <c r="AA3">
        <f>INDEX(Calcs!$G$58:$G$109,MATCH(AA$1,Calcs!$A$58:$A$109,0))</f>
        <v>0</v>
      </c>
      <c r="AB3">
        <f>INDEX(Calcs!$G$58:$G$109,MATCH(AB$1,Calcs!$A$58:$A$109,0))</f>
        <v>0</v>
      </c>
      <c r="AC3">
        <f>INDEX(Calcs!$G$58:$G$109,MATCH(AC$1,Calcs!$A$58:$A$109,0))</f>
        <v>0</v>
      </c>
      <c r="AD3">
        <f>INDEX(Calcs!$G$58:$G$109,MATCH(AD$1,Calcs!$A$58:$A$109,0))</f>
        <v>0</v>
      </c>
      <c r="AE3">
        <f>INDEX(Calcs!$G$58:$G$109,MATCH(AE$1,Calcs!$A$58:$A$109,0))</f>
        <v>0</v>
      </c>
      <c r="AF3">
        <f>INDEX(Calcs!$G$58:$G$109,MATCH(AF$1,Calcs!$A$58:$A$109,0))</f>
        <v>0</v>
      </c>
      <c r="AG3">
        <f>INDEX(Calcs!$G$58:$G$109,MATCH(AG$1,Calcs!$A$58:$A$109,0))</f>
        <v>0.70452348304815571</v>
      </c>
      <c r="AH3">
        <f>INDEX(Calcs!$G$58:$G$109,MATCH(AH$1,Calcs!$A$58:$A$109,0))</f>
        <v>0.10240893888644097</v>
      </c>
      <c r="AI3">
        <f>INDEX(Calcs!$G$58:$G$109,MATCH(AI$1,Calcs!$A$58:$A$109,0))</f>
        <v>4.8694077307852874E-3</v>
      </c>
      <c r="AJ3">
        <f>INDEX(Calcs!$G$58:$G$109,MATCH(AJ$1,Calcs!$A$58:$A$109,0))</f>
        <v>0</v>
      </c>
      <c r="AK3">
        <f>INDEX(Calcs!$G$58:$G$109,MATCH(AK$1,Calcs!$A$58:$A$109,0))</f>
        <v>0</v>
      </c>
      <c r="AL3">
        <f>INDEX(Calcs!$G$58:$G$109,MATCH(AL$1,Calcs!$A$58:$A$109,0))</f>
        <v>0</v>
      </c>
      <c r="AM3">
        <f>INDEX(Calcs!$G$58:$G$109,MATCH(AM$1,Calcs!$A$58:$A$109,0))</f>
        <v>0</v>
      </c>
      <c r="AN3">
        <f>INDEX(Calcs!$G$58:$G$109,MATCH(AN$1,Calcs!$A$58:$A$109,0))</f>
        <v>0</v>
      </c>
      <c r="AO3">
        <f>INDEX(Calcs!$G$58:$G$109,MATCH(AO$1,Calcs!$A$58:$A$109,0))</f>
        <v>0</v>
      </c>
      <c r="AP3">
        <f>INDEX(Calcs!$G$58:$G$109,MATCH(AP$1,Calcs!$A$58:$A$109,0))</f>
        <v>0</v>
      </c>
      <c r="AQ3">
        <f>INDEX(Calcs!$G$58:$G$109,MATCH(AQ$1,Calcs!$A$58:$A$109,0))</f>
        <v>0</v>
      </c>
      <c r="AR3">
        <f>INDEX(Calcs!$G$58:$G$109,MATCH(AR$1,Calcs!$A$58:$A$109,0))</f>
        <v>0</v>
      </c>
      <c r="AS3">
        <f>INDEX(Calcs!$G$58:$G$109,MATCH(AS$1,Calcs!$A$58:$A$109,0))</f>
        <v>0</v>
      </c>
      <c r="AT3">
        <f>INDEX(Calcs!$G$58:$G$109,MATCH(AT$1,Calcs!$A$58:$A$109,0))</f>
        <v>0</v>
      </c>
      <c r="AU3">
        <f>INDEX(Calcs!$G$58:$G$109,MATCH(AU$1,Calcs!$A$58:$A$109,0))</f>
        <v>0</v>
      </c>
      <c r="AV3">
        <f>INDEX(Calcs!$G$58:$G$109,MATCH(AV$1,Calcs!$A$58:$A$109,0))</f>
        <v>0</v>
      </c>
      <c r="AW3">
        <f>INDEX(Calcs!$G$58:$G$109,MATCH(AW$1,Calcs!$A$58:$A$109,0))</f>
        <v>0</v>
      </c>
      <c r="AX3">
        <f>INDEX(Calcs!$G$58:$G$109,MATCH(AX$1,Calcs!$A$58:$A$109,0))</f>
        <v>0</v>
      </c>
      <c r="AY3">
        <f>INDEX(Calcs!$G$58:$G$109,MATCH(AY$1,Calcs!$A$58:$A$109,0))</f>
        <v>0</v>
      </c>
      <c r="AZ3">
        <f>INDEX(Calcs!$G$58:$G$109,MATCH(AZ$1,Calcs!$A$58:$A$109,0))</f>
        <v>0</v>
      </c>
      <c r="BA3">
        <f>INDEX(Calcs!$G$58:$G$109,MATCH(BA$1,Calcs!$A$58:$A$109,0))</f>
        <v>0</v>
      </c>
    </row>
    <row r="4" spans="1:53" x14ac:dyDescent="0.35">
      <c r="A4" t="s">
        <v>103</v>
      </c>
      <c r="B4">
        <f>'EPS Inputs'!B25</f>
        <v>0</v>
      </c>
      <c r="C4">
        <f>'EPS Inputs'!C25</f>
        <v>0</v>
      </c>
      <c r="D4">
        <f>'EPS Inputs'!D25</f>
        <v>0</v>
      </c>
      <c r="E4">
        <f>'EPS Inputs'!E25</f>
        <v>0</v>
      </c>
      <c r="F4">
        <f>'EPS Inputs'!F25</f>
        <v>0</v>
      </c>
      <c r="G4">
        <f>'EPS Inputs'!G25</f>
        <v>0</v>
      </c>
      <c r="H4">
        <f>'EPS Inputs'!H25</f>
        <v>0</v>
      </c>
      <c r="I4">
        <f>'EPS Inputs'!I25</f>
        <v>0</v>
      </c>
      <c r="J4">
        <f>'EPS Inputs'!J25</f>
        <v>0</v>
      </c>
      <c r="K4">
        <f>'EPS Inputs'!K25</f>
        <v>0</v>
      </c>
      <c r="L4">
        <f>'EPS Inputs'!L25</f>
        <v>0</v>
      </c>
      <c r="M4">
        <f>'EPS Inputs'!M25</f>
        <v>0</v>
      </c>
      <c r="N4">
        <f>'EPS Inputs'!N25</f>
        <v>0</v>
      </c>
      <c r="O4">
        <f>'EPS Inputs'!O25</f>
        <v>0</v>
      </c>
      <c r="P4">
        <f>'EPS Inputs'!P25</f>
        <v>0</v>
      </c>
      <c r="Q4">
        <f>'EPS Inputs'!Q25</f>
        <v>0</v>
      </c>
      <c r="R4">
        <f>'EPS Inputs'!R25</f>
        <v>0</v>
      </c>
      <c r="S4">
        <f>'EPS Inputs'!S25</f>
        <v>0</v>
      </c>
      <c r="T4">
        <f>'EPS Inputs'!T25</f>
        <v>0</v>
      </c>
      <c r="U4">
        <f>'EPS Inputs'!U25</f>
        <v>0</v>
      </c>
      <c r="V4">
        <f>'EPS Inputs'!V25</f>
        <v>0</v>
      </c>
      <c r="W4">
        <f>'EPS Inputs'!W25</f>
        <v>0</v>
      </c>
      <c r="X4">
        <f>'EPS Inputs'!X25</f>
        <v>0</v>
      </c>
      <c r="Y4">
        <f>'EPS Inputs'!Y25</f>
        <v>0</v>
      </c>
      <c r="Z4">
        <f>'EPS Inputs'!Z25</f>
        <v>0</v>
      </c>
      <c r="AA4">
        <f>'EPS Inputs'!AA25</f>
        <v>0</v>
      </c>
      <c r="AB4">
        <f>'EPS Inputs'!AB25</f>
        <v>0</v>
      </c>
      <c r="AC4">
        <f>'EPS Inputs'!AC25</f>
        <v>0</v>
      </c>
      <c r="AD4">
        <f>'EPS Inputs'!AD25</f>
        <v>0</v>
      </c>
      <c r="AE4">
        <f>'EPS Inputs'!AE25</f>
        <v>0</v>
      </c>
      <c r="AF4">
        <f>'EPS Inputs'!AF25</f>
        <v>0</v>
      </c>
      <c r="AG4">
        <f>'EPS Inputs'!AG25</f>
        <v>0</v>
      </c>
      <c r="AH4">
        <f>'EPS Inputs'!AH25</f>
        <v>0</v>
      </c>
      <c r="AI4">
        <f>'EPS Inputs'!AI25</f>
        <v>0</v>
      </c>
      <c r="AJ4">
        <f>'EPS Inputs'!AJ25</f>
        <v>0</v>
      </c>
      <c r="AK4">
        <f>'EPS Inputs'!AK25</f>
        <v>0</v>
      </c>
      <c r="AL4">
        <f>'EPS Inputs'!AL25</f>
        <v>0</v>
      </c>
      <c r="AM4">
        <f>'EPS Inputs'!AM25</f>
        <v>0</v>
      </c>
      <c r="AN4">
        <f>'EPS Inputs'!AN25</f>
        <v>0</v>
      </c>
      <c r="AO4">
        <f>'EPS Inputs'!AO25</f>
        <v>0</v>
      </c>
      <c r="AP4">
        <f>'EPS Inputs'!AP25</f>
        <v>0</v>
      </c>
      <c r="AQ4">
        <f>'EPS Inputs'!AQ25</f>
        <v>0</v>
      </c>
      <c r="AR4">
        <f>'EPS Inputs'!AR25</f>
        <v>0</v>
      </c>
      <c r="AS4">
        <f>'EPS Inputs'!AS25</f>
        <v>0</v>
      </c>
      <c r="AT4">
        <f>'EPS Inputs'!AT25</f>
        <v>0</v>
      </c>
      <c r="AU4">
        <f>'EPS Inputs'!AU25</f>
        <v>0</v>
      </c>
      <c r="AV4">
        <f>'EPS Inputs'!AV25</f>
        <v>0</v>
      </c>
      <c r="AW4">
        <f>'EPS Inputs'!AW25</f>
        <v>0</v>
      </c>
      <c r="AX4">
        <f>'EPS Inputs'!AX25</f>
        <v>0</v>
      </c>
      <c r="AY4">
        <f>'EPS Inputs'!AY25</f>
        <v>0</v>
      </c>
      <c r="AZ4">
        <f>'EPS Inputs'!AZ25</f>
        <v>0</v>
      </c>
      <c r="BA4">
        <f>'EPS Inputs'!BA25</f>
        <v>0</v>
      </c>
    </row>
    <row r="5" spans="1:53" x14ac:dyDescent="0.35">
      <c r="A5" t="s">
        <v>84</v>
      </c>
      <c r="B5">
        <f>'EPS Inputs'!B26</f>
        <v>0</v>
      </c>
      <c r="C5">
        <f>'EPS Inputs'!C26</f>
        <v>0</v>
      </c>
      <c r="D5">
        <f>'EPS Inputs'!D26</f>
        <v>0</v>
      </c>
      <c r="E5">
        <f>'EPS Inputs'!E26</f>
        <v>0</v>
      </c>
      <c r="F5">
        <f>'EPS Inputs'!F26</f>
        <v>0</v>
      </c>
      <c r="G5">
        <f>'EPS Inputs'!G26</f>
        <v>0</v>
      </c>
      <c r="H5">
        <f>'EPS Inputs'!H26</f>
        <v>0</v>
      </c>
      <c r="I5">
        <f>'EPS Inputs'!I26</f>
        <v>0</v>
      </c>
      <c r="J5">
        <f>'EPS Inputs'!J26</f>
        <v>0</v>
      </c>
      <c r="K5">
        <f>'EPS Inputs'!K26</f>
        <v>0</v>
      </c>
      <c r="L5">
        <f>'EPS Inputs'!L26</f>
        <v>0</v>
      </c>
      <c r="M5">
        <f>'EPS Inputs'!M26</f>
        <v>0</v>
      </c>
      <c r="N5">
        <f>'EPS Inputs'!N26</f>
        <v>0</v>
      </c>
      <c r="O5">
        <f>'EPS Inputs'!O26</f>
        <v>0</v>
      </c>
      <c r="P5">
        <f>'EPS Inputs'!P26</f>
        <v>0</v>
      </c>
      <c r="Q5">
        <f>'EPS Inputs'!Q26</f>
        <v>0</v>
      </c>
      <c r="R5">
        <f>'EPS Inputs'!R26</f>
        <v>0</v>
      </c>
      <c r="S5">
        <f>'EPS Inputs'!S26</f>
        <v>0</v>
      </c>
      <c r="T5">
        <f>'EPS Inputs'!T26</f>
        <v>0</v>
      </c>
      <c r="U5">
        <f>'EPS Inputs'!U26</f>
        <v>0</v>
      </c>
      <c r="V5">
        <f>'EPS Inputs'!V26</f>
        <v>0</v>
      </c>
      <c r="W5">
        <f>'EPS Inputs'!W26</f>
        <v>0</v>
      </c>
      <c r="X5">
        <f>'EPS Inputs'!X26</f>
        <v>0.28238603800000001</v>
      </c>
      <c r="Y5">
        <f>'EPS Inputs'!Y26</f>
        <v>0</v>
      </c>
      <c r="Z5">
        <f>'EPS Inputs'!Z26</f>
        <v>0</v>
      </c>
      <c r="AA5">
        <f>'EPS Inputs'!AA26</f>
        <v>0</v>
      </c>
      <c r="AB5">
        <f>'EPS Inputs'!AB26</f>
        <v>0</v>
      </c>
      <c r="AC5">
        <f>'EPS Inputs'!AC26</f>
        <v>0</v>
      </c>
      <c r="AD5">
        <f>'EPS Inputs'!AD26</f>
        <v>0</v>
      </c>
      <c r="AE5">
        <f>'EPS Inputs'!AE26</f>
        <v>0</v>
      </c>
      <c r="AF5">
        <f>'EPS Inputs'!AF26</f>
        <v>0</v>
      </c>
      <c r="AG5">
        <f>'EPS Inputs'!AG26</f>
        <v>0.592331053</v>
      </c>
      <c r="AH5">
        <f>'EPS Inputs'!AH26</f>
        <v>9.1251813000000001E-2</v>
      </c>
      <c r="AI5">
        <f>'EPS Inputs'!AI26</f>
        <v>3.4031095999999997E-2</v>
      </c>
      <c r="AJ5">
        <f>'EPS Inputs'!AJ26</f>
        <v>0</v>
      </c>
      <c r="AK5">
        <f>'EPS Inputs'!AK26</f>
        <v>0</v>
      </c>
      <c r="AL5">
        <f>'EPS Inputs'!AL26</f>
        <v>0</v>
      </c>
      <c r="AM5">
        <f>'EPS Inputs'!AM26</f>
        <v>0</v>
      </c>
      <c r="AN5">
        <f>'EPS Inputs'!AN26</f>
        <v>0</v>
      </c>
      <c r="AO5">
        <f>'EPS Inputs'!AO26</f>
        <v>0</v>
      </c>
      <c r="AP5">
        <f>'EPS Inputs'!AP26</f>
        <v>0</v>
      </c>
      <c r="AQ5">
        <f>'EPS Inputs'!AQ26</f>
        <v>0</v>
      </c>
      <c r="AR5">
        <f>'EPS Inputs'!AR26</f>
        <v>0</v>
      </c>
      <c r="AS5">
        <f>'EPS Inputs'!AS26</f>
        <v>0</v>
      </c>
      <c r="AT5">
        <f>'EPS Inputs'!AT26</f>
        <v>0</v>
      </c>
      <c r="AU5">
        <f>'EPS Inputs'!AU26</f>
        <v>0</v>
      </c>
      <c r="AV5">
        <f>'EPS Inputs'!AV26</f>
        <v>0</v>
      </c>
      <c r="AW5">
        <f>'EPS Inputs'!AW26</f>
        <v>0</v>
      </c>
      <c r="AX5">
        <f>'EPS Inputs'!AX26</f>
        <v>0</v>
      </c>
      <c r="AY5">
        <f>'EPS Inputs'!AY26</f>
        <v>0</v>
      </c>
      <c r="AZ5">
        <f>'EPS Inputs'!AZ26</f>
        <v>0</v>
      </c>
      <c r="BA5">
        <f>'EPS Inputs'!BA26</f>
        <v>0</v>
      </c>
    </row>
    <row r="6" spans="1:53" x14ac:dyDescent="0.35">
      <c r="A6" t="s">
        <v>288</v>
      </c>
      <c r="B6">
        <f>'EPS Inputs'!B27</f>
        <v>0</v>
      </c>
      <c r="C6">
        <f>'EPS Inputs'!C27</f>
        <v>0</v>
      </c>
      <c r="D6">
        <f>'EPS Inputs'!D27</f>
        <v>0</v>
      </c>
      <c r="E6">
        <f>'EPS Inputs'!E27</f>
        <v>0</v>
      </c>
      <c r="F6">
        <f>'EPS Inputs'!F27</f>
        <v>0</v>
      </c>
      <c r="G6">
        <f>'EPS Inputs'!G27</f>
        <v>0</v>
      </c>
      <c r="H6">
        <f>'EPS Inputs'!H27</f>
        <v>0</v>
      </c>
      <c r="I6">
        <f>'EPS Inputs'!I27</f>
        <v>0</v>
      </c>
      <c r="J6">
        <f>'EPS Inputs'!J27</f>
        <v>0</v>
      </c>
      <c r="K6">
        <f>'EPS Inputs'!K27</f>
        <v>0</v>
      </c>
      <c r="L6">
        <f>'EPS Inputs'!L27</f>
        <v>0</v>
      </c>
      <c r="M6">
        <f>'EPS Inputs'!M27</f>
        <v>0</v>
      </c>
      <c r="N6">
        <f>'EPS Inputs'!N27</f>
        <v>0</v>
      </c>
      <c r="O6">
        <f>'EPS Inputs'!O27</f>
        <v>0</v>
      </c>
      <c r="P6">
        <f>'EPS Inputs'!P27</f>
        <v>0</v>
      </c>
      <c r="Q6">
        <f>'EPS Inputs'!Q27</f>
        <v>0</v>
      </c>
      <c r="R6">
        <f>'EPS Inputs'!R27</f>
        <v>0</v>
      </c>
      <c r="S6">
        <f>'EPS Inputs'!S27</f>
        <v>0</v>
      </c>
      <c r="T6">
        <f>'EPS Inputs'!T27</f>
        <v>0</v>
      </c>
      <c r="U6">
        <f>'EPS Inputs'!U27</f>
        <v>0</v>
      </c>
      <c r="V6">
        <f>'EPS Inputs'!V27</f>
        <v>0</v>
      </c>
      <c r="W6">
        <f>'EPS Inputs'!W27</f>
        <v>0</v>
      </c>
      <c r="X6">
        <f>'EPS Inputs'!X27</f>
        <v>0.51313159200000003</v>
      </c>
      <c r="Y6">
        <f>'EPS Inputs'!Y27</f>
        <v>0</v>
      </c>
      <c r="Z6">
        <f>'EPS Inputs'!Z27</f>
        <v>0</v>
      </c>
      <c r="AA6">
        <f>'EPS Inputs'!AA27</f>
        <v>0</v>
      </c>
      <c r="AB6">
        <f>'EPS Inputs'!AB27</f>
        <v>0</v>
      </c>
      <c r="AC6">
        <f>'EPS Inputs'!AC27</f>
        <v>0</v>
      </c>
      <c r="AD6">
        <f>'EPS Inputs'!AD27</f>
        <v>0</v>
      </c>
      <c r="AE6">
        <f>'EPS Inputs'!AE27</f>
        <v>0</v>
      </c>
      <c r="AF6">
        <f>'EPS Inputs'!AF27</f>
        <v>0</v>
      </c>
      <c r="AG6">
        <f>'EPS Inputs'!AG27</f>
        <v>0.245601131</v>
      </c>
      <c r="AH6">
        <f>'EPS Inputs'!AH27</f>
        <v>0.227081377</v>
      </c>
      <c r="AI6">
        <f>'EPS Inputs'!AI27</f>
        <v>1.41859E-2</v>
      </c>
      <c r="AJ6">
        <f>'EPS Inputs'!AJ27</f>
        <v>0</v>
      </c>
      <c r="AK6">
        <f>'EPS Inputs'!AK27</f>
        <v>0</v>
      </c>
      <c r="AL6">
        <f>'EPS Inputs'!AL27</f>
        <v>0</v>
      </c>
      <c r="AM6">
        <f>'EPS Inputs'!AM27</f>
        <v>0</v>
      </c>
      <c r="AN6">
        <f>'EPS Inputs'!AN27</f>
        <v>0</v>
      </c>
      <c r="AO6">
        <f>'EPS Inputs'!AO27</f>
        <v>0</v>
      </c>
      <c r="AP6">
        <f>'EPS Inputs'!AP27</f>
        <v>0</v>
      </c>
      <c r="AQ6">
        <f>'EPS Inputs'!AQ27</f>
        <v>0</v>
      </c>
      <c r="AR6">
        <f>'EPS Inputs'!AR27</f>
        <v>0</v>
      </c>
      <c r="AS6">
        <f>'EPS Inputs'!AS27</f>
        <v>0</v>
      </c>
      <c r="AT6">
        <f>'EPS Inputs'!AT27</f>
        <v>0</v>
      </c>
      <c r="AU6">
        <f>'EPS Inputs'!AU27</f>
        <v>0</v>
      </c>
      <c r="AV6">
        <f>'EPS Inputs'!AV27</f>
        <v>0</v>
      </c>
      <c r="AW6">
        <f>'EPS Inputs'!AW27</f>
        <v>0</v>
      </c>
      <c r="AX6">
        <f>'EPS Inputs'!AX27</f>
        <v>0</v>
      </c>
      <c r="AY6">
        <f>'EPS Inputs'!AY27</f>
        <v>0</v>
      </c>
      <c r="AZ6">
        <f>'EPS Inputs'!AZ27</f>
        <v>0</v>
      </c>
      <c r="BA6">
        <f>'EPS Inputs'!BA27</f>
        <v>0</v>
      </c>
    </row>
    <row r="7" spans="1:53" x14ac:dyDescent="0.35">
      <c r="A7" t="s">
        <v>106</v>
      </c>
      <c r="B7">
        <f>'EPS Inputs'!B28</f>
        <v>0</v>
      </c>
      <c r="C7">
        <f>'EPS Inputs'!C28</f>
        <v>0</v>
      </c>
      <c r="D7">
        <f>'EPS Inputs'!D28</f>
        <v>0</v>
      </c>
      <c r="E7">
        <f>'EPS Inputs'!E28</f>
        <v>0</v>
      </c>
      <c r="F7">
        <f>'EPS Inputs'!F28</f>
        <v>0</v>
      </c>
      <c r="G7">
        <f>'EPS Inputs'!G28</f>
        <v>0</v>
      </c>
      <c r="H7">
        <f>'EPS Inputs'!H28</f>
        <v>0</v>
      </c>
      <c r="I7">
        <f>'EPS Inputs'!I28</f>
        <v>0</v>
      </c>
      <c r="J7">
        <f>'EPS Inputs'!J28</f>
        <v>0</v>
      </c>
      <c r="K7">
        <f>'EPS Inputs'!K28</f>
        <v>0</v>
      </c>
      <c r="L7">
        <f>'EPS Inputs'!L28</f>
        <v>0</v>
      </c>
      <c r="M7">
        <f>'EPS Inputs'!M28</f>
        <v>0</v>
      </c>
      <c r="N7">
        <f>'EPS Inputs'!N28</f>
        <v>0</v>
      </c>
      <c r="O7">
        <f>'EPS Inputs'!O28</f>
        <v>0</v>
      </c>
      <c r="P7">
        <f>'EPS Inputs'!P28</f>
        <v>0</v>
      </c>
      <c r="Q7">
        <f>'EPS Inputs'!Q28</f>
        <v>0</v>
      </c>
      <c r="R7">
        <f>'EPS Inputs'!R28</f>
        <v>0</v>
      </c>
      <c r="S7">
        <f>'EPS Inputs'!S28</f>
        <v>0</v>
      </c>
      <c r="T7">
        <f>'EPS Inputs'!T28</f>
        <v>0</v>
      </c>
      <c r="U7">
        <f>'EPS Inputs'!U28</f>
        <v>0</v>
      </c>
      <c r="V7">
        <f>'EPS Inputs'!V28</f>
        <v>0</v>
      </c>
      <c r="W7">
        <f>'EPS Inputs'!W28</f>
        <v>0</v>
      </c>
      <c r="X7">
        <f>'EPS Inputs'!X28</f>
        <v>0.51142569199999999</v>
      </c>
      <c r="Y7">
        <f>'EPS Inputs'!Y28</f>
        <v>0</v>
      </c>
      <c r="Z7">
        <f>'EPS Inputs'!Z28</f>
        <v>0</v>
      </c>
      <c r="AA7">
        <f>'EPS Inputs'!AA28</f>
        <v>0</v>
      </c>
      <c r="AB7">
        <f>'EPS Inputs'!AB28</f>
        <v>0</v>
      </c>
      <c r="AC7">
        <f>'EPS Inputs'!AC28</f>
        <v>0</v>
      </c>
      <c r="AD7">
        <f>'EPS Inputs'!AD28</f>
        <v>0</v>
      </c>
      <c r="AE7">
        <f>'EPS Inputs'!AE28</f>
        <v>0</v>
      </c>
      <c r="AF7">
        <f>'EPS Inputs'!AF28</f>
        <v>0</v>
      </c>
      <c r="AG7">
        <f>'EPS Inputs'!AG28</f>
        <v>0.245601131</v>
      </c>
      <c r="AH7">
        <f>'EPS Inputs'!AH28</f>
        <v>0.23490525200000001</v>
      </c>
      <c r="AI7">
        <f>'EPS Inputs'!AI28</f>
        <v>8.0679259999999996E-3</v>
      </c>
      <c r="AJ7">
        <f>'EPS Inputs'!AJ28</f>
        <v>0</v>
      </c>
      <c r="AK7">
        <f>'EPS Inputs'!AK28</f>
        <v>0</v>
      </c>
      <c r="AL7">
        <f>'EPS Inputs'!AL28</f>
        <v>0</v>
      </c>
      <c r="AM7">
        <f>'EPS Inputs'!AM28</f>
        <v>0</v>
      </c>
      <c r="AN7">
        <f>'EPS Inputs'!AN28</f>
        <v>0</v>
      </c>
      <c r="AO7">
        <f>'EPS Inputs'!AO28</f>
        <v>0</v>
      </c>
      <c r="AP7">
        <f>'EPS Inputs'!AP28</f>
        <v>0</v>
      </c>
      <c r="AQ7">
        <f>'EPS Inputs'!AQ28</f>
        <v>0</v>
      </c>
      <c r="AR7">
        <f>'EPS Inputs'!AR28</f>
        <v>0</v>
      </c>
      <c r="AS7">
        <f>'EPS Inputs'!AS28</f>
        <v>0</v>
      </c>
      <c r="AT7">
        <f>'EPS Inputs'!AT28</f>
        <v>0</v>
      </c>
      <c r="AU7">
        <f>'EPS Inputs'!AU28</f>
        <v>0</v>
      </c>
      <c r="AV7">
        <f>'EPS Inputs'!AV28</f>
        <v>0</v>
      </c>
      <c r="AW7">
        <f>'EPS Inputs'!AW28</f>
        <v>0</v>
      </c>
      <c r="AX7">
        <f>'EPS Inputs'!AX28</f>
        <v>0</v>
      </c>
      <c r="AY7">
        <f>'EPS Inputs'!AY28</f>
        <v>0</v>
      </c>
      <c r="AZ7">
        <f>'EPS Inputs'!AZ28</f>
        <v>0</v>
      </c>
      <c r="BA7">
        <f>'EPS Inputs'!BA28</f>
        <v>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sheetPr>
  <dimension ref="A1:BA7"/>
  <sheetViews>
    <sheetView workbookViewId="0"/>
  </sheetViews>
  <sheetFormatPr defaultRowHeight="14.5" x14ac:dyDescent="0.35"/>
  <sheetData>
    <row r="1" spans="1:53" x14ac:dyDescent="0.35">
      <c r="A1" t="s">
        <v>233</v>
      </c>
      <c r="B1" t="s">
        <v>234</v>
      </c>
      <c r="C1" t="s">
        <v>235</v>
      </c>
      <c r="D1" t="s">
        <v>236</v>
      </c>
      <c r="E1" t="s">
        <v>237</v>
      </c>
      <c r="F1" t="s">
        <v>238</v>
      </c>
      <c r="G1" t="s">
        <v>239</v>
      </c>
      <c r="H1" t="s">
        <v>240</v>
      </c>
      <c r="I1" t="s">
        <v>241</v>
      </c>
      <c r="J1" t="s">
        <v>242</v>
      </c>
      <c r="K1" t="s">
        <v>243</v>
      </c>
      <c r="L1" t="s">
        <v>244</v>
      </c>
      <c r="M1" t="s">
        <v>245</v>
      </c>
      <c r="N1" t="s">
        <v>246</v>
      </c>
      <c r="O1" t="s">
        <v>247</v>
      </c>
      <c r="P1" t="s">
        <v>248</v>
      </c>
      <c r="Q1" t="s">
        <v>249</v>
      </c>
      <c r="R1" t="s">
        <v>250</v>
      </c>
      <c r="S1" t="s">
        <v>251</v>
      </c>
      <c r="T1" t="s">
        <v>252</v>
      </c>
      <c r="U1" t="s">
        <v>253</v>
      </c>
      <c r="V1" t="s">
        <v>254</v>
      </c>
      <c r="W1" t="s">
        <v>255</v>
      </c>
      <c r="X1" t="s">
        <v>256</v>
      </c>
      <c r="Y1" t="s">
        <v>257</v>
      </c>
      <c r="Z1" t="s">
        <v>258</v>
      </c>
      <c r="AA1" t="s">
        <v>259</v>
      </c>
      <c r="AB1" t="s">
        <v>260</v>
      </c>
      <c r="AC1" t="s">
        <v>261</v>
      </c>
      <c r="AD1" t="s">
        <v>262</v>
      </c>
      <c r="AE1" t="s">
        <v>263</v>
      </c>
      <c r="AF1" t="s">
        <v>264</v>
      </c>
      <c r="AG1" t="s">
        <v>265</v>
      </c>
      <c r="AH1" t="s">
        <v>266</v>
      </c>
      <c r="AI1" t="s">
        <v>267</v>
      </c>
      <c r="AJ1" t="s">
        <v>268</v>
      </c>
      <c r="AK1" t="s">
        <v>269</v>
      </c>
      <c r="AL1" t="s">
        <v>270</v>
      </c>
      <c r="AM1" t="s">
        <v>271</v>
      </c>
      <c r="AN1" t="s">
        <v>272</v>
      </c>
      <c r="AO1" t="s">
        <v>273</v>
      </c>
      <c r="AP1" t="s">
        <v>274</v>
      </c>
      <c r="AQ1" t="s">
        <v>275</v>
      </c>
      <c r="AR1" t="s">
        <v>276</v>
      </c>
      <c r="AS1" t="s">
        <v>277</v>
      </c>
      <c r="AT1" t="s">
        <v>278</v>
      </c>
      <c r="AU1" t="s">
        <v>279</v>
      </c>
      <c r="AV1" t="s">
        <v>280</v>
      </c>
      <c r="AW1" t="s">
        <v>281</v>
      </c>
      <c r="AX1" t="s">
        <v>282</v>
      </c>
      <c r="AY1" t="s">
        <v>283</v>
      </c>
      <c r="AZ1" t="s">
        <v>284</v>
      </c>
      <c r="BA1" t="s">
        <v>285</v>
      </c>
    </row>
    <row r="2" spans="1:53" x14ac:dyDescent="0.35">
      <c r="A2" t="s">
        <v>286</v>
      </c>
      <c r="B2">
        <f>INDEX(Calcs!$F$58:$F$109,MATCH(B$1,Calcs!$A$58:$A$109,0))</f>
        <v>0</v>
      </c>
      <c r="C2">
        <f>INDEX(Calcs!$F$58:$F$109,MATCH(C$1,Calcs!$A$58:$A$109,0))</f>
        <v>0</v>
      </c>
      <c r="D2">
        <f>INDEX(Calcs!$F$58:$F$109,MATCH(D$1,Calcs!$A$58:$A$109,0))</f>
        <v>0</v>
      </c>
      <c r="E2">
        <f>INDEX(Calcs!$F$58:$F$109,MATCH(E$1,Calcs!$A$58:$A$109,0))</f>
        <v>0</v>
      </c>
      <c r="F2">
        <f>INDEX(Calcs!$F$58:$F$109,MATCH(F$1,Calcs!$A$58:$A$109,0))</f>
        <v>0</v>
      </c>
      <c r="G2">
        <f>INDEX(Calcs!$F$58:$F$109,MATCH(G$1,Calcs!$A$58:$A$109,0))</f>
        <v>0</v>
      </c>
      <c r="H2">
        <f>INDEX(Calcs!$F$58:$F$109,MATCH(H$1,Calcs!$A$58:$A$109,0))</f>
        <v>0</v>
      </c>
      <c r="I2">
        <f>INDEX(Calcs!$F$58:$F$109,MATCH(I$1,Calcs!$A$58:$A$109,0))</f>
        <v>0</v>
      </c>
      <c r="J2">
        <f>INDEX(Calcs!$F$58:$F$109,MATCH(J$1,Calcs!$A$58:$A$109,0))</f>
        <v>0</v>
      </c>
      <c r="K2">
        <f>INDEX(Calcs!$F$58:$F$109,MATCH(K$1,Calcs!$A$58:$A$109,0))</f>
        <v>0</v>
      </c>
      <c r="L2">
        <f>INDEX(Calcs!$F$58:$F$109,MATCH(L$1,Calcs!$A$58:$A$109,0))</f>
        <v>0</v>
      </c>
      <c r="M2">
        <f>INDEX(Calcs!$F$58:$F$109,MATCH(M$1,Calcs!$A$58:$A$109,0))</f>
        <v>0</v>
      </c>
      <c r="N2">
        <f>INDEX(Calcs!$F$58:$F$109,MATCH(N$1,Calcs!$A$58:$A$109,0))</f>
        <v>0</v>
      </c>
      <c r="O2">
        <f>INDEX(Calcs!$F$58:$F$109,MATCH(O$1,Calcs!$A$58:$A$109,0))</f>
        <v>0</v>
      </c>
      <c r="P2">
        <f>INDEX(Calcs!$F$58:$F$109,MATCH(P$1,Calcs!$A$58:$A$109,0))</f>
        <v>0</v>
      </c>
      <c r="Q2">
        <f>INDEX(Calcs!$F$58:$F$109,MATCH(Q$1,Calcs!$A$58:$A$109,0))</f>
        <v>0</v>
      </c>
      <c r="R2">
        <f>INDEX(Calcs!$F$58:$F$109,MATCH(R$1,Calcs!$A$58:$A$109,0))</f>
        <v>0</v>
      </c>
      <c r="S2">
        <f>INDEX(Calcs!$F$58:$F$109,MATCH(S$1,Calcs!$A$58:$A$109,0))</f>
        <v>0</v>
      </c>
      <c r="T2">
        <f>INDEX(Calcs!$F$58:$F$109,MATCH(T$1,Calcs!$A$58:$A$109,0))</f>
        <v>0</v>
      </c>
      <c r="U2">
        <f>INDEX(Calcs!$F$58:$F$109,MATCH(U$1,Calcs!$A$58:$A$109,0))</f>
        <v>0</v>
      </c>
      <c r="V2">
        <f>INDEX(Calcs!$F$58:$F$109,MATCH(V$1,Calcs!$A$58:$A$109,0))</f>
        <v>6.2652119642991694E-2</v>
      </c>
      <c r="W2">
        <f>INDEX(Calcs!$F$58:$F$109,MATCH(W$1,Calcs!$A$58:$A$109,0))</f>
        <v>8.2476824567215584E-2</v>
      </c>
      <c r="X2">
        <f>INDEX(Calcs!$F$58:$F$109,MATCH(X$1,Calcs!$A$58:$A$109,0))</f>
        <v>3.5622900571994909E-2</v>
      </c>
      <c r="Y2">
        <f>INDEX(Calcs!$F$58:$F$109,MATCH(Y$1,Calcs!$A$58:$A$109,0))</f>
        <v>7.446325552416035E-3</v>
      </c>
      <c r="Z2">
        <f>INDEX(Calcs!$F$58:$F$109,MATCH(Z$1,Calcs!$A$58:$A$109,0))</f>
        <v>0</v>
      </c>
      <c r="AA2">
        <f>INDEX(Calcs!$F$58:$F$109,MATCH(AA$1,Calcs!$A$58:$A$109,0))</f>
        <v>0</v>
      </c>
      <c r="AB2">
        <f>INDEX(Calcs!$F$58:$F$109,MATCH(AB$1,Calcs!$A$58:$A$109,0))</f>
        <v>0</v>
      </c>
      <c r="AC2">
        <f>INDEX(Calcs!$F$58:$F$109,MATCH(AC$1,Calcs!$A$58:$A$109,0))</f>
        <v>0</v>
      </c>
      <c r="AD2">
        <f>INDEX(Calcs!$F$58:$F$109,MATCH(AD$1,Calcs!$A$58:$A$109,0))</f>
        <v>0</v>
      </c>
      <c r="AE2">
        <f>INDEX(Calcs!$F$58:$F$109,MATCH(AE$1,Calcs!$A$58:$A$109,0))</f>
        <v>0</v>
      </c>
      <c r="AF2">
        <f>INDEX(Calcs!$F$58:$F$109,MATCH(AF$1,Calcs!$A$58:$A$109,0))</f>
        <v>0</v>
      </c>
      <c r="AG2">
        <f>INDEX(Calcs!$F$58:$F$109,MATCH(AG$1,Calcs!$A$58:$A$109,0))</f>
        <v>0.70452348304815571</v>
      </c>
      <c r="AH2">
        <f>INDEX(Calcs!$F$58:$F$109,MATCH(AH$1,Calcs!$A$58:$A$109,0))</f>
        <v>0.10240893888644097</v>
      </c>
      <c r="AI2">
        <f>INDEX(Calcs!$F$58:$F$109,MATCH(AI$1,Calcs!$A$58:$A$109,0))</f>
        <v>4.8694077307852874E-3</v>
      </c>
      <c r="AJ2">
        <f>INDEX(Calcs!$F$58:$F$109,MATCH(AJ$1,Calcs!$A$58:$A$109,0))</f>
        <v>0</v>
      </c>
      <c r="AK2">
        <f>INDEX(Calcs!$F$58:$F$109,MATCH(AK$1,Calcs!$A$58:$A$109,0))</f>
        <v>0</v>
      </c>
      <c r="AL2">
        <f>INDEX(Calcs!$F$58:$F$109,MATCH(AL$1,Calcs!$A$58:$A$109,0))</f>
        <v>0</v>
      </c>
      <c r="AM2">
        <f>INDEX(Calcs!$F$58:$F$109,MATCH(AM$1,Calcs!$A$58:$A$109,0))</f>
        <v>0</v>
      </c>
      <c r="AN2">
        <f>INDEX(Calcs!$F$58:$F$109,MATCH(AN$1,Calcs!$A$58:$A$109,0))</f>
        <v>0</v>
      </c>
      <c r="AO2">
        <f>INDEX(Calcs!$F$58:$F$109,MATCH(AO$1,Calcs!$A$58:$A$109,0))</f>
        <v>0</v>
      </c>
      <c r="AP2">
        <f>INDEX(Calcs!$F$58:$F$109,MATCH(AP$1,Calcs!$A$58:$A$109,0))</f>
        <v>0</v>
      </c>
      <c r="AQ2">
        <f>INDEX(Calcs!$F$58:$F$109,MATCH(AQ$1,Calcs!$A$58:$A$109,0))</f>
        <v>0</v>
      </c>
      <c r="AR2">
        <f>INDEX(Calcs!$F$58:$F$109,MATCH(AR$1,Calcs!$A$58:$A$109,0))</f>
        <v>0</v>
      </c>
      <c r="AS2">
        <f>INDEX(Calcs!$F$58:$F$109,MATCH(AS$1,Calcs!$A$58:$A$109,0))</f>
        <v>0</v>
      </c>
      <c r="AT2">
        <f>INDEX(Calcs!$F$58:$F$109,MATCH(AT$1,Calcs!$A$58:$A$109,0))</f>
        <v>0</v>
      </c>
      <c r="AU2">
        <f>INDEX(Calcs!$F$58:$F$109,MATCH(AU$1,Calcs!$A$58:$A$109,0))</f>
        <v>0</v>
      </c>
      <c r="AV2">
        <f>INDEX(Calcs!$F$58:$F$109,MATCH(AV$1,Calcs!$A$58:$A$109,0))</f>
        <v>0</v>
      </c>
      <c r="AW2">
        <f>INDEX(Calcs!$F$58:$F$109,MATCH(AW$1,Calcs!$A$58:$A$109,0))</f>
        <v>0</v>
      </c>
      <c r="AX2">
        <f>INDEX(Calcs!$F$58:$F$109,MATCH(AX$1,Calcs!$A$58:$A$109,0))</f>
        <v>0</v>
      </c>
      <c r="AY2">
        <f>INDEX(Calcs!$F$58:$F$109,MATCH(AY$1,Calcs!$A$58:$A$109,0))</f>
        <v>0</v>
      </c>
      <c r="AZ2">
        <f>INDEX(Calcs!$F$58:$F$109,MATCH(AZ$1,Calcs!$A$58:$A$109,0))</f>
        <v>0</v>
      </c>
      <c r="BA2">
        <f>INDEX(Calcs!$F$58:$F$109,MATCH(BA$1,Calcs!$A$58:$A$109,0))</f>
        <v>0</v>
      </c>
    </row>
    <row r="3" spans="1:53" x14ac:dyDescent="0.35">
      <c r="A3" t="s">
        <v>287</v>
      </c>
      <c r="B3">
        <f>INDEX(Calcs!$G$58:$G$109,MATCH(B$1,Calcs!$A$58:$A$109,0))</f>
        <v>0</v>
      </c>
      <c r="C3">
        <f>INDEX(Calcs!$G$58:$G$109,MATCH(C$1,Calcs!$A$58:$A$109,0))</f>
        <v>0</v>
      </c>
      <c r="D3">
        <f>INDEX(Calcs!$G$58:$G$109,MATCH(D$1,Calcs!$A$58:$A$109,0))</f>
        <v>0</v>
      </c>
      <c r="E3">
        <f>INDEX(Calcs!$G$58:$G$109,MATCH(E$1,Calcs!$A$58:$A$109,0))</f>
        <v>0</v>
      </c>
      <c r="F3">
        <f>INDEX(Calcs!$G$58:$G$109,MATCH(F$1,Calcs!$A$58:$A$109,0))</f>
        <v>0</v>
      </c>
      <c r="G3">
        <f>INDEX(Calcs!$G$58:$G$109,MATCH(G$1,Calcs!$A$58:$A$109,0))</f>
        <v>0</v>
      </c>
      <c r="H3">
        <f>INDEX(Calcs!$G$58:$G$109,MATCH(H$1,Calcs!$A$58:$A$109,0))</f>
        <v>0</v>
      </c>
      <c r="I3">
        <f>INDEX(Calcs!$G$58:$G$109,MATCH(I$1,Calcs!$A$58:$A$109,0))</f>
        <v>0</v>
      </c>
      <c r="J3">
        <f>INDEX(Calcs!$G$58:$G$109,MATCH(J$1,Calcs!$A$58:$A$109,0))</f>
        <v>0</v>
      </c>
      <c r="K3">
        <f>INDEX(Calcs!$G$58:$G$109,MATCH(K$1,Calcs!$A$58:$A$109,0))</f>
        <v>0</v>
      </c>
      <c r="L3">
        <f>INDEX(Calcs!$G$58:$G$109,MATCH(L$1,Calcs!$A$58:$A$109,0))</f>
        <v>0</v>
      </c>
      <c r="M3">
        <f>INDEX(Calcs!$G$58:$G$109,MATCH(M$1,Calcs!$A$58:$A$109,0))</f>
        <v>0</v>
      </c>
      <c r="N3">
        <f>INDEX(Calcs!$G$58:$G$109,MATCH(N$1,Calcs!$A$58:$A$109,0))</f>
        <v>0</v>
      </c>
      <c r="O3">
        <f>INDEX(Calcs!$G$58:$G$109,MATCH(O$1,Calcs!$A$58:$A$109,0))</f>
        <v>0</v>
      </c>
      <c r="P3">
        <f>INDEX(Calcs!$G$58:$G$109,MATCH(P$1,Calcs!$A$58:$A$109,0))</f>
        <v>0</v>
      </c>
      <c r="Q3">
        <f>INDEX(Calcs!$G$58:$G$109,MATCH(Q$1,Calcs!$A$58:$A$109,0))</f>
        <v>0</v>
      </c>
      <c r="R3">
        <f>INDEX(Calcs!$G$58:$G$109,MATCH(R$1,Calcs!$A$58:$A$109,0))</f>
        <v>0</v>
      </c>
      <c r="S3">
        <f>INDEX(Calcs!$G$58:$G$109,MATCH(S$1,Calcs!$A$58:$A$109,0))</f>
        <v>0</v>
      </c>
      <c r="T3">
        <f>INDEX(Calcs!$G$58:$G$109,MATCH(T$1,Calcs!$A$58:$A$109,0))</f>
        <v>0</v>
      </c>
      <c r="U3">
        <f>INDEX(Calcs!$G$58:$G$109,MATCH(U$1,Calcs!$A$58:$A$109,0))</f>
        <v>0</v>
      </c>
      <c r="V3">
        <f>INDEX(Calcs!$G$58:$G$109,MATCH(V$1,Calcs!$A$58:$A$109,0))</f>
        <v>6.2652119642991694E-2</v>
      </c>
      <c r="W3">
        <f>INDEX(Calcs!$G$58:$G$109,MATCH(W$1,Calcs!$A$58:$A$109,0))</f>
        <v>8.2476824567215584E-2</v>
      </c>
      <c r="X3">
        <f>INDEX(Calcs!$G$58:$G$109,MATCH(X$1,Calcs!$A$58:$A$109,0))</f>
        <v>3.5622900571994909E-2</v>
      </c>
      <c r="Y3">
        <f>INDEX(Calcs!$G$58:$G$109,MATCH(Y$1,Calcs!$A$58:$A$109,0))</f>
        <v>7.446325552416035E-3</v>
      </c>
      <c r="Z3">
        <f>INDEX(Calcs!$G$58:$G$109,MATCH(Z$1,Calcs!$A$58:$A$109,0))</f>
        <v>0</v>
      </c>
      <c r="AA3">
        <f>INDEX(Calcs!$G$58:$G$109,MATCH(AA$1,Calcs!$A$58:$A$109,0))</f>
        <v>0</v>
      </c>
      <c r="AB3">
        <f>INDEX(Calcs!$G$58:$G$109,MATCH(AB$1,Calcs!$A$58:$A$109,0))</f>
        <v>0</v>
      </c>
      <c r="AC3">
        <f>INDEX(Calcs!$G$58:$G$109,MATCH(AC$1,Calcs!$A$58:$A$109,0))</f>
        <v>0</v>
      </c>
      <c r="AD3">
        <f>INDEX(Calcs!$G$58:$G$109,MATCH(AD$1,Calcs!$A$58:$A$109,0))</f>
        <v>0</v>
      </c>
      <c r="AE3">
        <f>INDEX(Calcs!$G$58:$G$109,MATCH(AE$1,Calcs!$A$58:$A$109,0))</f>
        <v>0</v>
      </c>
      <c r="AF3">
        <f>INDEX(Calcs!$G$58:$G$109,MATCH(AF$1,Calcs!$A$58:$A$109,0))</f>
        <v>0</v>
      </c>
      <c r="AG3">
        <f>INDEX(Calcs!$G$58:$G$109,MATCH(AG$1,Calcs!$A$58:$A$109,0))</f>
        <v>0.70452348304815571</v>
      </c>
      <c r="AH3">
        <f>INDEX(Calcs!$G$58:$G$109,MATCH(AH$1,Calcs!$A$58:$A$109,0))</f>
        <v>0.10240893888644097</v>
      </c>
      <c r="AI3">
        <f>INDEX(Calcs!$G$58:$G$109,MATCH(AI$1,Calcs!$A$58:$A$109,0))</f>
        <v>4.8694077307852874E-3</v>
      </c>
      <c r="AJ3">
        <f>INDEX(Calcs!$G$58:$G$109,MATCH(AJ$1,Calcs!$A$58:$A$109,0))</f>
        <v>0</v>
      </c>
      <c r="AK3">
        <f>INDEX(Calcs!$G$58:$G$109,MATCH(AK$1,Calcs!$A$58:$A$109,0))</f>
        <v>0</v>
      </c>
      <c r="AL3">
        <f>INDEX(Calcs!$G$58:$G$109,MATCH(AL$1,Calcs!$A$58:$A$109,0))</f>
        <v>0</v>
      </c>
      <c r="AM3">
        <f>INDEX(Calcs!$G$58:$G$109,MATCH(AM$1,Calcs!$A$58:$A$109,0))</f>
        <v>0</v>
      </c>
      <c r="AN3">
        <f>INDEX(Calcs!$G$58:$G$109,MATCH(AN$1,Calcs!$A$58:$A$109,0))</f>
        <v>0</v>
      </c>
      <c r="AO3">
        <f>INDEX(Calcs!$G$58:$G$109,MATCH(AO$1,Calcs!$A$58:$A$109,0))</f>
        <v>0</v>
      </c>
      <c r="AP3">
        <f>INDEX(Calcs!$G$58:$G$109,MATCH(AP$1,Calcs!$A$58:$A$109,0))</f>
        <v>0</v>
      </c>
      <c r="AQ3">
        <f>INDEX(Calcs!$G$58:$G$109,MATCH(AQ$1,Calcs!$A$58:$A$109,0))</f>
        <v>0</v>
      </c>
      <c r="AR3">
        <f>INDEX(Calcs!$G$58:$G$109,MATCH(AR$1,Calcs!$A$58:$A$109,0))</f>
        <v>0</v>
      </c>
      <c r="AS3">
        <f>INDEX(Calcs!$G$58:$G$109,MATCH(AS$1,Calcs!$A$58:$A$109,0))</f>
        <v>0</v>
      </c>
      <c r="AT3">
        <f>INDEX(Calcs!$G$58:$G$109,MATCH(AT$1,Calcs!$A$58:$A$109,0))</f>
        <v>0</v>
      </c>
      <c r="AU3">
        <f>INDEX(Calcs!$G$58:$G$109,MATCH(AU$1,Calcs!$A$58:$A$109,0))</f>
        <v>0</v>
      </c>
      <c r="AV3">
        <f>INDEX(Calcs!$G$58:$G$109,MATCH(AV$1,Calcs!$A$58:$A$109,0))</f>
        <v>0</v>
      </c>
      <c r="AW3">
        <f>INDEX(Calcs!$G$58:$G$109,MATCH(AW$1,Calcs!$A$58:$A$109,0))</f>
        <v>0</v>
      </c>
      <c r="AX3">
        <f>INDEX(Calcs!$G$58:$G$109,MATCH(AX$1,Calcs!$A$58:$A$109,0))</f>
        <v>0</v>
      </c>
      <c r="AY3">
        <f>INDEX(Calcs!$G$58:$G$109,MATCH(AY$1,Calcs!$A$58:$A$109,0))</f>
        <v>0</v>
      </c>
      <c r="AZ3">
        <f>INDEX(Calcs!$G$58:$G$109,MATCH(AZ$1,Calcs!$A$58:$A$109,0))</f>
        <v>0</v>
      </c>
      <c r="BA3">
        <f>INDEX(Calcs!$G$58:$G$109,MATCH(BA$1,Calcs!$A$58:$A$109,0))</f>
        <v>0</v>
      </c>
    </row>
    <row r="4" spans="1:53" x14ac:dyDescent="0.35">
      <c r="A4" t="s">
        <v>103</v>
      </c>
      <c r="B4">
        <f>'EPS Inputs'!B34</f>
        <v>0</v>
      </c>
      <c r="C4">
        <f>'EPS Inputs'!C34</f>
        <v>0</v>
      </c>
      <c r="D4">
        <f>'EPS Inputs'!D34</f>
        <v>0</v>
      </c>
      <c r="E4">
        <f>'EPS Inputs'!E34</f>
        <v>0</v>
      </c>
      <c r="F4">
        <f>'EPS Inputs'!F34</f>
        <v>0</v>
      </c>
      <c r="G4">
        <f>'EPS Inputs'!G34</f>
        <v>0</v>
      </c>
      <c r="H4">
        <f>'EPS Inputs'!H34</f>
        <v>0</v>
      </c>
      <c r="I4">
        <f>'EPS Inputs'!I34</f>
        <v>0</v>
      </c>
      <c r="J4">
        <f>'EPS Inputs'!J34</f>
        <v>0</v>
      </c>
      <c r="K4">
        <f>'EPS Inputs'!K34</f>
        <v>0</v>
      </c>
      <c r="L4">
        <f>'EPS Inputs'!L34</f>
        <v>0</v>
      </c>
      <c r="M4">
        <f>'EPS Inputs'!M34</f>
        <v>0</v>
      </c>
      <c r="N4">
        <f>'EPS Inputs'!N34</f>
        <v>0</v>
      </c>
      <c r="O4">
        <f>'EPS Inputs'!O34</f>
        <v>0</v>
      </c>
      <c r="P4">
        <f>'EPS Inputs'!P34</f>
        <v>0</v>
      </c>
      <c r="Q4">
        <f>'EPS Inputs'!Q34</f>
        <v>0</v>
      </c>
      <c r="R4">
        <f>'EPS Inputs'!R34</f>
        <v>0</v>
      </c>
      <c r="S4">
        <f>'EPS Inputs'!S34</f>
        <v>0</v>
      </c>
      <c r="T4">
        <f>'EPS Inputs'!T34</f>
        <v>0</v>
      </c>
      <c r="U4">
        <f>'EPS Inputs'!U34</f>
        <v>0</v>
      </c>
      <c r="V4">
        <f>'EPS Inputs'!V34</f>
        <v>0</v>
      </c>
      <c r="W4">
        <f>'EPS Inputs'!W34</f>
        <v>0</v>
      </c>
      <c r="X4">
        <f>'EPS Inputs'!X34</f>
        <v>0</v>
      </c>
      <c r="Y4">
        <f>'EPS Inputs'!Y34</f>
        <v>0</v>
      </c>
      <c r="Z4">
        <f>'EPS Inputs'!Z34</f>
        <v>0</v>
      </c>
      <c r="AA4">
        <f>'EPS Inputs'!AA34</f>
        <v>0</v>
      </c>
      <c r="AB4">
        <f>'EPS Inputs'!AB34</f>
        <v>0</v>
      </c>
      <c r="AC4">
        <f>'EPS Inputs'!AC34</f>
        <v>0</v>
      </c>
      <c r="AD4">
        <f>'EPS Inputs'!AD34</f>
        <v>0</v>
      </c>
      <c r="AE4">
        <f>'EPS Inputs'!AE34</f>
        <v>0</v>
      </c>
      <c r="AF4">
        <f>'EPS Inputs'!AF34</f>
        <v>0</v>
      </c>
      <c r="AG4">
        <f>'EPS Inputs'!AG34</f>
        <v>0</v>
      </c>
      <c r="AH4">
        <f>'EPS Inputs'!AH34</f>
        <v>0</v>
      </c>
      <c r="AI4">
        <f>'EPS Inputs'!AI34</f>
        <v>0</v>
      </c>
      <c r="AJ4">
        <f>'EPS Inputs'!AJ34</f>
        <v>0</v>
      </c>
      <c r="AK4">
        <f>'EPS Inputs'!AK34</f>
        <v>0</v>
      </c>
      <c r="AL4">
        <f>'EPS Inputs'!AL34</f>
        <v>0</v>
      </c>
      <c r="AM4">
        <f>'EPS Inputs'!AM34</f>
        <v>0</v>
      </c>
      <c r="AN4">
        <f>'EPS Inputs'!AN34</f>
        <v>0</v>
      </c>
      <c r="AO4">
        <f>'EPS Inputs'!AO34</f>
        <v>0</v>
      </c>
      <c r="AP4">
        <f>'EPS Inputs'!AP34</f>
        <v>0</v>
      </c>
      <c r="AQ4">
        <f>'EPS Inputs'!AQ34</f>
        <v>0</v>
      </c>
      <c r="AR4">
        <f>'EPS Inputs'!AR34</f>
        <v>0</v>
      </c>
      <c r="AS4">
        <f>'EPS Inputs'!AS34</f>
        <v>0</v>
      </c>
      <c r="AT4">
        <f>'EPS Inputs'!AT34</f>
        <v>0</v>
      </c>
      <c r="AU4">
        <f>'EPS Inputs'!AU34</f>
        <v>0</v>
      </c>
      <c r="AV4">
        <f>'EPS Inputs'!AV34</f>
        <v>0</v>
      </c>
      <c r="AW4">
        <f>'EPS Inputs'!AW34</f>
        <v>0</v>
      </c>
      <c r="AX4">
        <f>'EPS Inputs'!AX34</f>
        <v>0</v>
      </c>
      <c r="AY4">
        <f>'EPS Inputs'!AY34</f>
        <v>0</v>
      </c>
      <c r="AZ4">
        <f>'EPS Inputs'!AZ34</f>
        <v>0</v>
      </c>
      <c r="BA4">
        <f>'EPS Inputs'!BA34</f>
        <v>0</v>
      </c>
    </row>
    <row r="5" spans="1:53" x14ac:dyDescent="0.35">
      <c r="A5" t="s">
        <v>84</v>
      </c>
      <c r="B5">
        <f>'EPS Inputs'!B35</f>
        <v>0</v>
      </c>
      <c r="C5">
        <f>'EPS Inputs'!C35</f>
        <v>0</v>
      </c>
      <c r="D5">
        <f>'EPS Inputs'!D35</f>
        <v>0</v>
      </c>
      <c r="E5">
        <f>'EPS Inputs'!E35</f>
        <v>0</v>
      </c>
      <c r="F5">
        <f>'EPS Inputs'!F35</f>
        <v>0</v>
      </c>
      <c r="G5">
        <f>'EPS Inputs'!G35</f>
        <v>0</v>
      </c>
      <c r="H5">
        <f>'EPS Inputs'!H35</f>
        <v>0</v>
      </c>
      <c r="I5">
        <f>'EPS Inputs'!I35</f>
        <v>0</v>
      </c>
      <c r="J5">
        <f>'EPS Inputs'!J35</f>
        <v>0</v>
      </c>
      <c r="K5">
        <f>'EPS Inputs'!K35</f>
        <v>0</v>
      </c>
      <c r="L5">
        <f>'EPS Inputs'!L35</f>
        <v>0</v>
      </c>
      <c r="M5">
        <f>'EPS Inputs'!M35</f>
        <v>0</v>
      </c>
      <c r="N5">
        <f>'EPS Inputs'!N35</f>
        <v>0</v>
      </c>
      <c r="O5">
        <f>'EPS Inputs'!O35</f>
        <v>0</v>
      </c>
      <c r="P5">
        <f>'EPS Inputs'!P35</f>
        <v>0</v>
      </c>
      <c r="Q5">
        <f>'EPS Inputs'!Q35</f>
        <v>0</v>
      </c>
      <c r="R5">
        <f>'EPS Inputs'!R35</f>
        <v>0</v>
      </c>
      <c r="S5">
        <f>'EPS Inputs'!S35</f>
        <v>0</v>
      </c>
      <c r="T5">
        <f>'EPS Inputs'!T35</f>
        <v>0</v>
      </c>
      <c r="U5">
        <f>'EPS Inputs'!U35</f>
        <v>0</v>
      </c>
      <c r="V5">
        <f>'EPS Inputs'!V35</f>
        <v>0</v>
      </c>
      <c r="W5">
        <f>'EPS Inputs'!W35</f>
        <v>0</v>
      </c>
      <c r="X5">
        <f>'EPS Inputs'!X35</f>
        <v>0.28238603800000001</v>
      </c>
      <c r="Y5">
        <f>'EPS Inputs'!Y35</f>
        <v>0</v>
      </c>
      <c r="Z5">
        <f>'EPS Inputs'!Z35</f>
        <v>0</v>
      </c>
      <c r="AA5">
        <f>'EPS Inputs'!AA35</f>
        <v>0</v>
      </c>
      <c r="AB5">
        <f>'EPS Inputs'!AB35</f>
        <v>0</v>
      </c>
      <c r="AC5">
        <f>'EPS Inputs'!AC35</f>
        <v>0</v>
      </c>
      <c r="AD5">
        <f>'EPS Inputs'!AD35</f>
        <v>0</v>
      </c>
      <c r="AE5">
        <f>'EPS Inputs'!AE35</f>
        <v>0</v>
      </c>
      <c r="AF5">
        <f>'EPS Inputs'!AF35</f>
        <v>0</v>
      </c>
      <c r="AG5">
        <f>'EPS Inputs'!AG35</f>
        <v>0.592331053</v>
      </c>
      <c r="AH5">
        <f>'EPS Inputs'!AH35</f>
        <v>9.1251813000000001E-2</v>
      </c>
      <c r="AI5">
        <f>'EPS Inputs'!AI35</f>
        <v>3.4031095999999997E-2</v>
      </c>
      <c r="AJ5">
        <f>'EPS Inputs'!AJ35</f>
        <v>0</v>
      </c>
      <c r="AK5">
        <f>'EPS Inputs'!AK35</f>
        <v>0</v>
      </c>
      <c r="AL5">
        <f>'EPS Inputs'!AL35</f>
        <v>0</v>
      </c>
      <c r="AM5">
        <f>'EPS Inputs'!AM35</f>
        <v>0</v>
      </c>
      <c r="AN5">
        <f>'EPS Inputs'!AN35</f>
        <v>0</v>
      </c>
      <c r="AO5">
        <f>'EPS Inputs'!AO35</f>
        <v>0</v>
      </c>
      <c r="AP5">
        <f>'EPS Inputs'!AP35</f>
        <v>0</v>
      </c>
      <c r="AQ5">
        <f>'EPS Inputs'!AQ35</f>
        <v>0</v>
      </c>
      <c r="AR5">
        <f>'EPS Inputs'!AR35</f>
        <v>0</v>
      </c>
      <c r="AS5">
        <f>'EPS Inputs'!AS35</f>
        <v>0</v>
      </c>
      <c r="AT5">
        <f>'EPS Inputs'!AT35</f>
        <v>0</v>
      </c>
      <c r="AU5">
        <f>'EPS Inputs'!AU35</f>
        <v>0</v>
      </c>
      <c r="AV5">
        <f>'EPS Inputs'!AV35</f>
        <v>0</v>
      </c>
      <c r="AW5">
        <f>'EPS Inputs'!AW35</f>
        <v>0</v>
      </c>
      <c r="AX5">
        <f>'EPS Inputs'!AX35</f>
        <v>0</v>
      </c>
      <c r="AY5">
        <f>'EPS Inputs'!AY35</f>
        <v>0</v>
      </c>
      <c r="AZ5">
        <f>'EPS Inputs'!AZ35</f>
        <v>0</v>
      </c>
      <c r="BA5">
        <f>'EPS Inputs'!BA35</f>
        <v>0</v>
      </c>
    </row>
    <row r="6" spans="1:53" x14ac:dyDescent="0.35">
      <c r="A6" t="s">
        <v>288</v>
      </c>
      <c r="B6">
        <f>'EPS Inputs'!B36</f>
        <v>0</v>
      </c>
      <c r="C6">
        <f>'EPS Inputs'!C36</f>
        <v>0</v>
      </c>
      <c r="D6">
        <f>'EPS Inputs'!D36</f>
        <v>0</v>
      </c>
      <c r="E6">
        <f>'EPS Inputs'!E36</f>
        <v>0</v>
      </c>
      <c r="F6">
        <f>'EPS Inputs'!F36</f>
        <v>0</v>
      </c>
      <c r="G6">
        <f>'EPS Inputs'!G36</f>
        <v>0</v>
      </c>
      <c r="H6">
        <f>'EPS Inputs'!H36</f>
        <v>0</v>
      </c>
      <c r="I6">
        <f>'EPS Inputs'!I36</f>
        <v>0</v>
      </c>
      <c r="J6">
        <f>'EPS Inputs'!J36</f>
        <v>0</v>
      </c>
      <c r="K6">
        <f>'EPS Inputs'!K36</f>
        <v>0</v>
      </c>
      <c r="L6">
        <f>'EPS Inputs'!L36</f>
        <v>0</v>
      </c>
      <c r="M6">
        <f>'EPS Inputs'!M36</f>
        <v>0</v>
      </c>
      <c r="N6">
        <f>'EPS Inputs'!N36</f>
        <v>0</v>
      </c>
      <c r="O6">
        <f>'EPS Inputs'!O36</f>
        <v>0</v>
      </c>
      <c r="P6">
        <f>'EPS Inputs'!P36</f>
        <v>0</v>
      </c>
      <c r="Q6">
        <f>'EPS Inputs'!Q36</f>
        <v>0</v>
      </c>
      <c r="R6">
        <f>'EPS Inputs'!R36</f>
        <v>0</v>
      </c>
      <c r="S6">
        <f>'EPS Inputs'!S36</f>
        <v>0</v>
      </c>
      <c r="T6">
        <f>'EPS Inputs'!T36</f>
        <v>0</v>
      </c>
      <c r="U6">
        <f>'EPS Inputs'!U36</f>
        <v>0</v>
      </c>
      <c r="V6">
        <f>'EPS Inputs'!V36</f>
        <v>0</v>
      </c>
      <c r="W6">
        <f>'EPS Inputs'!W36</f>
        <v>0</v>
      </c>
      <c r="X6">
        <f>'EPS Inputs'!X36</f>
        <v>0.51313159200000003</v>
      </c>
      <c r="Y6">
        <f>'EPS Inputs'!Y36</f>
        <v>0</v>
      </c>
      <c r="Z6">
        <f>'EPS Inputs'!Z36</f>
        <v>0</v>
      </c>
      <c r="AA6">
        <f>'EPS Inputs'!AA36</f>
        <v>0</v>
      </c>
      <c r="AB6">
        <f>'EPS Inputs'!AB36</f>
        <v>0</v>
      </c>
      <c r="AC6">
        <f>'EPS Inputs'!AC36</f>
        <v>0</v>
      </c>
      <c r="AD6">
        <f>'EPS Inputs'!AD36</f>
        <v>0</v>
      </c>
      <c r="AE6">
        <f>'EPS Inputs'!AE36</f>
        <v>0</v>
      </c>
      <c r="AF6">
        <f>'EPS Inputs'!AF36</f>
        <v>0</v>
      </c>
      <c r="AG6">
        <f>'EPS Inputs'!AG36</f>
        <v>0.245601131</v>
      </c>
      <c r="AH6">
        <f>'EPS Inputs'!AH36</f>
        <v>0.227081377</v>
      </c>
      <c r="AI6">
        <f>'EPS Inputs'!AI36</f>
        <v>1.41859E-2</v>
      </c>
      <c r="AJ6">
        <f>'EPS Inputs'!AJ36</f>
        <v>0</v>
      </c>
      <c r="AK6">
        <f>'EPS Inputs'!AK36</f>
        <v>0</v>
      </c>
      <c r="AL6">
        <f>'EPS Inputs'!AL36</f>
        <v>0</v>
      </c>
      <c r="AM6">
        <f>'EPS Inputs'!AM36</f>
        <v>0</v>
      </c>
      <c r="AN6">
        <f>'EPS Inputs'!AN36</f>
        <v>0</v>
      </c>
      <c r="AO6">
        <f>'EPS Inputs'!AO36</f>
        <v>0</v>
      </c>
      <c r="AP6">
        <f>'EPS Inputs'!AP36</f>
        <v>0</v>
      </c>
      <c r="AQ6">
        <f>'EPS Inputs'!AQ36</f>
        <v>0</v>
      </c>
      <c r="AR6">
        <f>'EPS Inputs'!AR36</f>
        <v>0</v>
      </c>
      <c r="AS6">
        <f>'EPS Inputs'!AS36</f>
        <v>0</v>
      </c>
      <c r="AT6">
        <f>'EPS Inputs'!AT36</f>
        <v>0</v>
      </c>
      <c r="AU6">
        <f>'EPS Inputs'!AU36</f>
        <v>0</v>
      </c>
      <c r="AV6">
        <f>'EPS Inputs'!AV36</f>
        <v>0</v>
      </c>
      <c r="AW6">
        <f>'EPS Inputs'!AW36</f>
        <v>0</v>
      </c>
      <c r="AX6">
        <f>'EPS Inputs'!AX36</f>
        <v>0</v>
      </c>
      <c r="AY6">
        <f>'EPS Inputs'!AY36</f>
        <v>0</v>
      </c>
      <c r="AZ6">
        <f>'EPS Inputs'!AZ36</f>
        <v>0</v>
      </c>
      <c r="BA6">
        <f>'EPS Inputs'!BA36</f>
        <v>0</v>
      </c>
    </row>
    <row r="7" spans="1:53" x14ac:dyDescent="0.35">
      <c r="A7" t="s">
        <v>106</v>
      </c>
      <c r="B7">
        <f>'EPS Inputs'!B37</f>
        <v>0</v>
      </c>
      <c r="C7">
        <f>'EPS Inputs'!C37</f>
        <v>0</v>
      </c>
      <c r="D7">
        <f>'EPS Inputs'!D37</f>
        <v>0</v>
      </c>
      <c r="E7">
        <f>'EPS Inputs'!E37</f>
        <v>0</v>
      </c>
      <c r="F7">
        <f>'EPS Inputs'!F37</f>
        <v>0</v>
      </c>
      <c r="G7">
        <f>'EPS Inputs'!G37</f>
        <v>0</v>
      </c>
      <c r="H7">
        <f>'EPS Inputs'!H37</f>
        <v>0</v>
      </c>
      <c r="I7">
        <f>'EPS Inputs'!I37</f>
        <v>0</v>
      </c>
      <c r="J7">
        <f>'EPS Inputs'!J37</f>
        <v>0</v>
      </c>
      <c r="K7">
        <f>'EPS Inputs'!K37</f>
        <v>0</v>
      </c>
      <c r="L7">
        <f>'EPS Inputs'!L37</f>
        <v>0</v>
      </c>
      <c r="M7">
        <f>'EPS Inputs'!M37</f>
        <v>0</v>
      </c>
      <c r="N7">
        <f>'EPS Inputs'!N37</f>
        <v>0</v>
      </c>
      <c r="O7">
        <f>'EPS Inputs'!O37</f>
        <v>0</v>
      </c>
      <c r="P7">
        <f>'EPS Inputs'!P37</f>
        <v>0</v>
      </c>
      <c r="Q7">
        <f>'EPS Inputs'!Q37</f>
        <v>0</v>
      </c>
      <c r="R7">
        <f>'EPS Inputs'!R37</f>
        <v>0</v>
      </c>
      <c r="S7">
        <f>'EPS Inputs'!S37</f>
        <v>0</v>
      </c>
      <c r="T7">
        <f>'EPS Inputs'!T37</f>
        <v>0</v>
      </c>
      <c r="U7">
        <f>'EPS Inputs'!U37</f>
        <v>0</v>
      </c>
      <c r="V7">
        <f>'EPS Inputs'!V37</f>
        <v>0</v>
      </c>
      <c r="W7">
        <f>'EPS Inputs'!W37</f>
        <v>0</v>
      </c>
      <c r="X7">
        <f>'EPS Inputs'!X37</f>
        <v>0.51142569199999999</v>
      </c>
      <c r="Y7">
        <f>'EPS Inputs'!Y37</f>
        <v>0</v>
      </c>
      <c r="Z7">
        <f>'EPS Inputs'!Z37</f>
        <v>0</v>
      </c>
      <c r="AA7">
        <f>'EPS Inputs'!AA37</f>
        <v>0</v>
      </c>
      <c r="AB7">
        <f>'EPS Inputs'!AB37</f>
        <v>0</v>
      </c>
      <c r="AC7">
        <f>'EPS Inputs'!AC37</f>
        <v>0</v>
      </c>
      <c r="AD7">
        <f>'EPS Inputs'!AD37</f>
        <v>0</v>
      </c>
      <c r="AE7">
        <f>'EPS Inputs'!AE37</f>
        <v>0</v>
      </c>
      <c r="AF7">
        <f>'EPS Inputs'!AF37</f>
        <v>0</v>
      </c>
      <c r="AG7">
        <f>'EPS Inputs'!AG37</f>
        <v>0.245601131</v>
      </c>
      <c r="AH7">
        <f>'EPS Inputs'!AH37</f>
        <v>0.23490525200000001</v>
      </c>
      <c r="AI7">
        <f>'EPS Inputs'!AI37</f>
        <v>8.0679259999999996E-3</v>
      </c>
      <c r="AJ7">
        <f>'EPS Inputs'!AJ37</f>
        <v>0</v>
      </c>
      <c r="AK7">
        <f>'EPS Inputs'!AK37</f>
        <v>0</v>
      </c>
      <c r="AL7">
        <f>'EPS Inputs'!AL37</f>
        <v>0</v>
      </c>
      <c r="AM7">
        <f>'EPS Inputs'!AM37</f>
        <v>0</v>
      </c>
      <c r="AN7">
        <f>'EPS Inputs'!AN37</f>
        <v>0</v>
      </c>
      <c r="AO7">
        <f>'EPS Inputs'!AO37</f>
        <v>0</v>
      </c>
      <c r="AP7">
        <f>'EPS Inputs'!AP37</f>
        <v>0</v>
      </c>
      <c r="AQ7">
        <f>'EPS Inputs'!AQ37</f>
        <v>0</v>
      </c>
      <c r="AR7">
        <f>'EPS Inputs'!AR37</f>
        <v>0</v>
      </c>
      <c r="AS7">
        <f>'EPS Inputs'!AS37</f>
        <v>0</v>
      </c>
      <c r="AT7">
        <f>'EPS Inputs'!AT37</f>
        <v>0</v>
      </c>
      <c r="AU7">
        <f>'EPS Inputs'!AU37</f>
        <v>0</v>
      </c>
      <c r="AV7">
        <f>'EPS Inputs'!AV37</f>
        <v>0</v>
      </c>
      <c r="AW7">
        <f>'EPS Inputs'!AW37</f>
        <v>0</v>
      </c>
      <c r="AX7">
        <f>'EPS Inputs'!AX37</f>
        <v>0</v>
      </c>
      <c r="AY7">
        <f>'EPS Inputs'!AY37</f>
        <v>0</v>
      </c>
      <c r="AZ7">
        <f>'EPS Inputs'!AZ37</f>
        <v>0</v>
      </c>
      <c r="BA7">
        <f>'EPS Inputs'!BA37</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About</vt:lpstr>
      <vt:lpstr>LBNL 2021 Res Costs</vt:lpstr>
      <vt:lpstr>BEEx 2015 MF Costs</vt:lpstr>
      <vt:lpstr>PNNL Office Measures</vt:lpstr>
      <vt:lpstr>BEA 2017 Margins</vt:lpstr>
      <vt:lpstr>NAICS-ISIC Concordance</vt:lpstr>
      <vt:lpstr>EPS Inputs</vt:lpstr>
      <vt:lpstr>Calcs</vt:lpstr>
      <vt:lpstr>Checks</vt:lpstr>
      <vt:lpstr>SoBRCbIC-urbanresidential</vt:lpstr>
      <vt:lpstr>SoBRCbIC-ruralresidential</vt:lpstr>
      <vt:lpstr>SoBRCbIC-commercial</vt:lpstr>
      <vt:lpstr>SoBRCbIC-data-centers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2026-10-27T00:59:05Z</dcterms:created>
  <dcterms:modified xsi:type="dcterms:W3CDTF">2026-10-27T00:59:09Z</dcterms:modified>
</cp:coreProperties>
</file>