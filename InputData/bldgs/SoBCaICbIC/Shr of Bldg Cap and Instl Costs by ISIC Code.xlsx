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obbieOrvis\Models\EPS Structure Research\eps-us-dc-replay\InputData\bldgs\SoBCaICbIC\"/>
    </mc:Choice>
  </mc:AlternateContent>
  <xr:revisionPtr revIDLastSave="0" documentId="13_ncr:1_{FA76C135-2F68-4C2C-8E03-2AC90D2C2028}" xr6:coauthVersionLast="47" xr6:coauthVersionMax="47" xr10:uidLastSave="{00000000-0000-0000-0000-000000000000}"/>
  <bookViews>
    <workbookView xWindow="-120" yWindow="-120" windowWidth="57840" windowHeight="23520" tabRatio="940" activeTab="19" xr2:uid="{00000000-000D-0000-FFFF-FFFF00000000}"/>
  </bookViews>
  <sheets>
    <sheet name="About" sheetId="1" r:id="rId1"/>
    <sheet name="Factors applied" sheetId="2" r:id="rId2"/>
    <sheet name="source data&gt;" sheetId="3" r:id="rId3"/>
    <sheet name="OECD Mapping" sheetId="4" r:id="rId4"/>
    <sheet name="ISIC Code Mapping" sheetId="5" r:id="rId5"/>
    <sheet name="Cost Summary New" sheetId="6" r:id="rId6"/>
    <sheet name="COM_NEMS Cost" sheetId="7" r:id="rId7"/>
    <sheet name="calcs&gt;" sheetId="8" r:id="rId8"/>
    <sheet name="Summary_Com Appliances" sheetId="9" r:id="rId9"/>
    <sheet name="Summary_Res Appliances" sheetId="10" r:id="rId10"/>
    <sheet name="Cost Breakdowns" sheetId="11" r:id="rId11"/>
    <sheet name="TableB39" sheetId="12" state="hidden" r:id="rId12"/>
    <sheet name="TableB44" sheetId="13" state="hidden" r:id="rId13"/>
    <sheet name="TableB42" sheetId="14" state="hidden" r:id="rId14"/>
    <sheet name="AEO26 Table 21" sheetId="15" r:id="rId15"/>
    <sheet name="Checks" sheetId="16" r:id="rId16"/>
    <sheet name="SoBCaICbIC-urbanresidential" sheetId="17" r:id="rId17"/>
    <sheet name="SoBCaICbIC-ruralresidential" sheetId="18" r:id="rId18"/>
    <sheet name="SoBCaICbIC-commercial" sheetId="19" r:id="rId19"/>
    <sheet name="SoBCaICbIC-data-centers" sheetId="20" r:id="rId20"/>
  </sheets>
  <definedNames>
    <definedName name="_xlnm.Print_Titles" localSheetId="11">TableB39!$2:$6</definedName>
    <definedName name="_xlnm.Print_Titles" localSheetId="13">TableB42!$2:$6</definedName>
    <definedName name="_xlnm.Print_Titles" localSheetId="12">TableB44!$2:$6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4" i="19" l="1"/>
  <c r="BA4" i="20" s="1"/>
  <c r="AZ4" i="19"/>
  <c r="AZ4" i="20" s="1"/>
  <c r="AY4" i="19"/>
  <c r="AY4" i="20" s="1"/>
  <c r="AX4" i="19"/>
  <c r="AX4" i="20" s="1"/>
  <c r="AW4" i="19"/>
  <c r="AW4" i="20" s="1"/>
  <c r="AV4" i="19"/>
  <c r="AV4" i="20" s="1"/>
  <c r="AU4" i="19"/>
  <c r="AU4" i="20" s="1"/>
  <c r="AT4" i="19"/>
  <c r="AT4" i="20" s="1"/>
  <c r="AS4" i="19"/>
  <c r="AS4" i="20" s="1"/>
  <c r="AR4" i="19"/>
  <c r="AR4" i="20" s="1"/>
  <c r="AQ4" i="19"/>
  <c r="AQ4" i="20" s="1"/>
  <c r="AP4" i="19"/>
  <c r="AP4" i="20" s="1"/>
  <c r="AO4" i="19"/>
  <c r="AO4" i="20" s="1"/>
  <c r="AN4" i="19"/>
  <c r="AN4" i="20" s="1"/>
  <c r="AM4" i="19"/>
  <c r="AM4" i="20" s="1"/>
  <c r="AL4" i="19"/>
  <c r="AL4" i="20" s="1"/>
  <c r="AK4" i="19"/>
  <c r="AK4" i="20" s="1"/>
  <c r="AJ4" i="19"/>
  <c r="AJ4" i="20" s="1"/>
  <c r="AI4" i="19"/>
  <c r="AI4" i="20" s="1"/>
  <c r="AH4" i="19"/>
  <c r="AH4" i="20" s="1"/>
  <c r="AG4" i="19"/>
  <c r="AG4" i="20" s="1"/>
  <c r="AF4" i="19"/>
  <c r="AF4" i="20" s="1"/>
  <c r="AE4" i="19"/>
  <c r="AE4" i="20" s="1"/>
  <c r="AD4" i="19"/>
  <c r="AD4" i="20" s="1"/>
  <c r="AC4" i="19"/>
  <c r="AC4" i="20" s="1"/>
  <c r="AB4" i="19"/>
  <c r="AB4" i="20" s="1"/>
  <c r="AA4" i="19"/>
  <c r="AA4" i="20" s="1"/>
  <c r="Z4" i="19"/>
  <c r="Z4" i="20" s="1"/>
  <c r="Y4" i="19"/>
  <c r="Y4" i="20" s="1"/>
  <c r="X4" i="19"/>
  <c r="X4" i="20" s="1"/>
  <c r="W4" i="19"/>
  <c r="W4" i="20" s="1"/>
  <c r="V4" i="19"/>
  <c r="V4" i="20" s="1"/>
  <c r="U4" i="19"/>
  <c r="U4" i="20" s="1"/>
  <c r="T4" i="19"/>
  <c r="T4" i="20" s="1"/>
  <c r="S4" i="19"/>
  <c r="S4" i="20" s="1"/>
  <c r="R4" i="19"/>
  <c r="R4" i="20" s="1"/>
  <c r="Q4" i="19"/>
  <c r="Q4" i="20" s="1"/>
  <c r="P4" i="19"/>
  <c r="P4" i="20" s="1"/>
  <c r="O4" i="19"/>
  <c r="O4" i="20" s="1"/>
  <c r="N4" i="19"/>
  <c r="N4" i="20" s="1"/>
  <c r="M4" i="19"/>
  <c r="M4" i="20" s="1"/>
  <c r="L4" i="19"/>
  <c r="L4" i="20" s="1"/>
  <c r="K4" i="19"/>
  <c r="K4" i="20" s="1"/>
  <c r="J4" i="19"/>
  <c r="J4" i="20" s="1"/>
  <c r="I4" i="19"/>
  <c r="I4" i="20" s="1"/>
  <c r="H4" i="19"/>
  <c r="H4" i="20" s="1"/>
  <c r="G4" i="19"/>
  <c r="G4" i="20" s="1"/>
  <c r="F4" i="19"/>
  <c r="F4" i="20" s="1"/>
  <c r="E4" i="19"/>
  <c r="E4" i="20" s="1"/>
  <c r="D4" i="19"/>
  <c r="D4" i="20" s="1"/>
  <c r="C4" i="19"/>
  <c r="C4" i="20" s="1"/>
  <c r="B4" i="19"/>
  <c r="B4" i="20" s="1"/>
  <c r="BA4" i="18"/>
  <c r="AZ4" i="18"/>
  <c r="AY4" i="18"/>
  <c r="AX4" i="18"/>
  <c r="AW4" i="18"/>
  <c r="AV4" i="18"/>
  <c r="AU4" i="18"/>
  <c r="AT4" i="18"/>
  <c r="AS4" i="18"/>
  <c r="AR4" i="18"/>
  <c r="AQ4" i="18"/>
  <c r="AP4" i="18"/>
  <c r="AO4" i="18"/>
  <c r="AN4" i="18"/>
  <c r="AM4" i="18"/>
  <c r="AL4" i="18"/>
  <c r="AK4" i="18"/>
  <c r="AJ4" i="18"/>
  <c r="AI4" i="18"/>
  <c r="AH4" i="18"/>
  <c r="AG4" i="18"/>
  <c r="AF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B4" i="18"/>
  <c r="BA4" i="17"/>
  <c r="AZ4" i="17"/>
  <c r="AY4" i="17"/>
  <c r="AX4" i="17"/>
  <c r="AW4" i="17"/>
  <c r="AV4" i="17"/>
  <c r="AU4" i="17"/>
  <c r="AT4" i="17"/>
  <c r="AS4" i="17"/>
  <c r="AR4" i="17"/>
  <c r="AQ4" i="17"/>
  <c r="AP4" i="17"/>
  <c r="AO4" i="17"/>
  <c r="AN4" i="17"/>
  <c r="AM4" i="17"/>
  <c r="AL4" i="17"/>
  <c r="AK4" i="17"/>
  <c r="AJ4" i="17"/>
  <c r="AI4" i="17"/>
  <c r="AH4" i="17"/>
  <c r="AG4" i="17"/>
  <c r="AF4" i="17"/>
  <c r="AE4" i="17"/>
  <c r="AD4" i="17"/>
  <c r="AC4" i="17"/>
  <c r="AB4" i="17"/>
  <c r="AA4" i="17"/>
  <c r="Z4" i="17"/>
  <c r="Y4" i="17"/>
  <c r="X4" i="17"/>
  <c r="W4" i="17"/>
  <c r="V4" i="17"/>
  <c r="U4" i="17"/>
  <c r="T4" i="17"/>
  <c r="S4" i="17"/>
  <c r="R4" i="17"/>
  <c r="Q4" i="17"/>
  <c r="P4" i="17"/>
  <c r="O4" i="17"/>
  <c r="N4" i="17"/>
  <c r="M4" i="17"/>
  <c r="L4" i="17"/>
  <c r="K4" i="17"/>
  <c r="J4" i="17"/>
  <c r="I4" i="17"/>
  <c r="H4" i="17"/>
  <c r="G4" i="17"/>
  <c r="F4" i="17"/>
  <c r="E4" i="17"/>
  <c r="D4" i="17"/>
  <c r="C4" i="17"/>
  <c r="B4" i="17"/>
  <c r="B111" i="16"/>
  <c r="C111" i="16" s="1"/>
  <c r="B110" i="16"/>
  <c r="C110" i="16" s="1"/>
  <c r="B109" i="16"/>
  <c r="C109" i="16" s="1"/>
  <c r="B108" i="16"/>
  <c r="C108" i="16" s="1"/>
  <c r="B107" i="16"/>
  <c r="C107" i="16" s="1"/>
  <c r="B106" i="16"/>
  <c r="C106" i="16" s="1"/>
  <c r="B105" i="16"/>
  <c r="C105" i="16" s="1"/>
  <c r="B104" i="16"/>
  <c r="C104" i="16" s="1"/>
  <c r="B103" i="16"/>
  <c r="C103" i="16" s="1"/>
  <c r="B102" i="16"/>
  <c r="C102" i="16" s="1"/>
  <c r="B101" i="16"/>
  <c r="C101" i="16" s="1"/>
  <c r="B100" i="16"/>
  <c r="C100" i="16" s="1"/>
  <c r="B99" i="16"/>
  <c r="C99" i="16" s="1"/>
  <c r="B98" i="16"/>
  <c r="C98" i="16" s="1"/>
  <c r="B97" i="16"/>
  <c r="C97" i="16" s="1"/>
  <c r="B96" i="16"/>
  <c r="C96" i="16" s="1"/>
  <c r="B95" i="16"/>
  <c r="C95" i="16" s="1"/>
  <c r="B94" i="16"/>
  <c r="C94" i="16" s="1"/>
  <c r="B93" i="16"/>
  <c r="C93" i="16" s="1"/>
  <c r="B92" i="16"/>
  <c r="C92" i="16" s="1"/>
  <c r="B91" i="16"/>
  <c r="C91" i="16" s="1"/>
  <c r="B90" i="16"/>
  <c r="C90" i="16" s="1"/>
  <c r="B89" i="16"/>
  <c r="C89" i="16" s="1"/>
  <c r="B88" i="16"/>
  <c r="C88" i="16" s="1"/>
  <c r="B87" i="16"/>
  <c r="C87" i="16" s="1"/>
  <c r="B86" i="16"/>
  <c r="C86" i="16" s="1"/>
  <c r="B85" i="16"/>
  <c r="C85" i="16" s="1"/>
  <c r="B84" i="16"/>
  <c r="C84" i="16" s="1"/>
  <c r="B83" i="16"/>
  <c r="C83" i="16" s="1"/>
  <c r="B82" i="16"/>
  <c r="C82" i="16" s="1"/>
  <c r="B81" i="16"/>
  <c r="C81" i="16" s="1"/>
  <c r="B80" i="16"/>
  <c r="C80" i="16" s="1"/>
  <c r="B79" i="16"/>
  <c r="C79" i="16" s="1"/>
  <c r="B78" i="16"/>
  <c r="C78" i="16" s="1"/>
  <c r="B77" i="16"/>
  <c r="C77" i="16" s="1"/>
  <c r="B76" i="16"/>
  <c r="C76" i="16" s="1"/>
  <c r="B75" i="16"/>
  <c r="C75" i="16" s="1"/>
  <c r="B74" i="16"/>
  <c r="C74" i="16" s="1"/>
  <c r="B73" i="16"/>
  <c r="C73" i="16" s="1"/>
  <c r="B72" i="16"/>
  <c r="C72" i="16" s="1"/>
  <c r="B71" i="16"/>
  <c r="C71" i="16" s="1"/>
  <c r="B70" i="16"/>
  <c r="C70" i="16" s="1"/>
  <c r="B69" i="16"/>
  <c r="C69" i="16" s="1"/>
  <c r="B68" i="16"/>
  <c r="C68" i="16" s="1"/>
  <c r="B67" i="16"/>
  <c r="C67" i="16" s="1"/>
  <c r="B66" i="16"/>
  <c r="C66" i="16" s="1"/>
  <c r="B65" i="16"/>
  <c r="C65" i="16" s="1"/>
  <c r="B64" i="16"/>
  <c r="C64" i="16" s="1"/>
  <c r="B63" i="16"/>
  <c r="C63" i="16" s="1"/>
  <c r="B62" i="16"/>
  <c r="C62" i="16" s="1"/>
  <c r="B61" i="16"/>
  <c r="C61" i="16" s="1"/>
  <c r="B60" i="16"/>
  <c r="C60" i="16" s="1"/>
  <c r="B59" i="16"/>
  <c r="C59" i="16" s="1"/>
  <c r="B58" i="16"/>
  <c r="C58" i="16" s="1"/>
  <c r="B57" i="16"/>
  <c r="C57" i="16" s="1"/>
  <c r="B56" i="16"/>
  <c r="C56" i="16" s="1"/>
  <c r="B55" i="16"/>
  <c r="C55" i="16" s="1"/>
  <c r="B54" i="16"/>
  <c r="C54" i="16" s="1"/>
  <c r="B53" i="16"/>
  <c r="C53" i="16" s="1"/>
  <c r="B52" i="16"/>
  <c r="C52" i="16" s="1"/>
  <c r="B51" i="16"/>
  <c r="C51" i="16" s="1"/>
  <c r="B50" i="16"/>
  <c r="C50" i="16" s="1"/>
  <c r="B49" i="16"/>
  <c r="C49" i="16" s="1"/>
  <c r="B48" i="16"/>
  <c r="C48" i="16" s="1"/>
  <c r="B47" i="16"/>
  <c r="C47" i="16" s="1"/>
  <c r="B46" i="16"/>
  <c r="C46" i="16" s="1"/>
  <c r="B45" i="16"/>
  <c r="C45" i="16" s="1"/>
  <c r="B44" i="16"/>
  <c r="C44" i="16" s="1"/>
  <c r="B43" i="16"/>
  <c r="C43" i="16" s="1"/>
  <c r="B42" i="16"/>
  <c r="C42" i="16" s="1"/>
  <c r="B41" i="16"/>
  <c r="C41" i="16" s="1"/>
  <c r="B40" i="16"/>
  <c r="C40" i="16" s="1"/>
  <c r="B39" i="16"/>
  <c r="C39" i="16" s="1"/>
  <c r="B38" i="16"/>
  <c r="C38" i="16" s="1"/>
  <c r="B37" i="16"/>
  <c r="C37" i="16" s="1"/>
  <c r="B36" i="16"/>
  <c r="C36" i="16" s="1"/>
  <c r="B35" i="16"/>
  <c r="C35" i="16" s="1"/>
  <c r="B34" i="16"/>
  <c r="C34" i="16" s="1"/>
  <c r="B33" i="16"/>
  <c r="C33" i="16" s="1"/>
  <c r="B32" i="16"/>
  <c r="C32" i="16" s="1"/>
  <c r="B31" i="16"/>
  <c r="C31" i="16" s="1"/>
  <c r="B30" i="16"/>
  <c r="C30" i="16" s="1"/>
  <c r="B29" i="16"/>
  <c r="C29" i="16" s="1"/>
  <c r="B28" i="16"/>
  <c r="C28" i="16" s="1"/>
  <c r="B27" i="16"/>
  <c r="C27" i="16" s="1"/>
  <c r="B26" i="16"/>
  <c r="C26" i="16" s="1"/>
  <c r="B25" i="16"/>
  <c r="C25" i="16" s="1"/>
  <c r="B24" i="16"/>
  <c r="C24" i="16" s="1"/>
  <c r="B23" i="16"/>
  <c r="C23" i="16" s="1"/>
  <c r="B22" i="16"/>
  <c r="C22" i="16" s="1"/>
  <c r="B21" i="16"/>
  <c r="C21" i="16" s="1"/>
  <c r="B20" i="16"/>
  <c r="C20" i="16" s="1"/>
  <c r="B19" i="16"/>
  <c r="C19" i="16" s="1"/>
  <c r="B18" i="16"/>
  <c r="C18" i="16" s="1"/>
  <c r="B17" i="16"/>
  <c r="C17" i="16" s="1"/>
  <c r="B16" i="16"/>
  <c r="C16" i="16" s="1"/>
  <c r="B15" i="16"/>
  <c r="C15" i="16" s="1"/>
  <c r="B14" i="16"/>
  <c r="C14" i="16" s="1"/>
  <c r="B13" i="16"/>
  <c r="C13" i="16" s="1"/>
  <c r="B12" i="16"/>
  <c r="C12" i="16" s="1"/>
  <c r="B11" i="16"/>
  <c r="C11" i="16" s="1"/>
  <c r="B10" i="16"/>
  <c r="C10" i="16" s="1"/>
  <c r="B9" i="16"/>
  <c r="C9" i="16" s="1"/>
  <c r="B8" i="16"/>
  <c r="C8" i="16" s="1"/>
  <c r="B7" i="16"/>
  <c r="C7" i="16" s="1"/>
  <c r="B6" i="16"/>
  <c r="C6" i="16" s="1"/>
  <c r="B5" i="16"/>
  <c r="C5" i="16" s="1"/>
  <c r="B4" i="16"/>
  <c r="C4" i="16" s="1"/>
  <c r="I41" i="10"/>
  <c r="E41" i="10"/>
  <c r="I40" i="10"/>
  <c r="E40" i="10"/>
  <c r="I39" i="10"/>
  <c r="E39" i="10"/>
  <c r="I38" i="10"/>
  <c r="E38" i="10"/>
  <c r="F38" i="10" s="1"/>
  <c r="I37" i="10"/>
  <c r="E37" i="10"/>
  <c r="F37" i="10" s="1"/>
  <c r="G37" i="10" s="1"/>
  <c r="D33" i="6" s="1"/>
  <c r="E33" i="6" s="1"/>
  <c r="I36" i="10"/>
  <c r="E36" i="10"/>
  <c r="I35" i="10"/>
  <c r="E35" i="10"/>
  <c r="I34" i="10"/>
  <c r="E34" i="10"/>
  <c r="F34" i="10" s="1"/>
  <c r="I33" i="10"/>
  <c r="E33" i="10"/>
  <c r="I32" i="10"/>
  <c r="E32" i="10"/>
  <c r="F32" i="10" s="1"/>
  <c r="I31" i="10"/>
  <c r="E31" i="10"/>
  <c r="F31" i="10" s="1"/>
  <c r="I30" i="10"/>
  <c r="E30" i="10"/>
  <c r="I29" i="10"/>
  <c r="E29" i="10"/>
  <c r="F29" i="10" s="1"/>
  <c r="I28" i="10"/>
  <c r="E28" i="10"/>
  <c r="I27" i="10"/>
  <c r="E27" i="10"/>
  <c r="F27" i="10" s="1"/>
  <c r="I26" i="10"/>
  <c r="E26" i="10"/>
  <c r="I25" i="10"/>
  <c r="E25" i="10"/>
  <c r="I24" i="10"/>
  <c r="E24" i="10"/>
  <c r="I23" i="10"/>
  <c r="E23" i="10"/>
  <c r="I22" i="10"/>
  <c r="E22" i="10"/>
  <c r="F22" i="10" s="1"/>
  <c r="I21" i="10"/>
  <c r="E21" i="10"/>
  <c r="I20" i="10"/>
  <c r="E20" i="10"/>
  <c r="I19" i="10"/>
  <c r="E19" i="10"/>
  <c r="F19" i="10" s="1"/>
  <c r="I18" i="10"/>
  <c r="E18" i="10"/>
  <c r="F18" i="10" s="1"/>
  <c r="I17" i="10"/>
  <c r="E17" i="10"/>
  <c r="I16" i="10"/>
  <c r="E16" i="10"/>
  <c r="I15" i="10"/>
  <c r="E15" i="10"/>
  <c r="F15" i="10" s="1"/>
  <c r="I14" i="10"/>
  <c r="E14" i="10"/>
  <c r="F14" i="10" s="1"/>
  <c r="I13" i="10"/>
  <c r="E13" i="10"/>
  <c r="F13" i="10" s="1"/>
  <c r="I12" i="10"/>
  <c r="E12" i="10"/>
  <c r="F12" i="10" s="1"/>
  <c r="I11" i="10"/>
  <c r="E11" i="10"/>
  <c r="F11" i="10" s="1"/>
  <c r="I10" i="10"/>
  <c r="E10" i="10"/>
  <c r="F10" i="10" s="1"/>
  <c r="I9" i="10"/>
  <c r="E9" i="10"/>
  <c r="I8" i="10"/>
  <c r="E8" i="10"/>
  <c r="F8" i="10" s="1"/>
  <c r="I7" i="10"/>
  <c r="E7" i="10"/>
  <c r="I6" i="10"/>
  <c r="E6" i="10"/>
  <c r="I5" i="10"/>
  <c r="I4" i="10"/>
  <c r="I50" i="9"/>
  <c r="C50" i="9"/>
  <c r="I49" i="9"/>
  <c r="C49" i="9"/>
  <c r="I48" i="9"/>
  <c r="C48" i="9"/>
  <c r="I47" i="9"/>
  <c r="C47" i="9"/>
  <c r="I46" i="9"/>
  <c r="C46" i="9"/>
  <c r="I43" i="9"/>
  <c r="I42" i="9"/>
  <c r="C42" i="9"/>
  <c r="I41" i="9"/>
  <c r="C41" i="9"/>
  <c r="I40" i="9"/>
  <c r="C40" i="9"/>
  <c r="I39" i="9"/>
  <c r="C39" i="9"/>
  <c r="I38" i="9"/>
  <c r="C38" i="9"/>
  <c r="I37" i="9"/>
  <c r="C37" i="9"/>
  <c r="I36" i="9"/>
  <c r="C36" i="9"/>
  <c r="I35" i="9"/>
  <c r="C35" i="9"/>
  <c r="I34" i="9"/>
  <c r="C34" i="9"/>
  <c r="I33" i="9"/>
  <c r="C33" i="9"/>
  <c r="I32" i="9"/>
  <c r="C32" i="9"/>
  <c r="I31" i="9"/>
  <c r="C31" i="9"/>
  <c r="I30" i="9"/>
  <c r="C30" i="9"/>
  <c r="I29" i="9"/>
  <c r="C29" i="9"/>
  <c r="I28" i="9"/>
  <c r="C28" i="9"/>
  <c r="I27" i="9"/>
  <c r="C27" i="9"/>
  <c r="I26" i="9"/>
  <c r="C26" i="9"/>
  <c r="I25" i="9"/>
  <c r="C25" i="9"/>
  <c r="I24" i="9"/>
  <c r="C24" i="9"/>
  <c r="I23" i="9"/>
  <c r="C23" i="9"/>
  <c r="I22" i="9"/>
  <c r="C22" i="9"/>
  <c r="I21" i="9"/>
  <c r="C21" i="9"/>
  <c r="I20" i="9"/>
  <c r="C20" i="9"/>
  <c r="I19" i="9"/>
  <c r="C19" i="9"/>
  <c r="I18" i="9"/>
  <c r="C18" i="9"/>
  <c r="I17" i="9"/>
  <c r="C17" i="9"/>
  <c r="I16" i="9"/>
  <c r="C16" i="9"/>
  <c r="I15" i="9"/>
  <c r="C15" i="9"/>
  <c r="I14" i="9"/>
  <c r="C14" i="9"/>
  <c r="I13" i="9"/>
  <c r="C13" i="9"/>
  <c r="I12" i="9"/>
  <c r="C12" i="9"/>
  <c r="I11" i="9"/>
  <c r="C11" i="9"/>
  <c r="I10" i="9"/>
  <c r="C10" i="9"/>
  <c r="I9" i="9"/>
  <c r="C9" i="9"/>
  <c r="I8" i="9"/>
  <c r="C8" i="9"/>
  <c r="I7" i="9"/>
  <c r="C7" i="9"/>
  <c r="I6" i="9"/>
  <c r="C6" i="9"/>
  <c r="I5" i="9"/>
  <c r="C5" i="9"/>
  <c r="I4" i="9"/>
  <c r="C4" i="9"/>
  <c r="C103" i="6"/>
  <c r="C102" i="6"/>
  <c r="C101" i="6"/>
  <c r="E100" i="6"/>
  <c r="C98" i="6"/>
  <c r="C97" i="6"/>
  <c r="C96" i="6"/>
  <c r="E95" i="6"/>
  <c r="C91" i="6"/>
  <c r="C90" i="6"/>
  <c r="C89" i="6"/>
  <c r="C67" i="6"/>
  <c r="C64" i="6"/>
  <c r="C59" i="6"/>
  <c r="C56" i="6"/>
  <c r="C51" i="6"/>
  <c r="C48" i="6"/>
  <c r="E39" i="6"/>
  <c r="E34" i="6"/>
  <c r="F34" i="6" s="1"/>
  <c r="D30" i="6"/>
  <c r="E30" i="6" s="1"/>
  <c r="D29" i="6"/>
  <c r="E29" i="6" s="1"/>
  <c r="D28" i="6"/>
  <c r="E28" i="6" s="1"/>
  <c r="D27" i="6"/>
  <c r="E27" i="6" s="1"/>
  <c r="E26" i="6" s="1"/>
  <c r="F26" i="6" s="1"/>
  <c r="D25" i="6"/>
  <c r="E25" i="6" s="1"/>
  <c r="D24" i="6"/>
  <c r="E24" i="6" s="1"/>
  <c r="D23" i="6"/>
  <c r="E23" i="6" s="1"/>
  <c r="D17" i="6"/>
  <c r="E17" i="6" s="1"/>
  <c r="D16" i="6"/>
  <c r="E16" i="6" s="1"/>
  <c r="D13" i="6"/>
  <c r="E13" i="6" s="1"/>
  <c r="D12" i="6"/>
  <c r="E12" i="6" s="1"/>
  <c r="D11" i="6"/>
  <c r="E11" i="6" s="1"/>
  <c r="D10" i="6"/>
  <c r="E10" i="6" s="1"/>
  <c r="D9" i="6"/>
  <c r="E9" i="6" s="1"/>
  <c r="D7" i="6"/>
  <c r="E7" i="6" s="1"/>
  <c r="G3" i="5"/>
  <c r="F12" i="11" s="1"/>
  <c r="F3" i="5"/>
  <c r="F10" i="11" s="1"/>
  <c r="E3" i="5"/>
  <c r="F8" i="11" s="1"/>
  <c r="D3" i="5"/>
  <c r="C3" i="5"/>
  <c r="F6" i="11" s="1"/>
  <c r="B3" i="5"/>
  <c r="F4" i="11" s="1"/>
  <c r="G2" i="5"/>
  <c r="F11" i="11" s="1"/>
  <c r="F2" i="5"/>
  <c r="F9" i="11" s="1"/>
  <c r="E2" i="5"/>
  <c r="F7" i="11" s="1"/>
  <c r="D2" i="5"/>
  <c r="C2" i="5"/>
  <c r="F5" i="11" s="1"/>
  <c r="B2" i="5"/>
  <c r="F3" i="11" s="1"/>
  <c r="F26" i="10" l="1"/>
  <c r="F33" i="10"/>
  <c r="F28" i="10"/>
  <c r="G38" i="10"/>
  <c r="F36" i="10"/>
  <c r="G36" i="10" s="1"/>
  <c r="D32" i="6" s="1"/>
  <c r="E32" i="6" s="1"/>
  <c r="E31" i="6" s="1"/>
  <c r="F25" i="10"/>
  <c r="G29" i="10"/>
  <c r="F24" i="10"/>
  <c r="F21" i="10"/>
  <c r="F20" i="10"/>
  <c r="G22" i="10"/>
  <c r="F17" i="10"/>
  <c r="F9" i="10"/>
  <c r="F7" i="10"/>
  <c r="F6" i="10"/>
  <c r="G15" i="10"/>
  <c r="D51" i="9"/>
  <c r="D46" i="9" s="1"/>
  <c r="E51" i="9"/>
  <c r="C51" i="9"/>
  <c r="E43" i="9"/>
  <c r="D43" i="9"/>
  <c r="D4" i="9" s="1"/>
  <c r="F100" i="6"/>
  <c r="E8" i="11" s="1"/>
  <c r="AG5" i="19" s="1"/>
  <c r="AG5" i="20" s="1"/>
  <c r="E7" i="11"/>
  <c r="X5" i="19" s="1"/>
  <c r="X5" i="20" s="1"/>
  <c r="F95" i="6"/>
  <c r="E6" i="11" s="1"/>
  <c r="AG3" i="19" s="1"/>
  <c r="AG3" i="20" s="1"/>
  <c r="E5" i="11"/>
  <c r="Y3" i="19" s="1"/>
  <c r="Y3" i="20" s="1"/>
  <c r="C7" i="11"/>
  <c r="X5" i="17" s="1"/>
  <c r="F39" i="6"/>
  <c r="D7" i="11"/>
  <c r="X5" i="18" s="1"/>
  <c r="B7" i="17"/>
  <c r="E7" i="17"/>
  <c r="H7" i="17"/>
  <c r="K7" i="17"/>
  <c r="M7" i="17"/>
  <c r="P7" i="17"/>
  <c r="S7" i="17"/>
  <c r="V7" i="17"/>
  <c r="AA7" i="17"/>
  <c r="AD7" i="17"/>
  <c r="AF7" i="17"/>
  <c r="AI7" i="17"/>
  <c r="AL7" i="17"/>
  <c r="AO7" i="17"/>
  <c r="AQ7" i="17"/>
  <c r="AS7" i="17"/>
  <c r="AV7" i="17"/>
  <c r="AX7" i="17"/>
  <c r="BA7" i="17"/>
  <c r="B7" i="19"/>
  <c r="B7" i="20" s="1"/>
  <c r="C7" i="19"/>
  <c r="C7" i="20" s="1"/>
  <c r="D7" i="19"/>
  <c r="D7" i="20" s="1"/>
  <c r="E7" i="19"/>
  <c r="E7" i="20" s="1"/>
  <c r="F7" i="19"/>
  <c r="F7" i="20" s="1"/>
  <c r="G7" i="19"/>
  <c r="G7" i="20" s="1"/>
  <c r="H7" i="19"/>
  <c r="H7" i="20" s="1"/>
  <c r="I7" i="19"/>
  <c r="I7" i="20" s="1"/>
  <c r="J7" i="19"/>
  <c r="J7" i="20" s="1"/>
  <c r="K7" i="19"/>
  <c r="K7" i="20" s="1"/>
  <c r="L7" i="19"/>
  <c r="L7" i="20" s="1"/>
  <c r="M7" i="19"/>
  <c r="M7" i="20" s="1"/>
  <c r="N7" i="19"/>
  <c r="N7" i="20" s="1"/>
  <c r="O7" i="19"/>
  <c r="O7" i="20" s="1"/>
  <c r="P7" i="19"/>
  <c r="P7" i="20" s="1"/>
  <c r="Q7" i="19"/>
  <c r="Q7" i="20" s="1"/>
  <c r="R7" i="19"/>
  <c r="R7" i="20" s="1"/>
  <c r="S7" i="19"/>
  <c r="S7" i="20" s="1"/>
  <c r="T7" i="19"/>
  <c r="T7" i="20" s="1"/>
  <c r="U7" i="19"/>
  <c r="U7" i="20" s="1"/>
  <c r="V7" i="19"/>
  <c r="V7" i="20" s="1"/>
  <c r="W7" i="19"/>
  <c r="W7" i="20" s="1"/>
  <c r="Y7" i="19"/>
  <c r="Y7" i="20" s="1"/>
  <c r="Z7" i="19"/>
  <c r="Z7" i="20" s="1"/>
  <c r="AA7" i="19"/>
  <c r="AA7" i="20" s="1"/>
  <c r="AB7" i="19"/>
  <c r="AB7" i="20" s="1"/>
  <c r="AC7" i="19"/>
  <c r="AC7" i="20" s="1"/>
  <c r="AD7" i="19"/>
  <c r="AD7" i="20" s="1"/>
  <c r="AE7" i="19"/>
  <c r="AE7" i="20" s="1"/>
  <c r="AF7" i="19"/>
  <c r="AF7" i="20" s="1"/>
  <c r="AH7" i="19"/>
  <c r="AH7" i="20" s="1"/>
  <c r="AI7" i="19"/>
  <c r="AI7" i="20" s="1"/>
  <c r="AJ7" i="19"/>
  <c r="AJ7" i="20" s="1"/>
  <c r="AK7" i="19"/>
  <c r="AK7" i="20" s="1"/>
  <c r="AL7" i="19"/>
  <c r="AL7" i="20" s="1"/>
  <c r="AM7" i="19"/>
  <c r="AM7" i="20" s="1"/>
  <c r="AN7" i="19"/>
  <c r="AN7" i="20" s="1"/>
  <c r="AO7" i="19"/>
  <c r="AO7" i="20" s="1"/>
  <c r="AP7" i="19"/>
  <c r="AP7" i="20" s="1"/>
  <c r="AQ7" i="19"/>
  <c r="AQ7" i="20" s="1"/>
  <c r="AR7" i="19"/>
  <c r="AR7" i="20" s="1"/>
  <c r="AS7" i="19"/>
  <c r="AS7" i="20" s="1"/>
  <c r="AT7" i="19"/>
  <c r="AT7" i="20" s="1"/>
  <c r="AU7" i="19"/>
  <c r="AU7" i="20" s="1"/>
  <c r="AV7" i="19"/>
  <c r="AV7" i="20" s="1"/>
  <c r="AW7" i="19"/>
  <c r="AW7" i="20" s="1"/>
  <c r="AX7" i="19"/>
  <c r="AX7" i="20" s="1"/>
  <c r="AY7" i="19"/>
  <c r="AY7" i="20" s="1"/>
  <c r="AZ7" i="19"/>
  <c r="AZ7" i="20" s="1"/>
  <c r="BA7" i="19"/>
  <c r="BA7" i="20" s="1"/>
  <c r="C7" i="17"/>
  <c r="F7" i="17"/>
  <c r="I7" i="17"/>
  <c r="N7" i="17"/>
  <c r="Q7" i="17"/>
  <c r="U7" i="17"/>
  <c r="Y7" i="17"/>
  <c r="AB7" i="17"/>
  <c r="AJ7" i="17"/>
  <c r="AM7" i="17"/>
  <c r="AR7" i="17"/>
  <c r="AU7" i="17"/>
  <c r="AY7" i="17"/>
  <c r="D7" i="17"/>
  <c r="G7" i="17"/>
  <c r="J7" i="17"/>
  <c r="L7" i="17"/>
  <c r="O7" i="17"/>
  <c r="R7" i="17"/>
  <c r="T7" i="17"/>
  <c r="W7" i="17"/>
  <c r="Z7" i="17"/>
  <c r="AC7" i="17"/>
  <c r="AE7" i="17"/>
  <c r="AH7" i="17"/>
  <c r="AK7" i="17"/>
  <c r="AN7" i="17"/>
  <c r="AP7" i="17"/>
  <c r="AT7" i="17"/>
  <c r="AW7" i="17"/>
  <c r="AZ7" i="17"/>
  <c r="B7" i="18"/>
  <c r="C7" i="18"/>
  <c r="D7" i="18"/>
  <c r="E7" i="18"/>
  <c r="F7" i="18"/>
  <c r="G7" i="18"/>
  <c r="H7" i="18"/>
  <c r="I7" i="18"/>
  <c r="J7" i="18"/>
  <c r="K7" i="18"/>
  <c r="L7" i="18"/>
  <c r="M7" i="18"/>
  <c r="N7" i="18"/>
  <c r="O7" i="18"/>
  <c r="P7" i="18"/>
  <c r="Q7" i="18"/>
  <c r="R7" i="18"/>
  <c r="S7" i="18"/>
  <c r="T7" i="18"/>
  <c r="U7" i="18"/>
  <c r="V7" i="18"/>
  <c r="W7" i="18"/>
  <c r="Y7" i="18"/>
  <c r="Z7" i="18"/>
  <c r="AA7" i="18"/>
  <c r="AB7" i="18"/>
  <c r="AC7" i="18"/>
  <c r="AD7" i="18"/>
  <c r="AE7" i="18"/>
  <c r="AF7" i="18"/>
  <c r="AH7" i="18"/>
  <c r="AI7" i="18"/>
  <c r="AJ7" i="18"/>
  <c r="AK7" i="18"/>
  <c r="AL7" i="18"/>
  <c r="AM7" i="18"/>
  <c r="AN7" i="18"/>
  <c r="AO7" i="18"/>
  <c r="AP7" i="18"/>
  <c r="AQ7" i="18"/>
  <c r="AR7" i="18"/>
  <c r="AS7" i="18"/>
  <c r="AT7" i="18"/>
  <c r="AU7" i="18"/>
  <c r="AV7" i="18"/>
  <c r="AW7" i="18"/>
  <c r="AX7" i="18"/>
  <c r="AY7" i="18"/>
  <c r="AZ7" i="18"/>
  <c r="BA7" i="18"/>
  <c r="B6" i="17"/>
  <c r="E6" i="17"/>
  <c r="H6" i="17"/>
  <c r="J6" i="17"/>
  <c r="M6" i="17"/>
  <c r="P6" i="17"/>
  <c r="S6" i="17"/>
  <c r="U6" i="17"/>
  <c r="AA6" i="17"/>
  <c r="AD6" i="17"/>
  <c r="AE6" i="17"/>
  <c r="AH6" i="17"/>
  <c r="AK6" i="17"/>
  <c r="AN6" i="17"/>
  <c r="AP6" i="17"/>
  <c r="AS6" i="17"/>
  <c r="AV6" i="17"/>
  <c r="AX6" i="17"/>
  <c r="BA6" i="17"/>
  <c r="B6" i="18"/>
  <c r="C6" i="18"/>
  <c r="D6" i="18"/>
  <c r="E6" i="18"/>
  <c r="F6" i="18"/>
  <c r="G6" i="18"/>
  <c r="H6" i="18"/>
  <c r="I6" i="18"/>
  <c r="J6" i="18"/>
  <c r="K6" i="18"/>
  <c r="L6" i="18"/>
  <c r="M6" i="18"/>
  <c r="N6" i="18"/>
  <c r="O6" i="18"/>
  <c r="P6" i="18"/>
  <c r="Q6" i="18"/>
  <c r="R6" i="18"/>
  <c r="S6" i="18"/>
  <c r="T6" i="18"/>
  <c r="U6" i="18"/>
  <c r="V6" i="18"/>
  <c r="W6" i="18"/>
  <c r="Y6" i="18"/>
  <c r="Z6" i="18"/>
  <c r="AA6" i="18"/>
  <c r="AB6" i="18"/>
  <c r="AC6" i="18"/>
  <c r="AD6" i="18"/>
  <c r="AE6" i="18"/>
  <c r="AF6" i="18"/>
  <c r="AH6" i="18"/>
  <c r="AI6" i="18"/>
  <c r="AJ6" i="18"/>
  <c r="AK6" i="18"/>
  <c r="AL6" i="18"/>
  <c r="AM6" i="18"/>
  <c r="AN6" i="18"/>
  <c r="AO6" i="18"/>
  <c r="AP6" i="18"/>
  <c r="AQ6" i="18"/>
  <c r="AR6" i="18"/>
  <c r="AS6" i="18"/>
  <c r="AT6" i="18"/>
  <c r="AU6" i="18"/>
  <c r="AV6" i="18"/>
  <c r="AW6" i="18"/>
  <c r="AX6" i="18"/>
  <c r="AY6" i="18"/>
  <c r="AZ6" i="18"/>
  <c r="BA6" i="18"/>
  <c r="D6" i="17"/>
  <c r="G6" i="17"/>
  <c r="I6" i="17"/>
  <c r="L6" i="17"/>
  <c r="O6" i="17"/>
  <c r="Q6" i="17"/>
  <c r="T6" i="17"/>
  <c r="W6" i="17"/>
  <c r="Z6" i="17"/>
  <c r="AB6" i="17"/>
  <c r="AI6" i="17"/>
  <c r="AL6" i="17"/>
  <c r="AO6" i="17"/>
  <c r="AR6" i="17"/>
  <c r="AT6" i="17"/>
  <c r="AW6" i="17"/>
  <c r="AZ6" i="17"/>
  <c r="B6" i="19"/>
  <c r="B6" i="20" s="1"/>
  <c r="C6" i="19"/>
  <c r="C6" i="20" s="1"/>
  <c r="D6" i="19"/>
  <c r="D6" i="20" s="1"/>
  <c r="E6" i="19"/>
  <c r="E6" i="20" s="1"/>
  <c r="F6" i="19"/>
  <c r="F6" i="20" s="1"/>
  <c r="G6" i="19"/>
  <c r="G6" i="20" s="1"/>
  <c r="H6" i="19"/>
  <c r="H6" i="20" s="1"/>
  <c r="I6" i="19"/>
  <c r="I6" i="20" s="1"/>
  <c r="J6" i="19"/>
  <c r="J6" i="20" s="1"/>
  <c r="K6" i="19"/>
  <c r="K6" i="20" s="1"/>
  <c r="L6" i="19"/>
  <c r="L6" i="20" s="1"/>
  <c r="M6" i="19"/>
  <c r="M6" i="20" s="1"/>
  <c r="N6" i="19"/>
  <c r="N6" i="20" s="1"/>
  <c r="O6" i="19"/>
  <c r="O6" i="20" s="1"/>
  <c r="P6" i="19"/>
  <c r="P6" i="20" s="1"/>
  <c r="Q6" i="19"/>
  <c r="Q6" i="20" s="1"/>
  <c r="R6" i="19"/>
  <c r="R6" i="20" s="1"/>
  <c r="S6" i="19"/>
  <c r="S6" i="20" s="1"/>
  <c r="T6" i="19"/>
  <c r="T6" i="20" s="1"/>
  <c r="U6" i="19"/>
  <c r="U6" i="20" s="1"/>
  <c r="V6" i="19"/>
  <c r="V6" i="20" s="1"/>
  <c r="W6" i="19"/>
  <c r="W6" i="20" s="1"/>
  <c r="Y6" i="19"/>
  <c r="Y6" i="20" s="1"/>
  <c r="Z6" i="19"/>
  <c r="Z6" i="20" s="1"/>
  <c r="AA6" i="19"/>
  <c r="AA6" i="20" s="1"/>
  <c r="AB6" i="19"/>
  <c r="AB6" i="20" s="1"/>
  <c r="AC6" i="19"/>
  <c r="AC6" i="20" s="1"/>
  <c r="AD6" i="19"/>
  <c r="AD6" i="20" s="1"/>
  <c r="AE6" i="19"/>
  <c r="AE6" i="20" s="1"/>
  <c r="AF6" i="19"/>
  <c r="AF6" i="20" s="1"/>
  <c r="AH6" i="19"/>
  <c r="AH6" i="20" s="1"/>
  <c r="AI6" i="19"/>
  <c r="AI6" i="20" s="1"/>
  <c r="AJ6" i="19"/>
  <c r="AJ6" i="20" s="1"/>
  <c r="AK6" i="19"/>
  <c r="AK6" i="20" s="1"/>
  <c r="AL6" i="19"/>
  <c r="AL6" i="20" s="1"/>
  <c r="AM6" i="19"/>
  <c r="AM6" i="20" s="1"/>
  <c r="AN6" i="19"/>
  <c r="AN6" i="20" s="1"/>
  <c r="AO6" i="19"/>
  <c r="AO6" i="20" s="1"/>
  <c r="AP6" i="19"/>
  <c r="AP6" i="20" s="1"/>
  <c r="AQ6" i="19"/>
  <c r="AQ6" i="20" s="1"/>
  <c r="AR6" i="19"/>
  <c r="AR6" i="20" s="1"/>
  <c r="AS6" i="19"/>
  <c r="AS6" i="20" s="1"/>
  <c r="AT6" i="19"/>
  <c r="AT6" i="20" s="1"/>
  <c r="AU6" i="19"/>
  <c r="AU6" i="20" s="1"/>
  <c r="AV6" i="19"/>
  <c r="AV6" i="20" s="1"/>
  <c r="AW6" i="19"/>
  <c r="AW6" i="20" s="1"/>
  <c r="AX6" i="19"/>
  <c r="AX6" i="20" s="1"/>
  <c r="AY6" i="19"/>
  <c r="AY6" i="20" s="1"/>
  <c r="AZ6" i="19"/>
  <c r="AZ6" i="20" s="1"/>
  <c r="BA6" i="19"/>
  <c r="BA6" i="20" s="1"/>
  <c r="C6" i="17"/>
  <c r="F6" i="17"/>
  <c r="K6" i="17"/>
  <c r="N6" i="17"/>
  <c r="R6" i="17"/>
  <c r="V6" i="17"/>
  <c r="Y6" i="17"/>
  <c r="AC6" i="17"/>
  <c r="AF6" i="17"/>
  <c r="AJ6" i="17"/>
  <c r="AM6" i="17"/>
  <c r="AQ6" i="17"/>
  <c r="AU6" i="17"/>
  <c r="AY6" i="17"/>
  <c r="B5" i="17"/>
  <c r="E5" i="17"/>
  <c r="H5" i="17"/>
  <c r="I5" i="17"/>
  <c r="L5" i="17"/>
  <c r="O5" i="17"/>
  <c r="R5" i="17"/>
  <c r="T5" i="17"/>
  <c r="W5" i="17"/>
  <c r="AA5" i="17"/>
  <c r="AD5" i="17"/>
  <c r="AE5" i="17"/>
  <c r="AI5" i="17"/>
  <c r="AK5" i="17"/>
  <c r="AN5" i="17"/>
  <c r="AP5" i="17"/>
  <c r="AT5" i="17"/>
  <c r="AW5" i="17"/>
  <c r="AX5" i="17"/>
  <c r="BA5" i="17"/>
  <c r="P5" i="19"/>
  <c r="P5" i="20" s="1"/>
  <c r="Q5" i="19"/>
  <c r="Q5" i="20" s="1"/>
  <c r="R5" i="19"/>
  <c r="R5" i="20" s="1"/>
  <c r="S5" i="19"/>
  <c r="S5" i="20" s="1"/>
  <c r="T5" i="19"/>
  <c r="T5" i="20" s="1"/>
  <c r="U5" i="19"/>
  <c r="U5" i="20" s="1"/>
  <c r="V5" i="19"/>
  <c r="V5" i="20" s="1"/>
  <c r="W5" i="19"/>
  <c r="W5" i="20" s="1"/>
  <c r="Y5" i="19"/>
  <c r="Y5" i="20" s="1"/>
  <c r="Z5" i="19"/>
  <c r="Z5" i="20" s="1"/>
  <c r="AA5" i="19"/>
  <c r="AA5" i="20" s="1"/>
  <c r="AB5" i="19"/>
  <c r="AB5" i="20" s="1"/>
  <c r="AC5" i="19"/>
  <c r="AC5" i="20" s="1"/>
  <c r="AD5" i="19"/>
  <c r="AD5" i="20" s="1"/>
  <c r="AE5" i="19"/>
  <c r="AE5" i="20" s="1"/>
  <c r="AF5" i="19"/>
  <c r="AF5" i="20" s="1"/>
  <c r="AH5" i="19"/>
  <c r="AH5" i="20" s="1"/>
  <c r="AI5" i="19"/>
  <c r="AI5" i="20" s="1"/>
  <c r="AJ5" i="19"/>
  <c r="AJ5" i="20" s="1"/>
  <c r="AK5" i="19"/>
  <c r="AK5" i="20" s="1"/>
  <c r="AL5" i="19"/>
  <c r="AL5" i="20" s="1"/>
  <c r="AM5" i="19"/>
  <c r="AM5" i="20" s="1"/>
  <c r="AN5" i="19"/>
  <c r="AN5" i="20" s="1"/>
  <c r="AO5" i="19"/>
  <c r="AO5" i="20" s="1"/>
  <c r="AP5" i="19"/>
  <c r="AP5" i="20" s="1"/>
  <c r="AQ5" i="19"/>
  <c r="AQ5" i="20" s="1"/>
  <c r="AR5" i="19"/>
  <c r="AR5" i="20" s="1"/>
  <c r="AS5" i="19"/>
  <c r="AS5" i="20" s="1"/>
  <c r="AT5" i="19"/>
  <c r="AT5" i="20" s="1"/>
  <c r="AU5" i="19"/>
  <c r="AU5" i="20" s="1"/>
  <c r="AV5" i="19"/>
  <c r="AV5" i="20" s="1"/>
  <c r="AW5" i="19"/>
  <c r="AW5" i="20" s="1"/>
  <c r="AX5" i="19"/>
  <c r="AX5" i="20" s="1"/>
  <c r="AY5" i="19"/>
  <c r="AY5" i="20" s="1"/>
  <c r="AZ5" i="19"/>
  <c r="AZ5" i="20" s="1"/>
  <c r="BA5" i="19"/>
  <c r="BA5" i="20" s="1"/>
  <c r="C5" i="17"/>
  <c r="F5" i="17"/>
  <c r="K5" i="17"/>
  <c r="N5" i="17"/>
  <c r="Q5" i="17"/>
  <c r="V5" i="17"/>
  <c r="Y5" i="17"/>
  <c r="AB5" i="17"/>
  <c r="AJ5" i="17"/>
  <c r="AM5" i="17"/>
  <c r="AR5" i="17"/>
  <c r="AU5" i="17"/>
  <c r="AZ5" i="17"/>
  <c r="D5" i="17"/>
  <c r="G5" i="17"/>
  <c r="J5" i="17"/>
  <c r="M5" i="17"/>
  <c r="P5" i="17"/>
  <c r="S5" i="17"/>
  <c r="U5" i="17"/>
  <c r="Z5" i="17"/>
  <c r="AC5" i="17"/>
  <c r="AF5" i="17"/>
  <c r="AH5" i="17"/>
  <c r="AL5" i="17"/>
  <c r="AO5" i="17"/>
  <c r="AQ5" i="17"/>
  <c r="AS5" i="17"/>
  <c r="AV5" i="17"/>
  <c r="AY5" i="17"/>
  <c r="B5" i="18"/>
  <c r="C5" i="18"/>
  <c r="D5" i="18"/>
  <c r="E5" i="18"/>
  <c r="F5" i="18"/>
  <c r="G5" i="18"/>
  <c r="H5" i="18"/>
  <c r="I5" i="18"/>
  <c r="J5" i="18"/>
  <c r="K5" i="18"/>
  <c r="L5" i="18"/>
  <c r="M5" i="18"/>
  <c r="N5" i="18"/>
  <c r="O5" i="18"/>
  <c r="P5" i="18"/>
  <c r="Q5" i="18"/>
  <c r="R5" i="18"/>
  <c r="S5" i="18"/>
  <c r="T5" i="18"/>
  <c r="U5" i="18"/>
  <c r="V5" i="18"/>
  <c r="W5" i="18"/>
  <c r="Y5" i="18"/>
  <c r="Z5" i="18"/>
  <c r="AA5" i="18"/>
  <c r="AB5" i="18"/>
  <c r="AC5" i="18"/>
  <c r="AD5" i="18"/>
  <c r="AE5" i="18"/>
  <c r="AF5" i="18"/>
  <c r="AH5" i="18"/>
  <c r="AI5" i="18"/>
  <c r="AJ5" i="18"/>
  <c r="AK5" i="18"/>
  <c r="AL5" i="18"/>
  <c r="AM5" i="18"/>
  <c r="AN5" i="18"/>
  <c r="AO5" i="18"/>
  <c r="AP5" i="18"/>
  <c r="AQ5" i="18"/>
  <c r="AR5" i="18"/>
  <c r="AS5" i="18"/>
  <c r="AT5" i="18"/>
  <c r="AU5" i="18"/>
  <c r="AV5" i="18"/>
  <c r="AW5" i="18"/>
  <c r="AX5" i="18"/>
  <c r="AY5" i="18"/>
  <c r="AZ5" i="18"/>
  <c r="BA5" i="18"/>
  <c r="B5" i="19"/>
  <c r="B5" i="20" s="1"/>
  <c r="C5" i="19"/>
  <c r="C5" i="20" s="1"/>
  <c r="D5" i="19"/>
  <c r="D5" i="20" s="1"/>
  <c r="E5" i="19"/>
  <c r="E5" i="20" s="1"/>
  <c r="F5" i="19"/>
  <c r="F5" i="20" s="1"/>
  <c r="G5" i="19"/>
  <c r="G5" i="20" s="1"/>
  <c r="H5" i="19"/>
  <c r="H5" i="20" s="1"/>
  <c r="I5" i="19"/>
  <c r="I5" i="20" s="1"/>
  <c r="J5" i="19"/>
  <c r="J5" i="20" s="1"/>
  <c r="K5" i="19"/>
  <c r="K5" i="20" s="1"/>
  <c r="L5" i="19"/>
  <c r="L5" i="20" s="1"/>
  <c r="M5" i="19"/>
  <c r="M5" i="20" s="1"/>
  <c r="N5" i="19"/>
  <c r="N5" i="20" s="1"/>
  <c r="O5" i="19"/>
  <c r="O5" i="20" s="1"/>
  <c r="B3" i="17"/>
  <c r="D3" i="17"/>
  <c r="G3" i="17"/>
  <c r="I3" i="17"/>
  <c r="L3" i="17"/>
  <c r="O3" i="17"/>
  <c r="R3" i="17"/>
  <c r="T3" i="17"/>
  <c r="W3" i="17"/>
  <c r="AA3" i="17"/>
  <c r="AC3" i="17"/>
  <c r="AF3" i="17"/>
  <c r="AI3" i="17"/>
  <c r="AL3" i="17"/>
  <c r="AN3" i="17"/>
  <c r="AQ3" i="17"/>
  <c r="AT3" i="17"/>
  <c r="AW3" i="17"/>
  <c r="AY3" i="17"/>
  <c r="C3" i="17"/>
  <c r="F3" i="17"/>
  <c r="J3" i="17"/>
  <c r="N3" i="17"/>
  <c r="Q3" i="17"/>
  <c r="U3" i="17"/>
  <c r="X3" i="17"/>
  <c r="Z3" i="17"/>
  <c r="AD3" i="17"/>
  <c r="AH3" i="17"/>
  <c r="AK3" i="17"/>
  <c r="AO3" i="17"/>
  <c r="AS3" i="17"/>
  <c r="AV3" i="17"/>
  <c r="AZ3" i="17"/>
  <c r="B3" i="18"/>
  <c r="C3" i="18"/>
  <c r="D3" i="18"/>
  <c r="E3" i="18"/>
  <c r="F3" i="18"/>
  <c r="G3" i="18"/>
  <c r="H3" i="18"/>
  <c r="I3" i="18"/>
  <c r="J3" i="18"/>
  <c r="K3" i="18"/>
  <c r="L3" i="18"/>
  <c r="M3" i="18"/>
  <c r="N3" i="18"/>
  <c r="O3" i="18"/>
  <c r="P3" i="18"/>
  <c r="Q3" i="18"/>
  <c r="R3" i="18"/>
  <c r="S3" i="18"/>
  <c r="T3" i="18"/>
  <c r="U3" i="18"/>
  <c r="V3" i="18"/>
  <c r="W3" i="18"/>
  <c r="X3" i="18"/>
  <c r="Z3" i="18"/>
  <c r="AA3" i="18"/>
  <c r="AB3" i="18"/>
  <c r="AC3" i="18"/>
  <c r="AD3" i="18"/>
  <c r="AE3" i="18"/>
  <c r="AF3" i="18"/>
  <c r="AH3" i="18"/>
  <c r="AI3" i="18"/>
  <c r="AJ3" i="18"/>
  <c r="AK3" i="18"/>
  <c r="AL3" i="18"/>
  <c r="AM3" i="18"/>
  <c r="AN3" i="18"/>
  <c r="AO3" i="18"/>
  <c r="AP3" i="18"/>
  <c r="AQ3" i="18"/>
  <c r="AR3" i="18"/>
  <c r="AS3" i="18"/>
  <c r="AT3" i="18"/>
  <c r="AU3" i="18"/>
  <c r="AV3" i="18"/>
  <c r="AW3" i="18"/>
  <c r="AX3" i="18"/>
  <c r="AY3" i="18"/>
  <c r="AZ3" i="18"/>
  <c r="BA3" i="18"/>
  <c r="E3" i="17"/>
  <c r="H3" i="17"/>
  <c r="K3" i="17"/>
  <c r="M3" i="17"/>
  <c r="P3" i="17"/>
  <c r="S3" i="17"/>
  <c r="V3" i="17"/>
  <c r="AB3" i="17"/>
  <c r="AE3" i="17"/>
  <c r="AJ3" i="17"/>
  <c r="AM3" i="17"/>
  <c r="AP3" i="17"/>
  <c r="AR3" i="17"/>
  <c r="AU3" i="17"/>
  <c r="AX3" i="17"/>
  <c r="BA3" i="17"/>
  <c r="B3" i="19"/>
  <c r="B3" i="20" s="1"/>
  <c r="C3" i="19"/>
  <c r="C3" i="20" s="1"/>
  <c r="D3" i="19"/>
  <c r="D3" i="20" s="1"/>
  <c r="E3" i="19"/>
  <c r="E3" i="20" s="1"/>
  <c r="F3" i="19"/>
  <c r="F3" i="20" s="1"/>
  <c r="G3" i="19"/>
  <c r="G3" i="20" s="1"/>
  <c r="H3" i="19"/>
  <c r="H3" i="20" s="1"/>
  <c r="I3" i="19"/>
  <c r="I3" i="20" s="1"/>
  <c r="J3" i="19"/>
  <c r="J3" i="20" s="1"/>
  <c r="K3" i="19"/>
  <c r="K3" i="20" s="1"/>
  <c r="L3" i="19"/>
  <c r="L3" i="20" s="1"/>
  <c r="M3" i="19"/>
  <c r="M3" i="20" s="1"/>
  <c r="N3" i="19"/>
  <c r="N3" i="20" s="1"/>
  <c r="O3" i="19"/>
  <c r="O3" i="20" s="1"/>
  <c r="P3" i="19"/>
  <c r="P3" i="20" s="1"/>
  <c r="Q3" i="19"/>
  <c r="Q3" i="20" s="1"/>
  <c r="R3" i="19"/>
  <c r="R3" i="20" s="1"/>
  <c r="S3" i="19"/>
  <c r="S3" i="20" s="1"/>
  <c r="T3" i="19"/>
  <c r="T3" i="20" s="1"/>
  <c r="U3" i="19"/>
  <c r="U3" i="20" s="1"/>
  <c r="V3" i="19"/>
  <c r="V3" i="20" s="1"/>
  <c r="W3" i="19"/>
  <c r="W3" i="20" s="1"/>
  <c r="X3" i="19"/>
  <c r="X3" i="20" s="1"/>
  <c r="Z3" i="19"/>
  <c r="Z3" i="20" s="1"/>
  <c r="AA3" i="19"/>
  <c r="AA3" i="20" s="1"/>
  <c r="AB3" i="19"/>
  <c r="AB3" i="20" s="1"/>
  <c r="AC3" i="19"/>
  <c r="AC3" i="20" s="1"/>
  <c r="AD3" i="19"/>
  <c r="AD3" i="20" s="1"/>
  <c r="AE3" i="19"/>
  <c r="AE3" i="20" s="1"/>
  <c r="AF3" i="19"/>
  <c r="AF3" i="20" s="1"/>
  <c r="AH3" i="19"/>
  <c r="AH3" i="20" s="1"/>
  <c r="AI3" i="19"/>
  <c r="AI3" i="20" s="1"/>
  <c r="AJ3" i="19"/>
  <c r="AJ3" i="20" s="1"/>
  <c r="AK3" i="19"/>
  <c r="AK3" i="20" s="1"/>
  <c r="AL3" i="19"/>
  <c r="AL3" i="20" s="1"/>
  <c r="AM3" i="19"/>
  <c r="AM3" i="20" s="1"/>
  <c r="AN3" i="19"/>
  <c r="AN3" i="20" s="1"/>
  <c r="AO3" i="19"/>
  <c r="AO3" i="20" s="1"/>
  <c r="AP3" i="19"/>
  <c r="AP3" i="20" s="1"/>
  <c r="AQ3" i="19"/>
  <c r="AQ3" i="20" s="1"/>
  <c r="AR3" i="19"/>
  <c r="AR3" i="20" s="1"/>
  <c r="AS3" i="19"/>
  <c r="AS3" i="20" s="1"/>
  <c r="AT3" i="19"/>
  <c r="AT3" i="20" s="1"/>
  <c r="AU3" i="19"/>
  <c r="AU3" i="20" s="1"/>
  <c r="AV3" i="19"/>
  <c r="AV3" i="20" s="1"/>
  <c r="AW3" i="19"/>
  <c r="AW3" i="20" s="1"/>
  <c r="AX3" i="19"/>
  <c r="AX3" i="20" s="1"/>
  <c r="AY3" i="19"/>
  <c r="AY3" i="20" s="1"/>
  <c r="AZ3" i="19"/>
  <c r="AZ3" i="20" s="1"/>
  <c r="BA3" i="19"/>
  <c r="BA3" i="20" s="1"/>
  <c r="C2" i="17"/>
  <c r="E2" i="17"/>
  <c r="H2" i="17"/>
  <c r="K2" i="17"/>
  <c r="M2" i="17"/>
  <c r="P2" i="17"/>
  <c r="S2" i="17"/>
  <c r="U2" i="17"/>
  <c r="X2" i="17"/>
  <c r="AA2" i="17"/>
  <c r="AD2" i="17"/>
  <c r="AF2" i="17"/>
  <c r="AH2" i="17"/>
  <c r="AK2" i="17"/>
  <c r="AM2" i="17"/>
  <c r="AQ2" i="17"/>
  <c r="AT2" i="17"/>
  <c r="AW2" i="17"/>
  <c r="AZ2" i="17"/>
  <c r="D2" i="18"/>
  <c r="F2" i="17"/>
  <c r="J2" i="17"/>
  <c r="N2" i="17"/>
  <c r="R2" i="17"/>
  <c r="V2" i="17"/>
  <c r="AC2" i="17"/>
  <c r="AJ2" i="17"/>
  <c r="AO2" i="17"/>
  <c r="AR2" i="17"/>
  <c r="AU2" i="17"/>
  <c r="AX2" i="17"/>
  <c r="C2" i="18"/>
  <c r="F2" i="18"/>
  <c r="G2" i="18"/>
  <c r="H2" i="18"/>
  <c r="I2" i="18"/>
  <c r="J2" i="18"/>
  <c r="K2" i="18"/>
  <c r="L2" i="18"/>
  <c r="M2" i="18"/>
  <c r="N2" i="18"/>
  <c r="O2" i="18"/>
  <c r="P2" i="18"/>
  <c r="Q2" i="18"/>
  <c r="R2" i="18"/>
  <c r="S2" i="18"/>
  <c r="T2" i="18"/>
  <c r="U2" i="18"/>
  <c r="V2" i="18"/>
  <c r="W2" i="18"/>
  <c r="X2" i="18"/>
  <c r="Z2" i="18"/>
  <c r="AA2" i="18"/>
  <c r="AB2" i="18"/>
  <c r="AC2" i="18"/>
  <c r="AD2" i="18"/>
  <c r="AE2" i="18"/>
  <c r="AF2" i="18"/>
  <c r="AH2" i="18"/>
  <c r="AI2" i="18"/>
  <c r="AJ2" i="18"/>
  <c r="AK2" i="18"/>
  <c r="AL2" i="18"/>
  <c r="AM2" i="18"/>
  <c r="AN2" i="18"/>
  <c r="AO2" i="18"/>
  <c r="AP2" i="18"/>
  <c r="AQ2" i="18"/>
  <c r="AR2" i="18"/>
  <c r="AS2" i="18"/>
  <c r="AT2" i="18"/>
  <c r="AU2" i="18"/>
  <c r="AV2" i="18"/>
  <c r="AW2" i="18"/>
  <c r="AX2" i="18"/>
  <c r="AY2" i="18"/>
  <c r="AZ2" i="18"/>
  <c r="BA2" i="18"/>
  <c r="B2" i="17"/>
  <c r="D2" i="17"/>
  <c r="G2" i="17"/>
  <c r="I2" i="17"/>
  <c r="L2" i="17"/>
  <c r="O2" i="17"/>
  <c r="Q2" i="17"/>
  <c r="T2" i="17"/>
  <c r="W2" i="17"/>
  <c r="Z2" i="17"/>
  <c r="AB2" i="17"/>
  <c r="AE2" i="17"/>
  <c r="AI2" i="17"/>
  <c r="AL2" i="17"/>
  <c r="AN2" i="17"/>
  <c r="AP2" i="17"/>
  <c r="AS2" i="17"/>
  <c r="AV2" i="17"/>
  <c r="AY2" i="17"/>
  <c r="BA2" i="17"/>
  <c r="B2" i="18"/>
  <c r="E2" i="18"/>
  <c r="B2" i="19"/>
  <c r="B2" i="20" s="1"/>
  <c r="C2" i="19"/>
  <c r="C2" i="20" s="1"/>
  <c r="D2" i="19"/>
  <c r="D2" i="20" s="1"/>
  <c r="E2" i="19"/>
  <c r="E2" i="20" s="1"/>
  <c r="F2" i="19"/>
  <c r="F2" i="20" s="1"/>
  <c r="G2" i="19"/>
  <c r="G2" i="20" s="1"/>
  <c r="H2" i="19"/>
  <c r="H2" i="20" s="1"/>
  <c r="I2" i="19"/>
  <c r="I2" i="20" s="1"/>
  <c r="J2" i="19"/>
  <c r="J2" i="20" s="1"/>
  <c r="K2" i="19"/>
  <c r="K2" i="20" s="1"/>
  <c r="L2" i="19"/>
  <c r="L2" i="20" s="1"/>
  <c r="M2" i="19"/>
  <c r="M2" i="20" s="1"/>
  <c r="N2" i="19"/>
  <c r="N2" i="20" s="1"/>
  <c r="O2" i="19"/>
  <c r="O2" i="20" s="1"/>
  <c r="P2" i="19"/>
  <c r="P2" i="20" s="1"/>
  <c r="Q2" i="19"/>
  <c r="Q2" i="20" s="1"/>
  <c r="R2" i="19"/>
  <c r="R2" i="20" s="1"/>
  <c r="S2" i="19"/>
  <c r="S2" i="20" s="1"/>
  <c r="T2" i="19"/>
  <c r="T2" i="20" s="1"/>
  <c r="U2" i="19"/>
  <c r="U2" i="20" s="1"/>
  <c r="V2" i="19"/>
  <c r="V2" i="20" s="1"/>
  <c r="W2" i="19"/>
  <c r="W2" i="20" s="1"/>
  <c r="X2" i="19"/>
  <c r="X2" i="20" s="1"/>
  <c r="Z2" i="19"/>
  <c r="Z2" i="20" s="1"/>
  <c r="AA2" i="19"/>
  <c r="AA2" i="20" s="1"/>
  <c r="AB2" i="19"/>
  <c r="AB2" i="20" s="1"/>
  <c r="AC2" i="19"/>
  <c r="AC2" i="20" s="1"/>
  <c r="AD2" i="19"/>
  <c r="AD2" i="20" s="1"/>
  <c r="AE2" i="19"/>
  <c r="AE2" i="20" s="1"/>
  <c r="AF2" i="19"/>
  <c r="AF2" i="20" s="1"/>
  <c r="AH2" i="19"/>
  <c r="AH2" i="20" s="1"/>
  <c r="AI2" i="19"/>
  <c r="AI2" i="20" s="1"/>
  <c r="AJ2" i="19"/>
  <c r="AJ2" i="20" s="1"/>
  <c r="AK2" i="19"/>
  <c r="AK2" i="20" s="1"/>
  <c r="AL2" i="19"/>
  <c r="AL2" i="20" s="1"/>
  <c r="AM2" i="19"/>
  <c r="AM2" i="20" s="1"/>
  <c r="AN2" i="19"/>
  <c r="AN2" i="20" s="1"/>
  <c r="AO2" i="19"/>
  <c r="AO2" i="20" s="1"/>
  <c r="AP2" i="19"/>
  <c r="AP2" i="20" s="1"/>
  <c r="AQ2" i="19"/>
  <c r="AQ2" i="20" s="1"/>
  <c r="AR2" i="19"/>
  <c r="AR2" i="20" s="1"/>
  <c r="AS2" i="19"/>
  <c r="AS2" i="20" s="1"/>
  <c r="AT2" i="19"/>
  <c r="AT2" i="20" s="1"/>
  <c r="AU2" i="19"/>
  <c r="AU2" i="20" s="1"/>
  <c r="AV2" i="19"/>
  <c r="AV2" i="20" s="1"/>
  <c r="AW2" i="19"/>
  <c r="AW2" i="20" s="1"/>
  <c r="AX2" i="19"/>
  <c r="AX2" i="20" s="1"/>
  <c r="AY2" i="19"/>
  <c r="AY2" i="20" s="1"/>
  <c r="AZ2" i="19"/>
  <c r="AZ2" i="20" s="1"/>
  <c r="BA2" i="19"/>
  <c r="BA2" i="20" s="1"/>
  <c r="G25" i="10" l="1"/>
  <c r="D22" i="6" s="1"/>
  <c r="E22" i="6" s="1"/>
  <c r="G24" i="10"/>
  <c r="D21" i="6" s="1"/>
  <c r="E21" i="6" s="1"/>
  <c r="E20" i="6" s="1"/>
  <c r="F20" i="6" s="1"/>
  <c r="F31" i="6"/>
  <c r="E41" i="6"/>
  <c r="D50" i="9"/>
  <c r="D49" i="9"/>
  <c r="E19" i="9"/>
  <c r="D62" i="6" s="1"/>
  <c r="E62" i="6" s="1"/>
  <c r="F62" i="6" s="1"/>
  <c r="E3" i="9"/>
  <c r="D46" i="6" s="1"/>
  <c r="E46" i="6" s="1"/>
  <c r="E11" i="9"/>
  <c r="D54" i="6" s="1"/>
  <c r="E54" i="6" s="1"/>
  <c r="F54" i="6" s="1"/>
  <c r="D5" i="9"/>
  <c r="D7" i="9"/>
  <c r="D9" i="9"/>
  <c r="D11" i="9"/>
  <c r="D13" i="9"/>
  <c r="D16" i="9"/>
  <c r="D17" i="9"/>
  <c r="D20" i="9"/>
  <c r="D21" i="9"/>
  <c r="D23" i="9"/>
  <c r="D24" i="9"/>
  <c r="D26" i="9"/>
  <c r="D28" i="9"/>
  <c r="D30" i="9"/>
  <c r="D31" i="9"/>
  <c r="D33" i="9"/>
  <c r="D35" i="9"/>
  <c r="D36" i="9"/>
  <c r="D37" i="9"/>
  <c r="D39" i="9"/>
  <c r="D40" i="9"/>
  <c r="D42" i="9"/>
  <c r="D8" i="9"/>
  <c r="D10" i="9"/>
  <c r="D12" i="9"/>
  <c r="D15" i="9"/>
  <c r="D19" i="9"/>
  <c r="D22" i="9"/>
  <c r="D27" i="9"/>
  <c r="D32" i="9"/>
  <c r="D41" i="9"/>
  <c r="D6" i="9"/>
  <c r="D14" i="9"/>
  <c r="D18" i="9"/>
  <c r="D25" i="9"/>
  <c r="D29" i="9"/>
  <c r="D34" i="9"/>
  <c r="D38" i="9"/>
  <c r="C8" i="11"/>
  <c r="AG5" i="17" s="1"/>
  <c r="D8" i="11"/>
  <c r="AG5" i="18" s="1"/>
  <c r="G20" i="10"/>
  <c r="D18" i="6" s="1"/>
  <c r="E18" i="6" s="1"/>
  <c r="G17" i="10"/>
  <c r="D15" i="6" s="1"/>
  <c r="G21" i="10"/>
  <c r="D19" i="6" s="1"/>
  <c r="E19" i="6" s="1"/>
  <c r="G6" i="10"/>
  <c r="D5" i="6" s="1"/>
  <c r="G9" i="10"/>
  <c r="D8" i="6" s="1"/>
  <c r="E8" i="6" s="1"/>
  <c r="G7" i="10"/>
  <c r="D6" i="6" s="1"/>
  <c r="E6" i="6" s="1"/>
  <c r="D47" i="9"/>
  <c r="D48" i="9"/>
  <c r="E48" i="9"/>
  <c r="D91" i="6" s="1"/>
  <c r="E91" i="6" s="1"/>
  <c r="E47" i="9"/>
  <c r="D90" i="6" s="1"/>
  <c r="E90" i="6" s="1"/>
  <c r="E46" i="9"/>
  <c r="D89" i="6" s="1"/>
  <c r="E89" i="6" s="1"/>
  <c r="E88" i="6" l="1"/>
  <c r="D9" i="11"/>
  <c r="F41" i="6"/>
  <c r="C9" i="11"/>
  <c r="E45" i="6"/>
  <c r="F46" i="6"/>
  <c r="D14" i="6"/>
  <c r="E15" i="6"/>
  <c r="E14" i="6" s="1"/>
  <c r="E5" i="6"/>
  <c r="E4" i="6" s="1"/>
  <c r="D4" i="6"/>
  <c r="E9" i="11" l="1"/>
  <c r="F88" i="6"/>
  <c r="E10" i="11" s="1"/>
  <c r="X6" i="18"/>
  <c r="D11" i="11"/>
  <c r="X7" i="18" s="1"/>
  <c r="C10" i="11"/>
  <c r="D10" i="11"/>
  <c r="X6" i="17"/>
  <c r="C11" i="11"/>
  <c r="X7" i="17" s="1"/>
  <c r="E3" i="11"/>
  <c r="Y2" i="19" s="1"/>
  <c r="Y2" i="20" s="1"/>
  <c r="F45" i="6"/>
  <c r="E4" i="11" s="1"/>
  <c r="AG2" i="19" s="1"/>
  <c r="AG2" i="20" s="1"/>
  <c r="C5" i="11"/>
  <c r="Y3" i="17" s="1"/>
  <c r="F14" i="6"/>
  <c r="D5" i="11"/>
  <c r="Y3" i="18" s="1"/>
  <c r="D3" i="11"/>
  <c r="Y2" i="18" s="1"/>
  <c r="F4" i="6"/>
  <c r="C3" i="11"/>
  <c r="Y2" i="17" s="1"/>
  <c r="X6" i="19"/>
  <c r="X6" i="20" s="1"/>
  <c r="E11" i="11"/>
  <c r="X7" i="19" s="1"/>
  <c r="X7" i="20" s="1"/>
  <c r="AG6" i="19" l="1"/>
  <c r="AG6" i="20" s="1"/>
  <c r="E12" i="11"/>
  <c r="AG7" i="19" s="1"/>
  <c r="AG7" i="20" s="1"/>
  <c r="AG6" i="17"/>
  <c r="C12" i="11"/>
  <c r="AG7" i="17" s="1"/>
  <c r="AG6" i="18"/>
  <c r="D12" i="11"/>
  <c r="AG7" i="18" s="1"/>
  <c r="D6" i="11"/>
  <c r="AG3" i="18" s="1"/>
  <c r="C6" i="11"/>
  <c r="AG3" i="17" s="1"/>
  <c r="D4" i="11"/>
  <c r="AG2" i="18" s="1"/>
  <c r="C4" i="11"/>
  <c r="AG2" i="17" s="1"/>
</calcChain>
</file>

<file path=xl/sharedStrings.xml><?xml version="1.0" encoding="utf-8"?>
<sst xmlns="http://schemas.openxmlformats.org/spreadsheetml/2006/main" count="3857" uniqueCount="789">
  <si>
    <t>SoBCaICbIC Share of Buildings Capital and Installation Costs by ISIC Code</t>
  </si>
  <si>
    <t>Sources:</t>
  </si>
  <si>
    <t>Building Sector Appliance and Equipment Costs and Efficiencies</t>
  </si>
  <si>
    <t>EIA</t>
  </si>
  <si>
    <t>"Updated Buildings Sector Appliance and Equipment Costs and Efficiencies"</t>
  </si>
  <si>
    <t>https://www.eia.gov/analysis/studies/buildings/equipcosts/pdf/full.pdf</t>
  </si>
  <si>
    <t>Commercial Equipment Prevalence</t>
  </si>
  <si>
    <t>Table B39. Heating equipment, floorspace &amp; Table42. Water-heating equipment, number of buildings and floorspace</t>
  </si>
  <si>
    <t>https://www.eia.gov/consumption/commercial/data/2012/#b38-b46</t>
  </si>
  <si>
    <t>Residential Equipment Prevelance</t>
  </si>
  <si>
    <t>U.S. Energy Information Administration</t>
  </si>
  <si>
    <t>Annual Energy Outlook 2026</t>
  </si>
  <si>
    <t>Alternative electricity and transportation: Table 21</t>
  </si>
  <si>
    <t>https://www.eia.gov/outlooks/aeo/tables_side_xls.php</t>
  </si>
  <si>
    <t>ISIC Code Mapping</t>
  </si>
  <si>
    <t>United Nations</t>
  </si>
  <si>
    <t>International Standard Industrial Classification of All Economic Activities Revision 4</t>
  </si>
  <si>
    <t>https://unstats.un.org/unsd/publication/seriesM/seriesm_4rev4e.pdf</t>
  </si>
  <si>
    <t>Notes:</t>
  </si>
  <si>
    <t>Note from "Updated Building Sector Appliance and Equipment Costs and Efficiencies."</t>
  </si>
  <si>
    <t>The Energy Independence and Security Act of 2007 prescribes standards for current 100 watt incandescent lamps</t>
  </si>
  <si>
    <t>as of January 1, 2012. Starting in 2012, 100-watt incandescent lamps will be replaced by halogen lamps.</t>
  </si>
  <si>
    <t>For commercial lighting - estimated cost averages based on selected commercial light fixtures assumed to be most common</t>
  </si>
  <si>
    <t>Cost averages from NEMS are across appliance type and years (2012-2050)</t>
  </si>
  <si>
    <t>Water heating, refrigeration, clothes washing/drying, cooking, and diswashing equipment are all assigned to appliances</t>
  </si>
  <si>
    <t>Other equipment includes primarily additional plug load equipment including computers and televisions</t>
  </si>
  <si>
    <t>52-code expansion (2026-07-17):</t>
  </si>
  <si>
    <t>The output tabs produce the 52-code ISIC list. The derivation above is unchanged and live; output-tab formulas reference the derivation tabs</t>
  </si>
  <si>
    <t>directly, with the original header-label criteria written as literals (the derivation tabs still use the pre-split 42-code labels).</t>
  </si>
  <si>
    <t>Children of split parents multiply the parent's allocation by the factors on the 'Factors applied' tab (editable; defaults = BEA 2024 gross-</t>
  </si>
  <si>
    <t>output shares from io-model/BObIC; semantic overrides documented per row with rationale).</t>
  </si>
  <si>
    <t>Child factors applied inline in the output-tab formulas (editable). Defaults = BEA 2024 output shares; semantic overrides and fuel reroutes noted per row.</t>
  </si>
  <si>
    <t>File</t>
  </si>
  <si>
    <t>Row context</t>
  </si>
  <si>
    <t>Child</t>
  </si>
  <si>
    <t>Parent</t>
  </si>
  <si>
    <t>Factor</t>
  </si>
  <si>
    <t>Rationale</t>
  </si>
  <si>
    <t>BEA 2024 output share</t>
  </si>
  <si>
    <t>SoBCaICbIC-commercial.csv</t>
  </si>
  <si>
    <t>Appliances</t>
  </si>
  <si>
    <t>ISIC 01</t>
  </si>
  <si>
    <t>ISIC 01T03</t>
  </si>
  <si>
    <t>BEA 2024 output share (default)</t>
  </si>
  <si>
    <t>ISIC 02</t>
  </si>
  <si>
    <t>ISIC 03</t>
  </si>
  <si>
    <t>ISIC 07</t>
  </si>
  <si>
    <t>ISIC 07T08</t>
  </si>
  <si>
    <t>ISIC 08</t>
  </si>
  <si>
    <t>ISIC 301</t>
  </si>
  <si>
    <t>ISIC 30</t>
  </si>
  <si>
    <t>ISIC 302T309</t>
  </si>
  <si>
    <t>ISIC 49</t>
  </si>
  <si>
    <t>ISIC 49T53</t>
  </si>
  <si>
    <t>ISIC 50</t>
  </si>
  <si>
    <t>ISIC 51</t>
  </si>
  <si>
    <t>ISIC 52</t>
  </si>
  <si>
    <t>ISIC 53</t>
  </si>
  <si>
    <t>ISIC 69T75</t>
  </si>
  <si>
    <t>ISIC 69T82</t>
  </si>
  <si>
    <t>semantic override</t>
  </si>
  <si>
    <t>ISIC 77T82</t>
  </si>
  <si>
    <t>ISIC 90T93</t>
  </si>
  <si>
    <t>ISIC 90T96</t>
  </si>
  <si>
    <t>ISIC 94T96</t>
  </si>
  <si>
    <t>Cooling</t>
  </si>
  <si>
    <t>Envelope</t>
  </si>
  <si>
    <t>Heating</t>
  </si>
  <si>
    <t>Lighting</t>
  </si>
  <si>
    <t>Other</t>
  </si>
  <si>
    <t>SoBCaICbIC-ruralresidential.csv</t>
  </si>
  <si>
    <t>SoBCaICbIC-urbanresidential.csv</t>
  </si>
  <si>
    <t>OECD Code</t>
  </si>
  <si>
    <t>ISIC Code</t>
  </si>
  <si>
    <t>D01T03: Agriculture, forestry and fishing</t>
  </si>
  <si>
    <t>D05: Coal mining</t>
  </si>
  <si>
    <t>ISIC 05</t>
  </si>
  <si>
    <t>D06: Oil and gas extraction</t>
  </si>
  <si>
    <t>ISIC 06</t>
  </si>
  <si>
    <t>D07T08: Mining and quarrying of non-energy producing products</t>
  </si>
  <si>
    <t>D09: Mining support service activities</t>
  </si>
  <si>
    <t>ISIC 09</t>
  </si>
  <si>
    <t>D10T12: Food products, beverages and tobacco</t>
  </si>
  <si>
    <t>ISIC 10T12</t>
  </si>
  <si>
    <t>D13T15: Textiles, wearing apparel, leather and related products</t>
  </si>
  <si>
    <t>ISIC 13T15</t>
  </si>
  <si>
    <t>D16: Wood and products of wood and cork</t>
  </si>
  <si>
    <t>ISIC 16</t>
  </si>
  <si>
    <t>D17T18: Paper products and printing</t>
  </si>
  <si>
    <t>ISIC 17T18</t>
  </si>
  <si>
    <t>D19: Coke and refined petroleum products</t>
  </si>
  <si>
    <t>ISIC 19</t>
  </si>
  <si>
    <t>D20: Chemicals</t>
  </si>
  <si>
    <t>ISIC 20</t>
  </si>
  <si>
    <t>D21: Pharmaceuticals</t>
  </si>
  <si>
    <t>ISIC 21</t>
  </si>
  <si>
    <t>D22: Rubber and plastic products</t>
  </si>
  <si>
    <t>ISIC 22</t>
  </si>
  <si>
    <t>D231: Glass</t>
  </si>
  <si>
    <t>ISIC 231</t>
  </si>
  <si>
    <t>D239: Cement and other nometallic minerals</t>
  </si>
  <si>
    <t>ISIC 239</t>
  </si>
  <si>
    <t>D241: Iron and steel</t>
  </si>
  <si>
    <t>ISIC 241</t>
  </si>
  <si>
    <t>D242: Other metals</t>
  </si>
  <si>
    <t>ISIC 242</t>
  </si>
  <si>
    <t>D25: Fabricated metal products</t>
  </si>
  <si>
    <t>ISIC 25</t>
  </si>
  <si>
    <t>D26: Computer, electronic and optical products</t>
  </si>
  <si>
    <t>ISIC 26</t>
  </si>
  <si>
    <t>D27: Electrical equipment</t>
  </si>
  <si>
    <t>ISIC 27</t>
  </si>
  <si>
    <t>D28: Machinery and equipment, nec</t>
  </si>
  <si>
    <t>ISIC 28</t>
  </si>
  <si>
    <t>D29: Motor vehicles, trailers and semi-trailers</t>
  </si>
  <si>
    <t>ISIC 29</t>
  </si>
  <si>
    <t>D30: Other transport equipment</t>
  </si>
  <si>
    <t>D31T33: Other manufacturing; repair and installation of machinery and equipment</t>
  </si>
  <si>
    <t>ISIC 31T33</t>
  </si>
  <si>
    <t>D351: Electricity generation and distribution</t>
  </si>
  <si>
    <t>ISIC 351</t>
  </si>
  <si>
    <t>D352T353: Energy pipelines and gas processing</t>
  </si>
  <si>
    <t>ISIC 352T353</t>
  </si>
  <si>
    <t>D36T39: Water and waste</t>
  </si>
  <si>
    <t>ISIC 36T39</t>
  </si>
  <si>
    <t>D41T43: Construction</t>
  </si>
  <si>
    <t>ISIC 41T43</t>
  </si>
  <si>
    <t>D45T47: Wholesale and retail trade; repair of motor vehicles</t>
  </si>
  <si>
    <t>ISIC 45T47</t>
  </si>
  <si>
    <t>D49T53: Transportation and storage</t>
  </si>
  <si>
    <t>D55T56: Accomodation and food services</t>
  </si>
  <si>
    <t>ISIC 55T56</t>
  </si>
  <si>
    <t>D58T60: Publishing, audiovisual and broadcasting activities</t>
  </si>
  <si>
    <t>ISIC 58T60</t>
  </si>
  <si>
    <t>D61: Telecommunications</t>
  </si>
  <si>
    <t>ISIC 61</t>
  </si>
  <si>
    <t>D62T63: IT and other information services</t>
  </si>
  <si>
    <t>ISIC 62T63</t>
  </si>
  <si>
    <t>D64T66: Financial and insurance activities</t>
  </si>
  <si>
    <t>ISIC 64T66</t>
  </si>
  <si>
    <t>D68: Real estate activities</t>
  </si>
  <si>
    <t>ISIC 68</t>
  </si>
  <si>
    <t>D69T82: Other business sector services</t>
  </si>
  <si>
    <t>D84: Public admin. and defence; compulsory social security</t>
  </si>
  <si>
    <t>ISIC 84</t>
  </si>
  <si>
    <t>D85: Education</t>
  </si>
  <si>
    <t>ISIC 85</t>
  </si>
  <si>
    <t>D86T88: Human health and social work</t>
  </si>
  <si>
    <t>ISIC 86T88</t>
  </si>
  <si>
    <t>D90T96: Arts, entertainment, recreation and other service activities</t>
  </si>
  <si>
    <t>D97T98: Private households with employed persons</t>
  </si>
  <si>
    <t>ISIC 97T98</t>
  </si>
  <si>
    <t>Equipment</t>
  </si>
  <si>
    <t>Installation</t>
  </si>
  <si>
    <t>Costs of Residential Equipment - Weighted Calculation</t>
  </si>
  <si>
    <t>Equipment Type - Name from RECS</t>
  </si>
  <si>
    <t>Percent Equipment Costs (Copied from NEMS spreadsheet)</t>
  </si>
  <si>
    <t>Percent of Total Appliances w/ Cost Data</t>
  </si>
  <si>
    <t>Weighted Percent Equipment Cost</t>
  </si>
  <si>
    <t>Weighted Percent Labor Cost</t>
  </si>
  <si>
    <t>Source</t>
  </si>
  <si>
    <t>Calculations</t>
  </si>
  <si>
    <t>Main Space Heaters</t>
  </si>
  <si>
    <t>"NEMS cost data_new"</t>
  </si>
  <si>
    <t>Electric Heat Pumps</t>
  </si>
  <si>
    <t>Electric Other</t>
  </si>
  <si>
    <t>Natural Gas Heat Pumps</t>
  </si>
  <si>
    <t>Natural Gas Other</t>
  </si>
  <si>
    <t>Distillate Fuel Oil</t>
  </si>
  <si>
    <t>Propane</t>
  </si>
  <si>
    <t>Kerosene</t>
  </si>
  <si>
    <t>Wood Stoves</t>
  </si>
  <si>
    <t>Geothermal Heat Pumps</t>
  </si>
  <si>
    <t>Space Cooling</t>
  </si>
  <si>
    <t>Central Air Conditioners</t>
  </si>
  <si>
    <t>Room Air Conditioners</t>
  </si>
  <si>
    <t>Water Heaters</t>
  </si>
  <si>
    <t>Electric</t>
  </si>
  <si>
    <t>Natural Gas</t>
  </si>
  <si>
    <t>Solar Thermal</t>
  </si>
  <si>
    <t>Cooking Equipment</t>
  </si>
  <si>
    <t>Clothes Dryers</t>
  </si>
  <si>
    <t>Other Appliances</t>
  </si>
  <si>
    <t>Appliances - Average total</t>
  </si>
  <si>
    <t>Costs of Commercial Equipment - Weighted Calculation</t>
  </si>
  <si>
    <t>Commercial Space Heating Total</t>
  </si>
  <si>
    <t>Electricity</t>
  </si>
  <si>
    <t>Heat
pumps</t>
  </si>
  <si>
    <t>Furnaces</t>
  </si>
  <si>
    <t>Indiv-
idual space heaters</t>
  </si>
  <si>
    <t>District
heat</t>
  </si>
  <si>
    <t>Boilers</t>
  </si>
  <si>
    <t>Pack-
aged heating units</t>
  </si>
  <si>
    <t>Natural gas</t>
  </si>
  <si>
    <t>Fuel oil</t>
  </si>
  <si>
    <t>District heat</t>
  </si>
  <si>
    <t>Water Heating Equipment</t>
  </si>
  <si>
    <t>Buildings with water heating</t>
  </si>
  <si>
    <t>Commercial Cooling</t>
  </si>
  <si>
    <t>Commercial Rooftop Air Conditioners</t>
  </si>
  <si>
    <t>NA</t>
  </si>
  <si>
    <t>Commercial Rooftop Heat Pumps</t>
  </si>
  <si>
    <t>Commercial Ground Source Heat Pumps</t>
  </si>
  <si>
    <t>Commercial Lighting</t>
  </si>
  <si>
    <t>Commercial Lighting - CFL</t>
  </si>
  <si>
    <t>Commercial Lighting - LED</t>
  </si>
  <si>
    <t>Commercial Lighting - Halogen</t>
  </si>
  <si>
    <t>Hard Copied from: "Summary Commercial" tab on "NEMS cost data new.xlsx"</t>
  </si>
  <si>
    <t>Equipment Type</t>
  </si>
  <si>
    <t>Percent Equipment Costs</t>
  </si>
  <si>
    <t>Commercial Heating</t>
  </si>
  <si>
    <t>Commercial Gas Fired Furnaces</t>
  </si>
  <si>
    <t>Commercial Oil-Fired Furnaces</t>
  </si>
  <si>
    <t>Commercial Electric Resistance Heaters</t>
  </si>
  <si>
    <t>Commercial Electric Boilers</t>
  </si>
  <si>
    <t>Commercial Gas Fired Boilers</t>
  </si>
  <si>
    <t>Commercial Oil-Fired Boilers</t>
  </si>
  <si>
    <t>Commercial Water Heating</t>
  </si>
  <si>
    <t>Commercial Gas-Fired Storage Water Heaters</t>
  </si>
  <si>
    <t>Commercial Electric Resistance Storage Water Heaters</t>
  </si>
  <si>
    <t>Commercial Heat Pump Water Heaters</t>
  </si>
  <si>
    <t>Commercial Oil Fired Storage Water Heaters</t>
  </si>
  <si>
    <t>Commercial Appliance Prevalance</t>
  </si>
  <si>
    <t>Fuel</t>
  </si>
  <si>
    <t>Heating Equipment</t>
  </si>
  <si>
    <t>Total Floorspace (million square feet)</t>
  </si>
  <si>
    <t>Percent of Total Appliances</t>
  </si>
  <si>
    <t>Residential Appliance Prevalance</t>
  </si>
  <si>
    <t>Calculation</t>
  </si>
  <si>
    <t>full name</t>
  </si>
  <si>
    <t>api key</t>
  </si>
  <si>
    <t>units</t>
  </si>
  <si>
    <t>Equipment Stock (million units)</t>
  </si>
  <si>
    <t>Residential Equipment: Equipment Stock: Main Space Heaters: Electric Heat Pumps: Alternative Electricity and Transportation</t>
  </si>
  <si>
    <t>millions</t>
  </si>
  <si>
    <t>Residential Equipment: Equipment Stock: Main Space Heaters: Electric Other: Alternative Electricity and Transportation</t>
  </si>
  <si>
    <t>Residential Equipment: Equipment Stock: Main Space Heaters: Natural Gas Heat Pumps: Alternative Electricity and Transportation</t>
  </si>
  <si>
    <t>Residential Equipment: Equipment Stock: Main Space Heaters: Natural Gas Other: Alternative Electricity and Transportation</t>
  </si>
  <si>
    <t>Residential Equipment: Equipment Stock: Main Space Heaters: Distillate Fuel Oil: Alternative Electricity and Transportation</t>
  </si>
  <si>
    <t>Residential Equipment: Equipment Stock: Main Space Heaters: Propane: Alternative Electricity and Transportation</t>
  </si>
  <si>
    <t>Residential Equipment: Equipment Stock: Main Space Heaters: Kerosene: Alternative Electricity and Transportation</t>
  </si>
  <si>
    <t>Residential Equipment: Equipment Stock: Main Space Heaters: Wood Stoves: Alternative Electricity and Transportation</t>
  </si>
  <si>
    <t>Residential Equipment: Equipment Stock: Main Space Heaters: Geothermal Heat Pumps: Alternative Electricity and Transportation</t>
  </si>
  <si>
    <t>Total</t>
  </si>
  <si>
    <t>Residential Equipment: Equipment Stock: Main Space Heaters: Total: Alternative Electricity and Transportation</t>
  </si>
  <si>
    <t>Space Cooling (million units)</t>
  </si>
  <si>
    <t>Residential Equipment: Equipment Stock: Space Cooling: Electric Heat Pumps: Alternative Electricity and Transportation</t>
  </si>
  <si>
    <t>Residential Equipment: Equipment Stock: Space Cooling: Natural Gas Heat Pumps: Alternative Electricity and Transportation</t>
  </si>
  <si>
    <t>Residential Equipment: Equipment Stock: Space Cooling: Geothermal Heat Pumps: Alternative Electricity and Transportation</t>
  </si>
  <si>
    <t>Residential Equipment: Equipment Stock: Space Cooling: Central Air Conditioners: Alternative Electricity and Transportation</t>
  </si>
  <si>
    <t>Residential Equipment: Equipment Stock: Space Cooling: Room Air Conditioners: Alternative Electricity and Transportation</t>
  </si>
  <si>
    <t>Residential Equipment: Equipment Stock: Space Cooling: Total: Alternative Electricity and Transportation</t>
  </si>
  <si>
    <t>Water Heaters (million units)</t>
  </si>
  <si>
    <t>Residential Equipment: Equipment Stock: Water Heaters: Electric: Alternative Electricity and Transportation</t>
  </si>
  <si>
    <t>Residential Equipment: Equipment Stock: Water Heaters: Natural Gas: Alternative Electricity and Transportation</t>
  </si>
  <si>
    <t>Residential Equipment: Equipment Stock: Water Heaters: Distillate Fuel Oil: Alternative Electricity and Transportation</t>
  </si>
  <si>
    <t>Residential Equipment: Equipment Stock: Water Heaters: Propane: Alternative Electricity and Transportation</t>
  </si>
  <si>
    <t>Residential Equipment: Equipment Stock: Water Heaters: Solar Thermal: Alternative Electricity and Transportation</t>
  </si>
  <si>
    <t>Residential Equipment: Equipment Stock: Water Heaters: Total: Alternative Electricity and Transportation</t>
  </si>
  <si>
    <t>Cooking Equipment (million units)</t>
  </si>
  <si>
    <t>Residential Equipment: Equipment Stock: Cooking Equipment: Electric: Alternative Electricity and Transportation</t>
  </si>
  <si>
    <t>Residential Equipment: Equipment Stock: Cooking Equipment: Natural Gas: Alternative Electricity and Transportation</t>
  </si>
  <si>
    <t>Residential Equipment: Equipment Stock: Cooking Equipment: Propane: Alternative Electricity and Transportation</t>
  </si>
  <si>
    <t>Residential Equipment: Equipment Stock: Cooking Equipment: Total: Alternative Electricity and Transportation</t>
  </si>
  <si>
    <t>Clothes Dryers (million units)</t>
  </si>
  <si>
    <t>Residential Equipment: Equipment Stock: Clothes Dryers: Electric: Alternative Electricity and Transportation</t>
  </si>
  <si>
    <t>Residential Equipment: Equipment Stock: Clothes Dryers: Natural Gas: Alternative Electricity and Transportation</t>
  </si>
  <si>
    <t>Residential Equipment: Equipment Stock: Clothes Dryers: Total: Alternative Electricity and Transportation</t>
  </si>
  <si>
    <t>Other Appliances (million units)</t>
  </si>
  <si>
    <t>Refrigerators</t>
  </si>
  <si>
    <t>Residential Equipment: Equipment Stock: Other Appliances: Refrigerators: Alternative Electricity and Transportation</t>
  </si>
  <si>
    <t>Freezers</t>
  </si>
  <si>
    <t>Residential Equipment: Equipment Stock: Other Appliances: Freezers: Alternative Electricity and Transportation</t>
  </si>
  <si>
    <t>Sector</t>
  </si>
  <si>
    <t>Percent of cost</t>
  </si>
  <si>
    <t>ISIC Mapping</t>
  </si>
  <si>
    <t>Notes</t>
  </si>
  <si>
    <t>Urban-Residential</t>
  </si>
  <si>
    <t>Rural-Residential</t>
  </si>
  <si>
    <t>Commercial</t>
  </si>
  <si>
    <t>Labor</t>
  </si>
  <si>
    <t>We use the same breakdown as for appliances for</t>
  </si>
  <si>
    <t>the other equipment category</t>
  </si>
  <si>
    <t>Release date: April 2015 Revised date: May 2016</t>
  </si>
  <si>
    <t>Table B39.  Heating equipment, floorspace, 2012</t>
  </si>
  <si>
    <t>Total floorspace (million square feet)</t>
  </si>
  <si>
    <t>All
buildings</t>
  </si>
  <si>
    <t>Buildings with space heating</t>
  </si>
  <si>
    <t>Heating equipment (more than one may apply)</t>
  </si>
  <si>
    <t>All buildings</t>
  </si>
  <si>
    <t>Building floorspace (square feet)</t>
  </si>
  <si>
    <t xml:space="preserve">1,001 to 5,000 </t>
  </si>
  <si>
    <t>Q</t>
  </si>
  <si>
    <t xml:space="preserve">5,001 to 10,000 </t>
  </si>
  <si>
    <t>10,001 to 25,000</t>
  </si>
  <si>
    <t>25,001 to 50,000</t>
  </si>
  <si>
    <t xml:space="preserve">50,001 to 100,000 </t>
  </si>
  <si>
    <t xml:space="preserve">100,001 to 200,000 </t>
  </si>
  <si>
    <t xml:space="preserve">200,001 to 500,000 </t>
  </si>
  <si>
    <t xml:space="preserve">Over 500,000 </t>
  </si>
  <si>
    <t>Principal building activity</t>
  </si>
  <si>
    <t>Education</t>
  </si>
  <si>
    <t xml:space="preserve">Food sales </t>
  </si>
  <si>
    <t>N</t>
  </si>
  <si>
    <t xml:space="preserve">Food service </t>
  </si>
  <si>
    <t xml:space="preserve">Health care </t>
  </si>
  <si>
    <t xml:space="preserve">  Inpatient </t>
  </si>
  <si>
    <t xml:space="preserve">  Outpatient </t>
  </si>
  <si>
    <t xml:space="preserve">Lodging </t>
  </si>
  <si>
    <t xml:space="preserve">Mercantile </t>
  </si>
  <si>
    <t xml:space="preserve">Retail (other than mall) </t>
  </si>
  <si>
    <t xml:space="preserve">Enclosed and strip malls </t>
  </si>
  <si>
    <t xml:space="preserve">Office </t>
  </si>
  <si>
    <t xml:space="preserve">Public assembly </t>
  </si>
  <si>
    <t xml:space="preserve">Public order and safety </t>
  </si>
  <si>
    <t xml:space="preserve">Religious worship </t>
  </si>
  <si>
    <t xml:space="preserve">Service </t>
  </si>
  <si>
    <t xml:space="preserve">Warehouse and storage </t>
  </si>
  <si>
    <t xml:space="preserve">Other </t>
  </si>
  <si>
    <t xml:space="preserve">Vacant </t>
  </si>
  <si>
    <t>Year constructed</t>
  </si>
  <si>
    <t>Before 1920</t>
  </si>
  <si>
    <t>1920 to 1945</t>
  </si>
  <si>
    <t>1946 to 1959</t>
  </si>
  <si>
    <t>1960 to 1969</t>
  </si>
  <si>
    <t>1970 to 1979</t>
  </si>
  <si>
    <t>1980 to 1989</t>
  </si>
  <si>
    <t>1990 to 1999</t>
  </si>
  <si>
    <t>2000 to 2003</t>
  </si>
  <si>
    <t>2004 to 2007</t>
  </si>
  <si>
    <t>2008 to 2012</t>
  </si>
  <si>
    <t>Census region and division</t>
  </si>
  <si>
    <t>Northeast</t>
  </si>
  <si>
    <t xml:space="preserve">New England </t>
  </si>
  <si>
    <t>Middle Atlantic</t>
  </si>
  <si>
    <t>Midwest</t>
  </si>
  <si>
    <t>East North Central</t>
  </si>
  <si>
    <t>West North Central</t>
  </si>
  <si>
    <t>South</t>
  </si>
  <si>
    <t xml:space="preserve">South Atlantic </t>
  </si>
  <si>
    <t>East South Central</t>
  </si>
  <si>
    <t>West South Central</t>
  </si>
  <si>
    <t>West</t>
  </si>
  <si>
    <t>Mountain</t>
  </si>
  <si>
    <t>Pacific</t>
  </si>
  <si>
    <t>Climate region1</t>
  </si>
  <si>
    <t>Very cold/Cold</t>
  </si>
  <si>
    <t>Mixed-humid</t>
  </si>
  <si>
    <t>Mixed-dry/Hot-dry</t>
  </si>
  <si>
    <t>Hot-humid</t>
  </si>
  <si>
    <t>Marine</t>
  </si>
  <si>
    <t>Number of floors</t>
  </si>
  <si>
    <t>One</t>
  </si>
  <si>
    <t>Two</t>
  </si>
  <si>
    <t>Three</t>
  </si>
  <si>
    <t>Four to nine</t>
  </si>
  <si>
    <t>Ten or more</t>
  </si>
  <si>
    <t>Number of workers (main shift)</t>
  </si>
  <si>
    <t>Fewer than 5</t>
  </si>
  <si>
    <t>5 to 9</t>
  </si>
  <si>
    <t>10 to 19</t>
  </si>
  <si>
    <t>20 to 49</t>
  </si>
  <si>
    <t>50 to 99</t>
  </si>
  <si>
    <t>100 to 249</t>
  </si>
  <si>
    <t>250 or more</t>
  </si>
  <si>
    <t>Weekly operating hours</t>
  </si>
  <si>
    <t>Fewer than 40</t>
  </si>
  <si>
    <t>40 to 48</t>
  </si>
  <si>
    <t>49 to 60</t>
  </si>
  <si>
    <t>61 to 84</t>
  </si>
  <si>
    <t>85 to 167</t>
  </si>
  <si>
    <t>Open continuously</t>
  </si>
  <si>
    <t>Ownership and occupancy</t>
  </si>
  <si>
    <t>Nongovernment owned</t>
  </si>
  <si>
    <t>Owner occupied</t>
  </si>
  <si>
    <t>Leased to tenant(s)</t>
  </si>
  <si>
    <t>Owner occupied and leased</t>
  </si>
  <si>
    <t>Unoccupied</t>
  </si>
  <si>
    <t>Government owned</t>
  </si>
  <si>
    <t>Federal</t>
  </si>
  <si>
    <t>State</t>
  </si>
  <si>
    <t>Local</t>
  </si>
  <si>
    <t>Party responsible for operation
and maintenance of energy
systems</t>
  </si>
  <si>
    <t>Building owner</t>
  </si>
  <si>
    <t>Business owner or tenant</t>
  </si>
  <si>
    <t>Property management</t>
  </si>
  <si>
    <t>Provider of direct input on energy-related equipment purchases</t>
  </si>
  <si>
    <t>Campus or complex activity</t>
  </si>
  <si>
    <t>Not part of a campus or complex</t>
  </si>
  <si>
    <t>Primary or secondary school</t>
  </si>
  <si>
    <t>College or university</t>
  </si>
  <si>
    <t>Office complex</t>
  </si>
  <si>
    <t>Retail complex</t>
  </si>
  <si>
    <t>Storage complex</t>
  </si>
  <si>
    <t>Religious campus or complex</t>
  </si>
  <si>
    <t>Health care complex</t>
  </si>
  <si>
    <t>Lodging or resort complex</t>
  </si>
  <si>
    <t>Transportation complex</t>
  </si>
  <si>
    <t>Government complex</t>
  </si>
  <si>
    <t>Renovations in buildings
constructed before 2008
(more than one may apply)</t>
  </si>
  <si>
    <t>Any type of renovation</t>
  </si>
  <si>
    <t>Addition or annex</t>
  </si>
  <si>
    <t>Reduction in floorspace</t>
  </si>
  <si>
    <t>Roof replacement</t>
  </si>
  <si>
    <t>Exterior wall replacement</t>
  </si>
  <si>
    <t>Interior wall reconfiguration</t>
  </si>
  <si>
    <t>Window replacement</t>
  </si>
  <si>
    <t>HVAC equipment upgrade</t>
  </si>
  <si>
    <t>Lighting upgrade</t>
  </si>
  <si>
    <t>Electrical upgrade</t>
  </si>
  <si>
    <t>Plumbing system upgrade</t>
  </si>
  <si>
    <t>Insulation upgrade</t>
  </si>
  <si>
    <t>Fire, safety, or security upgrade</t>
  </si>
  <si>
    <t>Structural upgrade</t>
  </si>
  <si>
    <t>No renovations</t>
  </si>
  <si>
    <t>Buildings constructed 2008 or later</t>
  </si>
  <si>
    <t>Energy sources 
(more than one may apply)</t>
  </si>
  <si>
    <t>District chilled water</t>
  </si>
  <si>
    <t>Space-heating energy sources
(more than one may apply)</t>
  </si>
  <si>
    <t>Primary space-heating
energy source</t>
  </si>
  <si>
    <t>Energy end uses 
(more than one may apply)</t>
  </si>
  <si>
    <t>Buildings with cooling</t>
  </si>
  <si>
    <t>Buildings with cooking</t>
  </si>
  <si>
    <t>Buildings with manufacturing</t>
  </si>
  <si>
    <t>Buildings with electricity
generation</t>
  </si>
  <si>
    <t>Percent of floorspace heated</t>
  </si>
  <si>
    <t>Not heated</t>
  </si>
  <si>
    <t>1 to 50</t>
  </si>
  <si>
    <t>51 to 99</t>
  </si>
  <si>
    <t>100</t>
  </si>
  <si>
    <t>Heat pumps</t>
  </si>
  <si>
    <t>Individual space heaters</t>
  </si>
  <si>
    <t>Packaged heating units</t>
  </si>
  <si>
    <t>Cooling equipment (more than one may apply)</t>
  </si>
  <si>
    <t>Residential-type central air conditioners</t>
  </si>
  <si>
    <t>Individual air conditioners</t>
  </si>
  <si>
    <t>Central chillers</t>
  </si>
  <si>
    <t>Packaged air conditioning units</t>
  </si>
  <si>
    <t>Swamp coolers</t>
  </si>
  <si>
    <t>Main equipment replaced since 1990 (more than one may apply)</t>
  </si>
  <si>
    <t>HVAC conservation features 
(more than one may apply)</t>
  </si>
  <si>
    <t>Economizer cycle</t>
  </si>
  <si>
    <t>Regular HVAC maintenance</t>
  </si>
  <si>
    <t>Building automation system (BAS)2</t>
  </si>
  <si>
    <t>Equipment usage reduced when 
building not in full use 
(more than one may apply)</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</si>
  <si>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</si>
  <si>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Table B44.  Lighting equipment, floorspace, 2012</t>
  </si>
  <si>
    <t>Lit buildings</t>
  </si>
  <si>
    <t>Lighting equipment (more than one may apply)</t>
  </si>
  <si>
    <t>Incand-
escent</t>
  </si>
  <si>
    <t>Standard fluor-
escent</t>
  </si>
  <si>
    <t>Compact
fluor-
escent</t>
  </si>
  <si>
    <t>High-intensity
dis-
charge</t>
  </si>
  <si>
    <t>Halogen</t>
  </si>
  <si>
    <t>LED</t>
  </si>
  <si>
    <t>Percent lit when open</t>
  </si>
  <si>
    <t>Zero</t>
  </si>
  <si>
    <t>Building never open/electricity 
not used</t>
  </si>
  <si>
    <t>Percent lit during off hours</t>
  </si>
  <si>
    <t>51 to 100</t>
  </si>
  <si>
    <t>Building always open with 
no "off hours"</t>
  </si>
  <si>
    <t>Electricity not used</t>
  </si>
  <si>
    <t>Lighting equipment types 
(more than one may apply)</t>
  </si>
  <si>
    <t>Incandescent</t>
  </si>
  <si>
    <t>Standard fluorescent</t>
  </si>
  <si>
    <t>Compact fluorescent</t>
  </si>
  <si>
    <t>High-intensity discharge</t>
  </si>
  <si>
    <t>Window and interior lighting 
features (more than one may
apply)</t>
  </si>
  <si>
    <t>Multipaned windows</t>
  </si>
  <si>
    <t>Tinted window glass</t>
  </si>
  <si>
    <t>Reflective window glass</t>
  </si>
  <si>
    <t>External overhangs or awnings</t>
  </si>
  <si>
    <t>Skylights or atriums</t>
  </si>
  <si>
    <t>Light scheduling</t>
  </si>
  <si>
    <t>Occupancy sensors</t>
  </si>
  <si>
    <t>Multi-level lighting or dimming</t>
  </si>
  <si>
    <t>Daylight harvesting</t>
  </si>
  <si>
    <t>Demand responsive lighting</t>
  </si>
  <si>
    <t>Building automation system (BAS) for lighting2</t>
  </si>
  <si>
    <t>Table B42.  Water-heating equipment, number of buildings and floorspace, 2012</t>
  </si>
  <si>
    <t>Number of buildings (thousand)</t>
  </si>
  <si>
    <t>Type of water-heating equipment</t>
  </si>
  <si>
    <t>Central-
ized
system</t>
  </si>
  <si>
    <t>Distrib-
uted
system</t>
  </si>
  <si>
    <t xml:space="preserve">Both
central-
ized and
distrib-
uted
systems </t>
  </si>
  <si>
    <t>(*)</t>
  </si>
  <si>
    <t>Water-heating energy sources
(more than one may apply)</t>
  </si>
  <si>
    <t>Food preparation or serving areas 
in non-food service buildings
(more than one may apply)</t>
  </si>
  <si>
    <t>Snack bar or concession stand</t>
  </si>
  <si>
    <t>Fast food or small restaurant</t>
  </si>
  <si>
    <t>Cafeteria or large restaurant</t>
  </si>
  <si>
    <t>Commercial kitchen/
food preparation area</t>
  </si>
  <si>
    <t>Small kitchen area</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</si>
  <si>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 = Value rounds to zero in the units displayed.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</si>
  <si>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Table 21.  Residential Sector Equipment Stock and Efficiency, and Distributed Generation</t>
  </si>
  <si>
    <t>https://www.eia.gov/outlooks/aeo/data/browser/#/?id=30-AEO2026&amp;cases=electrnp&amp;sourcekey=0</t>
  </si>
  <si>
    <t>Thu Apr 23 2026 15:00:43 GMT-0700 (Pacific Daylight Time)</t>
  </si>
  <si>
    <t>Source: U.S. Energy Information Administration</t>
  </si>
  <si>
    <t>Growth (2025-2050)</t>
  </si>
  <si>
    <t>AEO.2026.ELECTRNP.EQNR_STK_RESD_MSHR_EHP_NA_NA_MILL.A</t>
  </si>
  <si>
    <t>1.7%</t>
  </si>
  <si>
    <t>AEO.2026.ELECTRNP.EQNR_STK_RESD_MSHR_ELO_NA_NA_MILL.A</t>
  </si>
  <si>
    <t>1.0%</t>
  </si>
  <si>
    <t>AEO.2026.ELECTRNP.EQNR_STK_RESD_MSHR_NHU_NA_NA_MILL.A</t>
  </si>
  <si>
    <t>0.5%</t>
  </si>
  <si>
    <t>AEO.2026.ELECTRNP.EQNR_STK_RESD_MSHR_NGO_NA_NA_MILL.A</t>
  </si>
  <si>
    <t>0.7%</t>
  </si>
  <si>
    <t>AEO.2026.ELECTRNP.EQNR_STK_RESD_MSHR_DFO_NA_NA_MILL.A</t>
  </si>
  <si>
    <t>-0.6%</t>
  </si>
  <si>
    <t>AEO.2026.ELECTRNP.EQNR_STK_RESD_MSHR_PROP_NA_NA_MILL.A</t>
  </si>
  <si>
    <t>0.1%</t>
  </si>
  <si>
    <t>AEO.2026.ELECTRNP.EQNR_STK_RESD_MSHR_WDS_NA_NA_MILL.A</t>
  </si>
  <si>
    <t>-0.2%</t>
  </si>
  <si>
    <t>AEO.2026.ELECTRNP.EQNR_STK_RESD_MSHR_GEHP_NA_NA_MILL.A</t>
  </si>
  <si>
    <t>0.6%</t>
  </si>
  <si>
    <t>AEO.2026.ELECTRNP.EQNR_STK_RESD_MSHR_TOT_NA_NA_MILL.A</t>
  </si>
  <si>
    <t>0.8%</t>
  </si>
  <si>
    <t>AEO.2026.ELECTRNP.EQNR_STK_RESD_SPC_EHP_NA_NA_MILL.A</t>
  </si>
  <si>
    <t>AEO.2026.ELECTRNP.EQNR_STK_RESD_SPC_NHU_NA_NA_MILL.A</t>
  </si>
  <si>
    <t>AEO.2026.ELECTRNP.EQNR_STK_RESD_SPC_GEHP_NA_NA_MILL.A</t>
  </si>
  <si>
    <t>AEO.2026.ELECTRNP.EQNR_STK_RESD_SPC_CAC_NA_NA_MILL.A</t>
  </si>
  <si>
    <t>1.1%</t>
  </si>
  <si>
    <t>AEO.2026.ELECTRNP.EQNR_STK_RESD_SPC_RAC_NA_NA_MILL.A</t>
  </si>
  <si>
    <t>0.2%</t>
  </si>
  <si>
    <t>AEO.2026.ELECTRNP.EQNR_STK_RESD_SPC_TOT_NA_NA_MILL.A</t>
  </si>
  <si>
    <t>0.9%</t>
  </si>
  <si>
    <t>AEO.2026.ELECTRNP.EQNR_STK_RESD_WHT_ELE_NA_NA_MILL.A</t>
  </si>
  <si>
    <t>AEO.2026.ELECTRNP.EQNR_STK_RESD_WHT_NG_NA_NA_MILL.A</t>
  </si>
  <si>
    <t>AEO.2026.ELECTRNP.EQNR_STK_RESD_WHT_DFO_NA_NA_MILL.A</t>
  </si>
  <si>
    <t>-2.1%</t>
  </si>
  <si>
    <t>AEO.2026.ELECTRNP.EQNR_STK_RESD_WHT_PROP_NA_NA_MILL.A</t>
  </si>
  <si>
    <t>-0.5%</t>
  </si>
  <si>
    <t>AEO.2026.ELECTRNP.EQNR_STK_RESD_WHT_SLR_THERM_NA_MILL.A</t>
  </si>
  <si>
    <t>AEO.2026.ELECTRNP.EQNR_STK_RESD_WHT_TOT_NA_NA_MILL.A</t>
  </si>
  <si>
    <t>AEO.2026.ELECTRNP.EQNR_STK_RESD_CER_ELE_NA_NA_MILL.A</t>
  </si>
  <si>
    <t>AEO.2026.ELECTRNP.EQNR_STK_RESD_CER_NG_NA_NA_MILL.A</t>
  </si>
  <si>
    <t>AEO.2026.ELECTRNP.EQNR_STK_RESD_CER_PROP_NA_NA_MILL.A</t>
  </si>
  <si>
    <t>AEO.2026.ELECTRNP.EQNR_STK_RESD_CER_TOT_NA_NA_MILL.A</t>
  </si>
  <si>
    <t>AEO.2026.ELECTRNP.EQNR_STK_RESD_CDR_ELE_NA_NA_MILL.A</t>
  </si>
  <si>
    <t>2.1%</t>
  </si>
  <si>
    <t>AEO.2026.ELECTRNP.EQNR_STK_RESD_CDR_NG_NA_NA_MILL.A</t>
  </si>
  <si>
    <t>1.5%</t>
  </si>
  <si>
    <t>AEO.2026.ELECTRNP.EQNR_STK_RESD_CDR_TOT_NA_NA_MILL.A</t>
  </si>
  <si>
    <t>2.0%</t>
  </si>
  <si>
    <t>AEO.2026.ELECTRNP.EQNR_STK_RESD_OTAR_RFG_NA_NA_MILL.A</t>
  </si>
  <si>
    <t>AEO.2026.ELECTRNP.EQNR_STK_RESD_OTAR_FRZ_NA_NA_MILL.A</t>
  </si>
  <si>
    <t>Stock Average Equipment Efficiency</t>
  </si>
  <si>
    <t>Electric Heat Pumps (HSPF)</t>
  </si>
  <si>
    <t>Residential Equipment: Stock Average Efficiency: Main Space Heaters: Electric Heat Pumps: Alternative Electricity and Transportation</t>
  </si>
  <si>
    <t>AEO.2026.ELECTRNP.EFI_STK_RESD_SPHR_EHP_NA_NA_HSPF.A</t>
  </si>
  <si>
    <t>HSPF</t>
  </si>
  <si>
    <t>Natural Gas Heat Pumps (GCOP)</t>
  </si>
  <si>
    <t>Residential Equipment: Stock Average Efficiency: Main Space Heaters: Natural Gas Heat Pumps: Alternative Electricity and Transportation</t>
  </si>
  <si>
    <t>AEO.2026.ELECTRNP.EFI_STK_RESD_SPHR_NHU_NA_NA_GCOP.A</t>
  </si>
  <si>
    <t>GCOP</t>
  </si>
  <si>
    <t>0.0%</t>
  </si>
  <si>
    <t>Geothermal Heat Pumps (COP)</t>
  </si>
  <si>
    <t>Residential Equipment: Stock Average Efficiency: Main Space Heaters: Geothermal Heat Pumps: Alternative Electricity and Transportation</t>
  </si>
  <si>
    <t>AEO.2026.ELECTRNP.EFI_STK_RESD_SPHR_GEHP_NA_NA_COP.A</t>
  </si>
  <si>
    <t>COP</t>
  </si>
  <si>
    <t>0.4%</t>
  </si>
  <si>
    <t>Natural Gas Furnace (AFUE)</t>
  </si>
  <si>
    <t>Residential Equipment: Stock Average Efficiency: Main Space Heaters: Natural Gas Furnace: Alternative Electricity and Transportation</t>
  </si>
  <si>
    <t>AEO.2026.ELECTRNP.EFI_STK_RESD_SPHR_NFR_NA_NA_AFUE.A</t>
  </si>
  <si>
    <t>AFUE</t>
  </si>
  <si>
    <t>Distillate Furnace (AFUE)</t>
  </si>
  <si>
    <t>Residential Equipment: Stock Average Efficiency: Main Space Heaters: Distillate Furnace: Alternative Electricity and Transportation</t>
  </si>
  <si>
    <t>AEO.2026.ELECTRNP.EFI_STK_RESD_SPHR_DFR_NA_NA_AFUE.A</t>
  </si>
  <si>
    <t>Electric Heat Pumps (SEER)</t>
  </si>
  <si>
    <t>Residential Equipment: Stock Average Efficiency: Space Cooling: Electric Heat Pumps: Alternative Electricity and Transportation</t>
  </si>
  <si>
    <t>AEO.2026.ELECTRNP.EFI_STK_RESD_SPC_EHP_NA_NA_SEER.A</t>
  </si>
  <si>
    <t>SEER</t>
  </si>
  <si>
    <t>Residential Equipment: Stock Average Efficiency: Space Cooling: Natural Gas Heat Pumps: Alternative Electricity and Transportation</t>
  </si>
  <si>
    <t>AEO.2026.ELECTRNP.EFI_STK_RESD_SPC_NHU_NA_NA_GCOP.A</t>
  </si>
  <si>
    <t>Geothermal Heat Pumps (EER)</t>
  </si>
  <si>
    <t>Residential Equipment: Stock Average Efficiency: Space Cooling: Geothermal Heat Pumps: Alternative Electricity and Transportation</t>
  </si>
  <si>
    <t>AEO.2026.ELECTRNP.EFI_STK_RESD_SPC_GEHP_NA_NA_EER.A</t>
  </si>
  <si>
    <t>EER</t>
  </si>
  <si>
    <t>Central Air Conditioners (SEER)</t>
  </si>
  <si>
    <t>Residential Equipment: Stock Average Efficiency: Space Cooling: Central Air Conditioners: Alternative Electricity and Transportation</t>
  </si>
  <si>
    <t>AEO.2026.ELECTRNP.EFI_STK_RESD_SPC_CAC_NA_NA_SEER.A</t>
  </si>
  <si>
    <t>Room Air Conditioners (EER)</t>
  </si>
  <si>
    <t>Residential Equipment: Stock Average Efficiency: Space Cooling: Room Air Conditioners: Alternative Electricity and Transportation</t>
  </si>
  <si>
    <t>AEO.2026.ELECTRNP.EFI_STK_RESD_SPC_RAC_NA_NA_EER.A</t>
  </si>
  <si>
    <t>1.3%</t>
  </si>
  <si>
    <t>Electric (EF)</t>
  </si>
  <si>
    <t>Residential Equipment: Stock Average Efficiency: Water Heaters: Electric: Alternative Electricity and Transportation</t>
  </si>
  <si>
    <t>AEO.2026.ELECTRNP.EFI_STK_RESD_WHT_ELE_NA_NA_EF.A</t>
  </si>
  <si>
    <t>EF</t>
  </si>
  <si>
    <t>2.9%</t>
  </si>
  <si>
    <t>Natural Gas (EF)</t>
  </si>
  <si>
    <t>Residential Equipment: Stock Average Efficiency: Water Heaters: Natural Gas: Alternative Electricity and Transportation</t>
  </si>
  <si>
    <t>AEO.2026.ELECTRNP.EFI_STK_RESD_WHT_NG_NA_NA_EF.A</t>
  </si>
  <si>
    <t>0.3%</t>
  </si>
  <si>
    <t>Distillate Fuel Oil (EF)</t>
  </si>
  <si>
    <t>Residential Equipment: Stock Average Efficiency: Water Heaters: Distillate Fuel Oil: Alternative Electricity and Transportation</t>
  </si>
  <si>
    <t>AEO.2026.ELECTRNP.EFI_STK_RESD_WHT_DFO_NA_NA_EF.A</t>
  </si>
  <si>
    <t>Propane (EF)</t>
  </si>
  <si>
    <t>Residential Equipment: Stock Average Efficiency: Water Heaters: Propane: Alternative Electricity and Transportation</t>
  </si>
  <si>
    <t>AEO.2026.ELECTRNP.EFI_STK_RESD_WHT_PROP_NA_NA_EF.A</t>
  </si>
  <si>
    <t>Other Appliances (kilowatthours per year)</t>
  </si>
  <si>
    <t>Residential Equipment: Stock Average Efficiency: Other Appliances: Refrigerators: Alternative Electricity and Transportation</t>
  </si>
  <si>
    <t>AEO.2026.ELECTRNP.EFI_STK_RESD_OTAR_RFG_NA_NA_KWH.A</t>
  </si>
  <si>
    <t>kWh</t>
  </si>
  <si>
    <t>-1.3%</t>
  </si>
  <si>
    <t>Residential Equipment: Stock Average Efficiency: Other Appliances: Freezers: Alternative Electricity and Transportation</t>
  </si>
  <si>
    <t>AEO.2026.ELECTRNP.EFI_STK_RESD_OTAR_FRZ_NA_NA_KWH.A</t>
  </si>
  <si>
    <t>-1.1%</t>
  </si>
  <si>
    <t>Building Shell Efficiency Index</t>
  </si>
  <si>
    <t>Space Heating</t>
  </si>
  <si>
    <t>Pre-2020 Homes</t>
  </si>
  <si>
    <t>Residential Equipment: Building Shell Efficiency Index: Space Heating: Pre-2020 Homes: Alternative Electricity and Transportation</t>
  </si>
  <si>
    <t>AEO.2026.ELECTRNP.EFI_BSE_RESD_SPH_OLD_NA_NA_Y15EQ1.A</t>
  </si>
  <si>
    <t>2020=1.00</t>
  </si>
  <si>
    <t>-0.8%</t>
  </si>
  <si>
    <t>New Construction</t>
  </si>
  <si>
    <t>Residential Equipment: Building Shell Efficiency Index: Space Heating: New Construction: Alternative Electricity and Transportation</t>
  </si>
  <si>
    <t>AEO.2026.ELECTRNP.EFI_BSE_RESD_SPH_NCO_NA_NA_Y15EQ1.A</t>
  </si>
  <si>
    <t>All Homes</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</si>
  <si>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</si>
  <si>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</si>
  <si>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</si>
  <si>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</si>
  <si>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</si>
  <si>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</si>
  <si>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</si>
  <si>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</si>
  <si>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</si>
  <si>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Distributed Generation and</t>
  </si>
  <si>
    <t>Combined Heat and Power</t>
  </si>
  <si>
    <t>Generating Capacity (gigawatts)</t>
  </si>
  <si>
    <t>Natural Gas Fuel Cells</t>
  </si>
  <si>
    <t>Residential: Combined Heat and Power: Generating Capacity: Fuel Cells: Alternative Electricity and Transportation</t>
  </si>
  <si>
    <t>AEO.2026.ELECTRNP.CAP_NA_COMM_CHP_FCL_NA_NA_MW.A</t>
  </si>
  <si>
    <t>GW</t>
  </si>
  <si>
    <t>11.5%</t>
  </si>
  <si>
    <t>Solar Photovoltaic</t>
  </si>
  <si>
    <t>Residential: Combined Heat and Power: Generating Capacity: Solar Photovoltaic: Alternative Electricity and Transportation</t>
  </si>
  <si>
    <t>AEO.2026.ELECTRNP.CAP_NA_RESD_CHP_SLR_PHTVL_NA_MW.A</t>
  </si>
  <si>
    <t>5.3%</t>
  </si>
  <si>
    <t>Wind</t>
  </si>
  <si>
    <t>Residential: Combined Heat and Power: Generating Capacity: Wind: Alternative Electricity and Transportation</t>
  </si>
  <si>
    <t>AEO.2026.ELECTRNP.CAP_NA_RESD_CHP_WND_NA_NA_MW.A</t>
  </si>
  <si>
    <t>1.9%</t>
  </si>
  <si>
    <t>Residential: Combined Heat and Power: Generating Capacity: Total: Alternative Electricity and Transportation</t>
  </si>
  <si>
    <t>AEO.2026.ELECTRNP.CAP_NA_RESD_CHP_TOT_NA_NA_MW.A</t>
  </si>
  <si>
    <t>Net Generation (billion kilowatthours)</t>
  </si>
  <si>
    <t>Residential: Combined Heat and Power: Net Generation: Fuel Cells: Alternative Electricity and Transportation</t>
  </si>
  <si>
    <t>AEO.2026.ELECTRNP.GEN_NA_COMM_CHP_FCL_NA_NA_MILLKWH.A</t>
  </si>
  <si>
    <t>billion kWh</t>
  </si>
  <si>
    <t>Residential: Combined Heat and Power: Net Generation: Solar Photovoltaic: Alternative Electricity and Transportation</t>
  </si>
  <si>
    <t>AEO.2026.ELECTRNP.GEN_NA_COMM_CHP_SLR_PHTVL_NA_MILLKWH.A</t>
  </si>
  <si>
    <t>5.1%</t>
  </si>
  <si>
    <t>Residential: Combined Heat and Power: Net Generation: Wind: Alternative Electricity and Transportation</t>
  </si>
  <si>
    <t>AEO.2026.ELECTRNP.GEN_NA_COMM_CHP_WND_NA_NA_MILLKWH.A</t>
  </si>
  <si>
    <t>Residential: Combined Heat and Power: Net Generation: Total: Alternative Electricity and Transportation</t>
  </si>
  <si>
    <t>AEO.2026.ELECTRNP.GEN_NA_COMM_CHP_TOT_NA_NA_MILLKWH.A</t>
  </si>
  <si>
    <t>Disposition</t>
  </si>
  <si>
    <t>Sales to the Grid</t>
  </si>
  <si>
    <t>Residential: Combined Heat and Power: Net Generation: Sales to the Grid: Alternative Electricity and Transportation</t>
  </si>
  <si>
    <t>AEO.2026.ELECTRNP.GEN_NA_COMM_CHP_STG_NA_NA_MILLKWH.A</t>
  </si>
  <si>
    <t>5.2%</t>
  </si>
  <si>
    <t>Generation for Own Use</t>
  </si>
  <si>
    <t>Residential: Combined Heat and Power: Net Generation: Generation for Own Use: Alternative Electricity and Transportation</t>
  </si>
  <si>
    <t>AEO.2026.ELECTRNP.GEN_NA_COMM_CHP_GFO_NA_NA_MILLKWH.A</t>
  </si>
  <si>
    <t>5.0%</t>
  </si>
  <si>
    <t>Energy Input (trillion Btu)</t>
  </si>
  <si>
    <t>Residential: Combined Heat and Power: Energy Input: Fuel Cells: Alternative Electricity and Transportation</t>
  </si>
  <si>
    <t>AEO.2026.ELECTRNP.CNSM_NA_COMM_CHP_FCL_NA_NA_TRLBTU.A</t>
  </si>
  <si>
    <t>trillion Btu</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</si>
  <si>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</si>
  <si>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</si>
  <si>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</si>
  <si>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</si>
  <si>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</si>
  <si>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</si>
  <si>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Validation checks</t>
  </si>
  <si>
    <t>Child-factor groups sum to 1 (per file/context/parent; rate-file reroutes excluded)</t>
  </si>
  <si>
    <t>SoBCaICbIC-commercial.csv | Appliances | ISIC 01T03</t>
  </si>
  <si>
    <t>SoBCaICbIC-commercial.csv | Appliances | ISIC 07T08</t>
  </si>
  <si>
    <t>SoBCaICbIC-commercial.csv | Appliances | ISIC 30</t>
  </si>
  <si>
    <t>SoBCaICbIC-commercial.csv | Appliances | ISIC 49T53</t>
  </si>
  <si>
    <t>SoBCaICbIC-commercial.csv | Appliances | ISIC 69T82</t>
  </si>
  <si>
    <t>SoBCaICbIC-commercial.csv | Appliances | ISIC 90T96</t>
  </si>
  <si>
    <t>SoBCaICbIC-commercial.csv | Cooling | ISIC 01T03</t>
  </si>
  <si>
    <t>SoBCaICbIC-commercial.csv | Cooling | ISIC 07T08</t>
  </si>
  <si>
    <t>SoBCaICbIC-commercial.csv | Cooling | ISIC 30</t>
  </si>
  <si>
    <t>SoBCaICbIC-commercial.csv | Cooling | ISIC 49T53</t>
  </si>
  <si>
    <t>SoBCaICbIC-commercial.csv | Cooling | ISIC 69T82</t>
  </si>
  <si>
    <t>SoBCaICbIC-commercial.csv | Cooling | ISIC 90T96</t>
  </si>
  <si>
    <t>SoBCaICbIC-commercial.csv | Envelope | ISIC 01T03</t>
  </si>
  <si>
    <t>SoBCaICbIC-commercial.csv | Envelope | ISIC 07T08</t>
  </si>
  <si>
    <t>SoBCaICbIC-commercial.csv | Envelope | ISIC 30</t>
  </si>
  <si>
    <t>SoBCaICbIC-commercial.csv | Envelope | ISIC 49T53</t>
  </si>
  <si>
    <t>SoBCaICbIC-commercial.csv | Envelope | ISIC 69T82</t>
  </si>
  <si>
    <t>SoBCaICbIC-commercial.csv | Envelope | ISIC 90T96</t>
  </si>
  <si>
    <t>SoBCaICbIC-commercial.csv | Heating | ISIC 01T03</t>
  </si>
  <si>
    <t>SoBCaICbIC-commercial.csv | Heating | ISIC 07T08</t>
  </si>
  <si>
    <t>SoBCaICbIC-commercial.csv | Heating | ISIC 30</t>
  </si>
  <si>
    <t>SoBCaICbIC-commercial.csv | Heating | ISIC 49T53</t>
  </si>
  <si>
    <t>SoBCaICbIC-commercial.csv | Heating | ISIC 69T82</t>
  </si>
  <si>
    <t>SoBCaICbIC-commercial.csv | Heating | ISIC 90T96</t>
  </si>
  <si>
    <t>SoBCaICbIC-commercial.csv | Lighting | ISIC 01T03</t>
  </si>
  <si>
    <t>SoBCaICbIC-commercial.csv | Lighting | ISIC 07T08</t>
  </si>
  <si>
    <t>SoBCaICbIC-commercial.csv | Lighting | ISIC 30</t>
  </si>
  <si>
    <t>SoBCaICbIC-commercial.csv | Lighting | ISIC 49T53</t>
  </si>
  <si>
    <t>SoBCaICbIC-commercial.csv | Lighting | ISIC 69T82</t>
  </si>
  <si>
    <t>SoBCaICbIC-commercial.csv | Lighting | ISIC 90T96</t>
  </si>
  <si>
    <t>SoBCaICbIC-commercial.csv | Other | ISIC 01T03</t>
  </si>
  <si>
    <t>SoBCaICbIC-commercial.csv | Other | ISIC 07T08</t>
  </si>
  <si>
    <t>SoBCaICbIC-commercial.csv | Other | ISIC 30</t>
  </si>
  <si>
    <t>SoBCaICbIC-commercial.csv | Other | ISIC 49T53</t>
  </si>
  <si>
    <t>SoBCaICbIC-commercial.csv | Other | ISIC 69T82</t>
  </si>
  <si>
    <t>SoBCaICbIC-commercial.csv | Other | ISIC 90T96</t>
  </si>
  <si>
    <t>SoBCaICbIC-ruralresidential.csv | Appliances | ISIC 01T03</t>
  </si>
  <si>
    <t>SoBCaICbIC-ruralresidential.csv | Appliances | ISIC 07T08</t>
  </si>
  <si>
    <t>SoBCaICbIC-ruralresidential.csv | Appliances | ISIC 30</t>
  </si>
  <si>
    <t>SoBCaICbIC-ruralresidential.csv | Appliances | ISIC 49T53</t>
  </si>
  <si>
    <t>SoBCaICbIC-ruralresidential.csv | Appliances | ISIC 69T82</t>
  </si>
  <si>
    <t>SoBCaICbIC-ruralresidential.csv | Appliances | ISIC 90T96</t>
  </si>
  <si>
    <t>SoBCaICbIC-ruralresidential.csv | Cooling | ISIC 01T03</t>
  </si>
  <si>
    <t>SoBCaICbIC-ruralresidential.csv | Cooling | ISIC 07T08</t>
  </si>
  <si>
    <t>SoBCaICbIC-ruralresidential.csv | Cooling | ISIC 30</t>
  </si>
  <si>
    <t>SoBCaICbIC-ruralresidential.csv | Cooling | ISIC 49T53</t>
  </si>
  <si>
    <t>SoBCaICbIC-ruralresidential.csv | Cooling | ISIC 69T82</t>
  </si>
  <si>
    <t>SoBCaICbIC-ruralresidential.csv | Cooling | ISIC 90T96</t>
  </si>
  <si>
    <t>SoBCaICbIC-ruralresidential.csv | Envelope | ISIC 01T03</t>
  </si>
  <si>
    <t>SoBCaICbIC-ruralresidential.csv | Envelope | ISIC 07T08</t>
  </si>
  <si>
    <t>SoBCaICbIC-ruralresidential.csv | Envelope | ISIC 30</t>
  </si>
  <si>
    <t>SoBCaICbIC-ruralresidential.csv | Envelope | ISIC 49T53</t>
  </si>
  <si>
    <t>SoBCaICbIC-ruralresidential.csv | Envelope | ISIC 69T82</t>
  </si>
  <si>
    <t>SoBCaICbIC-ruralresidential.csv | Envelope | ISIC 90T96</t>
  </si>
  <si>
    <t>SoBCaICbIC-ruralresidential.csv | Heating | ISIC 01T03</t>
  </si>
  <si>
    <t>SoBCaICbIC-ruralresidential.csv | Heating | ISIC 07T08</t>
  </si>
  <si>
    <t>SoBCaICbIC-ruralresidential.csv | Heating | ISIC 30</t>
  </si>
  <si>
    <t>SoBCaICbIC-ruralresidential.csv | Heating | ISIC 49T53</t>
  </si>
  <si>
    <t>SoBCaICbIC-ruralresidential.csv | Heating | ISIC 69T82</t>
  </si>
  <si>
    <t>SoBCaICbIC-ruralresidential.csv | Heating | ISIC 90T96</t>
  </si>
  <si>
    <t>SoBCaICbIC-ruralresidential.csv | Lighting | ISIC 01T03</t>
  </si>
  <si>
    <t>SoBCaICbIC-ruralresidential.csv | Lighting | ISIC 07T08</t>
  </si>
  <si>
    <t>SoBCaICbIC-ruralresidential.csv | Lighting | ISIC 30</t>
  </si>
  <si>
    <t>SoBCaICbIC-ruralresidential.csv | Lighting | ISIC 49T53</t>
  </si>
  <si>
    <t>SoBCaICbIC-ruralresidential.csv | Lighting | ISIC 69T82</t>
  </si>
  <si>
    <t>SoBCaICbIC-ruralresidential.csv | Lighting | ISIC 90T96</t>
  </si>
  <si>
    <t>SoBCaICbIC-ruralresidential.csv | Other | ISIC 01T03</t>
  </si>
  <si>
    <t>SoBCaICbIC-ruralresidential.csv | Other | ISIC 07T08</t>
  </si>
  <si>
    <t>SoBCaICbIC-ruralresidential.csv | Other | ISIC 30</t>
  </si>
  <si>
    <t>SoBCaICbIC-ruralresidential.csv | Other | ISIC 49T53</t>
  </si>
  <si>
    <t>SoBCaICbIC-ruralresidential.csv | Other | ISIC 69T82</t>
  </si>
  <si>
    <t>SoBCaICbIC-ruralresidential.csv | Other | ISIC 90T96</t>
  </si>
  <si>
    <t>SoBCaICbIC-urbanresidential.csv | Appliances | ISIC 01T03</t>
  </si>
  <si>
    <t>SoBCaICbIC-urbanresidential.csv | Appliances | ISIC 07T08</t>
  </si>
  <si>
    <t>SoBCaICbIC-urbanresidential.csv | Appliances | ISIC 30</t>
  </si>
  <si>
    <t>SoBCaICbIC-urbanresidential.csv | Appliances | ISIC 49T53</t>
  </si>
  <si>
    <t>SoBCaICbIC-urbanresidential.csv | Appliances | ISIC 69T82</t>
  </si>
  <si>
    <t>SoBCaICbIC-urbanresidential.csv | Appliances | ISIC 90T96</t>
  </si>
  <si>
    <t>SoBCaICbIC-urbanresidential.csv | Cooling | ISIC 01T03</t>
  </si>
  <si>
    <t>SoBCaICbIC-urbanresidential.csv | Cooling | ISIC 07T08</t>
  </si>
  <si>
    <t>SoBCaICbIC-urbanresidential.csv | Cooling | ISIC 30</t>
  </si>
  <si>
    <t>SoBCaICbIC-urbanresidential.csv | Cooling | ISIC 49T53</t>
  </si>
  <si>
    <t>SoBCaICbIC-urbanresidential.csv | Cooling | ISIC 69T82</t>
  </si>
  <si>
    <t>SoBCaICbIC-urbanresidential.csv | Cooling | ISIC 90T96</t>
  </si>
  <si>
    <t>SoBCaICbIC-urbanresidential.csv | Envelope | ISIC 01T03</t>
  </si>
  <si>
    <t>SoBCaICbIC-urbanresidential.csv | Envelope | ISIC 07T08</t>
  </si>
  <si>
    <t>SoBCaICbIC-urbanresidential.csv | Envelope | ISIC 30</t>
  </si>
  <si>
    <t>SoBCaICbIC-urbanresidential.csv | Envelope | ISIC 49T53</t>
  </si>
  <si>
    <t>SoBCaICbIC-urbanresidential.csv | Envelope | ISIC 69T82</t>
  </si>
  <si>
    <t>SoBCaICbIC-urbanresidential.csv | Envelope | ISIC 90T96</t>
  </si>
  <si>
    <t>SoBCaICbIC-urbanresidential.csv | Heating | ISIC 01T03</t>
  </si>
  <si>
    <t>SoBCaICbIC-urbanresidential.csv | Heating | ISIC 07T08</t>
  </si>
  <si>
    <t>SoBCaICbIC-urbanresidential.csv | Heating | ISIC 30</t>
  </si>
  <si>
    <t>SoBCaICbIC-urbanresidential.csv | Heating | ISIC 49T53</t>
  </si>
  <si>
    <t>SoBCaICbIC-urbanresidential.csv | Heating | ISIC 69T82</t>
  </si>
  <si>
    <t>SoBCaICbIC-urbanresidential.csv | Heating | ISIC 90T96</t>
  </si>
  <si>
    <t>SoBCaICbIC-urbanresidential.csv | Lighting | ISIC 01T03</t>
  </si>
  <si>
    <t>SoBCaICbIC-urbanresidential.csv | Lighting | ISIC 07T08</t>
  </si>
  <si>
    <t>SoBCaICbIC-urbanresidential.csv | Lighting | ISIC 30</t>
  </si>
  <si>
    <t>SoBCaICbIC-urbanresidential.csv | Lighting | ISIC 49T53</t>
  </si>
  <si>
    <t>SoBCaICbIC-urbanresidential.csv | Lighting | ISIC 69T82</t>
  </si>
  <si>
    <t>SoBCaICbIC-urbanresidential.csv | Lighting | ISIC 90T96</t>
  </si>
  <si>
    <t>SoBCaICbIC-urbanresidential.csv | Other | ISIC 01T03</t>
  </si>
  <si>
    <t>SoBCaICbIC-urbanresidential.csv | Other | ISIC 07T08</t>
  </si>
  <si>
    <t>SoBCaICbIC-urbanresidential.csv | Other | ISIC 30</t>
  </si>
  <si>
    <t>SoBCaICbIC-urbanresidential.csv | Other | ISIC 49T53</t>
  </si>
  <si>
    <t>SoBCaICbIC-urbanresidential.csv | Other | ISIC 69T82</t>
  </si>
  <si>
    <t>SoBCaICbIC-urbanresidential.csv | Other | ISIC 90T96</t>
  </si>
  <si>
    <t>Unit: dimensionless (%)</t>
  </si>
  <si>
    <t>Data centers</t>
  </si>
  <si>
    <t>Data centers are a separate building type. Their export tab copies the commercial cost shares by ISIC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</si>
</sst>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5"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sz val="10"/>
      <color theme="1"/>
      <name val="Calibri"/>
      <family val="2"/>
      <scheme val="minor"/>
    </font>
    <font>
      <b/>
      <sz val="12"/>
      <color theme="4"/>
      <name val="Calibri"/>
      <family val="2"/>
      <scheme val="minor"/>
    </font>
    <font>
      <b/>
      <sz val="10"/>
      <color theme="1"/>
      <name val="Calibri"/>
      <family val="2"/>
      <scheme val="minor"/>
    </font>
    <font>
      <b/>
      <sz val="9"/>
      <color theme="1"/>
      <name val="Calibri"/>
      <family val="2"/>
      <scheme val="minor"/>
    </font>
    <font>
      <sz val="9"/>
      <color theme="1"/>
      <name val="Calibri"/>
      <family val="2"/>
      <scheme val="minor"/>
    </font>
    <font>
      <b/>
      <sz val="11"/>
      <color theme="0" tint="-0.499984740745262"/>
      <name val="Calibri"/>
      <family val="2"/>
      <scheme val="minor"/>
    </font>
    <font>
      <b/>
      <sz val="11"/>
      <name val="Calibri"/>
      <family val="2"/>
      <scheme val="minor"/>
    </font>
    <font>
      <i/>
      <sz val="11"/>
      <color theme="1"/>
      <name val="Calibri"/>
      <family val="2"/>
      <scheme val="minor"/>
    </font>
    <font>
      <b/>
      <sz val="11"/>
      <name val="Calibri"/>
      <family val="2"/>
    </font>
    <font>
      <sz val="11"/>
      <name val="Calibri"/>
      <family val="2"/>
    </font>
  </fonts>
  <fills count="10">
    <fill>
      <patternFill patternType="none"/>
    </fill>
    <fill>
      <patternFill patternType="gray125"/>
    </fill>
    <fill>
      <patternFill patternType="solid">
        <fgColor theme="0" tint="-0.2499771111178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theme="7" tint="0.59999389629810485"/>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right/>
      <top/>
      <bottom style="thick">
        <color theme="4"/>
      </bottom>
      <diagonal/>
    </border>
    <border>
      <left/>
      <right/>
      <top/>
      <bottom style="thick">
        <color theme="0" tint="-0.24994659260841701"/>
      </bottom>
      <diagonal/>
    </border>
    <border>
      <left/>
      <right/>
      <top style="thick">
        <color theme="0" tint="-0.24994659260841701"/>
      </top>
      <bottom/>
      <diagonal/>
    </border>
    <border>
      <left/>
      <right/>
      <top/>
      <bottom style="dashed">
        <color theme="0" tint="-0.24994659260841701"/>
      </bottom>
      <diagonal/>
    </border>
    <border>
      <left/>
      <right/>
      <top style="thick">
        <color theme="4"/>
      </top>
      <bottom style="dashed">
        <color theme="0" tint="-0.24994659260841701"/>
      </bottom>
      <diagonal/>
    </border>
    <border>
      <left/>
      <right/>
      <top/>
      <bottom style="thin">
        <color theme="0" tint="-0.249977111117893"/>
      </bottom>
      <diagonal/>
    </border>
    <border>
      <left style="medium">
        <color indexed="64"/>
      </left>
      <right/>
      <top style="medium">
        <color indexed="64"/>
      </top>
      <bottom style="thin">
        <color theme="0" tint="-0.249977111117893"/>
      </bottom>
      <diagonal/>
    </border>
    <border>
      <left/>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top/>
      <bottom style="dashed">
        <color theme="0" tint="-0.24994659260841701"/>
      </bottom>
      <diagonal/>
    </border>
    <border>
      <left/>
      <right style="medium">
        <color indexed="64"/>
      </right>
      <top/>
      <bottom style="dashed">
        <color theme="0" tint="-0.24994659260841701"/>
      </bottom>
      <diagonal/>
    </border>
    <border>
      <left style="medium">
        <color indexed="64"/>
      </left>
      <right/>
      <top/>
      <bottom style="medium">
        <color indexed="64"/>
      </bottom>
      <diagonal/>
    </border>
    <border>
      <left/>
      <right/>
      <top style="medium">
        <color theme="4"/>
      </top>
      <bottom/>
      <diagonal/>
    </border>
    <border>
      <left/>
      <right/>
      <top/>
      <bottom style="thin">
        <color theme="0" tint="-0.24994659260841701"/>
      </bottom>
      <diagonal/>
    </border>
    <border>
      <left/>
      <right style="thick">
        <color theme="0"/>
      </right>
      <top/>
      <bottom style="thin">
        <color theme="0" tint="-0.24994659260841701"/>
      </bottom>
      <diagonal/>
    </border>
    <border>
      <left/>
      <right/>
      <top style="thin">
        <color theme="0" tint="-0.24994659260841701"/>
      </top>
      <bottom style="thin">
        <color theme="0" tint="-0.24994659260841701"/>
      </bottom>
      <diagonal/>
    </border>
    <border>
      <left/>
      <right/>
      <top style="thick">
        <color theme="0" tint="-0.24994659260841701"/>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style="thick">
        <color theme="0" tint="-0.24994659260841701"/>
      </top>
      <bottom style="thick">
        <color theme="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9">
    <xf numFmtId="0" fontId="0" fillId="0" borderId="0"/>
    <xf numFmtId="9" fontId="1" fillId="0" borderId="0"/>
    <xf numFmtId="0" fontId="3" fillId="0" borderId="0"/>
    <xf numFmtId="43" fontId="1" fillId="0" borderId="0"/>
    <xf numFmtId="0" fontId="6" fillId="0" borderId="0">
      <alignment horizontal="left"/>
    </xf>
    <xf numFmtId="0" fontId="8" fillId="0" borderId="4">
      <alignment wrapText="1"/>
    </xf>
    <xf numFmtId="0" fontId="9" fillId="0" borderId="7">
      <alignment wrapText="1"/>
    </xf>
    <xf numFmtId="0" fontId="8" fillId="0" borderId="9">
      <alignment wrapText="1"/>
    </xf>
    <xf numFmtId="0" fontId="9" fillId="0" borderId="16">
      <alignment vertical="top" wrapText="1"/>
    </xf>
  </cellStyleXfs>
  <cellXfs count="131">
    <xf numFmtId="0" fontId="0" fillId="0" borderId="0" xfId="0"/>
    <xf numFmtId="0" fontId="3" fillId="0" borderId="0" xfId="2"/>
    <xf numFmtId="0" fontId="2" fillId="0" borderId="0" xfId="0" applyFont="1"/>
    <xf numFmtId="0" fontId="2" fillId="2" borderId="0" xfId="0" applyFont="1" applyFill="1"/>
    <xf numFmtId="0" fontId="0" fillId="0" borderId="0" xfId="0" applyAlignment="1">
      <alignment horizontal="left"/>
    </xf>
    <xf numFmtId="0" fontId="0" fillId="0" borderId="0" xfId="0" applyAlignment="1">
      <alignment vertical="center"/>
    </xf>
    <xf numFmtId="9" fontId="0" fillId="0" borderId="0" xfId="1" applyFont="1"/>
    <xf numFmtId="0" fontId="4" fillId="0" borderId="0" xfId="0" applyFont="1" applyAlignment="1">
      <alignment wrapText="1"/>
    </xf>
    <xf numFmtId="3" fontId="5" fillId="0" borderId="0" xfId="0" applyNumberFormat="1" applyFont="1"/>
    <xf numFmtId="0" fontId="6" fillId="0" borderId="0" xfId="4" applyAlignment="1">
      <alignment horizontal="left" wrapText="1"/>
    </xf>
    <xf numFmtId="0" fontId="7" fillId="0" borderId="4" xfId="5" applyFont="1">
      <alignment wrapText="1"/>
    </xf>
    <xf numFmtId="3" fontId="7" fillId="0" borderId="1" xfId="5" applyNumberFormat="1" applyFont="1" applyBorder="1" applyAlignment="1">
      <alignment horizontal="right" wrapText="1"/>
    </xf>
    <xf numFmtId="0" fontId="7" fillId="0" borderId="8" xfId="6" applyFont="1" applyBorder="1">
      <alignment wrapText="1"/>
    </xf>
    <xf numFmtId="3" fontId="5" fillId="0" borderId="8" xfId="6" applyNumberFormat="1" applyFont="1" applyBorder="1" applyAlignment="1">
      <alignment horizontal="right" wrapText="1"/>
    </xf>
    <xf numFmtId="3" fontId="5" fillId="0" borderId="7" xfId="6" applyNumberFormat="1" applyFont="1" applyAlignment="1">
      <alignment horizontal="right" wrapText="1"/>
    </xf>
    <xf numFmtId="0" fontId="7" fillId="0" borderId="9" xfId="7" applyFont="1">
      <alignment wrapText="1"/>
    </xf>
    <xf numFmtId="3" fontId="7" fillId="0" borderId="9" xfId="7" applyNumberFormat="1" applyFont="1" applyAlignment="1">
      <alignment horizontal="right" wrapText="1"/>
    </xf>
    <xf numFmtId="0" fontId="5" fillId="0" borderId="7" xfId="6" applyFont="1">
      <alignment wrapText="1"/>
    </xf>
    <xf numFmtId="0" fontId="5" fillId="0" borderId="7" xfId="6" applyFont="1" applyAlignment="1">
      <alignment horizontal="left" wrapText="1" indent="1"/>
    </xf>
    <xf numFmtId="0" fontId="7" fillId="0" borderId="0" xfId="6" applyFont="1" applyBorder="1">
      <alignment wrapText="1"/>
    </xf>
    <xf numFmtId="0" fontId="5" fillId="0" borderId="7" xfId="6" applyFont="1" applyAlignment="1">
      <alignment horizontal="left" wrapText="1" indent="2"/>
    </xf>
    <xf numFmtId="3" fontId="7" fillId="0" borderId="9" xfId="7" applyNumberFormat="1" applyFont="1">
      <alignment wrapText="1"/>
    </xf>
    <xf numFmtId="3" fontId="5" fillId="0" borderId="7" xfId="6" applyNumberFormat="1" applyFont="1">
      <alignment wrapText="1"/>
    </xf>
    <xf numFmtId="0" fontId="5" fillId="0" borderId="0" xfId="6" applyFont="1" applyBorder="1">
      <alignment wrapText="1"/>
    </xf>
    <xf numFmtId="3" fontId="5" fillId="0" borderId="0" xfId="6" applyNumberFormat="1" applyFont="1" applyBorder="1" applyAlignment="1">
      <alignment horizontal="right" wrapText="1"/>
    </xf>
    <xf numFmtId="0" fontId="7" fillId="3" borderId="10" xfId="7" applyFont="1" applyFill="1" applyBorder="1">
      <alignment wrapText="1"/>
    </xf>
    <xf numFmtId="3" fontId="7" fillId="3" borderId="11" xfId="7" applyNumberFormat="1" applyFont="1" applyFill="1" applyBorder="1">
      <alignment wrapText="1"/>
    </xf>
    <xf numFmtId="3" fontId="7" fillId="3" borderId="12" xfId="7" applyNumberFormat="1" applyFont="1" applyFill="1" applyBorder="1">
      <alignment wrapText="1"/>
    </xf>
    <xf numFmtId="0" fontId="5" fillId="3" borderId="13" xfId="6" applyFont="1" applyFill="1" applyBorder="1">
      <alignment wrapText="1"/>
    </xf>
    <xf numFmtId="3" fontId="5" fillId="3" borderId="7" xfId="6" applyNumberFormat="1" applyFont="1" applyFill="1" applyAlignment="1">
      <alignment horizontal="right" wrapText="1"/>
    </xf>
    <xf numFmtId="3" fontId="5" fillId="3" borderId="14" xfId="6" applyNumberFormat="1" applyFont="1" applyFill="1" applyBorder="1" applyAlignment="1">
      <alignment horizontal="right" wrapText="1"/>
    </xf>
    <xf numFmtId="0" fontId="5" fillId="3" borderId="15" xfId="6" applyFont="1" applyFill="1" applyBorder="1">
      <alignment wrapText="1"/>
    </xf>
    <xf numFmtId="3" fontId="5" fillId="3" borderId="3" xfId="6" applyNumberFormat="1" applyFont="1" applyFill="1" applyBorder="1" applyAlignment="1">
      <alignment horizontal="right" wrapText="1"/>
    </xf>
    <xf numFmtId="3" fontId="5" fillId="3" borderId="2" xfId="6" applyNumberFormat="1" applyFont="1" applyFill="1" applyBorder="1" applyAlignment="1">
      <alignment horizontal="right" wrapText="1"/>
    </xf>
    <xf numFmtId="0" fontId="5" fillId="0" borderId="7" xfId="6" quotePrefix="1" applyFont="1">
      <alignment wrapText="1"/>
    </xf>
    <xf numFmtId="9" fontId="0" fillId="4" borderId="0" xfId="1" applyFont="1" applyFill="1"/>
    <xf numFmtId="0" fontId="0" fillId="4" borderId="0" xfId="0" applyFill="1"/>
    <xf numFmtId="0" fontId="0" fillId="0" borderId="0" xfId="0" applyAlignment="1">
      <alignment horizontal="center"/>
    </xf>
    <xf numFmtId="0" fontId="2" fillId="5" borderId="0" xfId="0" applyFont="1" applyFill="1" applyAlignment="1">
      <alignment horizontal="center"/>
    </xf>
    <xf numFmtId="0" fontId="2" fillId="0" borderId="0" xfId="0" applyFont="1" applyAlignment="1">
      <alignment horizontal="center"/>
    </xf>
    <xf numFmtId="0" fontId="4" fillId="0" borderId="0" xfId="0" applyFont="1"/>
    <xf numFmtId="0" fontId="7" fillId="0" borderId="0" xfId="7" applyFont="1" applyBorder="1">
      <alignment wrapText="1"/>
    </xf>
    <xf numFmtId="3" fontId="7" fillId="0" borderId="0" xfId="7" applyNumberFormat="1" applyFont="1" applyBorder="1">
      <alignment wrapText="1"/>
    </xf>
    <xf numFmtId="3" fontId="7" fillId="0" borderId="4" xfId="5" applyNumberFormat="1" applyFont="1" applyAlignment="1">
      <alignment horizontal="right" wrapText="1"/>
    </xf>
    <xf numFmtId="3" fontId="7" fillId="0" borderId="0" xfId="5" applyNumberFormat="1" applyFont="1" applyBorder="1" applyAlignment="1">
      <alignment horizontal="right" wrapText="1"/>
    </xf>
    <xf numFmtId="3" fontId="2" fillId="0" borderId="0" xfId="0" applyNumberFormat="1" applyFont="1"/>
    <xf numFmtId="0" fontId="2" fillId="0" borderId="0" xfId="0" applyFont="1" applyAlignment="1">
      <alignment wrapText="1"/>
    </xf>
    <xf numFmtId="0" fontId="0" fillId="0" borderId="0" xfId="0" applyAlignment="1">
      <alignment wrapText="1"/>
    </xf>
    <xf numFmtId="0" fontId="7" fillId="0" borderId="0" xfId="5" applyFont="1" applyBorder="1">
      <alignment wrapText="1"/>
    </xf>
    <xf numFmtId="0" fontId="7" fillId="3" borderId="21" xfId="6" applyFont="1" applyFill="1" applyBorder="1">
      <alignment wrapText="1"/>
    </xf>
    <xf numFmtId="3" fontId="5" fillId="3" borderId="22" xfId="6" applyNumberFormat="1" applyFont="1" applyFill="1" applyBorder="1" applyAlignment="1">
      <alignment horizontal="right" wrapText="1"/>
    </xf>
    <xf numFmtId="3" fontId="5" fillId="3" borderId="23" xfId="6" applyNumberFormat="1" applyFont="1" applyFill="1" applyBorder="1" applyAlignment="1">
      <alignment horizontal="right" wrapText="1"/>
    </xf>
    <xf numFmtId="43" fontId="0" fillId="0" borderId="0" xfId="0" applyNumberFormat="1"/>
    <xf numFmtId="43" fontId="0" fillId="0" borderId="0" xfId="3" applyFont="1"/>
    <xf numFmtId="43" fontId="2" fillId="0" borderId="0" xfId="0" applyNumberFormat="1" applyFont="1"/>
    <xf numFmtId="9" fontId="0" fillId="0" borderId="0" xfId="0" applyNumberFormat="1"/>
    <xf numFmtId="9" fontId="2" fillId="4" borderId="0" xfId="1" applyFont="1" applyFill="1"/>
    <xf numFmtId="43" fontId="0" fillId="4" borderId="0" xfId="3" applyFont="1" applyFill="1"/>
    <xf numFmtId="9" fontId="2" fillId="0" borderId="0" xfId="1" applyFont="1"/>
    <xf numFmtId="0" fontId="2" fillId="4" borderId="0" xfId="0" applyFont="1" applyFill="1"/>
    <xf numFmtId="43" fontId="0" fillId="4" borderId="0" xfId="0" applyNumberFormat="1" applyFill="1"/>
    <xf numFmtId="43" fontId="0" fillId="0" borderId="0" xfId="3" applyFont="1" applyAlignment="1">
      <alignment wrapText="1"/>
    </xf>
    <xf numFmtId="0" fontId="10" fillId="0" borderId="0" xfId="0" applyFont="1"/>
    <xf numFmtId="0" fontId="2" fillId="8" borderId="0" xfId="0" applyFont="1" applyFill="1"/>
    <xf numFmtId="9" fontId="1" fillId="4" borderId="0" xfId="1" applyFill="1"/>
    <xf numFmtId="0" fontId="0" fillId="8" borderId="0" xfId="0" applyFill="1"/>
    <xf numFmtId="9" fontId="1" fillId="0" borderId="0" xfId="1"/>
    <xf numFmtId="9" fontId="2" fillId="8" borderId="0" xfId="1" applyFont="1" applyFill="1"/>
    <xf numFmtId="43" fontId="0" fillId="8" borderId="0" xfId="3" applyFont="1" applyFill="1" applyAlignment="1">
      <alignment wrapText="1"/>
    </xf>
    <xf numFmtId="0" fontId="0" fillId="8" borderId="0" xfId="0" applyFill="1" applyAlignment="1">
      <alignment wrapText="1"/>
    </xf>
    <xf numFmtId="43" fontId="2" fillId="8" borderId="0" xfId="3" applyFont="1" applyFill="1" applyAlignment="1">
      <alignment wrapText="1"/>
    </xf>
    <xf numFmtId="9" fontId="0" fillId="8" borderId="0" xfId="1" applyFont="1" applyFill="1"/>
    <xf numFmtId="43" fontId="2" fillId="8" borderId="0" xfId="0" applyNumberFormat="1" applyFont="1" applyFill="1"/>
    <xf numFmtId="43" fontId="0" fillId="8" borderId="0" xfId="3" applyFont="1" applyFill="1"/>
    <xf numFmtId="9" fontId="0" fillId="8" borderId="0" xfId="0" applyNumberFormat="1" applyFill="1"/>
    <xf numFmtId="0" fontId="11" fillId="8" borderId="0" xfId="0" applyFont="1" applyFill="1"/>
    <xf numFmtId="43" fontId="11" fillId="8" borderId="0" xfId="3" applyFont="1" applyFill="1"/>
    <xf numFmtId="43" fontId="0" fillId="8" borderId="0" xfId="0" applyNumberFormat="1" applyFill="1"/>
    <xf numFmtId="43" fontId="11" fillId="8" borderId="0" xfId="0" applyNumberFormat="1" applyFont="1" applyFill="1"/>
    <xf numFmtId="0" fontId="12" fillId="0" borderId="0" xfId="0" applyFont="1"/>
    <xf numFmtId="43" fontId="2" fillId="8" borderId="0" xfId="3" applyFont="1" applyFill="1"/>
    <xf numFmtId="0" fontId="2" fillId="4" borderId="0" xfId="0" applyFont="1" applyFill="1" applyAlignment="1">
      <alignment horizontal="center"/>
    </xf>
    <xf numFmtId="0" fontId="0" fillId="4" borderId="0" xfId="0" applyFill="1" applyAlignment="1">
      <alignment horizontal="center"/>
    </xf>
    <xf numFmtId="0" fontId="0" fillId="8" borderId="0" xfId="0" applyFill="1" applyAlignment="1">
      <alignment horizontal="left"/>
    </xf>
    <xf numFmtId="0" fontId="2" fillId="5" borderId="0" xfId="0" applyFont="1" applyFill="1" applyAlignment="1">
      <alignment horizontal="center" vertical="center"/>
    </xf>
    <xf numFmtId="0" fontId="2" fillId="0" borderId="0" xfId="0" applyFont="1" applyAlignment="1">
      <alignment vertical="top"/>
    </xf>
    <xf numFmtId="0" fontId="0" fillId="0" borderId="0" xfId="0" applyAlignment="1">
      <alignment vertical="top"/>
    </xf>
    <xf numFmtId="0" fontId="12" fillId="0" borderId="0" xfId="0" applyFont="1" applyAlignment="1">
      <alignment vertical="top"/>
    </xf>
    <xf numFmtId="0" fontId="0" fillId="9" borderId="24" xfId="0" applyFill="1" applyBorder="1"/>
    <xf numFmtId="0" fontId="0" fillId="9" borderId="25" xfId="0" applyFill="1" applyBorder="1"/>
    <xf numFmtId="0" fontId="0" fillId="9" borderId="15" xfId="0" applyFill="1" applyBorder="1"/>
    <xf numFmtId="0" fontId="0" fillId="9" borderId="2" xfId="0" applyFill="1" applyBorder="1"/>
    <xf numFmtId="0" fontId="0" fillId="9" borderId="26" xfId="0" applyFill="1" applyBorder="1"/>
    <xf numFmtId="0" fontId="0" fillId="9" borderId="27" xfId="0" applyFill="1" applyBorder="1"/>
    <xf numFmtId="0" fontId="2" fillId="6" borderId="0" xfId="0" applyFont="1" applyFill="1"/>
    <xf numFmtId="43" fontId="2" fillId="0" borderId="0" xfId="3" applyFont="1" applyAlignment="1">
      <alignment horizontal="center"/>
    </xf>
    <xf numFmtId="43" fontId="2" fillId="3" borderId="0" xfId="3" applyFont="1" applyFill="1"/>
    <xf numFmtId="0" fontId="2" fillId="0" borderId="0" xfId="3" applyNumberFormat="1" applyFont="1"/>
    <xf numFmtId="0" fontId="13" fillId="0" borderId="0" xfId="0" applyFont="1"/>
    <xf numFmtId="0" fontId="14" fillId="0" borderId="0" xfId="0" applyFont="1"/>
    <xf numFmtId="0" fontId="2" fillId="7" borderId="0" xfId="0" applyFont="1" applyFill="1" applyAlignment="1">
      <alignment horizontal="center"/>
    </xf>
    <xf numFmtId="0" fontId="0" fillId="0" borderId="0" xfId="0"/>
    <xf numFmtId="43" fontId="0" fillId="0" borderId="0" xfId="3" applyFont="1"/>
    <xf numFmtId="0" fontId="2" fillId="5" borderId="0" xfId="0" applyFont="1" applyFill="1" applyAlignment="1">
      <alignment horizontal="center"/>
    </xf>
    <xf numFmtId="9" fontId="2" fillId="5" borderId="0" xfId="1" applyFont="1" applyFill="1" applyAlignment="1">
      <alignment horizontal="center"/>
    </xf>
    <xf numFmtId="0" fontId="0" fillId="0" borderId="0" xfId="0" applyAlignment="1">
      <alignment horizontal="center"/>
    </xf>
    <xf numFmtId="0" fontId="2" fillId="5" borderId="0" xfId="0" applyFont="1" applyFill="1" applyAlignment="1">
      <alignment horizontal="center" vertical="center"/>
    </xf>
    <xf numFmtId="3" fontId="7" fillId="0" borderId="28" xfId="5" applyNumberFormat="1" applyFont="1" applyBorder="1" applyAlignment="1">
      <alignment horizontal="right" wrapText="1"/>
    </xf>
    <xf numFmtId="0" fontId="0" fillId="0" borderId="4" xfId="0" applyBorder="1"/>
    <xf numFmtId="3" fontId="7" fillId="0" borderId="1" xfId="5" applyNumberFormat="1" applyFont="1" applyBorder="1" applyAlignment="1">
      <alignment horizontal="right" wrapText="1"/>
    </xf>
    <xf numFmtId="0" fontId="0" fillId="0" borderId="29" xfId="0" applyBorder="1"/>
    <xf numFmtId="0" fontId="9" fillId="0" borderId="16" xfId="8" applyAlignment="1">
      <alignment wrapText="1"/>
    </xf>
    <xf numFmtId="0" fontId="0" fillId="0" borderId="16" xfId="0" applyBorder="1"/>
    <xf numFmtId="3" fontId="7" fillId="0" borderId="1" xfId="0" applyNumberFormat="1" applyFont="1" applyBorder="1" applyAlignment="1">
      <alignment horizontal="left" wrapText="1"/>
    </xf>
    <xf numFmtId="0" fontId="0" fillId="0" borderId="30" xfId="0" applyBorder="1"/>
    <xf numFmtId="0" fontId="0" fillId="0" borderId="31" xfId="0" applyBorder="1"/>
    <xf numFmtId="3" fontId="7" fillId="0" borderId="5" xfId="0" applyNumberFormat="1" applyFont="1" applyBorder="1" applyAlignment="1">
      <alignment horizontal="left" wrapText="1"/>
    </xf>
    <xf numFmtId="0" fontId="0" fillId="0" borderId="5" xfId="0" applyBorder="1"/>
    <xf numFmtId="0" fontId="6" fillId="0" borderId="0" xfId="4" applyAlignment="1">
      <alignment horizontal="left" wrapText="1"/>
    </xf>
    <xf numFmtId="3" fontId="5" fillId="0" borderId="0" xfId="0" applyNumberFormat="1" applyFont="1"/>
    <xf numFmtId="3" fontId="7" fillId="0" borderId="6" xfId="5" applyNumberFormat="1" applyFont="1" applyBorder="1" applyAlignment="1">
      <alignment horizontal="right" wrapText="1"/>
    </xf>
    <xf numFmtId="3" fontId="7" fillId="0" borderId="20" xfId="0" applyNumberFormat="1" applyFont="1" applyBorder="1" applyAlignment="1">
      <alignment horizontal="left" wrapText="1"/>
    </xf>
    <xf numFmtId="0" fontId="0" fillId="0" borderId="20" xfId="0" applyBorder="1"/>
    <xf numFmtId="3" fontId="7" fillId="0" borderId="17" xfId="0" applyNumberFormat="1" applyFont="1" applyBorder="1" applyAlignment="1">
      <alignment horizontal="left" wrapText="1"/>
    </xf>
    <xf numFmtId="0" fontId="0" fillId="0" borderId="17" xfId="0" applyBorder="1"/>
    <xf numFmtId="3" fontId="7" fillId="0" borderId="4" xfId="5" applyNumberFormat="1" applyFont="1" applyAlignment="1">
      <alignment horizontal="right" wrapText="1"/>
    </xf>
    <xf numFmtId="3" fontId="7" fillId="0" borderId="19" xfId="0" applyNumberFormat="1" applyFont="1" applyBorder="1" applyAlignment="1">
      <alignment horizontal="left" wrapText="1"/>
    </xf>
    <xf numFmtId="0" fontId="0" fillId="0" borderId="19" xfId="0" applyBorder="1"/>
    <xf numFmtId="3" fontId="7" fillId="0" borderId="18" xfId="0" applyNumberFormat="1" applyFont="1" applyBorder="1" applyAlignment="1">
      <alignment horizontal="left" wrapText="1"/>
    </xf>
    <xf numFmtId="0" fontId="0" fillId="0" borderId="18" xfId="0" applyBorder="1"/>
    <xf numFmtId="0" fontId="0" fillId="0" borderId="0" xfId="0" applyAlignment="1">
      <alignment horizontal="left" vertical="top" wrapText="1"/>
    </xf>
  </cellXfs>
  <cellStyles count="9">
    <cellStyle name="Body: normal cell" xfId="6" xr:uid="{00000000-0005-0000-0000-000006000000}"/>
    <cellStyle name="Comma" xfId="3" builtinId="3"/>
    <cellStyle name="Footnotes: top row" xfId="8" xr:uid="{00000000-0005-0000-0000-000008000000}"/>
    <cellStyle name="Header: bottom row" xfId="5" xr:uid="{00000000-0005-0000-0000-000005000000}"/>
    <cellStyle name="Hyperlink" xfId="2" builtinId="8"/>
    <cellStyle name="Normal" xfId="0" builtinId="0"/>
    <cellStyle name="Parent row" xfId="7" xr:uid="{00000000-0005-0000-0000-000007000000}"/>
    <cellStyle name="Percent" xfId="1" builtinId="5"/>
    <cellStyle name="Table title" xfId="4" xr:uid="{00000000-0005-0000-0000-00000400000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unstats.un.org/unsd/publication/seriesM/seriesm_4rev4e.pdf" TargetMode="External"/><Relationship Id="rId2" Type="http://schemas.openxmlformats.org/officeDocument/2006/relationships/hyperlink" Target="https://www.eia.gov/consumption/commercial/data/2012/" TargetMode="External"/><Relationship Id="rId1" Type="http://schemas.openxmlformats.org/officeDocument/2006/relationships/hyperlink" Target="https://www.eia.gov/analysis/studies/buildings/equipcosts/pdf/full.pdf"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www.eia.gov/analysis/studies/buildings/equipcosts/pdf/full.pdf" TargetMode="External"/><Relationship Id="rId21" Type="http://schemas.openxmlformats.org/officeDocument/2006/relationships/hyperlink" Target="https://www.eia.gov/analysis/studies/buildings/equipcosts/pdf/full.pdf" TargetMode="External"/><Relationship Id="rId42" Type="http://schemas.openxmlformats.org/officeDocument/2006/relationships/hyperlink" Target="https://www.eia.gov/analysis/studies/buildings/equipcosts/pdf/full.pdf" TargetMode="External"/><Relationship Id="rId47" Type="http://schemas.openxmlformats.org/officeDocument/2006/relationships/hyperlink" Target="https://www.eia.gov/analysis/studies/buildings/equipcosts/pdf/full.pdf" TargetMode="External"/><Relationship Id="rId63" Type="http://schemas.openxmlformats.org/officeDocument/2006/relationships/hyperlink" Target="https://www.eia.gov/analysis/studies/buildings/equipcosts/pdf/full.pdf" TargetMode="External"/><Relationship Id="rId68" Type="http://schemas.openxmlformats.org/officeDocument/2006/relationships/hyperlink" Target="https://www.eia.gov/analysis/studies/buildings/equipcosts/pdf/full.pdf" TargetMode="External"/><Relationship Id="rId84" Type="http://schemas.openxmlformats.org/officeDocument/2006/relationships/hyperlink" Target="https://www.eia.gov/analysis/studies/buildings/equipcosts/pdf/full.pdf" TargetMode="External"/><Relationship Id="rId89" Type="http://schemas.openxmlformats.org/officeDocument/2006/relationships/hyperlink" Target="https://www.eia.gov/analysis/studies/buildings/equipcosts/pdf/full.pdf" TargetMode="External"/><Relationship Id="rId16" Type="http://schemas.openxmlformats.org/officeDocument/2006/relationships/hyperlink" Target="https://www.eia.gov/analysis/studies/buildings/equipcosts/pdf/full.pdf" TargetMode="External"/><Relationship Id="rId11" Type="http://schemas.openxmlformats.org/officeDocument/2006/relationships/hyperlink" Target="https://www.eia.gov/analysis/studies/buildings/equipcosts/pdf/full.pdf" TargetMode="External"/><Relationship Id="rId32" Type="http://schemas.openxmlformats.org/officeDocument/2006/relationships/hyperlink" Target="https://www.eia.gov/analysis/studies/buildings/equipcosts/pdf/full.pdf" TargetMode="External"/><Relationship Id="rId37" Type="http://schemas.openxmlformats.org/officeDocument/2006/relationships/hyperlink" Target="https://www.eia.gov/analysis/studies/buildings/equipcosts/pdf/full.pdf" TargetMode="External"/><Relationship Id="rId53" Type="http://schemas.openxmlformats.org/officeDocument/2006/relationships/hyperlink" Target="https://www.eia.gov/analysis/studies/buildings/equipcosts/pdf/full.pdf" TargetMode="External"/><Relationship Id="rId58" Type="http://schemas.openxmlformats.org/officeDocument/2006/relationships/hyperlink" Target="https://www.eia.gov/analysis/studies/buildings/equipcosts/pdf/full.pdf" TargetMode="External"/><Relationship Id="rId74" Type="http://schemas.openxmlformats.org/officeDocument/2006/relationships/hyperlink" Target="https://www.eia.gov/analysis/studies/buildings/equipcosts/pdf/full.pdf" TargetMode="External"/><Relationship Id="rId79" Type="http://schemas.openxmlformats.org/officeDocument/2006/relationships/hyperlink" Target="https://www.eia.gov/analysis/studies/buildings/equipcosts/pdf/full.pdf" TargetMode="External"/><Relationship Id="rId5" Type="http://schemas.openxmlformats.org/officeDocument/2006/relationships/hyperlink" Target="https://www.eia.gov/analysis/studies/buildings/equipcosts/pdf/full.pdf" TargetMode="External"/><Relationship Id="rId90" Type="http://schemas.openxmlformats.org/officeDocument/2006/relationships/hyperlink" Target="https://www.eia.gov/analysis/studies/buildings/equipcosts/pdf/full.pdf" TargetMode="External"/><Relationship Id="rId95" Type="http://schemas.openxmlformats.org/officeDocument/2006/relationships/hyperlink" Target="https://www.eia.gov/analysis/studies/buildings/equipcosts/pdf/full.pdf" TargetMode="External"/><Relationship Id="rId22" Type="http://schemas.openxmlformats.org/officeDocument/2006/relationships/hyperlink" Target="https://www.eia.gov/analysis/studies/buildings/equipcosts/pdf/full.pdf" TargetMode="External"/><Relationship Id="rId27" Type="http://schemas.openxmlformats.org/officeDocument/2006/relationships/hyperlink" Target="https://www.eia.gov/analysis/studies/buildings/equipcosts/pdf/full.pdf" TargetMode="External"/><Relationship Id="rId43" Type="http://schemas.openxmlformats.org/officeDocument/2006/relationships/hyperlink" Target="https://www.eia.gov/analysis/studies/buildings/equipcosts/pdf/full.pdf" TargetMode="External"/><Relationship Id="rId48" Type="http://schemas.openxmlformats.org/officeDocument/2006/relationships/hyperlink" Target="https://www.eia.gov/analysis/studies/buildings/equipcosts/pdf/full.pdf" TargetMode="External"/><Relationship Id="rId64" Type="http://schemas.openxmlformats.org/officeDocument/2006/relationships/hyperlink" Target="https://www.eia.gov/analysis/studies/buildings/equipcosts/pdf/full.pdf" TargetMode="External"/><Relationship Id="rId69" Type="http://schemas.openxmlformats.org/officeDocument/2006/relationships/hyperlink" Target="https://www.eia.gov/analysis/studies/buildings/equipcosts/pdf/full.pdf" TargetMode="External"/><Relationship Id="rId8" Type="http://schemas.openxmlformats.org/officeDocument/2006/relationships/hyperlink" Target="https://www.eia.gov/analysis/studies/buildings/equipcosts/pdf/full.pdf" TargetMode="External"/><Relationship Id="rId51" Type="http://schemas.openxmlformats.org/officeDocument/2006/relationships/hyperlink" Target="https://www.eia.gov/analysis/studies/buildings/equipcosts/pdf/full.pdf" TargetMode="External"/><Relationship Id="rId72" Type="http://schemas.openxmlformats.org/officeDocument/2006/relationships/hyperlink" Target="https://www.eia.gov/analysis/studies/buildings/equipcosts/pdf/full.pdf" TargetMode="External"/><Relationship Id="rId80" Type="http://schemas.openxmlformats.org/officeDocument/2006/relationships/hyperlink" Target="https://www.eia.gov/analysis/studies/buildings/equipcosts/pdf/full.pdf" TargetMode="External"/><Relationship Id="rId85" Type="http://schemas.openxmlformats.org/officeDocument/2006/relationships/hyperlink" Target="https://www.eia.gov/analysis/studies/buildings/equipcosts/pdf/full.pdf" TargetMode="External"/><Relationship Id="rId93" Type="http://schemas.openxmlformats.org/officeDocument/2006/relationships/hyperlink" Target="https://www.eia.gov/analysis/studies/buildings/equipcosts/pdf/full.pdf" TargetMode="External"/><Relationship Id="rId3" Type="http://schemas.openxmlformats.org/officeDocument/2006/relationships/hyperlink" Target="https://www.eia.gov/analysis/studies/buildings/equipcosts/pdf/full.pdf" TargetMode="External"/><Relationship Id="rId12" Type="http://schemas.openxmlformats.org/officeDocument/2006/relationships/hyperlink" Target="https://www.eia.gov/analysis/studies/buildings/equipcosts/pdf/full.pdf" TargetMode="External"/><Relationship Id="rId17" Type="http://schemas.openxmlformats.org/officeDocument/2006/relationships/hyperlink" Target="https://www.eia.gov/analysis/studies/buildings/equipcosts/pdf/full.pdf" TargetMode="External"/><Relationship Id="rId25" Type="http://schemas.openxmlformats.org/officeDocument/2006/relationships/hyperlink" Target="https://www.eia.gov/analysis/studies/buildings/equipcosts/pdf/full.pdf" TargetMode="External"/><Relationship Id="rId33" Type="http://schemas.openxmlformats.org/officeDocument/2006/relationships/hyperlink" Target="https://www.eia.gov/analysis/studies/buildings/equipcosts/pdf/full.pdf" TargetMode="External"/><Relationship Id="rId38" Type="http://schemas.openxmlformats.org/officeDocument/2006/relationships/hyperlink" Target="https://www.eia.gov/analysis/studies/buildings/equipcosts/pdf/full.pdf" TargetMode="External"/><Relationship Id="rId46" Type="http://schemas.openxmlformats.org/officeDocument/2006/relationships/hyperlink" Target="https://www.eia.gov/analysis/studies/buildings/equipcosts/pdf/full.pdf" TargetMode="External"/><Relationship Id="rId59" Type="http://schemas.openxmlformats.org/officeDocument/2006/relationships/hyperlink" Target="https://www.eia.gov/analysis/studies/buildings/equipcosts/pdf/full.pdf" TargetMode="External"/><Relationship Id="rId67" Type="http://schemas.openxmlformats.org/officeDocument/2006/relationships/hyperlink" Target="https://www.eia.gov/analysis/studies/buildings/equipcosts/pdf/full.pdf" TargetMode="External"/><Relationship Id="rId20" Type="http://schemas.openxmlformats.org/officeDocument/2006/relationships/hyperlink" Target="https://www.eia.gov/analysis/studies/buildings/equipcosts/pdf/full.pdf" TargetMode="External"/><Relationship Id="rId41" Type="http://schemas.openxmlformats.org/officeDocument/2006/relationships/hyperlink" Target="https://www.eia.gov/analysis/studies/buildings/equipcosts/pdf/full.pdf" TargetMode="External"/><Relationship Id="rId54" Type="http://schemas.openxmlformats.org/officeDocument/2006/relationships/hyperlink" Target="https://www.eia.gov/analysis/studies/buildings/equipcosts/pdf/full.pdf" TargetMode="External"/><Relationship Id="rId62" Type="http://schemas.openxmlformats.org/officeDocument/2006/relationships/hyperlink" Target="https://www.eia.gov/analysis/studies/buildings/equipcosts/pdf/full.pdf" TargetMode="External"/><Relationship Id="rId70" Type="http://schemas.openxmlformats.org/officeDocument/2006/relationships/hyperlink" Target="https://www.eia.gov/analysis/studies/buildings/equipcosts/pdf/full.pdf" TargetMode="External"/><Relationship Id="rId75" Type="http://schemas.openxmlformats.org/officeDocument/2006/relationships/hyperlink" Target="https://www.eia.gov/analysis/studies/buildings/equipcosts/pdf/full.pdf" TargetMode="External"/><Relationship Id="rId83" Type="http://schemas.openxmlformats.org/officeDocument/2006/relationships/hyperlink" Target="https://www.eia.gov/analysis/studies/buildings/equipcosts/pdf/full.pdf" TargetMode="External"/><Relationship Id="rId88" Type="http://schemas.openxmlformats.org/officeDocument/2006/relationships/hyperlink" Target="https://www.eia.gov/analysis/studies/buildings/equipcosts/pdf/full.pdf" TargetMode="External"/><Relationship Id="rId91" Type="http://schemas.openxmlformats.org/officeDocument/2006/relationships/hyperlink" Target="https://www.eia.gov/analysis/studies/buildings/equipcosts/pdf/full.pdf" TargetMode="External"/><Relationship Id="rId1" Type="http://schemas.openxmlformats.org/officeDocument/2006/relationships/hyperlink" Target="https://www.eia.gov/analysis/studies/buildings/equipcosts/pdf/full.pdf" TargetMode="External"/><Relationship Id="rId6" Type="http://schemas.openxmlformats.org/officeDocument/2006/relationships/hyperlink" Target="https://www.eia.gov/analysis/studies/buildings/equipcosts/pdf/full.pdf" TargetMode="External"/><Relationship Id="rId15" Type="http://schemas.openxmlformats.org/officeDocument/2006/relationships/hyperlink" Target="https://www.eia.gov/analysis/studies/buildings/equipcosts/pdf/full.pdf" TargetMode="External"/><Relationship Id="rId23" Type="http://schemas.openxmlformats.org/officeDocument/2006/relationships/hyperlink" Target="https://www.eia.gov/analysis/studies/buildings/equipcosts/pdf/full.pdf" TargetMode="External"/><Relationship Id="rId28" Type="http://schemas.openxmlformats.org/officeDocument/2006/relationships/hyperlink" Target="https://www.eia.gov/analysis/studies/buildings/equipcosts/pdf/full.pdf" TargetMode="External"/><Relationship Id="rId36" Type="http://schemas.openxmlformats.org/officeDocument/2006/relationships/hyperlink" Target="https://www.eia.gov/analysis/studies/buildings/equipcosts/pdf/full.pdf" TargetMode="External"/><Relationship Id="rId49" Type="http://schemas.openxmlformats.org/officeDocument/2006/relationships/hyperlink" Target="https://www.eia.gov/analysis/studies/buildings/equipcosts/pdf/full.pdf" TargetMode="External"/><Relationship Id="rId57" Type="http://schemas.openxmlformats.org/officeDocument/2006/relationships/hyperlink" Target="https://www.eia.gov/analysis/studies/buildings/equipcosts/pdf/full.pdf" TargetMode="External"/><Relationship Id="rId10" Type="http://schemas.openxmlformats.org/officeDocument/2006/relationships/hyperlink" Target="https://www.eia.gov/analysis/studies/buildings/equipcosts/pdf/full.pdf" TargetMode="External"/><Relationship Id="rId31" Type="http://schemas.openxmlformats.org/officeDocument/2006/relationships/hyperlink" Target="https://www.eia.gov/analysis/studies/buildings/equipcosts/pdf/full.pdf" TargetMode="External"/><Relationship Id="rId44" Type="http://schemas.openxmlformats.org/officeDocument/2006/relationships/hyperlink" Target="https://www.eia.gov/analysis/studies/buildings/equipcosts/pdf/full.pdf" TargetMode="External"/><Relationship Id="rId52" Type="http://schemas.openxmlformats.org/officeDocument/2006/relationships/hyperlink" Target="https://www.eia.gov/analysis/studies/buildings/equipcosts/pdf/full.pdf" TargetMode="External"/><Relationship Id="rId60" Type="http://schemas.openxmlformats.org/officeDocument/2006/relationships/hyperlink" Target="https://www.eia.gov/analysis/studies/buildings/equipcosts/pdf/full.pdf" TargetMode="External"/><Relationship Id="rId65" Type="http://schemas.openxmlformats.org/officeDocument/2006/relationships/hyperlink" Target="https://www.eia.gov/analysis/studies/buildings/equipcosts/pdf/full.pdf" TargetMode="External"/><Relationship Id="rId73" Type="http://schemas.openxmlformats.org/officeDocument/2006/relationships/hyperlink" Target="https://www.eia.gov/analysis/studies/buildings/equipcosts/pdf/full.pdf" TargetMode="External"/><Relationship Id="rId78" Type="http://schemas.openxmlformats.org/officeDocument/2006/relationships/hyperlink" Target="https://www.eia.gov/analysis/studies/buildings/equipcosts/pdf/full.pdf" TargetMode="External"/><Relationship Id="rId81" Type="http://schemas.openxmlformats.org/officeDocument/2006/relationships/hyperlink" Target="https://www.eia.gov/analysis/studies/buildings/equipcosts/pdf/full.pdf" TargetMode="External"/><Relationship Id="rId86" Type="http://schemas.openxmlformats.org/officeDocument/2006/relationships/hyperlink" Target="https://www.eia.gov/analysis/studies/buildings/equipcosts/pdf/full.pdf" TargetMode="External"/><Relationship Id="rId94" Type="http://schemas.openxmlformats.org/officeDocument/2006/relationships/hyperlink" Target="https://www.eia.gov/analysis/studies/buildings/equipcosts/pdf/full.pdf" TargetMode="External"/><Relationship Id="rId4" Type="http://schemas.openxmlformats.org/officeDocument/2006/relationships/hyperlink" Target="https://www.eia.gov/analysis/studies/buildings/equipcosts/pdf/full.pdf" TargetMode="External"/><Relationship Id="rId9" Type="http://schemas.openxmlformats.org/officeDocument/2006/relationships/hyperlink" Target="https://www.eia.gov/analysis/studies/buildings/equipcosts/pdf/full.pdf" TargetMode="External"/><Relationship Id="rId13" Type="http://schemas.openxmlformats.org/officeDocument/2006/relationships/hyperlink" Target="https://www.eia.gov/analysis/studies/buildings/equipcosts/pdf/full.pdf" TargetMode="External"/><Relationship Id="rId18" Type="http://schemas.openxmlformats.org/officeDocument/2006/relationships/hyperlink" Target="https://www.eia.gov/analysis/studies/buildings/equipcosts/pdf/full.pdf" TargetMode="External"/><Relationship Id="rId39" Type="http://schemas.openxmlformats.org/officeDocument/2006/relationships/hyperlink" Target="https://www.eia.gov/analysis/studies/buildings/equipcosts/pdf/full.pdf" TargetMode="External"/><Relationship Id="rId34" Type="http://schemas.openxmlformats.org/officeDocument/2006/relationships/hyperlink" Target="https://www.eia.gov/analysis/studies/buildings/equipcosts/pdf/full.pdf" TargetMode="External"/><Relationship Id="rId50" Type="http://schemas.openxmlformats.org/officeDocument/2006/relationships/hyperlink" Target="https://www.eia.gov/analysis/studies/buildings/equipcosts/pdf/full.pdf" TargetMode="External"/><Relationship Id="rId55" Type="http://schemas.openxmlformats.org/officeDocument/2006/relationships/hyperlink" Target="https://www.eia.gov/analysis/studies/buildings/equipcosts/pdf/full.pdf" TargetMode="External"/><Relationship Id="rId76" Type="http://schemas.openxmlformats.org/officeDocument/2006/relationships/hyperlink" Target="https://www.eia.gov/analysis/studies/buildings/equipcosts/pdf/full.pdf" TargetMode="External"/><Relationship Id="rId7" Type="http://schemas.openxmlformats.org/officeDocument/2006/relationships/hyperlink" Target="https://www.eia.gov/analysis/studies/buildings/equipcosts/pdf/full.pdf" TargetMode="External"/><Relationship Id="rId71" Type="http://schemas.openxmlformats.org/officeDocument/2006/relationships/hyperlink" Target="https://www.eia.gov/analysis/studies/buildings/equipcosts/pdf/full.pdf" TargetMode="External"/><Relationship Id="rId92" Type="http://schemas.openxmlformats.org/officeDocument/2006/relationships/hyperlink" Target="https://www.eia.gov/analysis/studies/buildings/equipcosts/pdf/full.pdf" TargetMode="External"/><Relationship Id="rId2" Type="http://schemas.openxmlformats.org/officeDocument/2006/relationships/hyperlink" Target="https://www.eia.gov/analysis/studies/buildings/equipcosts/pdf/full.pdf" TargetMode="External"/><Relationship Id="rId29" Type="http://schemas.openxmlformats.org/officeDocument/2006/relationships/hyperlink" Target="https://www.eia.gov/analysis/studies/buildings/equipcosts/pdf/full.pdf" TargetMode="External"/><Relationship Id="rId24" Type="http://schemas.openxmlformats.org/officeDocument/2006/relationships/hyperlink" Target="https://www.eia.gov/analysis/studies/buildings/equipcosts/pdf/full.pdf" TargetMode="External"/><Relationship Id="rId40" Type="http://schemas.openxmlformats.org/officeDocument/2006/relationships/hyperlink" Target="https://www.eia.gov/analysis/studies/buildings/equipcosts/pdf/full.pdf" TargetMode="External"/><Relationship Id="rId45" Type="http://schemas.openxmlformats.org/officeDocument/2006/relationships/hyperlink" Target="https://www.eia.gov/analysis/studies/buildings/equipcosts/pdf/full.pdf" TargetMode="External"/><Relationship Id="rId66" Type="http://schemas.openxmlformats.org/officeDocument/2006/relationships/hyperlink" Target="https://www.eia.gov/analysis/studies/buildings/equipcosts/pdf/full.pdf" TargetMode="External"/><Relationship Id="rId87" Type="http://schemas.openxmlformats.org/officeDocument/2006/relationships/hyperlink" Target="https://www.eia.gov/analysis/studies/buildings/equipcosts/pdf/full.pdf" TargetMode="External"/><Relationship Id="rId61" Type="http://schemas.openxmlformats.org/officeDocument/2006/relationships/hyperlink" Target="https://www.eia.gov/analysis/studies/buildings/equipcosts/pdf/full.pdf" TargetMode="External"/><Relationship Id="rId82" Type="http://schemas.openxmlformats.org/officeDocument/2006/relationships/hyperlink" Target="https://www.eia.gov/analysis/studies/buildings/equipcosts/pdf/full.pdf" TargetMode="External"/><Relationship Id="rId19" Type="http://schemas.openxmlformats.org/officeDocument/2006/relationships/hyperlink" Target="https://www.eia.gov/analysis/studies/buildings/equipcosts/pdf/full.pdf" TargetMode="External"/><Relationship Id="rId14" Type="http://schemas.openxmlformats.org/officeDocument/2006/relationships/hyperlink" Target="https://www.eia.gov/analysis/studies/buildings/equipcosts/pdf/full.pdf" TargetMode="External"/><Relationship Id="rId30" Type="http://schemas.openxmlformats.org/officeDocument/2006/relationships/hyperlink" Target="https://www.eia.gov/analysis/studies/buildings/equipcosts/pdf/full.pdf" TargetMode="External"/><Relationship Id="rId35" Type="http://schemas.openxmlformats.org/officeDocument/2006/relationships/hyperlink" Target="https://www.eia.gov/analysis/studies/buildings/equipcosts/pdf/full.pdf" TargetMode="External"/><Relationship Id="rId56" Type="http://schemas.openxmlformats.org/officeDocument/2006/relationships/hyperlink" Target="https://www.eia.gov/analysis/studies/buildings/equipcosts/pdf/full.pdf" TargetMode="External"/><Relationship Id="rId77" Type="http://schemas.openxmlformats.org/officeDocument/2006/relationships/hyperlink" Target="https://www.eia.gov/analysis/studies/buildings/equipcosts/pdf/ful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2"/>
  <sheetViews>
    <sheetView workbookViewId="0"/>
  </sheetViews>
  <sheetFormatPr defaultRowHeight="15" x14ac:dyDescent="0.25"/>
  <cols>
    <col min="2" max="2" width="76.85546875" customWidth="1"/>
    <col min="3" max="3" width="43.140625" customWidth="1"/>
    <col min="4" max="4" width="65.7109375" customWidth="1"/>
    <col min="5" max="5" width="5.7109375" customWidth="1"/>
    <col min="6" max="6" width="63.42578125" customWidth="1"/>
  </cols>
  <sheetData>
    <row r="1" spans="1:2" x14ac:dyDescent="0.25">
      <c r="A1" s="2" t="s">
        <v>0</v>
      </c>
    </row>
    <row r="3" spans="1:2" x14ac:dyDescent="0.25">
      <c r="A3" s="2" t="s">
        <v>1</v>
      </c>
      <c r="B3" s="3" t="s">
        <v>2</v>
      </c>
    </row>
    <row r="4" spans="1:2" x14ac:dyDescent="0.25">
      <c r="B4" t="s">
        <v>3</v>
      </c>
    </row>
    <row r="5" spans="1:2" x14ac:dyDescent="0.25">
      <c r="B5" s="4">
        <v>2018</v>
      </c>
    </row>
    <row r="6" spans="1:2" x14ac:dyDescent="0.25">
      <c r="B6" t="s">
        <v>4</v>
      </c>
    </row>
    <row r="7" spans="1:2" x14ac:dyDescent="0.25">
      <c r="B7" s="1" t="s">
        <v>5</v>
      </c>
    </row>
    <row r="10" spans="1:2" x14ac:dyDescent="0.25">
      <c r="B10" s="3" t="s">
        <v>6</v>
      </c>
    </row>
    <row r="11" spans="1:2" x14ac:dyDescent="0.25">
      <c r="B11" t="s">
        <v>3</v>
      </c>
    </row>
    <row r="12" spans="1:2" x14ac:dyDescent="0.25">
      <c r="B12" s="4">
        <v>2016</v>
      </c>
    </row>
    <row r="13" spans="1:2" x14ac:dyDescent="0.25">
      <c r="B13" t="s">
        <v>7</v>
      </c>
    </row>
    <row r="14" spans="1:2" x14ac:dyDescent="0.25">
      <c r="B14" s="1" t="s">
        <v>8</v>
      </c>
    </row>
    <row r="17" spans="1:3" x14ac:dyDescent="0.25">
      <c r="B17" s="3" t="s">
        <v>9</v>
      </c>
    </row>
    <row r="18" spans="1:3" x14ac:dyDescent="0.25">
      <c r="B18" t="s">
        <v>10</v>
      </c>
    </row>
    <row r="19" spans="1:3" x14ac:dyDescent="0.25">
      <c r="B19" s="4">
        <v>2026</v>
      </c>
    </row>
    <row r="20" spans="1:3" x14ac:dyDescent="0.25">
      <c r="B20" t="s">
        <v>11</v>
      </c>
      <c r="C20" s="5"/>
    </row>
    <row r="21" spans="1:3" x14ac:dyDescent="0.25">
      <c r="B21" t="s">
        <v>12</v>
      </c>
      <c r="C21" s="5"/>
    </row>
    <row r="22" spans="1:3" x14ac:dyDescent="0.25">
      <c r="B22" t="s">
        <v>13</v>
      </c>
      <c r="C22" s="5"/>
    </row>
    <row r="25" spans="1:3" x14ac:dyDescent="0.25">
      <c r="B25" s="3" t="s">
        <v>14</v>
      </c>
    </row>
    <row r="26" spans="1:3" x14ac:dyDescent="0.25">
      <c r="B26" t="s">
        <v>15</v>
      </c>
    </row>
    <row r="27" spans="1:3" x14ac:dyDescent="0.25">
      <c r="B27" s="4">
        <v>2008</v>
      </c>
    </row>
    <row r="28" spans="1:3" x14ac:dyDescent="0.25">
      <c r="B28" t="s">
        <v>16</v>
      </c>
    </row>
    <row r="29" spans="1:3" x14ac:dyDescent="0.25">
      <c r="B29" s="1" t="s">
        <v>17</v>
      </c>
    </row>
    <row r="32" spans="1:3" x14ac:dyDescent="0.25">
      <c r="A32" s="85" t="s">
        <v>18</v>
      </c>
    </row>
    <row r="33" spans="1:1" x14ac:dyDescent="0.25">
      <c r="A33" s="87" t="s">
        <v>19</v>
      </c>
    </row>
    <row r="34" spans="1:1" x14ac:dyDescent="0.25">
      <c r="A34" s="86" t="s">
        <v>20</v>
      </c>
    </row>
    <row r="35" spans="1:1" x14ac:dyDescent="0.25">
      <c r="A35" s="86" t="s">
        <v>21</v>
      </c>
    </row>
    <row r="37" spans="1:1" x14ac:dyDescent="0.25">
      <c r="A37" t="s">
        <v>22</v>
      </c>
    </row>
    <row r="39" spans="1:1" x14ac:dyDescent="0.25">
      <c r="A39" t="s">
        <v>23</v>
      </c>
    </row>
    <row r="41" spans="1:1" x14ac:dyDescent="0.25">
      <c r="A41" t="s">
        <v>24</v>
      </c>
    </row>
    <row r="43" spans="1:1" x14ac:dyDescent="0.25">
      <c r="A43" t="s">
        <v>25</v>
      </c>
    </row>
    <row r="45" spans="1:1" x14ac:dyDescent="0.25">
      <c r="A45" s="98" t="s">
        <v>26</v>
      </c>
    </row>
    <row r="46" spans="1:1" x14ac:dyDescent="0.25">
      <c r="A46" t="s">
        <v>27</v>
      </c>
    </row>
    <row r="47" spans="1:1" x14ac:dyDescent="0.25">
      <c r="A47" t="s">
        <v>28</v>
      </c>
    </row>
    <row r="49" spans="1:2" x14ac:dyDescent="0.25">
      <c r="A49" t="s">
        <v>29</v>
      </c>
    </row>
    <row r="50" spans="1:2" x14ac:dyDescent="0.25">
      <c r="A50" t="s">
        <v>30</v>
      </c>
    </row>
    <row r="52" spans="1:2" ht="30" x14ac:dyDescent="0.25">
      <c r="A52" s="2" t="s">
        <v>787</v>
      </c>
      <c r="B52" s="130" t="s">
        <v>788</v>
      </c>
    </row>
  </sheetData>
  <hyperlinks>
    <hyperlink ref="B7" r:id="rId1" xr:uid="{00000000-0004-0000-0000-000000000000}"/>
    <hyperlink ref="B14" r:id="rId2" location="b38-b46" display="https://www.eia.gov/consumption/commercial/data/2012/ - b38-b46" xr:uid="{00000000-0004-0000-0000-000001000000}"/>
    <hyperlink ref="B29"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90"/>
  <sheetViews>
    <sheetView workbookViewId="0"/>
  </sheetViews>
  <sheetFormatPr defaultRowHeight="15" x14ac:dyDescent="0.25"/>
  <cols>
    <col min="1" max="1" width="28" customWidth="1"/>
    <col min="2" max="2" width="30" customWidth="1"/>
    <col min="6" max="6" width="44" customWidth="1"/>
  </cols>
  <sheetData>
    <row r="1" spans="1:7" x14ac:dyDescent="0.25">
      <c r="A1" s="98" t="s">
        <v>31</v>
      </c>
    </row>
    <row r="2" spans="1:7" x14ac:dyDescent="0.25">
      <c r="A2" s="98" t="s">
        <v>32</v>
      </c>
      <c r="B2" s="98" t="s">
        <v>33</v>
      </c>
      <c r="C2" s="98" t="s">
        <v>34</v>
      </c>
      <c r="D2" s="98" t="s">
        <v>35</v>
      </c>
      <c r="E2" s="98" t="s">
        <v>36</v>
      </c>
      <c r="F2" s="98" t="s">
        <v>37</v>
      </c>
      <c r="G2" s="98" t="s">
        <v>38</v>
      </c>
    </row>
    <row r="3" spans="1:7" x14ac:dyDescent="0.25">
      <c r="A3" t="s">
        <v>39</v>
      </c>
      <c r="B3" t="s">
        <v>40</v>
      </c>
      <c r="C3" t="s">
        <v>41</v>
      </c>
      <c r="D3" t="s">
        <v>42</v>
      </c>
      <c r="E3">
        <v>0.94299868264323294</v>
      </c>
      <c r="F3" t="s">
        <v>43</v>
      </c>
      <c r="G3">
        <v>0.94299868264323294</v>
      </c>
    </row>
    <row r="4" spans="1:7" x14ac:dyDescent="0.25">
      <c r="A4" t="s">
        <v>39</v>
      </c>
      <c r="B4" t="s">
        <v>40</v>
      </c>
      <c r="C4" t="s">
        <v>44</v>
      </c>
      <c r="D4" t="s">
        <v>42</v>
      </c>
      <c r="E4">
        <v>4.1765731369656618E-2</v>
      </c>
      <c r="F4" t="s">
        <v>43</v>
      </c>
      <c r="G4">
        <v>4.1765731369656618E-2</v>
      </c>
    </row>
    <row r="5" spans="1:7" x14ac:dyDescent="0.25">
      <c r="A5" t="s">
        <v>39</v>
      </c>
      <c r="B5" t="s">
        <v>40</v>
      </c>
      <c r="C5" t="s">
        <v>45</v>
      </c>
      <c r="D5" t="s">
        <v>42</v>
      </c>
      <c r="E5">
        <v>1.523558598711041E-2</v>
      </c>
      <c r="F5" t="s">
        <v>43</v>
      </c>
      <c r="G5">
        <v>1.523558598711041E-2</v>
      </c>
    </row>
    <row r="6" spans="1:7" x14ac:dyDescent="0.25">
      <c r="A6" t="s">
        <v>39</v>
      </c>
      <c r="B6" t="s">
        <v>40</v>
      </c>
      <c r="C6" t="s">
        <v>46</v>
      </c>
      <c r="D6" t="s">
        <v>47</v>
      </c>
      <c r="E6">
        <v>0.43273688361237522</v>
      </c>
      <c r="F6" t="s">
        <v>43</v>
      </c>
      <c r="G6">
        <v>0.43273688361237522</v>
      </c>
    </row>
    <row r="7" spans="1:7" x14ac:dyDescent="0.25">
      <c r="A7" t="s">
        <v>39</v>
      </c>
      <c r="B7" t="s">
        <v>40</v>
      </c>
      <c r="C7" t="s">
        <v>48</v>
      </c>
      <c r="D7" t="s">
        <v>47</v>
      </c>
      <c r="E7">
        <v>0.56726311638762483</v>
      </c>
      <c r="F7" t="s">
        <v>43</v>
      </c>
      <c r="G7">
        <v>0.56726311638762483</v>
      </c>
    </row>
    <row r="8" spans="1:7" x14ac:dyDescent="0.25">
      <c r="A8" t="s">
        <v>39</v>
      </c>
      <c r="B8" t="s">
        <v>40</v>
      </c>
      <c r="C8" t="s">
        <v>49</v>
      </c>
      <c r="D8" t="s">
        <v>50</v>
      </c>
      <c r="E8">
        <v>0.1171368722490322</v>
      </c>
      <c r="F8" t="s">
        <v>43</v>
      </c>
      <c r="G8">
        <v>0.1171368722490322</v>
      </c>
    </row>
    <row r="9" spans="1:7" x14ac:dyDescent="0.25">
      <c r="A9" t="s">
        <v>39</v>
      </c>
      <c r="B9" t="s">
        <v>40</v>
      </c>
      <c r="C9" t="s">
        <v>51</v>
      </c>
      <c r="D9" t="s">
        <v>50</v>
      </c>
      <c r="E9">
        <v>0.88286312775096776</v>
      </c>
      <c r="F9" t="s">
        <v>43</v>
      </c>
      <c r="G9">
        <v>0.88286312775096776</v>
      </c>
    </row>
    <row r="10" spans="1:7" x14ac:dyDescent="0.25">
      <c r="A10" t="s">
        <v>39</v>
      </c>
      <c r="B10" t="s">
        <v>40</v>
      </c>
      <c r="C10" t="s">
        <v>52</v>
      </c>
      <c r="D10" t="s">
        <v>53</v>
      </c>
      <c r="E10">
        <v>0.45630816353267001</v>
      </c>
      <c r="F10" t="s">
        <v>43</v>
      </c>
      <c r="G10">
        <v>0.45630816353267001</v>
      </c>
    </row>
    <row r="11" spans="1:7" x14ac:dyDescent="0.25">
      <c r="A11" t="s">
        <v>39</v>
      </c>
      <c r="B11" t="s">
        <v>40</v>
      </c>
      <c r="C11" t="s">
        <v>54</v>
      </c>
      <c r="D11" t="s">
        <v>53</v>
      </c>
      <c r="E11">
        <v>4.4370047500516312E-2</v>
      </c>
      <c r="F11" t="s">
        <v>43</v>
      </c>
      <c r="G11">
        <v>4.4370047500516312E-2</v>
      </c>
    </row>
    <row r="12" spans="1:7" x14ac:dyDescent="0.25">
      <c r="A12" t="s">
        <v>39</v>
      </c>
      <c r="B12" t="s">
        <v>40</v>
      </c>
      <c r="C12" t="s">
        <v>55</v>
      </c>
      <c r="D12" t="s">
        <v>53</v>
      </c>
      <c r="E12">
        <v>0.1883750452665103</v>
      </c>
      <c r="F12" t="s">
        <v>43</v>
      </c>
      <c r="G12">
        <v>0.1883750452665103</v>
      </c>
    </row>
    <row r="13" spans="1:7" x14ac:dyDescent="0.25">
      <c r="A13" t="s">
        <v>39</v>
      </c>
      <c r="B13" t="s">
        <v>40</v>
      </c>
      <c r="C13" t="s">
        <v>56</v>
      </c>
      <c r="D13" t="s">
        <v>53</v>
      </c>
      <c r="E13">
        <v>0.22286512267581851</v>
      </c>
      <c r="F13" t="s">
        <v>43</v>
      </c>
      <c r="G13">
        <v>0.22286512267581851</v>
      </c>
    </row>
    <row r="14" spans="1:7" x14ac:dyDescent="0.25">
      <c r="A14" t="s">
        <v>39</v>
      </c>
      <c r="B14" t="s">
        <v>40</v>
      </c>
      <c r="C14" t="s">
        <v>57</v>
      </c>
      <c r="D14" t="s">
        <v>53</v>
      </c>
      <c r="E14">
        <v>8.8081621024484816E-2</v>
      </c>
      <c r="F14" t="s">
        <v>43</v>
      </c>
      <c r="G14">
        <v>8.8081621024484816E-2</v>
      </c>
    </row>
    <row r="15" spans="1:7" x14ac:dyDescent="0.25">
      <c r="A15" t="s">
        <v>39</v>
      </c>
      <c r="B15" t="s">
        <v>40</v>
      </c>
      <c r="C15" t="s">
        <v>58</v>
      </c>
      <c r="D15" t="s">
        <v>59</v>
      </c>
      <c r="E15">
        <v>1</v>
      </c>
      <c r="F15" t="s">
        <v>60</v>
      </c>
      <c r="G15">
        <v>0.72982194479141249</v>
      </c>
    </row>
    <row r="16" spans="1:7" x14ac:dyDescent="0.25">
      <c r="A16" t="s">
        <v>39</v>
      </c>
      <c r="B16" t="s">
        <v>40</v>
      </c>
      <c r="C16" t="s">
        <v>61</v>
      </c>
      <c r="D16" t="s">
        <v>59</v>
      </c>
      <c r="E16">
        <v>0</v>
      </c>
      <c r="F16" t="s">
        <v>60</v>
      </c>
      <c r="G16">
        <v>0.27017805520858751</v>
      </c>
    </row>
    <row r="17" spans="1:7" x14ac:dyDescent="0.25">
      <c r="A17" t="s">
        <v>39</v>
      </c>
      <c r="B17" t="s">
        <v>40</v>
      </c>
      <c r="C17" t="s">
        <v>62</v>
      </c>
      <c r="D17" t="s">
        <v>63</v>
      </c>
      <c r="E17">
        <v>0.42162495143522749</v>
      </c>
      <c r="F17" t="s">
        <v>43</v>
      </c>
      <c r="G17">
        <v>0.42162495143522749</v>
      </c>
    </row>
    <row r="18" spans="1:7" x14ac:dyDescent="0.25">
      <c r="A18" t="s">
        <v>39</v>
      </c>
      <c r="B18" t="s">
        <v>40</v>
      </c>
      <c r="C18" t="s">
        <v>64</v>
      </c>
      <c r="D18" t="s">
        <v>63</v>
      </c>
      <c r="E18">
        <v>0.57837504856477251</v>
      </c>
      <c r="F18" t="s">
        <v>43</v>
      </c>
      <c r="G18">
        <v>0.57837504856477251</v>
      </c>
    </row>
    <row r="19" spans="1:7" x14ac:dyDescent="0.25">
      <c r="A19" t="s">
        <v>39</v>
      </c>
      <c r="B19" t="s">
        <v>65</v>
      </c>
      <c r="C19" t="s">
        <v>41</v>
      </c>
      <c r="D19" t="s">
        <v>42</v>
      </c>
      <c r="E19">
        <v>0.94299868264323294</v>
      </c>
      <c r="F19" t="s">
        <v>43</v>
      </c>
      <c r="G19">
        <v>0.94299868264323294</v>
      </c>
    </row>
    <row r="20" spans="1:7" x14ac:dyDescent="0.25">
      <c r="A20" t="s">
        <v>39</v>
      </c>
      <c r="B20" t="s">
        <v>65</v>
      </c>
      <c r="C20" t="s">
        <v>44</v>
      </c>
      <c r="D20" t="s">
        <v>42</v>
      </c>
      <c r="E20">
        <v>4.1765731369656618E-2</v>
      </c>
      <c r="F20" t="s">
        <v>43</v>
      </c>
      <c r="G20">
        <v>4.1765731369656618E-2</v>
      </c>
    </row>
    <row r="21" spans="1:7" x14ac:dyDescent="0.25">
      <c r="A21" t="s">
        <v>39</v>
      </c>
      <c r="B21" t="s">
        <v>65</v>
      </c>
      <c r="C21" t="s">
        <v>45</v>
      </c>
      <c r="D21" t="s">
        <v>42</v>
      </c>
      <c r="E21">
        <v>1.523558598711041E-2</v>
      </c>
      <c r="F21" t="s">
        <v>43</v>
      </c>
      <c r="G21">
        <v>1.523558598711041E-2</v>
      </c>
    </row>
    <row r="22" spans="1:7" x14ac:dyDescent="0.25">
      <c r="A22" t="s">
        <v>39</v>
      </c>
      <c r="B22" t="s">
        <v>65</v>
      </c>
      <c r="C22" t="s">
        <v>46</v>
      </c>
      <c r="D22" t="s">
        <v>47</v>
      </c>
      <c r="E22">
        <v>0.43273688361237522</v>
      </c>
      <c r="F22" t="s">
        <v>43</v>
      </c>
      <c r="G22">
        <v>0.43273688361237522</v>
      </c>
    </row>
    <row r="23" spans="1:7" x14ac:dyDescent="0.25">
      <c r="A23" t="s">
        <v>39</v>
      </c>
      <c r="B23" t="s">
        <v>65</v>
      </c>
      <c r="C23" t="s">
        <v>48</v>
      </c>
      <c r="D23" t="s">
        <v>47</v>
      </c>
      <c r="E23">
        <v>0.56726311638762483</v>
      </c>
      <c r="F23" t="s">
        <v>43</v>
      </c>
      <c r="G23">
        <v>0.56726311638762483</v>
      </c>
    </row>
    <row r="24" spans="1:7" x14ac:dyDescent="0.25">
      <c r="A24" t="s">
        <v>39</v>
      </c>
      <c r="B24" t="s">
        <v>65</v>
      </c>
      <c r="C24" t="s">
        <v>49</v>
      </c>
      <c r="D24" t="s">
        <v>50</v>
      </c>
      <c r="E24">
        <v>0.1171368722490322</v>
      </c>
      <c r="F24" t="s">
        <v>43</v>
      </c>
      <c r="G24">
        <v>0.1171368722490322</v>
      </c>
    </row>
    <row r="25" spans="1:7" x14ac:dyDescent="0.25">
      <c r="A25" t="s">
        <v>39</v>
      </c>
      <c r="B25" t="s">
        <v>65</v>
      </c>
      <c r="C25" t="s">
        <v>51</v>
      </c>
      <c r="D25" t="s">
        <v>50</v>
      </c>
      <c r="E25">
        <v>0.88286312775096776</v>
      </c>
      <c r="F25" t="s">
        <v>43</v>
      </c>
      <c r="G25">
        <v>0.88286312775096776</v>
      </c>
    </row>
    <row r="26" spans="1:7" x14ac:dyDescent="0.25">
      <c r="A26" t="s">
        <v>39</v>
      </c>
      <c r="B26" t="s">
        <v>65</v>
      </c>
      <c r="C26" t="s">
        <v>52</v>
      </c>
      <c r="D26" t="s">
        <v>53</v>
      </c>
      <c r="E26">
        <v>0.45630816353267001</v>
      </c>
      <c r="F26" t="s">
        <v>43</v>
      </c>
      <c r="G26">
        <v>0.45630816353267001</v>
      </c>
    </row>
    <row r="27" spans="1:7" x14ac:dyDescent="0.25">
      <c r="A27" t="s">
        <v>39</v>
      </c>
      <c r="B27" t="s">
        <v>65</v>
      </c>
      <c r="C27" t="s">
        <v>54</v>
      </c>
      <c r="D27" t="s">
        <v>53</v>
      </c>
      <c r="E27">
        <v>4.4370047500516312E-2</v>
      </c>
      <c r="F27" t="s">
        <v>43</v>
      </c>
      <c r="G27">
        <v>4.4370047500516312E-2</v>
      </c>
    </row>
    <row r="28" spans="1:7" x14ac:dyDescent="0.25">
      <c r="A28" t="s">
        <v>39</v>
      </c>
      <c r="B28" t="s">
        <v>65</v>
      </c>
      <c r="C28" t="s">
        <v>55</v>
      </c>
      <c r="D28" t="s">
        <v>53</v>
      </c>
      <c r="E28">
        <v>0.1883750452665103</v>
      </c>
      <c r="F28" t="s">
        <v>43</v>
      </c>
      <c r="G28">
        <v>0.1883750452665103</v>
      </c>
    </row>
    <row r="29" spans="1:7" x14ac:dyDescent="0.25">
      <c r="A29" t="s">
        <v>39</v>
      </c>
      <c r="B29" t="s">
        <v>65</v>
      </c>
      <c r="C29" t="s">
        <v>56</v>
      </c>
      <c r="D29" t="s">
        <v>53</v>
      </c>
      <c r="E29">
        <v>0.22286512267581851</v>
      </c>
      <c r="F29" t="s">
        <v>43</v>
      </c>
      <c r="G29">
        <v>0.22286512267581851</v>
      </c>
    </row>
    <row r="30" spans="1:7" x14ac:dyDescent="0.25">
      <c r="A30" t="s">
        <v>39</v>
      </c>
      <c r="B30" t="s">
        <v>65</v>
      </c>
      <c r="C30" t="s">
        <v>57</v>
      </c>
      <c r="D30" t="s">
        <v>53</v>
      </c>
      <c r="E30">
        <v>8.8081621024484816E-2</v>
      </c>
      <c r="F30" t="s">
        <v>43</v>
      </c>
      <c r="G30">
        <v>8.8081621024484816E-2</v>
      </c>
    </row>
    <row r="31" spans="1:7" x14ac:dyDescent="0.25">
      <c r="A31" t="s">
        <v>39</v>
      </c>
      <c r="B31" t="s">
        <v>65</v>
      </c>
      <c r="C31" t="s">
        <v>58</v>
      </c>
      <c r="D31" t="s">
        <v>59</v>
      </c>
      <c r="E31">
        <v>1</v>
      </c>
      <c r="F31" t="s">
        <v>60</v>
      </c>
      <c r="G31">
        <v>0.72982194479141249</v>
      </c>
    </row>
    <row r="32" spans="1:7" x14ac:dyDescent="0.25">
      <c r="A32" t="s">
        <v>39</v>
      </c>
      <c r="B32" t="s">
        <v>65</v>
      </c>
      <c r="C32" t="s">
        <v>61</v>
      </c>
      <c r="D32" t="s">
        <v>59</v>
      </c>
      <c r="E32">
        <v>0</v>
      </c>
      <c r="F32" t="s">
        <v>60</v>
      </c>
      <c r="G32">
        <v>0.27017805520858751</v>
      </c>
    </row>
    <row r="33" spans="1:7" x14ac:dyDescent="0.25">
      <c r="A33" t="s">
        <v>39</v>
      </c>
      <c r="B33" t="s">
        <v>65</v>
      </c>
      <c r="C33" t="s">
        <v>62</v>
      </c>
      <c r="D33" t="s">
        <v>63</v>
      </c>
      <c r="E33">
        <v>0.42162495143522749</v>
      </c>
      <c r="F33" t="s">
        <v>43</v>
      </c>
      <c r="G33">
        <v>0.42162495143522749</v>
      </c>
    </row>
    <row r="34" spans="1:7" x14ac:dyDescent="0.25">
      <c r="A34" t="s">
        <v>39</v>
      </c>
      <c r="B34" t="s">
        <v>65</v>
      </c>
      <c r="C34" t="s">
        <v>64</v>
      </c>
      <c r="D34" t="s">
        <v>63</v>
      </c>
      <c r="E34">
        <v>0.57837504856477251</v>
      </c>
      <c r="F34" t="s">
        <v>43</v>
      </c>
      <c r="G34">
        <v>0.57837504856477251</v>
      </c>
    </row>
    <row r="35" spans="1:7" x14ac:dyDescent="0.25">
      <c r="A35" t="s">
        <v>39</v>
      </c>
      <c r="B35" t="s">
        <v>66</v>
      </c>
      <c r="C35" t="s">
        <v>41</v>
      </c>
      <c r="D35" t="s">
        <v>42</v>
      </c>
      <c r="E35">
        <v>0.94299868264323294</v>
      </c>
      <c r="F35" t="s">
        <v>43</v>
      </c>
      <c r="G35">
        <v>0.94299868264323294</v>
      </c>
    </row>
    <row r="36" spans="1:7" x14ac:dyDescent="0.25">
      <c r="A36" t="s">
        <v>39</v>
      </c>
      <c r="B36" t="s">
        <v>66</v>
      </c>
      <c r="C36" t="s">
        <v>44</v>
      </c>
      <c r="D36" t="s">
        <v>42</v>
      </c>
      <c r="E36">
        <v>4.1765731369656618E-2</v>
      </c>
      <c r="F36" t="s">
        <v>43</v>
      </c>
      <c r="G36">
        <v>4.1765731369656618E-2</v>
      </c>
    </row>
    <row r="37" spans="1:7" x14ac:dyDescent="0.25">
      <c r="A37" t="s">
        <v>39</v>
      </c>
      <c r="B37" t="s">
        <v>66</v>
      </c>
      <c r="C37" t="s">
        <v>45</v>
      </c>
      <c r="D37" t="s">
        <v>42</v>
      </c>
      <c r="E37">
        <v>1.523558598711041E-2</v>
      </c>
      <c r="F37" t="s">
        <v>43</v>
      </c>
      <c r="G37">
        <v>1.523558598711041E-2</v>
      </c>
    </row>
    <row r="38" spans="1:7" x14ac:dyDescent="0.25">
      <c r="A38" t="s">
        <v>39</v>
      </c>
      <c r="B38" t="s">
        <v>66</v>
      </c>
      <c r="C38" t="s">
        <v>46</v>
      </c>
      <c r="D38" t="s">
        <v>47</v>
      </c>
      <c r="E38">
        <v>0.43273688361237522</v>
      </c>
      <c r="F38" t="s">
        <v>43</v>
      </c>
      <c r="G38">
        <v>0.43273688361237522</v>
      </c>
    </row>
    <row r="39" spans="1:7" x14ac:dyDescent="0.25">
      <c r="A39" t="s">
        <v>39</v>
      </c>
      <c r="B39" t="s">
        <v>66</v>
      </c>
      <c r="C39" t="s">
        <v>48</v>
      </c>
      <c r="D39" t="s">
        <v>47</v>
      </c>
      <c r="E39">
        <v>0.56726311638762483</v>
      </c>
      <c r="F39" t="s">
        <v>43</v>
      </c>
      <c r="G39">
        <v>0.56726311638762483</v>
      </c>
    </row>
    <row r="40" spans="1:7" x14ac:dyDescent="0.25">
      <c r="A40" t="s">
        <v>39</v>
      </c>
      <c r="B40" t="s">
        <v>66</v>
      </c>
      <c r="C40" t="s">
        <v>49</v>
      </c>
      <c r="D40" t="s">
        <v>50</v>
      </c>
      <c r="E40">
        <v>0.1171368722490322</v>
      </c>
      <c r="F40" t="s">
        <v>43</v>
      </c>
      <c r="G40">
        <v>0.1171368722490322</v>
      </c>
    </row>
    <row r="41" spans="1:7" x14ac:dyDescent="0.25">
      <c r="A41" t="s">
        <v>39</v>
      </c>
      <c r="B41" t="s">
        <v>66</v>
      </c>
      <c r="C41" t="s">
        <v>51</v>
      </c>
      <c r="D41" t="s">
        <v>50</v>
      </c>
      <c r="E41">
        <v>0.88286312775096776</v>
      </c>
      <c r="F41" t="s">
        <v>43</v>
      </c>
      <c r="G41">
        <v>0.88286312775096776</v>
      </c>
    </row>
    <row r="42" spans="1:7" x14ac:dyDescent="0.25">
      <c r="A42" t="s">
        <v>39</v>
      </c>
      <c r="B42" t="s">
        <v>66</v>
      </c>
      <c r="C42" t="s">
        <v>52</v>
      </c>
      <c r="D42" t="s">
        <v>53</v>
      </c>
      <c r="E42">
        <v>0.45630816353267001</v>
      </c>
      <c r="F42" t="s">
        <v>43</v>
      </c>
      <c r="G42">
        <v>0.45630816353267001</v>
      </c>
    </row>
    <row r="43" spans="1:7" x14ac:dyDescent="0.25">
      <c r="A43" t="s">
        <v>39</v>
      </c>
      <c r="B43" t="s">
        <v>66</v>
      </c>
      <c r="C43" t="s">
        <v>54</v>
      </c>
      <c r="D43" t="s">
        <v>53</v>
      </c>
      <c r="E43">
        <v>4.4370047500516312E-2</v>
      </c>
      <c r="F43" t="s">
        <v>43</v>
      </c>
      <c r="G43">
        <v>4.4370047500516312E-2</v>
      </c>
    </row>
    <row r="44" spans="1:7" x14ac:dyDescent="0.25">
      <c r="A44" t="s">
        <v>39</v>
      </c>
      <c r="B44" t="s">
        <v>66</v>
      </c>
      <c r="C44" t="s">
        <v>55</v>
      </c>
      <c r="D44" t="s">
        <v>53</v>
      </c>
      <c r="E44">
        <v>0.1883750452665103</v>
      </c>
      <c r="F44" t="s">
        <v>43</v>
      </c>
      <c r="G44">
        <v>0.1883750452665103</v>
      </c>
    </row>
    <row r="45" spans="1:7" x14ac:dyDescent="0.25">
      <c r="A45" t="s">
        <v>39</v>
      </c>
      <c r="B45" t="s">
        <v>66</v>
      </c>
      <c r="C45" t="s">
        <v>56</v>
      </c>
      <c r="D45" t="s">
        <v>53</v>
      </c>
      <c r="E45">
        <v>0.22286512267581851</v>
      </c>
      <c r="F45" t="s">
        <v>43</v>
      </c>
      <c r="G45">
        <v>0.22286512267581851</v>
      </c>
    </row>
    <row r="46" spans="1:7" x14ac:dyDescent="0.25">
      <c r="A46" t="s">
        <v>39</v>
      </c>
      <c r="B46" t="s">
        <v>66</v>
      </c>
      <c r="C46" t="s">
        <v>57</v>
      </c>
      <c r="D46" t="s">
        <v>53</v>
      </c>
      <c r="E46">
        <v>8.8081621024484816E-2</v>
      </c>
      <c r="F46" t="s">
        <v>43</v>
      </c>
      <c r="G46">
        <v>8.8081621024484816E-2</v>
      </c>
    </row>
    <row r="47" spans="1:7" x14ac:dyDescent="0.25">
      <c r="A47" t="s">
        <v>39</v>
      </c>
      <c r="B47" t="s">
        <v>66</v>
      </c>
      <c r="C47" t="s">
        <v>58</v>
      </c>
      <c r="D47" t="s">
        <v>59</v>
      </c>
      <c r="E47">
        <v>1</v>
      </c>
      <c r="F47" t="s">
        <v>60</v>
      </c>
      <c r="G47">
        <v>0.72982194479141249</v>
      </c>
    </row>
    <row r="48" spans="1:7" x14ac:dyDescent="0.25">
      <c r="A48" t="s">
        <v>39</v>
      </c>
      <c r="B48" t="s">
        <v>66</v>
      </c>
      <c r="C48" t="s">
        <v>61</v>
      </c>
      <c r="D48" t="s">
        <v>59</v>
      </c>
      <c r="E48">
        <v>0</v>
      </c>
      <c r="F48" t="s">
        <v>60</v>
      </c>
      <c r="G48">
        <v>0.27017805520858751</v>
      </c>
    </row>
    <row r="49" spans="1:7" x14ac:dyDescent="0.25">
      <c r="A49" t="s">
        <v>39</v>
      </c>
      <c r="B49" t="s">
        <v>66</v>
      </c>
      <c r="C49" t="s">
        <v>62</v>
      </c>
      <c r="D49" t="s">
        <v>63</v>
      </c>
      <c r="E49">
        <v>0.42162495143522749</v>
      </c>
      <c r="F49" t="s">
        <v>43</v>
      </c>
      <c r="G49">
        <v>0.42162495143522749</v>
      </c>
    </row>
    <row r="50" spans="1:7" x14ac:dyDescent="0.25">
      <c r="A50" t="s">
        <v>39</v>
      </c>
      <c r="B50" t="s">
        <v>66</v>
      </c>
      <c r="C50" t="s">
        <v>64</v>
      </c>
      <c r="D50" t="s">
        <v>63</v>
      </c>
      <c r="E50">
        <v>0.57837504856477251</v>
      </c>
      <c r="F50" t="s">
        <v>43</v>
      </c>
      <c r="G50">
        <v>0.57837504856477251</v>
      </c>
    </row>
    <row r="51" spans="1:7" x14ac:dyDescent="0.25">
      <c r="A51" t="s">
        <v>39</v>
      </c>
      <c r="B51" t="s">
        <v>67</v>
      </c>
      <c r="C51" t="s">
        <v>41</v>
      </c>
      <c r="D51" t="s">
        <v>42</v>
      </c>
      <c r="E51">
        <v>0.94299868264323294</v>
      </c>
      <c r="F51" t="s">
        <v>43</v>
      </c>
      <c r="G51">
        <v>0.94299868264323294</v>
      </c>
    </row>
    <row r="52" spans="1:7" x14ac:dyDescent="0.25">
      <c r="A52" t="s">
        <v>39</v>
      </c>
      <c r="B52" t="s">
        <v>67</v>
      </c>
      <c r="C52" t="s">
        <v>44</v>
      </c>
      <c r="D52" t="s">
        <v>42</v>
      </c>
      <c r="E52">
        <v>4.1765731369656618E-2</v>
      </c>
      <c r="F52" t="s">
        <v>43</v>
      </c>
      <c r="G52">
        <v>4.1765731369656618E-2</v>
      </c>
    </row>
    <row r="53" spans="1:7" x14ac:dyDescent="0.25">
      <c r="A53" t="s">
        <v>39</v>
      </c>
      <c r="B53" t="s">
        <v>67</v>
      </c>
      <c r="C53" t="s">
        <v>45</v>
      </c>
      <c r="D53" t="s">
        <v>42</v>
      </c>
      <c r="E53">
        <v>1.523558598711041E-2</v>
      </c>
      <c r="F53" t="s">
        <v>43</v>
      </c>
      <c r="G53">
        <v>1.523558598711041E-2</v>
      </c>
    </row>
    <row r="54" spans="1:7" x14ac:dyDescent="0.25">
      <c r="A54" t="s">
        <v>39</v>
      </c>
      <c r="B54" t="s">
        <v>67</v>
      </c>
      <c r="C54" t="s">
        <v>46</v>
      </c>
      <c r="D54" t="s">
        <v>47</v>
      </c>
      <c r="E54">
        <v>0.43273688361237522</v>
      </c>
      <c r="F54" t="s">
        <v>43</v>
      </c>
      <c r="G54">
        <v>0.43273688361237522</v>
      </c>
    </row>
    <row r="55" spans="1:7" x14ac:dyDescent="0.25">
      <c r="A55" t="s">
        <v>39</v>
      </c>
      <c r="B55" t="s">
        <v>67</v>
      </c>
      <c r="C55" t="s">
        <v>48</v>
      </c>
      <c r="D55" t="s">
        <v>47</v>
      </c>
      <c r="E55">
        <v>0.56726311638762483</v>
      </c>
      <c r="F55" t="s">
        <v>43</v>
      </c>
      <c r="G55">
        <v>0.56726311638762483</v>
      </c>
    </row>
    <row r="56" spans="1:7" x14ac:dyDescent="0.25">
      <c r="A56" t="s">
        <v>39</v>
      </c>
      <c r="B56" t="s">
        <v>67</v>
      </c>
      <c r="C56" t="s">
        <v>49</v>
      </c>
      <c r="D56" t="s">
        <v>50</v>
      </c>
      <c r="E56">
        <v>0.1171368722490322</v>
      </c>
      <c r="F56" t="s">
        <v>43</v>
      </c>
      <c r="G56">
        <v>0.1171368722490322</v>
      </c>
    </row>
    <row r="57" spans="1:7" x14ac:dyDescent="0.25">
      <c r="A57" t="s">
        <v>39</v>
      </c>
      <c r="B57" t="s">
        <v>67</v>
      </c>
      <c r="C57" t="s">
        <v>51</v>
      </c>
      <c r="D57" t="s">
        <v>50</v>
      </c>
      <c r="E57">
        <v>0.88286312775096776</v>
      </c>
      <c r="F57" t="s">
        <v>43</v>
      </c>
      <c r="G57">
        <v>0.88286312775096776</v>
      </c>
    </row>
    <row r="58" spans="1:7" x14ac:dyDescent="0.25">
      <c r="A58" t="s">
        <v>39</v>
      </c>
      <c r="B58" t="s">
        <v>67</v>
      </c>
      <c r="C58" t="s">
        <v>52</v>
      </c>
      <c r="D58" t="s">
        <v>53</v>
      </c>
      <c r="E58">
        <v>0.45630816353267001</v>
      </c>
      <c r="F58" t="s">
        <v>43</v>
      </c>
      <c r="G58">
        <v>0.45630816353267001</v>
      </c>
    </row>
    <row r="59" spans="1:7" x14ac:dyDescent="0.25">
      <c r="A59" t="s">
        <v>39</v>
      </c>
      <c r="B59" t="s">
        <v>67</v>
      </c>
      <c r="C59" t="s">
        <v>54</v>
      </c>
      <c r="D59" t="s">
        <v>53</v>
      </c>
      <c r="E59">
        <v>4.4370047500516312E-2</v>
      </c>
      <c r="F59" t="s">
        <v>43</v>
      </c>
      <c r="G59">
        <v>4.4370047500516312E-2</v>
      </c>
    </row>
    <row r="60" spans="1:7" x14ac:dyDescent="0.25">
      <c r="A60" t="s">
        <v>39</v>
      </c>
      <c r="B60" t="s">
        <v>67</v>
      </c>
      <c r="C60" t="s">
        <v>55</v>
      </c>
      <c r="D60" t="s">
        <v>53</v>
      </c>
      <c r="E60">
        <v>0.1883750452665103</v>
      </c>
      <c r="F60" t="s">
        <v>43</v>
      </c>
      <c r="G60">
        <v>0.1883750452665103</v>
      </c>
    </row>
    <row r="61" spans="1:7" x14ac:dyDescent="0.25">
      <c r="A61" t="s">
        <v>39</v>
      </c>
      <c r="B61" t="s">
        <v>67</v>
      </c>
      <c r="C61" t="s">
        <v>56</v>
      </c>
      <c r="D61" t="s">
        <v>53</v>
      </c>
      <c r="E61">
        <v>0.22286512267581851</v>
      </c>
      <c r="F61" t="s">
        <v>43</v>
      </c>
      <c r="G61">
        <v>0.22286512267581851</v>
      </c>
    </row>
    <row r="62" spans="1:7" x14ac:dyDescent="0.25">
      <c r="A62" t="s">
        <v>39</v>
      </c>
      <c r="B62" t="s">
        <v>67</v>
      </c>
      <c r="C62" t="s">
        <v>57</v>
      </c>
      <c r="D62" t="s">
        <v>53</v>
      </c>
      <c r="E62">
        <v>8.8081621024484816E-2</v>
      </c>
      <c r="F62" t="s">
        <v>43</v>
      </c>
      <c r="G62">
        <v>8.8081621024484816E-2</v>
      </c>
    </row>
    <row r="63" spans="1:7" x14ac:dyDescent="0.25">
      <c r="A63" t="s">
        <v>39</v>
      </c>
      <c r="B63" t="s">
        <v>67</v>
      </c>
      <c r="C63" t="s">
        <v>58</v>
      </c>
      <c r="D63" t="s">
        <v>59</v>
      </c>
      <c r="E63">
        <v>1</v>
      </c>
      <c r="F63" t="s">
        <v>60</v>
      </c>
      <c r="G63">
        <v>0.72982194479141249</v>
      </c>
    </row>
    <row r="64" spans="1:7" x14ac:dyDescent="0.25">
      <c r="A64" t="s">
        <v>39</v>
      </c>
      <c r="B64" t="s">
        <v>67</v>
      </c>
      <c r="C64" t="s">
        <v>61</v>
      </c>
      <c r="D64" t="s">
        <v>59</v>
      </c>
      <c r="E64">
        <v>0</v>
      </c>
      <c r="F64" t="s">
        <v>60</v>
      </c>
      <c r="G64">
        <v>0.27017805520858751</v>
      </c>
    </row>
    <row r="65" spans="1:7" x14ac:dyDescent="0.25">
      <c r="A65" t="s">
        <v>39</v>
      </c>
      <c r="B65" t="s">
        <v>67</v>
      </c>
      <c r="C65" t="s">
        <v>62</v>
      </c>
      <c r="D65" t="s">
        <v>63</v>
      </c>
      <c r="E65">
        <v>0.42162495143522749</v>
      </c>
      <c r="F65" t="s">
        <v>43</v>
      </c>
      <c r="G65">
        <v>0.42162495143522749</v>
      </c>
    </row>
    <row r="66" spans="1:7" x14ac:dyDescent="0.25">
      <c r="A66" t="s">
        <v>39</v>
      </c>
      <c r="B66" t="s">
        <v>67</v>
      </c>
      <c r="C66" t="s">
        <v>64</v>
      </c>
      <c r="D66" t="s">
        <v>63</v>
      </c>
      <c r="E66">
        <v>0.57837504856477251</v>
      </c>
      <c r="F66" t="s">
        <v>43</v>
      </c>
      <c r="G66">
        <v>0.57837504856477251</v>
      </c>
    </row>
    <row r="67" spans="1:7" x14ac:dyDescent="0.25">
      <c r="A67" t="s">
        <v>39</v>
      </c>
      <c r="B67" t="s">
        <v>68</v>
      </c>
      <c r="C67" t="s">
        <v>41</v>
      </c>
      <c r="D67" t="s">
        <v>42</v>
      </c>
      <c r="E67">
        <v>0.94299868264323294</v>
      </c>
      <c r="F67" t="s">
        <v>43</v>
      </c>
      <c r="G67">
        <v>0.94299868264323294</v>
      </c>
    </row>
    <row r="68" spans="1:7" x14ac:dyDescent="0.25">
      <c r="A68" t="s">
        <v>39</v>
      </c>
      <c r="B68" t="s">
        <v>68</v>
      </c>
      <c r="C68" t="s">
        <v>44</v>
      </c>
      <c r="D68" t="s">
        <v>42</v>
      </c>
      <c r="E68">
        <v>4.1765731369656618E-2</v>
      </c>
      <c r="F68" t="s">
        <v>43</v>
      </c>
      <c r="G68">
        <v>4.1765731369656618E-2</v>
      </c>
    </row>
    <row r="69" spans="1:7" x14ac:dyDescent="0.25">
      <c r="A69" t="s">
        <v>39</v>
      </c>
      <c r="B69" t="s">
        <v>68</v>
      </c>
      <c r="C69" t="s">
        <v>45</v>
      </c>
      <c r="D69" t="s">
        <v>42</v>
      </c>
      <c r="E69">
        <v>1.523558598711041E-2</v>
      </c>
      <c r="F69" t="s">
        <v>43</v>
      </c>
      <c r="G69">
        <v>1.523558598711041E-2</v>
      </c>
    </row>
    <row r="70" spans="1:7" x14ac:dyDescent="0.25">
      <c r="A70" t="s">
        <v>39</v>
      </c>
      <c r="B70" t="s">
        <v>68</v>
      </c>
      <c r="C70" t="s">
        <v>46</v>
      </c>
      <c r="D70" t="s">
        <v>47</v>
      </c>
      <c r="E70">
        <v>0.43273688361237522</v>
      </c>
      <c r="F70" t="s">
        <v>43</v>
      </c>
      <c r="G70">
        <v>0.43273688361237522</v>
      </c>
    </row>
    <row r="71" spans="1:7" x14ac:dyDescent="0.25">
      <c r="A71" t="s">
        <v>39</v>
      </c>
      <c r="B71" t="s">
        <v>68</v>
      </c>
      <c r="C71" t="s">
        <v>48</v>
      </c>
      <c r="D71" t="s">
        <v>47</v>
      </c>
      <c r="E71">
        <v>0.56726311638762483</v>
      </c>
      <c r="F71" t="s">
        <v>43</v>
      </c>
      <c r="G71">
        <v>0.56726311638762483</v>
      </c>
    </row>
    <row r="72" spans="1:7" x14ac:dyDescent="0.25">
      <c r="A72" t="s">
        <v>39</v>
      </c>
      <c r="B72" t="s">
        <v>68</v>
      </c>
      <c r="C72" t="s">
        <v>49</v>
      </c>
      <c r="D72" t="s">
        <v>50</v>
      </c>
      <c r="E72">
        <v>0.1171368722490322</v>
      </c>
      <c r="F72" t="s">
        <v>43</v>
      </c>
      <c r="G72">
        <v>0.1171368722490322</v>
      </c>
    </row>
    <row r="73" spans="1:7" x14ac:dyDescent="0.25">
      <c r="A73" t="s">
        <v>39</v>
      </c>
      <c r="B73" t="s">
        <v>68</v>
      </c>
      <c r="C73" t="s">
        <v>51</v>
      </c>
      <c r="D73" t="s">
        <v>50</v>
      </c>
      <c r="E73">
        <v>0.88286312775096776</v>
      </c>
      <c r="F73" t="s">
        <v>43</v>
      </c>
      <c r="G73">
        <v>0.88286312775096776</v>
      </c>
    </row>
    <row r="74" spans="1:7" x14ac:dyDescent="0.25">
      <c r="A74" t="s">
        <v>39</v>
      </c>
      <c r="B74" t="s">
        <v>68</v>
      </c>
      <c r="C74" t="s">
        <v>52</v>
      </c>
      <c r="D74" t="s">
        <v>53</v>
      </c>
      <c r="E74">
        <v>0.45630816353267001</v>
      </c>
      <c r="F74" t="s">
        <v>43</v>
      </c>
      <c r="G74">
        <v>0.45630816353267001</v>
      </c>
    </row>
    <row r="75" spans="1:7" x14ac:dyDescent="0.25">
      <c r="A75" t="s">
        <v>39</v>
      </c>
      <c r="B75" t="s">
        <v>68</v>
      </c>
      <c r="C75" t="s">
        <v>54</v>
      </c>
      <c r="D75" t="s">
        <v>53</v>
      </c>
      <c r="E75">
        <v>4.4370047500516312E-2</v>
      </c>
      <c r="F75" t="s">
        <v>43</v>
      </c>
      <c r="G75">
        <v>4.4370047500516312E-2</v>
      </c>
    </row>
    <row r="76" spans="1:7" x14ac:dyDescent="0.25">
      <c r="A76" t="s">
        <v>39</v>
      </c>
      <c r="B76" t="s">
        <v>68</v>
      </c>
      <c r="C76" t="s">
        <v>55</v>
      </c>
      <c r="D76" t="s">
        <v>53</v>
      </c>
      <c r="E76">
        <v>0.1883750452665103</v>
      </c>
      <c r="F76" t="s">
        <v>43</v>
      </c>
      <c r="G76">
        <v>0.1883750452665103</v>
      </c>
    </row>
    <row r="77" spans="1:7" x14ac:dyDescent="0.25">
      <c r="A77" t="s">
        <v>39</v>
      </c>
      <c r="B77" t="s">
        <v>68</v>
      </c>
      <c r="C77" t="s">
        <v>56</v>
      </c>
      <c r="D77" t="s">
        <v>53</v>
      </c>
      <c r="E77">
        <v>0.22286512267581851</v>
      </c>
      <c r="F77" t="s">
        <v>43</v>
      </c>
      <c r="G77">
        <v>0.22286512267581851</v>
      </c>
    </row>
    <row r="78" spans="1:7" x14ac:dyDescent="0.25">
      <c r="A78" t="s">
        <v>39</v>
      </c>
      <c r="B78" t="s">
        <v>68</v>
      </c>
      <c r="C78" t="s">
        <v>57</v>
      </c>
      <c r="D78" t="s">
        <v>53</v>
      </c>
      <c r="E78">
        <v>8.8081621024484816E-2</v>
      </c>
      <c r="F78" t="s">
        <v>43</v>
      </c>
      <c r="G78">
        <v>8.8081621024484816E-2</v>
      </c>
    </row>
    <row r="79" spans="1:7" x14ac:dyDescent="0.25">
      <c r="A79" t="s">
        <v>39</v>
      </c>
      <c r="B79" t="s">
        <v>68</v>
      </c>
      <c r="C79" t="s">
        <v>58</v>
      </c>
      <c r="D79" t="s">
        <v>59</v>
      </c>
      <c r="E79">
        <v>1</v>
      </c>
      <c r="F79" t="s">
        <v>60</v>
      </c>
      <c r="G79">
        <v>0.72982194479141249</v>
      </c>
    </row>
    <row r="80" spans="1:7" x14ac:dyDescent="0.25">
      <c r="A80" t="s">
        <v>39</v>
      </c>
      <c r="B80" t="s">
        <v>68</v>
      </c>
      <c r="C80" t="s">
        <v>61</v>
      </c>
      <c r="D80" t="s">
        <v>59</v>
      </c>
      <c r="E80">
        <v>0</v>
      </c>
      <c r="F80" t="s">
        <v>60</v>
      </c>
      <c r="G80">
        <v>0.27017805520858751</v>
      </c>
    </row>
    <row r="81" spans="1:7" x14ac:dyDescent="0.25">
      <c r="A81" t="s">
        <v>39</v>
      </c>
      <c r="B81" t="s">
        <v>68</v>
      </c>
      <c r="C81" t="s">
        <v>62</v>
      </c>
      <c r="D81" t="s">
        <v>63</v>
      </c>
      <c r="E81">
        <v>0.42162495143522749</v>
      </c>
      <c r="F81" t="s">
        <v>43</v>
      </c>
      <c r="G81">
        <v>0.42162495143522749</v>
      </c>
    </row>
    <row r="82" spans="1:7" x14ac:dyDescent="0.25">
      <c r="A82" t="s">
        <v>39</v>
      </c>
      <c r="B82" t="s">
        <v>68</v>
      </c>
      <c r="C82" t="s">
        <v>64</v>
      </c>
      <c r="D82" t="s">
        <v>63</v>
      </c>
      <c r="E82">
        <v>0.57837504856477251</v>
      </c>
      <c r="F82" t="s">
        <v>43</v>
      </c>
      <c r="G82">
        <v>0.57837504856477251</v>
      </c>
    </row>
    <row r="83" spans="1:7" x14ac:dyDescent="0.25">
      <c r="A83" t="s">
        <v>39</v>
      </c>
      <c r="B83" t="s">
        <v>69</v>
      </c>
      <c r="C83" t="s">
        <v>41</v>
      </c>
      <c r="D83" t="s">
        <v>42</v>
      </c>
      <c r="E83">
        <v>0.94299868264323294</v>
      </c>
      <c r="F83" t="s">
        <v>43</v>
      </c>
      <c r="G83">
        <v>0.94299868264323294</v>
      </c>
    </row>
    <row r="84" spans="1:7" x14ac:dyDescent="0.25">
      <c r="A84" t="s">
        <v>39</v>
      </c>
      <c r="B84" t="s">
        <v>69</v>
      </c>
      <c r="C84" t="s">
        <v>44</v>
      </c>
      <c r="D84" t="s">
        <v>42</v>
      </c>
      <c r="E84">
        <v>4.1765731369656618E-2</v>
      </c>
      <c r="F84" t="s">
        <v>43</v>
      </c>
      <c r="G84">
        <v>4.1765731369656618E-2</v>
      </c>
    </row>
    <row r="85" spans="1:7" x14ac:dyDescent="0.25">
      <c r="A85" t="s">
        <v>39</v>
      </c>
      <c r="B85" t="s">
        <v>69</v>
      </c>
      <c r="C85" t="s">
        <v>45</v>
      </c>
      <c r="D85" t="s">
        <v>42</v>
      </c>
      <c r="E85">
        <v>1.523558598711041E-2</v>
      </c>
      <c r="F85" t="s">
        <v>43</v>
      </c>
      <c r="G85">
        <v>1.523558598711041E-2</v>
      </c>
    </row>
    <row r="86" spans="1:7" x14ac:dyDescent="0.25">
      <c r="A86" t="s">
        <v>39</v>
      </c>
      <c r="B86" t="s">
        <v>69</v>
      </c>
      <c r="C86" t="s">
        <v>46</v>
      </c>
      <c r="D86" t="s">
        <v>47</v>
      </c>
      <c r="E86">
        <v>0.43273688361237522</v>
      </c>
      <c r="F86" t="s">
        <v>43</v>
      </c>
      <c r="G86">
        <v>0.43273688361237522</v>
      </c>
    </row>
    <row r="87" spans="1:7" x14ac:dyDescent="0.25">
      <c r="A87" t="s">
        <v>39</v>
      </c>
      <c r="B87" t="s">
        <v>69</v>
      </c>
      <c r="C87" t="s">
        <v>48</v>
      </c>
      <c r="D87" t="s">
        <v>47</v>
      </c>
      <c r="E87">
        <v>0.56726311638762483</v>
      </c>
      <c r="F87" t="s">
        <v>43</v>
      </c>
      <c r="G87">
        <v>0.56726311638762483</v>
      </c>
    </row>
    <row r="88" spans="1:7" x14ac:dyDescent="0.25">
      <c r="A88" t="s">
        <v>39</v>
      </c>
      <c r="B88" t="s">
        <v>69</v>
      </c>
      <c r="C88" t="s">
        <v>49</v>
      </c>
      <c r="D88" t="s">
        <v>50</v>
      </c>
      <c r="E88">
        <v>0.1171368722490322</v>
      </c>
      <c r="F88" t="s">
        <v>43</v>
      </c>
      <c r="G88">
        <v>0.1171368722490322</v>
      </c>
    </row>
    <row r="89" spans="1:7" x14ac:dyDescent="0.25">
      <c r="A89" t="s">
        <v>39</v>
      </c>
      <c r="B89" t="s">
        <v>69</v>
      </c>
      <c r="C89" t="s">
        <v>51</v>
      </c>
      <c r="D89" t="s">
        <v>50</v>
      </c>
      <c r="E89">
        <v>0.88286312775096776</v>
      </c>
      <c r="F89" t="s">
        <v>43</v>
      </c>
      <c r="G89">
        <v>0.88286312775096776</v>
      </c>
    </row>
    <row r="90" spans="1:7" x14ac:dyDescent="0.25">
      <c r="A90" t="s">
        <v>39</v>
      </c>
      <c r="B90" t="s">
        <v>69</v>
      </c>
      <c r="C90" t="s">
        <v>52</v>
      </c>
      <c r="D90" t="s">
        <v>53</v>
      </c>
      <c r="E90">
        <v>0.45630816353267001</v>
      </c>
      <c r="F90" t="s">
        <v>43</v>
      </c>
      <c r="G90">
        <v>0.45630816353267001</v>
      </c>
    </row>
    <row r="91" spans="1:7" x14ac:dyDescent="0.25">
      <c r="A91" t="s">
        <v>39</v>
      </c>
      <c r="B91" t="s">
        <v>69</v>
      </c>
      <c r="C91" t="s">
        <v>54</v>
      </c>
      <c r="D91" t="s">
        <v>53</v>
      </c>
      <c r="E91">
        <v>4.4370047500516312E-2</v>
      </c>
      <c r="F91" t="s">
        <v>43</v>
      </c>
      <c r="G91">
        <v>4.4370047500516312E-2</v>
      </c>
    </row>
    <row r="92" spans="1:7" x14ac:dyDescent="0.25">
      <c r="A92" t="s">
        <v>39</v>
      </c>
      <c r="B92" t="s">
        <v>69</v>
      </c>
      <c r="C92" t="s">
        <v>55</v>
      </c>
      <c r="D92" t="s">
        <v>53</v>
      </c>
      <c r="E92">
        <v>0.1883750452665103</v>
      </c>
      <c r="F92" t="s">
        <v>43</v>
      </c>
      <c r="G92">
        <v>0.1883750452665103</v>
      </c>
    </row>
    <row r="93" spans="1:7" x14ac:dyDescent="0.25">
      <c r="A93" t="s">
        <v>39</v>
      </c>
      <c r="B93" t="s">
        <v>69</v>
      </c>
      <c r="C93" t="s">
        <v>56</v>
      </c>
      <c r="D93" t="s">
        <v>53</v>
      </c>
      <c r="E93">
        <v>0.22286512267581851</v>
      </c>
      <c r="F93" t="s">
        <v>43</v>
      </c>
      <c r="G93">
        <v>0.22286512267581851</v>
      </c>
    </row>
    <row r="94" spans="1:7" x14ac:dyDescent="0.25">
      <c r="A94" t="s">
        <v>39</v>
      </c>
      <c r="B94" t="s">
        <v>69</v>
      </c>
      <c r="C94" t="s">
        <v>57</v>
      </c>
      <c r="D94" t="s">
        <v>53</v>
      </c>
      <c r="E94">
        <v>8.8081621024484816E-2</v>
      </c>
      <c r="F94" t="s">
        <v>43</v>
      </c>
      <c r="G94">
        <v>8.8081621024484816E-2</v>
      </c>
    </row>
    <row r="95" spans="1:7" x14ac:dyDescent="0.25">
      <c r="A95" t="s">
        <v>39</v>
      </c>
      <c r="B95" t="s">
        <v>69</v>
      </c>
      <c r="C95" t="s">
        <v>58</v>
      </c>
      <c r="D95" t="s">
        <v>59</v>
      </c>
      <c r="E95">
        <v>1</v>
      </c>
      <c r="F95" t="s">
        <v>60</v>
      </c>
      <c r="G95">
        <v>0.72982194479141249</v>
      </c>
    </row>
    <row r="96" spans="1:7" x14ac:dyDescent="0.25">
      <c r="A96" t="s">
        <v>39</v>
      </c>
      <c r="B96" t="s">
        <v>69</v>
      </c>
      <c r="C96" t="s">
        <v>61</v>
      </c>
      <c r="D96" t="s">
        <v>59</v>
      </c>
      <c r="E96">
        <v>0</v>
      </c>
      <c r="F96" t="s">
        <v>60</v>
      </c>
      <c r="G96">
        <v>0.27017805520858751</v>
      </c>
    </row>
    <row r="97" spans="1:7" x14ac:dyDescent="0.25">
      <c r="A97" t="s">
        <v>39</v>
      </c>
      <c r="B97" t="s">
        <v>69</v>
      </c>
      <c r="C97" t="s">
        <v>62</v>
      </c>
      <c r="D97" t="s">
        <v>63</v>
      </c>
      <c r="E97">
        <v>0.42162495143522749</v>
      </c>
      <c r="F97" t="s">
        <v>43</v>
      </c>
      <c r="G97">
        <v>0.42162495143522749</v>
      </c>
    </row>
    <row r="98" spans="1:7" x14ac:dyDescent="0.25">
      <c r="A98" t="s">
        <v>39</v>
      </c>
      <c r="B98" t="s">
        <v>69</v>
      </c>
      <c r="C98" t="s">
        <v>64</v>
      </c>
      <c r="D98" t="s">
        <v>63</v>
      </c>
      <c r="E98">
        <v>0.57837504856477251</v>
      </c>
      <c r="F98" t="s">
        <v>43</v>
      </c>
      <c r="G98">
        <v>0.57837504856477251</v>
      </c>
    </row>
    <row r="99" spans="1:7" x14ac:dyDescent="0.25">
      <c r="A99" t="s">
        <v>70</v>
      </c>
      <c r="B99" t="s">
        <v>40</v>
      </c>
      <c r="C99" t="s">
        <v>41</v>
      </c>
      <c r="D99" t="s">
        <v>42</v>
      </c>
      <c r="E99">
        <v>0.94299868264323294</v>
      </c>
      <c r="F99" t="s">
        <v>43</v>
      </c>
      <c r="G99">
        <v>0.94299868264323294</v>
      </c>
    </row>
    <row r="100" spans="1:7" x14ac:dyDescent="0.25">
      <c r="A100" t="s">
        <v>70</v>
      </c>
      <c r="B100" t="s">
        <v>40</v>
      </c>
      <c r="C100" t="s">
        <v>44</v>
      </c>
      <c r="D100" t="s">
        <v>42</v>
      </c>
      <c r="E100">
        <v>4.1765731369656618E-2</v>
      </c>
      <c r="F100" t="s">
        <v>43</v>
      </c>
      <c r="G100">
        <v>4.1765731369656618E-2</v>
      </c>
    </row>
    <row r="101" spans="1:7" x14ac:dyDescent="0.25">
      <c r="A101" t="s">
        <v>70</v>
      </c>
      <c r="B101" t="s">
        <v>40</v>
      </c>
      <c r="C101" t="s">
        <v>45</v>
      </c>
      <c r="D101" t="s">
        <v>42</v>
      </c>
      <c r="E101">
        <v>1.523558598711041E-2</v>
      </c>
      <c r="F101" t="s">
        <v>43</v>
      </c>
      <c r="G101">
        <v>1.523558598711041E-2</v>
      </c>
    </row>
    <row r="102" spans="1:7" x14ac:dyDescent="0.25">
      <c r="A102" t="s">
        <v>70</v>
      </c>
      <c r="B102" t="s">
        <v>40</v>
      </c>
      <c r="C102" t="s">
        <v>46</v>
      </c>
      <c r="D102" t="s">
        <v>47</v>
      </c>
      <c r="E102">
        <v>0.43273688361237522</v>
      </c>
      <c r="F102" t="s">
        <v>43</v>
      </c>
      <c r="G102">
        <v>0.43273688361237522</v>
      </c>
    </row>
    <row r="103" spans="1:7" x14ac:dyDescent="0.25">
      <c r="A103" t="s">
        <v>70</v>
      </c>
      <c r="B103" t="s">
        <v>40</v>
      </c>
      <c r="C103" t="s">
        <v>48</v>
      </c>
      <c r="D103" t="s">
        <v>47</v>
      </c>
      <c r="E103">
        <v>0.56726311638762483</v>
      </c>
      <c r="F103" t="s">
        <v>43</v>
      </c>
      <c r="G103">
        <v>0.56726311638762483</v>
      </c>
    </row>
    <row r="104" spans="1:7" x14ac:dyDescent="0.25">
      <c r="A104" t="s">
        <v>70</v>
      </c>
      <c r="B104" t="s">
        <v>40</v>
      </c>
      <c r="C104" t="s">
        <v>49</v>
      </c>
      <c r="D104" t="s">
        <v>50</v>
      </c>
      <c r="E104">
        <v>0.1171368722490322</v>
      </c>
      <c r="F104" t="s">
        <v>43</v>
      </c>
      <c r="G104">
        <v>0.1171368722490322</v>
      </c>
    </row>
    <row r="105" spans="1:7" x14ac:dyDescent="0.25">
      <c r="A105" t="s">
        <v>70</v>
      </c>
      <c r="B105" t="s">
        <v>40</v>
      </c>
      <c r="C105" t="s">
        <v>51</v>
      </c>
      <c r="D105" t="s">
        <v>50</v>
      </c>
      <c r="E105">
        <v>0.88286312775096776</v>
      </c>
      <c r="F105" t="s">
        <v>43</v>
      </c>
      <c r="G105">
        <v>0.88286312775096776</v>
      </c>
    </row>
    <row r="106" spans="1:7" x14ac:dyDescent="0.25">
      <c r="A106" t="s">
        <v>70</v>
      </c>
      <c r="B106" t="s">
        <v>40</v>
      </c>
      <c r="C106" t="s">
        <v>52</v>
      </c>
      <c r="D106" t="s">
        <v>53</v>
      </c>
      <c r="E106">
        <v>0.45630816353267001</v>
      </c>
      <c r="F106" t="s">
        <v>43</v>
      </c>
      <c r="G106">
        <v>0.45630816353267001</v>
      </c>
    </row>
    <row r="107" spans="1:7" x14ac:dyDescent="0.25">
      <c r="A107" t="s">
        <v>70</v>
      </c>
      <c r="B107" t="s">
        <v>40</v>
      </c>
      <c r="C107" t="s">
        <v>54</v>
      </c>
      <c r="D107" t="s">
        <v>53</v>
      </c>
      <c r="E107">
        <v>4.4370047500516312E-2</v>
      </c>
      <c r="F107" t="s">
        <v>43</v>
      </c>
      <c r="G107">
        <v>4.4370047500516312E-2</v>
      </c>
    </row>
    <row r="108" spans="1:7" x14ac:dyDescent="0.25">
      <c r="A108" t="s">
        <v>70</v>
      </c>
      <c r="B108" t="s">
        <v>40</v>
      </c>
      <c r="C108" t="s">
        <v>55</v>
      </c>
      <c r="D108" t="s">
        <v>53</v>
      </c>
      <c r="E108">
        <v>0.1883750452665103</v>
      </c>
      <c r="F108" t="s">
        <v>43</v>
      </c>
      <c r="G108">
        <v>0.1883750452665103</v>
      </c>
    </row>
    <row r="109" spans="1:7" x14ac:dyDescent="0.25">
      <c r="A109" t="s">
        <v>70</v>
      </c>
      <c r="B109" t="s">
        <v>40</v>
      </c>
      <c r="C109" t="s">
        <v>56</v>
      </c>
      <c r="D109" t="s">
        <v>53</v>
      </c>
      <c r="E109">
        <v>0.22286512267581851</v>
      </c>
      <c r="F109" t="s">
        <v>43</v>
      </c>
      <c r="G109">
        <v>0.22286512267581851</v>
      </c>
    </row>
    <row r="110" spans="1:7" x14ac:dyDescent="0.25">
      <c r="A110" t="s">
        <v>70</v>
      </c>
      <c r="B110" t="s">
        <v>40</v>
      </c>
      <c r="C110" t="s">
        <v>57</v>
      </c>
      <c r="D110" t="s">
        <v>53</v>
      </c>
      <c r="E110">
        <v>8.8081621024484816E-2</v>
      </c>
      <c r="F110" t="s">
        <v>43</v>
      </c>
      <c r="G110">
        <v>8.8081621024484816E-2</v>
      </c>
    </row>
    <row r="111" spans="1:7" x14ac:dyDescent="0.25">
      <c r="A111" t="s">
        <v>70</v>
      </c>
      <c r="B111" t="s">
        <v>40</v>
      </c>
      <c r="C111" t="s">
        <v>58</v>
      </c>
      <c r="D111" t="s">
        <v>59</v>
      </c>
      <c r="E111">
        <v>1</v>
      </c>
      <c r="F111" t="s">
        <v>60</v>
      </c>
      <c r="G111">
        <v>0.72982194479141249</v>
      </c>
    </row>
    <row r="112" spans="1:7" x14ac:dyDescent="0.25">
      <c r="A112" t="s">
        <v>70</v>
      </c>
      <c r="B112" t="s">
        <v>40</v>
      </c>
      <c r="C112" t="s">
        <v>61</v>
      </c>
      <c r="D112" t="s">
        <v>59</v>
      </c>
      <c r="E112">
        <v>0</v>
      </c>
      <c r="F112" t="s">
        <v>60</v>
      </c>
      <c r="G112">
        <v>0.27017805520858751</v>
      </c>
    </row>
    <row r="113" spans="1:7" x14ac:dyDescent="0.25">
      <c r="A113" t="s">
        <v>70</v>
      </c>
      <c r="B113" t="s">
        <v>40</v>
      </c>
      <c r="C113" t="s">
        <v>62</v>
      </c>
      <c r="D113" t="s">
        <v>63</v>
      </c>
      <c r="E113">
        <v>0.42162495143522749</v>
      </c>
      <c r="F113" t="s">
        <v>43</v>
      </c>
      <c r="G113">
        <v>0.42162495143522749</v>
      </c>
    </row>
    <row r="114" spans="1:7" x14ac:dyDescent="0.25">
      <c r="A114" t="s">
        <v>70</v>
      </c>
      <c r="B114" t="s">
        <v>40</v>
      </c>
      <c r="C114" t="s">
        <v>64</v>
      </c>
      <c r="D114" t="s">
        <v>63</v>
      </c>
      <c r="E114">
        <v>0.57837504856477251</v>
      </c>
      <c r="F114" t="s">
        <v>43</v>
      </c>
      <c r="G114">
        <v>0.57837504856477251</v>
      </c>
    </row>
    <row r="115" spans="1:7" x14ac:dyDescent="0.25">
      <c r="A115" t="s">
        <v>70</v>
      </c>
      <c r="B115" t="s">
        <v>65</v>
      </c>
      <c r="C115" t="s">
        <v>41</v>
      </c>
      <c r="D115" t="s">
        <v>42</v>
      </c>
      <c r="E115">
        <v>0.94299868264323294</v>
      </c>
      <c r="F115" t="s">
        <v>43</v>
      </c>
      <c r="G115">
        <v>0.94299868264323294</v>
      </c>
    </row>
    <row r="116" spans="1:7" x14ac:dyDescent="0.25">
      <c r="A116" t="s">
        <v>70</v>
      </c>
      <c r="B116" t="s">
        <v>65</v>
      </c>
      <c r="C116" t="s">
        <v>44</v>
      </c>
      <c r="D116" t="s">
        <v>42</v>
      </c>
      <c r="E116">
        <v>4.1765731369656618E-2</v>
      </c>
      <c r="F116" t="s">
        <v>43</v>
      </c>
      <c r="G116">
        <v>4.1765731369656618E-2</v>
      </c>
    </row>
    <row r="117" spans="1:7" x14ac:dyDescent="0.25">
      <c r="A117" t="s">
        <v>70</v>
      </c>
      <c r="B117" t="s">
        <v>65</v>
      </c>
      <c r="C117" t="s">
        <v>45</v>
      </c>
      <c r="D117" t="s">
        <v>42</v>
      </c>
      <c r="E117">
        <v>1.523558598711041E-2</v>
      </c>
      <c r="F117" t="s">
        <v>43</v>
      </c>
      <c r="G117">
        <v>1.523558598711041E-2</v>
      </c>
    </row>
    <row r="118" spans="1:7" x14ac:dyDescent="0.25">
      <c r="A118" t="s">
        <v>70</v>
      </c>
      <c r="B118" t="s">
        <v>65</v>
      </c>
      <c r="C118" t="s">
        <v>46</v>
      </c>
      <c r="D118" t="s">
        <v>47</v>
      </c>
      <c r="E118">
        <v>0.43273688361237522</v>
      </c>
      <c r="F118" t="s">
        <v>43</v>
      </c>
      <c r="G118">
        <v>0.43273688361237522</v>
      </c>
    </row>
    <row r="119" spans="1:7" x14ac:dyDescent="0.25">
      <c r="A119" t="s">
        <v>70</v>
      </c>
      <c r="B119" t="s">
        <v>65</v>
      </c>
      <c r="C119" t="s">
        <v>48</v>
      </c>
      <c r="D119" t="s">
        <v>47</v>
      </c>
      <c r="E119">
        <v>0.56726311638762483</v>
      </c>
      <c r="F119" t="s">
        <v>43</v>
      </c>
      <c r="G119">
        <v>0.56726311638762483</v>
      </c>
    </row>
    <row r="120" spans="1:7" x14ac:dyDescent="0.25">
      <c r="A120" t="s">
        <v>70</v>
      </c>
      <c r="B120" t="s">
        <v>65</v>
      </c>
      <c r="C120" t="s">
        <v>49</v>
      </c>
      <c r="D120" t="s">
        <v>50</v>
      </c>
      <c r="E120">
        <v>0.1171368722490322</v>
      </c>
      <c r="F120" t="s">
        <v>43</v>
      </c>
      <c r="G120">
        <v>0.1171368722490322</v>
      </c>
    </row>
    <row r="121" spans="1:7" x14ac:dyDescent="0.25">
      <c r="A121" t="s">
        <v>70</v>
      </c>
      <c r="B121" t="s">
        <v>65</v>
      </c>
      <c r="C121" t="s">
        <v>51</v>
      </c>
      <c r="D121" t="s">
        <v>50</v>
      </c>
      <c r="E121">
        <v>0.88286312775096776</v>
      </c>
      <c r="F121" t="s">
        <v>43</v>
      </c>
      <c r="G121">
        <v>0.88286312775096776</v>
      </c>
    </row>
    <row r="122" spans="1:7" x14ac:dyDescent="0.25">
      <c r="A122" t="s">
        <v>70</v>
      </c>
      <c r="B122" t="s">
        <v>65</v>
      </c>
      <c r="C122" t="s">
        <v>52</v>
      </c>
      <c r="D122" t="s">
        <v>53</v>
      </c>
      <c r="E122">
        <v>0.45630816353267001</v>
      </c>
      <c r="F122" t="s">
        <v>43</v>
      </c>
      <c r="G122">
        <v>0.45630816353267001</v>
      </c>
    </row>
    <row r="123" spans="1:7" x14ac:dyDescent="0.25">
      <c r="A123" t="s">
        <v>70</v>
      </c>
      <c r="B123" t="s">
        <v>65</v>
      </c>
      <c r="C123" t="s">
        <v>54</v>
      </c>
      <c r="D123" t="s">
        <v>53</v>
      </c>
      <c r="E123">
        <v>4.4370047500516312E-2</v>
      </c>
      <c r="F123" t="s">
        <v>43</v>
      </c>
      <c r="G123">
        <v>4.4370047500516312E-2</v>
      </c>
    </row>
    <row r="124" spans="1:7" x14ac:dyDescent="0.25">
      <c r="A124" t="s">
        <v>70</v>
      </c>
      <c r="B124" t="s">
        <v>65</v>
      </c>
      <c r="C124" t="s">
        <v>55</v>
      </c>
      <c r="D124" t="s">
        <v>53</v>
      </c>
      <c r="E124">
        <v>0.1883750452665103</v>
      </c>
      <c r="F124" t="s">
        <v>43</v>
      </c>
      <c r="G124">
        <v>0.1883750452665103</v>
      </c>
    </row>
    <row r="125" spans="1:7" x14ac:dyDescent="0.25">
      <c r="A125" t="s">
        <v>70</v>
      </c>
      <c r="B125" t="s">
        <v>65</v>
      </c>
      <c r="C125" t="s">
        <v>56</v>
      </c>
      <c r="D125" t="s">
        <v>53</v>
      </c>
      <c r="E125">
        <v>0.22286512267581851</v>
      </c>
      <c r="F125" t="s">
        <v>43</v>
      </c>
      <c r="G125">
        <v>0.22286512267581851</v>
      </c>
    </row>
    <row r="126" spans="1:7" x14ac:dyDescent="0.25">
      <c r="A126" t="s">
        <v>70</v>
      </c>
      <c r="B126" t="s">
        <v>65</v>
      </c>
      <c r="C126" t="s">
        <v>57</v>
      </c>
      <c r="D126" t="s">
        <v>53</v>
      </c>
      <c r="E126">
        <v>8.8081621024484816E-2</v>
      </c>
      <c r="F126" t="s">
        <v>43</v>
      </c>
      <c r="G126">
        <v>8.8081621024484816E-2</v>
      </c>
    </row>
    <row r="127" spans="1:7" x14ac:dyDescent="0.25">
      <c r="A127" t="s">
        <v>70</v>
      </c>
      <c r="B127" t="s">
        <v>65</v>
      </c>
      <c r="C127" t="s">
        <v>58</v>
      </c>
      <c r="D127" t="s">
        <v>59</v>
      </c>
      <c r="E127">
        <v>1</v>
      </c>
      <c r="F127" t="s">
        <v>60</v>
      </c>
      <c r="G127">
        <v>0.72982194479141249</v>
      </c>
    </row>
    <row r="128" spans="1:7" x14ac:dyDescent="0.25">
      <c r="A128" t="s">
        <v>70</v>
      </c>
      <c r="B128" t="s">
        <v>65</v>
      </c>
      <c r="C128" t="s">
        <v>61</v>
      </c>
      <c r="D128" t="s">
        <v>59</v>
      </c>
      <c r="E128">
        <v>0</v>
      </c>
      <c r="F128" t="s">
        <v>60</v>
      </c>
      <c r="G128">
        <v>0.27017805520858751</v>
      </c>
    </row>
    <row r="129" spans="1:7" x14ac:dyDescent="0.25">
      <c r="A129" t="s">
        <v>70</v>
      </c>
      <c r="B129" t="s">
        <v>65</v>
      </c>
      <c r="C129" t="s">
        <v>62</v>
      </c>
      <c r="D129" t="s">
        <v>63</v>
      </c>
      <c r="E129">
        <v>0.42162495143522749</v>
      </c>
      <c r="F129" t="s">
        <v>43</v>
      </c>
      <c r="G129">
        <v>0.42162495143522749</v>
      </c>
    </row>
    <row r="130" spans="1:7" x14ac:dyDescent="0.25">
      <c r="A130" t="s">
        <v>70</v>
      </c>
      <c r="B130" t="s">
        <v>65</v>
      </c>
      <c r="C130" t="s">
        <v>64</v>
      </c>
      <c r="D130" t="s">
        <v>63</v>
      </c>
      <c r="E130">
        <v>0.57837504856477251</v>
      </c>
      <c r="F130" t="s">
        <v>43</v>
      </c>
      <c r="G130">
        <v>0.57837504856477251</v>
      </c>
    </row>
    <row r="131" spans="1:7" x14ac:dyDescent="0.25">
      <c r="A131" t="s">
        <v>70</v>
      </c>
      <c r="B131" t="s">
        <v>66</v>
      </c>
      <c r="C131" t="s">
        <v>41</v>
      </c>
      <c r="D131" t="s">
        <v>42</v>
      </c>
      <c r="E131">
        <v>0.94299868264323294</v>
      </c>
      <c r="F131" t="s">
        <v>43</v>
      </c>
      <c r="G131">
        <v>0.94299868264323294</v>
      </c>
    </row>
    <row r="132" spans="1:7" x14ac:dyDescent="0.25">
      <c r="A132" t="s">
        <v>70</v>
      </c>
      <c r="B132" t="s">
        <v>66</v>
      </c>
      <c r="C132" t="s">
        <v>44</v>
      </c>
      <c r="D132" t="s">
        <v>42</v>
      </c>
      <c r="E132">
        <v>4.1765731369656618E-2</v>
      </c>
      <c r="F132" t="s">
        <v>43</v>
      </c>
      <c r="G132">
        <v>4.1765731369656618E-2</v>
      </c>
    </row>
    <row r="133" spans="1:7" x14ac:dyDescent="0.25">
      <c r="A133" t="s">
        <v>70</v>
      </c>
      <c r="B133" t="s">
        <v>66</v>
      </c>
      <c r="C133" t="s">
        <v>45</v>
      </c>
      <c r="D133" t="s">
        <v>42</v>
      </c>
      <c r="E133">
        <v>1.523558598711041E-2</v>
      </c>
      <c r="F133" t="s">
        <v>43</v>
      </c>
      <c r="G133">
        <v>1.523558598711041E-2</v>
      </c>
    </row>
    <row r="134" spans="1:7" x14ac:dyDescent="0.25">
      <c r="A134" t="s">
        <v>70</v>
      </c>
      <c r="B134" t="s">
        <v>66</v>
      </c>
      <c r="C134" t="s">
        <v>46</v>
      </c>
      <c r="D134" t="s">
        <v>47</v>
      </c>
      <c r="E134">
        <v>0.43273688361237522</v>
      </c>
      <c r="F134" t="s">
        <v>43</v>
      </c>
      <c r="G134">
        <v>0.43273688361237522</v>
      </c>
    </row>
    <row r="135" spans="1:7" x14ac:dyDescent="0.25">
      <c r="A135" t="s">
        <v>70</v>
      </c>
      <c r="B135" t="s">
        <v>66</v>
      </c>
      <c r="C135" t="s">
        <v>48</v>
      </c>
      <c r="D135" t="s">
        <v>47</v>
      </c>
      <c r="E135">
        <v>0.56726311638762483</v>
      </c>
      <c r="F135" t="s">
        <v>43</v>
      </c>
      <c r="G135">
        <v>0.56726311638762483</v>
      </c>
    </row>
    <row r="136" spans="1:7" x14ac:dyDescent="0.25">
      <c r="A136" t="s">
        <v>70</v>
      </c>
      <c r="B136" t="s">
        <v>66</v>
      </c>
      <c r="C136" t="s">
        <v>49</v>
      </c>
      <c r="D136" t="s">
        <v>50</v>
      </c>
      <c r="E136">
        <v>0.1171368722490322</v>
      </c>
      <c r="F136" t="s">
        <v>43</v>
      </c>
      <c r="G136">
        <v>0.1171368722490322</v>
      </c>
    </row>
    <row r="137" spans="1:7" x14ac:dyDescent="0.25">
      <c r="A137" t="s">
        <v>70</v>
      </c>
      <c r="B137" t="s">
        <v>66</v>
      </c>
      <c r="C137" t="s">
        <v>51</v>
      </c>
      <c r="D137" t="s">
        <v>50</v>
      </c>
      <c r="E137">
        <v>0.88286312775096776</v>
      </c>
      <c r="F137" t="s">
        <v>43</v>
      </c>
      <c r="G137">
        <v>0.88286312775096776</v>
      </c>
    </row>
    <row r="138" spans="1:7" x14ac:dyDescent="0.25">
      <c r="A138" t="s">
        <v>70</v>
      </c>
      <c r="B138" t="s">
        <v>66</v>
      </c>
      <c r="C138" t="s">
        <v>52</v>
      </c>
      <c r="D138" t="s">
        <v>53</v>
      </c>
      <c r="E138">
        <v>0.45630816353267001</v>
      </c>
      <c r="F138" t="s">
        <v>43</v>
      </c>
      <c r="G138">
        <v>0.45630816353267001</v>
      </c>
    </row>
    <row r="139" spans="1:7" x14ac:dyDescent="0.25">
      <c r="A139" t="s">
        <v>70</v>
      </c>
      <c r="B139" t="s">
        <v>66</v>
      </c>
      <c r="C139" t="s">
        <v>54</v>
      </c>
      <c r="D139" t="s">
        <v>53</v>
      </c>
      <c r="E139">
        <v>4.4370047500516312E-2</v>
      </c>
      <c r="F139" t="s">
        <v>43</v>
      </c>
      <c r="G139">
        <v>4.4370047500516312E-2</v>
      </c>
    </row>
    <row r="140" spans="1:7" x14ac:dyDescent="0.25">
      <c r="A140" t="s">
        <v>70</v>
      </c>
      <c r="B140" t="s">
        <v>66</v>
      </c>
      <c r="C140" t="s">
        <v>55</v>
      </c>
      <c r="D140" t="s">
        <v>53</v>
      </c>
      <c r="E140">
        <v>0.1883750452665103</v>
      </c>
      <c r="F140" t="s">
        <v>43</v>
      </c>
      <c r="G140">
        <v>0.1883750452665103</v>
      </c>
    </row>
    <row r="141" spans="1:7" x14ac:dyDescent="0.25">
      <c r="A141" t="s">
        <v>70</v>
      </c>
      <c r="B141" t="s">
        <v>66</v>
      </c>
      <c r="C141" t="s">
        <v>56</v>
      </c>
      <c r="D141" t="s">
        <v>53</v>
      </c>
      <c r="E141">
        <v>0.22286512267581851</v>
      </c>
      <c r="F141" t="s">
        <v>43</v>
      </c>
      <c r="G141">
        <v>0.22286512267581851</v>
      </c>
    </row>
    <row r="142" spans="1:7" x14ac:dyDescent="0.25">
      <c r="A142" t="s">
        <v>70</v>
      </c>
      <c r="B142" t="s">
        <v>66</v>
      </c>
      <c r="C142" t="s">
        <v>57</v>
      </c>
      <c r="D142" t="s">
        <v>53</v>
      </c>
      <c r="E142">
        <v>8.8081621024484816E-2</v>
      </c>
      <c r="F142" t="s">
        <v>43</v>
      </c>
      <c r="G142">
        <v>8.8081621024484816E-2</v>
      </c>
    </row>
    <row r="143" spans="1:7" x14ac:dyDescent="0.25">
      <c r="A143" t="s">
        <v>70</v>
      </c>
      <c r="B143" t="s">
        <v>66</v>
      </c>
      <c r="C143" t="s">
        <v>58</v>
      </c>
      <c r="D143" t="s">
        <v>59</v>
      </c>
      <c r="E143">
        <v>1</v>
      </c>
      <c r="F143" t="s">
        <v>60</v>
      </c>
      <c r="G143">
        <v>0.72982194479141249</v>
      </c>
    </row>
    <row r="144" spans="1:7" x14ac:dyDescent="0.25">
      <c r="A144" t="s">
        <v>70</v>
      </c>
      <c r="B144" t="s">
        <v>66</v>
      </c>
      <c r="C144" t="s">
        <v>61</v>
      </c>
      <c r="D144" t="s">
        <v>59</v>
      </c>
      <c r="E144">
        <v>0</v>
      </c>
      <c r="F144" t="s">
        <v>60</v>
      </c>
      <c r="G144">
        <v>0.27017805520858751</v>
      </c>
    </row>
    <row r="145" spans="1:7" x14ac:dyDescent="0.25">
      <c r="A145" t="s">
        <v>70</v>
      </c>
      <c r="B145" t="s">
        <v>66</v>
      </c>
      <c r="C145" t="s">
        <v>62</v>
      </c>
      <c r="D145" t="s">
        <v>63</v>
      </c>
      <c r="E145">
        <v>0.42162495143522749</v>
      </c>
      <c r="F145" t="s">
        <v>43</v>
      </c>
      <c r="G145">
        <v>0.42162495143522749</v>
      </c>
    </row>
    <row r="146" spans="1:7" x14ac:dyDescent="0.25">
      <c r="A146" t="s">
        <v>70</v>
      </c>
      <c r="B146" t="s">
        <v>66</v>
      </c>
      <c r="C146" t="s">
        <v>64</v>
      </c>
      <c r="D146" t="s">
        <v>63</v>
      </c>
      <c r="E146">
        <v>0.57837504856477251</v>
      </c>
      <c r="F146" t="s">
        <v>43</v>
      </c>
      <c r="G146">
        <v>0.57837504856477251</v>
      </c>
    </row>
    <row r="147" spans="1:7" x14ac:dyDescent="0.25">
      <c r="A147" t="s">
        <v>70</v>
      </c>
      <c r="B147" t="s">
        <v>67</v>
      </c>
      <c r="C147" t="s">
        <v>41</v>
      </c>
      <c r="D147" t="s">
        <v>42</v>
      </c>
      <c r="E147">
        <v>0.94299868264323294</v>
      </c>
      <c r="F147" t="s">
        <v>43</v>
      </c>
      <c r="G147">
        <v>0.94299868264323294</v>
      </c>
    </row>
    <row r="148" spans="1:7" x14ac:dyDescent="0.25">
      <c r="A148" t="s">
        <v>70</v>
      </c>
      <c r="B148" t="s">
        <v>67</v>
      </c>
      <c r="C148" t="s">
        <v>44</v>
      </c>
      <c r="D148" t="s">
        <v>42</v>
      </c>
      <c r="E148">
        <v>4.1765731369656618E-2</v>
      </c>
      <c r="F148" t="s">
        <v>43</v>
      </c>
      <c r="G148">
        <v>4.1765731369656618E-2</v>
      </c>
    </row>
    <row r="149" spans="1:7" x14ac:dyDescent="0.25">
      <c r="A149" t="s">
        <v>70</v>
      </c>
      <c r="B149" t="s">
        <v>67</v>
      </c>
      <c r="C149" t="s">
        <v>45</v>
      </c>
      <c r="D149" t="s">
        <v>42</v>
      </c>
      <c r="E149">
        <v>1.523558598711041E-2</v>
      </c>
      <c r="F149" t="s">
        <v>43</v>
      </c>
      <c r="G149">
        <v>1.523558598711041E-2</v>
      </c>
    </row>
    <row r="150" spans="1:7" x14ac:dyDescent="0.25">
      <c r="A150" t="s">
        <v>70</v>
      </c>
      <c r="B150" t="s">
        <v>67</v>
      </c>
      <c r="C150" t="s">
        <v>46</v>
      </c>
      <c r="D150" t="s">
        <v>47</v>
      </c>
      <c r="E150">
        <v>0.43273688361237522</v>
      </c>
      <c r="F150" t="s">
        <v>43</v>
      </c>
      <c r="G150">
        <v>0.43273688361237522</v>
      </c>
    </row>
    <row r="151" spans="1:7" x14ac:dyDescent="0.25">
      <c r="A151" t="s">
        <v>70</v>
      </c>
      <c r="B151" t="s">
        <v>67</v>
      </c>
      <c r="C151" t="s">
        <v>48</v>
      </c>
      <c r="D151" t="s">
        <v>47</v>
      </c>
      <c r="E151">
        <v>0.56726311638762483</v>
      </c>
      <c r="F151" t="s">
        <v>43</v>
      </c>
      <c r="G151">
        <v>0.56726311638762483</v>
      </c>
    </row>
    <row r="152" spans="1:7" x14ac:dyDescent="0.25">
      <c r="A152" t="s">
        <v>70</v>
      </c>
      <c r="B152" t="s">
        <v>67</v>
      </c>
      <c r="C152" t="s">
        <v>49</v>
      </c>
      <c r="D152" t="s">
        <v>50</v>
      </c>
      <c r="E152">
        <v>0.1171368722490322</v>
      </c>
      <c r="F152" t="s">
        <v>43</v>
      </c>
      <c r="G152">
        <v>0.1171368722490322</v>
      </c>
    </row>
    <row r="153" spans="1:7" x14ac:dyDescent="0.25">
      <c r="A153" t="s">
        <v>70</v>
      </c>
      <c r="B153" t="s">
        <v>67</v>
      </c>
      <c r="C153" t="s">
        <v>51</v>
      </c>
      <c r="D153" t="s">
        <v>50</v>
      </c>
      <c r="E153">
        <v>0.88286312775096776</v>
      </c>
      <c r="F153" t="s">
        <v>43</v>
      </c>
      <c r="G153">
        <v>0.88286312775096776</v>
      </c>
    </row>
    <row r="154" spans="1:7" x14ac:dyDescent="0.25">
      <c r="A154" t="s">
        <v>70</v>
      </c>
      <c r="B154" t="s">
        <v>67</v>
      </c>
      <c r="C154" t="s">
        <v>52</v>
      </c>
      <c r="D154" t="s">
        <v>53</v>
      </c>
      <c r="E154">
        <v>0.45630816353267001</v>
      </c>
      <c r="F154" t="s">
        <v>43</v>
      </c>
      <c r="G154">
        <v>0.45630816353267001</v>
      </c>
    </row>
    <row r="155" spans="1:7" x14ac:dyDescent="0.25">
      <c r="A155" t="s">
        <v>70</v>
      </c>
      <c r="B155" t="s">
        <v>67</v>
      </c>
      <c r="C155" t="s">
        <v>54</v>
      </c>
      <c r="D155" t="s">
        <v>53</v>
      </c>
      <c r="E155">
        <v>4.4370047500516312E-2</v>
      </c>
      <c r="F155" t="s">
        <v>43</v>
      </c>
      <c r="G155">
        <v>4.4370047500516312E-2</v>
      </c>
    </row>
    <row r="156" spans="1:7" x14ac:dyDescent="0.25">
      <c r="A156" t="s">
        <v>70</v>
      </c>
      <c r="B156" t="s">
        <v>67</v>
      </c>
      <c r="C156" t="s">
        <v>55</v>
      </c>
      <c r="D156" t="s">
        <v>53</v>
      </c>
      <c r="E156">
        <v>0.1883750452665103</v>
      </c>
      <c r="F156" t="s">
        <v>43</v>
      </c>
      <c r="G156">
        <v>0.1883750452665103</v>
      </c>
    </row>
    <row r="157" spans="1:7" x14ac:dyDescent="0.25">
      <c r="A157" t="s">
        <v>70</v>
      </c>
      <c r="B157" t="s">
        <v>67</v>
      </c>
      <c r="C157" t="s">
        <v>56</v>
      </c>
      <c r="D157" t="s">
        <v>53</v>
      </c>
      <c r="E157">
        <v>0.22286512267581851</v>
      </c>
      <c r="F157" t="s">
        <v>43</v>
      </c>
      <c r="G157">
        <v>0.22286512267581851</v>
      </c>
    </row>
    <row r="158" spans="1:7" x14ac:dyDescent="0.25">
      <c r="A158" t="s">
        <v>70</v>
      </c>
      <c r="B158" t="s">
        <v>67</v>
      </c>
      <c r="C158" t="s">
        <v>57</v>
      </c>
      <c r="D158" t="s">
        <v>53</v>
      </c>
      <c r="E158">
        <v>8.8081621024484816E-2</v>
      </c>
      <c r="F158" t="s">
        <v>43</v>
      </c>
      <c r="G158">
        <v>8.8081621024484816E-2</v>
      </c>
    </row>
    <row r="159" spans="1:7" x14ac:dyDescent="0.25">
      <c r="A159" t="s">
        <v>70</v>
      </c>
      <c r="B159" t="s">
        <v>67</v>
      </c>
      <c r="C159" t="s">
        <v>58</v>
      </c>
      <c r="D159" t="s">
        <v>59</v>
      </c>
      <c r="E159">
        <v>1</v>
      </c>
      <c r="F159" t="s">
        <v>60</v>
      </c>
      <c r="G159">
        <v>0.72982194479141249</v>
      </c>
    </row>
    <row r="160" spans="1:7" x14ac:dyDescent="0.25">
      <c r="A160" t="s">
        <v>70</v>
      </c>
      <c r="B160" t="s">
        <v>67</v>
      </c>
      <c r="C160" t="s">
        <v>61</v>
      </c>
      <c r="D160" t="s">
        <v>59</v>
      </c>
      <c r="E160">
        <v>0</v>
      </c>
      <c r="F160" t="s">
        <v>60</v>
      </c>
      <c r="G160">
        <v>0.27017805520858751</v>
      </c>
    </row>
    <row r="161" spans="1:7" x14ac:dyDescent="0.25">
      <c r="A161" t="s">
        <v>70</v>
      </c>
      <c r="B161" t="s">
        <v>67</v>
      </c>
      <c r="C161" t="s">
        <v>62</v>
      </c>
      <c r="D161" t="s">
        <v>63</v>
      </c>
      <c r="E161">
        <v>0.42162495143522749</v>
      </c>
      <c r="F161" t="s">
        <v>43</v>
      </c>
      <c r="G161">
        <v>0.42162495143522749</v>
      </c>
    </row>
    <row r="162" spans="1:7" x14ac:dyDescent="0.25">
      <c r="A162" t="s">
        <v>70</v>
      </c>
      <c r="B162" t="s">
        <v>67</v>
      </c>
      <c r="C162" t="s">
        <v>64</v>
      </c>
      <c r="D162" t="s">
        <v>63</v>
      </c>
      <c r="E162">
        <v>0.57837504856477251</v>
      </c>
      <c r="F162" t="s">
        <v>43</v>
      </c>
      <c r="G162">
        <v>0.57837504856477251</v>
      </c>
    </row>
    <row r="163" spans="1:7" x14ac:dyDescent="0.25">
      <c r="A163" t="s">
        <v>70</v>
      </c>
      <c r="B163" t="s">
        <v>68</v>
      </c>
      <c r="C163" t="s">
        <v>41</v>
      </c>
      <c r="D163" t="s">
        <v>42</v>
      </c>
      <c r="E163">
        <v>0.94299868264323294</v>
      </c>
      <c r="F163" t="s">
        <v>43</v>
      </c>
      <c r="G163">
        <v>0.94299868264323294</v>
      </c>
    </row>
    <row r="164" spans="1:7" x14ac:dyDescent="0.25">
      <c r="A164" t="s">
        <v>70</v>
      </c>
      <c r="B164" t="s">
        <v>68</v>
      </c>
      <c r="C164" t="s">
        <v>44</v>
      </c>
      <c r="D164" t="s">
        <v>42</v>
      </c>
      <c r="E164">
        <v>4.1765731369656618E-2</v>
      </c>
      <c r="F164" t="s">
        <v>43</v>
      </c>
      <c r="G164">
        <v>4.1765731369656618E-2</v>
      </c>
    </row>
    <row r="165" spans="1:7" x14ac:dyDescent="0.25">
      <c r="A165" t="s">
        <v>70</v>
      </c>
      <c r="B165" t="s">
        <v>68</v>
      </c>
      <c r="C165" t="s">
        <v>45</v>
      </c>
      <c r="D165" t="s">
        <v>42</v>
      </c>
      <c r="E165">
        <v>1.523558598711041E-2</v>
      </c>
      <c r="F165" t="s">
        <v>43</v>
      </c>
      <c r="G165">
        <v>1.523558598711041E-2</v>
      </c>
    </row>
    <row r="166" spans="1:7" x14ac:dyDescent="0.25">
      <c r="A166" t="s">
        <v>70</v>
      </c>
      <c r="B166" t="s">
        <v>68</v>
      </c>
      <c r="C166" t="s">
        <v>46</v>
      </c>
      <c r="D166" t="s">
        <v>47</v>
      </c>
      <c r="E166">
        <v>0.43273688361237522</v>
      </c>
      <c r="F166" t="s">
        <v>43</v>
      </c>
      <c r="G166">
        <v>0.43273688361237522</v>
      </c>
    </row>
    <row r="167" spans="1:7" x14ac:dyDescent="0.25">
      <c r="A167" t="s">
        <v>70</v>
      </c>
      <c r="B167" t="s">
        <v>68</v>
      </c>
      <c r="C167" t="s">
        <v>48</v>
      </c>
      <c r="D167" t="s">
        <v>47</v>
      </c>
      <c r="E167">
        <v>0.56726311638762483</v>
      </c>
      <c r="F167" t="s">
        <v>43</v>
      </c>
      <c r="G167">
        <v>0.56726311638762483</v>
      </c>
    </row>
    <row r="168" spans="1:7" x14ac:dyDescent="0.25">
      <c r="A168" t="s">
        <v>70</v>
      </c>
      <c r="B168" t="s">
        <v>68</v>
      </c>
      <c r="C168" t="s">
        <v>49</v>
      </c>
      <c r="D168" t="s">
        <v>50</v>
      </c>
      <c r="E168">
        <v>0.1171368722490322</v>
      </c>
      <c r="F168" t="s">
        <v>43</v>
      </c>
      <c r="G168">
        <v>0.1171368722490322</v>
      </c>
    </row>
    <row r="169" spans="1:7" x14ac:dyDescent="0.25">
      <c r="A169" t="s">
        <v>70</v>
      </c>
      <c r="B169" t="s">
        <v>68</v>
      </c>
      <c r="C169" t="s">
        <v>51</v>
      </c>
      <c r="D169" t="s">
        <v>50</v>
      </c>
      <c r="E169">
        <v>0.88286312775096776</v>
      </c>
      <c r="F169" t="s">
        <v>43</v>
      </c>
      <c r="G169">
        <v>0.88286312775096776</v>
      </c>
    </row>
    <row r="170" spans="1:7" x14ac:dyDescent="0.25">
      <c r="A170" t="s">
        <v>70</v>
      </c>
      <c r="B170" t="s">
        <v>68</v>
      </c>
      <c r="C170" t="s">
        <v>52</v>
      </c>
      <c r="D170" t="s">
        <v>53</v>
      </c>
      <c r="E170">
        <v>0.45630816353267001</v>
      </c>
      <c r="F170" t="s">
        <v>43</v>
      </c>
      <c r="G170">
        <v>0.45630816353267001</v>
      </c>
    </row>
    <row r="171" spans="1:7" x14ac:dyDescent="0.25">
      <c r="A171" t="s">
        <v>70</v>
      </c>
      <c r="B171" t="s">
        <v>68</v>
      </c>
      <c r="C171" t="s">
        <v>54</v>
      </c>
      <c r="D171" t="s">
        <v>53</v>
      </c>
      <c r="E171">
        <v>4.4370047500516312E-2</v>
      </c>
      <c r="F171" t="s">
        <v>43</v>
      </c>
      <c r="G171">
        <v>4.4370047500516312E-2</v>
      </c>
    </row>
    <row r="172" spans="1:7" x14ac:dyDescent="0.25">
      <c r="A172" t="s">
        <v>70</v>
      </c>
      <c r="B172" t="s">
        <v>68</v>
      </c>
      <c r="C172" t="s">
        <v>55</v>
      </c>
      <c r="D172" t="s">
        <v>53</v>
      </c>
      <c r="E172">
        <v>0.1883750452665103</v>
      </c>
      <c r="F172" t="s">
        <v>43</v>
      </c>
      <c r="G172">
        <v>0.1883750452665103</v>
      </c>
    </row>
    <row r="173" spans="1:7" x14ac:dyDescent="0.25">
      <c r="A173" t="s">
        <v>70</v>
      </c>
      <c r="B173" t="s">
        <v>68</v>
      </c>
      <c r="C173" t="s">
        <v>56</v>
      </c>
      <c r="D173" t="s">
        <v>53</v>
      </c>
      <c r="E173">
        <v>0.22286512267581851</v>
      </c>
      <c r="F173" t="s">
        <v>43</v>
      </c>
      <c r="G173">
        <v>0.22286512267581851</v>
      </c>
    </row>
    <row r="174" spans="1:7" x14ac:dyDescent="0.25">
      <c r="A174" t="s">
        <v>70</v>
      </c>
      <c r="B174" t="s">
        <v>68</v>
      </c>
      <c r="C174" t="s">
        <v>57</v>
      </c>
      <c r="D174" t="s">
        <v>53</v>
      </c>
      <c r="E174">
        <v>8.8081621024484816E-2</v>
      </c>
      <c r="F174" t="s">
        <v>43</v>
      </c>
      <c r="G174">
        <v>8.8081621024484816E-2</v>
      </c>
    </row>
    <row r="175" spans="1:7" x14ac:dyDescent="0.25">
      <c r="A175" t="s">
        <v>70</v>
      </c>
      <c r="B175" t="s">
        <v>68</v>
      </c>
      <c r="C175" t="s">
        <v>58</v>
      </c>
      <c r="D175" t="s">
        <v>59</v>
      </c>
      <c r="E175">
        <v>1</v>
      </c>
      <c r="F175" t="s">
        <v>60</v>
      </c>
      <c r="G175">
        <v>0.72982194479141249</v>
      </c>
    </row>
    <row r="176" spans="1:7" x14ac:dyDescent="0.25">
      <c r="A176" t="s">
        <v>70</v>
      </c>
      <c r="B176" t="s">
        <v>68</v>
      </c>
      <c r="C176" t="s">
        <v>61</v>
      </c>
      <c r="D176" t="s">
        <v>59</v>
      </c>
      <c r="E176">
        <v>0</v>
      </c>
      <c r="F176" t="s">
        <v>60</v>
      </c>
      <c r="G176">
        <v>0.27017805520858751</v>
      </c>
    </row>
    <row r="177" spans="1:7" x14ac:dyDescent="0.25">
      <c r="A177" t="s">
        <v>70</v>
      </c>
      <c r="B177" t="s">
        <v>68</v>
      </c>
      <c r="C177" t="s">
        <v>62</v>
      </c>
      <c r="D177" t="s">
        <v>63</v>
      </c>
      <c r="E177">
        <v>0.42162495143522749</v>
      </c>
      <c r="F177" t="s">
        <v>43</v>
      </c>
      <c r="G177">
        <v>0.42162495143522749</v>
      </c>
    </row>
    <row r="178" spans="1:7" x14ac:dyDescent="0.25">
      <c r="A178" t="s">
        <v>70</v>
      </c>
      <c r="B178" t="s">
        <v>68</v>
      </c>
      <c r="C178" t="s">
        <v>64</v>
      </c>
      <c r="D178" t="s">
        <v>63</v>
      </c>
      <c r="E178">
        <v>0.57837504856477251</v>
      </c>
      <c r="F178" t="s">
        <v>43</v>
      </c>
      <c r="G178">
        <v>0.57837504856477251</v>
      </c>
    </row>
    <row r="179" spans="1:7" x14ac:dyDescent="0.25">
      <c r="A179" t="s">
        <v>70</v>
      </c>
      <c r="B179" t="s">
        <v>69</v>
      </c>
      <c r="C179" t="s">
        <v>41</v>
      </c>
      <c r="D179" t="s">
        <v>42</v>
      </c>
      <c r="E179">
        <v>0.94299868264323294</v>
      </c>
      <c r="F179" t="s">
        <v>43</v>
      </c>
      <c r="G179">
        <v>0.94299868264323294</v>
      </c>
    </row>
    <row r="180" spans="1:7" x14ac:dyDescent="0.25">
      <c r="A180" t="s">
        <v>70</v>
      </c>
      <c r="B180" t="s">
        <v>69</v>
      </c>
      <c r="C180" t="s">
        <v>44</v>
      </c>
      <c r="D180" t="s">
        <v>42</v>
      </c>
      <c r="E180">
        <v>4.1765731369656618E-2</v>
      </c>
      <c r="F180" t="s">
        <v>43</v>
      </c>
      <c r="G180">
        <v>4.1765731369656618E-2</v>
      </c>
    </row>
    <row r="181" spans="1:7" x14ac:dyDescent="0.25">
      <c r="A181" t="s">
        <v>70</v>
      </c>
      <c r="B181" t="s">
        <v>69</v>
      </c>
      <c r="C181" t="s">
        <v>45</v>
      </c>
      <c r="D181" t="s">
        <v>42</v>
      </c>
      <c r="E181">
        <v>1.523558598711041E-2</v>
      </c>
      <c r="F181" t="s">
        <v>43</v>
      </c>
      <c r="G181">
        <v>1.523558598711041E-2</v>
      </c>
    </row>
    <row r="182" spans="1:7" x14ac:dyDescent="0.25">
      <c r="A182" t="s">
        <v>70</v>
      </c>
      <c r="B182" t="s">
        <v>69</v>
      </c>
      <c r="C182" t="s">
        <v>46</v>
      </c>
      <c r="D182" t="s">
        <v>47</v>
      </c>
      <c r="E182">
        <v>0.43273688361237522</v>
      </c>
      <c r="F182" t="s">
        <v>43</v>
      </c>
      <c r="G182">
        <v>0.43273688361237522</v>
      </c>
    </row>
    <row r="183" spans="1:7" x14ac:dyDescent="0.25">
      <c r="A183" t="s">
        <v>70</v>
      </c>
      <c r="B183" t="s">
        <v>69</v>
      </c>
      <c r="C183" t="s">
        <v>48</v>
      </c>
      <c r="D183" t="s">
        <v>47</v>
      </c>
      <c r="E183">
        <v>0.56726311638762483</v>
      </c>
      <c r="F183" t="s">
        <v>43</v>
      </c>
      <c r="G183">
        <v>0.56726311638762483</v>
      </c>
    </row>
    <row r="184" spans="1:7" x14ac:dyDescent="0.25">
      <c r="A184" t="s">
        <v>70</v>
      </c>
      <c r="B184" t="s">
        <v>69</v>
      </c>
      <c r="C184" t="s">
        <v>49</v>
      </c>
      <c r="D184" t="s">
        <v>50</v>
      </c>
      <c r="E184">
        <v>0.1171368722490322</v>
      </c>
      <c r="F184" t="s">
        <v>43</v>
      </c>
      <c r="G184">
        <v>0.1171368722490322</v>
      </c>
    </row>
    <row r="185" spans="1:7" x14ac:dyDescent="0.25">
      <c r="A185" t="s">
        <v>70</v>
      </c>
      <c r="B185" t="s">
        <v>69</v>
      </c>
      <c r="C185" t="s">
        <v>51</v>
      </c>
      <c r="D185" t="s">
        <v>50</v>
      </c>
      <c r="E185">
        <v>0.88286312775096776</v>
      </c>
      <c r="F185" t="s">
        <v>43</v>
      </c>
      <c r="G185">
        <v>0.88286312775096776</v>
      </c>
    </row>
    <row r="186" spans="1:7" x14ac:dyDescent="0.25">
      <c r="A186" t="s">
        <v>70</v>
      </c>
      <c r="B186" t="s">
        <v>69</v>
      </c>
      <c r="C186" t="s">
        <v>52</v>
      </c>
      <c r="D186" t="s">
        <v>53</v>
      </c>
      <c r="E186">
        <v>0.45630816353267001</v>
      </c>
      <c r="F186" t="s">
        <v>43</v>
      </c>
      <c r="G186">
        <v>0.45630816353267001</v>
      </c>
    </row>
    <row r="187" spans="1:7" x14ac:dyDescent="0.25">
      <c r="A187" t="s">
        <v>70</v>
      </c>
      <c r="B187" t="s">
        <v>69</v>
      </c>
      <c r="C187" t="s">
        <v>54</v>
      </c>
      <c r="D187" t="s">
        <v>53</v>
      </c>
      <c r="E187">
        <v>4.4370047500516312E-2</v>
      </c>
      <c r="F187" t="s">
        <v>43</v>
      </c>
      <c r="G187">
        <v>4.4370047500516312E-2</v>
      </c>
    </row>
    <row r="188" spans="1:7" x14ac:dyDescent="0.25">
      <c r="A188" t="s">
        <v>70</v>
      </c>
      <c r="B188" t="s">
        <v>69</v>
      </c>
      <c r="C188" t="s">
        <v>55</v>
      </c>
      <c r="D188" t="s">
        <v>53</v>
      </c>
      <c r="E188">
        <v>0.1883750452665103</v>
      </c>
      <c r="F188" t="s">
        <v>43</v>
      </c>
      <c r="G188">
        <v>0.1883750452665103</v>
      </c>
    </row>
    <row r="189" spans="1:7" x14ac:dyDescent="0.25">
      <c r="A189" t="s">
        <v>70</v>
      </c>
      <c r="B189" t="s">
        <v>69</v>
      </c>
      <c r="C189" t="s">
        <v>56</v>
      </c>
      <c r="D189" t="s">
        <v>53</v>
      </c>
      <c r="E189">
        <v>0.22286512267581851</v>
      </c>
      <c r="F189" t="s">
        <v>43</v>
      </c>
      <c r="G189">
        <v>0.22286512267581851</v>
      </c>
    </row>
    <row r="190" spans="1:7" x14ac:dyDescent="0.25">
      <c r="A190" t="s">
        <v>70</v>
      </c>
      <c r="B190" t="s">
        <v>69</v>
      </c>
      <c r="C190" t="s">
        <v>57</v>
      </c>
      <c r="D190" t="s">
        <v>53</v>
      </c>
      <c r="E190">
        <v>8.8081621024484816E-2</v>
      </c>
      <c r="F190" t="s">
        <v>43</v>
      </c>
      <c r="G190">
        <v>8.8081621024484816E-2</v>
      </c>
    </row>
    <row r="191" spans="1:7" x14ac:dyDescent="0.25">
      <c r="A191" t="s">
        <v>70</v>
      </c>
      <c r="B191" t="s">
        <v>69</v>
      </c>
      <c r="C191" t="s">
        <v>58</v>
      </c>
      <c r="D191" t="s">
        <v>59</v>
      </c>
      <c r="E191">
        <v>1</v>
      </c>
      <c r="F191" t="s">
        <v>60</v>
      </c>
      <c r="G191">
        <v>0.72982194479141249</v>
      </c>
    </row>
    <row r="192" spans="1:7" x14ac:dyDescent="0.25">
      <c r="A192" t="s">
        <v>70</v>
      </c>
      <c r="B192" t="s">
        <v>69</v>
      </c>
      <c r="C192" t="s">
        <v>61</v>
      </c>
      <c r="D192" t="s">
        <v>59</v>
      </c>
      <c r="E192">
        <v>0</v>
      </c>
      <c r="F192" t="s">
        <v>60</v>
      </c>
      <c r="G192">
        <v>0.27017805520858751</v>
      </c>
    </row>
    <row r="193" spans="1:7" x14ac:dyDescent="0.25">
      <c r="A193" t="s">
        <v>70</v>
      </c>
      <c r="B193" t="s">
        <v>69</v>
      </c>
      <c r="C193" t="s">
        <v>62</v>
      </c>
      <c r="D193" t="s">
        <v>63</v>
      </c>
      <c r="E193">
        <v>0.42162495143522749</v>
      </c>
      <c r="F193" t="s">
        <v>43</v>
      </c>
      <c r="G193">
        <v>0.42162495143522749</v>
      </c>
    </row>
    <row r="194" spans="1:7" x14ac:dyDescent="0.25">
      <c r="A194" t="s">
        <v>70</v>
      </c>
      <c r="B194" t="s">
        <v>69</v>
      </c>
      <c r="C194" t="s">
        <v>64</v>
      </c>
      <c r="D194" t="s">
        <v>63</v>
      </c>
      <c r="E194">
        <v>0.57837504856477251</v>
      </c>
      <c r="F194" t="s">
        <v>43</v>
      </c>
      <c r="G194">
        <v>0.57837504856477251</v>
      </c>
    </row>
    <row r="195" spans="1:7" x14ac:dyDescent="0.25">
      <c r="A195" t="s">
        <v>71</v>
      </c>
      <c r="B195" t="s">
        <v>40</v>
      </c>
      <c r="C195" t="s">
        <v>41</v>
      </c>
      <c r="D195" t="s">
        <v>42</v>
      </c>
      <c r="E195">
        <v>0.94299868264323294</v>
      </c>
      <c r="F195" t="s">
        <v>43</v>
      </c>
      <c r="G195">
        <v>0.94299868264323294</v>
      </c>
    </row>
    <row r="196" spans="1:7" x14ac:dyDescent="0.25">
      <c r="A196" t="s">
        <v>71</v>
      </c>
      <c r="B196" t="s">
        <v>40</v>
      </c>
      <c r="C196" t="s">
        <v>44</v>
      </c>
      <c r="D196" t="s">
        <v>42</v>
      </c>
      <c r="E196">
        <v>4.1765731369656618E-2</v>
      </c>
      <c r="F196" t="s">
        <v>43</v>
      </c>
      <c r="G196">
        <v>4.1765731369656618E-2</v>
      </c>
    </row>
    <row r="197" spans="1:7" x14ac:dyDescent="0.25">
      <c r="A197" t="s">
        <v>71</v>
      </c>
      <c r="B197" t="s">
        <v>40</v>
      </c>
      <c r="C197" t="s">
        <v>45</v>
      </c>
      <c r="D197" t="s">
        <v>42</v>
      </c>
      <c r="E197">
        <v>1.523558598711041E-2</v>
      </c>
      <c r="F197" t="s">
        <v>43</v>
      </c>
      <c r="G197">
        <v>1.523558598711041E-2</v>
      </c>
    </row>
    <row r="198" spans="1:7" x14ac:dyDescent="0.25">
      <c r="A198" t="s">
        <v>71</v>
      </c>
      <c r="B198" t="s">
        <v>40</v>
      </c>
      <c r="C198" t="s">
        <v>46</v>
      </c>
      <c r="D198" t="s">
        <v>47</v>
      </c>
      <c r="E198">
        <v>0.43273688361237522</v>
      </c>
      <c r="F198" t="s">
        <v>43</v>
      </c>
      <c r="G198">
        <v>0.43273688361237522</v>
      </c>
    </row>
    <row r="199" spans="1:7" x14ac:dyDescent="0.25">
      <c r="A199" t="s">
        <v>71</v>
      </c>
      <c r="B199" t="s">
        <v>40</v>
      </c>
      <c r="C199" t="s">
        <v>48</v>
      </c>
      <c r="D199" t="s">
        <v>47</v>
      </c>
      <c r="E199">
        <v>0.56726311638762483</v>
      </c>
      <c r="F199" t="s">
        <v>43</v>
      </c>
      <c r="G199">
        <v>0.56726311638762483</v>
      </c>
    </row>
    <row r="200" spans="1:7" x14ac:dyDescent="0.25">
      <c r="A200" t="s">
        <v>71</v>
      </c>
      <c r="B200" t="s">
        <v>40</v>
      </c>
      <c r="C200" t="s">
        <v>49</v>
      </c>
      <c r="D200" t="s">
        <v>50</v>
      </c>
      <c r="E200">
        <v>0.1171368722490322</v>
      </c>
      <c r="F200" t="s">
        <v>43</v>
      </c>
      <c r="G200">
        <v>0.1171368722490322</v>
      </c>
    </row>
    <row r="201" spans="1:7" x14ac:dyDescent="0.25">
      <c r="A201" t="s">
        <v>71</v>
      </c>
      <c r="B201" t="s">
        <v>40</v>
      </c>
      <c r="C201" t="s">
        <v>51</v>
      </c>
      <c r="D201" t="s">
        <v>50</v>
      </c>
      <c r="E201">
        <v>0.88286312775096776</v>
      </c>
      <c r="F201" t="s">
        <v>43</v>
      </c>
      <c r="G201">
        <v>0.88286312775096776</v>
      </c>
    </row>
    <row r="202" spans="1:7" x14ac:dyDescent="0.25">
      <c r="A202" t="s">
        <v>71</v>
      </c>
      <c r="B202" t="s">
        <v>40</v>
      </c>
      <c r="C202" t="s">
        <v>52</v>
      </c>
      <c r="D202" t="s">
        <v>53</v>
      </c>
      <c r="E202">
        <v>0.45630816353267001</v>
      </c>
      <c r="F202" t="s">
        <v>43</v>
      </c>
      <c r="G202">
        <v>0.45630816353267001</v>
      </c>
    </row>
    <row r="203" spans="1:7" x14ac:dyDescent="0.25">
      <c r="A203" t="s">
        <v>71</v>
      </c>
      <c r="B203" t="s">
        <v>40</v>
      </c>
      <c r="C203" t="s">
        <v>54</v>
      </c>
      <c r="D203" t="s">
        <v>53</v>
      </c>
      <c r="E203">
        <v>4.4370047500516312E-2</v>
      </c>
      <c r="F203" t="s">
        <v>43</v>
      </c>
      <c r="G203">
        <v>4.4370047500516312E-2</v>
      </c>
    </row>
    <row r="204" spans="1:7" x14ac:dyDescent="0.25">
      <c r="A204" t="s">
        <v>71</v>
      </c>
      <c r="B204" t="s">
        <v>40</v>
      </c>
      <c r="C204" t="s">
        <v>55</v>
      </c>
      <c r="D204" t="s">
        <v>53</v>
      </c>
      <c r="E204">
        <v>0.1883750452665103</v>
      </c>
      <c r="F204" t="s">
        <v>43</v>
      </c>
      <c r="G204">
        <v>0.1883750452665103</v>
      </c>
    </row>
    <row r="205" spans="1:7" x14ac:dyDescent="0.25">
      <c r="A205" t="s">
        <v>71</v>
      </c>
      <c r="B205" t="s">
        <v>40</v>
      </c>
      <c r="C205" t="s">
        <v>56</v>
      </c>
      <c r="D205" t="s">
        <v>53</v>
      </c>
      <c r="E205">
        <v>0.22286512267581851</v>
      </c>
      <c r="F205" t="s">
        <v>43</v>
      </c>
      <c r="G205">
        <v>0.22286512267581851</v>
      </c>
    </row>
    <row r="206" spans="1:7" x14ac:dyDescent="0.25">
      <c r="A206" t="s">
        <v>71</v>
      </c>
      <c r="B206" t="s">
        <v>40</v>
      </c>
      <c r="C206" t="s">
        <v>57</v>
      </c>
      <c r="D206" t="s">
        <v>53</v>
      </c>
      <c r="E206">
        <v>8.8081621024484816E-2</v>
      </c>
      <c r="F206" t="s">
        <v>43</v>
      </c>
      <c r="G206">
        <v>8.8081621024484816E-2</v>
      </c>
    </row>
    <row r="207" spans="1:7" x14ac:dyDescent="0.25">
      <c r="A207" t="s">
        <v>71</v>
      </c>
      <c r="B207" t="s">
        <v>40</v>
      </c>
      <c r="C207" t="s">
        <v>58</v>
      </c>
      <c r="D207" t="s">
        <v>59</v>
      </c>
      <c r="E207">
        <v>1</v>
      </c>
      <c r="F207" t="s">
        <v>60</v>
      </c>
      <c r="G207">
        <v>0.72982194479141249</v>
      </c>
    </row>
    <row r="208" spans="1:7" x14ac:dyDescent="0.25">
      <c r="A208" t="s">
        <v>71</v>
      </c>
      <c r="B208" t="s">
        <v>40</v>
      </c>
      <c r="C208" t="s">
        <v>61</v>
      </c>
      <c r="D208" t="s">
        <v>59</v>
      </c>
      <c r="E208">
        <v>0</v>
      </c>
      <c r="F208" t="s">
        <v>60</v>
      </c>
      <c r="G208">
        <v>0.27017805520858751</v>
      </c>
    </row>
    <row r="209" spans="1:7" x14ac:dyDescent="0.25">
      <c r="A209" t="s">
        <v>71</v>
      </c>
      <c r="B209" t="s">
        <v>40</v>
      </c>
      <c r="C209" t="s">
        <v>62</v>
      </c>
      <c r="D209" t="s">
        <v>63</v>
      </c>
      <c r="E209">
        <v>0.42162495143522749</v>
      </c>
      <c r="F209" t="s">
        <v>43</v>
      </c>
      <c r="G209">
        <v>0.42162495143522749</v>
      </c>
    </row>
    <row r="210" spans="1:7" x14ac:dyDescent="0.25">
      <c r="A210" t="s">
        <v>71</v>
      </c>
      <c r="B210" t="s">
        <v>40</v>
      </c>
      <c r="C210" t="s">
        <v>64</v>
      </c>
      <c r="D210" t="s">
        <v>63</v>
      </c>
      <c r="E210">
        <v>0.57837504856477251</v>
      </c>
      <c r="F210" t="s">
        <v>43</v>
      </c>
      <c r="G210">
        <v>0.57837504856477251</v>
      </c>
    </row>
    <row r="211" spans="1:7" x14ac:dyDescent="0.25">
      <c r="A211" t="s">
        <v>71</v>
      </c>
      <c r="B211" t="s">
        <v>65</v>
      </c>
      <c r="C211" t="s">
        <v>41</v>
      </c>
      <c r="D211" t="s">
        <v>42</v>
      </c>
      <c r="E211">
        <v>0.94299868264323294</v>
      </c>
      <c r="F211" t="s">
        <v>43</v>
      </c>
      <c r="G211">
        <v>0.94299868264323294</v>
      </c>
    </row>
    <row r="212" spans="1:7" x14ac:dyDescent="0.25">
      <c r="A212" t="s">
        <v>71</v>
      </c>
      <c r="B212" t="s">
        <v>65</v>
      </c>
      <c r="C212" t="s">
        <v>44</v>
      </c>
      <c r="D212" t="s">
        <v>42</v>
      </c>
      <c r="E212">
        <v>4.1765731369656618E-2</v>
      </c>
      <c r="F212" t="s">
        <v>43</v>
      </c>
      <c r="G212">
        <v>4.1765731369656618E-2</v>
      </c>
    </row>
    <row r="213" spans="1:7" x14ac:dyDescent="0.25">
      <c r="A213" t="s">
        <v>71</v>
      </c>
      <c r="B213" t="s">
        <v>65</v>
      </c>
      <c r="C213" t="s">
        <v>45</v>
      </c>
      <c r="D213" t="s">
        <v>42</v>
      </c>
      <c r="E213">
        <v>1.523558598711041E-2</v>
      </c>
      <c r="F213" t="s">
        <v>43</v>
      </c>
      <c r="G213">
        <v>1.523558598711041E-2</v>
      </c>
    </row>
    <row r="214" spans="1:7" x14ac:dyDescent="0.25">
      <c r="A214" t="s">
        <v>71</v>
      </c>
      <c r="B214" t="s">
        <v>65</v>
      </c>
      <c r="C214" t="s">
        <v>46</v>
      </c>
      <c r="D214" t="s">
        <v>47</v>
      </c>
      <c r="E214">
        <v>0.43273688361237522</v>
      </c>
      <c r="F214" t="s">
        <v>43</v>
      </c>
      <c r="G214">
        <v>0.43273688361237522</v>
      </c>
    </row>
    <row r="215" spans="1:7" x14ac:dyDescent="0.25">
      <c r="A215" t="s">
        <v>71</v>
      </c>
      <c r="B215" t="s">
        <v>65</v>
      </c>
      <c r="C215" t="s">
        <v>48</v>
      </c>
      <c r="D215" t="s">
        <v>47</v>
      </c>
      <c r="E215">
        <v>0.56726311638762483</v>
      </c>
      <c r="F215" t="s">
        <v>43</v>
      </c>
      <c r="G215">
        <v>0.56726311638762483</v>
      </c>
    </row>
    <row r="216" spans="1:7" x14ac:dyDescent="0.25">
      <c r="A216" t="s">
        <v>71</v>
      </c>
      <c r="B216" t="s">
        <v>65</v>
      </c>
      <c r="C216" t="s">
        <v>49</v>
      </c>
      <c r="D216" t="s">
        <v>50</v>
      </c>
      <c r="E216">
        <v>0.1171368722490322</v>
      </c>
      <c r="F216" t="s">
        <v>43</v>
      </c>
      <c r="G216">
        <v>0.1171368722490322</v>
      </c>
    </row>
    <row r="217" spans="1:7" x14ac:dyDescent="0.25">
      <c r="A217" t="s">
        <v>71</v>
      </c>
      <c r="B217" t="s">
        <v>65</v>
      </c>
      <c r="C217" t="s">
        <v>51</v>
      </c>
      <c r="D217" t="s">
        <v>50</v>
      </c>
      <c r="E217">
        <v>0.88286312775096776</v>
      </c>
      <c r="F217" t="s">
        <v>43</v>
      </c>
      <c r="G217">
        <v>0.88286312775096776</v>
      </c>
    </row>
    <row r="218" spans="1:7" x14ac:dyDescent="0.25">
      <c r="A218" t="s">
        <v>71</v>
      </c>
      <c r="B218" t="s">
        <v>65</v>
      </c>
      <c r="C218" t="s">
        <v>52</v>
      </c>
      <c r="D218" t="s">
        <v>53</v>
      </c>
      <c r="E218">
        <v>0.45630816353267001</v>
      </c>
      <c r="F218" t="s">
        <v>43</v>
      </c>
      <c r="G218">
        <v>0.45630816353267001</v>
      </c>
    </row>
    <row r="219" spans="1:7" x14ac:dyDescent="0.25">
      <c r="A219" t="s">
        <v>71</v>
      </c>
      <c r="B219" t="s">
        <v>65</v>
      </c>
      <c r="C219" t="s">
        <v>54</v>
      </c>
      <c r="D219" t="s">
        <v>53</v>
      </c>
      <c r="E219">
        <v>4.4370047500516312E-2</v>
      </c>
      <c r="F219" t="s">
        <v>43</v>
      </c>
      <c r="G219">
        <v>4.4370047500516312E-2</v>
      </c>
    </row>
    <row r="220" spans="1:7" x14ac:dyDescent="0.25">
      <c r="A220" t="s">
        <v>71</v>
      </c>
      <c r="B220" t="s">
        <v>65</v>
      </c>
      <c r="C220" t="s">
        <v>55</v>
      </c>
      <c r="D220" t="s">
        <v>53</v>
      </c>
      <c r="E220">
        <v>0.1883750452665103</v>
      </c>
      <c r="F220" t="s">
        <v>43</v>
      </c>
      <c r="G220">
        <v>0.1883750452665103</v>
      </c>
    </row>
    <row r="221" spans="1:7" x14ac:dyDescent="0.25">
      <c r="A221" t="s">
        <v>71</v>
      </c>
      <c r="B221" t="s">
        <v>65</v>
      </c>
      <c r="C221" t="s">
        <v>56</v>
      </c>
      <c r="D221" t="s">
        <v>53</v>
      </c>
      <c r="E221">
        <v>0.22286512267581851</v>
      </c>
      <c r="F221" t="s">
        <v>43</v>
      </c>
      <c r="G221">
        <v>0.22286512267581851</v>
      </c>
    </row>
    <row r="222" spans="1:7" x14ac:dyDescent="0.25">
      <c r="A222" t="s">
        <v>71</v>
      </c>
      <c r="B222" t="s">
        <v>65</v>
      </c>
      <c r="C222" t="s">
        <v>57</v>
      </c>
      <c r="D222" t="s">
        <v>53</v>
      </c>
      <c r="E222">
        <v>8.8081621024484816E-2</v>
      </c>
      <c r="F222" t="s">
        <v>43</v>
      </c>
      <c r="G222">
        <v>8.8081621024484816E-2</v>
      </c>
    </row>
    <row r="223" spans="1:7" x14ac:dyDescent="0.25">
      <c r="A223" t="s">
        <v>71</v>
      </c>
      <c r="B223" t="s">
        <v>65</v>
      </c>
      <c r="C223" t="s">
        <v>58</v>
      </c>
      <c r="D223" t="s">
        <v>59</v>
      </c>
      <c r="E223">
        <v>1</v>
      </c>
      <c r="F223" t="s">
        <v>60</v>
      </c>
      <c r="G223">
        <v>0.72982194479141249</v>
      </c>
    </row>
    <row r="224" spans="1:7" x14ac:dyDescent="0.25">
      <c r="A224" t="s">
        <v>71</v>
      </c>
      <c r="B224" t="s">
        <v>65</v>
      </c>
      <c r="C224" t="s">
        <v>61</v>
      </c>
      <c r="D224" t="s">
        <v>59</v>
      </c>
      <c r="E224">
        <v>0</v>
      </c>
      <c r="F224" t="s">
        <v>60</v>
      </c>
      <c r="G224">
        <v>0.27017805520858751</v>
      </c>
    </row>
    <row r="225" spans="1:7" x14ac:dyDescent="0.25">
      <c r="A225" t="s">
        <v>71</v>
      </c>
      <c r="B225" t="s">
        <v>65</v>
      </c>
      <c r="C225" t="s">
        <v>62</v>
      </c>
      <c r="D225" t="s">
        <v>63</v>
      </c>
      <c r="E225">
        <v>0.42162495143522749</v>
      </c>
      <c r="F225" t="s">
        <v>43</v>
      </c>
      <c r="G225">
        <v>0.42162495143522749</v>
      </c>
    </row>
    <row r="226" spans="1:7" x14ac:dyDescent="0.25">
      <c r="A226" t="s">
        <v>71</v>
      </c>
      <c r="B226" t="s">
        <v>65</v>
      </c>
      <c r="C226" t="s">
        <v>64</v>
      </c>
      <c r="D226" t="s">
        <v>63</v>
      </c>
      <c r="E226">
        <v>0.57837504856477251</v>
      </c>
      <c r="F226" t="s">
        <v>43</v>
      </c>
      <c r="G226">
        <v>0.57837504856477251</v>
      </c>
    </row>
    <row r="227" spans="1:7" x14ac:dyDescent="0.25">
      <c r="A227" t="s">
        <v>71</v>
      </c>
      <c r="B227" t="s">
        <v>66</v>
      </c>
      <c r="C227" t="s">
        <v>41</v>
      </c>
      <c r="D227" t="s">
        <v>42</v>
      </c>
      <c r="E227">
        <v>0.94299868264323294</v>
      </c>
      <c r="F227" t="s">
        <v>43</v>
      </c>
      <c r="G227">
        <v>0.94299868264323294</v>
      </c>
    </row>
    <row r="228" spans="1:7" x14ac:dyDescent="0.25">
      <c r="A228" t="s">
        <v>71</v>
      </c>
      <c r="B228" t="s">
        <v>66</v>
      </c>
      <c r="C228" t="s">
        <v>44</v>
      </c>
      <c r="D228" t="s">
        <v>42</v>
      </c>
      <c r="E228">
        <v>4.1765731369656618E-2</v>
      </c>
      <c r="F228" t="s">
        <v>43</v>
      </c>
      <c r="G228">
        <v>4.1765731369656618E-2</v>
      </c>
    </row>
    <row r="229" spans="1:7" x14ac:dyDescent="0.25">
      <c r="A229" t="s">
        <v>71</v>
      </c>
      <c r="B229" t="s">
        <v>66</v>
      </c>
      <c r="C229" t="s">
        <v>45</v>
      </c>
      <c r="D229" t="s">
        <v>42</v>
      </c>
      <c r="E229">
        <v>1.523558598711041E-2</v>
      </c>
      <c r="F229" t="s">
        <v>43</v>
      </c>
      <c r="G229">
        <v>1.523558598711041E-2</v>
      </c>
    </row>
    <row r="230" spans="1:7" x14ac:dyDescent="0.25">
      <c r="A230" t="s">
        <v>71</v>
      </c>
      <c r="B230" t="s">
        <v>66</v>
      </c>
      <c r="C230" t="s">
        <v>46</v>
      </c>
      <c r="D230" t="s">
        <v>47</v>
      </c>
      <c r="E230">
        <v>0.43273688361237522</v>
      </c>
      <c r="F230" t="s">
        <v>43</v>
      </c>
      <c r="G230">
        <v>0.43273688361237522</v>
      </c>
    </row>
    <row r="231" spans="1:7" x14ac:dyDescent="0.25">
      <c r="A231" t="s">
        <v>71</v>
      </c>
      <c r="B231" t="s">
        <v>66</v>
      </c>
      <c r="C231" t="s">
        <v>48</v>
      </c>
      <c r="D231" t="s">
        <v>47</v>
      </c>
      <c r="E231">
        <v>0.56726311638762483</v>
      </c>
      <c r="F231" t="s">
        <v>43</v>
      </c>
      <c r="G231">
        <v>0.56726311638762483</v>
      </c>
    </row>
    <row r="232" spans="1:7" x14ac:dyDescent="0.25">
      <c r="A232" t="s">
        <v>71</v>
      </c>
      <c r="B232" t="s">
        <v>66</v>
      </c>
      <c r="C232" t="s">
        <v>49</v>
      </c>
      <c r="D232" t="s">
        <v>50</v>
      </c>
      <c r="E232">
        <v>0.1171368722490322</v>
      </c>
      <c r="F232" t="s">
        <v>43</v>
      </c>
      <c r="G232">
        <v>0.1171368722490322</v>
      </c>
    </row>
    <row r="233" spans="1:7" x14ac:dyDescent="0.25">
      <c r="A233" t="s">
        <v>71</v>
      </c>
      <c r="B233" t="s">
        <v>66</v>
      </c>
      <c r="C233" t="s">
        <v>51</v>
      </c>
      <c r="D233" t="s">
        <v>50</v>
      </c>
      <c r="E233">
        <v>0.88286312775096776</v>
      </c>
      <c r="F233" t="s">
        <v>43</v>
      </c>
      <c r="G233">
        <v>0.88286312775096776</v>
      </c>
    </row>
    <row r="234" spans="1:7" x14ac:dyDescent="0.25">
      <c r="A234" t="s">
        <v>71</v>
      </c>
      <c r="B234" t="s">
        <v>66</v>
      </c>
      <c r="C234" t="s">
        <v>52</v>
      </c>
      <c r="D234" t="s">
        <v>53</v>
      </c>
      <c r="E234">
        <v>0.45630816353267001</v>
      </c>
      <c r="F234" t="s">
        <v>43</v>
      </c>
      <c r="G234">
        <v>0.45630816353267001</v>
      </c>
    </row>
    <row r="235" spans="1:7" x14ac:dyDescent="0.25">
      <c r="A235" t="s">
        <v>71</v>
      </c>
      <c r="B235" t="s">
        <v>66</v>
      </c>
      <c r="C235" t="s">
        <v>54</v>
      </c>
      <c r="D235" t="s">
        <v>53</v>
      </c>
      <c r="E235">
        <v>4.4370047500516312E-2</v>
      </c>
      <c r="F235" t="s">
        <v>43</v>
      </c>
      <c r="G235">
        <v>4.4370047500516312E-2</v>
      </c>
    </row>
    <row r="236" spans="1:7" x14ac:dyDescent="0.25">
      <c r="A236" t="s">
        <v>71</v>
      </c>
      <c r="B236" t="s">
        <v>66</v>
      </c>
      <c r="C236" t="s">
        <v>55</v>
      </c>
      <c r="D236" t="s">
        <v>53</v>
      </c>
      <c r="E236">
        <v>0.1883750452665103</v>
      </c>
      <c r="F236" t="s">
        <v>43</v>
      </c>
      <c r="G236">
        <v>0.1883750452665103</v>
      </c>
    </row>
    <row r="237" spans="1:7" x14ac:dyDescent="0.25">
      <c r="A237" t="s">
        <v>71</v>
      </c>
      <c r="B237" t="s">
        <v>66</v>
      </c>
      <c r="C237" t="s">
        <v>56</v>
      </c>
      <c r="D237" t="s">
        <v>53</v>
      </c>
      <c r="E237">
        <v>0.22286512267581851</v>
      </c>
      <c r="F237" t="s">
        <v>43</v>
      </c>
      <c r="G237">
        <v>0.22286512267581851</v>
      </c>
    </row>
    <row r="238" spans="1:7" x14ac:dyDescent="0.25">
      <c r="A238" t="s">
        <v>71</v>
      </c>
      <c r="B238" t="s">
        <v>66</v>
      </c>
      <c r="C238" t="s">
        <v>57</v>
      </c>
      <c r="D238" t="s">
        <v>53</v>
      </c>
      <c r="E238">
        <v>8.8081621024484816E-2</v>
      </c>
      <c r="F238" t="s">
        <v>43</v>
      </c>
      <c r="G238">
        <v>8.8081621024484816E-2</v>
      </c>
    </row>
    <row r="239" spans="1:7" x14ac:dyDescent="0.25">
      <c r="A239" t="s">
        <v>71</v>
      </c>
      <c r="B239" t="s">
        <v>66</v>
      </c>
      <c r="C239" t="s">
        <v>58</v>
      </c>
      <c r="D239" t="s">
        <v>59</v>
      </c>
      <c r="E239">
        <v>1</v>
      </c>
      <c r="F239" t="s">
        <v>60</v>
      </c>
      <c r="G239">
        <v>0.72982194479141249</v>
      </c>
    </row>
    <row r="240" spans="1:7" x14ac:dyDescent="0.25">
      <c r="A240" t="s">
        <v>71</v>
      </c>
      <c r="B240" t="s">
        <v>66</v>
      </c>
      <c r="C240" t="s">
        <v>61</v>
      </c>
      <c r="D240" t="s">
        <v>59</v>
      </c>
      <c r="E240">
        <v>0</v>
      </c>
      <c r="F240" t="s">
        <v>60</v>
      </c>
      <c r="G240">
        <v>0.27017805520858751</v>
      </c>
    </row>
    <row r="241" spans="1:7" x14ac:dyDescent="0.25">
      <c r="A241" t="s">
        <v>71</v>
      </c>
      <c r="B241" t="s">
        <v>66</v>
      </c>
      <c r="C241" t="s">
        <v>62</v>
      </c>
      <c r="D241" t="s">
        <v>63</v>
      </c>
      <c r="E241">
        <v>0.42162495143522749</v>
      </c>
      <c r="F241" t="s">
        <v>43</v>
      </c>
      <c r="G241">
        <v>0.42162495143522749</v>
      </c>
    </row>
    <row r="242" spans="1:7" x14ac:dyDescent="0.25">
      <c r="A242" t="s">
        <v>71</v>
      </c>
      <c r="B242" t="s">
        <v>66</v>
      </c>
      <c r="C242" t="s">
        <v>64</v>
      </c>
      <c r="D242" t="s">
        <v>63</v>
      </c>
      <c r="E242">
        <v>0.57837504856477251</v>
      </c>
      <c r="F242" t="s">
        <v>43</v>
      </c>
      <c r="G242">
        <v>0.57837504856477251</v>
      </c>
    </row>
    <row r="243" spans="1:7" x14ac:dyDescent="0.25">
      <c r="A243" t="s">
        <v>71</v>
      </c>
      <c r="B243" t="s">
        <v>67</v>
      </c>
      <c r="C243" t="s">
        <v>41</v>
      </c>
      <c r="D243" t="s">
        <v>42</v>
      </c>
      <c r="E243">
        <v>0.94299868264323294</v>
      </c>
      <c r="F243" t="s">
        <v>43</v>
      </c>
      <c r="G243">
        <v>0.94299868264323294</v>
      </c>
    </row>
    <row r="244" spans="1:7" x14ac:dyDescent="0.25">
      <c r="A244" t="s">
        <v>71</v>
      </c>
      <c r="B244" t="s">
        <v>67</v>
      </c>
      <c r="C244" t="s">
        <v>44</v>
      </c>
      <c r="D244" t="s">
        <v>42</v>
      </c>
      <c r="E244">
        <v>4.1765731369656618E-2</v>
      </c>
      <c r="F244" t="s">
        <v>43</v>
      </c>
      <c r="G244">
        <v>4.1765731369656618E-2</v>
      </c>
    </row>
    <row r="245" spans="1:7" x14ac:dyDescent="0.25">
      <c r="A245" t="s">
        <v>71</v>
      </c>
      <c r="B245" t="s">
        <v>67</v>
      </c>
      <c r="C245" t="s">
        <v>45</v>
      </c>
      <c r="D245" t="s">
        <v>42</v>
      </c>
      <c r="E245">
        <v>1.523558598711041E-2</v>
      </c>
      <c r="F245" t="s">
        <v>43</v>
      </c>
      <c r="G245">
        <v>1.523558598711041E-2</v>
      </c>
    </row>
    <row r="246" spans="1:7" x14ac:dyDescent="0.25">
      <c r="A246" t="s">
        <v>71</v>
      </c>
      <c r="B246" t="s">
        <v>67</v>
      </c>
      <c r="C246" t="s">
        <v>46</v>
      </c>
      <c r="D246" t="s">
        <v>47</v>
      </c>
      <c r="E246">
        <v>0.43273688361237522</v>
      </c>
      <c r="F246" t="s">
        <v>43</v>
      </c>
      <c r="G246">
        <v>0.43273688361237522</v>
      </c>
    </row>
    <row r="247" spans="1:7" x14ac:dyDescent="0.25">
      <c r="A247" t="s">
        <v>71</v>
      </c>
      <c r="B247" t="s">
        <v>67</v>
      </c>
      <c r="C247" t="s">
        <v>48</v>
      </c>
      <c r="D247" t="s">
        <v>47</v>
      </c>
      <c r="E247">
        <v>0.56726311638762483</v>
      </c>
      <c r="F247" t="s">
        <v>43</v>
      </c>
      <c r="G247">
        <v>0.56726311638762483</v>
      </c>
    </row>
    <row r="248" spans="1:7" x14ac:dyDescent="0.25">
      <c r="A248" t="s">
        <v>71</v>
      </c>
      <c r="B248" t="s">
        <v>67</v>
      </c>
      <c r="C248" t="s">
        <v>49</v>
      </c>
      <c r="D248" t="s">
        <v>50</v>
      </c>
      <c r="E248">
        <v>0.1171368722490322</v>
      </c>
      <c r="F248" t="s">
        <v>43</v>
      </c>
      <c r="G248">
        <v>0.1171368722490322</v>
      </c>
    </row>
    <row r="249" spans="1:7" x14ac:dyDescent="0.25">
      <c r="A249" t="s">
        <v>71</v>
      </c>
      <c r="B249" t="s">
        <v>67</v>
      </c>
      <c r="C249" t="s">
        <v>51</v>
      </c>
      <c r="D249" t="s">
        <v>50</v>
      </c>
      <c r="E249">
        <v>0.88286312775096776</v>
      </c>
      <c r="F249" t="s">
        <v>43</v>
      </c>
      <c r="G249">
        <v>0.88286312775096776</v>
      </c>
    </row>
    <row r="250" spans="1:7" x14ac:dyDescent="0.25">
      <c r="A250" t="s">
        <v>71</v>
      </c>
      <c r="B250" t="s">
        <v>67</v>
      </c>
      <c r="C250" t="s">
        <v>52</v>
      </c>
      <c r="D250" t="s">
        <v>53</v>
      </c>
      <c r="E250">
        <v>0.45630816353267001</v>
      </c>
      <c r="F250" t="s">
        <v>43</v>
      </c>
      <c r="G250">
        <v>0.45630816353267001</v>
      </c>
    </row>
    <row r="251" spans="1:7" x14ac:dyDescent="0.25">
      <c r="A251" t="s">
        <v>71</v>
      </c>
      <c r="B251" t="s">
        <v>67</v>
      </c>
      <c r="C251" t="s">
        <v>54</v>
      </c>
      <c r="D251" t="s">
        <v>53</v>
      </c>
      <c r="E251">
        <v>4.4370047500516312E-2</v>
      </c>
      <c r="F251" t="s">
        <v>43</v>
      </c>
      <c r="G251">
        <v>4.4370047500516312E-2</v>
      </c>
    </row>
    <row r="252" spans="1:7" x14ac:dyDescent="0.25">
      <c r="A252" t="s">
        <v>71</v>
      </c>
      <c r="B252" t="s">
        <v>67</v>
      </c>
      <c r="C252" t="s">
        <v>55</v>
      </c>
      <c r="D252" t="s">
        <v>53</v>
      </c>
      <c r="E252">
        <v>0.1883750452665103</v>
      </c>
      <c r="F252" t="s">
        <v>43</v>
      </c>
      <c r="G252">
        <v>0.1883750452665103</v>
      </c>
    </row>
    <row r="253" spans="1:7" x14ac:dyDescent="0.25">
      <c r="A253" t="s">
        <v>71</v>
      </c>
      <c r="B253" t="s">
        <v>67</v>
      </c>
      <c r="C253" t="s">
        <v>56</v>
      </c>
      <c r="D253" t="s">
        <v>53</v>
      </c>
      <c r="E253">
        <v>0.22286512267581851</v>
      </c>
      <c r="F253" t="s">
        <v>43</v>
      </c>
      <c r="G253">
        <v>0.22286512267581851</v>
      </c>
    </row>
    <row r="254" spans="1:7" x14ac:dyDescent="0.25">
      <c r="A254" t="s">
        <v>71</v>
      </c>
      <c r="B254" t="s">
        <v>67</v>
      </c>
      <c r="C254" t="s">
        <v>57</v>
      </c>
      <c r="D254" t="s">
        <v>53</v>
      </c>
      <c r="E254">
        <v>8.8081621024484816E-2</v>
      </c>
      <c r="F254" t="s">
        <v>43</v>
      </c>
      <c r="G254">
        <v>8.8081621024484816E-2</v>
      </c>
    </row>
    <row r="255" spans="1:7" x14ac:dyDescent="0.25">
      <c r="A255" t="s">
        <v>71</v>
      </c>
      <c r="B255" t="s">
        <v>67</v>
      </c>
      <c r="C255" t="s">
        <v>58</v>
      </c>
      <c r="D255" t="s">
        <v>59</v>
      </c>
      <c r="E255">
        <v>1</v>
      </c>
      <c r="F255" t="s">
        <v>60</v>
      </c>
      <c r="G255">
        <v>0.72982194479141249</v>
      </c>
    </row>
    <row r="256" spans="1:7" x14ac:dyDescent="0.25">
      <c r="A256" t="s">
        <v>71</v>
      </c>
      <c r="B256" t="s">
        <v>67</v>
      </c>
      <c r="C256" t="s">
        <v>61</v>
      </c>
      <c r="D256" t="s">
        <v>59</v>
      </c>
      <c r="E256">
        <v>0</v>
      </c>
      <c r="F256" t="s">
        <v>60</v>
      </c>
      <c r="G256">
        <v>0.27017805520858751</v>
      </c>
    </row>
    <row r="257" spans="1:7" x14ac:dyDescent="0.25">
      <c r="A257" t="s">
        <v>71</v>
      </c>
      <c r="B257" t="s">
        <v>67</v>
      </c>
      <c r="C257" t="s">
        <v>62</v>
      </c>
      <c r="D257" t="s">
        <v>63</v>
      </c>
      <c r="E257">
        <v>0.42162495143522749</v>
      </c>
      <c r="F257" t="s">
        <v>43</v>
      </c>
      <c r="G257">
        <v>0.42162495143522749</v>
      </c>
    </row>
    <row r="258" spans="1:7" x14ac:dyDescent="0.25">
      <c r="A258" t="s">
        <v>71</v>
      </c>
      <c r="B258" t="s">
        <v>67</v>
      </c>
      <c r="C258" t="s">
        <v>64</v>
      </c>
      <c r="D258" t="s">
        <v>63</v>
      </c>
      <c r="E258">
        <v>0.57837504856477251</v>
      </c>
      <c r="F258" t="s">
        <v>43</v>
      </c>
      <c r="G258">
        <v>0.57837504856477251</v>
      </c>
    </row>
    <row r="259" spans="1:7" x14ac:dyDescent="0.25">
      <c r="A259" t="s">
        <v>71</v>
      </c>
      <c r="B259" t="s">
        <v>68</v>
      </c>
      <c r="C259" t="s">
        <v>41</v>
      </c>
      <c r="D259" t="s">
        <v>42</v>
      </c>
      <c r="E259">
        <v>0.94299868264323294</v>
      </c>
      <c r="F259" t="s">
        <v>43</v>
      </c>
      <c r="G259">
        <v>0.94299868264323294</v>
      </c>
    </row>
    <row r="260" spans="1:7" x14ac:dyDescent="0.25">
      <c r="A260" t="s">
        <v>71</v>
      </c>
      <c r="B260" t="s">
        <v>68</v>
      </c>
      <c r="C260" t="s">
        <v>44</v>
      </c>
      <c r="D260" t="s">
        <v>42</v>
      </c>
      <c r="E260">
        <v>4.1765731369656618E-2</v>
      </c>
      <c r="F260" t="s">
        <v>43</v>
      </c>
      <c r="G260">
        <v>4.1765731369656618E-2</v>
      </c>
    </row>
    <row r="261" spans="1:7" x14ac:dyDescent="0.25">
      <c r="A261" t="s">
        <v>71</v>
      </c>
      <c r="B261" t="s">
        <v>68</v>
      </c>
      <c r="C261" t="s">
        <v>45</v>
      </c>
      <c r="D261" t="s">
        <v>42</v>
      </c>
      <c r="E261">
        <v>1.523558598711041E-2</v>
      </c>
      <c r="F261" t="s">
        <v>43</v>
      </c>
      <c r="G261">
        <v>1.523558598711041E-2</v>
      </c>
    </row>
    <row r="262" spans="1:7" x14ac:dyDescent="0.25">
      <c r="A262" t="s">
        <v>71</v>
      </c>
      <c r="B262" t="s">
        <v>68</v>
      </c>
      <c r="C262" t="s">
        <v>46</v>
      </c>
      <c r="D262" t="s">
        <v>47</v>
      </c>
      <c r="E262">
        <v>0.43273688361237522</v>
      </c>
      <c r="F262" t="s">
        <v>43</v>
      </c>
      <c r="G262">
        <v>0.43273688361237522</v>
      </c>
    </row>
    <row r="263" spans="1:7" x14ac:dyDescent="0.25">
      <c r="A263" t="s">
        <v>71</v>
      </c>
      <c r="B263" t="s">
        <v>68</v>
      </c>
      <c r="C263" t="s">
        <v>48</v>
      </c>
      <c r="D263" t="s">
        <v>47</v>
      </c>
      <c r="E263">
        <v>0.56726311638762483</v>
      </c>
      <c r="F263" t="s">
        <v>43</v>
      </c>
      <c r="G263">
        <v>0.56726311638762483</v>
      </c>
    </row>
    <row r="264" spans="1:7" x14ac:dyDescent="0.25">
      <c r="A264" t="s">
        <v>71</v>
      </c>
      <c r="B264" t="s">
        <v>68</v>
      </c>
      <c r="C264" t="s">
        <v>49</v>
      </c>
      <c r="D264" t="s">
        <v>50</v>
      </c>
      <c r="E264">
        <v>0.1171368722490322</v>
      </c>
      <c r="F264" t="s">
        <v>43</v>
      </c>
      <c r="G264">
        <v>0.1171368722490322</v>
      </c>
    </row>
    <row r="265" spans="1:7" x14ac:dyDescent="0.25">
      <c r="A265" t="s">
        <v>71</v>
      </c>
      <c r="B265" t="s">
        <v>68</v>
      </c>
      <c r="C265" t="s">
        <v>51</v>
      </c>
      <c r="D265" t="s">
        <v>50</v>
      </c>
      <c r="E265">
        <v>0.88286312775096776</v>
      </c>
      <c r="F265" t="s">
        <v>43</v>
      </c>
      <c r="G265">
        <v>0.88286312775096776</v>
      </c>
    </row>
    <row r="266" spans="1:7" x14ac:dyDescent="0.25">
      <c r="A266" t="s">
        <v>71</v>
      </c>
      <c r="B266" t="s">
        <v>68</v>
      </c>
      <c r="C266" t="s">
        <v>52</v>
      </c>
      <c r="D266" t="s">
        <v>53</v>
      </c>
      <c r="E266">
        <v>0.45630816353267001</v>
      </c>
      <c r="F266" t="s">
        <v>43</v>
      </c>
      <c r="G266">
        <v>0.45630816353267001</v>
      </c>
    </row>
    <row r="267" spans="1:7" x14ac:dyDescent="0.25">
      <c r="A267" t="s">
        <v>71</v>
      </c>
      <c r="B267" t="s">
        <v>68</v>
      </c>
      <c r="C267" t="s">
        <v>54</v>
      </c>
      <c r="D267" t="s">
        <v>53</v>
      </c>
      <c r="E267">
        <v>4.4370047500516312E-2</v>
      </c>
      <c r="F267" t="s">
        <v>43</v>
      </c>
      <c r="G267">
        <v>4.4370047500516312E-2</v>
      </c>
    </row>
    <row r="268" spans="1:7" x14ac:dyDescent="0.25">
      <c r="A268" t="s">
        <v>71</v>
      </c>
      <c r="B268" t="s">
        <v>68</v>
      </c>
      <c r="C268" t="s">
        <v>55</v>
      </c>
      <c r="D268" t="s">
        <v>53</v>
      </c>
      <c r="E268">
        <v>0.1883750452665103</v>
      </c>
      <c r="F268" t="s">
        <v>43</v>
      </c>
      <c r="G268">
        <v>0.1883750452665103</v>
      </c>
    </row>
    <row r="269" spans="1:7" x14ac:dyDescent="0.25">
      <c r="A269" t="s">
        <v>71</v>
      </c>
      <c r="B269" t="s">
        <v>68</v>
      </c>
      <c r="C269" t="s">
        <v>56</v>
      </c>
      <c r="D269" t="s">
        <v>53</v>
      </c>
      <c r="E269">
        <v>0.22286512267581851</v>
      </c>
      <c r="F269" t="s">
        <v>43</v>
      </c>
      <c r="G269">
        <v>0.22286512267581851</v>
      </c>
    </row>
    <row r="270" spans="1:7" x14ac:dyDescent="0.25">
      <c r="A270" t="s">
        <v>71</v>
      </c>
      <c r="B270" t="s">
        <v>68</v>
      </c>
      <c r="C270" t="s">
        <v>57</v>
      </c>
      <c r="D270" t="s">
        <v>53</v>
      </c>
      <c r="E270">
        <v>8.8081621024484816E-2</v>
      </c>
      <c r="F270" t="s">
        <v>43</v>
      </c>
      <c r="G270">
        <v>8.8081621024484816E-2</v>
      </c>
    </row>
    <row r="271" spans="1:7" x14ac:dyDescent="0.25">
      <c r="A271" t="s">
        <v>71</v>
      </c>
      <c r="B271" t="s">
        <v>68</v>
      </c>
      <c r="C271" t="s">
        <v>58</v>
      </c>
      <c r="D271" t="s">
        <v>59</v>
      </c>
      <c r="E271">
        <v>1</v>
      </c>
      <c r="F271" t="s">
        <v>60</v>
      </c>
      <c r="G271">
        <v>0.72982194479141249</v>
      </c>
    </row>
    <row r="272" spans="1:7" x14ac:dyDescent="0.25">
      <c r="A272" t="s">
        <v>71</v>
      </c>
      <c r="B272" t="s">
        <v>68</v>
      </c>
      <c r="C272" t="s">
        <v>61</v>
      </c>
      <c r="D272" t="s">
        <v>59</v>
      </c>
      <c r="E272">
        <v>0</v>
      </c>
      <c r="F272" t="s">
        <v>60</v>
      </c>
      <c r="G272">
        <v>0.27017805520858751</v>
      </c>
    </row>
    <row r="273" spans="1:7" x14ac:dyDescent="0.25">
      <c r="A273" t="s">
        <v>71</v>
      </c>
      <c r="B273" t="s">
        <v>68</v>
      </c>
      <c r="C273" t="s">
        <v>62</v>
      </c>
      <c r="D273" t="s">
        <v>63</v>
      </c>
      <c r="E273">
        <v>0.42162495143522749</v>
      </c>
      <c r="F273" t="s">
        <v>43</v>
      </c>
      <c r="G273">
        <v>0.42162495143522749</v>
      </c>
    </row>
    <row r="274" spans="1:7" x14ac:dyDescent="0.25">
      <c r="A274" t="s">
        <v>71</v>
      </c>
      <c r="B274" t="s">
        <v>68</v>
      </c>
      <c r="C274" t="s">
        <v>64</v>
      </c>
      <c r="D274" t="s">
        <v>63</v>
      </c>
      <c r="E274">
        <v>0.57837504856477251</v>
      </c>
      <c r="F274" t="s">
        <v>43</v>
      </c>
      <c r="G274">
        <v>0.57837504856477251</v>
      </c>
    </row>
    <row r="275" spans="1:7" x14ac:dyDescent="0.25">
      <c r="A275" t="s">
        <v>71</v>
      </c>
      <c r="B275" t="s">
        <v>69</v>
      </c>
      <c r="C275" t="s">
        <v>41</v>
      </c>
      <c r="D275" t="s">
        <v>42</v>
      </c>
      <c r="E275">
        <v>0.94299868264323294</v>
      </c>
      <c r="F275" t="s">
        <v>43</v>
      </c>
      <c r="G275">
        <v>0.94299868264323294</v>
      </c>
    </row>
    <row r="276" spans="1:7" x14ac:dyDescent="0.25">
      <c r="A276" t="s">
        <v>71</v>
      </c>
      <c r="B276" t="s">
        <v>69</v>
      </c>
      <c r="C276" t="s">
        <v>44</v>
      </c>
      <c r="D276" t="s">
        <v>42</v>
      </c>
      <c r="E276">
        <v>4.1765731369656618E-2</v>
      </c>
      <c r="F276" t="s">
        <v>43</v>
      </c>
      <c r="G276">
        <v>4.1765731369656618E-2</v>
      </c>
    </row>
    <row r="277" spans="1:7" x14ac:dyDescent="0.25">
      <c r="A277" t="s">
        <v>71</v>
      </c>
      <c r="B277" t="s">
        <v>69</v>
      </c>
      <c r="C277" t="s">
        <v>45</v>
      </c>
      <c r="D277" t="s">
        <v>42</v>
      </c>
      <c r="E277">
        <v>1.523558598711041E-2</v>
      </c>
      <c r="F277" t="s">
        <v>43</v>
      </c>
      <c r="G277">
        <v>1.523558598711041E-2</v>
      </c>
    </row>
    <row r="278" spans="1:7" x14ac:dyDescent="0.25">
      <c r="A278" t="s">
        <v>71</v>
      </c>
      <c r="B278" t="s">
        <v>69</v>
      </c>
      <c r="C278" t="s">
        <v>46</v>
      </c>
      <c r="D278" t="s">
        <v>47</v>
      </c>
      <c r="E278">
        <v>0.43273688361237522</v>
      </c>
      <c r="F278" t="s">
        <v>43</v>
      </c>
      <c r="G278">
        <v>0.43273688361237522</v>
      </c>
    </row>
    <row r="279" spans="1:7" x14ac:dyDescent="0.25">
      <c r="A279" t="s">
        <v>71</v>
      </c>
      <c r="B279" t="s">
        <v>69</v>
      </c>
      <c r="C279" t="s">
        <v>48</v>
      </c>
      <c r="D279" t="s">
        <v>47</v>
      </c>
      <c r="E279">
        <v>0.56726311638762483</v>
      </c>
      <c r="F279" t="s">
        <v>43</v>
      </c>
      <c r="G279">
        <v>0.56726311638762483</v>
      </c>
    </row>
    <row r="280" spans="1:7" x14ac:dyDescent="0.25">
      <c r="A280" t="s">
        <v>71</v>
      </c>
      <c r="B280" t="s">
        <v>69</v>
      </c>
      <c r="C280" t="s">
        <v>49</v>
      </c>
      <c r="D280" t="s">
        <v>50</v>
      </c>
      <c r="E280">
        <v>0.1171368722490322</v>
      </c>
      <c r="F280" t="s">
        <v>43</v>
      </c>
      <c r="G280">
        <v>0.1171368722490322</v>
      </c>
    </row>
    <row r="281" spans="1:7" x14ac:dyDescent="0.25">
      <c r="A281" t="s">
        <v>71</v>
      </c>
      <c r="B281" t="s">
        <v>69</v>
      </c>
      <c r="C281" t="s">
        <v>51</v>
      </c>
      <c r="D281" t="s">
        <v>50</v>
      </c>
      <c r="E281">
        <v>0.88286312775096776</v>
      </c>
      <c r="F281" t="s">
        <v>43</v>
      </c>
      <c r="G281">
        <v>0.88286312775096776</v>
      </c>
    </row>
    <row r="282" spans="1:7" x14ac:dyDescent="0.25">
      <c r="A282" t="s">
        <v>71</v>
      </c>
      <c r="B282" t="s">
        <v>69</v>
      </c>
      <c r="C282" t="s">
        <v>52</v>
      </c>
      <c r="D282" t="s">
        <v>53</v>
      </c>
      <c r="E282">
        <v>0.45630816353267001</v>
      </c>
      <c r="F282" t="s">
        <v>43</v>
      </c>
      <c r="G282">
        <v>0.45630816353267001</v>
      </c>
    </row>
    <row r="283" spans="1:7" x14ac:dyDescent="0.25">
      <c r="A283" t="s">
        <v>71</v>
      </c>
      <c r="B283" t="s">
        <v>69</v>
      </c>
      <c r="C283" t="s">
        <v>54</v>
      </c>
      <c r="D283" t="s">
        <v>53</v>
      </c>
      <c r="E283">
        <v>4.4370047500516312E-2</v>
      </c>
      <c r="F283" t="s">
        <v>43</v>
      </c>
      <c r="G283">
        <v>4.4370047500516312E-2</v>
      </c>
    </row>
    <row r="284" spans="1:7" x14ac:dyDescent="0.25">
      <c r="A284" t="s">
        <v>71</v>
      </c>
      <c r="B284" t="s">
        <v>69</v>
      </c>
      <c r="C284" t="s">
        <v>55</v>
      </c>
      <c r="D284" t="s">
        <v>53</v>
      </c>
      <c r="E284">
        <v>0.1883750452665103</v>
      </c>
      <c r="F284" t="s">
        <v>43</v>
      </c>
      <c r="G284">
        <v>0.1883750452665103</v>
      </c>
    </row>
    <row r="285" spans="1:7" x14ac:dyDescent="0.25">
      <c r="A285" t="s">
        <v>71</v>
      </c>
      <c r="B285" t="s">
        <v>69</v>
      </c>
      <c r="C285" t="s">
        <v>56</v>
      </c>
      <c r="D285" t="s">
        <v>53</v>
      </c>
      <c r="E285">
        <v>0.22286512267581851</v>
      </c>
      <c r="F285" t="s">
        <v>43</v>
      </c>
      <c r="G285">
        <v>0.22286512267581851</v>
      </c>
    </row>
    <row r="286" spans="1:7" x14ac:dyDescent="0.25">
      <c r="A286" t="s">
        <v>71</v>
      </c>
      <c r="B286" t="s">
        <v>69</v>
      </c>
      <c r="C286" t="s">
        <v>57</v>
      </c>
      <c r="D286" t="s">
        <v>53</v>
      </c>
      <c r="E286">
        <v>8.8081621024484816E-2</v>
      </c>
      <c r="F286" t="s">
        <v>43</v>
      </c>
      <c r="G286">
        <v>8.8081621024484816E-2</v>
      </c>
    </row>
    <row r="287" spans="1:7" x14ac:dyDescent="0.25">
      <c r="A287" t="s">
        <v>71</v>
      </c>
      <c r="B287" t="s">
        <v>69</v>
      </c>
      <c r="C287" t="s">
        <v>58</v>
      </c>
      <c r="D287" t="s">
        <v>59</v>
      </c>
      <c r="E287">
        <v>1</v>
      </c>
      <c r="F287" t="s">
        <v>60</v>
      </c>
      <c r="G287">
        <v>0.72982194479141249</v>
      </c>
    </row>
    <row r="288" spans="1:7" x14ac:dyDescent="0.25">
      <c r="A288" t="s">
        <v>71</v>
      </c>
      <c r="B288" t="s">
        <v>69</v>
      </c>
      <c r="C288" t="s">
        <v>61</v>
      </c>
      <c r="D288" t="s">
        <v>59</v>
      </c>
      <c r="E288">
        <v>0</v>
      </c>
      <c r="F288" t="s">
        <v>60</v>
      </c>
      <c r="G288">
        <v>0.27017805520858751</v>
      </c>
    </row>
    <row r="289" spans="1:7" x14ac:dyDescent="0.25">
      <c r="A289" t="s">
        <v>71</v>
      </c>
      <c r="B289" t="s">
        <v>69</v>
      </c>
      <c r="C289" t="s">
        <v>62</v>
      </c>
      <c r="D289" t="s">
        <v>63</v>
      </c>
      <c r="E289">
        <v>0.42162495143522749</v>
      </c>
      <c r="F289" t="s">
        <v>43</v>
      </c>
      <c r="G289">
        <v>0.42162495143522749</v>
      </c>
    </row>
    <row r="290" spans="1:7" x14ac:dyDescent="0.25">
      <c r="A290" t="s">
        <v>71</v>
      </c>
      <c r="B290" t="s">
        <v>69</v>
      </c>
      <c r="C290" t="s">
        <v>64</v>
      </c>
      <c r="D290" t="s">
        <v>63</v>
      </c>
      <c r="E290">
        <v>0.57837504856477251</v>
      </c>
      <c r="F290" t="s">
        <v>43</v>
      </c>
      <c r="G290">
        <v>0.57837504856477251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3"/>
  <sheetViews>
    <sheetView workbookViewId="0"/>
  </sheetViews>
  <sheetFormatPr defaultRowHeight="15" x14ac:dyDescent="0.25"/>
  <cols>
    <col min="1" max="1" width="77.42578125" bestFit="1" customWidth="1"/>
    <col min="2" max="2" width="12.140625" bestFit="1" customWidth="1"/>
    <col min="3" max="3" width="20.42578125" bestFit="1" customWidth="1"/>
    <col min="4" max="4" width="20.42578125" customWidth="1"/>
    <col min="5" max="5" width="16" bestFit="1" customWidth="1"/>
    <col min="6" max="6" width="17.7109375" bestFit="1" customWidth="1"/>
    <col min="7" max="7" width="17.7109375" customWidth="1"/>
    <col min="8" max="8" width="14" bestFit="1" customWidth="1"/>
    <col min="9" max="9" width="21.5703125" bestFit="1" customWidth="1"/>
    <col min="10" max="11" width="12" bestFit="1" customWidth="1"/>
  </cols>
  <sheetData>
    <row r="1" spans="1:2" s="2" customFormat="1" x14ac:dyDescent="0.25">
      <c r="A1" s="2" t="s">
        <v>72</v>
      </c>
      <c r="B1" s="2" t="s">
        <v>73</v>
      </c>
    </row>
    <row r="2" spans="1:2" ht="15.6" customHeight="1" thickBot="1" x14ac:dyDescent="0.3">
      <c r="A2" t="s">
        <v>74</v>
      </c>
      <c r="B2" t="s">
        <v>42</v>
      </c>
    </row>
    <row r="3" spans="1:2" x14ac:dyDescent="0.25">
      <c r="A3" s="88" t="s">
        <v>75</v>
      </c>
      <c r="B3" s="89" t="s">
        <v>76</v>
      </c>
    </row>
    <row r="4" spans="1:2" ht="15.6" customHeight="1" thickBot="1" x14ac:dyDescent="0.3">
      <c r="A4" s="90" t="s">
        <v>77</v>
      </c>
      <c r="B4" s="91" t="s">
        <v>78</v>
      </c>
    </row>
    <row r="5" spans="1:2" x14ac:dyDescent="0.25">
      <c r="A5" t="s">
        <v>79</v>
      </c>
      <c r="B5" t="s">
        <v>47</v>
      </c>
    </row>
    <row r="6" spans="1:2" x14ac:dyDescent="0.25">
      <c r="A6" t="s">
        <v>80</v>
      </c>
      <c r="B6" t="s">
        <v>81</v>
      </c>
    </row>
    <row r="7" spans="1:2" x14ac:dyDescent="0.25">
      <c r="A7" t="s">
        <v>82</v>
      </c>
      <c r="B7" t="s">
        <v>83</v>
      </c>
    </row>
    <row r="8" spans="1:2" x14ac:dyDescent="0.25">
      <c r="A8" t="s">
        <v>84</v>
      </c>
      <c r="B8" t="s">
        <v>85</v>
      </c>
    </row>
    <row r="9" spans="1:2" x14ac:dyDescent="0.25">
      <c r="A9" t="s">
        <v>86</v>
      </c>
      <c r="B9" t="s">
        <v>87</v>
      </c>
    </row>
    <row r="10" spans="1:2" x14ac:dyDescent="0.25">
      <c r="A10" t="s">
        <v>88</v>
      </c>
      <c r="B10" t="s">
        <v>89</v>
      </c>
    </row>
    <row r="11" spans="1:2" ht="15.6" customHeight="1" thickBot="1" x14ac:dyDescent="0.3">
      <c r="A11" t="s">
        <v>90</v>
      </c>
      <c r="B11" t="s">
        <v>91</v>
      </c>
    </row>
    <row r="12" spans="1:2" x14ac:dyDescent="0.25">
      <c r="A12" s="88" t="s">
        <v>92</v>
      </c>
      <c r="B12" s="89" t="s">
        <v>93</v>
      </c>
    </row>
    <row r="13" spans="1:2" ht="15.6" customHeight="1" thickBot="1" x14ac:dyDescent="0.3">
      <c r="A13" s="90" t="s">
        <v>94</v>
      </c>
      <c r="B13" s="91" t="s">
        <v>95</v>
      </c>
    </row>
    <row r="14" spans="1:2" ht="15.6" customHeight="1" thickBot="1" x14ac:dyDescent="0.3">
      <c r="A14" t="s">
        <v>96</v>
      </c>
      <c r="B14" t="s">
        <v>97</v>
      </c>
    </row>
    <row r="15" spans="1:2" x14ac:dyDescent="0.25">
      <c r="A15" s="88" t="s">
        <v>98</v>
      </c>
      <c r="B15" s="89" t="s">
        <v>99</v>
      </c>
    </row>
    <row r="16" spans="1:2" ht="15.6" customHeight="1" thickBot="1" x14ac:dyDescent="0.3">
      <c r="A16" s="90" t="s">
        <v>100</v>
      </c>
      <c r="B16" s="91" t="s">
        <v>101</v>
      </c>
    </row>
    <row r="17" spans="1:3" x14ac:dyDescent="0.25">
      <c r="A17" s="88" t="s">
        <v>102</v>
      </c>
      <c r="B17" s="89" t="s">
        <v>103</v>
      </c>
    </row>
    <row r="18" spans="1:3" ht="15.6" customHeight="1" thickBot="1" x14ac:dyDescent="0.3">
      <c r="A18" s="90" t="s">
        <v>104</v>
      </c>
      <c r="B18" s="91" t="s">
        <v>105</v>
      </c>
    </row>
    <row r="19" spans="1:3" x14ac:dyDescent="0.25">
      <c r="A19" t="s">
        <v>106</v>
      </c>
      <c r="B19" t="s">
        <v>107</v>
      </c>
    </row>
    <row r="20" spans="1:3" x14ac:dyDescent="0.25">
      <c r="A20" t="s">
        <v>108</v>
      </c>
      <c r="B20" t="s">
        <v>109</v>
      </c>
    </row>
    <row r="21" spans="1:3" x14ac:dyDescent="0.25">
      <c r="A21" t="s">
        <v>110</v>
      </c>
      <c r="B21" t="s">
        <v>111</v>
      </c>
    </row>
    <row r="22" spans="1:3" x14ac:dyDescent="0.25">
      <c r="A22" t="s">
        <v>112</v>
      </c>
      <c r="B22" t="s">
        <v>113</v>
      </c>
    </row>
    <row r="23" spans="1:3" x14ac:dyDescent="0.25">
      <c r="A23" t="s">
        <v>114</v>
      </c>
      <c r="B23" t="s">
        <v>115</v>
      </c>
    </row>
    <row r="24" spans="1:3" x14ac:dyDescent="0.25">
      <c r="A24" t="s">
        <v>116</v>
      </c>
      <c r="B24" t="s">
        <v>50</v>
      </c>
    </row>
    <row r="25" spans="1:3" ht="15.6" customHeight="1" thickBot="1" x14ac:dyDescent="0.3">
      <c r="A25" t="s">
        <v>117</v>
      </c>
      <c r="B25" t="s">
        <v>118</v>
      </c>
      <c r="C25" s="79"/>
    </row>
    <row r="26" spans="1:3" x14ac:dyDescent="0.25">
      <c r="A26" s="88" t="s">
        <v>119</v>
      </c>
      <c r="B26" s="89" t="s">
        <v>120</v>
      </c>
    </row>
    <row r="27" spans="1:3" x14ac:dyDescent="0.25">
      <c r="A27" s="92" t="s">
        <v>121</v>
      </c>
      <c r="B27" s="93" t="s">
        <v>122</v>
      </c>
    </row>
    <row r="28" spans="1:3" ht="15.6" customHeight="1" thickBot="1" x14ac:dyDescent="0.3">
      <c r="A28" s="90" t="s">
        <v>123</v>
      </c>
      <c r="B28" s="91" t="s">
        <v>124</v>
      </c>
    </row>
    <row r="29" spans="1:3" x14ac:dyDescent="0.25">
      <c r="A29" t="s">
        <v>125</v>
      </c>
      <c r="B29" t="s">
        <v>126</v>
      </c>
      <c r="C29" s="79"/>
    </row>
    <row r="30" spans="1:3" x14ac:dyDescent="0.25">
      <c r="A30" t="s">
        <v>127</v>
      </c>
      <c r="B30" t="s">
        <v>128</v>
      </c>
    </row>
    <row r="31" spans="1:3" x14ac:dyDescent="0.25">
      <c r="A31" t="s">
        <v>129</v>
      </c>
      <c r="B31" t="s">
        <v>53</v>
      </c>
    </row>
    <row r="32" spans="1:3" x14ac:dyDescent="0.25">
      <c r="A32" t="s">
        <v>130</v>
      </c>
      <c r="B32" t="s">
        <v>131</v>
      </c>
    </row>
    <row r="33" spans="1:2" x14ac:dyDescent="0.25">
      <c r="A33" t="s">
        <v>132</v>
      </c>
      <c r="B33" t="s">
        <v>133</v>
      </c>
    </row>
    <row r="34" spans="1:2" x14ac:dyDescent="0.25">
      <c r="A34" t="s">
        <v>134</v>
      </c>
      <c r="B34" t="s">
        <v>135</v>
      </c>
    </row>
    <row r="35" spans="1:2" x14ac:dyDescent="0.25">
      <c r="A35" t="s">
        <v>136</v>
      </c>
      <c r="B35" t="s">
        <v>137</v>
      </c>
    </row>
    <row r="36" spans="1:2" x14ac:dyDescent="0.25">
      <c r="A36" t="s">
        <v>138</v>
      </c>
      <c r="B36" t="s">
        <v>139</v>
      </c>
    </row>
    <row r="37" spans="1:2" x14ac:dyDescent="0.25">
      <c r="A37" t="s">
        <v>140</v>
      </c>
      <c r="B37" t="s">
        <v>141</v>
      </c>
    </row>
    <row r="38" spans="1:2" x14ac:dyDescent="0.25">
      <c r="A38" t="s">
        <v>142</v>
      </c>
      <c r="B38" t="s">
        <v>59</v>
      </c>
    </row>
    <row r="39" spans="1:2" x14ac:dyDescent="0.25">
      <c r="A39" t="s">
        <v>143</v>
      </c>
      <c r="B39" t="s">
        <v>144</v>
      </c>
    </row>
    <row r="40" spans="1:2" x14ac:dyDescent="0.25">
      <c r="A40" t="s">
        <v>145</v>
      </c>
      <c r="B40" t="s">
        <v>146</v>
      </c>
    </row>
    <row r="41" spans="1:2" x14ac:dyDescent="0.25">
      <c r="A41" t="s">
        <v>147</v>
      </c>
      <c r="B41" t="s">
        <v>148</v>
      </c>
    </row>
    <row r="42" spans="1:2" x14ac:dyDescent="0.25">
      <c r="A42" t="s">
        <v>149</v>
      </c>
      <c r="B42" t="s">
        <v>63</v>
      </c>
    </row>
    <row r="43" spans="1:2" x14ac:dyDescent="0.25">
      <c r="A43" t="s">
        <v>150</v>
      </c>
      <c r="B43" t="s">
        <v>151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sheetViews>
  <sheetFormatPr defaultRowHeight="15" x14ac:dyDescent="0.25"/>
  <cols>
    <col min="1" max="1" width="10.7109375" bestFit="1" customWidth="1"/>
  </cols>
  <sheetData>
    <row r="1" spans="1:7" x14ac:dyDescent="0.25">
      <c r="B1" s="2" t="s">
        <v>67</v>
      </c>
      <c r="C1" s="2" t="s">
        <v>65</v>
      </c>
      <c r="D1" s="2" t="s">
        <v>66</v>
      </c>
      <c r="E1" s="2" t="s">
        <v>68</v>
      </c>
      <c r="F1" s="2" t="s">
        <v>40</v>
      </c>
      <c r="G1" s="2" t="s">
        <v>69</v>
      </c>
    </row>
    <row r="2" spans="1:7" x14ac:dyDescent="0.25">
      <c r="A2" t="s">
        <v>152</v>
      </c>
      <c r="B2" t="str">
        <f>'OECD Mapping'!B22</f>
        <v>ISIC 28</v>
      </c>
      <c r="C2" t="str">
        <f>'OECD Mapping'!B22</f>
        <v>ISIC 28</v>
      </c>
      <c r="D2" t="str">
        <f>'OECD Mapping'!B29</f>
        <v>ISIC 41T43</v>
      </c>
      <c r="E2" t="str">
        <f>'OECD Mapping'!B21</f>
        <v>ISIC 27</v>
      </c>
      <c r="F2" t="str">
        <f>'OECD Mapping'!B21</f>
        <v>ISIC 27</v>
      </c>
      <c r="G2" t="str">
        <f>'OECD Mapping'!B21</f>
        <v>ISIC 27</v>
      </c>
    </row>
    <row r="3" spans="1:7" x14ac:dyDescent="0.25">
      <c r="A3" t="s">
        <v>153</v>
      </c>
      <c r="B3" t="str">
        <f>'OECD Mapping'!B29</f>
        <v>ISIC 41T43</v>
      </c>
      <c r="C3" t="str">
        <f>'OECD Mapping'!B29</f>
        <v>ISIC 41T43</v>
      </c>
      <c r="D3" t="str">
        <f>'OECD Mapping'!B29</f>
        <v>ISIC 41T43</v>
      </c>
      <c r="E3" t="str">
        <f>'OECD Mapping'!B29</f>
        <v>ISIC 41T43</v>
      </c>
      <c r="F3" t="str">
        <f>'OECD Mapping'!B29</f>
        <v>ISIC 41T43</v>
      </c>
      <c r="G3" t="str">
        <f>'OECD Mapping'!B29</f>
        <v>ISIC 41T43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4"/>
  <sheetViews>
    <sheetView zoomScale="90" zoomScaleNormal="90" workbookViewId="0">
      <selection activeCell="D6" sqref="D6"/>
    </sheetView>
  </sheetViews>
  <sheetFormatPr defaultRowHeight="15" x14ac:dyDescent="0.25"/>
  <cols>
    <col min="1" max="1" width="20.7109375" customWidth="1"/>
    <col min="2" max="2" width="30.140625" customWidth="1"/>
    <col min="3" max="3" width="18.42578125" style="53" customWidth="1"/>
    <col min="4" max="4" width="17.85546875" customWidth="1"/>
    <col min="5" max="5" width="16" style="53" customWidth="1"/>
    <col min="6" max="7" width="16" customWidth="1"/>
    <col min="8" max="8" width="38" customWidth="1"/>
  </cols>
  <sheetData>
    <row r="1" spans="1:9" x14ac:dyDescent="0.25">
      <c r="A1" s="100" t="s">
        <v>154</v>
      </c>
      <c r="B1" s="101"/>
      <c r="C1" s="102"/>
      <c r="D1" s="101"/>
      <c r="E1" s="102"/>
      <c r="F1" s="101"/>
      <c r="G1" s="101"/>
      <c r="H1" s="101"/>
      <c r="I1" s="52"/>
    </row>
    <row r="2" spans="1:9" x14ac:dyDescent="0.25">
      <c r="H2" s="47"/>
      <c r="I2" s="52"/>
    </row>
    <row r="3" spans="1:9" ht="44.25" customHeight="1" x14ac:dyDescent="0.25">
      <c r="A3" s="2"/>
      <c r="B3" s="4" t="s">
        <v>155</v>
      </c>
      <c r="C3" s="61" t="s">
        <v>156</v>
      </c>
      <c r="D3" s="47" t="s">
        <v>157</v>
      </c>
      <c r="E3" s="61" t="s">
        <v>158</v>
      </c>
      <c r="F3" s="61" t="s">
        <v>159</v>
      </c>
      <c r="H3" s="2" t="s">
        <v>160</v>
      </c>
      <c r="I3" s="54" t="s">
        <v>161</v>
      </c>
    </row>
    <row r="4" spans="1:9" x14ac:dyDescent="0.25">
      <c r="A4" s="63" t="s">
        <v>162</v>
      </c>
      <c r="B4" s="83"/>
      <c r="C4" s="73"/>
      <c r="D4" s="74">
        <f>SUM(D5:D13)</f>
        <v>1</v>
      </c>
      <c r="E4" s="73">
        <f>SUM(E5:E13)</f>
        <v>0.55028127086837375</v>
      </c>
      <c r="F4" s="73">
        <f>1-E4</f>
        <v>0.44971872913162625</v>
      </c>
      <c r="H4" s="1" t="s">
        <v>5</v>
      </c>
      <c r="I4" s="52" t="s">
        <v>163</v>
      </c>
    </row>
    <row r="5" spans="1:9" x14ac:dyDescent="0.25">
      <c r="A5" t="s">
        <v>162</v>
      </c>
      <c r="B5" s="4" t="s">
        <v>164</v>
      </c>
      <c r="C5" s="53">
        <v>0.74328168046590104</v>
      </c>
      <c r="D5" s="55">
        <f>'Summary_Res Appliances'!G6</f>
        <v>0.15713893826111072</v>
      </c>
      <c r="E5" s="53">
        <f t="shared" ref="E5:E13" si="0">D5*C5</f>
        <v>0.11679849409734586</v>
      </c>
      <c r="F5" s="53"/>
      <c r="H5" s="1" t="s">
        <v>5</v>
      </c>
      <c r="I5" s="52" t="s">
        <v>163</v>
      </c>
    </row>
    <row r="6" spans="1:9" x14ac:dyDescent="0.25">
      <c r="A6" t="s">
        <v>162</v>
      </c>
      <c r="B6" s="4" t="s">
        <v>165</v>
      </c>
      <c r="C6" s="53">
        <v>0.59090909090909094</v>
      </c>
      <c r="D6" s="55">
        <f>'Summary_Res Appliances'!G7</f>
        <v>0.24672281666159451</v>
      </c>
      <c r="E6" s="53">
        <f t="shared" si="0"/>
        <v>0.14579075530003313</v>
      </c>
      <c r="F6" s="53"/>
      <c r="H6" s="1" t="s">
        <v>5</v>
      </c>
      <c r="I6" s="52" t="s">
        <v>163</v>
      </c>
    </row>
    <row r="7" spans="1:9" x14ac:dyDescent="0.25">
      <c r="A7" t="s">
        <v>162</v>
      </c>
      <c r="B7" s="4" t="s">
        <v>166</v>
      </c>
      <c r="D7" s="55">
        <f>'Summary_Res Appliances'!G8</f>
        <v>0</v>
      </c>
      <c r="E7" s="53">
        <f t="shared" si="0"/>
        <v>0</v>
      </c>
      <c r="F7" s="53"/>
      <c r="H7" s="1" t="s">
        <v>5</v>
      </c>
      <c r="I7" s="52" t="s">
        <v>163</v>
      </c>
    </row>
    <row r="8" spans="1:9" x14ac:dyDescent="0.25">
      <c r="A8" t="s">
        <v>162</v>
      </c>
      <c r="B8" s="4" t="s">
        <v>167</v>
      </c>
      <c r="C8" s="53">
        <v>0.48259279428330071</v>
      </c>
      <c r="D8" s="55">
        <f>'Summary_Res Appliances'!G9</f>
        <v>0.59613824507729474</v>
      </c>
      <c r="E8" s="53">
        <f t="shared" si="0"/>
        <v>0.28769202147099482</v>
      </c>
      <c r="F8" s="53"/>
      <c r="H8" s="1" t="s">
        <v>5</v>
      </c>
      <c r="I8" s="52" t="s">
        <v>163</v>
      </c>
    </row>
    <row r="9" spans="1:9" x14ac:dyDescent="0.25">
      <c r="A9" t="s">
        <v>162</v>
      </c>
      <c r="B9" s="4" t="s">
        <v>168</v>
      </c>
      <c r="D9" s="55">
        <f>'Summary_Res Appliances'!G10</f>
        <v>0</v>
      </c>
      <c r="E9" s="53">
        <f t="shared" si="0"/>
        <v>0</v>
      </c>
      <c r="F9" s="53"/>
      <c r="H9" s="1" t="s">
        <v>5</v>
      </c>
      <c r="I9" s="52" t="s">
        <v>163</v>
      </c>
    </row>
    <row r="10" spans="1:9" x14ac:dyDescent="0.25">
      <c r="A10" t="s">
        <v>162</v>
      </c>
      <c r="B10" s="4" t="s">
        <v>169</v>
      </c>
      <c r="D10" s="55">
        <f>'Summary_Res Appliances'!G11</f>
        <v>0</v>
      </c>
      <c r="E10" s="53">
        <f t="shared" si="0"/>
        <v>0</v>
      </c>
      <c r="F10" s="53"/>
      <c r="H10" s="1" t="s">
        <v>5</v>
      </c>
      <c r="I10" s="52" t="s">
        <v>163</v>
      </c>
    </row>
    <row r="11" spans="1:9" x14ac:dyDescent="0.25">
      <c r="A11" t="s">
        <v>162</v>
      </c>
      <c r="B11" s="4" t="s">
        <v>170</v>
      </c>
      <c r="D11" s="55">
        <f>'Summary_Res Appliances'!G12</f>
        <v>0</v>
      </c>
      <c r="E11" s="53">
        <f t="shared" si="0"/>
        <v>0</v>
      </c>
      <c r="F11" s="53"/>
      <c r="H11" s="1" t="s">
        <v>5</v>
      </c>
      <c r="I11" s="52" t="s">
        <v>163</v>
      </c>
    </row>
    <row r="12" spans="1:9" x14ac:dyDescent="0.25">
      <c r="A12" t="s">
        <v>162</v>
      </c>
      <c r="B12" s="4" t="s">
        <v>171</v>
      </c>
      <c r="D12" s="55">
        <f>'Summary_Res Appliances'!G13</f>
        <v>0</v>
      </c>
      <c r="E12" s="53">
        <f t="shared" si="0"/>
        <v>0</v>
      </c>
      <c r="F12" s="53"/>
      <c r="H12" s="1" t="s">
        <v>5</v>
      </c>
      <c r="I12" s="52" t="s">
        <v>163</v>
      </c>
    </row>
    <row r="13" spans="1:9" x14ac:dyDescent="0.25">
      <c r="A13" t="s">
        <v>162</v>
      </c>
      <c r="B13" s="4" t="s">
        <v>172</v>
      </c>
      <c r="D13" s="55">
        <f>'Summary_Res Appliances'!G14</f>
        <v>0</v>
      </c>
      <c r="E13" s="53">
        <f t="shared" si="0"/>
        <v>0</v>
      </c>
      <c r="F13" s="53"/>
      <c r="H13" s="1" t="s">
        <v>5</v>
      </c>
      <c r="I13" s="52" t="s">
        <v>163</v>
      </c>
    </row>
    <row r="14" spans="1:9" x14ac:dyDescent="0.25">
      <c r="A14" s="63" t="s">
        <v>173</v>
      </c>
      <c r="B14" s="83"/>
      <c r="C14" s="73"/>
      <c r="D14" s="74">
        <f>SUM(D15:D19)</f>
        <v>0.99999999999999989</v>
      </c>
      <c r="E14" s="73">
        <f>SUM(E15:E19)</f>
        <v>0.73624568720161232</v>
      </c>
      <c r="F14" s="73">
        <f>1-E14</f>
        <v>0.26375431279838768</v>
      </c>
      <c r="H14" s="1" t="s">
        <v>5</v>
      </c>
      <c r="I14" s="52" t="s">
        <v>163</v>
      </c>
    </row>
    <row r="15" spans="1:9" x14ac:dyDescent="0.25">
      <c r="A15" t="s">
        <v>173</v>
      </c>
      <c r="B15" s="4" t="s">
        <v>164</v>
      </c>
      <c r="C15" s="53">
        <v>0.74328168046590104</v>
      </c>
      <c r="D15" s="55">
        <f>'Summary_Res Appliances'!G17</f>
        <v>0.12261684060152322</v>
      </c>
      <c r="E15" s="53">
        <f>D15*C15</f>
        <v>9.1138851335719709E-2</v>
      </c>
      <c r="F15" s="53"/>
      <c r="H15" s="1" t="s">
        <v>5</v>
      </c>
      <c r="I15" s="52" t="s">
        <v>163</v>
      </c>
    </row>
    <row r="16" spans="1:9" x14ac:dyDescent="0.25">
      <c r="A16" t="s">
        <v>173</v>
      </c>
      <c r="B16" s="4" t="s">
        <v>166</v>
      </c>
      <c r="D16" s="55">
        <f>'Summary_Res Appliances'!G18</f>
        <v>0</v>
      </c>
      <c r="E16" s="53">
        <f>D16*C16</f>
        <v>0</v>
      </c>
      <c r="F16" s="53"/>
      <c r="H16" s="1" t="s">
        <v>5</v>
      </c>
      <c r="I16" s="52" t="s">
        <v>163</v>
      </c>
    </row>
    <row r="17" spans="1:9" x14ac:dyDescent="0.25">
      <c r="A17" t="s">
        <v>173</v>
      </c>
      <c r="B17" s="4" t="s">
        <v>172</v>
      </c>
      <c r="D17" s="55">
        <f>'Summary_Res Appliances'!G19</f>
        <v>0</v>
      </c>
      <c r="E17" s="53">
        <f>D17*C17</f>
        <v>0</v>
      </c>
      <c r="F17" s="53"/>
      <c r="H17" s="1" t="s">
        <v>5</v>
      </c>
      <c r="I17" s="52" t="s">
        <v>163</v>
      </c>
    </row>
    <row r="18" spans="1:9" x14ac:dyDescent="0.25">
      <c r="A18" t="s">
        <v>173</v>
      </c>
      <c r="B18" s="4" t="s">
        <v>174</v>
      </c>
      <c r="C18" s="53">
        <v>0.66273252196355514</v>
      </c>
      <c r="D18" s="55">
        <f>'Summary_Res Appliances'!G20</f>
        <v>0.57118910892681674</v>
      </c>
      <c r="E18" s="53">
        <f>D18*C18</f>
        <v>0.37854559867718507</v>
      </c>
      <c r="F18" s="53"/>
      <c r="H18" s="1" t="s">
        <v>5</v>
      </c>
      <c r="I18" s="52" t="s">
        <v>163</v>
      </c>
    </row>
    <row r="19" spans="1:9" x14ac:dyDescent="0.25">
      <c r="A19" t="s">
        <v>173</v>
      </c>
      <c r="B19" s="4" t="s">
        <v>175</v>
      </c>
      <c r="C19" s="53">
        <v>0.87056308500474699</v>
      </c>
      <c r="D19" s="55">
        <f>'Summary_Res Appliances'!G21</f>
        <v>0.30619405047165993</v>
      </c>
      <c r="E19" s="53">
        <f>D19*C19</f>
        <v>0.2665612371887075</v>
      </c>
      <c r="F19" s="53"/>
      <c r="H19" s="1" t="s">
        <v>5</v>
      </c>
      <c r="I19" s="52" t="s">
        <v>163</v>
      </c>
    </row>
    <row r="20" spans="1:9" x14ac:dyDescent="0.25">
      <c r="A20" s="63" t="s">
        <v>176</v>
      </c>
      <c r="B20" s="83"/>
      <c r="C20" s="73"/>
      <c r="D20" s="65"/>
      <c r="E20" s="73">
        <f>SUM(E21:E25)</f>
        <v>0.55741273606425101</v>
      </c>
      <c r="F20" s="73">
        <f>1-E20</f>
        <v>0.44258726393574899</v>
      </c>
      <c r="H20" s="1" t="s">
        <v>5</v>
      </c>
      <c r="I20" s="52" t="s">
        <v>163</v>
      </c>
    </row>
    <row r="21" spans="1:9" x14ac:dyDescent="0.25">
      <c r="A21" t="s">
        <v>176</v>
      </c>
      <c r="B21" s="4" t="s">
        <v>177</v>
      </c>
      <c r="C21" s="53">
        <v>0.56212604835788094</v>
      </c>
      <c r="D21" s="55">
        <f>'Summary_Res Appliances'!G24</f>
        <v>0.48965433368415406</v>
      </c>
      <c r="E21" s="53">
        <f>D21*C21</f>
        <v>0.27524745565518477</v>
      </c>
      <c r="F21" s="53"/>
      <c r="H21" s="1" t="s">
        <v>5</v>
      </c>
      <c r="I21" s="52" t="s">
        <v>163</v>
      </c>
    </row>
    <row r="22" spans="1:9" x14ac:dyDescent="0.25">
      <c r="A22" t="s">
        <v>176</v>
      </c>
      <c r="B22" s="4" t="s">
        <v>178</v>
      </c>
      <c r="C22" s="53">
        <v>0.55289051917693366</v>
      </c>
      <c r="D22" s="55">
        <f>'Summary_Res Appliances'!G25</f>
        <v>0.51034566631584599</v>
      </c>
      <c r="E22" s="53">
        <f>D22*C22</f>
        <v>0.28216528040906624</v>
      </c>
      <c r="F22" s="53"/>
      <c r="H22" s="1" t="s">
        <v>5</v>
      </c>
      <c r="I22" s="52" t="s">
        <v>163</v>
      </c>
    </row>
    <row r="23" spans="1:9" x14ac:dyDescent="0.25">
      <c r="A23" t="s">
        <v>176</v>
      </c>
      <c r="B23" s="4" t="s">
        <v>168</v>
      </c>
      <c r="D23" s="55">
        <f>'Summary_Res Appliances'!G26</f>
        <v>0</v>
      </c>
      <c r="E23" s="53">
        <f>D23*C23</f>
        <v>0</v>
      </c>
      <c r="F23" s="53"/>
      <c r="H23" s="1" t="s">
        <v>5</v>
      </c>
      <c r="I23" s="52" t="s">
        <v>163</v>
      </c>
    </row>
    <row r="24" spans="1:9" x14ac:dyDescent="0.25">
      <c r="A24" t="s">
        <v>176</v>
      </c>
      <c r="B24" s="4" t="s">
        <v>169</v>
      </c>
      <c r="D24" s="55">
        <f>'Summary_Res Appliances'!G27</f>
        <v>0</v>
      </c>
      <c r="E24" s="53">
        <f>D24*C24</f>
        <v>0</v>
      </c>
      <c r="F24" s="53"/>
      <c r="H24" s="1" t="s">
        <v>5</v>
      </c>
      <c r="I24" s="52" t="s">
        <v>163</v>
      </c>
    </row>
    <row r="25" spans="1:9" x14ac:dyDescent="0.25">
      <c r="A25" t="s">
        <v>176</v>
      </c>
      <c r="B25" s="4" t="s">
        <v>179</v>
      </c>
      <c r="D25" s="55">
        <f>'Summary_Res Appliances'!G28</f>
        <v>0</v>
      </c>
      <c r="E25" s="53">
        <f>D25*C25</f>
        <v>0</v>
      </c>
      <c r="F25" s="53"/>
      <c r="H25" s="1" t="s">
        <v>5</v>
      </c>
      <c r="I25" s="52" t="s">
        <v>163</v>
      </c>
    </row>
    <row r="26" spans="1:9" x14ac:dyDescent="0.25">
      <c r="A26" s="63" t="s">
        <v>180</v>
      </c>
      <c r="B26" s="83"/>
      <c r="C26" s="73"/>
      <c r="D26" s="65"/>
      <c r="E26" s="73">
        <f>SUM(E27:E30)</f>
        <v>0.83324328835476835</v>
      </c>
      <c r="F26" s="73">
        <f>1-E26</f>
        <v>0.16675671164523165</v>
      </c>
      <c r="H26" s="1" t="s">
        <v>5</v>
      </c>
      <c r="I26" s="52" t="s">
        <v>163</v>
      </c>
    </row>
    <row r="27" spans="1:9" x14ac:dyDescent="0.25">
      <c r="A27" t="s">
        <v>180</v>
      </c>
      <c r="B27" s="4" t="s">
        <v>177</v>
      </c>
      <c r="D27" s="55">
        <f>'Summary_Res Appliances'!G31</f>
        <v>0</v>
      </c>
      <c r="E27" s="53">
        <f>D27*C27</f>
        <v>0</v>
      </c>
      <c r="F27" s="53"/>
      <c r="H27" s="1" t="s">
        <v>5</v>
      </c>
      <c r="I27" s="52" t="s">
        <v>163</v>
      </c>
    </row>
    <row r="28" spans="1:9" x14ac:dyDescent="0.25">
      <c r="A28" t="s">
        <v>180</v>
      </c>
      <c r="B28" s="4" t="s">
        <v>178</v>
      </c>
      <c r="C28" s="53">
        <v>0.83324328835476835</v>
      </c>
      <c r="D28" s="55">
        <f>'Summary_Res Appliances'!G32</f>
        <v>1</v>
      </c>
      <c r="E28" s="53">
        <f>D28*C28</f>
        <v>0.83324328835476835</v>
      </c>
      <c r="F28" s="53"/>
      <c r="H28" s="1" t="s">
        <v>5</v>
      </c>
      <c r="I28" s="52" t="s">
        <v>163</v>
      </c>
    </row>
    <row r="29" spans="1:9" x14ac:dyDescent="0.25">
      <c r="A29" t="s">
        <v>180</v>
      </c>
      <c r="B29" s="4" t="s">
        <v>178</v>
      </c>
      <c r="C29" s="53">
        <v>0.7013263263263263</v>
      </c>
      <c r="D29" s="55">
        <f>'Summary_Res Appliances'!G33</f>
        <v>0</v>
      </c>
      <c r="E29" s="53">
        <f>D29*C29</f>
        <v>0</v>
      </c>
      <c r="F29" s="53"/>
      <c r="H29" s="1" t="s">
        <v>5</v>
      </c>
      <c r="I29" s="52" t="s">
        <v>163</v>
      </c>
    </row>
    <row r="30" spans="1:9" x14ac:dyDescent="0.25">
      <c r="A30" t="s">
        <v>180</v>
      </c>
      <c r="B30" s="4" t="s">
        <v>169</v>
      </c>
      <c r="D30" s="55">
        <f>'Summary_Res Appliances'!G34</f>
        <v>0</v>
      </c>
      <c r="E30" s="53">
        <f>D30*C30</f>
        <v>0</v>
      </c>
      <c r="F30" s="53"/>
      <c r="H30" s="1" t="s">
        <v>5</v>
      </c>
      <c r="I30" s="52" t="s">
        <v>163</v>
      </c>
    </row>
    <row r="31" spans="1:9" x14ac:dyDescent="0.25">
      <c r="A31" s="63" t="s">
        <v>181</v>
      </c>
      <c r="B31" s="83"/>
      <c r="C31" s="73"/>
      <c r="D31" s="74"/>
      <c r="E31" s="73">
        <f>SUM(E32:E33)</f>
        <v>0.80462210223455799</v>
      </c>
      <c r="F31" s="73">
        <f>1-E31</f>
        <v>0.19537789776544201</v>
      </c>
      <c r="H31" s="1" t="s">
        <v>5</v>
      </c>
      <c r="I31" s="52" t="s">
        <v>163</v>
      </c>
    </row>
    <row r="32" spans="1:9" x14ac:dyDescent="0.25">
      <c r="A32" t="s">
        <v>181</v>
      </c>
      <c r="B32" s="4" t="s">
        <v>177</v>
      </c>
      <c r="C32" s="53">
        <v>0.81320281610557366</v>
      </c>
      <c r="D32" s="55">
        <f>'Summary_Res Appliances'!G36</f>
        <v>0.8229921123922751</v>
      </c>
      <c r="E32" s="53">
        <f>D32*C32</f>
        <v>0.6692595034300729</v>
      </c>
      <c r="F32" s="53"/>
      <c r="H32" s="1" t="s">
        <v>5</v>
      </c>
      <c r="I32" s="52" t="s">
        <v>163</v>
      </c>
    </row>
    <row r="33" spans="1:9" x14ac:dyDescent="0.25">
      <c r="A33" t="s">
        <v>181</v>
      </c>
      <c r="B33" s="4" t="s">
        <v>178</v>
      </c>
      <c r="C33" s="53">
        <v>0.76472644164951853</v>
      </c>
      <c r="D33" s="55">
        <f>'Summary_Res Appliances'!G37</f>
        <v>0.17700787030785456</v>
      </c>
      <c r="E33" s="53">
        <f>D33*C33</f>
        <v>0.13536259880448509</v>
      </c>
      <c r="F33" s="53"/>
      <c r="H33" s="1" t="s">
        <v>5</v>
      </c>
      <c r="I33" s="52" t="s">
        <v>163</v>
      </c>
    </row>
    <row r="34" spans="1:9" x14ac:dyDescent="0.25">
      <c r="A34" s="63" t="s">
        <v>182</v>
      </c>
      <c r="B34" s="83"/>
      <c r="C34" s="73"/>
      <c r="D34" s="74"/>
      <c r="E34" s="73">
        <f>AVERAGE(C35:C38)</f>
        <v>0.82212755110300573</v>
      </c>
      <c r="F34" s="73">
        <f>1-E34</f>
        <v>0.17787244889699427</v>
      </c>
      <c r="H34" s="1"/>
      <c r="I34" s="52"/>
    </row>
    <row r="35" spans="1:9" x14ac:dyDescent="0.25">
      <c r="A35" t="s">
        <v>40</v>
      </c>
      <c r="C35" s="53">
        <v>1</v>
      </c>
      <c r="H35" s="1" t="s">
        <v>5</v>
      </c>
      <c r="I35" s="52" t="s">
        <v>163</v>
      </c>
    </row>
    <row r="36" spans="1:9" x14ac:dyDescent="0.25">
      <c r="A36" t="s">
        <v>40</v>
      </c>
      <c r="C36" s="53">
        <v>0.65163559735793475</v>
      </c>
      <c r="H36" s="1" t="s">
        <v>5</v>
      </c>
      <c r="I36" s="52" t="s">
        <v>163</v>
      </c>
    </row>
    <row r="37" spans="1:9" x14ac:dyDescent="0.25">
      <c r="A37" t="s">
        <v>40</v>
      </c>
      <c r="C37" s="53">
        <v>0.81848666330839515</v>
      </c>
      <c r="H37" s="1" t="s">
        <v>5</v>
      </c>
      <c r="I37" s="52" t="s">
        <v>163</v>
      </c>
    </row>
    <row r="38" spans="1:9" x14ac:dyDescent="0.25">
      <c r="A38" t="s">
        <v>40</v>
      </c>
      <c r="C38" s="53">
        <v>0.8183879437456929</v>
      </c>
      <c r="H38" s="1" t="s">
        <v>5</v>
      </c>
      <c r="I38" s="52" t="s">
        <v>163</v>
      </c>
    </row>
    <row r="39" spans="1:9" x14ac:dyDescent="0.25">
      <c r="A39" s="63" t="s">
        <v>68</v>
      </c>
      <c r="B39" s="65"/>
      <c r="C39" s="73">
        <v>1</v>
      </c>
      <c r="D39" s="65"/>
      <c r="E39" s="73">
        <f>C39</f>
        <v>1</v>
      </c>
      <c r="F39" s="73">
        <f>1-E39</f>
        <v>0</v>
      </c>
      <c r="H39" s="1" t="s">
        <v>5</v>
      </c>
      <c r="I39" s="52" t="s">
        <v>163</v>
      </c>
    </row>
    <row r="40" spans="1:9" x14ac:dyDescent="0.25">
      <c r="A40" s="2"/>
      <c r="F40" s="53"/>
      <c r="H40" s="1"/>
      <c r="I40" s="52"/>
    </row>
    <row r="41" spans="1:9" x14ac:dyDescent="0.25">
      <c r="A41" s="63" t="s">
        <v>183</v>
      </c>
      <c r="B41" s="63"/>
      <c r="C41" s="80"/>
      <c r="D41" s="63"/>
      <c r="E41" s="80">
        <f>AVERAGE(E31,E34,E26,E20)</f>
        <v>0.75435141943914585</v>
      </c>
      <c r="F41" s="72">
        <f>1-E41</f>
        <v>0.24564858056085415</v>
      </c>
    </row>
    <row r="43" spans="1:9" x14ac:dyDescent="0.25">
      <c r="A43" s="100" t="s">
        <v>184</v>
      </c>
      <c r="B43" s="101"/>
      <c r="C43" s="102"/>
      <c r="D43" s="101"/>
      <c r="E43" s="102"/>
      <c r="F43" s="101"/>
      <c r="G43" s="101"/>
      <c r="H43" s="101"/>
    </row>
    <row r="44" spans="1:9" ht="44.25" customHeight="1" x14ac:dyDescent="0.25">
      <c r="A44" s="2"/>
      <c r="B44" s="2"/>
      <c r="C44" s="61" t="s">
        <v>156</v>
      </c>
      <c r="D44" s="47" t="s">
        <v>157</v>
      </c>
      <c r="E44" s="61" t="s">
        <v>158</v>
      </c>
      <c r="F44" s="61" t="s">
        <v>159</v>
      </c>
      <c r="H44" s="2" t="s">
        <v>160</v>
      </c>
      <c r="I44" s="54" t="s">
        <v>161</v>
      </c>
    </row>
    <row r="45" spans="1:9" x14ac:dyDescent="0.25">
      <c r="A45" s="63" t="s">
        <v>185</v>
      </c>
      <c r="B45" s="63"/>
      <c r="C45" s="68"/>
      <c r="D45" s="69"/>
      <c r="E45" s="70">
        <f>SUM(E46,E54,E62)</f>
        <v>0.70398750275034405</v>
      </c>
      <c r="F45" s="68">
        <f>1-E45</f>
        <v>0.29601249724965595</v>
      </c>
      <c r="H45" s="1" t="s">
        <v>5</v>
      </c>
      <c r="I45" s="52" t="s">
        <v>163</v>
      </c>
    </row>
    <row r="46" spans="1:9" x14ac:dyDescent="0.25">
      <c r="A46" s="59" t="s">
        <v>186</v>
      </c>
      <c r="B46" s="36"/>
      <c r="C46" s="59"/>
      <c r="D46" s="35">
        <f>'Summary_Com Appliances'!E3</f>
        <v>0.34719120903556966</v>
      </c>
      <c r="E46" s="60">
        <f>(AVERAGE(C48:C51)*D46)</f>
        <v>0.2842135132599371</v>
      </c>
      <c r="F46" s="57">
        <f>1-E46</f>
        <v>0.71578648674006295</v>
      </c>
      <c r="H46" t="s">
        <v>5</v>
      </c>
      <c r="I46" t="s">
        <v>163</v>
      </c>
    </row>
    <row r="47" spans="1:9" x14ac:dyDescent="0.25">
      <c r="A47" s="40" t="s">
        <v>186</v>
      </c>
      <c r="B47" t="s">
        <v>187</v>
      </c>
      <c r="H47" t="s">
        <v>5</v>
      </c>
      <c r="I47" t="s">
        <v>163</v>
      </c>
    </row>
    <row r="48" spans="1:9" x14ac:dyDescent="0.25">
      <c r="A48" s="40" t="s">
        <v>186</v>
      </c>
      <c r="B48" t="s">
        <v>188</v>
      </c>
      <c r="C48" s="53">
        <f>'COM_NEMS Cost'!D6</f>
        <v>0.82799025121859771</v>
      </c>
      <c r="H48" t="s">
        <v>5</v>
      </c>
      <c r="I48" t="s">
        <v>163</v>
      </c>
    </row>
    <row r="49" spans="1:9" x14ac:dyDescent="0.25">
      <c r="A49" s="40" t="s">
        <v>186</v>
      </c>
      <c r="B49" t="s">
        <v>189</v>
      </c>
      <c r="H49" t="s">
        <v>5</v>
      </c>
      <c r="I49" t="s">
        <v>163</v>
      </c>
    </row>
    <row r="50" spans="1:9" x14ac:dyDescent="0.25">
      <c r="A50" s="40" t="s">
        <v>186</v>
      </c>
      <c r="B50" t="s">
        <v>190</v>
      </c>
      <c r="H50" t="s">
        <v>5</v>
      </c>
      <c r="I50" t="s">
        <v>163</v>
      </c>
    </row>
    <row r="51" spans="1:9" x14ac:dyDescent="0.25">
      <c r="A51" s="40" t="s">
        <v>186</v>
      </c>
      <c r="B51" t="s">
        <v>191</v>
      </c>
      <c r="C51" s="53">
        <f>'COM_NEMS Cost'!D7</f>
        <v>0.80922581798676907</v>
      </c>
      <c r="H51" t="s">
        <v>5</v>
      </c>
      <c r="I51" t="s">
        <v>163</v>
      </c>
    </row>
    <row r="52" spans="1:9" x14ac:dyDescent="0.25">
      <c r="A52" s="40" t="s">
        <v>186</v>
      </c>
      <c r="B52" t="s">
        <v>192</v>
      </c>
      <c r="H52" t="s">
        <v>5</v>
      </c>
      <c r="I52" t="s">
        <v>163</v>
      </c>
    </row>
    <row r="53" spans="1:9" x14ac:dyDescent="0.25">
      <c r="A53" s="40" t="s">
        <v>186</v>
      </c>
      <c r="B53" t="s">
        <v>69</v>
      </c>
      <c r="H53" t="s">
        <v>5</v>
      </c>
      <c r="I53" t="s">
        <v>163</v>
      </c>
    </row>
    <row r="54" spans="1:9" x14ac:dyDescent="0.25">
      <c r="A54" s="59" t="s">
        <v>193</v>
      </c>
      <c r="B54" s="36"/>
      <c r="C54" s="59"/>
      <c r="D54" s="35">
        <f>'Summary_Com Appliances'!E11</f>
        <v>0.62252036060743632</v>
      </c>
      <c r="E54" s="60">
        <f>AVERAGE(C56:C59)*D54</f>
        <v>0.39721513052698443</v>
      </c>
      <c r="F54" s="60">
        <f>1-E54</f>
        <v>0.60278486947301557</v>
      </c>
      <c r="H54" t="s">
        <v>5</v>
      </c>
      <c r="I54" t="s">
        <v>163</v>
      </c>
    </row>
    <row r="55" spans="1:9" x14ac:dyDescent="0.25">
      <c r="A55" s="40" t="s">
        <v>193</v>
      </c>
      <c r="B55" t="s">
        <v>187</v>
      </c>
      <c r="H55" t="s">
        <v>5</v>
      </c>
      <c r="I55" t="s">
        <v>163</v>
      </c>
    </row>
    <row r="56" spans="1:9" x14ac:dyDescent="0.25">
      <c r="A56" s="40" t="s">
        <v>193</v>
      </c>
      <c r="B56" t="s">
        <v>188</v>
      </c>
      <c r="C56" s="53">
        <f>'COM_NEMS Cost'!D4</f>
        <v>0.54054769805800118</v>
      </c>
      <c r="H56" t="s">
        <v>5</v>
      </c>
      <c r="I56" t="s">
        <v>163</v>
      </c>
    </row>
    <row r="57" spans="1:9" x14ac:dyDescent="0.25">
      <c r="A57" s="40" t="s">
        <v>193</v>
      </c>
      <c r="B57" t="s">
        <v>189</v>
      </c>
      <c r="H57" t="s">
        <v>5</v>
      </c>
      <c r="I57" t="s">
        <v>163</v>
      </c>
    </row>
    <row r="58" spans="1:9" x14ac:dyDescent="0.25">
      <c r="A58" s="40" t="s">
        <v>193</v>
      </c>
      <c r="B58" t="s">
        <v>190</v>
      </c>
      <c r="H58" t="s">
        <v>5</v>
      </c>
      <c r="I58" t="s">
        <v>163</v>
      </c>
    </row>
    <row r="59" spans="1:9" x14ac:dyDescent="0.25">
      <c r="A59" s="40" t="s">
        <v>193</v>
      </c>
      <c r="B59" t="s">
        <v>191</v>
      </c>
      <c r="C59" s="53">
        <f>'COM_NEMS Cost'!D8</f>
        <v>0.73560375227976449</v>
      </c>
      <c r="H59" t="s">
        <v>5</v>
      </c>
      <c r="I59" t="s">
        <v>163</v>
      </c>
    </row>
    <row r="60" spans="1:9" x14ac:dyDescent="0.25">
      <c r="A60" s="40" t="s">
        <v>193</v>
      </c>
      <c r="B60" t="s">
        <v>192</v>
      </c>
      <c r="H60" t="s">
        <v>5</v>
      </c>
      <c r="I60" t="s">
        <v>163</v>
      </c>
    </row>
    <row r="61" spans="1:9" x14ac:dyDescent="0.25">
      <c r="A61" s="40" t="s">
        <v>193</v>
      </c>
      <c r="B61" t="s">
        <v>69</v>
      </c>
      <c r="H61" t="s">
        <v>5</v>
      </c>
      <c r="I61" t="s">
        <v>163</v>
      </c>
    </row>
    <row r="62" spans="1:9" x14ac:dyDescent="0.25">
      <c r="A62" s="59" t="s">
        <v>194</v>
      </c>
      <c r="B62" s="36"/>
      <c r="C62" s="59"/>
      <c r="D62" s="35">
        <f>'Summary_Com Appliances'!E19</f>
        <v>3.028843035699395E-2</v>
      </c>
      <c r="E62" s="60">
        <f>AVERAGE(C64:C67)*D62</f>
        <v>2.2558858963422541E-2</v>
      </c>
      <c r="F62" s="60">
        <f>1-E62</f>
        <v>0.97744114103657742</v>
      </c>
      <c r="H62" t="s">
        <v>5</v>
      </c>
      <c r="I62" t="s">
        <v>163</v>
      </c>
    </row>
    <row r="63" spans="1:9" x14ac:dyDescent="0.25">
      <c r="A63" s="40" t="s">
        <v>194</v>
      </c>
      <c r="B63" t="s">
        <v>187</v>
      </c>
      <c r="H63" t="s">
        <v>5</v>
      </c>
      <c r="I63" t="s">
        <v>163</v>
      </c>
    </row>
    <row r="64" spans="1:9" x14ac:dyDescent="0.25">
      <c r="A64" s="40" t="s">
        <v>194</v>
      </c>
      <c r="B64" t="s">
        <v>188</v>
      </c>
      <c r="C64" s="53">
        <f>'COM_NEMS Cost'!D5</f>
        <v>0.71607519212481041</v>
      </c>
      <c r="H64" t="s">
        <v>5</v>
      </c>
      <c r="I64" t="s">
        <v>163</v>
      </c>
    </row>
    <row r="65" spans="1:9" x14ac:dyDescent="0.25">
      <c r="A65" s="40" t="s">
        <v>194</v>
      </c>
      <c r="B65" t="s">
        <v>189</v>
      </c>
      <c r="H65" t="s">
        <v>5</v>
      </c>
      <c r="I65" t="s">
        <v>163</v>
      </c>
    </row>
    <row r="66" spans="1:9" x14ac:dyDescent="0.25">
      <c r="A66" s="40" t="s">
        <v>194</v>
      </c>
      <c r="B66" t="s">
        <v>190</v>
      </c>
      <c r="H66" t="s">
        <v>5</v>
      </c>
      <c r="I66" t="s">
        <v>163</v>
      </c>
    </row>
    <row r="67" spans="1:9" x14ac:dyDescent="0.25">
      <c r="A67" s="40" t="s">
        <v>194</v>
      </c>
      <c r="B67" t="s">
        <v>191</v>
      </c>
      <c r="C67" s="53">
        <f>'COM_NEMS Cost'!D9</f>
        <v>0.77352718723476832</v>
      </c>
      <c r="H67" t="s">
        <v>5</v>
      </c>
      <c r="I67" t="s">
        <v>163</v>
      </c>
    </row>
    <row r="68" spans="1:9" x14ac:dyDescent="0.25">
      <c r="A68" s="40" t="s">
        <v>194</v>
      </c>
      <c r="B68" t="s">
        <v>192</v>
      </c>
      <c r="H68" t="s">
        <v>5</v>
      </c>
      <c r="I68" t="s">
        <v>163</v>
      </c>
    </row>
    <row r="69" spans="1:9" x14ac:dyDescent="0.25">
      <c r="A69" s="40" t="s">
        <v>194</v>
      </c>
      <c r="B69" t="s">
        <v>69</v>
      </c>
      <c r="H69" t="s">
        <v>5</v>
      </c>
      <c r="I69" t="s">
        <v>163</v>
      </c>
    </row>
    <row r="70" spans="1:9" hidden="1" x14ac:dyDescent="0.25">
      <c r="A70" t="s">
        <v>195</v>
      </c>
      <c r="H70" t="s">
        <v>5</v>
      </c>
      <c r="I70" t="s">
        <v>163</v>
      </c>
    </row>
    <row r="71" spans="1:9" hidden="1" x14ac:dyDescent="0.25">
      <c r="A71" s="40" t="s">
        <v>195</v>
      </c>
      <c r="B71" t="s">
        <v>187</v>
      </c>
      <c r="H71" t="s">
        <v>5</v>
      </c>
      <c r="I71" t="s">
        <v>163</v>
      </c>
    </row>
    <row r="72" spans="1:9" hidden="1" x14ac:dyDescent="0.25">
      <c r="A72" s="40" t="s">
        <v>195</v>
      </c>
      <c r="B72" t="s">
        <v>188</v>
      </c>
      <c r="H72" t="s">
        <v>5</v>
      </c>
      <c r="I72" t="s">
        <v>163</v>
      </c>
    </row>
    <row r="73" spans="1:9" hidden="1" x14ac:dyDescent="0.25">
      <c r="A73" s="40" t="s">
        <v>195</v>
      </c>
      <c r="B73" t="s">
        <v>189</v>
      </c>
      <c r="H73" t="s">
        <v>5</v>
      </c>
      <c r="I73" t="s">
        <v>163</v>
      </c>
    </row>
    <row r="74" spans="1:9" hidden="1" x14ac:dyDescent="0.25">
      <c r="A74" s="40" t="s">
        <v>195</v>
      </c>
      <c r="B74" t="s">
        <v>190</v>
      </c>
      <c r="H74" t="s">
        <v>5</v>
      </c>
      <c r="I74" t="s">
        <v>163</v>
      </c>
    </row>
    <row r="75" spans="1:9" hidden="1" x14ac:dyDescent="0.25">
      <c r="A75" s="40" t="s">
        <v>195</v>
      </c>
      <c r="B75" t="s">
        <v>191</v>
      </c>
      <c r="H75" t="s">
        <v>5</v>
      </c>
      <c r="I75" t="s">
        <v>163</v>
      </c>
    </row>
    <row r="76" spans="1:9" hidden="1" x14ac:dyDescent="0.25">
      <c r="A76" s="40" t="s">
        <v>195</v>
      </c>
      <c r="B76" t="s">
        <v>192</v>
      </c>
      <c r="H76" t="s">
        <v>5</v>
      </c>
      <c r="I76" t="s">
        <v>163</v>
      </c>
    </row>
    <row r="77" spans="1:9" hidden="1" x14ac:dyDescent="0.25">
      <c r="A77" s="40" t="s">
        <v>195</v>
      </c>
      <c r="B77" t="s">
        <v>69</v>
      </c>
      <c r="H77" t="s">
        <v>5</v>
      </c>
      <c r="I77" t="s">
        <v>163</v>
      </c>
    </row>
    <row r="78" spans="1:9" hidden="1" x14ac:dyDescent="0.25">
      <c r="A78" t="s">
        <v>169</v>
      </c>
      <c r="H78" t="s">
        <v>5</v>
      </c>
      <c r="I78" t="s">
        <v>163</v>
      </c>
    </row>
    <row r="79" spans="1:9" hidden="1" x14ac:dyDescent="0.25">
      <c r="A79" s="40" t="s">
        <v>169</v>
      </c>
      <c r="B79" t="s">
        <v>187</v>
      </c>
      <c r="H79" t="s">
        <v>5</v>
      </c>
      <c r="I79" t="s">
        <v>163</v>
      </c>
    </row>
    <row r="80" spans="1:9" hidden="1" x14ac:dyDescent="0.25">
      <c r="A80" s="40" t="s">
        <v>169</v>
      </c>
      <c r="B80" t="s">
        <v>188</v>
      </c>
      <c r="H80" t="s">
        <v>5</v>
      </c>
      <c r="I80" t="s">
        <v>163</v>
      </c>
    </row>
    <row r="81" spans="1:9" hidden="1" x14ac:dyDescent="0.25">
      <c r="A81" s="40" t="s">
        <v>169</v>
      </c>
      <c r="B81" t="s">
        <v>189</v>
      </c>
      <c r="H81" t="s">
        <v>5</v>
      </c>
      <c r="I81" t="s">
        <v>163</v>
      </c>
    </row>
    <row r="82" spans="1:9" hidden="1" x14ac:dyDescent="0.25">
      <c r="A82" s="40" t="s">
        <v>169</v>
      </c>
      <c r="B82" t="s">
        <v>190</v>
      </c>
      <c r="H82" t="s">
        <v>5</v>
      </c>
      <c r="I82" t="s">
        <v>163</v>
      </c>
    </row>
    <row r="83" spans="1:9" hidden="1" x14ac:dyDescent="0.25">
      <c r="A83" s="40" t="s">
        <v>169</v>
      </c>
      <c r="B83" t="s">
        <v>191</v>
      </c>
      <c r="H83" t="s">
        <v>5</v>
      </c>
      <c r="I83" t="s">
        <v>163</v>
      </c>
    </row>
    <row r="84" spans="1:9" hidden="1" x14ac:dyDescent="0.25">
      <c r="A84" s="40" t="s">
        <v>169</v>
      </c>
      <c r="B84" t="s">
        <v>192</v>
      </c>
      <c r="H84" t="s">
        <v>5</v>
      </c>
      <c r="I84" t="s">
        <v>163</v>
      </c>
    </row>
    <row r="85" spans="1:9" hidden="1" x14ac:dyDescent="0.25">
      <c r="A85" s="40" t="s">
        <v>169</v>
      </c>
      <c r="B85" t="s">
        <v>69</v>
      </c>
      <c r="H85" t="s">
        <v>5</v>
      </c>
      <c r="I85" t="s">
        <v>163</v>
      </c>
    </row>
    <row r="86" spans="1:9" hidden="1" x14ac:dyDescent="0.25">
      <c r="A86" s="40"/>
      <c r="H86" t="s">
        <v>5</v>
      </c>
      <c r="I86" t="s">
        <v>163</v>
      </c>
    </row>
    <row r="87" spans="1:9" x14ac:dyDescent="0.25">
      <c r="A87" s="40"/>
      <c r="H87" t="s">
        <v>5</v>
      </c>
      <c r="I87" t="s">
        <v>163</v>
      </c>
    </row>
    <row r="88" spans="1:9" x14ac:dyDescent="0.25">
      <c r="A88" s="63" t="s">
        <v>196</v>
      </c>
      <c r="B88" s="65"/>
      <c r="C88" s="63"/>
      <c r="D88" s="71"/>
      <c r="E88" s="72">
        <f>SUM(E89:E91)</f>
        <v>0.75439886948727197</v>
      </c>
      <c r="F88" s="77">
        <f>1-E88</f>
        <v>0.24560113051272803</v>
      </c>
      <c r="H88" t="s">
        <v>5</v>
      </c>
      <c r="I88" t="s">
        <v>163</v>
      </c>
    </row>
    <row r="89" spans="1:9" x14ac:dyDescent="0.25">
      <c r="A89" t="s">
        <v>186</v>
      </c>
      <c r="B89" t="s">
        <v>197</v>
      </c>
      <c r="C89" s="53">
        <f>'COM_NEMS Cost'!D14</f>
        <v>0.761290322580645</v>
      </c>
      <c r="D89" s="55">
        <f>'Summary_Com Appliances'!E46</f>
        <v>0.50784544299136469</v>
      </c>
      <c r="E89" s="53">
        <f>C89*D89</f>
        <v>0.38661782111600657</v>
      </c>
      <c r="H89" t="s">
        <v>5</v>
      </c>
      <c r="I89" t="s">
        <v>163</v>
      </c>
    </row>
    <row r="90" spans="1:9" x14ac:dyDescent="0.25">
      <c r="A90" t="s">
        <v>193</v>
      </c>
      <c r="B90" t="s">
        <v>197</v>
      </c>
      <c r="C90" s="53">
        <f>'COM_NEMS Cost'!D13</f>
        <v>0.74018277158435497</v>
      </c>
      <c r="D90" s="55">
        <f>'Summary_Com Appliances'!E47</f>
        <v>0.46945562959531528</v>
      </c>
      <c r="E90" s="53">
        <f>C90*D90</f>
        <v>0.3474829690497388</v>
      </c>
      <c r="H90" t="s">
        <v>5</v>
      </c>
      <c r="I90" t="s">
        <v>163</v>
      </c>
    </row>
    <row r="91" spans="1:9" x14ac:dyDescent="0.25">
      <c r="A91" t="s">
        <v>194</v>
      </c>
      <c r="B91" t="s">
        <v>197</v>
      </c>
      <c r="C91" s="53">
        <f>'COM_NEMS Cost'!D16</f>
        <v>0.8942307692307695</v>
      </c>
      <c r="D91" s="55">
        <f>'Summary_Com Appliances'!E48</f>
        <v>2.2698927413320032E-2</v>
      </c>
      <c r="E91" s="53">
        <f>C91*D91</f>
        <v>2.0298079321526573E-2</v>
      </c>
      <c r="H91" t="s">
        <v>5</v>
      </c>
      <c r="I91" t="s">
        <v>163</v>
      </c>
    </row>
    <row r="92" spans="1:9" x14ac:dyDescent="0.25">
      <c r="A92" t="s">
        <v>195</v>
      </c>
      <c r="B92" t="s">
        <v>197</v>
      </c>
      <c r="H92" t="s">
        <v>5</v>
      </c>
      <c r="I92" t="s">
        <v>163</v>
      </c>
    </row>
    <row r="93" spans="1:9" x14ac:dyDescent="0.25">
      <c r="A93" t="s">
        <v>169</v>
      </c>
      <c r="B93" t="s">
        <v>197</v>
      </c>
      <c r="H93" t="s">
        <v>5</v>
      </c>
      <c r="I93" t="s">
        <v>163</v>
      </c>
    </row>
    <row r="94" spans="1:9" x14ac:dyDescent="0.25">
      <c r="H94" t="s">
        <v>5</v>
      </c>
      <c r="I94" t="s">
        <v>163</v>
      </c>
    </row>
    <row r="95" spans="1:9" x14ac:dyDescent="0.25">
      <c r="A95" s="75" t="s">
        <v>198</v>
      </c>
      <c r="B95" s="75"/>
      <c r="C95" s="76"/>
      <c r="D95" s="75"/>
      <c r="E95" s="76">
        <f>AVERAGE(C96:C98)</f>
        <v>0.5798301102469372</v>
      </c>
      <c r="F95" s="78">
        <f>1-E95</f>
        <v>0.4201698897530628</v>
      </c>
      <c r="H95" t="s">
        <v>5</v>
      </c>
      <c r="I95" t="s">
        <v>163</v>
      </c>
    </row>
    <row r="96" spans="1:9" x14ac:dyDescent="0.25">
      <c r="A96" t="s">
        <v>186</v>
      </c>
      <c r="B96" t="s">
        <v>199</v>
      </c>
      <c r="C96" s="53">
        <f>'COM_NEMS Cost'!D10</f>
        <v>0.70929577487429007</v>
      </c>
      <c r="D96" t="s">
        <v>200</v>
      </c>
      <c r="H96" t="s">
        <v>5</v>
      </c>
      <c r="I96" t="s">
        <v>163</v>
      </c>
    </row>
    <row r="97" spans="1:9" x14ac:dyDescent="0.25">
      <c r="A97" t="s">
        <v>186</v>
      </c>
      <c r="B97" t="s">
        <v>201</v>
      </c>
      <c r="C97" s="53">
        <f>'COM_NEMS Cost'!D11</f>
        <v>0.72239286108317868</v>
      </c>
      <c r="D97" t="s">
        <v>200</v>
      </c>
      <c r="H97" t="s">
        <v>5</v>
      </c>
      <c r="I97" t="s">
        <v>163</v>
      </c>
    </row>
    <row r="98" spans="1:9" x14ac:dyDescent="0.25">
      <c r="A98" t="s">
        <v>186</v>
      </c>
      <c r="B98" t="s">
        <v>202</v>
      </c>
      <c r="C98" s="53">
        <f>'COM_NEMS Cost'!D12</f>
        <v>0.30780169478334291</v>
      </c>
      <c r="D98" t="s">
        <v>200</v>
      </c>
      <c r="H98" t="s">
        <v>5</v>
      </c>
      <c r="I98" t="s">
        <v>163</v>
      </c>
    </row>
    <row r="99" spans="1:9" x14ac:dyDescent="0.25">
      <c r="H99" t="s">
        <v>5</v>
      </c>
      <c r="I99" t="s">
        <v>163</v>
      </c>
    </row>
    <row r="100" spans="1:9" x14ac:dyDescent="0.25">
      <c r="A100" s="75" t="s">
        <v>203</v>
      </c>
      <c r="B100" s="75"/>
      <c r="C100" s="76"/>
      <c r="D100" s="75"/>
      <c r="E100" s="76">
        <f>AVERAGE(C101:C103)</f>
        <v>0.40766894664785691</v>
      </c>
      <c r="F100" s="78">
        <f>1-E100</f>
        <v>0.59233105335214309</v>
      </c>
      <c r="H100" t="s">
        <v>5</v>
      </c>
      <c r="I100" t="s">
        <v>163</v>
      </c>
    </row>
    <row r="101" spans="1:9" x14ac:dyDescent="0.25">
      <c r="A101" t="s">
        <v>203</v>
      </c>
      <c r="B101" t="s">
        <v>204</v>
      </c>
      <c r="C101" s="53">
        <f>'COM_NEMS Cost'!D17</f>
        <v>0.23418371777538241</v>
      </c>
      <c r="D101" t="s">
        <v>200</v>
      </c>
      <c r="H101" t="s">
        <v>5</v>
      </c>
      <c r="I101" t="s">
        <v>163</v>
      </c>
    </row>
    <row r="102" spans="1:9" x14ac:dyDescent="0.25">
      <c r="A102" t="s">
        <v>203</v>
      </c>
      <c r="B102" t="s">
        <v>205</v>
      </c>
      <c r="C102" s="53">
        <f>'COM_NEMS Cost'!D18</f>
        <v>0.7269146515771101</v>
      </c>
      <c r="D102" t="s">
        <v>200</v>
      </c>
      <c r="H102" t="s">
        <v>5</v>
      </c>
      <c r="I102" t="s">
        <v>163</v>
      </c>
    </row>
    <row r="103" spans="1:9" x14ac:dyDescent="0.25">
      <c r="A103" t="s">
        <v>203</v>
      </c>
      <c r="B103" t="s">
        <v>206</v>
      </c>
      <c r="C103" s="53">
        <f>'COM_NEMS Cost'!D19</f>
        <v>0.26190847059107819</v>
      </c>
      <c r="D103" t="s">
        <v>200</v>
      </c>
      <c r="H103" t="s">
        <v>5</v>
      </c>
      <c r="I103" t="s">
        <v>163</v>
      </c>
    </row>
    <row r="104" spans="1:9" x14ac:dyDescent="0.25">
      <c r="H104" t="s">
        <v>5</v>
      </c>
      <c r="I104" t="s">
        <v>163</v>
      </c>
    </row>
  </sheetData>
  <mergeCells count="2">
    <mergeCell ref="A43:H43"/>
    <mergeCell ref="A1:H1"/>
  </mergeCells>
  <hyperlinks>
    <hyperlink ref="H4" r:id="rId1" xr:uid="{00000000-0004-0000-0500-000000000000}"/>
    <hyperlink ref="H5" r:id="rId2" xr:uid="{00000000-0004-0000-0500-000001000000}"/>
    <hyperlink ref="H6" r:id="rId3" xr:uid="{00000000-0004-0000-0500-000002000000}"/>
    <hyperlink ref="H7" r:id="rId4" xr:uid="{00000000-0004-0000-0500-000003000000}"/>
    <hyperlink ref="H8" r:id="rId5" xr:uid="{00000000-0004-0000-0500-000004000000}"/>
    <hyperlink ref="H9" r:id="rId6" xr:uid="{00000000-0004-0000-0500-000005000000}"/>
    <hyperlink ref="H10" r:id="rId7" xr:uid="{00000000-0004-0000-0500-000006000000}"/>
    <hyperlink ref="H11" r:id="rId8" xr:uid="{00000000-0004-0000-0500-000007000000}"/>
    <hyperlink ref="H12" r:id="rId9" xr:uid="{00000000-0004-0000-0500-000008000000}"/>
    <hyperlink ref="H13" r:id="rId10" xr:uid="{00000000-0004-0000-0500-000009000000}"/>
    <hyperlink ref="H14" r:id="rId11" xr:uid="{00000000-0004-0000-0500-00000A000000}"/>
    <hyperlink ref="H15" r:id="rId12" xr:uid="{00000000-0004-0000-0500-00000B000000}"/>
    <hyperlink ref="H16" r:id="rId13" xr:uid="{00000000-0004-0000-0500-00000C000000}"/>
    <hyperlink ref="H17" r:id="rId14" xr:uid="{00000000-0004-0000-0500-00000D000000}"/>
    <hyperlink ref="H18" r:id="rId15" xr:uid="{00000000-0004-0000-0500-00000E000000}"/>
    <hyperlink ref="H19" r:id="rId16" xr:uid="{00000000-0004-0000-0500-00000F000000}"/>
    <hyperlink ref="H20" r:id="rId17" xr:uid="{00000000-0004-0000-0500-000010000000}"/>
    <hyperlink ref="H21" r:id="rId18" xr:uid="{00000000-0004-0000-0500-000011000000}"/>
    <hyperlink ref="H22" r:id="rId19" xr:uid="{00000000-0004-0000-0500-000012000000}"/>
    <hyperlink ref="H23" r:id="rId20" xr:uid="{00000000-0004-0000-0500-000013000000}"/>
    <hyperlink ref="H24" r:id="rId21" xr:uid="{00000000-0004-0000-0500-000014000000}"/>
    <hyperlink ref="H25" r:id="rId22" xr:uid="{00000000-0004-0000-0500-000015000000}"/>
    <hyperlink ref="H26" r:id="rId23" xr:uid="{00000000-0004-0000-0500-000016000000}"/>
    <hyperlink ref="H27" r:id="rId24" xr:uid="{00000000-0004-0000-0500-000017000000}"/>
    <hyperlink ref="H28" r:id="rId25" xr:uid="{00000000-0004-0000-0500-000018000000}"/>
    <hyperlink ref="H29" r:id="rId26" xr:uid="{00000000-0004-0000-0500-000019000000}"/>
    <hyperlink ref="H30" r:id="rId27" xr:uid="{00000000-0004-0000-0500-00001A000000}"/>
    <hyperlink ref="H31" r:id="rId28" xr:uid="{00000000-0004-0000-0500-00001B000000}"/>
    <hyperlink ref="H32" r:id="rId29" xr:uid="{00000000-0004-0000-0500-00001C000000}"/>
    <hyperlink ref="H33" r:id="rId30" xr:uid="{00000000-0004-0000-0500-00001D000000}"/>
    <hyperlink ref="H35" r:id="rId31" xr:uid="{00000000-0004-0000-0500-00001E000000}"/>
    <hyperlink ref="H36" r:id="rId32" xr:uid="{00000000-0004-0000-0500-00001F000000}"/>
    <hyperlink ref="H37" r:id="rId33" xr:uid="{00000000-0004-0000-0500-000020000000}"/>
    <hyperlink ref="H38" r:id="rId34" xr:uid="{00000000-0004-0000-0500-000021000000}"/>
    <hyperlink ref="H39" r:id="rId35" xr:uid="{00000000-0004-0000-0500-000022000000}"/>
    <hyperlink ref="H45" r:id="rId36" xr:uid="{00000000-0004-0000-0500-000023000000}"/>
    <hyperlink ref="H46" r:id="rId37" xr:uid="{00000000-0004-0000-0500-000024000000}"/>
    <hyperlink ref="H47" r:id="rId38" xr:uid="{00000000-0004-0000-0500-000025000000}"/>
    <hyperlink ref="H48" r:id="rId39" xr:uid="{00000000-0004-0000-0500-000026000000}"/>
    <hyperlink ref="H49" r:id="rId40" xr:uid="{00000000-0004-0000-0500-000027000000}"/>
    <hyperlink ref="H50" r:id="rId41" xr:uid="{00000000-0004-0000-0500-000028000000}"/>
    <hyperlink ref="H51" r:id="rId42" xr:uid="{00000000-0004-0000-0500-000029000000}"/>
    <hyperlink ref="H52" r:id="rId43" xr:uid="{00000000-0004-0000-0500-00002A000000}"/>
    <hyperlink ref="H53" r:id="rId44" xr:uid="{00000000-0004-0000-0500-00002B000000}"/>
    <hyperlink ref="H54" r:id="rId45" xr:uid="{00000000-0004-0000-0500-00002C000000}"/>
    <hyperlink ref="H55" r:id="rId46" xr:uid="{00000000-0004-0000-0500-00002D000000}"/>
    <hyperlink ref="H56" r:id="rId47" xr:uid="{00000000-0004-0000-0500-00002E000000}"/>
    <hyperlink ref="H57" r:id="rId48" xr:uid="{00000000-0004-0000-0500-00002F000000}"/>
    <hyperlink ref="H58" r:id="rId49" xr:uid="{00000000-0004-0000-0500-000030000000}"/>
    <hyperlink ref="H59" r:id="rId50" xr:uid="{00000000-0004-0000-0500-000031000000}"/>
    <hyperlink ref="H60" r:id="rId51" xr:uid="{00000000-0004-0000-0500-000032000000}"/>
    <hyperlink ref="H61" r:id="rId52" xr:uid="{00000000-0004-0000-0500-000033000000}"/>
    <hyperlink ref="H62" r:id="rId53" xr:uid="{00000000-0004-0000-0500-000034000000}"/>
    <hyperlink ref="H63" r:id="rId54" xr:uid="{00000000-0004-0000-0500-000035000000}"/>
    <hyperlink ref="H64" r:id="rId55" xr:uid="{00000000-0004-0000-0500-000036000000}"/>
    <hyperlink ref="H65" r:id="rId56" xr:uid="{00000000-0004-0000-0500-000037000000}"/>
    <hyperlink ref="H66" r:id="rId57" xr:uid="{00000000-0004-0000-0500-000038000000}"/>
    <hyperlink ref="H67" r:id="rId58" xr:uid="{00000000-0004-0000-0500-000039000000}"/>
    <hyperlink ref="H68" r:id="rId59" xr:uid="{00000000-0004-0000-0500-00003A000000}"/>
    <hyperlink ref="H69" r:id="rId60" xr:uid="{00000000-0004-0000-0500-00003B000000}"/>
    <hyperlink ref="H70" r:id="rId61" xr:uid="{00000000-0004-0000-0500-00003C000000}"/>
    <hyperlink ref="H71" r:id="rId62" xr:uid="{00000000-0004-0000-0500-00003D000000}"/>
    <hyperlink ref="H72" r:id="rId63" xr:uid="{00000000-0004-0000-0500-00003E000000}"/>
    <hyperlink ref="H73" r:id="rId64" xr:uid="{00000000-0004-0000-0500-00003F000000}"/>
    <hyperlink ref="H74" r:id="rId65" xr:uid="{00000000-0004-0000-0500-000040000000}"/>
    <hyperlink ref="H75" r:id="rId66" xr:uid="{00000000-0004-0000-0500-000041000000}"/>
    <hyperlink ref="H76" r:id="rId67" xr:uid="{00000000-0004-0000-0500-000042000000}"/>
    <hyperlink ref="H77" r:id="rId68" xr:uid="{00000000-0004-0000-0500-000043000000}"/>
    <hyperlink ref="H78" r:id="rId69" xr:uid="{00000000-0004-0000-0500-000044000000}"/>
    <hyperlink ref="H79" r:id="rId70" xr:uid="{00000000-0004-0000-0500-000045000000}"/>
    <hyperlink ref="H80" r:id="rId71" xr:uid="{00000000-0004-0000-0500-000046000000}"/>
    <hyperlink ref="H81" r:id="rId72" xr:uid="{00000000-0004-0000-0500-000047000000}"/>
    <hyperlink ref="H82" r:id="rId73" xr:uid="{00000000-0004-0000-0500-000048000000}"/>
    <hyperlink ref="H83" r:id="rId74" xr:uid="{00000000-0004-0000-0500-000049000000}"/>
    <hyperlink ref="H84" r:id="rId75" xr:uid="{00000000-0004-0000-0500-00004A000000}"/>
    <hyperlink ref="H85" r:id="rId76" xr:uid="{00000000-0004-0000-0500-00004B000000}"/>
    <hyperlink ref="H86" r:id="rId77" xr:uid="{00000000-0004-0000-0500-00004C000000}"/>
    <hyperlink ref="H87" r:id="rId78" xr:uid="{00000000-0004-0000-0500-00004D000000}"/>
    <hyperlink ref="H88" r:id="rId79" xr:uid="{00000000-0004-0000-0500-00004E000000}"/>
    <hyperlink ref="H89" r:id="rId80" xr:uid="{00000000-0004-0000-0500-00004F000000}"/>
    <hyperlink ref="H90" r:id="rId81" xr:uid="{00000000-0004-0000-0500-000050000000}"/>
    <hyperlink ref="H91" r:id="rId82" xr:uid="{00000000-0004-0000-0500-000051000000}"/>
    <hyperlink ref="H92" r:id="rId83" xr:uid="{00000000-0004-0000-0500-000052000000}"/>
    <hyperlink ref="H93" r:id="rId84" xr:uid="{00000000-0004-0000-0500-000053000000}"/>
    <hyperlink ref="H94" r:id="rId85" xr:uid="{00000000-0004-0000-0500-000054000000}"/>
    <hyperlink ref="H95" r:id="rId86" xr:uid="{00000000-0004-0000-0500-000055000000}"/>
    <hyperlink ref="H96" r:id="rId87" xr:uid="{00000000-0004-0000-0500-000056000000}"/>
    <hyperlink ref="H97" r:id="rId88" xr:uid="{00000000-0004-0000-0500-000057000000}"/>
    <hyperlink ref="H98" r:id="rId89" xr:uid="{00000000-0004-0000-0500-000058000000}"/>
    <hyperlink ref="H99" r:id="rId90" xr:uid="{00000000-0004-0000-0500-000059000000}"/>
    <hyperlink ref="H100" r:id="rId91" xr:uid="{00000000-0004-0000-0500-00005A000000}"/>
    <hyperlink ref="H101" r:id="rId92" xr:uid="{00000000-0004-0000-0500-00005B000000}"/>
    <hyperlink ref="H102" r:id="rId93" xr:uid="{00000000-0004-0000-0500-00005C000000}"/>
    <hyperlink ref="H103" r:id="rId94" xr:uid="{00000000-0004-0000-0500-00005D000000}"/>
    <hyperlink ref="H104" r:id="rId95" xr:uid="{00000000-0004-0000-0500-00005E000000}"/>
  </hyperlink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9"/>
  <sheetViews>
    <sheetView workbookViewId="0">
      <selection activeCell="A2" sqref="A2"/>
    </sheetView>
  </sheetViews>
  <sheetFormatPr defaultRowHeight="15" x14ac:dyDescent="0.25"/>
  <cols>
    <col min="2" max="2" width="23" customWidth="1"/>
    <col min="3" max="3" width="26.5703125" customWidth="1"/>
    <col min="4" max="4" width="24.42578125" customWidth="1"/>
  </cols>
  <sheetData>
    <row r="1" spans="1:4" x14ac:dyDescent="0.25">
      <c r="A1" t="s">
        <v>207</v>
      </c>
    </row>
    <row r="3" spans="1:4" x14ac:dyDescent="0.25">
      <c r="C3" t="s">
        <v>208</v>
      </c>
      <c r="D3" s="53" t="s">
        <v>209</v>
      </c>
    </row>
    <row r="4" spans="1:4" x14ac:dyDescent="0.25">
      <c r="B4" t="s">
        <v>210</v>
      </c>
      <c r="C4" t="s">
        <v>211</v>
      </c>
      <c r="D4" s="53">
        <v>0.54054769805800118</v>
      </c>
    </row>
    <row r="5" spans="1:4" x14ac:dyDescent="0.25">
      <c r="B5" t="s">
        <v>210</v>
      </c>
      <c r="C5" t="s">
        <v>212</v>
      </c>
      <c r="D5" s="53">
        <v>0.71607519212481041</v>
      </c>
    </row>
    <row r="6" spans="1:4" x14ac:dyDescent="0.25">
      <c r="B6" t="s">
        <v>210</v>
      </c>
      <c r="C6" t="s">
        <v>213</v>
      </c>
      <c r="D6" s="53">
        <v>0.82799025121859771</v>
      </c>
    </row>
    <row r="7" spans="1:4" x14ac:dyDescent="0.25">
      <c r="B7" t="s">
        <v>210</v>
      </c>
      <c r="C7" t="s">
        <v>214</v>
      </c>
      <c r="D7" s="53">
        <v>0.80922581798676907</v>
      </c>
    </row>
    <row r="8" spans="1:4" x14ac:dyDescent="0.25">
      <c r="B8" t="s">
        <v>210</v>
      </c>
      <c r="C8" t="s">
        <v>215</v>
      </c>
      <c r="D8" s="53">
        <v>0.73560375227976449</v>
      </c>
    </row>
    <row r="9" spans="1:4" x14ac:dyDescent="0.25">
      <c r="B9" t="s">
        <v>210</v>
      </c>
      <c r="C9" t="s">
        <v>216</v>
      </c>
      <c r="D9" s="53">
        <v>0.77352718723476832</v>
      </c>
    </row>
    <row r="10" spans="1:4" x14ac:dyDescent="0.25">
      <c r="B10" t="s">
        <v>198</v>
      </c>
      <c r="C10" t="s">
        <v>199</v>
      </c>
      <c r="D10" s="53">
        <v>0.70929577487429007</v>
      </c>
    </row>
    <row r="11" spans="1:4" x14ac:dyDescent="0.25">
      <c r="B11" t="s">
        <v>198</v>
      </c>
      <c r="C11" t="s">
        <v>201</v>
      </c>
      <c r="D11" s="53">
        <v>0.72239286108317868</v>
      </c>
    </row>
    <row r="12" spans="1:4" x14ac:dyDescent="0.25">
      <c r="B12" t="s">
        <v>198</v>
      </c>
      <c r="C12" t="s">
        <v>202</v>
      </c>
      <c r="D12" s="53">
        <v>0.30780169478334291</v>
      </c>
    </row>
    <row r="13" spans="1:4" x14ac:dyDescent="0.25">
      <c r="B13" t="s">
        <v>217</v>
      </c>
      <c r="C13" t="s">
        <v>218</v>
      </c>
      <c r="D13" s="53">
        <v>0.74018277158435497</v>
      </c>
    </row>
    <row r="14" spans="1:4" x14ac:dyDescent="0.25">
      <c r="B14" t="s">
        <v>217</v>
      </c>
      <c r="C14" t="s">
        <v>219</v>
      </c>
      <c r="D14" s="53">
        <v>0.761290322580645</v>
      </c>
    </row>
    <row r="15" spans="1:4" x14ac:dyDescent="0.25">
      <c r="B15" t="s">
        <v>217</v>
      </c>
      <c r="C15" t="s">
        <v>220</v>
      </c>
      <c r="D15" s="53">
        <v>0.92443572129538765</v>
      </c>
    </row>
    <row r="16" spans="1:4" x14ac:dyDescent="0.25">
      <c r="B16" t="s">
        <v>217</v>
      </c>
      <c r="C16" t="s">
        <v>221</v>
      </c>
      <c r="D16" s="53">
        <v>0.8942307692307695</v>
      </c>
    </row>
    <row r="17" spans="2:4" x14ac:dyDescent="0.25">
      <c r="B17" t="s">
        <v>203</v>
      </c>
      <c r="C17" t="s">
        <v>204</v>
      </c>
      <c r="D17" s="53">
        <v>0.23418371777538241</v>
      </c>
    </row>
    <row r="18" spans="2:4" x14ac:dyDescent="0.25">
      <c r="B18" t="s">
        <v>203</v>
      </c>
      <c r="C18" t="s">
        <v>205</v>
      </c>
      <c r="D18" s="53">
        <v>0.7269146515771101</v>
      </c>
    </row>
    <row r="19" spans="2:4" x14ac:dyDescent="0.25">
      <c r="B19" t="s">
        <v>203</v>
      </c>
      <c r="C19" t="s">
        <v>206</v>
      </c>
      <c r="D19" s="53">
        <v>0.26190847059107819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
  <sheetViews>
    <sheetView workbookViewId="0"/>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51"/>
  <sheetViews>
    <sheetView zoomScale="80" zoomScaleNormal="80" workbookViewId="0">
      <selection activeCell="A2" sqref="A2"/>
    </sheetView>
  </sheetViews>
  <sheetFormatPr defaultRowHeight="15" x14ac:dyDescent="0.25"/>
  <cols>
    <col min="1" max="1" width="19.5703125" customWidth="1"/>
    <col min="2" max="2" width="26.42578125" customWidth="1"/>
    <col min="3" max="3" width="15" customWidth="1"/>
    <col min="4" max="4" width="10.28515625" customWidth="1"/>
    <col min="5" max="5" width="15" customWidth="1"/>
  </cols>
  <sheetData>
    <row r="1" spans="1:9" x14ac:dyDescent="0.25">
      <c r="A1" s="100" t="s">
        <v>222</v>
      </c>
      <c r="B1" s="101"/>
      <c r="C1" s="101"/>
      <c r="D1" s="101"/>
      <c r="E1" s="101"/>
      <c r="F1" s="101"/>
      <c r="G1" s="101"/>
      <c r="H1" s="101"/>
      <c r="I1" s="101"/>
    </row>
    <row r="2" spans="1:9" ht="44.25" customHeight="1" x14ac:dyDescent="0.25">
      <c r="A2" s="2" t="s">
        <v>223</v>
      </c>
      <c r="B2" s="2" t="s">
        <v>224</v>
      </c>
      <c r="C2" s="46" t="s">
        <v>225</v>
      </c>
      <c r="D2" s="46" t="s">
        <v>226</v>
      </c>
      <c r="E2" s="46" t="s">
        <v>157</v>
      </c>
      <c r="I2" t="s">
        <v>160</v>
      </c>
    </row>
    <row r="3" spans="1:9" x14ac:dyDescent="0.25">
      <c r="A3" s="63" t="s">
        <v>186</v>
      </c>
      <c r="B3" s="63"/>
      <c r="C3" s="63"/>
      <c r="D3" s="63"/>
      <c r="E3" s="67">
        <f>SUM(C4:C10)/E43</f>
        <v>0.34719120903556966</v>
      </c>
    </row>
    <row r="4" spans="1:9" x14ac:dyDescent="0.25">
      <c r="A4" s="40" t="s">
        <v>186</v>
      </c>
      <c r="B4" t="s">
        <v>187</v>
      </c>
      <c r="C4">
        <f>IFERROR(INDEX(TableB39!$E$154:$K$159,MATCH('Summary_Com Appliances'!$A4,TableB39!$B$154:$B$159,0),MATCH('Summary_Com Appliances'!$B4,TableB39!$E$5:$K$5,0)),"")</f>
        <v>7215</v>
      </c>
      <c r="D4" s="64">
        <f t="shared" ref="D4:D42" si="0">IFERROR(C4/$D$43,"")</f>
        <v>6.0808589898104524E-2</v>
      </c>
      <c r="I4" t="str">
        <f>About!$B$14</f>
        <v>https://www.eia.gov/consumption/commercial/data/2012/#b38-b46</v>
      </c>
    </row>
    <row r="5" spans="1:9" x14ac:dyDescent="0.25">
      <c r="A5" s="62" t="s">
        <v>186</v>
      </c>
      <c r="B5" t="s">
        <v>188</v>
      </c>
      <c r="C5">
        <f>IFERROR(INDEX(TableB39!$E$154:$K$159,MATCH('Summary_Com Appliances'!$A5,TableB39!$B$154:$B$159,0),MATCH('Summary_Com Appliances'!$B5,TableB39!$E$5:$K$5,0)),"")</f>
        <v>2270</v>
      </c>
      <c r="D5" s="64">
        <f t="shared" si="0"/>
        <v>1.9131739302660745E-2</v>
      </c>
      <c r="I5" t="str">
        <f>About!$B$14</f>
        <v>https://www.eia.gov/consumption/commercial/data/2012/#b38-b46</v>
      </c>
    </row>
    <row r="6" spans="1:9" x14ac:dyDescent="0.25">
      <c r="A6" s="40" t="s">
        <v>186</v>
      </c>
      <c r="B6" t="s">
        <v>189</v>
      </c>
      <c r="C6">
        <f>IFERROR(INDEX(TableB39!$E$154:$K$159,MATCH('Summary_Com Appliances'!$A6,TableB39!$B$154:$B$159,0),MATCH('Summary_Com Appliances'!$B6,TableB39!$E$5:$K$5,0)),"")</f>
        <v>6035</v>
      </c>
      <c r="D6" s="64">
        <f t="shared" si="0"/>
        <v>5.0863456692316122E-2</v>
      </c>
      <c r="I6" t="str">
        <f>About!$B$14</f>
        <v>https://www.eia.gov/consumption/commercial/data/2012/#b38-b46</v>
      </c>
    </row>
    <row r="7" spans="1:9" x14ac:dyDescent="0.25">
      <c r="A7" s="40" t="s">
        <v>186</v>
      </c>
      <c r="B7" t="s">
        <v>190</v>
      </c>
      <c r="C7" t="str">
        <f>IFERROR(INDEX(TableB39!$E$154:$K$159,MATCH('Summary_Com Appliances'!$A7,TableB39!$B$154:$B$159,0),MATCH('Summary_Com Appliances'!$B7,TableB39!$E$5:$K$5,0)),"")</f>
        <v>Q</v>
      </c>
      <c r="D7" s="64" t="str">
        <f t="shared" si="0"/>
        <v/>
      </c>
      <c r="I7" t="str">
        <f>About!$B$14</f>
        <v>https://www.eia.gov/consumption/commercial/data/2012/#b38-b46</v>
      </c>
    </row>
    <row r="8" spans="1:9" x14ac:dyDescent="0.25">
      <c r="A8" s="62" t="s">
        <v>186</v>
      </c>
      <c r="B8" t="s">
        <v>191</v>
      </c>
      <c r="C8">
        <f>IFERROR(INDEX(TableB39!$E$154:$K$159,MATCH('Summary_Com Appliances'!$A8,TableB39!$B$154:$B$159,0),MATCH('Summary_Com Appliances'!$B8,TableB39!$E$5:$K$5,0)),"")</f>
        <v>2982</v>
      </c>
      <c r="D8" s="64">
        <f t="shared" si="0"/>
        <v>2.5132531542085612E-2</v>
      </c>
      <c r="I8" t="str">
        <f>About!$B$14</f>
        <v>https://www.eia.gov/consumption/commercial/data/2012/#b38-b46</v>
      </c>
    </row>
    <row r="9" spans="1:9" x14ac:dyDescent="0.25">
      <c r="A9" s="40" t="s">
        <v>186</v>
      </c>
      <c r="B9" t="s">
        <v>192</v>
      </c>
      <c r="C9">
        <f>IFERROR(INDEX(TableB39!$E$154:$K$159,MATCH('Summary_Com Appliances'!$A9,TableB39!$B$154:$B$159,0),MATCH('Summary_Com Appliances'!$B9,TableB39!$E$5:$K$5,0)),"")</f>
        <v>18523</v>
      </c>
      <c r="D9" s="64">
        <f t="shared" si="0"/>
        <v>0.15611330709391408</v>
      </c>
      <c r="I9" t="str">
        <f>About!$B$14</f>
        <v>https://www.eia.gov/consumption/commercial/data/2012/#b38-b46</v>
      </c>
    </row>
    <row r="10" spans="1:9" x14ac:dyDescent="0.25">
      <c r="A10" s="40" t="s">
        <v>186</v>
      </c>
      <c r="B10" t="s">
        <v>69</v>
      </c>
      <c r="C10">
        <f>IFERROR(INDEX(TableB39!$E$154:$K$159,MATCH('Summary_Com Appliances'!$A10,TableB39!$B$154:$B$159,0),MATCH('Summary_Com Appliances'!$B10,TableB39!$E$5:$K$5,0)),"")</f>
        <v>447</v>
      </c>
      <c r="D10" s="64">
        <f t="shared" si="0"/>
        <v>3.7673513076164548E-3</v>
      </c>
      <c r="I10" t="str">
        <f>About!$B$14</f>
        <v>https://www.eia.gov/consumption/commercial/data/2012/#b38-b46</v>
      </c>
    </row>
    <row r="11" spans="1:9" x14ac:dyDescent="0.25">
      <c r="A11" s="63" t="s">
        <v>193</v>
      </c>
      <c r="B11" s="65"/>
      <c r="C11" s="65" t="str">
        <f>IFERROR(INDEX(TableB39!$E$154:$K$159,MATCH('Summary_Com Appliances'!$A11,TableB39!$B$154:$B$159,0),MATCH('Summary_Com Appliances'!$B11,TableB39!$E$5:$K$5,0)),"")</f>
        <v/>
      </c>
      <c r="D11" s="65" t="str">
        <f t="shared" si="0"/>
        <v/>
      </c>
      <c r="E11" s="67">
        <f>SUM(C12:C18)/E43</f>
        <v>0.62252036060743632</v>
      </c>
      <c r="I11" t="str">
        <f>About!$B$14</f>
        <v>https://www.eia.gov/consumption/commercial/data/2012/#b38-b46</v>
      </c>
    </row>
    <row r="12" spans="1:9" x14ac:dyDescent="0.25">
      <c r="A12" s="40" t="s">
        <v>193</v>
      </c>
      <c r="B12" t="s">
        <v>187</v>
      </c>
      <c r="C12">
        <f>IFERROR(INDEX(TableB39!$E$154:$K$159,MATCH('Summary_Com Appliances'!$A12,TableB39!$B$154:$B$159,0),MATCH('Summary_Com Appliances'!$B12,TableB39!$E$5:$K$5,0)),"")</f>
        <v>3792</v>
      </c>
      <c r="D12" s="64">
        <f t="shared" si="0"/>
        <v>3.1959275522330195E-2</v>
      </c>
      <c r="I12" t="str">
        <f>About!$B$14</f>
        <v>https://www.eia.gov/consumption/commercial/data/2012/#b38-b46</v>
      </c>
    </row>
    <row r="13" spans="1:9" x14ac:dyDescent="0.25">
      <c r="A13" s="40" t="s">
        <v>193</v>
      </c>
      <c r="B13" t="s">
        <v>188</v>
      </c>
      <c r="C13">
        <f>IFERROR(INDEX(TableB39!$E$154:$K$159,MATCH('Summary_Com Appliances'!$A13,TableB39!$B$154:$B$159,0),MATCH('Summary_Com Appliances'!$B13,TableB39!$E$5:$K$5,0)),"")</f>
        <v>5778</v>
      </c>
      <c r="D13" s="64">
        <f t="shared" si="0"/>
        <v>4.8697440392411355E-2</v>
      </c>
      <c r="I13" t="str">
        <f>About!$B$14</f>
        <v>https://www.eia.gov/consumption/commercial/data/2012/#b38-b46</v>
      </c>
    </row>
    <row r="14" spans="1:9" x14ac:dyDescent="0.25">
      <c r="A14" s="40" t="s">
        <v>193</v>
      </c>
      <c r="B14" t="s">
        <v>189</v>
      </c>
      <c r="C14">
        <f>IFERROR(INDEX(TableB39!$E$154:$K$159,MATCH('Summary_Com Appliances'!$A14,TableB39!$B$154:$B$159,0),MATCH('Summary_Com Appliances'!$B14,TableB39!$E$5:$K$5,0)),"")</f>
        <v>11482</v>
      </c>
      <c r="D14" s="64">
        <f t="shared" si="0"/>
        <v>9.6771202939713946E-2</v>
      </c>
      <c r="I14" t="str">
        <f>About!$B$14</f>
        <v>https://www.eia.gov/consumption/commercial/data/2012/#b38-b46</v>
      </c>
    </row>
    <row r="15" spans="1:9" x14ac:dyDescent="0.25">
      <c r="A15" s="40" t="s">
        <v>193</v>
      </c>
      <c r="B15" t="s">
        <v>190</v>
      </c>
      <c r="C15" t="str">
        <f>IFERROR(INDEX(TableB39!$E$154:$K$159,MATCH('Summary_Com Appliances'!$A15,TableB39!$B$154:$B$159,0),MATCH('Summary_Com Appliances'!$B15,TableB39!$E$5:$K$5,0)),"")</f>
        <v>Q</v>
      </c>
      <c r="D15" s="64" t="str">
        <f t="shared" si="0"/>
        <v/>
      </c>
      <c r="I15" t="str">
        <f>About!$B$14</f>
        <v>https://www.eia.gov/consumption/commercial/data/2012/#b38-b46</v>
      </c>
    </row>
    <row r="16" spans="1:9" x14ac:dyDescent="0.25">
      <c r="A16" s="40" t="s">
        <v>193</v>
      </c>
      <c r="B16" t="s">
        <v>191</v>
      </c>
      <c r="C16">
        <f>IFERROR(INDEX(TableB39!$E$154:$K$159,MATCH('Summary_Com Appliances'!$A16,TableB39!$B$154:$B$159,0),MATCH('Summary_Com Appliances'!$B16,TableB39!$E$5:$K$5,0)),"")</f>
        <v>17437</v>
      </c>
      <c r="D16" s="64">
        <f t="shared" si="0"/>
        <v>0.14696041331299356</v>
      </c>
      <c r="I16" t="str">
        <f>About!$B$14</f>
        <v>https://www.eia.gov/consumption/commercial/data/2012/#b38-b46</v>
      </c>
    </row>
    <row r="17" spans="1:9" x14ac:dyDescent="0.25">
      <c r="A17" s="40" t="s">
        <v>193</v>
      </c>
      <c r="B17" t="s">
        <v>192</v>
      </c>
      <c r="C17">
        <f>IFERROR(INDEX(TableB39!$E$154:$K$159,MATCH('Summary_Com Appliances'!$A17,TableB39!$B$154:$B$159,0),MATCH('Summary_Com Appliances'!$B17,TableB39!$E$5:$K$5,0)),"")</f>
        <v>27826</v>
      </c>
      <c r="D17" s="64">
        <f t="shared" si="0"/>
        <v>0.23451972591887132</v>
      </c>
      <c r="I17" t="str">
        <f>About!$B$14</f>
        <v>https://www.eia.gov/consumption/commercial/data/2012/#b38-b46</v>
      </c>
    </row>
    <row r="18" spans="1:9" x14ac:dyDescent="0.25">
      <c r="A18" s="40" t="s">
        <v>193</v>
      </c>
      <c r="B18" t="s">
        <v>69</v>
      </c>
      <c r="C18">
        <f>IFERROR(INDEX(TableB39!$E$154:$K$159,MATCH('Summary_Com Appliances'!$A18,TableB39!$B$154:$B$159,0),MATCH('Summary_Com Appliances'!$B18,TableB39!$E$5:$K$5,0)),"")</f>
        <v>873</v>
      </c>
      <c r="D18" s="64">
        <f t="shared" si="0"/>
        <v>7.3577129564858278E-3</v>
      </c>
      <c r="I18" t="str">
        <f>About!$B$14</f>
        <v>https://www.eia.gov/consumption/commercial/data/2012/#b38-b46</v>
      </c>
    </row>
    <row r="19" spans="1:9" x14ac:dyDescent="0.25">
      <c r="A19" s="63" t="s">
        <v>194</v>
      </c>
      <c r="B19" s="65"/>
      <c r="C19" s="65" t="str">
        <f>IFERROR(INDEX(TableB39!$E$154:$K$159,MATCH('Summary_Com Appliances'!$A19,TableB39!$B$154:$B$159,0),MATCH('Summary_Com Appliances'!$B19,TableB39!$E$5:$K$5,0)),"")</f>
        <v/>
      </c>
      <c r="D19" s="65" t="str">
        <f t="shared" si="0"/>
        <v/>
      </c>
      <c r="E19" s="67">
        <f>SUM(C20:C26)/E43</f>
        <v>3.028843035699395E-2</v>
      </c>
      <c r="I19" t="str">
        <f>About!$B$14</f>
        <v>https://www.eia.gov/consumption/commercial/data/2012/#b38-b46</v>
      </c>
    </row>
    <row r="20" spans="1:9" x14ac:dyDescent="0.25">
      <c r="A20" s="40" t="s">
        <v>194</v>
      </c>
      <c r="B20" t="s">
        <v>187</v>
      </c>
      <c r="C20" t="str">
        <f>IFERROR(INDEX(TableB39!$E$154:$K$159,MATCH('Summary_Com Appliances'!$A20,TableB39!$B$154:$B$159,0),MATCH('Summary_Com Appliances'!$B20,TableB39!$E$5:$K$5,0)),"")</f>
        <v>Q</v>
      </c>
      <c r="D20" s="64" t="str">
        <f t="shared" si="0"/>
        <v/>
      </c>
      <c r="I20" t="str">
        <f>About!$B$14</f>
        <v>https://www.eia.gov/consumption/commercial/data/2012/#b38-b46</v>
      </c>
    </row>
    <row r="21" spans="1:9" x14ac:dyDescent="0.25">
      <c r="A21" s="40" t="s">
        <v>194</v>
      </c>
      <c r="B21" t="s">
        <v>188</v>
      </c>
      <c r="C21" t="str">
        <f>IFERROR(INDEX(TableB39!$E$154:$K$159,MATCH('Summary_Com Appliances'!$A21,TableB39!$B$154:$B$159,0),MATCH('Summary_Com Appliances'!$B21,TableB39!$E$5:$K$5,0)),"")</f>
        <v>Q</v>
      </c>
      <c r="D21" s="64" t="str">
        <f t="shared" si="0"/>
        <v/>
      </c>
      <c r="I21" t="str">
        <f>About!$B$14</f>
        <v>https://www.eia.gov/consumption/commercial/data/2012/#b38-b46</v>
      </c>
    </row>
    <row r="22" spans="1:9" x14ac:dyDescent="0.25">
      <c r="A22" s="40" t="s">
        <v>194</v>
      </c>
      <c r="B22" t="s">
        <v>189</v>
      </c>
      <c r="C22">
        <f>IFERROR(INDEX(TableB39!$E$154:$K$159,MATCH('Summary_Com Appliances'!$A22,TableB39!$B$154:$B$159,0),MATCH('Summary_Com Appliances'!$B22,TableB39!$E$5:$K$5,0)),"")</f>
        <v>1008</v>
      </c>
      <c r="D22" s="64">
        <f t="shared" si="0"/>
        <v>8.4955036198599253E-3</v>
      </c>
      <c r="I22" t="str">
        <f>About!$B$14</f>
        <v>https://www.eia.gov/consumption/commercial/data/2012/#b38-b46</v>
      </c>
    </row>
    <row r="23" spans="1:9" x14ac:dyDescent="0.25">
      <c r="A23" s="40" t="s">
        <v>194</v>
      </c>
      <c r="B23" t="s">
        <v>190</v>
      </c>
      <c r="C23" t="str">
        <f>IFERROR(INDEX(TableB39!$E$154:$K$159,MATCH('Summary_Com Appliances'!$A23,TableB39!$B$154:$B$159,0),MATCH('Summary_Com Appliances'!$B23,TableB39!$E$5:$K$5,0)),"")</f>
        <v>Q</v>
      </c>
      <c r="D23" s="64" t="str">
        <f t="shared" si="0"/>
        <v/>
      </c>
      <c r="I23" t="str">
        <f>About!$B$14</f>
        <v>https://www.eia.gov/consumption/commercial/data/2012/#b38-b46</v>
      </c>
    </row>
    <row r="24" spans="1:9" x14ac:dyDescent="0.25">
      <c r="A24" s="40" t="s">
        <v>194</v>
      </c>
      <c r="B24" t="s">
        <v>191</v>
      </c>
      <c r="C24">
        <f>IFERROR(INDEX(TableB39!$E$154:$K$159,MATCH('Summary_Com Appliances'!$A24,TableB39!$B$154:$B$159,0),MATCH('Summary_Com Appliances'!$B24,TableB39!$E$5:$K$5,0)),"")</f>
        <v>1504</v>
      </c>
      <c r="D24" s="64">
        <f t="shared" si="0"/>
        <v>1.2675830797886237E-2</v>
      </c>
      <c r="I24" t="str">
        <f>About!$B$14</f>
        <v>https://www.eia.gov/consumption/commercial/data/2012/#b38-b46</v>
      </c>
    </row>
    <row r="25" spans="1:9" x14ac:dyDescent="0.25">
      <c r="A25" s="40" t="s">
        <v>194</v>
      </c>
      <c r="B25" t="s">
        <v>192</v>
      </c>
      <c r="C25">
        <f>IFERROR(INDEX(TableB39!$E$154:$K$159,MATCH('Summary_Com Appliances'!$A25,TableB39!$B$154:$B$159,0),MATCH('Summary_Com Appliances'!$B25,TableB39!$E$5:$K$5,0)),"")</f>
        <v>757</v>
      </c>
      <c r="D25" s="64">
        <f t="shared" si="0"/>
        <v>6.3800557938829003E-3</v>
      </c>
      <c r="I25" t="str">
        <f>About!$B$14</f>
        <v>https://www.eia.gov/consumption/commercial/data/2012/#b38-b46</v>
      </c>
    </row>
    <row r="26" spans="1:9" x14ac:dyDescent="0.25">
      <c r="A26" s="40" t="s">
        <v>194</v>
      </c>
      <c r="B26" t="s">
        <v>69</v>
      </c>
      <c r="C26" t="str">
        <f>IFERROR(INDEX(TableB39!$E$154:$K$159,MATCH('Summary_Com Appliances'!$A26,TableB39!$B$154:$B$159,0),MATCH('Summary_Com Appliances'!$B26,TableB39!$E$5:$K$5,0)),"")</f>
        <v>Q</v>
      </c>
      <c r="D26" s="64" t="str">
        <f t="shared" si="0"/>
        <v/>
      </c>
      <c r="I26" t="str">
        <f>About!$B$14</f>
        <v>https://www.eia.gov/consumption/commercial/data/2012/#b38-b46</v>
      </c>
    </row>
    <row r="27" spans="1:9" x14ac:dyDescent="0.25">
      <c r="A27" s="63" t="s">
        <v>195</v>
      </c>
      <c r="B27" s="65"/>
      <c r="C27" s="65" t="str">
        <f>IFERROR(INDEX(TableB39!$E$154:$K$159,MATCH('Summary_Com Appliances'!$A27,TableB39!$B$154:$B$159,0),MATCH('Summary_Com Appliances'!$B27,TableB39!$E$5:$K$5,0)),"")</f>
        <v/>
      </c>
      <c r="D27" s="65" t="str">
        <f t="shared" si="0"/>
        <v/>
      </c>
      <c r="I27" t="str">
        <f>About!$B$14</f>
        <v>https://www.eia.gov/consumption/commercial/data/2012/#b38-b46</v>
      </c>
    </row>
    <row r="28" spans="1:9" x14ac:dyDescent="0.25">
      <c r="A28" s="40" t="s">
        <v>195</v>
      </c>
      <c r="B28" t="s">
        <v>187</v>
      </c>
      <c r="C28">
        <f>IFERROR(INDEX(TableB39!$E$154:$K$159,MATCH('Summary_Com Appliances'!$A28,TableB39!$B$154:$B$159,0),MATCH('Summary_Com Appliances'!$B28,TableB39!$E$5:$K$5,0)),"")</f>
        <v>464</v>
      </c>
      <c r="D28" s="64">
        <f t="shared" si="0"/>
        <v>3.9106286504117117E-3</v>
      </c>
      <c r="I28" t="str">
        <f>About!$B$14</f>
        <v>https://www.eia.gov/consumption/commercial/data/2012/#b38-b46</v>
      </c>
    </row>
    <row r="29" spans="1:9" x14ac:dyDescent="0.25">
      <c r="A29" s="40" t="s">
        <v>195</v>
      </c>
      <c r="B29" t="s">
        <v>188</v>
      </c>
      <c r="C29" t="str">
        <f>IFERROR(INDEX(TableB39!$E$154:$K$159,MATCH('Summary_Com Appliances'!$A29,TableB39!$B$154:$B$159,0),MATCH('Summary_Com Appliances'!$B29,TableB39!$E$5:$K$5,0)),"")</f>
        <v>Q</v>
      </c>
      <c r="D29" s="64" t="str">
        <f t="shared" si="0"/>
        <v/>
      </c>
      <c r="I29" t="str">
        <f>About!$B$14</f>
        <v>https://www.eia.gov/consumption/commercial/data/2012/#b38-b46</v>
      </c>
    </row>
    <row r="30" spans="1:9" x14ac:dyDescent="0.25">
      <c r="A30" s="40" t="s">
        <v>195</v>
      </c>
      <c r="B30" t="s">
        <v>189</v>
      </c>
      <c r="C30">
        <f>IFERROR(INDEX(TableB39!$E$154:$K$159,MATCH('Summary_Com Appliances'!$A30,TableB39!$B$154:$B$159,0),MATCH('Summary_Com Appliances'!$B30,TableB39!$E$5:$K$5,0)),"")</f>
        <v>1271</v>
      </c>
      <c r="D30" s="64">
        <f t="shared" si="0"/>
        <v>1.0712088393692426E-2</v>
      </c>
      <c r="I30" t="str">
        <f>About!$B$14</f>
        <v>https://www.eia.gov/consumption/commercial/data/2012/#b38-b46</v>
      </c>
    </row>
    <row r="31" spans="1:9" x14ac:dyDescent="0.25">
      <c r="A31" s="40" t="s">
        <v>195</v>
      </c>
      <c r="B31" t="s">
        <v>190</v>
      </c>
      <c r="C31">
        <f>IFERROR(INDEX(TableB39!$E$154:$K$159,MATCH('Summary_Com Appliances'!$A31,TableB39!$B$154:$B$159,0),MATCH('Summary_Com Appliances'!$B31,TableB39!$E$5:$K$5,0)),"")</f>
        <v>5797</v>
      </c>
      <c r="D31" s="64">
        <f t="shared" si="0"/>
        <v>4.8857573893182529E-2</v>
      </c>
      <c r="I31" t="str">
        <f>About!$B$14</f>
        <v>https://www.eia.gov/consumption/commercial/data/2012/#b38-b46</v>
      </c>
    </row>
    <row r="32" spans="1:9" x14ac:dyDescent="0.25">
      <c r="A32" s="40" t="s">
        <v>195</v>
      </c>
      <c r="B32" t="s">
        <v>191</v>
      </c>
      <c r="C32" t="str">
        <f>IFERROR(INDEX(TableB39!$E$154:$K$159,MATCH('Summary_Com Appliances'!$A32,TableB39!$B$154:$B$159,0),MATCH('Summary_Com Appliances'!$B32,TableB39!$E$5:$K$5,0)),"")</f>
        <v>Q</v>
      </c>
      <c r="D32" s="64" t="str">
        <f t="shared" si="0"/>
        <v/>
      </c>
      <c r="I32" t="str">
        <f>About!$B$14</f>
        <v>https://www.eia.gov/consumption/commercial/data/2012/#b38-b46</v>
      </c>
    </row>
    <row r="33" spans="1:9" x14ac:dyDescent="0.25">
      <c r="A33" s="40" t="s">
        <v>195</v>
      </c>
      <c r="B33" t="s">
        <v>192</v>
      </c>
      <c r="C33">
        <f>IFERROR(INDEX(TableB39!$E$154:$K$159,MATCH('Summary_Com Appliances'!$A33,TableB39!$B$154:$B$159,0),MATCH('Summary_Com Appliances'!$B33,TableB39!$E$5:$K$5,0)),"")</f>
        <v>650</v>
      </c>
      <c r="D33" s="64">
        <f t="shared" si="0"/>
        <v>5.4782513421715792E-3</v>
      </c>
      <c r="I33" t="str">
        <f>About!$B$14</f>
        <v>https://www.eia.gov/consumption/commercial/data/2012/#b38-b46</v>
      </c>
    </row>
    <row r="34" spans="1:9" x14ac:dyDescent="0.25">
      <c r="A34" s="40" t="s">
        <v>195</v>
      </c>
      <c r="B34" t="s">
        <v>69</v>
      </c>
      <c r="C34" t="str">
        <f>IFERROR(INDEX(TableB39!$E$154:$K$159,MATCH('Summary_Com Appliances'!$A34,TableB39!$B$154:$B$159,0),MATCH('Summary_Com Appliances'!$B34,TableB39!$E$5:$K$5,0)),"")</f>
        <v>Q</v>
      </c>
      <c r="D34" s="64" t="str">
        <f t="shared" si="0"/>
        <v/>
      </c>
      <c r="I34" t="str">
        <f>About!$B$14</f>
        <v>https://www.eia.gov/consumption/commercial/data/2012/#b38-b46</v>
      </c>
    </row>
    <row r="35" spans="1:9" x14ac:dyDescent="0.25">
      <c r="A35" s="63" t="s">
        <v>169</v>
      </c>
      <c r="B35" s="65"/>
      <c r="C35" s="65" t="str">
        <f>IFERROR(INDEX(TableB39!$E$154:$K$159,MATCH('Summary_Com Appliances'!$A35,TableB39!$B$154:$B$159,0),MATCH('Summary_Com Appliances'!$B35,TableB39!$E$5:$K$5,0)),"")</f>
        <v/>
      </c>
      <c r="D35" s="65" t="str">
        <f t="shared" si="0"/>
        <v/>
      </c>
      <c r="I35" t="str">
        <f>About!$B$14</f>
        <v>https://www.eia.gov/consumption/commercial/data/2012/#b38-b46</v>
      </c>
    </row>
    <row r="36" spans="1:9" x14ac:dyDescent="0.25">
      <c r="A36" s="40" t="s">
        <v>169</v>
      </c>
      <c r="B36" t="s">
        <v>187</v>
      </c>
      <c r="C36" t="str">
        <f>IFERROR(INDEX(TableB39!$E$154:$K$159,MATCH('Summary_Com Appliances'!$A36,TableB39!$B$154:$B$159,0),MATCH('Summary_Com Appliances'!$B36,TableB39!$E$5:$K$5,0)),"")</f>
        <v>Q</v>
      </c>
      <c r="D36" s="64" t="str">
        <f t="shared" si="0"/>
        <v/>
      </c>
      <c r="I36" t="str">
        <f>About!$B$14</f>
        <v>https://www.eia.gov/consumption/commercial/data/2012/#b38-b46</v>
      </c>
    </row>
    <row r="37" spans="1:9" x14ac:dyDescent="0.25">
      <c r="A37" s="40" t="s">
        <v>169</v>
      </c>
      <c r="B37" t="s">
        <v>188</v>
      </c>
      <c r="C37">
        <f>IFERROR(INDEX(TableB39!$E$154:$K$159,MATCH('Summary_Com Appliances'!$A37,TableB39!$B$154:$B$159,0),MATCH('Summary_Com Appliances'!$B37,TableB39!$E$5:$K$5,0)),"")</f>
        <v>405</v>
      </c>
      <c r="D37" s="64">
        <f t="shared" si="0"/>
        <v>3.4133719901222916E-3</v>
      </c>
      <c r="I37" t="str">
        <f>About!$B$14</f>
        <v>https://www.eia.gov/consumption/commercial/data/2012/#b38-b46</v>
      </c>
    </row>
    <row r="38" spans="1:9" x14ac:dyDescent="0.25">
      <c r="A38" s="40" t="s">
        <v>169</v>
      </c>
      <c r="B38" t="s">
        <v>189</v>
      </c>
      <c r="C38">
        <f>IFERROR(INDEX(TableB39!$E$154:$K$159,MATCH('Summary_Com Appliances'!$A38,TableB39!$B$154:$B$159,0),MATCH('Summary_Com Appliances'!$B38,TableB39!$E$5:$K$5,0)),"")</f>
        <v>666</v>
      </c>
      <c r="D38" s="64">
        <f t="shared" si="0"/>
        <v>5.6131006059788793E-3</v>
      </c>
      <c r="I38" t="str">
        <f>About!$B$14</f>
        <v>https://www.eia.gov/consumption/commercial/data/2012/#b38-b46</v>
      </c>
    </row>
    <row r="39" spans="1:9" x14ac:dyDescent="0.25">
      <c r="A39" s="40" t="s">
        <v>169</v>
      </c>
      <c r="B39" t="s">
        <v>190</v>
      </c>
      <c r="C39" t="str">
        <f>IFERROR(INDEX(TableB39!$E$154:$K$159,MATCH('Summary_Com Appliances'!$A39,TableB39!$B$154:$B$159,0),MATCH('Summary_Com Appliances'!$B39,TableB39!$E$5:$K$5,0)),"")</f>
        <v>N</v>
      </c>
      <c r="D39" s="64" t="str">
        <f t="shared" si="0"/>
        <v/>
      </c>
      <c r="I39" t="str">
        <f>About!$B$14</f>
        <v>https://www.eia.gov/consumption/commercial/data/2012/#b38-b46</v>
      </c>
    </row>
    <row r="40" spans="1:9" x14ac:dyDescent="0.25">
      <c r="A40" s="40" t="s">
        <v>169</v>
      </c>
      <c r="B40" t="s">
        <v>191</v>
      </c>
      <c r="C40">
        <f>IFERROR(INDEX(TableB39!$E$154:$K$159,MATCH('Summary_Com Appliances'!$A40,TableB39!$B$154:$B$159,0),MATCH('Summary_Com Appliances'!$B40,TableB39!$E$5:$K$5,0)),"")</f>
        <v>276</v>
      </c>
      <c r="D40" s="64">
        <f t="shared" si="0"/>
        <v>2.3261498006759318E-3</v>
      </c>
      <c r="I40" t="str">
        <f>About!$B$14</f>
        <v>https://www.eia.gov/consumption/commercial/data/2012/#b38-b46</v>
      </c>
    </row>
    <row r="41" spans="1:9" x14ac:dyDescent="0.25">
      <c r="A41" s="40" t="s">
        <v>169</v>
      </c>
      <c r="B41" t="s">
        <v>192</v>
      </c>
      <c r="C41">
        <f>IFERROR(INDEX(TableB39!$E$154:$K$159,MATCH('Summary_Com Appliances'!$A41,TableB39!$B$154:$B$159,0),MATCH('Summary_Com Appliances'!$B41,TableB39!$E$5:$K$5,0)),"")</f>
        <v>1193</v>
      </c>
      <c r="D41" s="64">
        <f t="shared" si="0"/>
        <v>1.0054698232631836E-2</v>
      </c>
      <c r="I41" t="str">
        <f>About!$B$14</f>
        <v>https://www.eia.gov/consumption/commercial/data/2012/#b38-b46</v>
      </c>
    </row>
    <row r="42" spans="1:9" x14ac:dyDescent="0.25">
      <c r="A42" s="40" t="s">
        <v>169</v>
      </c>
      <c r="B42" t="s">
        <v>69</v>
      </c>
      <c r="C42" t="str">
        <f>IFERROR(INDEX(TableB39!$E$154:$K$159,MATCH('Summary_Com Appliances'!$A42,TableB39!$B$154:$B$159,0),MATCH('Summary_Com Appliances'!$B42,TableB39!$E$5:$K$5,0)),"")</f>
        <v>Q</v>
      </c>
      <c r="D42" s="66" t="str">
        <f t="shared" si="0"/>
        <v/>
      </c>
      <c r="I42" t="str">
        <f>About!$B$14</f>
        <v>https://www.eia.gov/consumption/commercial/data/2012/#b38-b46</v>
      </c>
    </row>
    <row r="43" spans="1:9" x14ac:dyDescent="0.25">
      <c r="A43" s="40"/>
      <c r="D43" s="45">
        <f>SUM(C4:C42)</f>
        <v>118651</v>
      </c>
      <c r="E43" s="2">
        <f>SUM(C3:C26)</f>
        <v>107929</v>
      </c>
      <c r="I43" t="str">
        <f>About!$B$14</f>
        <v>https://www.eia.gov/consumption/commercial/data/2012/#b38-b46</v>
      </c>
    </row>
    <row r="44" spans="1:9" x14ac:dyDescent="0.25">
      <c r="A44" s="40"/>
    </row>
    <row r="45" spans="1:9" x14ac:dyDescent="0.25">
      <c r="A45" s="63" t="s">
        <v>223</v>
      </c>
      <c r="B45" s="63" t="s">
        <v>196</v>
      </c>
      <c r="C45" s="63" t="s">
        <v>225</v>
      </c>
      <c r="D45" s="63"/>
    </row>
    <row r="46" spans="1:9" x14ac:dyDescent="0.25">
      <c r="A46" s="2" t="s">
        <v>186</v>
      </c>
      <c r="B46" s="2" t="s">
        <v>197</v>
      </c>
      <c r="C46" s="2">
        <f>IFERROR(INDEX(TableB42!$H$147:$H$151,MATCH('Summary_Com Appliances'!$A46,TableB42!$A$147:$A$151,0),MATCH('Summary_Com Appliances'!$B46,TableB42!$H$4,0)),"")</f>
        <v>42755</v>
      </c>
      <c r="D46" s="56">
        <f>C46/$D$51</f>
        <v>0.47339866024469912</v>
      </c>
      <c r="E46" s="6">
        <f>C46/$E$51</f>
        <v>0.50784544299136469</v>
      </c>
      <c r="I46" t="str">
        <f>About!$B$14</f>
        <v>https://www.eia.gov/consumption/commercial/data/2012/#b38-b46</v>
      </c>
    </row>
    <row r="47" spans="1:9" x14ac:dyDescent="0.25">
      <c r="A47" s="2" t="s">
        <v>193</v>
      </c>
      <c r="B47" s="2" t="s">
        <v>197</v>
      </c>
      <c r="C47" s="2">
        <f>IFERROR(INDEX(TableB42!$H$147:$H$151,MATCH('Summary_Com Appliances'!$A47,TableB42!$A$147:$A$151,0),MATCH('Summary_Com Appliances'!$B47,TableB42!$H$4,0)),"")</f>
        <v>39523</v>
      </c>
      <c r="D47" s="56">
        <f>C47/$D$51</f>
        <v>0.43761279964568456</v>
      </c>
      <c r="E47" s="6">
        <f>C47/$E$51</f>
        <v>0.46945562959531528</v>
      </c>
      <c r="I47" t="str">
        <f>About!$B$14</f>
        <v>https://www.eia.gov/consumption/commercial/data/2012/#b38-b46</v>
      </c>
    </row>
    <row r="48" spans="1:9" x14ac:dyDescent="0.25">
      <c r="A48" s="2" t="s">
        <v>194</v>
      </c>
      <c r="B48" s="2" t="s">
        <v>197</v>
      </c>
      <c r="C48" s="2">
        <f>IFERROR(INDEX(TableB42!$H$147:$H$151,MATCH('Summary_Com Appliances'!$A48,TableB42!$A$147:$A$151,0),MATCH('Summary_Com Appliances'!$B48,TableB42!$H$4,0)),"")</f>
        <v>1911</v>
      </c>
      <c r="D48" s="56">
        <f>C48/$D$51</f>
        <v>2.1159275867796049E-2</v>
      </c>
      <c r="E48" s="6">
        <f>C48/$E$51</f>
        <v>2.2698927413320032E-2</v>
      </c>
      <c r="I48" t="str">
        <f>About!$B$14</f>
        <v>https://www.eia.gov/consumption/commercial/data/2012/#b38-b46</v>
      </c>
    </row>
    <row r="49" spans="1:9" x14ac:dyDescent="0.25">
      <c r="A49" t="s">
        <v>195</v>
      </c>
      <c r="B49" t="s">
        <v>197</v>
      </c>
      <c r="C49">
        <f>IFERROR(INDEX(TableB42!$H$147:$H$151,MATCH('Summary_Com Appliances'!$A49,TableB42!$A$147:$A$151,0),MATCH('Summary_Com Appliances'!$B49,TableB42!$H$4,0)),"")</f>
        <v>4551</v>
      </c>
      <c r="D49" s="35">
        <f>C49/$D$51</f>
        <v>5.0390300614515861E-2</v>
      </c>
      <c r="I49" t="str">
        <f>About!$B$14</f>
        <v>https://www.eia.gov/consumption/commercial/data/2012/#b38-b46</v>
      </c>
    </row>
    <row r="50" spans="1:9" x14ac:dyDescent="0.25">
      <c r="A50" t="s">
        <v>169</v>
      </c>
      <c r="B50" t="s">
        <v>197</v>
      </c>
      <c r="C50">
        <f>IFERROR(INDEX(TableB42!$H$147:$H$151,MATCH('Summary_Com Appliances'!$A50,TableB42!$A$147:$A$151,0),MATCH('Summary_Com Appliances'!$B50,TableB42!$H$4,0)),"")</f>
        <v>1575</v>
      </c>
      <c r="D50" s="35">
        <f>C50/$D$51</f>
        <v>1.7438963627304436E-2</v>
      </c>
      <c r="I50" t="str">
        <f>About!$B$14</f>
        <v>https://www.eia.gov/consumption/commercial/data/2012/#b38-b46</v>
      </c>
    </row>
    <row r="51" spans="1:9" x14ac:dyDescent="0.25">
      <c r="C51" t="b">
        <f>SUM(C46:C50)=SUM(TableB42!H147:H151)</f>
        <v>1</v>
      </c>
      <c r="D51" s="2">
        <f>SUM(C46:C50)</f>
        <v>90315</v>
      </c>
      <c r="E51">
        <f>SUM(C46:C48)</f>
        <v>84189</v>
      </c>
    </row>
  </sheetData>
  <mergeCells count="1">
    <mergeCell ref="A1:I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41"/>
  <sheetViews>
    <sheetView zoomScale="90" zoomScaleNormal="90" workbookViewId="0">
      <selection activeCell="I4" sqref="I4"/>
    </sheetView>
  </sheetViews>
  <sheetFormatPr defaultColWidth="9.140625" defaultRowHeight="15" x14ac:dyDescent="0.25"/>
  <cols>
    <col min="1" max="1" width="35.140625" bestFit="1" customWidth="1"/>
    <col min="2" max="2" width="27.5703125" customWidth="1"/>
    <col min="3" max="3" width="42" customWidth="1"/>
    <col min="5" max="5" width="10" style="53" bestFit="1" customWidth="1"/>
    <col min="6" max="6" width="19.5703125" customWidth="1"/>
    <col min="7" max="7" width="16.28515625" customWidth="1"/>
  </cols>
  <sheetData>
    <row r="1" spans="1:9" x14ac:dyDescent="0.25">
      <c r="A1" s="103" t="s">
        <v>227</v>
      </c>
      <c r="B1" s="101"/>
      <c r="C1" s="101"/>
      <c r="D1" s="101"/>
      <c r="E1" s="102"/>
      <c r="F1" s="101"/>
      <c r="G1" s="101"/>
      <c r="H1" s="101"/>
      <c r="I1" s="101"/>
    </row>
    <row r="2" spans="1:9" x14ac:dyDescent="0.25">
      <c r="A2" s="39"/>
      <c r="B2" s="39"/>
      <c r="C2" s="39"/>
      <c r="D2" s="39"/>
      <c r="E2" s="95"/>
      <c r="F2" s="39" t="s">
        <v>228</v>
      </c>
      <c r="G2" s="39" t="s">
        <v>228</v>
      </c>
      <c r="H2" s="39"/>
      <c r="I2" s="2" t="s">
        <v>160</v>
      </c>
    </row>
    <row r="3" spans="1:9" ht="44.25" customHeight="1" x14ac:dyDescent="0.25">
      <c r="B3" s="2" t="s">
        <v>229</v>
      </c>
      <c r="C3" s="2" t="s">
        <v>230</v>
      </c>
      <c r="D3" s="2" t="s">
        <v>231</v>
      </c>
      <c r="E3" s="97">
        <v>2025</v>
      </c>
      <c r="F3" s="46" t="s">
        <v>226</v>
      </c>
      <c r="G3" s="46" t="s">
        <v>157</v>
      </c>
      <c r="H3" s="2"/>
    </row>
    <row r="4" spans="1:9" x14ac:dyDescent="0.25">
      <c r="A4" t="s">
        <v>232</v>
      </c>
      <c r="H4" s="2"/>
      <c r="I4" t="str">
        <f>About!$B$21</f>
        <v>Alternative electricity and transportation: Table 21</v>
      </c>
    </row>
    <row r="5" spans="1:9" x14ac:dyDescent="0.25">
      <c r="A5" s="94" t="s">
        <v>162</v>
      </c>
      <c r="H5" s="2"/>
      <c r="I5" t="str">
        <f>About!$B$21</f>
        <v>Alternative electricity and transportation: Table 21</v>
      </c>
    </row>
    <row r="6" spans="1:9" x14ac:dyDescent="0.25">
      <c r="A6" s="2" t="s">
        <v>164</v>
      </c>
      <c r="B6" t="s">
        <v>233</v>
      </c>
      <c r="D6" s="2" t="s">
        <v>234</v>
      </c>
      <c r="E6" s="96">
        <f>IFERROR(INDEX('AEO26 Table 21'!$E$6:$AD$92,MATCH($B6,'AEO26 Table 21'!$B$6:$B$92,0),MATCH($E$3,'AEO26 Table 21'!$E$5:$AD$5,0)),"")</f>
        <v>17.311983000000001</v>
      </c>
      <c r="F6" s="58">
        <f t="shared" ref="F6:F15" si="0">E6/$E$15</f>
        <v>0.13854098402767814</v>
      </c>
      <c r="G6" s="56">
        <f>E6/$G$15</f>
        <v>0.15713893826111072</v>
      </c>
      <c r="H6" s="2"/>
      <c r="I6" t="str">
        <f>About!$B$21</f>
        <v>Alternative electricity and transportation: Table 21</v>
      </c>
    </row>
    <row r="7" spans="1:9" x14ac:dyDescent="0.25">
      <c r="A7" s="2" t="s">
        <v>165</v>
      </c>
      <c r="B7" t="s">
        <v>235</v>
      </c>
      <c r="D7" s="2" t="s">
        <v>234</v>
      </c>
      <c r="E7" s="96">
        <f>IFERROR(INDEX('AEO26 Table 21'!$E$6:$AD$92,MATCH($B7,'AEO26 Table 21'!$B$6:$B$92,0),MATCH($E$3,'AEO26 Table 21'!$E$5:$AD$5,0)),"")</f>
        <v>27.181431</v>
      </c>
      <c r="F7" s="58">
        <f t="shared" si="0"/>
        <v>0.21752229065962203</v>
      </c>
      <c r="G7" s="56">
        <f>E7/$G$15</f>
        <v>0.24672281666159451</v>
      </c>
      <c r="H7" s="2"/>
      <c r="I7" t="str">
        <f>About!$B$21</f>
        <v>Alternative electricity and transportation: Table 21</v>
      </c>
    </row>
    <row r="8" spans="1:9" x14ac:dyDescent="0.25">
      <c r="A8" t="s">
        <v>166</v>
      </c>
      <c r="B8" t="s">
        <v>236</v>
      </c>
      <c r="D8" t="s">
        <v>234</v>
      </c>
      <c r="E8" s="96">
        <f>IFERROR(INDEX('AEO26 Table 21'!$E$6:$AD$92,MATCH($B8,'AEO26 Table 21'!$B$6:$B$92,0),MATCH($E$3,'AEO26 Table 21'!$E$5:$AD$5,0)),"")</f>
        <v>1.3534809999999999</v>
      </c>
      <c r="F8" s="6">
        <f t="shared" si="0"/>
        <v>1.0831375562393161E-2</v>
      </c>
      <c r="G8" s="35"/>
      <c r="H8" s="2"/>
      <c r="I8" t="str">
        <f>About!$B$21</f>
        <v>Alternative electricity and transportation: Table 21</v>
      </c>
    </row>
    <row r="9" spans="1:9" x14ac:dyDescent="0.25">
      <c r="A9" s="2" t="s">
        <v>167</v>
      </c>
      <c r="B9" t="s">
        <v>237</v>
      </c>
      <c r="D9" s="2" t="s">
        <v>234</v>
      </c>
      <c r="E9" s="96">
        <f>IFERROR(INDEX('AEO26 Table 21'!$E$6:$AD$92,MATCH($B9,'AEO26 Table 21'!$B$6:$B$92,0),MATCH($E$3,'AEO26 Table 21'!$E$5:$AD$5,0)),"")</f>
        <v>65.676497999999995</v>
      </c>
      <c r="F9" s="58">
        <f t="shared" si="0"/>
        <v>0.52558315592222071</v>
      </c>
      <c r="G9" s="56">
        <f>E9/$G$15</f>
        <v>0.59613824507729474</v>
      </c>
      <c r="H9" s="2"/>
      <c r="I9" t="str">
        <f>About!$B$21</f>
        <v>Alternative electricity and transportation: Table 21</v>
      </c>
    </row>
    <row r="10" spans="1:9" x14ac:dyDescent="0.25">
      <c r="A10" t="s">
        <v>168</v>
      </c>
      <c r="B10" t="s">
        <v>238</v>
      </c>
      <c r="D10" t="s">
        <v>234</v>
      </c>
      <c r="E10" s="96">
        <f>IFERROR(INDEX('AEO26 Table 21'!$E$6:$AD$92,MATCH($B10,'AEO26 Table 21'!$B$6:$B$92,0),MATCH($E$3,'AEO26 Table 21'!$E$5:$AD$5,0)),"")</f>
        <v>4.6737549999999999</v>
      </c>
      <c r="F10" s="6">
        <f t="shared" si="0"/>
        <v>3.7402221155385884E-2</v>
      </c>
      <c r="G10" s="35"/>
      <c r="H10" s="2"/>
      <c r="I10" t="str">
        <f>About!$B$21</f>
        <v>Alternative electricity and transportation: Table 21</v>
      </c>
    </row>
    <row r="11" spans="1:9" x14ac:dyDescent="0.25">
      <c r="A11" t="s">
        <v>169</v>
      </c>
      <c r="B11" t="s">
        <v>239</v>
      </c>
      <c r="D11" t="s">
        <v>234</v>
      </c>
      <c r="E11" s="96">
        <f>IFERROR(INDEX('AEO26 Table 21'!$E$6:$AD$92,MATCH($B11,'AEO26 Table 21'!$B$6:$B$92,0),MATCH($E$3,'AEO26 Table 21'!$E$5:$AD$5,0)),"")</f>
        <v>5.2395709999999998</v>
      </c>
      <c r="F11" s="6">
        <f t="shared" si="0"/>
        <v>4.193022383529868E-2</v>
      </c>
      <c r="G11" s="35"/>
      <c r="H11" s="2"/>
      <c r="I11" t="str">
        <f>About!$B$21</f>
        <v>Alternative electricity and transportation: Table 21</v>
      </c>
    </row>
    <row r="12" spans="1:9" x14ac:dyDescent="0.25">
      <c r="A12" t="s">
        <v>170</v>
      </c>
      <c r="B12" t="s">
        <v>240</v>
      </c>
      <c r="D12" t="s">
        <v>234</v>
      </c>
      <c r="E12" s="96" t="str">
        <f>IFERROR(INDEX('AEO26 Table 21'!$E$6:$AD$92,MATCH($B12,'AEO26 Table 21'!$B$6:$B$92,0),MATCH($E$3,'AEO26 Table 21'!$E$5:$AD$5,0)),"")</f>
        <v/>
      </c>
      <c r="F12" s="6" t="e">
        <f t="shared" si="0"/>
        <v>#VALUE!</v>
      </c>
      <c r="G12" s="35"/>
      <c r="H12" s="2"/>
      <c r="I12" t="str">
        <f>About!$B$21</f>
        <v>Alternative electricity and transportation: Table 21</v>
      </c>
    </row>
    <row r="13" spans="1:9" x14ac:dyDescent="0.25">
      <c r="A13" t="s">
        <v>171</v>
      </c>
      <c r="B13" t="s">
        <v>241</v>
      </c>
      <c r="D13" t="s">
        <v>234</v>
      </c>
      <c r="E13" s="96">
        <f>IFERROR(INDEX('AEO26 Table 21'!$E$6:$AD$92,MATCH($B13,'AEO26 Table 21'!$B$6:$B$92,0),MATCH($E$3,'AEO26 Table 21'!$E$5:$AD$5,0)),"")</f>
        <v>2.2090990000000001</v>
      </c>
      <c r="F13" s="6">
        <f t="shared" si="0"/>
        <v>1.767854955001745E-2</v>
      </c>
      <c r="G13" s="35"/>
      <c r="H13" s="2"/>
      <c r="I13" t="str">
        <f>About!$B$21</f>
        <v>Alternative electricity and transportation: Table 21</v>
      </c>
    </row>
    <row r="14" spans="1:9" x14ac:dyDescent="0.25">
      <c r="A14" t="s">
        <v>172</v>
      </c>
      <c r="B14" t="s">
        <v>242</v>
      </c>
      <c r="D14" t="s">
        <v>234</v>
      </c>
      <c r="E14" s="96">
        <f>IFERROR(INDEX('AEO26 Table 21'!$E$6:$AD$92,MATCH($B14,'AEO26 Table 21'!$B$6:$B$92,0),MATCH($E$3,'AEO26 Table 21'!$E$5:$AD$5,0)),"")</f>
        <v>1.313477</v>
      </c>
      <c r="F14" s="6">
        <f t="shared" si="0"/>
        <v>1.051123930041536E-2</v>
      </c>
      <c r="G14" s="35"/>
      <c r="H14" s="2"/>
      <c r="I14" t="str">
        <f>About!$B$21</f>
        <v>Alternative electricity and transportation: Table 21</v>
      </c>
    </row>
    <row r="15" spans="1:9" x14ac:dyDescent="0.25">
      <c r="A15" t="s">
        <v>243</v>
      </c>
      <c r="B15" t="s">
        <v>244</v>
      </c>
      <c r="D15" t="s">
        <v>234</v>
      </c>
      <c r="E15" s="96">
        <f>IFERROR(INDEX('AEO26 Table 21'!$E$6:$AD$92,MATCH($B15,'AEO26 Table 21'!$B$6:$B$92,0),MATCH($E$3,'AEO26 Table 21'!$E$5:$AD$5,0)),"")</f>
        <v>124.95929</v>
      </c>
      <c r="F15" s="6">
        <f t="shared" si="0"/>
        <v>1</v>
      </c>
      <c r="G15" s="57">
        <f>SUM(E6:E7,E9)</f>
        <v>110.169912</v>
      </c>
      <c r="H15" s="2"/>
      <c r="I15" t="str">
        <f>About!$B$21</f>
        <v>Alternative electricity and transportation: Table 21</v>
      </c>
    </row>
    <row r="16" spans="1:9" x14ac:dyDescent="0.25">
      <c r="A16" s="94" t="s">
        <v>245</v>
      </c>
      <c r="E16" s="96" t="str">
        <f>IFERROR(INDEX('AEO26 Table 21'!$E$6:$AD$92,MATCH($B16,'AEO26 Table 21'!$B$6:$B$92,0),MATCH($E$3,'AEO26 Table 21'!$E$5:$AD$5,0)),"")</f>
        <v/>
      </c>
      <c r="H16" s="2"/>
      <c r="I16" t="str">
        <f>About!$B$21</f>
        <v>Alternative electricity and transportation: Table 21</v>
      </c>
    </row>
    <row r="17" spans="1:9" x14ac:dyDescent="0.25">
      <c r="A17" s="2" t="s">
        <v>164</v>
      </c>
      <c r="B17" t="s">
        <v>246</v>
      </c>
      <c r="D17" s="2" t="s">
        <v>234</v>
      </c>
      <c r="E17" s="96">
        <f>IFERROR(INDEX('AEO26 Table 21'!$E$6:$AD$92,MATCH($B17,'AEO26 Table 21'!$B$6:$B$92,0),MATCH($E$3,'AEO26 Table 21'!$E$5:$AD$5,0)),"")</f>
        <v>17.311980999999999</v>
      </c>
      <c r="F17" s="58">
        <f t="shared" ref="F17:F22" si="1">E17/$E$22</f>
        <v>0.12034361727395493</v>
      </c>
      <c r="G17" s="56">
        <f>E17/$G$22</f>
        <v>0.12261684060152322</v>
      </c>
      <c r="H17" s="2"/>
      <c r="I17" t="str">
        <f>About!$B$21</f>
        <v>Alternative electricity and transportation: Table 21</v>
      </c>
    </row>
    <row r="18" spans="1:9" x14ac:dyDescent="0.25">
      <c r="A18" t="s">
        <v>166</v>
      </c>
      <c r="B18" t="s">
        <v>247</v>
      </c>
      <c r="D18" t="s">
        <v>234</v>
      </c>
      <c r="E18" s="96">
        <f>IFERROR(INDEX('AEO26 Table 21'!$E$6:$AD$92,MATCH($B18,'AEO26 Table 21'!$B$6:$B$92,0),MATCH($E$3,'AEO26 Table 21'!$E$5:$AD$5,0)),"")</f>
        <v>1.3534809999999999</v>
      </c>
      <c r="F18" s="6">
        <f t="shared" si="1"/>
        <v>9.4086748045512404E-3</v>
      </c>
      <c r="G18" s="56"/>
      <c r="H18" s="2"/>
      <c r="I18" t="str">
        <f>About!$B$21</f>
        <v>Alternative electricity and transportation: Table 21</v>
      </c>
    </row>
    <row r="19" spans="1:9" x14ac:dyDescent="0.25">
      <c r="A19" t="s">
        <v>172</v>
      </c>
      <c r="B19" t="s">
        <v>248</v>
      </c>
      <c r="D19" t="s">
        <v>234</v>
      </c>
      <c r="E19" s="96">
        <f>IFERROR(INDEX('AEO26 Table 21'!$E$6:$AD$92,MATCH($B19,'AEO26 Table 21'!$B$6:$B$92,0),MATCH($E$3,'AEO26 Table 21'!$E$5:$AD$5,0)),"")</f>
        <v>1.3134760000000001</v>
      </c>
      <c r="F19" s="6">
        <f t="shared" si="1"/>
        <v>9.1305814766389388E-3</v>
      </c>
      <c r="G19" s="56"/>
      <c r="H19" s="2"/>
      <c r="I19" t="str">
        <f>About!$B$21</f>
        <v>Alternative electricity and transportation: Table 21</v>
      </c>
    </row>
    <row r="20" spans="1:9" x14ac:dyDescent="0.25">
      <c r="A20" s="2" t="s">
        <v>174</v>
      </c>
      <c r="B20" t="s">
        <v>249</v>
      </c>
      <c r="D20" s="2" t="s">
        <v>234</v>
      </c>
      <c r="E20" s="96">
        <f>IFERROR(INDEX('AEO26 Table 21'!$E$6:$AD$92,MATCH($B20,'AEO26 Table 21'!$B$6:$B$92,0),MATCH($E$3,'AEO26 Table 21'!$E$5:$AD$5,0)),"")</f>
        <v>80.644835999999998</v>
      </c>
      <c r="F20" s="58">
        <f t="shared" si="1"/>
        <v>0.56059969559259926</v>
      </c>
      <c r="G20" s="56">
        <f>E20/$G$22</f>
        <v>0.57118910892681674</v>
      </c>
      <c r="H20" s="2"/>
      <c r="I20" t="str">
        <f>About!$B$21</f>
        <v>Alternative electricity and transportation: Table 21</v>
      </c>
    </row>
    <row r="21" spans="1:9" x14ac:dyDescent="0.25">
      <c r="A21" s="2" t="s">
        <v>175</v>
      </c>
      <c r="B21" t="s">
        <v>250</v>
      </c>
      <c r="D21" s="2" t="s">
        <v>234</v>
      </c>
      <c r="E21" s="96">
        <f>IFERROR(INDEX('AEO26 Table 21'!$E$6:$AD$92,MATCH($B21,'AEO26 Table 21'!$B$6:$B$92,0),MATCH($E$3,'AEO26 Table 21'!$E$5:$AD$5,0)),"")</f>
        <v>43.230812</v>
      </c>
      <c r="F21" s="58">
        <f t="shared" si="1"/>
        <v>0.30051744475518422</v>
      </c>
      <c r="G21" s="56">
        <f>E21/$G$22</f>
        <v>0.30619405047165993</v>
      </c>
      <c r="H21" s="2"/>
      <c r="I21" t="str">
        <f>About!$B$21</f>
        <v>Alternative electricity and transportation: Table 21</v>
      </c>
    </row>
    <row r="22" spans="1:9" x14ac:dyDescent="0.25">
      <c r="A22" t="s">
        <v>243</v>
      </c>
      <c r="B22" t="s">
        <v>251</v>
      </c>
      <c r="D22" t="s">
        <v>234</v>
      </c>
      <c r="E22" s="96">
        <f>IFERROR(INDEX('AEO26 Table 21'!$E$6:$AD$92,MATCH($B22,'AEO26 Table 21'!$B$6:$B$92,0),MATCH($E$3,'AEO26 Table 21'!$E$5:$AD$5,0)),"")</f>
        <v>143.85458399999999</v>
      </c>
      <c r="F22" s="6">
        <f t="shared" si="1"/>
        <v>1</v>
      </c>
      <c r="G22" s="57">
        <f>SUM(E17,E20:E21)</f>
        <v>141.18762900000002</v>
      </c>
      <c r="H22" s="2"/>
      <c r="I22" t="str">
        <f>About!$B$21</f>
        <v>Alternative electricity and transportation: Table 21</v>
      </c>
    </row>
    <row r="23" spans="1:9" x14ac:dyDescent="0.25">
      <c r="A23" s="94" t="s">
        <v>252</v>
      </c>
      <c r="E23" s="96" t="str">
        <f>IFERROR(INDEX('AEO26 Table 21'!$E$6:$AD$92,MATCH($B23,'AEO26 Table 21'!$B$6:$B$92,0),MATCH($E$3,'AEO26 Table 21'!$E$5:$AD$5,0)),"")</f>
        <v/>
      </c>
      <c r="H23" s="2"/>
      <c r="I23" t="str">
        <f>About!$B$21</f>
        <v>Alternative electricity and transportation: Table 21</v>
      </c>
    </row>
    <row r="24" spans="1:9" x14ac:dyDescent="0.25">
      <c r="A24" s="2" t="s">
        <v>177</v>
      </c>
      <c r="B24" t="s">
        <v>253</v>
      </c>
      <c r="D24" s="2" t="s">
        <v>234</v>
      </c>
      <c r="E24" s="96">
        <f>IFERROR(INDEX('AEO26 Table 21'!$E$6:$AD$92,MATCH($B24,'AEO26 Table 21'!$B$6:$B$92,0),MATCH($E$3,'AEO26 Table 21'!$E$5:$AD$5,0)),"")</f>
        <v>62.475158999999998</v>
      </c>
      <c r="F24" s="58">
        <f t="shared" ref="F24:F29" si="2">E24/$E$29</f>
        <v>0.45872438585184661</v>
      </c>
      <c r="G24" s="56">
        <f>E24/$G$29</f>
        <v>0.48965433368415406</v>
      </c>
      <c r="H24" s="2"/>
      <c r="I24" t="str">
        <f>About!$B$21</f>
        <v>Alternative electricity and transportation: Table 21</v>
      </c>
    </row>
    <row r="25" spans="1:9" x14ac:dyDescent="0.25">
      <c r="A25" s="2" t="s">
        <v>178</v>
      </c>
      <c r="B25" t="s">
        <v>254</v>
      </c>
      <c r="D25" s="2" t="s">
        <v>234</v>
      </c>
      <c r="E25" s="96">
        <f>IFERROR(INDEX('AEO26 Table 21'!$E$6:$AD$92,MATCH($B25,'AEO26 Table 21'!$B$6:$B$92,0),MATCH($E$3,'AEO26 Table 21'!$E$5:$AD$5,0)),"")</f>
        <v>65.115172999999999</v>
      </c>
      <c r="F25" s="58">
        <f t="shared" si="2"/>
        <v>0.47810871108085928</v>
      </c>
      <c r="G25" s="56">
        <f>E25/$G$29</f>
        <v>0.51034566631584599</v>
      </c>
      <c r="H25" s="2"/>
      <c r="I25" t="str">
        <f>About!$B$21</f>
        <v>Alternative electricity and transportation: Table 21</v>
      </c>
    </row>
    <row r="26" spans="1:9" x14ac:dyDescent="0.25">
      <c r="A26" t="s">
        <v>168</v>
      </c>
      <c r="B26" t="s">
        <v>255</v>
      </c>
      <c r="D26" t="s">
        <v>234</v>
      </c>
      <c r="E26" s="96">
        <f>IFERROR(INDEX('AEO26 Table 21'!$E$6:$AD$92,MATCH($B26,'AEO26 Table 21'!$B$6:$B$92,0),MATCH($E$3,'AEO26 Table 21'!$E$5:$AD$5,0)),"")</f>
        <v>2.2249989999999999</v>
      </c>
      <c r="F26" s="6">
        <f t="shared" si="2"/>
        <v>1.6337074064845084E-2</v>
      </c>
      <c r="G26" s="35"/>
      <c r="H26" s="2"/>
      <c r="I26" t="str">
        <f>About!$B$21</f>
        <v>Alternative electricity and transportation: Table 21</v>
      </c>
    </row>
    <row r="27" spans="1:9" x14ac:dyDescent="0.25">
      <c r="A27" t="s">
        <v>169</v>
      </c>
      <c r="B27" t="s">
        <v>256</v>
      </c>
      <c r="D27" t="s">
        <v>234</v>
      </c>
      <c r="E27" s="96">
        <f>IFERROR(INDEX('AEO26 Table 21'!$E$6:$AD$92,MATCH($B27,'AEO26 Table 21'!$B$6:$B$92,0),MATCH($E$3,'AEO26 Table 21'!$E$5:$AD$5,0)),"")</f>
        <v>4.1999490000000002</v>
      </c>
      <c r="F27" s="6">
        <f t="shared" si="2"/>
        <v>3.0838161222352032E-2</v>
      </c>
      <c r="G27" s="35"/>
      <c r="H27" s="2"/>
      <c r="I27" t="str">
        <f>About!$B$21</f>
        <v>Alternative electricity and transportation: Table 21</v>
      </c>
    </row>
    <row r="28" spans="1:9" x14ac:dyDescent="0.25">
      <c r="A28" t="s">
        <v>179</v>
      </c>
      <c r="B28" t="s">
        <v>257</v>
      </c>
      <c r="D28" t="s">
        <v>234</v>
      </c>
      <c r="E28" s="96">
        <f>IFERROR(INDEX('AEO26 Table 21'!$E$6:$AD$92,MATCH($B28,'AEO26 Table 21'!$B$6:$B$92,0),MATCH($E$3,'AEO26 Table 21'!$E$5:$AD$5,0)),"")</f>
        <v>2.1779500000000001</v>
      </c>
      <c r="F28" s="6">
        <f t="shared" si="2"/>
        <v>1.5991616382537408E-2</v>
      </c>
      <c r="G28" s="35"/>
      <c r="H28" s="2"/>
      <c r="I28" t="str">
        <f>About!$B$21</f>
        <v>Alternative electricity and transportation: Table 21</v>
      </c>
    </row>
    <row r="29" spans="1:9" x14ac:dyDescent="0.25">
      <c r="A29" t="s">
        <v>243</v>
      </c>
      <c r="B29" t="s">
        <v>258</v>
      </c>
      <c r="D29" t="s">
        <v>234</v>
      </c>
      <c r="E29" s="96">
        <f>IFERROR(INDEX('AEO26 Table 21'!$E$6:$AD$92,MATCH($B29,'AEO26 Table 21'!$B$6:$B$92,0),MATCH($E$3,'AEO26 Table 21'!$E$5:$AD$5,0)),"")</f>
        <v>136.19323700000001</v>
      </c>
      <c r="F29" s="6">
        <f t="shared" si="2"/>
        <v>1</v>
      </c>
      <c r="G29" s="57">
        <f>SUM(E24:E25)</f>
        <v>127.59033199999999</v>
      </c>
      <c r="H29" s="2"/>
      <c r="I29" t="str">
        <f>About!$B$21</f>
        <v>Alternative electricity and transportation: Table 21</v>
      </c>
    </row>
    <row r="30" spans="1:9" x14ac:dyDescent="0.25">
      <c r="A30" s="94" t="s">
        <v>259</v>
      </c>
      <c r="E30" s="96" t="str">
        <f>IFERROR(INDEX('AEO26 Table 21'!$E$6:$AD$92,MATCH($B30,'AEO26 Table 21'!$B$6:$B$92,0),MATCH($E$3,'AEO26 Table 21'!$E$5:$AD$5,0)),"")</f>
        <v/>
      </c>
      <c r="H30" s="2"/>
      <c r="I30" t="str">
        <f>About!$B$21</f>
        <v>Alternative electricity and transportation: Table 21</v>
      </c>
    </row>
    <row r="31" spans="1:9" x14ac:dyDescent="0.25">
      <c r="A31" t="s">
        <v>177</v>
      </c>
      <c r="B31" t="s">
        <v>260</v>
      </c>
      <c r="D31" t="s">
        <v>234</v>
      </c>
      <c r="E31" s="96">
        <f>IFERROR(INDEX('AEO26 Table 21'!$E$6:$AD$92,MATCH($B31,'AEO26 Table 21'!$B$6:$B$92,0),MATCH($E$3,'AEO26 Table 21'!$E$5:$AD$5,0)),"")</f>
        <v>101.44486999999999</v>
      </c>
      <c r="F31" s="6">
        <f>E31/$E$34</f>
        <v>0.62683937536329326</v>
      </c>
      <c r="G31" s="35"/>
      <c r="H31" s="2"/>
      <c r="I31" t="str">
        <f>About!$B$21</f>
        <v>Alternative electricity and transportation: Table 21</v>
      </c>
    </row>
    <row r="32" spans="1:9" x14ac:dyDescent="0.25">
      <c r="A32" s="2" t="s">
        <v>178</v>
      </c>
      <c r="B32" t="s">
        <v>261</v>
      </c>
      <c r="D32" s="2" t="s">
        <v>234</v>
      </c>
      <c r="E32" s="96">
        <f>IFERROR(INDEX('AEO26 Table 21'!$E$6:$AD$92,MATCH($B32,'AEO26 Table 21'!$B$6:$B$92,0),MATCH($E$3,'AEO26 Table 21'!$E$5:$AD$5,0)),"")</f>
        <v>54.077556999999999</v>
      </c>
      <c r="F32" s="58">
        <f>E32/$E$34</f>
        <v>0.33415136764483888</v>
      </c>
      <c r="G32" s="56">
        <v>1</v>
      </c>
      <c r="H32" s="2"/>
      <c r="I32" t="str">
        <f>About!$B$21</f>
        <v>Alternative electricity and transportation: Table 21</v>
      </c>
    </row>
    <row r="33" spans="1:9" x14ac:dyDescent="0.25">
      <c r="A33" t="s">
        <v>169</v>
      </c>
      <c r="B33" t="s">
        <v>262</v>
      </c>
      <c r="D33" t="s">
        <v>234</v>
      </c>
      <c r="E33" s="96">
        <f>IFERROR(INDEX('AEO26 Table 21'!$E$6:$AD$92,MATCH($B33,'AEO26 Table 21'!$B$6:$B$92,0),MATCH($E$3,'AEO26 Table 21'!$E$5:$AD$5,0)),"")</f>
        <v>6.3130860000000002</v>
      </c>
      <c r="F33" s="6">
        <f>E33/$E$34</f>
        <v>3.9009275529208638E-2</v>
      </c>
      <c r="G33" s="35"/>
      <c r="H33" s="2"/>
      <c r="I33" t="str">
        <f>About!$B$21</f>
        <v>Alternative electricity and transportation: Table 21</v>
      </c>
    </row>
    <row r="34" spans="1:9" x14ac:dyDescent="0.25">
      <c r="A34" t="s">
        <v>243</v>
      </c>
      <c r="B34" t="s">
        <v>263</v>
      </c>
      <c r="D34" t="s">
        <v>234</v>
      </c>
      <c r="E34" s="96">
        <f>IFERROR(INDEX('AEO26 Table 21'!$E$6:$AD$92,MATCH($B34,'AEO26 Table 21'!$B$6:$B$92,0),MATCH($E$3,'AEO26 Table 21'!$E$5:$AD$5,0)),"")</f>
        <v>161.83551</v>
      </c>
      <c r="F34" s="6">
        <f>E34/$E$34</f>
        <v>1</v>
      </c>
      <c r="G34" s="35"/>
      <c r="H34" s="2"/>
      <c r="I34" t="str">
        <f>About!$B$21</f>
        <v>Alternative electricity and transportation: Table 21</v>
      </c>
    </row>
    <row r="35" spans="1:9" x14ac:dyDescent="0.25">
      <c r="A35" s="94" t="s">
        <v>264</v>
      </c>
      <c r="E35" s="96" t="str">
        <f>IFERROR(INDEX('AEO26 Table 21'!$E$6:$AD$92,MATCH($B35,'AEO26 Table 21'!$B$6:$B$92,0),MATCH($E$3,'AEO26 Table 21'!$E$5:$AD$5,0)),"")</f>
        <v/>
      </c>
      <c r="H35" s="2"/>
      <c r="I35" t="str">
        <f>About!$B$21</f>
        <v>Alternative electricity and transportation: Table 21</v>
      </c>
    </row>
    <row r="36" spans="1:9" x14ac:dyDescent="0.25">
      <c r="A36" s="2" t="s">
        <v>177</v>
      </c>
      <c r="B36" t="s">
        <v>265</v>
      </c>
      <c r="D36" s="2" t="s">
        <v>234</v>
      </c>
      <c r="E36" s="96">
        <f>IFERROR(INDEX('AEO26 Table 21'!$E$6:$AD$92,MATCH($B36,'AEO26 Table 21'!$B$6:$B$92,0),MATCH($E$3,'AEO26 Table 21'!$E$5:$AD$5,0)),"")</f>
        <v>95.144310000000004</v>
      </c>
      <c r="F36" s="58">
        <f>E36/$E$38</f>
        <v>0.8229921123922751</v>
      </c>
      <c r="G36" s="56">
        <f>F36</f>
        <v>0.8229921123922751</v>
      </c>
      <c r="H36" s="2"/>
      <c r="I36" t="str">
        <f>About!$B$21</f>
        <v>Alternative electricity and transportation: Table 21</v>
      </c>
    </row>
    <row r="37" spans="1:9" x14ac:dyDescent="0.25">
      <c r="A37" s="2" t="s">
        <v>178</v>
      </c>
      <c r="B37" t="s">
        <v>266</v>
      </c>
      <c r="D37" s="2" t="s">
        <v>234</v>
      </c>
      <c r="E37" s="96">
        <f>IFERROR(INDEX('AEO26 Table 21'!$E$6:$AD$92,MATCH($B37,'AEO26 Table 21'!$B$6:$B$92,0),MATCH($E$3,'AEO26 Table 21'!$E$5:$AD$5,0)),"")</f>
        <v>20.463491000000001</v>
      </c>
      <c r="F37" s="58">
        <f>E37/$E$38</f>
        <v>0.17700787030785456</v>
      </c>
      <c r="G37" s="56">
        <f>F37</f>
        <v>0.17700787030785456</v>
      </c>
      <c r="H37" s="2"/>
      <c r="I37" t="str">
        <f>About!$B$21</f>
        <v>Alternative electricity and transportation: Table 21</v>
      </c>
    </row>
    <row r="38" spans="1:9" x14ac:dyDescent="0.25">
      <c r="A38" t="s">
        <v>243</v>
      </c>
      <c r="B38" t="s">
        <v>267</v>
      </c>
      <c r="D38" t="s">
        <v>234</v>
      </c>
      <c r="E38" s="96">
        <f>IFERROR(INDEX('AEO26 Table 21'!$E$6:$AD$92,MATCH($B38,'AEO26 Table 21'!$B$6:$B$92,0),MATCH($E$3,'AEO26 Table 21'!$E$5:$AD$5,0)),"")</f>
        <v>115.607803</v>
      </c>
      <c r="F38" s="6">
        <f>E38/$E$38</f>
        <v>1</v>
      </c>
      <c r="G38" s="57">
        <f>SUM(E36:E37)</f>
        <v>115.60780100000001</v>
      </c>
      <c r="H38" s="2"/>
      <c r="I38" t="str">
        <f>About!$B$21</f>
        <v>Alternative electricity and transportation: Table 21</v>
      </c>
    </row>
    <row r="39" spans="1:9" x14ac:dyDescent="0.25">
      <c r="A39" s="94" t="s">
        <v>268</v>
      </c>
      <c r="E39" s="96" t="str">
        <f>IFERROR(INDEX('AEO26 Table 21'!$E$6:$AD$92,MATCH($B39,'AEO26 Table 21'!$B$6:$B$92,0),MATCH($E$3,'AEO26 Table 21'!$E$5:$AD$5,0)),"")</f>
        <v/>
      </c>
      <c r="H39" s="2"/>
      <c r="I39" t="str">
        <f>About!$B$21</f>
        <v>Alternative electricity and transportation: Table 21</v>
      </c>
    </row>
    <row r="40" spans="1:9" x14ac:dyDescent="0.25">
      <c r="A40" t="s">
        <v>269</v>
      </c>
      <c r="B40" t="s">
        <v>270</v>
      </c>
      <c r="D40" t="s">
        <v>234</v>
      </c>
      <c r="E40" s="96">
        <f>IFERROR(INDEX('AEO26 Table 21'!$E$6:$AD$92,MATCH($B40,'AEO26 Table 21'!$B$6:$B$92,0),MATCH($E$3,'AEO26 Table 21'!$E$5:$AD$5,0)),"")</f>
        <v>187.50732400000001</v>
      </c>
      <c r="H40" s="2"/>
      <c r="I40" t="str">
        <f>About!$B$21</f>
        <v>Alternative electricity and transportation: Table 21</v>
      </c>
    </row>
    <row r="41" spans="1:9" x14ac:dyDescent="0.25">
      <c r="A41" t="s">
        <v>271</v>
      </c>
      <c r="B41" t="s">
        <v>272</v>
      </c>
      <c r="D41" t="s">
        <v>234</v>
      </c>
      <c r="E41" s="96">
        <f>IFERROR(INDEX('AEO26 Table 21'!$E$6:$AD$92,MATCH($B41,'AEO26 Table 21'!$B$6:$B$92,0),MATCH($E$3,'AEO26 Table 21'!$E$5:$AD$5,0)),"")</f>
        <v>48.868606999999997</v>
      </c>
      <c r="H41" s="2"/>
      <c r="I41" t="str">
        <f>About!$B$21</f>
        <v>Alternative electricity and transportation: Table 21</v>
      </c>
    </row>
  </sheetData>
  <mergeCells count="1">
    <mergeCell ref="A1:I1"/>
  </mergeCells>
  <conditionalFormatting sqref="B6:B15">
    <cfRule type="duplicateValues" dxfId="11" priority="11"/>
  </conditionalFormatting>
  <conditionalFormatting sqref="B17:B22">
    <cfRule type="duplicateValues" dxfId="10" priority="9"/>
  </conditionalFormatting>
  <conditionalFormatting sqref="B24:B29">
    <cfRule type="duplicateValues" dxfId="9" priority="7"/>
  </conditionalFormatting>
  <conditionalFormatting sqref="B31:B34">
    <cfRule type="duplicateValues" dxfId="8" priority="5"/>
  </conditionalFormatting>
  <conditionalFormatting sqref="B36:B38">
    <cfRule type="duplicateValues" dxfId="7" priority="3"/>
  </conditionalFormatting>
  <conditionalFormatting sqref="B40:B41">
    <cfRule type="duplicateValues" dxfId="6" priority="1"/>
  </conditionalFormatting>
  <conditionalFormatting sqref="C6:C15">
    <cfRule type="duplicateValues" dxfId="5" priority="12"/>
  </conditionalFormatting>
  <conditionalFormatting sqref="C17:C22">
    <cfRule type="duplicateValues" dxfId="4" priority="10"/>
  </conditionalFormatting>
  <conditionalFormatting sqref="C24:C29">
    <cfRule type="duplicateValues" dxfId="3" priority="8"/>
  </conditionalFormatting>
  <conditionalFormatting sqref="C31:C34">
    <cfRule type="duplicateValues" dxfId="2" priority="6"/>
  </conditionalFormatting>
  <conditionalFormatting sqref="C36:C38">
    <cfRule type="duplicateValues" dxfId="1" priority="4"/>
  </conditionalFormatting>
  <conditionalFormatting sqref="C40:C41">
    <cfRule type="duplicateValues" dxfId="0" priority="2"/>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3"/>
  <sheetViews>
    <sheetView zoomScale="80" zoomScaleNormal="80" workbookViewId="0">
      <selection activeCell="D3" sqref="D3"/>
    </sheetView>
  </sheetViews>
  <sheetFormatPr defaultColWidth="9" defaultRowHeight="15" x14ac:dyDescent="0.25"/>
  <cols>
    <col min="1" max="1" width="11.42578125" bestFit="1" customWidth="1"/>
    <col min="2" max="2" width="11.42578125" customWidth="1"/>
    <col min="3" max="3" width="17.42578125" style="6" bestFit="1" customWidth="1"/>
    <col min="4" max="4" width="16.5703125" style="6" bestFit="1" customWidth="1"/>
    <col min="5" max="5" width="11.7109375" style="6" bestFit="1" customWidth="1"/>
    <col min="6" max="6" width="12.28515625" bestFit="1" customWidth="1"/>
    <col min="7" max="7" width="38.5703125" customWidth="1"/>
  </cols>
  <sheetData>
    <row r="1" spans="1:7" s="37" customFormat="1" x14ac:dyDescent="0.25">
      <c r="A1" s="106" t="s">
        <v>273</v>
      </c>
      <c r="B1" s="84"/>
      <c r="C1" s="104" t="s">
        <v>274</v>
      </c>
      <c r="D1" s="105"/>
      <c r="E1" s="105"/>
      <c r="F1" s="106" t="s">
        <v>275</v>
      </c>
      <c r="G1" s="38" t="s">
        <v>276</v>
      </c>
    </row>
    <row r="2" spans="1:7" s="37" customFormat="1" x14ac:dyDescent="0.25">
      <c r="A2" s="105"/>
      <c r="B2" s="84"/>
      <c r="C2" s="81" t="s">
        <v>277</v>
      </c>
      <c r="D2" s="59" t="s">
        <v>278</v>
      </c>
      <c r="E2" s="59" t="s">
        <v>279</v>
      </c>
      <c r="F2" s="105"/>
      <c r="G2" s="82"/>
    </row>
    <row r="3" spans="1:7" x14ac:dyDescent="0.25">
      <c r="A3" s="2" t="s">
        <v>67</v>
      </c>
      <c r="B3" s="79" t="s">
        <v>152</v>
      </c>
      <c r="C3" s="6">
        <f>'Cost Summary New'!E$4</f>
        <v>0.55028127086837375</v>
      </c>
      <c r="D3" s="6">
        <f>'Cost Summary New'!E$4</f>
        <v>0.55028127086837375</v>
      </c>
      <c r="E3" s="6">
        <f>'Cost Summary New'!E45</f>
        <v>0.70398750275034405</v>
      </c>
      <c r="F3" t="str">
        <f>'ISIC Code Mapping'!B2</f>
        <v>ISIC 28</v>
      </c>
    </row>
    <row r="4" spans="1:7" x14ac:dyDescent="0.25">
      <c r="A4" s="2" t="s">
        <v>67</v>
      </c>
      <c r="B4" s="79" t="s">
        <v>280</v>
      </c>
      <c r="C4" s="6">
        <f>'Cost Summary New'!F$4</f>
        <v>0.44971872913162625</v>
      </c>
      <c r="D4" s="6">
        <f>'Cost Summary New'!F$4</f>
        <v>0.44971872913162625</v>
      </c>
      <c r="E4" s="6">
        <f>'Cost Summary New'!F45</f>
        <v>0.29601249724965595</v>
      </c>
      <c r="F4" t="str">
        <f>'ISIC Code Mapping'!B3</f>
        <v>ISIC 41T43</v>
      </c>
    </row>
    <row r="5" spans="1:7" x14ac:dyDescent="0.25">
      <c r="A5" s="2" t="s">
        <v>65</v>
      </c>
      <c r="B5" s="79" t="s">
        <v>152</v>
      </c>
      <c r="C5" s="6">
        <f>'Cost Summary New'!$E$14</f>
        <v>0.73624568720161232</v>
      </c>
      <c r="D5" s="6">
        <f>'Cost Summary New'!$E$14</f>
        <v>0.73624568720161232</v>
      </c>
      <c r="E5" s="6">
        <f>'Cost Summary New'!E95</f>
        <v>0.5798301102469372</v>
      </c>
      <c r="F5" t="str">
        <f>'ISIC Code Mapping'!C2</f>
        <v>ISIC 28</v>
      </c>
    </row>
    <row r="6" spans="1:7" x14ac:dyDescent="0.25">
      <c r="A6" s="2" t="s">
        <v>65</v>
      </c>
      <c r="B6" s="79" t="s">
        <v>280</v>
      </c>
      <c r="C6" s="6">
        <f>'Cost Summary New'!$F$14</f>
        <v>0.26375431279838768</v>
      </c>
      <c r="D6" s="6">
        <f>'Cost Summary New'!$F$14</f>
        <v>0.26375431279838768</v>
      </c>
      <c r="E6" s="6">
        <f>'Cost Summary New'!F95</f>
        <v>0.4201698897530628</v>
      </c>
      <c r="F6" t="str">
        <f>'ISIC Code Mapping'!C3</f>
        <v>ISIC 41T43</v>
      </c>
    </row>
    <row r="7" spans="1:7" x14ac:dyDescent="0.25">
      <c r="A7" s="2" t="s">
        <v>68</v>
      </c>
      <c r="B7" s="79" t="s">
        <v>152</v>
      </c>
      <c r="C7" s="6">
        <f>'Cost Summary New'!$E$39</f>
        <v>1</v>
      </c>
      <c r="D7" s="6">
        <f>'Cost Summary New'!$E$39</f>
        <v>1</v>
      </c>
      <c r="E7" s="6">
        <f>'Cost Summary New'!E100</f>
        <v>0.40766894664785691</v>
      </c>
      <c r="F7" t="str">
        <f>'ISIC Code Mapping'!E2</f>
        <v>ISIC 27</v>
      </c>
    </row>
    <row r="8" spans="1:7" x14ac:dyDescent="0.25">
      <c r="A8" s="2" t="s">
        <v>68</v>
      </c>
      <c r="B8" s="79" t="s">
        <v>280</v>
      </c>
      <c r="C8" s="6">
        <f>'Cost Summary New'!$F$39</f>
        <v>0</v>
      </c>
      <c r="D8" s="6">
        <f>'Cost Summary New'!$F$39</f>
        <v>0</v>
      </c>
      <c r="E8" s="6">
        <f>'Cost Summary New'!F100</f>
        <v>0.59233105335214309</v>
      </c>
      <c r="F8" t="str">
        <f>'ISIC Code Mapping'!E3</f>
        <v>ISIC 41T43</v>
      </c>
    </row>
    <row r="9" spans="1:7" x14ac:dyDescent="0.25">
      <c r="A9" s="2" t="s">
        <v>40</v>
      </c>
      <c r="B9" s="79" t="s">
        <v>152</v>
      </c>
      <c r="C9" s="6">
        <f>'Cost Summary New'!$E$41</f>
        <v>0.75435141943914585</v>
      </c>
      <c r="D9" s="6">
        <f>'Cost Summary New'!$E$41</f>
        <v>0.75435141943914585</v>
      </c>
      <c r="E9" s="6">
        <f>'Cost Summary New'!E88</f>
        <v>0.75439886948727197</v>
      </c>
      <c r="F9" t="str">
        <f>'ISIC Code Mapping'!F2</f>
        <v>ISIC 27</v>
      </c>
    </row>
    <row r="10" spans="1:7" x14ac:dyDescent="0.25">
      <c r="A10" s="2" t="s">
        <v>40</v>
      </c>
      <c r="B10" s="79" t="s">
        <v>280</v>
      </c>
      <c r="C10" s="6">
        <f>'Cost Summary New'!$F$41</f>
        <v>0.24564858056085415</v>
      </c>
      <c r="D10" s="6">
        <f>'Cost Summary New'!$F$41</f>
        <v>0.24564858056085415</v>
      </c>
      <c r="E10" s="6">
        <f>'Cost Summary New'!F88</f>
        <v>0.24560113051272803</v>
      </c>
      <c r="F10" t="str">
        <f>'ISIC Code Mapping'!F3</f>
        <v>ISIC 41T43</v>
      </c>
    </row>
    <row r="11" spans="1:7" x14ac:dyDescent="0.25">
      <c r="A11" s="2" t="s">
        <v>69</v>
      </c>
      <c r="B11" s="79" t="s">
        <v>152</v>
      </c>
      <c r="C11" s="6">
        <f t="shared" ref="C11:E12" si="0">C9</f>
        <v>0.75435141943914585</v>
      </c>
      <c r="D11" s="6">
        <f t="shared" si="0"/>
        <v>0.75435141943914585</v>
      </c>
      <c r="E11" s="6">
        <f t="shared" si="0"/>
        <v>0.75439886948727197</v>
      </c>
      <c r="F11" t="str">
        <f>'ISIC Code Mapping'!G2</f>
        <v>ISIC 27</v>
      </c>
      <c r="G11" t="s">
        <v>281</v>
      </c>
    </row>
    <row r="12" spans="1:7" x14ac:dyDescent="0.25">
      <c r="A12" s="2" t="s">
        <v>69</v>
      </c>
      <c r="B12" s="79" t="s">
        <v>280</v>
      </c>
      <c r="C12" s="6">
        <f t="shared" si="0"/>
        <v>0.24564858056085415</v>
      </c>
      <c r="D12" s="6">
        <f t="shared" si="0"/>
        <v>0.24564858056085415</v>
      </c>
      <c r="E12" s="6">
        <f t="shared" si="0"/>
        <v>0.24560113051272803</v>
      </c>
      <c r="F12" t="str">
        <f>'ISIC Code Mapping'!G3</f>
        <v>ISIC 41T43</v>
      </c>
      <c r="G12" t="s">
        <v>282</v>
      </c>
    </row>
    <row r="13" spans="1:7" x14ac:dyDescent="0.25">
      <c r="B13" s="79"/>
    </row>
  </sheetData>
  <mergeCells count="3">
    <mergeCell ref="C1:E1"/>
    <mergeCell ref="F1:F2"/>
    <mergeCell ref="A1:A2"/>
  </mergeCells>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N202"/>
  <sheetViews>
    <sheetView workbookViewId="0"/>
  </sheetViews>
  <sheetFormatPr defaultRowHeight="15" x14ac:dyDescent="0.25"/>
  <cols>
    <col min="2" max="2" width="28.7109375" customWidth="1"/>
    <col min="3" max="11" width="7.7109375" style="8" customWidth="1"/>
  </cols>
  <sheetData>
    <row r="1" spans="2:11" ht="29.65" customHeight="1" x14ac:dyDescent="0.25">
      <c r="B1" s="7" t="s">
        <v>283</v>
      </c>
    </row>
    <row r="2" spans="2:11" ht="26.25" customHeight="1" x14ac:dyDescent="0.25">
      <c r="B2" s="118" t="s">
        <v>284</v>
      </c>
      <c r="C2" s="119"/>
      <c r="D2" s="119"/>
      <c r="E2" s="119"/>
      <c r="F2" s="119"/>
      <c r="G2" s="119"/>
      <c r="H2" s="119"/>
      <c r="I2" s="119"/>
      <c r="J2" s="119"/>
      <c r="K2" s="119"/>
    </row>
    <row r="3" spans="2:11" ht="24" customHeight="1" thickBot="1" x14ac:dyDescent="0.3">
      <c r="B3" s="9"/>
      <c r="C3" s="116" t="s">
        <v>285</v>
      </c>
      <c r="D3" s="117"/>
      <c r="E3" s="117"/>
      <c r="F3" s="117"/>
      <c r="G3" s="117"/>
      <c r="H3" s="117"/>
      <c r="I3" s="117"/>
      <c r="J3" s="117"/>
      <c r="K3" s="117"/>
    </row>
    <row r="4" spans="2:11" ht="27" customHeight="1" thickTop="1" x14ac:dyDescent="0.25">
      <c r="B4" s="9"/>
      <c r="C4" s="107" t="s">
        <v>286</v>
      </c>
      <c r="D4" s="109" t="s">
        <v>287</v>
      </c>
      <c r="E4" s="113" t="s">
        <v>288</v>
      </c>
      <c r="F4" s="114"/>
      <c r="G4" s="114"/>
      <c r="H4" s="114"/>
      <c r="I4" s="114"/>
      <c r="J4" s="114"/>
      <c r="K4" s="115"/>
    </row>
    <row r="5" spans="2:11" ht="63.75" customHeight="1" thickBot="1" x14ac:dyDescent="0.3">
      <c r="B5" s="10"/>
      <c r="C5" s="108"/>
      <c r="D5" s="110"/>
      <c r="E5" s="11" t="s">
        <v>187</v>
      </c>
      <c r="F5" s="11" t="s">
        <v>188</v>
      </c>
      <c r="G5" s="11" t="s">
        <v>189</v>
      </c>
      <c r="H5" s="11" t="s">
        <v>190</v>
      </c>
      <c r="I5" s="11" t="s">
        <v>191</v>
      </c>
      <c r="J5" s="11" t="s">
        <v>192</v>
      </c>
      <c r="K5" s="11" t="s">
        <v>69</v>
      </c>
    </row>
    <row r="6" spans="2:11" ht="24" customHeight="1" thickTop="1" x14ac:dyDescent="0.25">
      <c r="B6" s="12" t="s">
        <v>289</v>
      </c>
      <c r="C6" s="13">
        <v>87093</v>
      </c>
      <c r="D6" s="14">
        <v>80078</v>
      </c>
      <c r="E6" s="14">
        <v>11846</v>
      </c>
      <c r="F6" s="14">
        <v>8654</v>
      </c>
      <c r="G6" s="14">
        <v>20766</v>
      </c>
      <c r="H6" s="14">
        <v>5925</v>
      </c>
      <c r="I6" s="14">
        <v>22443</v>
      </c>
      <c r="J6" s="14">
        <v>49188</v>
      </c>
      <c r="K6" s="14">
        <v>1574</v>
      </c>
    </row>
    <row r="7" spans="2:11" ht="24" customHeight="1" x14ac:dyDescent="0.25">
      <c r="B7" s="15" t="s">
        <v>290</v>
      </c>
      <c r="C7" s="16"/>
      <c r="D7" s="16"/>
      <c r="E7" s="16"/>
      <c r="F7" s="16"/>
      <c r="G7" s="16"/>
      <c r="H7" s="16"/>
      <c r="I7" s="16"/>
      <c r="J7" s="16"/>
      <c r="K7" s="16"/>
    </row>
    <row r="8" spans="2:11" ht="15" customHeight="1" x14ac:dyDescent="0.25">
      <c r="B8" s="17" t="s">
        <v>291</v>
      </c>
      <c r="C8" s="14">
        <v>8041</v>
      </c>
      <c r="D8" s="14">
        <v>6699</v>
      </c>
      <c r="E8" s="14">
        <v>868</v>
      </c>
      <c r="F8" s="14">
        <v>1091</v>
      </c>
      <c r="G8" s="14">
        <v>1747</v>
      </c>
      <c r="H8" s="14" t="s">
        <v>292</v>
      </c>
      <c r="I8" s="14">
        <v>400</v>
      </c>
      <c r="J8" s="14">
        <v>3809</v>
      </c>
      <c r="K8" s="14" t="s">
        <v>292</v>
      </c>
    </row>
    <row r="9" spans="2:11" ht="15" customHeight="1" x14ac:dyDescent="0.25">
      <c r="B9" s="17" t="s">
        <v>293</v>
      </c>
      <c r="C9" s="14">
        <v>8900</v>
      </c>
      <c r="D9" s="14">
        <v>7590</v>
      </c>
      <c r="E9" s="14">
        <v>1038</v>
      </c>
      <c r="F9" s="14">
        <v>1416</v>
      </c>
      <c r="G9" s="14">
        <v>2025</v>
      </c>
      <c r="H9" s="14" t="s">
        <v>292</v>
      </c>
      <c r="I9" s="14">
        <v>734</v>
      </c>
      <c r="J9" s="14">
        <v>4622</v>
      </c>
      <c r="K9" s="14" t="s">
        <v>292</v>
      </c>
    </row>
    <row r="10" spans="2:11" ht="15" customHeight="1" x14ac:dyDescent="0.25">
      <c r="B10" s="17" t="s">
        <v>294</v>
      </c>
      <c r="C10" s="14">
        <v>14105</v>
      </c>
      <c r="D10" s="14">
        <v>12744</v>
      </c>
      <c r="E10" s="14">
        <v>1477</v>
      </c>
      <c r="F10" s="14">
        <v>2233</v>
      </c>
      <c r="G10" s="14">
        <v>3115</v>
      </c>
      <c r="H10" s="14" t="s">
        <v>292</v>
      </c>
      <c r="I10" s="14">
        <v>2008</v>
      </c>
      <c r="J10" s="14">
        <v>8246</v>
      </c>
      <c r="K10" s="14" t="s">
        <v>292</v>
      </c>
    </row>
    <row r="11" spans="2:11" ht="15" customHeight="1" x14ac:dyDescent="0.25">
      <c r="B11" s="17" t="s">
        <v>295</v>
      </c>
      <c r="C11" s="14">
        <v>11917</v>
      </c>
      <c r="D11" s="14">
        <v>10911</v>
      </c>
      <c r="E11" s="14">
        <v>1642</v>
      </c>
      <c r="F11" s="14">
        <v>1439</v>
      </c>
      <c r="G11" s="14">
        <v>3021</v>
      </c>
      <c r="H11" s="14">
        <v>213</v>
      </c>
      <c r="I11" s="14">
        <v>2707</v>
      </c>
      <c r="J11" s="14">
        <v>7237</v>
      </c>
      <c r="K11" s="14" t="s">
        <v>292</v>
      </c>
    </row>
    <row r="12" spans="2:11" ht="15" customHeight="1" x14ac:dyDescent="0.25">
      <c r="B12" s="17" t="s">
        <v>296</v>
      </c>
      <c r="C12" s="14">
        <v>13918</v>
      </c>
      <c r="D12" s="14">
        <v>13114</v>
      </c>
      <c r="E12" s="14">
        <v>2664</v>
      </c>
      <c r="F12" s="14">
        <v>1042</v>
      </c>
      <c r="G12" s="14">
        <v>2763</v>
      </c>
      <c r="H12" s="14">
        <v>704</v>
      </c>
      <c r="I12" s="14">
        <v>4938</v>
      </c>
      <c r="J12" s="14">
        <v>8489</v>
      </c>
      <c r="K12" s="14">
        <v>541</v>
      </c>
    </row>
    <row r="13" spans="2:11" ht="15" customHeight="1" x14ac:dyDescent="0.25">
      <c r="B13" s="17" t="s">
        <v>297</v>
      </c>
      <c r="C13" s="14">
        <v>12415</v>
      </c>
      <c r="D13" s="14">
        <v>11941</v>
      </c>
      <c r="E13" s="14">
        <v>1549</v>
      </c>
      <c r="F13" s="14">
        <v>683</v>
      </c>
      <c r="G13" s="14">
        <v>2915</v>
      </c>
      <c r="H13" s="14">
        <v>1313</v>
      </c>
      <c r="I13" s="14">
        <v>4258</v>
      </c>
      <c r="J13" s="14">
        <v>7569</v>
      </c>
      <c r="K13" s="14" t="s">
        <v>292</v>
      </c>
    </row>
    <row r="14" spans="2:11" ht="15" customHeight="1" x14ac:dyDescent="0.25">
      <c r="B14" s="17" t="s">
        <v>298</v>
      </c>
      <c r="C14" s="14">
        <v>10724</v>
      </c>
      <c r="D14" s="14">
        <v>10348</v>
      </c>
      <c r="E14" s="14">
        <v>1527</v>
      </c>
      <c r="F14" s="14">
        <v>466</v>
      </c>
      <c r="G14" s="14">
        <v>2970</v>
      </c>
      <c r="H14" s="14">
        <v>1553</v>
      </c>
      <c r="I14" s="14">
        <v>4970</v>
      </c>
      <c r="J14" s="14">
        <v>5991</v>
      </c>
      <c r="K14" s="14" t="s">
        <v>292</v>
      </c>
    </row>
    <row r="15" spans="2:11" ht="15" customHeight="1" x14ac:dyDescent="0.25">
      <c r="B15" s="17" t="s">
        <v>299</v>
      </c>
      <c r="C15" s="14">
        <v>7074</v>
      </c>
      <c r="D15" s="14">
        <v>6730</v>
      </c>
      <c r="E15" s="14">
        <v>1080</v>
      </c>
      <c r="F15" s="14">
        <v>284</v>
      </c>
      <c r="G15" s="14">
        <v>2211</v>
      </c>
      <c r="H15" s="14">
        <v>1974</v>
      </c>
      <c r="I15" s="14">
        <v>2430</v>
      </c>
      <c r="J15" s="14">
        <v>3225</v>
      </c>
      <c r="K15" s="14" t="s">
        <v>292</v>
      </c>
    </row>
    <row r="16" spans="2:11" ht="24" customHeight="1" x14ac:dyDescent="0.25">
      <c r="B16" s="15" t="s">
        <v>300</v>
      </c>
      <c r="C16" s="15"/>
      <c r="D16" s="15"/>
      <c r="E16" s="15"/>
      <c r="F16" s="15"/>
      <c r="G16" s="15"/>
      <c r="H16" s="15"/>
      <c r="I16" s="15"/>
      <c r="J16" s="15"/>
      <c r="K16" s="15"/>
    </row>
    <row r="17" spans="2:14" x14ac:dyDescent="0.25">
      <c r="B17" s="17" t="s">
        <v>301</v>
      </c>
      <c r="C17" s="14">
        <v>12239</v>
      </c>
      <c r="D17" s="14">
        <v>12099</v>
      </c>
      <c r="E17" s="14">
        <v>2209</v>
      </c>
      <c r="F17" s="14">
        <v>564</v>
      </c>
      <c r="G17" s="14">
        <v>1750</v>
      </c>
      <c r="H17" s="14">
        <v>1155</v>
      </c>
      <c r="I17" s="14">
        <v>6637</v>
      </c>
      <c r="J17" s="14">
        <v>6107</v>
      </c>
      <c r="K17" s="14" t="s">
        <v>292</v>
      </c>
    </row>
    <row r="18" spans="2:14" x14ac:dyDescent="0.25">
      <c r="B18" s="17" t="s">
        <v>302</v>
      </c>
      <c r="C18" s="14">
        <v>1252</v>
      </c>
      <c r="D18" s="14">
        <v>1196</v>
      </c>
      <c r="E18" s="14" t="s">
        <v>292</v>
      </c>
      <c r="F18" s="14" t="s">
        <v>292</v>
      </c>
      <c r="G18" s="14">
        <v>336</v>
      </c>
      <c r="H18" s="14" t="s">
        <v>303</v>
      </c>
      <c r="I18" s="14" t="s">
        <v>292</v>
      </c>
      <c r="J18" s="14">
        <v>944</v>
      </c>
      <c r="K18" s="14" t="s">
        <v>292</v>
      </c>
    </row>
    <row r="19" spans="2:14" x14ac:dyDescent="0.25">
      <c r="B19" s="17" t="s">
        <v>304</v>
      </c>
      <c r="C19" s="14">
        <v>1819</v>
      </c>
      <c r="D19" s="14">
        <v>1762</v>
      </c>
      <c r="E19" s="14">
        <v>146</v>
      </c>
      <c r="F19" s="14">
        <v>266</v>
      </c>
      <c r="G19" s="14">
        <v>256</v>
      </c>
      <c r="H19" s="14" t="s">
        <v>292</v>
      </c>
      <c r="I19" s="14">
        <v>145</v>
      </c>
      <c r="J19" s="14">
        <v>1296</v>
      </c>
      <c r="K19" s="14" t="s">
        <v>292</v>
      </c>
    </row>
    <row r="20" spans="2:14" x14ac:dyDescent="0.25">
      <c r="B20" s="17" t="s">
        <v>305</v>
      </c>
      <c r="C20" s="14">
        <v>4155</v>
      </c>
      <c r="D20" s="14">
        <v>4109</v>
      </c>
      <c r="E20" s="14">
        <v>739</v>
      </c>
      <c r="F20" s="14">
        <v>258</v>
      </c>
      <c r="G20" s="14">
        <v>967</v>
      </c>
      <c r="H20" s="14">
        <v>671</v>
      </c>
      <c r="I20" s="14">
        <v>2285</v>
      </c>
      <c r="J20" s="14">
        <v>2085</v>
      </c>
      <c r="K20" s="14" t="s">
        <v>292</v>
      </c>
    </row>
    <row r="21" spans="2:14" x14ac:dyDescent="0.25">
      <c r="B21" s="18" t="s">
        <v>306</v>
      </c>
      <c r="C21" s="14">
        <v>2374</v>
      </c>
      <c r="D21" s="14">
        <v>2354</v>
      </c>
      <c r="E21" s="14">
        <v>506</v>
      </c>
      <c r="F21" s="14">
        <v>124</v>
      </c>
      <c r="G21" s="14">
        <v>501</v>
      </c>
      <c r="H21" s="14">
        <v>563</v>
      </c>
      <c r="I21" s="14">
        <v>1698</v>
      </c>
      <c r="J21" s="14">
        <v>1073</v>
      </c>
      <c r="K21" s="14" t="s">
        <v>292</v>
      </c>
    </row>
    <row r="22" spans="2:14" x14ac:dyDescent="0.25">
      <c r="B22" s="18" t="s">
        <v>307</v>
      </c>
      <c r="C22" s="14">
        <v>1781</v>
      </c>
      <c r="D22" s="14">
        <v>1754</v>
      </c>
      <c r="E22" s="14">
        <v>233</v>
      </c>
      <c r="F22" s="14">
        <v>133</v>
      </c>
      <c r="G22" s="14">
        <v>466</v>
      </c>
      <c r="H22" s="14" t="s">
        <v>292</v>
      </c>
      <c r="I22" s="14">
        <v>588</v>
      </c>
      <c r="J22" s="14">
        <v>1012</v>
      </c>
      <c r="K22" s="14" t="s">
        <v>303</v>
      </c>
    </row>
    <row r="23" spans="2:14" x14ac:dyDescent="0.25">
      <c r="B23" s="17" t="s">
        <v>308</v>
      </c>
      <c r="C23" s="14">
        <v>5826</v>
      </c>
      <c r="D23" s="14">
        <v>5696</v>
      </c>
      <c r="E23" s="14">
        <v>1259</v>
      </c>
      <c r="F23" s="14">
        <v>638</v>
      </c>
      <c r="G23" s="14">
        <v>2168</v>
      </c>
      <c r="H23" s="14">
        <v>621</v>
      </c>
      <c r="I23" s="14">
        <v>2105</v>
      </c>
      <c r="J23" s="14">
        <v>2561</v>
      </c>
      <c r="K23" s="14" t="s">
        <v>292</v>
      </c>
    </row>
    <row r="24" spans="2:14" x14ac:dyDescent="0.25">
      <c r="B24" s="17" t="s">
        <v>309</v>
      </c>
      <c r="C24" s="14">
        <v>11330</v>
      </c>
      <c r="D24" s="14">
        <v>10794</v>
      </c>
      <c r="E24" s="14">
        <v>1419</v>
      </c>
      <c r="F24" s="14">
        <v>1423</v>
      </c>
      <c r="G24" s="14">
        <v>2568</v>
      </c>
      <c r="H24" s="14" t="s">
        <v>292</v>
      </c>
      <c r="I24" s="14">
        <v>1138</v>
      </c>
      <c r="J24" s="14">
        <v>9434</v>
      </c>
      <c r="K24" s="14">
        <v>872</v>
      </c>
      <c r="N24" s="19"/>
    </row>
    <row r="25" spans="2:14" ht="15" customHeight="1" x14ac:dyDescent="0.25">
      <c r="B25" s="20" t="s">
        <v>310</v>
      </c>
      <c r="C25" s="14">
        <v>5439</v>
      </c>
      <c r="D25" s="14">
        <v>5088</v>
      </c>
      <c r="E25" s="14">
        <v>441</v>
      </c>
      <c r="F25" s="14">
        <v>590</v>
      </c>
      <c r="G25" s="14">
        <v>1007</v>
      </c>
      <c r="H25" s="14" t="s">
        <v>292</v>
      </c>
      <c r="I25" s="14">
        <v>312</v>
      </c>
      <c r="J25" s="14">
        <v>3964</v>
      </c>
      <c r="K25" s="14" t="s">
        <v>292</v>
      </c>
    </row>
    <row r="26" spans="2:14" ht="15" customHeight="1" x14ac:dyDescent="0.25">
      <c r="B26" s="20" t="s">
        <v>311</v>
      </c>
      <c r="C26" s="14">
        <v>5890</v>
      </c>
      <c r="D26" s="14">
        <v>5706</v>
      </c>
      <c r="E26" s="14">
        <v>978</v>
      </c>
      <c r="F26" s="14">
        <v>832</v>
      </c>
      <c r="G26" s="14">
        <v>1561</v>
      </c>
      <c r="H26" s="14" t="s">
        <v>292</v>
      </c>
      <c r="I26" s="14">
        <v>826</v>
      </c>
      <c r="J26" s="14">
        <v>5470</v>
      </c>
      <c r="K26" s="14">
        <v>860</v>
      </c>
    </row>
    <row r="27" spans="2:14" ht="15" customHeight="1" x14ac:dyDescent="0.25">
      <c r="B27" s="17" t="s">
        <v>312</v>
      </c>
      <c r="C27" s="14">
        <v>15952</v>
      </c>
      <c r="D27" s="14">
        <v>15753</v>
      </c>
      <c r="E27" s="14">
        <v>2667</v>
      </c>
      <c r="F27" s="14">
        <v>1691</v>
      </c>
      <c r="G27" s="14">
        <v>3727</v>
      </c>
      <c r="H27" s="14">
        <v>1794</v>
      </c>
      <c r="I27" s="14">
        <v>4650</v>
      </c>
      <c r="J27" s="14">
        <v>8407</v>
      </c>
      <c r="K27" s="14" t="s">
        <v>292</v>
      </c>
    </row>
    <row r="28" spans="2:14" ht="15" customHeight="1" x14ac:dyDescent="0.25">
      <c r="B28" s="17" t="s">
        <v>313</v>
      </c>
      <c r="C28" s="14">
        <v>5559</v>
      </c>
      <c r="D28" s="14">
        <v>5323</v>
      </c>
      <c r="E28" s="14">
        <v>727</v>
      </c>
      <c r="F28" s="14">
        <v>582</v>
      </c>
      <c r="G28" s="14">
        <v>1560</v>
      </c>
      <c r="H28" s="14">
        <v>888</v>
      </c>
      <c r="I28" s="14">
        <v>1621</v>
      </c>
      <c r="J28" s="14">
        <v>3016</v>
      </c>
      <c r="K28" s="14" t="s">
        <v>292</v>
      </c>
    </row>
    <row r="29" spans="2:14" ht="15" customHeight="1" x14ac:dyDescent="0.25">
      <c r="B29" s="17" t="s">
        <v>314</v>
      </c>
      <c r="C29" s="14">
        <v>1440</v>
      </c>
      <c r="D29" s="14">
        <v>1391</v>
      </c>
      <c r="E29" s="14" t="s">
        <v>292</v>
      </c>
      <c r="F29" s="14" t="s">
        <v>292</v>
      </c>
      <c r="G29" s="14">
        <v>253</v>
      </c>
      <c r="H29" s="14" t="s">
        <v>292</v>
      </c>
      <c r="I29" s="14">
        <v>466</v>
      </c>
      <c r="J29" s="14">
        <v>601</v>
      </c>
      <c r="K29" s="14" t="s">
        <v>292</v>
      </c>
    </row>
    <row r="30" spans="2:14" ht="15" customHeight="1" x14ac:dyDescent="0.25">
      <c r="B30" s="17" t="s">
        <v>315</v>
      </c>
      <c r="C30" s="14">
        <v>4557</v>
      </c>
      <c r="D30" s="14">
        <v>4511</v>
      </c>
      <c r="E30" s="14">
        <v>581</v>
      </c>
      <c r="F30" s="14">
        <v>927</v>
      </c>
      <c r="G30" s="14">
        <v>859</v>
      </c>
      <c r="H30" s="14" t="s">
        <v>303</v>
      </c>
      <c r="I30" s="14">
        <v>1359</v>
      </c>
      <c r="J30" s="14">
        <v>2801</v>
      </c>
      <c r="K30" s="14" t="s">
        <v>292</v>
      </c>
    </row>
    <row r="31" spans="2:14" ht="15" customHeight="1" x14ac:dyDescent="0.25">
      <c r="B31" s="17" t="s">
        <v>316</v>
      </c>
      <c r="C31" s="14">
        <v>4630</v>
      </c>
      <c r="D31" s="14">
        <v>4157</v>
      </c>
      <c r="E31" s="14">
        <v>356</v>
      </c>
      <c r="F31" s="14">
        <v>497</v>
      </c>
      <c r="G31" s="14">
        <v>1919</v>
      </c>
      <c r="H31" s="14" t="s">
        <v>292</v>
      </c>
      <c r="I31" s="14">
        <v>433</v>
      </c>
      <c r="J31" s="14">
        <v>2498</v>
      </c>
      <c r="K31" s="14" t="s">
        <v>292</v>
      </c>
    </row>
    <row r="32" spans="2:14" ht="15" customHeight="1" x14ac:dyDescent="0.25">
      <c r="B32" s="17" t="s">
        <v>317</v>
      </c>
      <c r="C32" s="14">
        <v>13077</v>
      </c>
      <c r="D32" s="14">
        <v>9987</v>
      </c>
      <c r="E32" s="14">
        <v>1138</v>
      </c>
      <c r="F32" s="14">
        <v>1294</v>
      </c>
      <c r="G32" s="14">
        <v>3480</v>
      </c>
      <c r="H32" s="14" t="s">
        <v>292</v>
      </c>
      <c r="I32" s="14">
        <v>841</v>
      </c>
      <c r="J32" s="14">
        <v>7297</v>
      </c>
      <c r="K32" s="14" t="s">
        <v>292</v>
      </c>
    </row>
    <row r="33" spans="2:11" ht="15" customHeight="1" x14ac:dyDescent="0.25">
      <c r="B33" s="17" t="s">
        <v>318</v>
      </c>
      <c r="C33" s="14">
        <v>2002</v>
      </c>
      <c r="D33" s="14">
        <v>1886</v>
      </c>
      <c r="E33" s="14" t="s">
        <v>292</v>
      </c>
      <c r="F33" s="14" t="s">
        <v>292</v>
      </c>
      <c r="G33" s="14">
        <v>737</v>
      </c>
      <c r="H33" s="14" t="s">
        <v>292</v>
      </c>
      <c r="I33" s="14">
        <v>408</v>
      </c>
      <c r="J33" s="14">
        <v>1257</v>
      </c>
      <c r="K33" s="14" t="s">
        <v>292</v>
      </c>
    </row>
    <row r="34" spans="2:11" ht="15" customHeight="1" x14ac:dyDescent="0.25">
      <c r="B34" s="17" t="s">
        <v>319</v>
      </c>
      <c r="C34" s="14">
        <v>3256</v>
      </c>
      <c r="D34" s="14">
        <v>1415</v>
      </c>
      <c r="E34" s="14" t="s">
        <v>292</v>
      </c>
      <c r="F34" s="14" t="s">
        <v>292</v>
      </c>
      <c r="G34" s="14" t="s">
        <v>292</v>
      </c>
      <c r="H34" s="14" t="s">
        <v>292</v>
      </c>
      <c r="I34" s="14">
        <v>296</v>
      </c>
      <c r="J34" s="14">
        <v>886</v>
      </c>
      <c r="K34" s="14" t="s">
        <v>292</v>
      </c>
    </row>
    <row r="35" spans="2:11" ht="24" customHeight="1" x14ac:dyDescent="0.25">
      <c r="B35" s="15" t="s">
        <v>320</v>
      </c>
      <c r="C35" s="15"/>
      <c r="D35" s="15"/>
      <c r="E35" s="15"/>
      <c r="F35" s="15"/>
      <c r="G35" s="15"/>
      <c r="H35" s="15"/>
      <c r="I35" s="15"/>
      <c r="J35" s="15"/>
      <c r="K35" s="15"/>
    </row>
    <row r="36" spans="2:11" ht="15" customHeight="1" x14ac:dyDescent="0.25">
      <c r="B36" s="17" t="s">
        <v>321</v>
      </c>
      <c r="C36" s="14">
        <v>3983</v>
      </c>
      <c r="D36" s="14">
        <v>3583</v>
      </c>
      <c r="E36" s="14">
        <v>371</v>
      </c>
      <c r="F36" s="14">
        <v>524</v>
      </c>
      <c r="G36" s="14">
        <v>1442</v>
      </c>
      <c r="H36" s="14">
        <v>523</v>
      </c>
      <c r="I36" s="14">
        <v>1221</v>
      </c>
      <c r="J36" s="14">
        <v>1380</v>
      </c>
      <c r="K36" s="14" t="s">
        <v>292</v>
      </c>
    </row>
    <row r="37" spans="2:11" ht="15" customHeight="1" x14ac:dyDescent="0.25">
      <c r="B37" s="17" t="s">
        <v>322</v>
      </c>
      <c r="C37" s="14">
        <v>6025</v>
      </c>
      <c r="D37" s="14">
        <v>5527</v>
      </c>
      <c r="E37" s="14">
        <v>744</v>
      </c>
      <c r="F37" s="14">
        <v>393</v>
      </c>
      <c r="G37" s="14">
        <v>1717</v>
      </c>
      <c r="H37" s="14">
        <v>888</v>
      </c>
      <c r="I37" s="14">
        <v>2016</v>
      </c>
      <c r="J37" s="14">
        <v>2589</v>
      </c>
      <c r="K37" s="14" t="s">
        <v>292</v>
      </c>
    </row>
    <row r="38" spans="2:11" ht="15" customHeight="1" x14ac:dyDescent="0.25">
      <c r="B38" s="17" t="s">
        <v>323</v>
      </c>
      <c r="C38" s="14">
        <v>7381</v>
      </c>
      <c r="D38" s="14">
        <v>6895</v>
      </c>
      <c r="E38" s="14">
        <v>907</v>
      </c>
      <c r="F38" s="14">
        <v>685</v>
      </c>
      <c r="G38" s="14">
        <v>2277</v>
      </c>
      <c r="H38" s="14">
        <v>446</v>
      </c>
      <c r="I38" s="14">
        <v>2659</v>
      </c>
      <c r="J38" s="14">
        <v>3715</v>
      </c>
      <c r="K38" s="14" t="s">
        <v>292</v>
      </c>
    </row>
    <row r="39" spans="2:11" ht="15" customHeight="1" x14ac:dyDescent="0.25">
      <c r="B39" s="17" t="s">
        <v>324</v>
      </c>
      <c r="C39" s="14">
        <v>10362</v>
      </c>
      <c r="D39" s="14">
        <v>9730</v>
      </c>
      <c r="E39" s="14">
        <v>1295</v>
      </c>
      <c r="F39" s="14">
        <v>1168</v>
      </c>
      <c r="G39" s="14">
        <v>2586</v>
      </c>
      <c r="H39" s="14">
        <v>1002</v>
      </c>
      <c r="I39" s="14">
        <v>3506</v>
      </c>
      <c r="J39" s="14">
        <v>5670</v>
      </c>
      <c r="K39" s="14" t="s">
        <v>292</v>
      </c>
    </row>
    <row r="40" spans="2:11" ht="15" customHeight="1" x14ac:dyDescent="0.25">
      <c r="B40" s="17" t="s">
        <v>325</v>
      </c>
      <c r="C40" s="14">
        <v>10846</v>
      </c>
      <c r="D40" s="14">
        <v>10045</v>
      </c>
      <c r="E40" s="14">
        <v>1198</v>
      </c>
      <c r="F40" s="14">
        <v>1345</v>
      </c>
      <c r="G40" s="14">
        <v>2923</v>
      </c>
      <c r="H40" s="14">
        <v>930</v>
      </c>
      <c r="I40" s="14">
        <v>2763</v>
      </c>
      <c r="J40" s="14">
        <v>6156</v>
      </c>
      <c r="K40" s="14" t="s">
        <v>292</v>
      </c>
    </row>
    <row r="41" spans="2:11" ht="15" customHeight="1" x14ac:dyDescent="0.25">
      <c r="B41" s="17" t="s">
        <v>326</v>
      </c>
      <c r="C41" s="14">
        <v>15230</v>
      </c>
      <c r="D41" s="14">
        <v>13723</v>
      </c>
      <c r="E41" s="14">
        <v>2386</v>
      </c>
      <c r="F41" s="14">
        <v>1763</v>
      </c>
      <c r="G41" s="14">
        <v>3424</v>
      </c>
      <c r="H41" s="14">
        <v>446</v>
      </c>
      <c r="I41" s="14">
        <v>2973</v>
      </c>
      <c r="J41" s="14">
        <v>9037</v>
      </c>
      <c r="K41" s="14" t="s">
        <v>292</v>
      </c>
    </row>
    <row r="42" spans="2:11" ht="15" customHeight="1" x14ac:dyDescent="0.25">
      <c r="B42" s="17" t="s">
        <v>327</v>
      </c>
      <c r="C42" s="14">
        <v>13803</v>
      </c>
      <c r="D42" s="14">
        <v>12389</v>
      </c>
      <c r="E42" s="14">
        <v>2136</v>
      </c>
      <c r="F42" s="14">
        <v>1266</v>
      </c>
      <c r="G42" s="14">
        <v>2996</v>
      </c>
      <c r="H42" s="14">
        <v>642</v>
      </c>
      <c r="I42" s="14">
        <v>2970</v>
      </c>
      <c r="J42" s="14">
        <v>8544</v>
      </c>
      <c r="K42" s="14">
        <v>397</v>
      </c>
    </row>
    <row r="43" spans="2:11" ht="15" customHeight="1" x14ac:dyDescent="0.25">
      <c r="B43" s="17" t="s">
        <v>328</v>
      </c>
      <c r="C43" s="14">
        <v>7215</v>
      </c>
      <c r="D43" s="14">
        <v>6707</v>
      </c>
      <c r="E43" s="14">
        <v>808</v>
      </c>
      <c r="F43" s="14">
        <v>551</v>
      </c>
      <c r="G43" s="14">
        <v>1292</v>
      </c>
      <c r="H43" s="14" t="s">
        <v>292</v>
      </c>
      <c r="I43" s="14">
        <v>1636</v>
      </c>
      <c r="J43" s="14">
        <v>4281</v>
      </c>
      <c r="K43" s="14" t="s">
        <v>292</v>
      </c>
    </row>
    <row r="44" spans="2:11" ht="15" customHeight="1" x14ac:dyDescent="0.25">
      <c r="B44" s="17" t="s">
        <v>329</v>
      </c>
      <c r="C44" s="14">
        <v>6524</v>
      </c>
      <c r="D44" s="14">
        <v>5972</v>
      </c>
      <c r="E44" s="14">
        <v>1174</v>
      </c>
      <c r="F44" s="14">
        <v>516</v>
      </c>
      <c r="G44" s="14">
        <v>1160</v>
      </c>
      <c r="H44" s="14" t="s">
        <v>292</v>
      </c>
      <c r="I44" s="14">
        <v>1395</v>
      </c>
      <c r="J44" s="14">
        <v>4076</v>
      </c>
      <c r="K44" s="14" t="s">
        <v>292</v>
      </c>
    </row>
    <row r="45" spans="2:11" ht="15" customHeight="1" x14ac:dyDescent="0.25">
      <c r="B45" s="17" t="s">
        <v>330</v>
      </c>
      <c r="C45" s="14">
        <v>5723</v>
      </c>
      <c r="D45" s="14">
        <v>5505</v>
      </c>
      <c r="E45" s="14">
        <v>826</v>
      </c>
      <c r="F45" s="14">
        <v>442</v>
      </c>
      <c r="G45" s="14">
        <v>948</v>
      </c>
      <c r="H45" s="14" t="s">
        <v>292</v>
      </c>
      <c r="I45" s="14">
        <v>1303</v>
      </c>
      <c r="J45" s="14">
        <v>3741</v>
      </c>
      <c r="K45" s="14" t="s">
        <v>292</v>
      </c>
    </row>
    <row r="46" spans="2:11" ht="24" customHeight="1" x14ac:dyDescent="0.25">
      <c r="B46" s="15" t="s">
        <v>331</v>
      </c>
      <c r="C46" s="16"/>
      <c r="D46" s="16"/>
      <c r="E46" s="16"/>
      <c r="F46" s="16"/>
      <c r="G46" s="16"/>
      <c r="H46" s="16"/>
      <c r="I46" s="16"/>
      <c r="J46" s="16"/>
      <c r="K46" s="16"/>
    </row>
    <row r="47" spans="2:11" ht="15" customHeight="1" x14ac:dyDescent="0.25">
      <c r="B47" s="17" t="s">
        <v>332</v>
      </c>
      <c r="C47" s="14">
        <v>15534</v>
      </c>
      <c r="D47" s="14">
        <v>15053</v>
      </c>
      <c r="E47" s="14">
        <v>1397</v>
      </c>
      <c r="F47" s="14">
        <v>1244</v>
      </c>
      <c r="G47" s="14">
        <v>4918</v>
      </c>
      <c r="H47" s="14">
        <v>1981</v>
      </c>
      <c r="I47" s="14">
        <v>6447</v>
      </c>
      <c r="J47" s="14">
        <v>7186</v>
      </c>
      <c r="K47" s="14" t="s">
        <v>292</v>
      </c>
    </row>
    <row r="48" spans="2:11" ht="15" customHeight="1" x14ac:dyDescent="0.25">
      <c r="B48" s="18" t="s">
        <v>333</v>
      </c>
      <c r="C48" s="14">
        <v>4302</v>
      </c>
      <c r="D48" s="14">
        <v>4090</v>
      </c>
      <c r="E48" s="14">
        <v>400</v>
      </c>
      <c r="F48" s="14">
        <v>323</v>
      </c>
      <c r="G48" s="14">
        <v>1529</v>
      </c>
      <c r="H48" s="14" t="s">
        <v>292</v>
      </c>
      <c r="I48" s="14">
        <v>1823</v>
      </c>
      <c r="J48" s="14">
        <v>1769</v>
      </c>
      <c r="K48" s="14" t="s">
        <v>292</v>
      </c>
    </row>
    <row r="49" spans="2:11" ht="15" customHeight="1" x14ac:dyDescent="0.25">
      <c r="B49" s="18" t="s">
        <v>334</v>
      </c>
      <c r="C49" s="14">
        <v>11232</v>
      </c>
      <c r="D49" s="14">
        <v>10963</v>
      </c>
      <c r="E49" s="14">
        <v>998</v>
      </c>
      <c r="F49" s="14">
        <v>922</v>
      </c>
      <c r="G49" s="14">
        <v>3389</v>
      </c>
      <c r="H49" s="14">
        <v>1628</v>
      </c>
      <c r="I49" s="14">
        <v>4624</v>
      </c>
      <c r="J49" s="14">
        <v>5417</v>
      </c>
      <c r="K49" s="14" t="s">
        <v>292</v>
      </c>
    </row>
    <row r="50" spans="2:11" ht="15" customHeight="1" x14ac:dyDescent="0.25">
      <c r="B50" s="17" t="s">
        <v>335</v>
      </c>
      <c r="C50" s="14">
        <v>18919</v>
      </c>
      <c r="D50" s="14">
        <v>18055</v>
      </c>
      <c r="E50" s="14">
        <v>1068</v>
      </c>
      <c r="F50" s="14">
        <v>2511</v>
      </c>
      <c r="G50" s="14">
        <v>5735</v>
      </c>
      <c r="H50" s="14">
        <v>906</v>
      </c>
      <c r="I50" s="14">
        <v>6666</v>
      </c>
      <c r="J50" s="14">
        <v>10894</v>
      </c>
      <c r="K50" s="14">
        <v>370</v>
      </c>
    </row>
    <row r="51" spans="2:11" ht="15" customHeight="1" x14ac:dyDescent="0.25">
      <c r="B51" s="18" t="s">
        <v>336</v>
      </c>
      <c r="C51" s="14">
        <v>12742</v>
      </c>
      <c r="D51" s="14">
        <v>12240</v>
      </c>
      <c r="E51" s="14">
        <v>632</v>
      </c>
      <c r="F51" s="14">
        <v>1756</v>
      </c>
      <c r="G51" s="14">
        <v>3668</v>
      </c>
      <c r="H51" s="14">
        <v>574</v>
      </c>
      <c r="I51" s="14">
        <v>5083</v>
      </c>
      <c r="J51" s="14">
        <v>7347</v>
      </c>
      <c r="K51" s="14" t="s">
        <v>292</v>
      </c>
    </row>
    <row r="52" spans="2:11" ht="15" customHeight="1" x14ac:dyDescent="0.25">
      <c r="B52" s="18" t="s">
        <v>337</v>
      </c>
      <c r="C52" s="14">
        <v>6178</v>
      </c>
      <c r="D52" s="14">
        <v>5815</v>
      </c>
      <c r="E52" s="14">
        <v>436</v>
      </c>
      <c r="F52" s="14">
        <v>755</v>
      </c>
      <c r="G52" s="14">
        <v>2066</v>
      </c>
      <c r="H52" s="14">
        <v>332</v>
      </c>
      <c r="I52" s="14">
        <v>1583</v>
      </c>
      <c r="J52" s="14">
        <v>3547</v>
      </c>
      <c r="K52" s="14" t="s">
        <v>292</v>
      </c>
    </row>
    <row r="53" spans="2:11" ht="15" customHeight="1" x14ac:dyDescent="0.25">
      <c r="B53" s="17" t="s">
        <v>338</v>
      </c>
      <c r="C53" s="14">
        <v>34279</v>
      </c>
      <c r="D53" s="14">
        <v>30499</v>
      </c>
      <c r="E53" s="14">
        <v>6927</v>
      </c>
      <c r="F53" s="14">
        <v>3363</v>
      </c>
      <c r="G53" s="14">
        <v>6519</v>
      </c>
      <c r="H53" s="14">
        <v>2171</v>
      </c>
      <c r="I53" s="14">
        <v>5784</v>
      </c>
      <c r="J53" s="14">
        <v>20049</v>
      </c>
      <c r="K53" s="14">
        <v>550</v>
      </c>
    </row>
    <row r="54" spans="2:11" ht="15" customHeight="1" x14ac:dyDescent="0.25">
      <c r="B54" s="18" t="s">
        <v>339</v>
      </c>
      <c r="C54" s="14">
        <v>17981</v>
      </c>
      <c r="D54" s="14">
        <v>15883</v>
      </c>
      <c r="E54" s="14">
        <v>4909</v>
      </c>
      <c r="F54" s="14">
        <v>1234</v>
      </c>
      <c r="G54" s="14">
        <v>3328</v>
      </c>
      <c r="H54" s="14">
        <v>1148</v>
      </c>
      <c r="I54" s="14">
        <v>3247</v>
      </c>
      <c r="J54" s="14">
        <v>10168</v>
      </c>
      <c r="K54" s="14" t="s">
        <v>292</v>
      </c>
    </row>
    <row r="55" spans="2:11" ht="15" customHeight="1" x14ac:dyDescent="0.25">
      <c r="B55" s="18" t="s">
        <v>340</v>
      </c>
      <c r="C55" s="14">
        <v>4904</v>
      </c>
      <c r="D55" s="14">
        <v>4692</v>
      </c>
      <c r="E55" s="14">
        <v>844</v>
      </c>
      <c r="F55" s="14">
        <v>530</v>
      </c>
      <c r="G55" s="14">
        <v>1295</v>
      </c>
      <c r="H55" s="14" t="s">
        <v>292</v>
      </c>
      <c r="I55" s="14">
        <v>1077</v>
      </c>
      <c r="J55" s="14">
        <v>3136</v>
      </c>
      <c r="K55" s="14" t="s">
        <v>292</v>
      </c>
    </row>
    <row r="56" spans="2:11" ht="15" customHeight="1" x14ac:dyDescent="0.25">
      <c r="B56" s="18" t="s">
        <v>341</v>
      </c>
      <c r="C56" s="14">
        <v>11394</v>
      </c>
      <c r="D56" s="14">
        <v>9923</v>
      </c>
      <c r="E56" s="14">
        <v>1174</v>
      </c>
      <c r="F56" s="14">
        <v>1599</v>
      </c>
      <c r="G56" s="14">
        <v>1896</v>
      </c>
      <c r="H56" s="14">
        <v>637</v>
      </c>
      <c r="I56" s="14">
        <v>1460</v>
      </c>
      <c r="J56" s="14">
        <v>6745</v>
      </c>
      <c r="K56" s="14" t="s">
        <v>292</v>
      </c>
    </row>
    <row r="57" spans="2:11" ht="15" customHeight="1" x14ac:dyDescent="0.25">
      <c r="B57" s="17" t="s">
        <v>342</v>
      </c>
      <c r="C57" s="14">
        <v>18360</v>
      </c>
      <c r="D57" s="14">
        <v>16471</v>
      </c>
      <c r="E57" s="14">
        <v>2453</v>
      </c>
      <c r="F57" s="14">
        <v>1536</v>
      </c>
      <c r="G57" s="14">
        <v>3594</v>
      </c>
      <c r="H57" s="14">
        <v>867</v>
      </c>
      <c r="I57" s="14">
        <v>3545</v>
      </c>
      <c r="J57" s="14">
        <v>11059</v>
      </c>
      <c r="K57" s="14">
        <v>339</v>
      </c>
    </row>
    <row r="58" spans="2:11" ht="15" customHeight="1" x14ac:dyDescent="0.25">
      <c r="B58" s="18" t="s">
        <v>343</v>
      </c>
      <c r="C58" s="14">
        <v>4981</v>
      </c>
      <c r="D58" s="14">
        <v>4704</v>
      </c>
      <c r="E58" s="14">
        <v>498</v>
      </c>
      <c r="F58" s="14">
        <v>554</v>
      </c>
      <c r="G58" s="14">
        <v>1197</v>
      </c>
      <c r="H58" s="14">
        <v>482</v>
      </c>
      <c r="I58" s="14">
        <v>1150</v>
      </c>
      <c r="J58" s="14">
        <v>2967</v>
      </c>
      <c r="K58" s="14" t="s">
        <v>292</v>
      </c>
    </row>
    <row r="59" spans="2:11" ht="15" customHeight="1" x14ac:dyDescent="0.25">
      <c r="B59" s="18" t="s">
        <v>344</v>
      </c>
      <c r="C59" s="14">
        <v>13379</v>
      </c>
      <c r="D59" s="14">
        <v>11767</v>
      </c>
      <c r="E59" s="14">
        <v>1955</v>
      </c>
      <c r="F59" s="14">
        <v>983</v>
      </c>
      <c r="G59" s="14">
        <v>2397</v>
      </c>
      <c r="H59" s="14">
        <v>385</v>
      </c>
      <c r="I59" s="14">
        <v>2395</v>
      </c>
      <c r="J59" s="14">
        <v>8092</v>
      </c>
      <c r="K59" s="14">
        <v>242</v>
      </c>
    </row>
    <row r="60" spans="2:11" ht="24" customHeight="1" x14ac:dyDescent="0.25">
      <c r="B60" s="15" t="s">
        <v>345</v>
      </c>
      <c r="C60" s="15"/>
      <c r="D60" s="15"/>
      <c r="E60" s="15"/>
      <c r="F60" s="15"/>
      <c r="G60" s="15"/>
      <c r="H60" s="15"/>
      <c r="I60" s="15"/>
      <c r="J60" s="15"/>
      <c r="K60" s="15"/>
    </row>
    <row r="61" spans="2:11" x14ac:dyDescent="0.25">
      <c r="B61" s="17" t="s">
        <v>346</v>
      </c>
      <c r="C61" s="14">
        <v>31898</v>
      </c>
      <c r="D61" s="14">
        <v>30469</v>
      </c>
      <c r="E61" s="14">
        <v>2150</v>
      </c>
      <c r="F61" s="14">
        <v>3558</v>
      </c>
      <c r="G61" s="14">
        <v>10128</v>
      </c>
      <c r="H61" s="14">
        <v>1926</v>
      </c>
      <c r="I61" s="14">
        <v>11556</v>
      </c>
      <c r="J61" s="14">
        <v>17640</v>
      </c>
      <c r="K61" s="14">
        <v>824</v>
      </c>
    </row>
    <row r="62" spans="2:11" x14ac:dyDescent="0.25">
      <c r="B62" s="17" t="s">
        <v>347</v>
      </c>
      <c r="C62" s="14">
        <v>27873</v>
      </c>
      <c r="D62" s="14">
        <v>26716</v>
      </c>
      <c r="E62" s="14">
        <v>6182</v>
      </c>
      <c r="F62" s="14">
        <v>3009</v>
      </c>
      <c r="G62" s="14">
        <v>6697</v>
      </c>
      <c r="H62" s="14">
        <v>3002</v>
      </c>
      <c r="I62" s="14">
        <v>7029</v>
      </c>
      <c r="J62" s="14">
        <v>15485</v>
      </c>
      <c r="K62" s="14">
        <v>487</v>
      </c>
    </row>
    <row r="63" spans="2:11" x14ac:dyDescent="0.25">
      <c r="B63" s="17" t="s">
        <v>348</v>
      </c>
      <c r="C63" s="14">
        <v>12037</v>
      </c>
      <c r="D63" s="14">
        <v>10484</v>
      </c>
      <c r="E63" s="14">
        <v>1669</v>
      </c>
      <c r="F63" s="14">
        <v>995</v>
      </c>
      <c r="G63" s="14">
        <v>1703</v>
      </c>
      <c r="H63" s="14" t="s">
        <v>292</v>
      </c>
      <c r="I63" s="14">
        <v>1777</v>
      </c>
      <c r="J63" s="14">
        <v>7351</v>
      </c>
      <c r="K63" s="14" t="s">
        <v>292</v>
      </c>
    </row>
    <row r="64" spans="2:11" x14ac:dyDescent="0.25">
      <c r="B64" s="17" t="s">
        <v>349</v>
      </c>
      <c r="C64" s="14">
        <v>12831</v>
      </c>
      <c r="D64" s="14">
        <v>10090</v>
      </c>
      <c r="E64" s="14">
        <v>1387</v>
      </c>
      <c r="F64" s="14">
        <v>937</v>
      </c>
      <c r="G64" s="14">
        <v>1607</v>
      </c>
      <c r="H64" s="14">
        <v>362</v>
      </c>
      <c r="I64" s="14">
        <v>1499</v>
      </c>
      <c r="J64" s="14">
        <v>7217</v>
      </c>
      <c r="K64" s="14" t="s">
        <v>292</v>
      </c>
    </row>
    <row r="65" spans="2:11" x14ac:dyDescent="0.25">
      <c r="B65" s="17" t="s">
        <v>350</v>
      </c>
      <c r="C65" s="14">
        <v>2454</v>
      </c>
      <c r="D65" s="14">
        <v>2319</v>
      </c>
      <c r="E65" s="14">
        <v>458</v>
      </c>
      <c r="F65" s="14" t="s">
        <v>292</v>
      </c>
      <c r="G65" s="14">
        <v>631</v>
      </c>
      <c r="H65" s="14" t="s">
        <v>292</v>
      </c>
      <c r="I65" s="14">
        <v>581</v>
      </c>
      <c r="J65" s="14">
        <v>1495</v>
      </c>
      <c r="K65" s="14" t="s">
        <v>292</v>
      </c>
    </row>
    <row r="66" spans="2:11" ht="24" customHeight="1" x14ac:dyDescent="0.25">
      <c r="B66" s="15" t="s">
        <v>351</v>
      </c>
      <c r="C66" s="15"/>
      <c r="D66" s="15"/>
      <c r="E66" s="15"/>
      <c r="F66" s="15"/>
      <c r="G66" s="15"/>
      <c r="H66" s="15"/>
      <c r="I66" s="15"/>
      <c r="J66" s="15"/>
      <c r="K66" s="15"/>
    </row>
    <row r="67" spans="2:11" x14ac:dyDescent="0.25">
      <c r="B67" s="17" t="s">
        <v>352</v>
      </c>
      <c r="C67" s="14">
        <v>39809</v>
      </c>
      <c r="D67" s="14">
        <v>34513</v>
      </c>
      <c r="E67" s="14">
        <v>4642</v>
      </c>
      <c r="F67" s="14">
        <v>4356</v>
      </c>
      <c r="G67" s="14">
        <v>8857</v>
      </c>
      <c r="H67" s="14" t="s">
        <v>292</v>
      </c>
      <c r="I67" s="14">
        <v>4257</v>
      </c>
      <c r="J67" s="14">
        <v>24999</v>
      </c>
      <c r="K67" s="14">
        <v>1127</v>
      </c>
    </row>
    <row r="68" spans="2:11" x14ac:dyDescent="0.25">
      <c r="B68" s="17" t="s">
        <v>353</v>
      </c>
      <c r="C68" s="14">
        <v>20206</v>
      </c>
      <c r="D68" s="14">
        <v>19411</v>
      </c>
      <c r="E68" s="14">
        <v>2844</v>
      </c>
      <c r="F68" s="14">
        <v>2518</v>
      </c>
      <c r="G68" s="14">
        <v>4987</v>
      </c>
      <c r="H68" s="14" t="s">
        <v>292</v>
      </c>
      <c r="I68" s="14">
        <v>5762</v>
      </c>
      <c r="J68" s="14">
        <v>13422</v>
      </c>
      <c r="K68" s="14">
        <v>297</v>
      </c>
    </row>
    <row r="69" spans="2:11" x14ac:dyDescent="0.25">
      <c r="B69" s="17" t="s">
        <v>354</v>
      </c>
      <c r="C69" s="14">
        <v>8140</v>
      </c>
      <c r="D69" s="14">
        <v>7896</v>
      </c>
      <c r="E69" s="14">
        <v>1229</v>
      </c>
      <c r="F69" s="14">
        <v>857</v>
      </c>
      <c r="G69" s="14">
        <v>2150</v>
      </c>
      <c r="H69" s="14">
        <v>544</v>
      </c>
      <c r="I69" s="14">
        <v>3667</v>
      </c>
      <c r="J69" s="14">
        <v>3918</v>
      </c>
      <c r="K69" s="14" t="s">
        <v>292</v>
      </c>
    </row>
    <row r="70" spans="2:11" x14ac:dyDescent="0.25">
      <c r="B70" s="17" t="s">
        <v>355</v>
      </c>
      <c r="C70" s="14">
        <v>13535</v>
      </c>
      <c r="D70" s="14">
        <v>12992</v>
      </c>
      <c r="E70" s="14">
        <v>2089</v>
      </c>
      <c r="F70" s="14">
        <v>826</v>
      </c>
      <c r="G70" s="14">
        <v>3398</v>
      </c>
      <c r="H70" s="14">
        <v>2791</v>
      </c>
      <c r="I70" s="14">
        <v>6521</v>
      </c>
      <c r="J70" s="14">
        <v>5180</v>
      </c>
      <c r="K70" s="14" t="s">
        <v>292</v>
      </c>
    </row>
    <row r="71" spans="2:11" x14ac:dyDescent="0.25">
      <c r="B71" s="17" t="s">
        <v>356</v>
      </c>
      <c r="C71" s="14">
        <v>5404</v>
      </c>
      <c r="D71" s="14">
        <v>5265</v>
      </c>
      <c r="E71" s="14">
        <v>1041</v>
      </c>
      <c r="F71" s="14" t="s">
        <v>292</v>
      </c>
      <c r="G71" s="14">
        <v>1374</v>
      </c>
      <c r="H71" s="14">
        <v>1900</v>
      </c>
      <c r="I71" s="14">
        <v>2236</v>
      </c>
      <c r="J71" s="14">
        <v>1669</v>
      </c>
      <c r="K71" s="14" t="s">
        <v>292</v>
      </c>
    </row>
    <row r="72" spans="2:11" ht="24" customHeight="1" x14ac:dyDescent="0.25">
      <c r="B72" s="15" t="s">
        <v>357</v>
      </c>
      <c r="C72" s="21"/>
      <c r="D72" s="21"/>
      <c r="E72" s="21"/>
      <c r="F72" s="21"/>
      <c r="G72" s="21"/>
      <c r="H72" s="21"/>
      <c r="I72" s="21"/>
      <c r="J72" s="21"/>
      <c r="K72" s="21"/>
    </row>
    <row r="73" spans="2:11" ht="15" customHeight="1" x14ac:dyDescent="0.25">
      <c r="B73" s="17" t="s">
        <v>358</v>
      </c>
      <c r="C73" s="14">
        <v>17751</v>
      </c>
      <c r="D73" s="14">
        <v>12931</v>
      </c>
      <c r="E73" s="14">
        <v>1366</v>
      </c>
      <c r="F73" s="14">
        <v>1921</v>
      </c>
      <c r="G73" s="14">
        <v>3710</v>
      </c>
      <c r="H73" s="14" t="s">
        <v>292</v>
      </c>
      <c r="I73" s="14">
        <v>1908</v>
      </c>
      <c r="J73" s="14">
        <v>6967</v>
      </c>
      <c r="K73" s="14" t="s">
        <v>292</v>
      </c>
    </row>
    <row r="74" spans="2:11" ht="15" customHeight="1" x14ac:dyDescent="0.25">
      <c r="B74" s="17" t="s">
        <v>359</v>
      </c>
      <c r="C74" s="14">
        <v>8973</v>
      </c>
      <c r="D74" s="14">
        <v>8492</v>
      </c>
      <c r="E74" s="14">
        <v>1230</v>
      </c>
      <c r="F74" s="14">
        <v>1264</v>
      </c>
      <c r="G74" s="14">
        <v>2274</v>
      </c>
      <c r="H74" s="14" t="s">
        <v>292</v>
      </c>
      <c r="I74" s="14">
        <v>982</v>
      </c>
      <c r="J74" s="14">
        <v>5320</v>
      </c>
      <c r="K74" s="14" t="s">
        <v>292</v>
      </c>
    </row>
    <row r="75" spans="2:11" ht="15" customHeight="1" x14ac:dyDescent="0.25">
      <c r="B75" s="17" t="s">
        <v>360</v>
      </c>
      <c r="C75" s="14">
        <v>9623</v>
      </c>
      <c r="D75" s="14">
        <v>8970</v>
      </c>
      <c r="E75" s="14">
        <v>1234</v>
      </c>
      <c r="F75" s="14">
        <v>1758</v>
      </c>
      <c r="G75" s="14">
        <v>2219</v>
      </c>
      <c r="H75" s="14" t="s">
        <v>292</v>
      </c>
      <c r="I75" s="14">
        <v>1219</v>
      </c>
      <c r="J75" s="14">
        <v>6041</v>
      </c>
      <c r="K75" s="14" t="s">
        <v>292</v>
      </c>
    </row>
    <row r="76" spans="2:11" ht="15" customHeight="1" x14ac:dyDescent="0.25">
      <c r="B76" s="17" t="s">
        <v>361</v>
      </c>
      <c r="C76" s="14">
        <v>14514</v>
      </c>
      <c r="D76" s="14">
        <v>14126</v>
      </c>
      <c r="E76" s="14">
        <v>2268</v>
      </c>
      <c r="F76" s="14">
        <v>1678</v>
      </c>
      <c r="G76" s="14">
        <v>3752</v>
      </c>
      <c r="H76" s="14">
        <v>623</v>
      </c>
      <c r="I76" s="14">
        <v>3764</v>
      </c>
      <c r="J76" s="14">
        <v>9817</v>
      </c>
      <c r="K76" s="14">
        <v>448</v>
      </c>
    </row>
    <row r="77" spans="2:11" ht="15" customHeight="1" x14ac:dyDescent="0.25">
      <c r="B77" s="17" t="s">
        <v>362</v>
      </c>
      <c r="C77" s="14">
        <v>13476</v>
      </c>
      <c r="D77" s="14">
        <v>13184</v>
      </c>
      <c r="E77" s="14">
        <v>2409</v>
      </c>
      <c r="F77" s="14">
        <v>1278</v>
      </c>
      <c r="G77" s="14">
        <v>3323</v>
      </c>
      <c r="H77" s="14">
        <v>669</v>
      </c>
      <c r="I77" s="14">
        <v>4610</v>
      </c>
      <c r="J77" s="14">
        <v>9055</v>
      </c>
      <c r="K77" s="14" t="s">
        <v>292</v>
      </c>
    </row>
    <row r="78" spans="2:11" ht="15" customHeight="1" x14ac:dyDescent="0.25">
      <c r="B78" s="17" t="s">
        <v>363</v>
      </c>
      <c r="C78" s="14">
        <v>10941</v>
      </c>
      <c r="D78" s="14">
        <v>10805</v>
      </c>
      <c r="E78" s="14">
        <v>1490</v>
      </c>
      <c r="F78" s="14">
        <v>387</v>
      </c>
      <c r="G78" s="14">
        <v>2390</v>
      </c>
      <c r="H78" s="14">
        <v>1096</v>
      </c>
      <c r="I78" s="14">
        <v>4938</v>
      </c>
      <c r="J78" s="14">
        <v>6596</v>
      </c>
      <c r="K78" s="14">
        <v>422</v>
      </c>
    </row>
    <row r="79" spans="2:11" ht="15" customHeight="1" x14ac:dyDescent="0.25">
      <c r="B79" s="17" t="s">
        <v>364</v>
      </c>
      <c r="C79" s="14">
        <v>11815</v>
      </c>
      <c r="D79" s="14">
        <v>11570</v>
      </c>
      <c r="E79" s="14">
        <v>1849</v>
      </c>
      <c r="F79" s="14">
        <v>367</v>
      </c>
      <c r="G79" s="14">
        <v>3097</v>
      </c>
      <c r="H79" s="14">
        <v>3053</v>
      </c>
      <c r="I79" s="14">
        <v>5021</v>
      </c>
      <c r="J79" s="14">
        <v>5393</v>
      </c>
      <c r="K79" s="14" t="s">
        <v>292</v>
      </c>
    </row>
    <row r="80" spans="2:11" ht="24" customHeight="1" x14ac:dyDescent="0.25">
      <c r="B80" s="15" t="s">
        <v>365</v>
      </c>
      <c r="C80" s="21"/>
      <c r="D80" s="21"/>
      <c r="E80" s="21"/>
      <c r="F80" s="21"/>
      <c r="G80" s="21"/>
      <c r="H80" s="21"/>
      <c r="I80" s="21"/>
      <c r="J80" s="21"/>
      <c r="K80" s="21"/>
    </row>
    <row r="81" spans="2:11" ht="15" customHeight="1" x14ac:dyDescent="0.25">
      <c r="B81" s="17" t="s">
        <v>366</v>
      </c>
      <c r="C81" s="14">
        <v>8220</v>
      </c>
      <c r="D81" s="14">
        <v>5763</v>
      </c>
      <c r="E81" s="14">
        <v>617</v>
      </c>
      <c r="F81" s="14">
        <v>980</v>
      </c>
      <c r="G81" s="14">
        <v>1222</v>
      </c>
      <c r="H81" s="14" t="s">
        <v>292</v>
      </c>
      <c r="I81" s="14">
        <v>1180</v>
      </c>
      <c r="J81" s="14">
        <v>3012</v>
      </c>
      <c r="K81" s="14" t="s">
        <v>292</v>
      </c>
    </row>
    <row r="82" spans="2:11" ht="15" customHeight="1" x14ac:dyDescent="0.25">
      <c r="B82" s="17" t="s">
        <v>367</v>
      </c>
      <c r="C82" s="14">
        <v>15828</v>
      </c>
      <c r="D82" s="14">
        <v>14867</v>
      </c>
      <c r="E82" s="14">
        <v>2230</v>
      </c>
      <c r="F82" s="14">
        <v>2020</v>
      </c>
      <c r="G82" s="14">
        <v>3696</v>
      </c>
      <c r="H82" s="14">
        <v>403</v>
      </c>
      <c r="I82" s="14">
        <v>3907</v>
      </c>
      <c r="J82" s="14">
        <v>8633</v>
      </c>
      <c r="K82" s="14" t="s">
        <v>292</v>
      </c>
    </row>
    <row r="83" spans="2:11" ht="15" customHeight="1" x14ac:dyDescent="0.25">
      <c r="B83" s="17" t="s">
        <v>368</v>
      </c>
      <c r="C83" s="14">
        <v>20529</v>
      </c>
      <c r="D83" s="14">
        <v>19365</v>
      </c>
      <c r="E83" s="14">
        <v>3183</v>
      </c>
      <c r="F83" s="14">
        <v>2268</v>
      </c>
      <c r="G83" s="14">
        <v>4971</v>
      </c>
      <c r="H83" s="14">
        <v>1099</v>
      </c>
      <c r="I83" s="14">
        <v>5496</v>
      </c>
      <c r="J83" s="14">
        <v>11950</v>
      </c>
      <c r="K83" s="14" t="s">
        <v>292</v>
      </c>
    </row>
    <row r="84" spans="2:11" ht="15" customHeight="1" x14ac:dyDescent="0.25">
      <c r="B84" s="17" t="s">
        <v>369</v>
      </c>
      <c r="C84" s="14">
        <v>15867</v>
      </c>
      <c r="D84" s="14">
        <v>15148</v>
      </c>
      <c r="E84" s="14">
        <v>2427</v>
      </c>
      <c r="F84" s="14">
        <v>1262</v>
      </c>
      <c r="G84" s="14">
        <v>3999</v>
      </c>
      <c r="H84" s="14">
        <v>828</v>
      </c>
      <c r="I84" s="14">
        <v>3993</v>
      </c>
      <c r="J84" s="14">
        <v>10640</v>
      </c>
      <c r="K84" s="14">
        <v>443</v>
      </c>
    </row>
    <row r="85" spans="2:11" ht="15" customHeight="1" x14ac:dyDescent="0.25">
      <c r="B85" s="17" t="s">
        <v>370</v>
      </c>
      <c r="C85" s="14">
        <v>9395</v>
      </c>
      <c r="D85" s="14">
        <v>8711</v>
      </c>
      <c r="E85" s="14">
        <v>724</v>
      </c>
      <c r="F85" s="14">
        <v>878</v>
      </c>
      <c r="G85" s="14">
        <v>2183</v>
      </c>
      <c r="H85" s="14">
        <v>631</v>
      </c>
      <c r="I85" s="14">
        <v>2266</v>
      </c>
      <c r="J85" s="14">
        <v>6372</v>
      </c>
      <c r="K85" s="14">
        <v>364</v>
      </c>
    </row>
    <row r="86" spans="2:11" ht="15" customHeight="1" x14ac:dyDescent="0.25">
      <c r="B86" s="17" t="s">
        <v>371</v>
      </c>
      <c r="C86" s="14">
        <v>17253</v>
      </c>
      <c r="D86" s="14">
        <v>16224</v>
      </c>
      <c r="E86" s="14">
        <v>2666</v>
      </c>
      <c r="F86" s="14">
        <v>1246</v>
      </c>
      <c r="G86" s="14">
        <v>4696</v>
      </c>
      <c r="H86" s="14">
        <v>2792</v>
      </c>
      <c r="I86" s="14">
        <v>5601</v>
      </c>
      <c r="J86" s="14">
        <v>8582</v>
      </c>
      <c r="K86" s="14" t="s">
        <v>292</v>
      </c>
    </row>
    <row r="87" spans="2:11" ht="24" customHeight="1" x14ac:dyDescent="0.25">
      <c r="B87" s="15" t="s">
        <v>372</v>
      </c>
      <c r="C87" s="21"/>
      <c r="D87" s="21"/>
      <c r="E87" s="21"/>
      <c r="F87" s="21"/>
      <c r="G87" s="21"/>
      <c r="H87" s="21"/>
      <c r="I87" s="21"/>
      <c r="J87" s="21"/>
      <c r="K87" s="21"/>
    </row>
    <row r="88" spans="2:11" ht="15" customHeight="1" x14ac:dyDescent="0.25">
      <c r="B88" s="17" t="s">
        <v>373</v>
      </c>
      <c r="C88" s="14">
        <v>67550</v>
      </c>
      <c r="D88" s="14">
        <v>61341</v>
      </c>
      <c r="E88" s="14">
        <v>8500</v>
      </c>
      <c r="F88" s="14">
        <v>7472</v>
      </c>
      <c r="G88" s="14">
        <v>16206</v>
      </c>
      <c r="H88" s="14">
        <v>3119</v>
      </c>
      <c r="I88" s="14">
        <v>13405</v>
      </c>
      <c r="J88" s="14">
        <v>40336</v>
      </c>
      <c r="K88" s="14">
        <v>1316</v>
      </c>
    </row>
    <row r="89" spans="2:11" ht="15" customHeight="1" x14ac:dyDescent="0.25">
      <c r="B89" s="18" t="s">
        <v>374</v>
      </c>
      <c r="C89" s="14">
        <v>30637</v>
      </c>
      <c r="D89" s="14">
        <v>28745</v>
      </c>
      <c r="E89" s="14">
        <v>3841</v>
      </c>
      <c r="F89" s="14">
        <v>3629</v>
      </c>
      <c r="G89" s="14">
        <v>7363</v>
      </c>
      <c r="H89" s="14">
        <v>1825</v>
      </c>
      <c r="I89" s="14">
        <v>6663</v>
      </c>
      <c r="J89" s="14">
        <v>17635</v>
      </c>
      <c r="K89" s="14">
        <v>214</v>
      </c>
    </row>
    <row r="90" spans="2:11" ht="15" customHeight="1" x14ac:dyDescent="0.25">
      <c r="B90" s="18" t="s">
        <v>375</v>
      </c>
      <c r="C90" s="14">
        <v>26115</v>
      </c>
      <c r="D90" s="14">
        <v>23766</v>
      </c>
      <c r="E90" s="14">
        <v>3022</v>
      </c>
      <c r="F90" s="14">
        <v>2880</v>
      </c>
      <c r="G90" s="14">
        <v>6507</v>
      </c>
      <c r="H90" s="14">
        <v>730</v>
      </c>
      <c r="I90" s="14">
        <v>4091</v>
      </c>
      <c r="J90" s="14">
        <v>17239</v>
      </c>
      <c r="K90" s="14">
        <v>1021</v>
      </c>
    </row>
    <row r="91" spans="2:11" ht="15" customHeight="1" x14ac:dyDescent="0.25">
      <c r="B91" s="18" t="s">
        <v>376</v>
      </c>
      <c r="C91" s="14">
        <v>8873</v>
      </c>
      <c r="D91" s="14">
        <v>8328</v>
      </c>
      <c r="E91" s="14">
        <v>1597</v>
      </c>
      <c r="F91" s="14">
        <v>900</v>
      </c>
      <c r="G91" s="14">
        <v>2284</v>
      </c>
      <c r="H91" s="14">
        <v>557</v>
      </c>
      <c r="I91" s="14">
        <v>2590</v>
      </c>
      <c r="J91" s="14">
        <v>5102</v>
      </c>
      <c r="K91" s="14" t="s">
        <v>292</v>
      </c>
    </row>
    <row r="92" spans="2:11" ht="15" customHeight="1" x14ac:dyDescent="0.25">
      <c r="B92" s="18" t="s">
        <v>377</v>
      </c>
      <c r="C92" s="14">
        <v>1925</v>
      </c>
      <c r="D92" s="14">
        <v>502</v>
      </c>
      <c r="E92" s="14" t="s">
        <v>292</v>
      </c>
      <c r="F92" s="14" t="s">
        <v>292</v>
      </c>
      <c r="G92" s="14" t="s">
        <v>292</v>
      </c>
      <c r="H92" s="14" t="s">
        <v>292</v>
      </c>
      <c r="I92" s="14" t="s">
        <v>292</v>
      </c>
      <c r="J92" s="14">
        <v>360</v>
      </c>
      <c r="K92" s="14" t="s">
        <v>292</v>
      </c>
    </row>
    <row r="93" spans="2:11" ht="15" customHeight="1" x14ac:dyDescent="0.25">
      <c r="B93" s="17" t="s">
        <v>378</v>
      </c>
      <c r="C93" s="14">
        <v>19543</v>
      </c>
      <c r="D93" s="14">
        <v>18736</v>
      </c>
      <c r="E93" s="14">
        <v>3346</v>
      </c>
      <c r="F93" s="14">
        <v>1182</v>
      </c>
      <c r="G93" s="14">
        <v>4561</v>
      </c>
      <c r="H93" s="14">
        <v>2807</v>
      </c>
      <c r="I93" s="14">
        <v>9038</v>
      </c>
      <c r="J93" s="14">
        <v>8852</v>
      </c>
      <c r="K93" s="14" t="s">
        <v>292</v>
      </c>
    </row>
    <row r="94" spans="2:11" ht="15" customHeight="1" x14ac:dyDescent="0.25">
      <c r="B94" s="18" t="s">
        <v>379</v>
      </c>
      <c r="C94" s="14">
        <v>1573</v>
      </c>
      <c r="D94" s="14">
        <v>1557</v>
      </c>
      <c r="E94" s="14">
        <v>212</v>
      </c>
      <c r="F94" s="14" t="s">
        <v>292</v>
      </c>
      <c r="G94" s="14">
        <v>558</v>
      </c>
      <c r="H94" s="14">
        <v>697</v>
      </c>
      <c r="I94" s="14">
        <v>471</v>
      </c>
      <c r="J94" s="14">
        <v>495</v>
      </c>
      <c r="K94" s="14" t="s">
        <v>292</v>
      </c>
    </row>
    <row r="95" spans="2:11" ht="15" customHeight="1" x14ac:dyDescent="0.25">
      <c r="B95" s="18" t="s">
        <v>380</v>
      </c>
      <c r="C95" s="14">
        <v>5539</v>
      </c>
      <c r="D95" s="14">
        <v>5411</v>
      </c>
      <c r="E95" s="14">
        <v>636</v>
      </c>
      <c r="F95" s="14">
        <v>378</v>
      </c>
      <c r="G95" s="14">
        <v>1375</v>
      </c>
      <c r="H95" s="14">
        <v>1526</v>
      </c>
      <c r="I95" s="14">
        <v>2305</v>
      </c>
      <c r="J95" s="14">
        <v>2213</v>
      </c>
      <c r="K95" s="14" t="s">
        <v>292</v>
      </c>
    </row>
    <row r="96" spans="2:11" ht="15" customHeight="1" x14ac:dyDescent="0.25">
      <c r="B96" s="18" t="s">
        <v>381</v>
      </c>
      <c r="C96" s="14">
        <v>12431</v>
      </c>
      <c r="D96" s="14">
        <v>11768</v>
      </c>
      <c r="E96" s="14">
        <v>2497</v>
      </c>
      <c r="F96" s="14">
        <v>753</v>
      </c>
      <c r="G96" s="14">
        <v>2628</v>
      </c>
      <c r="H96" s="14">
        <v>584</v>
      </c>
      <c r="I96" s="14">
        <v>6263</v>
      </c>
      <c r="J96" s="14">
        <v>6144</v>
      </c>
      <c r="K96" s="14" t="s">
        <v>292</v>
      </c>
    </row>
    <row r="97" spans="2:11" ht="45.95" customHeight="1" x14ac:dyDescent="0.25">
      <c r="B97" s="15" t="s">
        <v>382</v>
      </c>
      <c r="C97" s="21"/>
      <c r="D97" s="21"/>
      <c r="E97" s="21"/>
      <c r="F97" s="21"/>
      <c r="G97" s="21"/>
      <c r="H97" s="21"/>
      <c r="I97" s="21"/>
      <c r="J97" s="21"/>
      <c r="K97" s="21"/>
    </row>
    <row r="98" spans="2:11" ht="15" customHeight="1" x14ac:dyDescent="0.25">
      <c r="B98" s="17" t="s">
        <v>383</v>
      </c>
      <c r="C98" s="14">
        <v>73702</v>
      </c>
      <c r="D98" s="14">
        <v>67644</v>
      </c>
      <c r="E98" s="14">
        <v>10210</v>
      </c>
      <c r="F98" s="14">
        <v>7076</v>
      </c>
      <c r="G98" s="14">
        <v>17425</v>
      </c>
      <c r="H98" s="14">
        <v>5737</v>
      </c>
      <c r="I98" s="14">
        <v>20588</v>
      </c>
      <c r="J98" s="14">
        <v>39517</v>
      </c>
      <c r="K98" s="14">
        <v>1008</v>
      </c>
    </row>
    <row r="99" spans="2:11" ht="15" customHeight="1" x14ac:dyDescent="0.25">
      <c r="B99" s="17" t="s">
        <v>384</v>
      </c>
      <c r="C99" s="14">
        <v>11309</v>
      </c>
      <c r="D99" s="14">
        <v>10534</v>
      </c>
      <c r="E99" s="14">
        <v>1240</v>
      </c>
      <c r="F99" s="14">
        <v>1325</v>
      </c>
      <c r="G99" s="14">
        <v>2895</v>
      </c>
      <c r="H99" s="14" t="s">
        <v>292</v>
      </c>
      <c r="I99" s="14">
        <v>1363</v>
      </c>
      <c r="J99" s="14">
        <v>8598</v>
      </c>
      <c r="K99" s="14">
        <v>549</v>
      </c>
    </row>
    <row r="100" spans="2:11" ht="15" customHeight="1" x14ac:dyDescent="0.25">
      <c r="B100" s="17" t="s">
        <v>385</v>
      </c>
      <c r="C100" s="14">
        <v>1250</v>
      </c>
      <c r="D100" s="14">
        <v>1073</v>
      </c>
      <c r="E100" s="14" t="s">
        <v>292</v>
      </c>
      <c r="F100" s="14" t="s">
        <v>292</v>
      </c>
      <c r="G100" s="14">
        <v>227</v>
      </c>
      <c r="H100" s="14" t="s">
        <v>292</v>
      </c>
      <c r="I100" s="14">
        <v>273</v>
      </c>
      <c r="J100" s="14">
        <v>652</v>
      </c>
      <c r="K100" s="14" t="s">
        <v>292</v>
      </c>
    </row>
    <row r="101" spans="2:11" ht="15" customHeight="1" x14ac:dyDescent="0.25">
      <c r="B101" s="17" t="s">
        <v>69</v>
      </c>
      <c r="C101" s="14">
        <v>832</v>
      </c>
      <c r="D101" s="14">
        <v>826</v>
      </c>
      <c r="E101" s="14" t="s">
        <v>292</v>
      </c>
      <c r="F101" s="14" t="s">
        <v>292</v>
      </c>
      <c r="G101" s="14" t="s">
        <v>292</v>
      </c>
      <c r="H101" s="14" t="s">
        <v>292</v>
      </c>
      <c r="I101" s="14">
        <v>219</v>
      </c>
      <c r="J101" s="14">
        <v>422</v>
      </c>
      <c r="K101" s="14" t="s">
        <v>303</v>
      </c>
    </row>
    <row r="102" spans="2:11" ht="33.950000000000003" customHeight="1" x14ac:dyDescent="0.25">
      <c r="B102" s="15" t="s">
        <v>386</v>
      </c>
      <c r="C102" s="21"/>
      <c r="D102" s="21"/>
      <c r="E102" s="21"/>
      <c r="F102" s="21"/>
      <c r="G102" s="21"/>
      <c r="H102" s="21"/>
      <c r="I102" s="21"/>
      <c r="J102" s="21"/>
      <c r="K102" s="21"/>
    </row>
    <row r="103" spans="2:11" ht="15" customHeight="1" x14ac:dyDescent="0.25">
      <c r="B103" s="17" t="s">
        <v>383</v>
      </c>
      <c r="C103" s="22">
        <v>76271</v>
      </c>
      <c r="D103" s="22">
        <v>70099</v>
      </c>
      <c r="E103" s="22">
        <v>10579</v>
      </c>
      <c r="F103" s="22">
        <v>7554</v>
      </c>
      <c r="G103" s="22">
        <v>17932</v>
      </c>
      <c r="H103" s="22">
        <v>5694</v>
      </c>
      <c r="I103" s="22">
        <v>20908</v>
      </c>
      <c r="J103" s="22">
        <v>41565</v>
      </c>
      <c r="K103" s="22">
        <v>1041</v>
      </c>
    </row>
    <row r="104" spans="2:11" ht="15" customHeight="1" x14ac:dyDescent="0.25">
      <c r="B104" s="17" t="s">
        <v>384</v>
      </c>
      <c r="C104" s="14">
        <v>8256</v>
      </c>
      <c r="D104" s="14">
        <v>7685</v>
      </c>
      <c r="E104" s="14">
        <v>800</v>
      </c>
      <c r="F104" s="14">
        <v>812</v>
      </c>
      <c r="G104" s="14">
        <v>2297</v>
      </c>
      <c r="H104" s="14" t="s">
        <v>292</v>
      </c>
      <c r="I104" s="14">
        <v>1058</v>
      </c>
      <c r="J104" s="14">
        <v>6096</v>
      </c>
      <c r="K104" s="14">
        <v>366</v>
      </c>
    </row>
    <row r="105" spans="2:11" ht="15" customHeight="1" x14ac:dyDescent="0.25">
      <c r="B105" s="17" t="s">
        <v>385</v>
      </c>
      <c r="C105" s="14">
        <v>880</v>
      </c>
      <c r="D105" s="14">
        <v>722</v>
      </c>
      <c r="E105" s="14" t="s">
        <v>292</v>
      </c>
      <c r="F105" s="14" t="s">
        <v>292</v>
      </c>
      <c r="G105" s="14">
        <v>201</v>
      </c>
      <c r="H105" s="14" t="s">
        <v>292</v>
      </c>
      <c r="I105" s="14" t="s">
        <v>292</v>
      </c>
      <c r="J105" s="14">
        <v>469</v>
      </c>
      <c r="K105" s="14" t="s">
        <v>292</v>
      </c>
    </row>
    <row r="106" spans="2:11" ht="15" customHeight="1" x14ac:dyDescent="0.25">
      <c r="B106" s="17" t="s">
        <v>69</v>
      </c>
      <c r="C106" s="14">
        <v>1686</v>
      </c>
      <c r="D106" s="14">
        <v>1571</v>
      </c>
      <c r="E106" s="14">
        <v>369</v>
      </c>
      <c r="F106" s="14" t="s">
        <v>292</v>
      </c>
      <c r="G106" s="14">
        <v>337</v>
      </c>
      <c r="H106" s="14" t="s">
        <v>292</v>
      </c>
      <c r="I106" s="14">
        <v>301</v>
      </c>
      <c r="J106" s="14">
        <v>1058</v>
      </c>
      <c r="K106" s="14" t="s">
        <v>292</v>
      </c>
    </row>
    <row r="107" spans="2:11" ht="24" customHeight="1" x14ac:dyDescent="0.25">
      <c r="B107" s="15" t="s">
        <v>387</v>
      </c>
      <c r="C107" s="16"/>
      <c r="D107" s="16"/>
      <c r="E107" s="16"/>
      <c r="F107" s="16"/>
      <c r="G107" s="16"/>
      <c r="H107" s="16"/>
      <c r="I107" s="16"/>
      <c r="J107" s="16"/>
      <c r="K107" s="16"/>
    </row>
    <row r="108" spans="2:11" ht="15" customHeight="1" x14ac:dyDescent="0.25">
      <c r="B108" s="17" t="s">
        <v>388</v>
      </c>
      <c r="C108" s="14">
        <v>52275</v>
      </c>
      <c r="D108" s="14">
        <v>48779</v>
      </c>
      <c r="E108" s="14">
        <v>6741</v>
      </c>
      <c r="F108" s="14">
        <v>5649</v>
      </c>
      <c r="G108" s="14">
        <v>12576</v>
      </c>
      <c r="H108" s="14">
        <v>960</v>
      </c>
      <c r="I108" s="14">
        <v>13400</v>
      </c>
      <c r="J108" s="14">
        <v>32001</v>
      </c>
      <c r="K108" s="14">
        <v>828</v>
      </c>
    </row>
    <row r="109" spans="2:11" ht="15" customHeight="1" x14ac:dyDescent="0.25">
      <c r="B109" s="17" t="s">
        <v>389</v>
      </c>
      <c r="C109" s="14">
        <v>4616</v>
      </c>
      <c r="D109" s="14">
        <v>4486</v>
      </c>
      <c r="E109" s="14">
        <v>986</v>
      </c>
      <c r="F109" s="14">
        <v>344</v>
      </c>
      <c r="G109" s="14">
        <v>647</v>
      </c>
      <c r="H109" s="14" t="s">
        <v>292</v>
      </c>
      <c r="I109" s="14">
        <v>1979</v>
      </c>
      <c r="J109" s="14">
        <v>2868</v>
      </c>
      <c r="K109" s="14" t="s">
        <v>292</v>
      </c>
    </row>
    <row r="110" spans="2:11" ht="15" customHeight="1" x14ac:dyDescent="0.25">
      <c r="B110" s="17" t="s">
        <v>390</v>
      </c>
      <c r="C110" s="14">
        <v>4068</v>
      </c>
      <c r="D110" s="14">
        <v>4008</v>
      </c>
      <c r="E110" s="14">
        <v>379</v>
      </c>
      <c r="F110" s="14" t="s">
        <v>292</v>
      </c>
      <c r="G110" s="14">
        <v>574</v>
      </c>
      <c r="H110" s="14">
        <v>2185</v>
      </c>
      <c r="I110" s="14">
        <v>1163</v>
      </c>
      <c r="J110" s="14">
        <v>758</v>
      </c>
      <c r="K110" s="14" t="s">
        <v>292</v>
      </c>
    </row>
    <row r="111" spans="2:11" ht="15" customHeight="1" x14ac:dyDescent="0.25">
      <c r="B111" s="17" t="s">
        <v>391</v>
      </c>
      <c r="C111" s="14">
        <v>3456</v>
      </c>
      <c r="D111" s="14">
        <v>3377</v>
      </c>
      <c r="E111" s="14">
        <v>681</v>
      </c>
      <c r="F111" s="14">
        <v>208</v>
      </c>
      <c r="G111" s="14">
        <v>699</v>
      </c>
      <c r="H111" s="14" t="s">
        <v>292</v>
      </c>
      <c r="I111" s="14">
        <v>894</v>
      </c>
      <c r="J111" s="14">
        <v>1754</v>
      </c>
      <c r="K111" s="14" t="s">
        <v>292</v>
      </c>
    </row>
    <row r="112" spans="2:11" ht="15" customHeight="1" x14ac:dyDescent="0.25">
      <c r="B112" s="17" t="s">
        <v>392</v>
      </c>
      <c r="C112" s="14">
        <v>5159</v>
      </c>
      <c r="D112" s="14">
        <v>4805</v>
      </c>
      <c r="E112" s="14">
        <v>675</v>
      </c>
      <c r="F112" s="14">
        <v>668</v>
      </c>
      <c r="G112" s="14">
        <v>1508</v>
      </c>
      <c r="H112" s="14" t="s">
        <v>303</v>
      </c>
      <c r="I112" s="14">
        <v>516</v>
      </c>
      <c r="J112" s="14">
        <v>4330</v>
      </c>
      <c r="K112" s="14">
        <v>598</v>
      </c>
    </row>
    <row r="113" spans="2:11" ht="15" customHeight="1" x14ac:dyDescent="0.25">
      <c r="B113" s="17" t="s">
        <v>393</v>
      </c>
      <c r="C113" s="14">
        <v>3212</v>
      </c>
      <c r="D113" s="14">
        <v>1285</v>
      </c>
      <c r="E113" s="14" t="s">
        <v>292</v>
      </c>
      <c r="F113" s="14" t="s">
        <v>292</v>
      </c>
      <c r="G113" s="14">
        <v>560</v>
      </c>
      <c r="H113" s="14" t="s">
        <v>303</v>
      </c>
      <c r="I113" s="14" t="s">
        <v>292</v>
      </c>
      <c r="J113" s="14">
        <v>691</v>
      </c>
      <c r="K113" s="14" t="s">
        <v>303</v>
      </c>
    </row>
    <row r="114" spans="2:11" ht="15" customHeight="1" x14ac:dyDescent="0.25">
      <c r="B114" s="17" t="s">
        <v>394</v>
      </c>
      <c r="C114" s="14">
        <v>1932</v>
      </c>
      <c r="D114" s="14">
        <v>1896</v>
      </c>
      <c r="E114" s="14">
        <v>207</v>
      </c>
      <c r="F114" s="14">
        <v>308</v>
      </c>
      <c r="G114" s="14">
        <v>242</v>
      </c>
      <c r="H114" s="14" t="s">
        <v>292</v>
      </c>
      <c r="I114" s="14">
        <v>565</v>
      </c>
      <c r="J114" s="14">
        <v>1152</v>
      </c>
      <c r="K114" s="14" t="s">
        <v>303</v>
      </c>
    </row>
    <row r="115" spans="2:11" ht="15" customHeight="1" x14ac:dyDescent="0.25">
      <c r="B115" s="17" t="s">
        <v>395</v>
      </c>
      <c r="C115" s="14">
        <v>3362</v>
      </c>
      <c r="D115" s="14">
        <v>3296</v>
      </c>
      <c r="E115" s="14">
        <v>592</v>
      </c>
      <c r="F115" s="14">
        <v>250</v>
      </c>
      <c r="G115" s="14">
        <v>882</v>
      </c>
      <c r="H115" s="14">
        <v>968</v>
      </c>
      <c r="I115" s="14">
        <v>1668</v>
      </c>
      <c r="J115" s="14">
        <v>1509</v>
      </c>
      <c r="K115" s="14" t="s">
        <v>292</v>
      </c>
    </row>
    <row r="116" spans="2:11" ht="15" customHeight="1" x14ac:dyDescent="0.25">
      <c r="B116" s="17" t="s">
        <v>396</v>
      </c>
      <c r="C116" s="14">
        <v>1295</v>
      </c>
      <c r="D116" s="14">
        <v>1181</v>
      </c>
      <c r="E116" s="14">
        <v>255</v>
      </c>
      <c r="F116" s="14" t="s">
        <v>292</v>
      </c>
      <c r="G116" s="14">
        <v>456</v>
      </c>
      <c r="H116" s="14" t="s">
        <v>292</v>
      </c>
      <c r="I116" s="14">
        <v>350</v>
      </c>
      <c r="J116" s="14">
        <v>383</v>
      </c>
      <c r="K116" s="14" t="s">
        <v>303</v>
      </c>
    </row>
    <row r="117" spans="2:11" ht="15" customHeight="1" x14ac:dyDescent="0.25">
      <c r="B117" s="17" t="s">
        <v>397</v>
      </c>
      <c r="C117" s="14">
        <v>554</v>
      </c>
      <c r="D117" s="14">
        <v>496</v>
      </c>
      <c r="E117" s="14" t="s">
        <v>292</v>
      </c>
      <c r="F117" s="14" t="s">
        <v>292</v>
      </c>
      <c r="G117" s="14">
        <v>282</v>
      </c>
      <c r="H117" s="14" t="s">
        <v>292</v>
      </c>
      <c r="I117" s="14" t="s">
        <v>292</v>
      </c>
      <c r="J117" s="14">
        <v>233</v>
      </c>
      <c r="K117" s="14" t="s">
        <v>303</v>
      </c>
    </row>
    <row r="118" spans="2:11" ht="15" customHeight="1" x14ac:dyDescent="0.25">
      <c r="B118" s="17" t="s">
        <v>398</v>
      </c>
      <c r="C118" s="14">
        <v>2107</v>
      </c>
      <c r="D118" s="14">
        <v>1992</v>
      </c>
      <c r="E118" s="14">
        <v>259</v>
      </c>
      <c r="F118" s="14" t="s">
        <v>292</v>
      </c>
      <c r="G118" s="14">
        <v>872</v>
      </c>
      <c r="H118" s="14">
        <v>720</v>
      </c>
      <c r="I118" s="14">
        <v>715</v>
      </c>
      <c r="J118" s="14">
        <v>711</v>
      </c>
      <c r="K118" s="14" t="s">
        <v>292</v>
      </c>
    </row>
    <row r="119" spans="2:11" ht="15" customHeight="1" x14ac:dyDescent="0.25">
      <c r="B119" s="17" t="s">
        <v>69</v>
      </c>
      <c r="C119" s="14">
        <v>5057</v>
      </c>
      <c r="D119" s="14">
        <v>4478</v>
      </c>
      <c r="E119" s="14">
        <v>876</v>
      </c>
      <c r="F119" s="14">
        <v>769</v>
      </c>
      <c r="G119" s="14">
        <v>1468</v>
      </c>
      <c r="H119" s="14" t="s">
        <v>292</v>
      </c>
      <c r="I119" s="14">
        <v>915</v>
      </c>
      <c r="J119" s="14">
        <v>2799</v>
      </c>
      <c r="K119" s="14" t="s">
        <v>292</v>
      </c>
    </row>
    <row r="120" spans="2:11" ht="44.25" customHeight="1" x14ac:dyDescent="0.25">
      <c r="B120" s="15" t="s">
        <v>399</v>
      </c>
      <c r="C120" s="21"/>
      <c r="D120" s="21"/>
      <c r="E120" s="21"/>
      <c r="F120" s="21"/>
      <c r="G120" s="21"/>
      <c r="H120" s="21"/>
      <c r="I120" s="21"/>
      <c r="J120" s="21"/>
      <c r="K120" s="21"/>
    </row>
    <row r="121" spans="2:11" ht="15" customHeight="1" x14ac:dyDescent="0.25">
      <c r="B121" s="17" t="s">
        <v>400</v>
      </c>
      <c r="C121" s="14">
        <v>42216</v>
      </c>
      <c r="D121" s="14">
        <v>40692</v>
      </c>
      <c r="E121" s="14">
        <v>6295</v>
      </c>
      <c r="F121" s="14">
        <v>4399</v>
      </c>
      <c r="G121" s="14">
        <v>12371</v>
      </c>
      <c r="H121" s="14">
        <v>3964</v>
      </c>
      <c r="I121" s="14">
        <v>13377</v>
      </c>
      <c r="J121" s="14">
        <v>25179</v>
      </c>
      <c r="K121" s="14">
        <v>783</v>
      </c>
    </row>
    <row r="122" spans="2:11" ht="15" customHeight="1" x14ac:dyDescent="0.25">
      <c r="B122" s="18" t="s">
        <v>401</v>
      </c>
      <c r="C122" s="14">
        <v>13022</v>
      </c>
      <c r="D122" s="14">
        <v>12822</v>
      </c>
      <c r="E122" s="14">
        <v>2127</v>
      </c>
      <c r="F122" s="14">
        <v>1526</v>
      </c>
      <c r="G122" s="14">
        <v>3745</v>
      </c>
      <c r="H122" s="14">
        <v>1254</v>
      </c>
      <c r="I122" s="14">
        <v>5423</v>
      </c>
      <c r="J122" s="14">
        <v>8320</v>
      </c>
      <c r="K122" s="14" t="s">
        <v>292</v>
      </c>
    </row>
    <row r="123" spans="2:11" ht="15" customHeight="1" x14ac:dyDescent="0.25">
      <c r="B123" s="18" t="s">
        <v>402</v>
      </c>
      <c r="C123" s="14">
        <v>1753</v>
      </c>
      <c r="D123" s="14">
        <v>1659</v>
      </c>
      <c r="E123" s="14">
        <v>303</v>
      </c>
      <c r="F123" s="14" t="s">
        <v>292</v>
      </c>
      <c r="G123" s="14">
        <v>519</v>
      </c>
      <c r="H123" s="14" t="s">
        <v>292</v>
      </c>
      <c r="I123" s="14">
        <v>381</v>
      </c>
      <c r="J123" s="14">
        <v>991</v>
      </c>
      <c r="K123" s="14" t="s">
        <v>292</v>
      </c>
    </row>
    <row r="124" spans="2:11" ht="15" customHeight="1" x14ac:dyDescent="0.25">
      <c r="B124" s="18" t="s">
        <v>403</v>
      </c>
      <c r="C124" s="14">
        <v>20917</v>
      </c>
      <c r="D124" s="14">
        <v>20344</v>
      </c>
      <c r="E124" s="14">
        <v>3033</v>
      </c>
      <c r="F124" s="14">
        <v>2181</v>
      </c>
      <c r="G124" s="14">
        <v>6534</v>
      </c>
      <c r="H124" s="14">
        <v>2010</v>
      </c>
      <c r="I124" s="14">
        <v>8067</v>
      </c>
      <c r="J124" s="14">
        <v>12038</v>
      </c>
      <c r="K124" s="14">
        <v>381</v>
      </c>
    </row>
    <row r="125" spans="2:11" ht="15" customHeight="1" x14ac:dyDescent="0.25">
      <c r="B125" s="18" t="s">
        <v>404</v>
      </c>
      <c r="C125" s="14">
        <v>4230</v>
      </c>
      <c r="D125" s="14">
        <v>4136</v>
      </c>
      <c r="E125" s="14">
        <v>751</v>
      </c>
      <c r="F125" s="14">
        <v>466</v>
      </c>
      <c r="G125" s="14">
        <v>1361</v>
      </c>
      <c r="H125" s="14">
        <v>353</v>
      </c>
      <c r="I125" s="14">
        <v>1463</v>
      </c>
      <c r="J125" s="14">
        <v>2706</v>
      </c>
      <c r="K125" s="14" t="s">
        <v>292</v>
      </c>
    </row>
    <row r="126" spans="2:11" ht="15" customHeight="1" x14ac:dyDescent="0.25">
      <c r="B126" s="18" t="s">
        <v>405</v>
      </c>
      <c r="C126" s="14">
        <v>21340</v>
      </c>
      <c r="D126" s="14">
        <v>20750</v>
      </c>
      <c r="E126" s="14">
        <v>3207</v>
      </c>
      <c r="F126" s="14">
        <v>2233</v>
      </c>
      <c r="G126" s="14">
        <v>6598</v>
      </c>
      <c r="H126" s="14">
        <v>2571</v>
      </c>
      <c r="I126" s="14">
        <v>6940</v>
      </c>
      <c r="J126" s="14">
        <v>13025</v>
      </c>
      <c r="K126" s="14">
        <v>313</v>
      </c>
    </row>
    <row r="127" spans="2:11" ht="15" customHeight="1" x14ac:dyDescent="0.25">
      <c r="B127" s="18" t="s">
        <v>406</v>
      </c>
      <c r="C127" s="14">
        <v>12265</v>
      </c>
      <c r="D127" s="14">
        <v>12011</v>
      </c>
      <c r="E127" s="14">
        <v>1850</v>
      </c>
      <c r="F127" s="14">
        <v>1377</v>
      </c>
      <c r="G127" s="14">
        <v>3770</v>
      </c>
      <c r="H127" s="14">
        <v>1431</v>
      </c>
      <c r="I127" s="14">
        <v>4758</v>
      </c>
      <c r="J127" s="14">
        <v>6742</v>
      </c>
      <c r="K127" s="14" t="s">
        <v>292</v>
      </c>
    </row>
    <row r="128" spans="2:11" ht="15" customHeight="1" x14ac:dyDescent="0.25">
      <c r="B128" s="18" t="s">
        <v>407</v>
      </c>
      <c r="C128" s="14">
        <v>26779</v>
      </c>
      <c r="D128" s="14">
        <v>26066</v>
      </c>
      <c r="E128" s="14">
        <v>4440</v>
      </c>
      <c r="F128" s="14">
        <v>3075</v>
      </c>
      <c r="G128" s="14">
        <v>8259</v>
      </c>
      <c r="H128" s="14">
        <v>2986</v>
      </c>
      <c r="I128" s="14">
        <v>9286</v>
      </c>
      <c r="J128" s="14">
        <v>16158</v>
      </c>
      <c r="K128" s="14">
        <v>499</v>
      </c>
    </row>
    <row r="129" spans="2:11" ht="15" customHeight="1" x14ac:dyDescent="0.25">
      <c r="B129" s="18" t="s">
        <v>408</v>
      </c>
      <c r="C129" s="14">
        <v>25503</v>
      </c>
      <c r="D129" s="14">
        <v>24896</v>
      </c>
      <c r="E129" s="14">
        <v>3933</v>
      </c>
      <c r="F129" s="14">
        <v>2514</v>
      </c>
      <c r="G129" s="14">
        <v>8132</v>
      </c>
      <c r="H129" s="14">
        <v>3037</v>
      </c>
      <c r="I129" s="14">
        <v>8908</v>
      </c>
      <c r="J129" s="14">
        <v>15008</v>
      </c>
      <c r="K129" s="14">
        <v>492</v>
      </c>
    </row>
    <row r="130" spans="2:11" ht="15" customHeight="1" x14ac:dyDescent="0.25">
      <c r="B130" s="18" t="s">
        <v>409</v>
      </c>
      <c r="C130" s="14">
        <v>16160</v>
      </c>
      <c r="D130" s="14">
        <v>15661</v>
      </c>
      <c r="E130" s="14">
        <v>2772</v>
      </c>
      <c r="F130" s="14">
        <v>1773</v>
      </c>
      <c r="G130" s="14">
        <v>5398</v>
      </c>
      <c r="H130" s="14">
        <v>2032</v>
      </c>
      <c r="I130" s="14">
        <v>5693</v>
      </c>
      <c r="J130" s="14">
        <v>9467</v>
      </c>
      <c r="K130" s="14" t="s">
        <v>292</v>
      </c>
    </row>
    <row r="131" spans="2:11" ht="15" customHeight="1" x14ac:dyDescent="0.25">
      <c r="B131" s="18" t="s">
        <v>410</v>
      </c>
      <c r="C131" s="14">
        <v>13828</v>
      </c>
      <c r="D131" s="14">
        <v>13537</v>
      </c>
      <c r="E131" s="14">
        <v>2344</v>
      </c>
      <c r="F131" s="14">
        <v>1500</v>
      </c>
      <c r="G131" s="14">
        <v>4666</v>
      </c>
      <c r="H131" s="14">
        <v>1724</v>
      </c>
      <c r="I131" s="14">
        <v>4987</v>
      </c>
      <c r="J131" s="14">
        <v>8052</v>
      </c>
      <c r="K131" s="14" t="s">
        <v>292</v>
      </c>
    </row>
    <row r="132" spans="2:11" ht="15" customHeight="1" x14ac:dyDescent="0.25">
      <c r="B132" s="18" t="s">
        <v>411</v>
      </c>
      <c r="C132" s="14">
        <v>7607</v>
      </c>
      <c r="D132" s="14">
        <v>7371</v>
      </c>
      <c r="E132" s="14">
        <v>1450</v>
      </c>
      <c r="F132" s="14">
        <v>1172</v>
      </c>
      <c r="G132" s="14">
        <v>2509</v>
      </c>
      <c r="H132" s="14">
        <v>1070</v>
      </c>
      <c r="I132" s="14">
        <v>2421</v>
      </c>
      <c r="J132" s="14">
        <v>4417</v>
      </c>
      <c r="K132" s="14" t="s">
        <v>292</v>
      </c>
    </row>
    <row r="133" spans="2:11" ht="15" customHeight="1" x14ac:dyDescent="0.25">
      <c r="B133" s="18" t="s">
        <v>412</v>
      </c>
      <c r="C133" s="14">
        <v>17196</v>
      </c>
      <c r="D133" s="14">
        <v>16676</v>
      </c>
      <c r="E133" s="14">
        <v>3139</v>
      </c>
      <c r="F133" s="14">
        <v>1736</v>
      </c>
      <c r="G133" s="14">
        <v>5566</v>
      </c>
      <c r="H133" s="14">
        <v>2073</v>
      </c>
      <c r="I133" s="14">
        <v>6630</v>
      </c>
      <c r="J133" s="14">
        <v>9806</v>
      </c>
      <c r="K133" s="14" t="s">
        <v>292</v>
      </c>
    </row>
    <row r="134" spans="2:11" ht="15" customHeight="1" x14ac:dyDescent="0.25">
      <c r="B134" s="18" t="s">
        <v>413</v>
      </c>
      <c r="C134" s="14">
        <v>3913</v>
      </c>
      <c r="D134" s="14">
        <v>3864</v>
      </c>
      <c r="E134" s="14">
        <v>836</v>
      </c>
      <c r="F134" s="14">
        <v>449</v>
      </c>
      <c r="G134" s="14">
        <v>1043</v>
      </c>
      <c r="H134" s="14">
        <v>697</v>
      </c>
      <c r="I134" s="14">
        <v>1208</v>
      </c>
      <c r="J134" s="14">
        <v>2317</v>
      </c>
      <c r="K134" s="14" t="s">
        <v>292</v>
      </c>
    </row>
    <row r="135" spans="2:11" ht="15" customHeight="1" x14ac:dyDescent="0.25">
      <c r="B135" s="18" t="s">
        <v>69</v>
      </c>
      <c r="C135" s="14">
        <v>848</v>
      </c>
      <c r="D135" s="14">
        <v>751</v>
      </c>
      <c r="E135" s="14" t="s">
        <v>292</v>
      </c>
      <c r="F135" s="14" t="s">
        <v>292</v>
      </c>
      <c r="G135" s="14">
        <v>411</v>
      </c>
      <c r="H135" s="14" t="s">
        <v>292</v>
      </c>
      <c r="I135" s="14" t="s">
        <v>292</v>
      </c>
      <c r="J135" s="14">
        <v>388</v>
      </c>
      <c r="K135" s="14" t="s">
        <v>292</v>
      </c>
    </row>
    <row r="136" spans="2:11" ht="15" customHeight="1" x14ac:dyDescent="0.25">
      <c r="B136" s="17" t="s">
        <v>414</v>
      </c>
      <c r="C136" s="14">
        <v>39154</v>
      </c>
      <c r="D136" s="14">
        <v>33880</v>
      </c>
      <c r="E136" s="14">
        <v>4725</v>
      </c>
      <c r="F136" s="14">
        <v>3813</v>
      </c>
      <c r="G136" s="14">
        <v>7447</v>
      </c>
      <c r="H136" s="14">
        <v>1770</v>
      </c>
      <c r="I136" s="14">
        <v>7763</v>
      </c>
      <c r="J136" s="14">
        <v>20268</v>
      </c>
      <c r="K136" s="14">
        <v>723</v>
      </c>
    </row>
    <row r="137" spans="2:11" ht="15" customHeight="1" x14ac:dyDescent="0.25">
      <c r="B137" s="23" t="s">
        <v>415</v>
      </c>
      <c r="C137" s="24">
        <v>5723</v>
      </c>
      <c r="D137" s="24">
        <v>5505</v>
      </c>
      <c r="E137" s="24">
        <v>826</v>
      </c>
      <c r="F137" s="24">
        <v>442</v>
      </c>
      <c r="G137" s="24">
        <v>948</v>
      </c>
      <c r="H137" s="24" t="s">
        <v>292</v>
      </c>
      <c r="I137" s="24">
        <v>1303</v>
      </c>
      <c r="J137" s="24">
        <v>3741</v>
      </c>
      <c r="K137" s="24" t="s">
        <v>292</v>
      </c>
    </row>
    <row r="138" spans="2:11" ht="33.950000000000003" customHeight="1" x14ac:dyDescent="0.25">
      <c r="B138" s="41" t="s">
        <v>416</v>
      </c>
      <c r="C138" s="42"/>
      <c r="D138" s="42"/>
      <c r="E138" s="42"/>
      <c r="F138" s="42"/>
      <c r="G138" s="42"/>
      <c r="H138" s="42"/>
      <c r="I138" s="42"/>
      <c r="J138" s="42"/>
      <c r="K138" s="42"/>
    </row>
    <row r="139" spans="2:11" ht="15" customHeight="1" x14ac:dyDescent="0.25">
      <c r="B139" s="23" t="s">
        <v>186</v>
      </c>
      <c r="C139" s="24">
        <v>84869</v>
      </c>
      <c r="D139" s="24">
        <v>80053</v>
      </c>
      <c r="E139" s="24">
        <v>11846</v>
      </c>
      <c r="F139" s="24">
        <v>8654</v>
      </c>
      <c r="G139" s="24">
        <v>20751</v>
      </c>
      <c r="H139" s="24">
        <v>5925</v>
      </c>
      <c r="I139" s="24">
        <v>22438</v>
      </c>
      <c r="J139" s="24">
        <v>49188</v>
      </c>
      <c r="K139" s="24">
        <v>1570</v>
      </c>
    </row>
    <row r="140" spans="2:11" ht="15" customHeight="1" x14ac:dyDescent="0.25">
      <c r="B140" s="23" t="s">
        <v>193</v>
      </c>
      <c r="C140" s="24">
        <v>58725</v>
      </c>
      <c r="D140" s="24">
        <v>58129</v>
      </c>
      <c r="E140" s="24">
        <v>7560</v>
      </c>
      <c r="F140" s="24">
        <v>7046</v>
      </c>
      <c r="G140" s="24">
        <v>15808</v>
      </c>
      <c r="H140" s="24">
        <v>2833</v>
      </c>
      <c r="I140" s="24">
        <v>20019</v>
      </c>
      <c r="J140" s="24">
        <v>37569</v>
      </c>
      <c r="K140" s="24">
        <v>1194</v>
      </c>
    </row>
    <row r="141" spans="2:11" ht="15" customHeight="1" x14ac:dyDescent="0.25">
      <c r="B141" s="23" t="s">
        <v>194</v>
      </c>
      <c r="C141" s="24">
        <v>20200</v>
      </c>
      <c r="D141" s="24">
        <v>19670</v>
      </c>
      <c r="E141" s="24">
        <v>3047</v>
      </c>
      <c r="F141" s="24">
        <v>870</v>
      </c>
      <c r="G141" s="24">
        <v>5874</v>
      </c>
      <c r="H141" s="24">
        <v>3088</v>
      </c>
      <c r="I141" s="24">
        <v>9340</v>
      </c>
      <c r="J141" s="24">
        <v>9580</v>
      </c>
      <c r="K141" s="24" t="s">
        <v>292</v>
      </c>
    </row>
    <row r="142" spans="2:11" ht="15" customHeight="1" x14ac:dyDescent="0.25">
      <c r="B142" s="23" t="s">
        <v>195</v>
      </c>
      <c r="C142" s="24">
        <v>5964</v>
      </c>
      <c r="D142" s="24">
        <v>5962</v>
      </c>
      <c r="E142" s="24">
        <v>556</v>
      </c>
      <c r="F142" s="24" t="s">
        <v>292</v>
      </c>
      <c r="G142" s="24">
        <v>1354</v>
      </c>
      <c r="H142" s="24">
        <v>5925</v>
      </c>
      <c r="I142" s="24" t="s">
        <v>292</v>
      </c>
      <c r="J142" s="24">
        <v>742</v>
      </c>
      <c r="K142" s="24" t="s">
        <v>292</v>
      </c>
    </row>
    <row r="143" spans="2:11" ht="15" customHeight="1" x14ac:dyDescent="0.25">
      <c r="B143" s="23" t="s">
        <v>417</v>
      </c>
      <c r="C143" s="24">
        <v>4608</v>
      </c>
      <c r="D143" s="24">
        <v>4561</v>
      </c>
      <c r="E143" s="24">
        <v>325</v>
      </c>
      <c r="F143" s="24" t="s">
        <v>292</v>
      </c>
      <c r="G143" s="24">
        <v>888</v>
      </c>
      <c r="H143" s="24">
        <v>3718</v>
      </c>
      <c r="I143" s="24">
        <v>582</v>
      </c>
      <c r="J143" s="24">
        <v>756</v>
      </c>
      <c r="K143" s="24" t="s">
        <v>292</v>
      </c>
    </row>
    <row r="144" spans="2:11" ht="15" customHeight="1" x14ac:dyDescent="0.25">
      <c r="B144" s="23" t="s">
        <v>169</v>
      </c>
      <c r="C144" s="24">
        <v>7706</v>
      </c>
      <c r="D144" s="24">
        <v>7332</v>
      </c>
      <c r="E144" s="24">
        <v>884</v>
      </c>
      <c r="F144" s="24">
        <v>757</v>
      </c>
      <c r="G144" s="24">
        <v>2742</v>
      </c>
      <c r="H144" s="24" t="s">
        <v>292</v>
      </c>
      <c r="I144" s="24">
        <v>1772</v>
      </c>
      <c r="J144" s="24">
        <v>4689</v>
      </c>
      <c r="K144" s="24">
        <v>277</v>
      </c>
    </row>
    <row r="145" spans="2:11" ht="15" customHeight="1" x14ac:dyDescent="0.25">
      <c r="B145" s="23" t="s">
        <v>69</v>
      </c>
      <c r="C145" s="24">
        <v>3826</v>
      </c>
      <c r="D145" s="24">
        <v>3826</v>
      </c>
      <c r="E145" s="24">
        <v>544</v>
      </c>
      <c r="F145" s="24">
        <v>429</v>
      </c>
      <c r="G145" s="24">
        <v>1353</v>
      </c>
      <c r="H145" s="24">
        <v>335</v>
      </c>
      <c r="I145" s="24">
        <v>1411</v>
      </c>
      <c r="J145" s="24">
        <v>2348</v>
      </c>
      <c r="K145" s="24" t="s">
        <v>292</v>
      </c>
    </row>
    <row r="146" spans="2:11" ht="33.950000000000003" customHeight="1" x14ac:dyDescent="0.25">
      <c r="B146" s="15" t="s">
        <v>418</v>
      </c>
      <c r="C146" s="21"/>
      <c r="D146" s="21"/>
      <c r="E146" s="21"/>
      <c r="F146" s="21"/>
      <c r="G146" s="21"/>
      <c r="H146" s="21"/>
      <c r="I146" s="21"/>
      <c r="J146" s="21"/>
      <c r="K146" s="21"/>
    </row>
    <row r="147" spans="2:11" ht="15" customHeight="1" x14ac:dyDescent="0.25">
      <c r="B147" s="17" t="s">
        <v>186</v>
      </c>
      <c r="C147" s="14">
        <v>49030</v>
      </c>
      <c r="D147" s="14">
        <v>49030</v>
      </c>
      <c r="E147" s="14">
        <v>11482</v>
      </c>
      <c r="F147" s="14">
        <v>5040</v>
      </c>
      <c r="G147" s="14">
        <v>16235</v>
      </c>
      <c r="H147" s="14">
        <v>1869</v>
      </c>
      <c r="I147" s="14">
        <v>10721</v>
      </c>
      <c r="J147" s="14">
        <v>35389</v>
      </c>
      <c r="K147" s="14">
        <v>1352</v>
      </c>
    </row>
    <row r="148" spans="2:11" ht="15" customHeight="1" x14ac:dyDescent="0.25">
      <c r="B148" s="17" t="s">
        <v>193</v>
      </c>
      <c r="C148" s="14">
        <v>49511</v>
      </c>
      <c r="D148" s="14">
        <v>49511</v>
      </c>
      <c r="E148" s="14">
        <v>5928</v>
      </c>
      <c r="F148" s="14">
        <v>6837</v>
      </c>
      <c r="G148" s="14">
        <v>13893</v>
      </c>
      <c r="H148" s="14">
        <v>350</v>
      </c>
      <c r="I148" s="14">
        <v>18893</v>
      </c>
      <c r="J148" s="14">
        <v>32966</v>
      </c>
      <c r="K148" s="14">
        <v>1094</v>
      </c>
    </row>
    <row r="149" spans="2:11" ht="15" customHeight="1" x14ac:dyDescent="0.25">
      <c r="B149" s="17" t="s">
        <v>194</v>
      </c>
      <c r="C149" s="14">
        <v>4351</v>
      </c>
      <c r="D149" s="14">
        <v>4351</v>
      </c>
      <c r="E149" s="14">
        <v>527</v>
      </c>
      <c r="F149" s="14">
        <v>183</v>
      </c>
      <c r="G149" s="14">
        <v>1648</v>
      </c>
      <c r="H149" s="14" t="s">
        <v>292</v>
      </c>
      <c r="I149" s="14">
        <v>2556</v>
      </c>
      <c r="J149" s="14">
        <v>1746</v>
      </c>
      <c r="K149" s="14" t="s">
        <v>292</v>
      </c>
    </row>
    <row r="150" spans="2:11" ht="15" customHeight="1" x14ac:dyDescent="0.25">
      <c r="B150" s="17" t="s">
        <v>195</v>
      </c>
      <c r="C150" s="14">
        <v>5925</v>
      </c>
      <c r="D150" s="14">
        <v>5925</v>
      </c>
      <c r="E150" s="14">
        <v>556</v>
      </c>
      <c r="F150" s="14" t="s">
        <v>292</v>
      </c>
      <c r="G150" s="14">
        <v>1334</v>
      </c>
      <c r="H150" s="14">
        <v>5925</v>
      </c>
      <c r="I150" s="14" t="s">
        <v>292</v>
      </c>
      <c r="J150" s="14">
        <v>725</v>
      </c>
      <c r="K150" s="14" t="s">
        <v>292</v>
      </c>
    </row>
    <row r="151" spans="2:11" ht="15" customHeight="1" x14ac:dyDescent="0.25">
      <c r="B151" s="17" t="s">
        <v>169</v>
      </c>
      <c r="C151" s="14">
        <v>3067</v>
      </c>
      <c r="D151" s="14">
        <v>3067</v>
      </c>
      <c r="E151" s="14">
        <v>385</v>
      </c>
      <c r="F151" s="14">
        <v>481</v>
      </c>
      <c r="G151" s="14">
        <v>1217</v>
      </c>
      <c r="H151" s="14" t="s">
        <v>292</v>
      </c>
      <c r="I151" s="14">
        <v>565</v>
      </c>
      <c r="J151" s="14">
        <v>1963</v>
      </c>
      <c r="K151" s="14" t="s">
        <v>292</v>
      </c>
    </row>
    <row r="152" spans="2:11" ht="15" customHeight="1" thickBot="1" x14ac:dyDescent="0.3">
      <c r="B152" s="23" t="s">
        <v>69</v>
      </c>
      <c r="C152" s="24">
        <v>1010</v>
      </c>
      <c r="D152" s="24">
        <v>1010</v>
      </c>
      <c r="E152" s="24" t="s">
        <v>292</v>
      </c>
      <c r="F152" s="24" t="s">
        <v>292</v>
      </c>
      <c r="G152" s="24">
        <v>590</v>
      </c>
      <c r="H152" s="24" t="s">
        <v>292</v>
      </c>
      <c r="I152" s="24" t="s">
        <v>292</v>
      </c>
      <c r="J152" s="24">
        <v>411</v>
      </c>
      <c r="K152" s="24" t="s">
        <v>292</v>
      </c>
    </row>
    <row r="153" spans="2:11" ht="33.950000000000003" customHeight="1" x14ac:dyDescent="0.25">
      <c r="B153" s="25" t="s">
        <v>419</v>
      </c>
      <c r="C153" s="26"/>
      <c r="D153" s="26"/>
      <c r="E153" s="26"/>
      <c r="F153" s="26"/>
      <c r="G153" s="26"/>
      <c r="H153" s="26"/>
      <c r="I153" s="26"/>
      <c r="J153" s="26"/>
      <c r="K153" s="27"/>
    </row>
    <row r="154" spans="2:11" ht="15" customHeight="1" x14ac:dyDescent="0.25">
      <c r="B154" s="28" t="s">
        <v>186</v>
      </c>
      <c r="C154" s="29">
        <v>26205</v>
      </c>
      <c r="D154" s="29">
        <v>26205</v>
      </c>
      <c r="E154" s="29">
        <v>7215</v>
      </c>
      <c r="F154" s="29">
        <v>2270</v>
      </c>
      <c r="G154" s="29">
        <v>6035</v>
      </c>
      <c r="H154" s="29" t="s">
        <v>292</v>
      </c>
      <c r="I154" s="29">
        <v>2982</v>
      </c>
      <c r="J154" s="29">
        <v>18523</v>
      </c>
      <c r="K154" s="30">
        <v>447</v>
      </c>
    </row>
    <row r="155" spans="2:11" ht="15" customHeight="1" x14ac:dyDescent="0.25">
      <c r="B155" s="28" t="s">
        <v>193</v>
      </c>
      <c r="C155" s="29">
        <v>42988</v>
      </c>
      <c r="D155" s="29">
        <v>42988</v>
      </c>
      <c r="E155" s="29">
        <v>3792</v>
      </c>
      <c r="F155" s="29">
        <v>5778</v>
      </c>
      <c r="G155" s="29">
        <v>11482</v>
      </c>
      <c r="H155" s="29" t="s">
        <v>292</v>
      </c>
      <c r="I155" s="29">
        <v>17437</v>
      </c>
      <c r="J155" s="29">
        <v>27826</v>
      </c>
      <c r="K155" s="30">
        <v>873</v>
      </c>
    </row>
    <row r="156" spans="2:11" ht="15" customHeight="1" x14ac:dyDescent="0.25">
      <c r="B156" s="28" t="s">
        <v>194</v>
      </c>
      <c r="C156" s="29">
        <v>2542</v>
      </c>
      <c r="D156" s="29">
        <v>2542</v>
      </c>
      <c r="E156" s="29" t="s">
        <v>292</v>
      </c>
      <c r="F156" s="29" t="s">
        <v>292</v>
      </c>
      <c r="G156" s="29">
        <v>1008</v>
      </c>
      <c r="H156" s="29" t="s">
        <v>292</v>
      </c>
      <c r="I156" s="29">
        <v>1504</v>
      </c>
      <c r="J156" s="29">
        <v>757</v>
      </c>
      <c r="K156" s="30" t="s">
        <v>292</v>
      </c>
    </row>
    <row r="157" spans="2:11" ht="15" customHeight="1" x14ac:dyDescent="0.25">
      <c r="B157" s="28" t="s">
        <v>195</v>
      </c>
      <c r="C157" s="29">
        <v>5797</v>
      </c>
      <c r="D157" s="29">
        <v>5797</v>
      </c>
      <c r="E157" s="29">
        <v>464</v>
      </c>
      <c r="F157" s="29" t="s">
        <v>292</v>
      </c>
      <c r="G157" s="29">
        <v>1271</v>
      </c>
      <c r="H157" s="29">
        <v>5797</v>
      </c>
      <c r="I157" s="29" t="s">
        <v>292</v>
      </c>
      <c r="J157" s="29">
        <v>650</v>
      </c>
      <c r="K157" s="30" t="s">
        <v>292</v>
      </c>
    </row>
    <row r="158" spans="2:11" ht="15" customHeight="1" x14ac:dyDescent="0.25">
      <c r="B158" s="28" t="s">
        <v>169</v>
      </c>
      <c r="C158" s="29">
        <v>1948</v>
      </c>
      <c r="D158" s="29">
        <v>1948</v>
      </c>
      <c r="E158" s="29" t="s">
        <v>292</v>
      </c>
      <c r="F158" s="29">
        <v>405</v>
      </c>
      <c r="G158" s="29">
        <v>666</v>
      </c>
      <c r="H158" s="29" t="s">
        <v>303</v>
      </c>
      <c r="I158" s="29">
        <v>276</v>
      </c>
      <c r="J158" s="29">
        <v>1193</v>
      </c>
      <c r="K158" s="30" t="s">
        <v>292</v>
      </c>
    </row>
    <row r="159" spans="2:11" ht="15" customHeight="1" thickBot="1" x14ac:dyDescent="0.3">
      <c r="B159" s="31" t="s">
        <v>69</v>
      </c>
      <c r="C159" s="32">
        <v>598</v>
      </c>
      <c r="D159" s="32">
        <v>598</v>
      </c>
      <c r="E159" s="32" t="s">
        <v>292</v>
      </c>
      <c r="F159" s="32" t="s">
        <v>292</v>
      </c>
      <c r="G159" s="32">
        <v>305</v>
      </c>
      <c r="H159" s="32" t="s">
        <v>303</v>
      </c>
      <c r="I159" s="32" t="s">
        <v>292</v>
      </c>
      <c r="J159" s="32" t="s">
        <v>292</v>
      </c>
      <c r="K159" s="33" t="s">
        <v>292</v>
      </c>
    </row>
    <row r="160" spans="2:11" ht="33.950000000000003" customHeight="1" x14ac:dyDescent="0.25">
      <c r="B160" s="15" t="s">
        <v>420</v>
      </c>
      <c r="C160" s="21"/>
      <c r="D160" s="21"/>
      <c r="E160" s="21"/>
      <c r="F160" s="21"/>
      <c r="G160" s="21"/>
      <c r="H160" s="21"/>
      <c r="I160" s="21"/>
      <c r="J160" s="21"/>
      <c r="K160" s="21"/>
    </row>
    <row r="161" spans="2:11" ht="15" customHeight="1" x14ac:dyDescent="0.25">
      <c r="B161" s="17" t="s">
        <v>287</v>
      </c>
      <c r="C161" s="14">
        <v>80078</v>
      </c>
      <c r="D161" s="14">
        <v>80078</v>
      </c>
      <c r="E161" s="14">
        <v>11846</v>
      </c>
      <c r="F161" s="14">
        <v>8654</v>
      </c>
      <c r="G161" s="14">
        <v>20766</v>
      </c>
      <c r="H161" s="14">
        <v>5925</v>
      </c>
      <c r="I161" s="14">
        <v>22443</v>
      </c>
      <c r="J161" s="14">
        <v>49188</v>
      </c>
      <c r="K161" s="14">
        <v>1574</v>
      </c>
    </row>
    <row r="162" spans="2:11" ht="15" customHeight="1" x14ac:dyDescent="0.25">
      <c r="B162" s="17" t="s">
        <v>421</v>
      </c>
      <c r="C162" s="14">
        <v>79294</v>
      </c>
      <c r="D162" s="14">
        <v>76834</v>
      </c>
      <c r="E162" s="14">
        <v>11772</v>
      </c>
      <c r="F162" s="14">
        <v>8514</v>
      </c>
      <c r="G162" s="14">
        <v>19159</v>
      </c>
      <c r="H162" s="14">
        <v>5864</v>
      </c>
      <c r="I162" s="14">
        <v>21579</v>
      </c>
      <c r="J162" s="14">
        <v>48053</v>
      </c>
      <c r="K162" s="14">
        <v>1534</v>
      </c>
    </row>
    <row r="163" spans="2:11" ht="15" customHeight="1" x14ac:dyDescent="0.25">
      <c r="B163" s="17" t="s">
        <v>197</v>
      </c>
      <c r="C163" s="14">
        <v>79015</v>
      </c>
      <c r="D163" s="14">
        <v>76584</v>
      </c>
      <c r="E163" s="14">
        <v>11576</v>
      </c>
      <c r="F163" s="14">
        <v>8420</v>
      </c>
      <c r="G163" s="14">
        <v>19548</v>
      </c>
      <c r="H163" s="14">
        <v>5783</v>
      </c>
      <c r="I163" s="14">
        <v>22020</v>
      </c>
      <c r="J163" s="14">
        <v>47297</v>
      </c>
      <c r="K163" s="14">
        <v>1532</v>
      </c>
    </row>
    <row r="164" spans="2:11" ht="15" customHeight="1" x14ac:dyDescent="0.25">
      <c r="B164" s="17" t="s">
        <v>422</v>
      </c>
      <c r="C164" s="14">
        <v>38546</v>
      </c>
      <c r="D164" s="14">
        <v>37771</v>
      </c>
      <c r="E164" s="14">
        <v>6592</v>
      </c>
      <c r="F164" s="14">
        <v>4005</v>
      </c>
      <c r="G164" s="14">
        <v>9590</v>
      </c>
      <c r="H164" s="14">
        <v>3116</v>
      </c>
      <c r="I164" s="14">
        <v>14847</v>
      </c>
      <c r="J164" s="14">
        <v>23131</v>
      </c>
      <c r="K164" s="14">
        <v>1306</v>
      </c>
    </row>
    <row r="165" spans="2:11" ht="15" customHeight="1" x14ac:dyDescent="0.25">
      <c r="B165" s="17" t="s">
        <v>423</v>
      </c>
      <c r="C165" s="14">
        <v>5078</v>
      </c>
      <c r="D165" s="14">
        <v>4790</v>
      </c>
      <c r="E165" s="14">
        <v>596</v>
      </c>
      <c r="F165" s="14">
        <v>671</v>
      </c>
      <c r="G165" s="14">
        <v>2219</v>
      </c>
      <c r="H165" s="14" t="s">
        <v>292</v>
      </c>
      <c r="I165" s="14">
        <v>795</v>
      </c>
      <c r="J165" s="14">
        <v>3538</v>
      </c>
      <c r="K165" s="14" t="s">
        <v>292</v>
      </c>
    </row>
    <row r="166" spans="2:11" ht="27.95" customHeight="1" x14ac:dyDescent="0.25">
      <c r="B166" s="17" t="s">
        <v>424</v>
      </c>
      <c r="C166" s="14">
        <v>25642</v>
      </c>
      <c r="D166" s="14">
        <v>25155</v>
      </c>
      <c r="E166" s="14">
        <v>4035</v>
      </c>
      <c r="F166" s="14">
        <v>1414</v>
      </c>
      <c r="G166" s="14">
        <v>6857</v>
      </c>
      <c r="H166" s="14">
        <v>3710</v>
      </c>
      <c r="I166" s="14">
        <v>11356</v>
      </c>
      <c r="J166" s="14">
        <v>13943</v>
      </c>
      <c r="K166" s="14">
        <v>626</v>
      </c>
    </row>
    <row r="167" spans="2:11" ht="24" customHeight="1" x14ac:dyDescent="0.25">
      <c r="B167" s="15" t="s">
        <v>425</v>
      </c>
      <c r="C167" s="21"/>
      <c r="D167" s="21"/>
      <c r="E167" s="21"/>
      <c r="F167" s="21"/>
      <c r="G167" s="21"/>
      <c r="H167" s="21"/>
      <c r="I167" s="21"/>
      <c r="J167" s="21"/>
      <c r="K167" s="21"/>
    </row>
    <row r="168" spans="2:11" ht="15" customHeight="1" x14ac:dyDescent="0.25">
      <c r="B168" s="17" t="s">
        <v>426</v>
      </c>
      <c r="C168" s="14">
        <v>7015</v>
      </c>
      <c r="D168" s="14" t="s">
        <v>303</v>
      </c>
      <c r="E168" s="14" t="s">
        <v>303</v>
      </c>
      <c r="F168" s="14" t="s">
        <v>303</v>
      </c>
      <c r="G168" s="14" t="s">
        <v>303</v>
      </c>
      <c r="H168" s="14" t="s">
        <v>303</v>
      </c>
      <c r="I168" s="14" t="s">
        <v>303</v>
      </c>
      <c r="J168" s="14" t="s">
        <v>303</v>
      </c>
      <c r="K168" s="14" t="s">
        <v>303</v>
      </c>
    </row>
    <row r="169" spans="2:11" ht="15" customHeight="1" x14ac:dyDescent="0.25">
      <c r="B169" s="17" t="s">
        <v>427</v>
      </c>
      <c r="C169" s="14">
        <v>10130</v>
      </c>
      <c r="D169" s="14">
        <v>10130</v>
      </c>
      <c r="E169" s="14">
        <v>1390</v>
      </c>
      <c r="F169" s="14">
        <v>931</v>
      </c>
      <c r="G169" s="14">
        <v>2964</v>
      </c>
      <c r="H169" s="14" t="s">
        <v>292</v>
      </c>
      <c r="I169" s="14">
        <v>1016</v>
      </c>
      <c r="J169" s="14">
        <v>6769</v>
      </c>
      <c r="K169" s="14" t="s">
        <v>292</v>
      </c>
    </row>
    <row r="170" spans="2:11" ht="15" customHeight="1" x14ac:dyDescent="0.25">
      <c r="B170" s="17" t="s">
        <v>428</v>
      </c>
      <c r="C170" s="14">
        <v>14650</v>
      </c>
      <c r="D170" s="14">
        <v>14650</v>
      </c>
      <c r="E170" s="14">
        <v>2531</v>
      </c>
      <c r="F170" s="14">
        <v>1628</v>
      </c>
      <c r="G170" s="14">
        <v>4499</v>
      </c>
      <c r="H170" s="14">
        <v>1126</v>
      </c>
      <c r="I170" s="14">
        <v>4532</v>
      </c>
      <c r="J170" s="14">
        <v>9295</v>
      </c>
      <c r="K170" s="14">
        <v>550</v>
      </c>
    </row>
    <row r="171" spans="2:11" ht="15" customHeight="1" x14ac:dyDescent="0.25">
      <c r="B171" s="34" t="s">
        <v>429</v>
      </c>
      <c r="C171" s="14">
        <v>55298</v>
      </c>
      <c r="D171" s="14">
        <v>55298</v>
      </c>
      <c r="E171" s="14">
        <v>7925</v>
      </c>
      <c r="F171" s="14">
        <v>6095</v>
      </c>
      <c r="G171" s="14">
        <v>13303</v>
      </c>
      <c r="H171" s="14">
        <v>4683</v>
      </c>
      <c r="I171" s="14">
        <v>16895</v>
      </c>
      <c r="J171" s="14">
        <v>33125</v>
      </c>
      <c r="K171" s="14">
        <v>980</v>
      </c>
    </row>
    <row r="172" spans="2:11" ht="33.950000000000003" customHeight="1" x14ac:dyDescent="0.25">
      <c r="B172" s="15" t="s">
        <v>288</v>
      </c>
      <c r="C172" s="21"/>
      <c r="D172" s="21"/>
      <c r="E172" s="21"/>
      <c r="F172" s="21"/>
      <c r="G172" s="21"/>
      <c r="H172" s="21"/>
      <c r="I172" s="21"/>
      <c r="J172" s="21"/>
      <c r="K172" s="21"/>
    </row>
    <row r="173" spans="2:11" ht="15" customHeight="1" x14ac:dyDescent="0.25">
      <c r="B173" s="17" t="s">
        <v>430</v>
      </c>
      <c r="C173" s="14">
        <v>11846</v>
      </c>
      <c r="D173" s="14">
        <v>11846</v>
      </c>
      <c r="E173" s="14">
        <v>11846</v>
      </c>
      <c r="F173" s="14">
        <v>1347</v>
      </c>
      <c r="G173" s="14">
        <v>2961</v>
      </c>
      <c r="H173" s="14">
        <v>556</v>
      </c>
      <c r="I173" s="14">
        <v>3225</v>
      </c>
      <c r="J173" s="14">
        <v>5597</v>
      </c>
      <c r="K173" s="14" t="s">
        <v>292</v>
      </c>
    </row>
    <row r="174" spans="2:11" ht="15" customHeight="1" x14ac:dyDescent="0.25">
      <c r="B174" s="17" t="s">
        <v>188</v>
      </c>
      <c r="C174" s="14">
        <v>8654</v>
      </c>
      <c r="D174" s="14">
        <v>8654</v>
      </c>
      <c r="E174" s="14">
        <v>1347</v>
      </c>
      <c r="F174" s="14">
        <v>8654</v>
      </c>
      <c r="G174" s="14">
        <v>2865</v>
      </c>
      <c r="H174" s="14" t="s">
        <v>292</v>
      </c>
      <c r="I174" s="14">
        <v>1053</v>
      </c>
      <c r="J174" s="14">
        <v>4165</v>
      </c>
      <c r="K174" s="14" t="s">
        <v>292</v>
      </c>
    </row>
    <row r="175" spans="2:11" ht="15" customHeight="1" x14ac:dyDescent="0.25">
      <c r="B175" s="17" t="s">
        <v>431</v>
      </c>
      <c r="C175" s="14">
        <v>20766</v>
      </c>
      <c r="D175" s="14">
        <v>20766</v>
      </c>
      <c r="E175" s="14">
        <v>2961</v>
      </c>
      <c r="F175" s="14">
        <v>2865</v>
      </c>
      <c r="G175" s="14">
        <v>20766</v>
      </c>
      <c r="H175" s="14">
        <v>1334</v>
      </c>
      <c r="I175" s="14">
        <v>5203</v>
      </c>
      <c r="J175" s="14">
        <v>11474</v>
      </c>
      <c r="K175" s="14">
        <v>667</v>
      </c>
    </row>
    <row r="176" spans="2:11" ht="15" customHeight="1" x14ac:dyDescent="0.25">
      <c r="B176" s="17" t="s">
        <v>195</v>
      </c>
      <c r="C176" s="14">
        <v>5925</v>
      </c>
      <c r="D176" s="14">
        <v>5925</v>
      </c>
      <c r="E176" s="14">
        <v>556</v>
      </c>
      <c r="F176" s="14" t="s">
        <v>292</v>
      </c>
      <c r="G176" s="14">
        <v>1334</v>
      </c>
      <c r="H176" s="14">
        <v>5925</v>
      </c>
      <c r="I176" s="14" t="s">
        <v>292</v>
      </c>
      <c r="J176" s="14">
        <v>725</v>
      </c>
      <c r="K176" s="14" t="s">
        <v>292</v>
      </c>
    </row>
    <row r="177" spans="2:11" ht="15" customHeight="1" x14ac:dyDescent="0.25">
      <c r="B177" s="17" t="s">
        <v>191</v>
      </c>
      <c r="C177" s="14">
        <v>22443</v>
      </c>
      <c r="D177" s="14">
        <v>22443</v>
      </c>
      <c r="E177" s="14">
        <v>3225</v>
      </c>
      <c r="F177" s="14">
        <v>1053</v>
      </c>
      <c r="G177" s="14">
        <v>5203</v>
      </c>
      <c r="H177" s="14" t="s">
        <v>292</v>
      </c>
      <c r="I177" s="14">
        <v>22443</v>
      </c>
      <c r="J177" s="14">
        <v>8817</v>
      </c>
      <c r="K177" s="14" t="s">
        <v>292</v>
      </c>
    </row>
    <row r="178" spans="2:11" ht="15" customHeight="1" x14ac:dyDescent="0.25">
      <c r="B178" s="17" t="s">
        <v>432</v>
      </c>
      <c r="C178" s="14">
        <v>49188</v>
      </c>
      <c r="D178" s="14">
        <v>49188</v>
      </c>
      <c r="E178" s="14">
        <v>5597</v>
      </c>
      <c r="F178" s="14">
        <v>4165</v>
      </c>
      <c r="G178" s="14">
        <v>11474</v>
      </c>
      <c r="H178" s="14">
        <v>725</v>
      </c>
      <c r="I178" s="14">
        <v>8817</v>
      </c>
      <c r="J178" s="14">
        <v>49188</v>
      </c>
      <c r="K178" s="14">
        <v>1147</v>
      </c>
    </row>
    <row r="179" spans="2:11" ht="15" customHeight="1" x14ac:dyDescent="0.25">
      <c r="B179" s="23" t="s">
        <v>69</v>
      </c>
      <c r="C179" s="24">
        <v>1574</v>
      </c>
      <c r="D179" s="14">
        <v>1574</v>
      </c>
      <c r="E179" s="14" t="s">
        <v>292</v>
      </c>
      <c r="F179" s="14" t="s">
        <v>292</v>
      </c>
      <c r="G179" s="14">
        <v>667</v>
      </c>
      <c r="H179" s="14" t="s">
        <v>292</v>
      </c>
      <c r="I179" s="14" t="s">
        <v>292</v>
      </c>
      <c r="J179" s="14">
        <v>1147</v>
      </c>
      <c r="K179" s="14">
        <v>1574</v>
      </c>
    </row>
    <row r="180" spans="2:11" ht="33.950000000000003" customHeight="1" x14ac:dyDescent="0.25">
      <c r="B180" s="41" t="s">
        <v>433</v>
      </c>
      <c r="C180" s="42"/>
      <c r="D180" s="21"/>
      <c r="E180" s="21"/>
      <c r="F180" s="21"/>
      <c r="G180" s="21"/>
      <c r="H180" s="21"/>
      <c r="I180" s="21"/>
      <c r="J180" s="21"/>
      <c r="K180" s="21"/>
    </row>
    <row r="181" spans="2:11" ht="27.95" customHeight="1" x14ac:dyDescent="0.25">
      <c r="B181" s="23" t="s">
        <v>434</v>
      </c>
      <c r="C181" s="24">
        <v>14765</v>
      </c>
      <c r="D181" s="14">
        <v>14158</v>
      </c>
      <c r="E181" s="14">
        <v>1516</v>
      </c>
      <c r="F181" s="14">
        <v>4906</v>
      </c>
      <c r="G181" s="14">
        <v>3884</v>
      </c>
      <c r="H181" s="14" t="s">
        <v>292</v>
      </c>
      <c r="I181" s="14">
        <v>2073</v>
      </c>
      <c r="J181" s="14">
        <v>8975</v>
      </c>
      <c r="K181" s="14">
        <v>356</v>
      </c>
    </row>
    <row r="182" spans="2:11" ht="15" customHeight="1" x14ac:dyDescent="0.25">
      <c r="B182" s="23" t="s">
        <v>430</v>
      </c>
      <c r="C182" s="24">
        <v>12538</v>
      </c>
      <c r="D182" s="14">
        <v>12464</v>
      </c>
      <c r="E182" s="14">
        <v>10037</v>
      </c>
      <c r="F182" s="14">
        <v>1365</v>
      </c>
      <c r="G182" s="14">
        <v>3016</v>
      </c>
      <c r="H182" s="14">
        <v>556</v>
      </c>
      <c r="I182" s="14">
        <v>3179</v>
      </c>
      <c r="J182" s="14">
        <v>6851</v>
      </c>
      <c r="K182" s="14" t="s">
        <v>292</v>
      </c>
    </row>
    <row r="183" spans="2:11" ht="15" customHeight="1" x14ac:dyDescent="0.25">
      <c r="B183" s="23" t="s">
        <v>435</v>
      </c>
      <c r="C183" s="24">
        <v>12420</v>
      </c>
      <c r="D183" s="14">
        <v>11953</v>
      </c>
      <c r="E183" s="14">
        <v>2015</v>
      </c>
      <c r="F183" s="14">
        <v>1318</v>
      </c>
      <c r="G183" s="14">
        <v>6038</v>
      </c>
      <c r="H183" s="14">
        <v>902</v>
      </c>
      <c r="I183" s="14">
        <v>5083</v>
      </c>
      <c r="J183" s="14">
        <v>6096</v>
      </c>
      <c r="K183" s="14" t="s">
        <v>292</v>
      </c>
    </row>
    <row r="184" spans="2:11" ht="15" customHeight="1" x14ac:dyDescent="0.25">
      <c r="B184" s="23" t="s">
        <v>417</v>
      </c>
      <c r="C184" s="24">
        <v>4608</v>
      </c>
      <c r="D184" s="14">
        <v>4561</v>
      </c>
      <c r="E184" s="14">
        <v>325</v>
      </c>
      <c r="F184" s="14" t="s">
        <v>292</v>
      </c>
      <c r="G184" s="14">
        <v>888</v>
      </c>
      <c r="H184" s="14">
        <v>3718</v>
      </c>
      <c r="I184" s="14">
        <v>582</v>
      </c>
      <c r="J184" s="14">
        <v>756</v>
      </c>
      <c r="K184" s="14" t="s">
        <v>292</v>
      </c>
    </row>
    <row r="185" spans="2:11" ht="15" customHeight="1" x14ac:dyDescent="0.25">
      <c r="B185" s="23" t="s">
        <v>436</v>
      </c>
      <c r="C185" s="24">
        <v>17041</v>
      </c>
      <c r="D185" s="14">
        <v>16685</v>
      </c>
      <c r="E185" s="14">
        <v>2333</v>
      </c>
      <c r="F185" s="14">
        <v>579</v>
      </c>
      <c r="G185" s="14">
        <v>4128</v>
      </c>
      <c r="H185" s="14">
        <v>1948</v>
      </c>
      <c r="I185" s="14">
        <v>11683</v>
      </c>
      <c r="J185" s="14">
        <v>7259</v>
      </c>
      <c r="K185" s="14" t="s">
        <v>292</v>
      </c>
    </row>
    <row r="186" spans="2:11" ht="15" customHeight="1" x14ac:dyDescent="0.25">
      <c r="B186" s="23" t="s">
        <v>437</v>
      </c>
      <c r="C186" s="24">
        <v>45153</v>
      </c>
      <c r="D186" s="14">
        <v>43820</v>
      </c>
      <c r="E186" s="14">
        <v>5282</v>
      </c>
      <c r="F186" s="14">
        <v>4004</v>
      </c>
      <c r="G186" s="14">
        <v>11336</v>
      </c>
      <c r="H186" s="14">
        <v>2056</v>
      </c>
      <c r="I186" s="14">
        <v>11510</v>
      </c>
      <c r="J186" s="14">
        <v>35944</v>
      </c>
      <c r="K186" s="14">
        <v>1228</v>
      </c>
    </row>
    <row r="187" spans="2:11" ht="15" customHeight="1" x14ac:dyDescent="0.25">
      <c r="B187" s="23" t="s">
        <v>438</v>
      </c>
      <c r="C187" s="24">
        <v>1918</v>
      </c>
      <c r="D187" s="14">
        <v>1879</v>
      </c>
      <c r="E187" s="14">
        <v>379</v>
      </c>
      <c r="F187" s="14" t="s">
        <v>292</v>
      </c>
      <c r="G187" s="14">
        <v>713</v>
      </c>
      <c r="H187" s="14" t="s">
        <v>292</v>
      </c>
      <c r="I187" s="14">
        <v>486</v>
      </c>
      <c r="J187" s="14">
        <v>1416</v>
      </c>
      <c r="K187" s="14" t="s">
        <v>292</v>
      </c>
    </row>
    <row r="188" spans="2:11" ht="15" customHeight="1" x14ac:dyDescent="0.25">
      <c r="B188" s="23" t="s">
        <v>69</v>
      </c>
      <c r="C188" s="24">
        <v>328</v>
      </c>
      <c r="D188" s="14">
        <v>328</v>
      </c>
      <c r="E188" s="14" t="s">
        <v>292</v>
      </c>
      <c r="F188" s="14" t="s">
        <v>292</v>
      </c>
      <c r="G188" s="14" t="s">
        <v>292</v>
      </c>
      <c r="H188" s="14" t="s">
        <v>292</v>
      </c>
      <c r="I188" s="14" t="s">
        <v>292</v>
      </c>
      <c r="J188" s="14" t="s">
        <v>292</v>
      </c>
      <c r="K188" s="14" t="s">
        <v>303</v>
      </c>
    </row>
    <row r="189" spans="2:11" ht="33.950000000000003" customHeight="1" x14ac:dyDescent="0.25">
      <c r="B189" s="15" t="s">
        <v>439</v>
      </c>
      <c r="C189" s="21"/>
      <c r="D189" s="21"/>
      <c r="E189" s="21"/>
      <c r="F189" s="21"/>
      <c r="G189" s="21"/>
      <c r="H189" s="21"/>
      <c r="I189" s="21"/>
      <c r="J189" s="21"/>
      <c r="K189" s="21"/>
    </row>
    <row r="190" spans="2:11" ht="15" customHeight="1" x14ac:dyDescent="0.25">
      <c r="B190" s="17" t="s">
        <v>67</v>
      </c>
      <c r="C190" s="14">
        <v>27558</v>
      </c>
      <c r="D190" s="14">
        <v>27558</v>
      </c>
      <c r="E190" s="14">
        <v>4825</v>
      </c>
      <c r="F190" s="14">
        <v>3745</v>
      </c>
      <c r="G190" s="14">
        <v>8591</v>
      </c>
      <c r="H190" s="14" t="s">
        <v>292</v>
      </c>
      <c r="I190" s="14">
        <v>8332</v>
      </c>
      <c r="J190" s="14">
        <v>17733</v>
      </c>
      <c r="K190" s="14">
        <v>461</v>
      </c>
    </row>
    <row r="191" spans="2:11" ht="15" customHeight="1" x14ac:dyDescent="0.25">
      <c r="B191" s="17" t="s">
        <v>65</v>
      </c>
      <c r="C191" s="14">
        <v>30702</v>
      </c>
      <c r="D191" s="14">
        <v>29713</v>
      </c>
      <c r="E191" s="14">
        <v>5199</v>
      </c>
      <c r="F191" s="14">
        <v>4192</v>
      </c>
      <c r="G191" s="14">
        <v>9048</v>
      </c>
      <c r="H191" s="14">
        <v>1231</v>
      </c>
      <c r="I191" s="14">
        <v>9016</v>
      </c>
      <c r="J191" s="14">
        <v>18452</v>
      </c>
      <c r="K191" s="14">
        <v>510</v>
      </c>
    </row>
    <row r="192" spans="2:11" ht="33.950000000000003" customHeight="1" x14ac:dyDescent="0.25">
      <c r="B192" s="15" t="s">
        <v>440</v>
      </c>
      <c r="C192" s="21"/>
      <c r="D192" s="21"/>
      <c r="E192" s="21"/>
      <c r="F192" s="21"/>
      <c r="G192" s="21"/>
      <c r="H192" s="21"/>
      <c r="I192" s="21"/>
      <c r="J192" s="21"/>
      <c r="K192" s="21"/>
    </row>
    <row r="193" spans="2:11" ht="15" customHeight="1" x14ac:dyDescent="0.25">
      <c r="B193" s="17" t="s">
        <v>441</v>
      </c>
      <c r="C193" s="14">
        <v>30749</v>
      </c>
      <c r="D193" s="14">
        <v>30454</v>
      </c>
      <c r="E193" s="14">
        <v>4726</v>
      </c>
      <c r="F193" s="14">
        <v>2221</v>
      </c>
      <c r="G193" s="14">
        <v>7496</v>
      </c>
      <c r="H193" s="14">
        <v>4063</v>
      </c>
      <c r="I193" s="14">
        <v>12065</v>
      </c>
      <c r="J193" s="14">
        <v>19411</v>
      </c>
      <c r="K193" s="14">
        <v>707</v>
      </c>
    </row>
    <row r="194" spans="2:11" ht="15" customHeight="1" x14ac:dyDescent="0.25">
      <c r="B194" s="17" t="s">
        <v>442</v>
      </c>
      <c r="C194" s="14">
        <v>69244</v>
      </c>
      <c r="D194" s="14">
        <v>67518</v>
      </c>
      <c r="E194" s="14">
        <v>10742</v>
      </c>
      <c r="F194" s="14">
        <v>6994</v>
      </c>
      <c r="G194" s="14">
        <v>15683</v>
      </c>
      <c r="H194" s="14">
        <v>5591</v>
      </c>
      <c r="I194" s="14">
        <v>20967</v>
      </c>
      <c r="J194" s="14">
        <v>42471</v>
      </c>
      <c r="K194" s="14">
        <v>1340</v>
      </c>
    </row>
    <row r="195" spans="2:11" ht="15" customHeight="1" x14ac:dyDescent="0.25">
      <c r="B195" s="17" t="s">
        <v>443</v>
      </c>
      <c r="C195" s="14">
        <v>37051</v>
      </c>
      <c r="D195" s="14">
        <v>36511</v>
      </c>
      <c r="E195" s="14">
        <v>5652</v>
      </c>
      <c r="F195" s="14">
        <v>2267</v>
      </c>
      <c r="G195" s="14">
        <v>7757</v>
      </c>
      <c r="H195" s="14">
        <v>4967</v>
      </c>
      <c r="I195" s="14">
        <v>14726</v>
      </c>
      <c r="J195" s="14">
        <v>21943</v>
      </c>
      <c r="K195" s="14">
        <v>1047</v>
      </c>
    </row>
    <row r="196" spans="2:11" ht="44.25" customHeight="1" x14ac:dyDescent="0.25">
      <c r="B196" s="15" t="s">
        <v>444</v>
      </c>
      <c r="C196" s="21"/>
      <c r="D196" s="21"/>
      <c r="E196" s="21"/>
      <c r="F196" s="21"/>
      <c r="G196" s="21"/>
      <c r="H196" s="21"/>
      <c r="I196" s="21"/>
      <c r="J196" s="21"/>
      <c r="K196" s="21"/>
    </row>
    <row r="197" spans="2:11" ht="15" customHeight="1" x14ac:dyDescent="0.25">
      <c r="B197" s="17" t="s">
        <v>67</v>
      </c>
      <c r="C197" s="14">
        <v>63167</v>
      </c>
      <c r="D197" s="14">
        <v>63167</v>
      </c>
      <c r="E197" s="14">
        <v>9415</v>
      </c>
      <c r="F197" s="14">
        <v>7390</v>
      </c>
      <c r="G197" s="14">
        <v>16076</v>
      </c>
      <c r="H197" s="14">
        <v>4011</v>
      </c>
      <c r="I197" s="14">
        <v>17877</v>
      </c>
      <c r="J197" s="14">
        <v>40078</v>
      </c>
      <c r="K197" s="14">
        <v>1334</v>
      </c>
    </row>
    <row r="198" spans="2:11" ht="15" customHeight="1" x14ac:dyDescent="0.25">
      <c r="B198" s="17" t="s">
        <v>65</v>
      </c>
      <c r="C198" s="14">
        <v>62516</v>
      </c>
      <c r="D198" s="14">
        <v>60904</v>
      </c>
      <c r="E198" s="14">
        <v>9350</v>
      </c>
      <c r="F198" s="14">
        <v>7194</v>
      </c>
      <c r="G198" s="14">
        <v>15084</v>
      </c>
      <c r="H198" s="14">
        <v>4029</v>
      </c>
      <c r="I198" s="14">
        <v>17152</v>
      </c>
      <c r="J198" s="14">
        <v>39291</v>
      </c>
      <c r="K198" s="14">
        <v>1306</v>
      </c>
    </row>
    <row r="199" spans="2:11" ht="15" customHeight="1" x14ac:dyDescent="0.25">
      <c r="B199" s="17" t="s">
        <v>68</v>
      </c>
      <c r="C199" s="14">
        <v>78594</v>
      </c>
      <c r="D199" s="14">
        <v>74955</v>
      </c>
      <c r="E199" s="14">
        <v>11191</v>
      </c>
      <c r="F199" s="14">
        <v>8237</v>
      </c>
      <c r="G199" s="14">
        <v>19658</v>
      </c>
      <c r="H199" s="14">
        <v>5470</v>
      </c>
      <c r="I199" s="14">
        <v>21363</v>
      </c>
      <c r="J199" s="14">
        <v>45948</v>
      </c>
      <c r="K199" s="14">
        <v>1465</v>
      </c>
    </row>
    <row r="200" spans="2:11" ht="15" customHeight="1" thickBot="1" x14ac:dyDescent="0.3">
      <c r="B200" s="18"/>
    </row>
    <row r="201" spans="2:11" ht="136.5" customHeight="1" x14ac:dyDescent="0.25">
      <c r="B201" s="111" t="s">
        <v>445</v>
      </c>
      <c r="C201" s="112"/>
      <c r="D201" s="112"/>
      <c r="E201" s="112"/>
      <c r="F201" s="112"/>
      <c r="G201" s="112"/>
      <c r="H201" s="112"/>
      <c r="I201" s="112"/>
      <c r="J201" s="112"/>
      <c r="K201" s="112"/>
    </row>
    <row r="202" spans="2:11" ht="14.25" customHeight="1" x14ac:dyDescent="0.25"/>
  </sheetData>
  <mergeCells count="6">
    <mergeCell ref="B2:K2"/>
    <mergeCell ref="C4:C5"/>
    <mergeCell ref="D4:D5"/>
    <mergeCell ref="B201:K201"/>
    <mergeCell ref="E4:K4"/>
    <mergeCell ref="C3:K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90"/>
  <sheetViews>
    <sheetView workbookViewId="0">
      <selection activeCell="N11" sqref="N11"/>
    </sheetView>
  </sheetViews>
  <sheetFormatPr defaultRowHeight="15" x14ac:dyDescent="0.25"/>
  <cols>
    <col min="1" max="1" width="28.7109375" customWidth="1"/>
    <col min="2" max="9" width="7.7109375" style="8" customWidth="1"/>
  </cols>
  <sheetData>
    <row r="1" spans="1:9" ht="29.65" customHeight="1" x14ac:dyDescent="0.25">
      <c r="A1" s="7" t="s">
        <v>283</v>
      </c>
    </row>
    <row r="2" spans="1:9" ht="26.25" customHeight="1" x14ac:dyDescent="0.25">
      <c r="A2" s="118" t="s">
        <v>446</v>
      </c>
      <c r="B2" s="119"/>
      <c r="C2" s="119"/>
      <c r="D2" s="119"/>
      <c r="E2" s="119"/>
      <c r="F2" s="119"/>
      <c r="G2" s="119"/>
      <c r="H2" s="119"/>
      <c r="I2" s="119"/>
    </row>
    <row r="3" spans="1:9" ht="24" customHeight="1" thickBot="1" x14ac:dyDescent="0.3">
      <c r="A3" s="9"/>
      <c r="B3" s="116" t="s">
        <v>285</v>
      </c>
      <c r="C3" s="117"/>
      <c r="D3" s="117"/>
      <c r="E3" s="117"/>
      <c r="F3" s="117"/>
      <c r="G3" s="117"/>
      <c r="H3" s="117"/>
      <c r="I3" s="117"/>
    </row>
    <row r="4" spans="1:9" ht="27" customHeight="1" thickTop="1" x14ac:dyDescent="0.25">
      <c r="A4" s="9"/>
      <c r="B4" s="120" t="s">
        <v>286</v>
      </c>
      <c r="C4" s="120" t="s">
        <v>447</v>
      </c>
      <c r="D4" s="121" t="s">
        <v>448</v>
      </c>
      <c r="E4" s="122"/>
      <c r="F4" s="122"/>
      <c r="G4" s="122"/>
      <c r="H4" s="122"/>
      <c r="I4" s="122"/>
    </row>
    <row r="5" spans="1:9" ht="63.75" customHeight="1" thickBot="1" x14ac:dyDescent="0.3">
      <c r="A5" s="48"/>
      <c r="B5" s="119"/>
      <c r="C5" s="119"/>
      <c r="D5" s="44" t="s">
        <v>449</v>
      </c>
      <c r="E5" s="44" t="s">
        <v>450</v>
      </c>
      <c r="F5" s="44" t="s">
        <v>451</v>
      </c>
      <c r="G5" s="44" t="s">
        <v>452</v>
      </c>
      <c r="H5" s="44" t="s">
        <v>453</v>
      </c>
      <c r="I5" s="44" t="s">
        <v>454</v>
      </c>
    </row>
    <row r="6" spans="1:9" ht="24" customHeight="1" thickBot="1" x14ac:dyDescent="0.3">
      <c r="A6" s="49" t="s">
        <v>289</v>
      </c>
      <c r="B6" s="50">
        <v>87093</v>
      </c>
      <c r="C6" s="50">
        <v>83569</v>
      </c>
      <c r="D6" s="50">
        <v>38406</v>
      </c>
      <c r="E6" s="50">
        <v>80081</v>
      </c>
      <c r="F6" s="50">
        <v>53816</v>
      </c>
      <c r="G6" s="50">
        <v>23396</v>
      </c>
      <c r="H6" s="50">
        <v>28059</v>
      </c>
      <c r="I6" s="51">
        <v>22071</v>
      </c>
    </row>
    <row r="7" spans="1:9" ht="24" customHeight="1" x14ac:dyDescent="0.25">
      <c r="A7" s="15" t="s">
        <v>290</v>
      </c>
      <c r="B7" s="16"/>
      <c r="C7" s="16"/>
      <c r="D7" s="16"/>
      <c r="E7" s="16"/>
      <c r="F7" s="16"/>
      <c r="G7" s="16"/>
      <c r="H7" s="16"/>
      <c r="I7" s="16"/>
    </row>
    <row r="8" spans="1:9" ht="15" customHeight="1" x14ac:dyDescent="0.25">
      <c r="A8" s="17" t="s">
        <v>291</v>
      </c>
      <c r="B8" s="14">
        <v>8041</v>
      </c>
      <c r="C8" s="14">
        <v>7130</v>
      </c>
      <c r="D8" s="14">
        <v>2453</v>
      </c>
      <c r="E8" s="14">
        <v>6466</v>
      </c>
      <c r="F8" s="14">
        <v>2815</v>
      </c>
      <c r="G8" s="14">
        <v>373</v>
      </c>
      <c r="H8" s="14">
        <v>944</v>
      </c>
      <c r="I8" s="14">
        <v>348</v>
      </c>
    </row>
    <row r="9" spans="1:9" ht="15" customHeight="1" x14ac:dyDescent="0.25">
      <c r="A9" s="17" t="s">
        <v>293</v>
      </c>
      <c r="B9" s="14">
        <v>8900</v>
      </c>
      <c r="C9" s="14">
        <v>8152</v>
      </c>
      <c r="D9" s="14">
        <v>2917</v>
      </c>
      <c r="E9" s="14">
        <v>7589</v>
      </c>
      <c r="F9" s="14">
        <v>3740</v>
      </c>
      <c r="G9" s="14">
        <v>736</v>
      </c>
      <c r="H9" s="14">
        <v>1487</v>
      </c>
      <c r="I9" s="14">
        <v>714</v>
      </c>
    </row>
    <row r="10" spans="1:9" ht="15" customHeight="1" x14ac:dyDescent="0.25">
      <c r="A10" s="17" t="s">
        <v>294</v>
      </c>
      <c r="B10" s="14">
        <v>14105</v>
      </c>
      <c r="C10" s="14">
        <v>13250</v>
      </c>
      <c r="D10" s="14">
        <v>4987</v>
      </c>
      <c r="E10" s="14">
        <v>12533</v>
      </c>
      <c r="F10" s="14">
        <v>6767</v>
      </c>
      <c r="G10" s="14">
        <v>2175</v>
      </c>
      <c r="H10" s="14">
        <v>2903</v>
      </c>
      <c r="I10" s="14">
        <v>1882</v>
      </c>
    </row>
    <row r="11" spans="1:9" ht="15" customHeight="1" x14ac:dyDescent="0.25">
      <c r="A11" s="17" t="s">
        <v>295</v>
      </c>
      <c r="B11" s="14">
        <v>11917</v>
      </c>
      <c r="C11" s="14">
        <v>11542</v>
      </c>
      <c r="D11" s="14">
        <v>4788</v>
      </c>
      <c r="E11" s="14">
        <v>11063</v>
      </c>
      <c r="F11" s="14">
        <v>6970</v>
      </c>
      <c r="G11" s="14">
        <v>2712</v>
      </c>
      <c r="H11" s="14">
        <v>3556</v>
      </c>
      <c r="I11" s="14">
        <v>2252</v>
      </c>
    </row>
    <row r="12" spans="1:9" ht="15" customHeight="1" x14ac:dyDescent="0.25">
      <c r="A12" s="17" t="s">
        <v>296</v>
      </c>
      <c r="B12" s="14">
        <v>13918</v>
      </c>
      <c r="C12" s="14">
        <v>13564</v>
      </c>
      <c r="D12" s="14">
        <v>6218</v>
      </c>
      <c r="E12" s="14">
        <v>13217</v>
      </c>
      <c r="F12" s="14">
        <v>9652</v>
      </c>
      <c r="G12" s="14">
        <v>3766</v>
      </c>
      <c r="H12" s="14">
        <v>4989</v>
      </c>
      <c r="I12" s="14">
        <v>3479</v>
      </c>
    </row>
    <row r="13" spans="1:9" ht="15" customHeight="1" x14ac:dyDescent="0.25">
      <c r="A13" s="17" t="s">
        <v>297</v>
      </c>
      <c r="B13" s="14">
        <v>12415</v>
      </c>
      <c r="C13" s="14">
        <v>12282</v>
      </c>
      <c r="D13" s="14">
        <v>6239</v>
      </c>
      <c r="E13" s="14">
        <v>11745</v>
      </c>
      <c r="F13" s="14">
        <v>9078</v>
      </c>
      <c r="G13" s="14">
        <v>4244</v>
      </c>
      <c r="H13" s="14">
        <v>4605</v>
      </c>
      <c r="I13" s="14">
        <v>3919</v>
      </c>
    </row>
    <row r="14" spans="1:9" ht="15" customHeight="1" x14ac:dyDescent="0.25">
      <c r="A14" s="17" t="s">
        <v>298</v>
      </c>
      <c r="B14" s="14">
        <v>10724</v>
      </c>
      <c r="C14" s="14">
        <v>10634</v>
      </c>
      <c r="D14" s="14">
        <v>6002</v>
      </c>
      <c r="E14" s="14">
        <v>10552</v>
      </c>
      <c r="F14" s="14">
        <v>8775</v>
      </c>
      <c r="G14" s="14">
        <v>4981</v>
      </c>
      <c r="H14" s="14">
        <v>5161</v>
      </c>
      <c r="I14" s="14">
        <v>4866</v>
      </c>
    </row>
    <row r="15" spans="1:9" ht="15" customHeight="1" x14ac:dyDescent="0.25">
      <c r="A15" s="17" t="s">
        <v>299</v>
      </c>
      <c r="B15" s="14">
        <v>7074</v>
      </c>
      <c r="C15" s="14">
        <v>7014</v>
      </c>
      <c r="D15" s="14">
        <v>4803</v>
      </c>
      <c r="E15" s="14">
        <v>6915</v>
      </c>
      <c r="F15" s="14">
        <v>6021</v>
      </c>
      <c r="G15" s="14">
        <v>4409</v>
      </c>
      <c r="H15" s="14">
        <v>4413</v>
      </c>
      <c r="I15" s="14">
        <v>4612</v>
      </c>
    </row>
    <row r="16" spans="1:9" ht="24" customHeight="1" x14ac:dyDescent="0.25">
      <c r="A16" s="15" t="s">
        <v>300</v>
      </c>
      <c r="B16" s="15"/>
      <c r="C16" s="15"/>
      <c r="D16" s="15"/>
      <c r="E16" s="15"/>
      <c r="F16" s="15"/>
      <c r="G16" s="15"/>
      <c r="H16" s="15"/>
      <c r="I16" s="15"/>
    </row>
    <row r="17" spans="1:11" x14ac:dyDescent="0.25">
      <c r="A17" s="17" t="s">
        <v>301</v>
      </c>
      <c r="B17" s="14">
        <v>12239</v>
      </c>
      <c r="C17" s="14">
        <v>12239</v>
      </c>
      <c r="D17" s="14">
        <v>5004</v>
      </c>
      <c r="E17" s="14">
        <v>12180</v>
      </c>
      <c r="F17" s="14">
        <v>8559</v>
      </c>
      <c r="G17" s="14">
        <v>4376</v>
      </c>
      <c r="H17" s="14">
        <v>3069</v>
      </c>
      <c r="I17" s="14">
        <v>2135</v>
      </c>
    </row>
    <row r="18" spans="1:11" x14ac:dyDescent="0.25">
      <c r="A18" s="17" t="s">
        <v>302</v>
      </c>
      <c r="B18" s="14">
        <v>1252</v>
      </c>
      <c r="C18" s="14">
        <v>1252</v>
      </c>
      <c r="D18" s="14">
        <v>443</v>
      </c>
      <c r="E18" s="14">
        <v>1232</v>
      </c>
      <c r="F18" s="14">
        <v>560</v>
      </c>
      <c r="G18" s="14" t="s">
        <v>292</v>
      </c>
      <c r="H18" s="14">
        <v>271</v>
      </c>
      <c r="I18" s="14">
        <v>323</v>
      </c>
    </row>
    <row r="19" spans="1:11" x14ac:dyDescent="0.25">
      <c r="A19" s="17" t="s">
        <v>304</v>
      </c>
      <c r="B19" s="14">
        <v>1819</v>
      </c>
      <c r="C19" s="14">
        <v>1819</v>
      </c>
      <c r="D19" s="14">
        <v>924</v>
      </c>
      <c r="E19" s="14">
        <v>1671</v>
      </c>
      <c r="F19" s="14">
        <v>1177</v>
      </c>
      <c r="G19" s="14">
        <v>121</v>
      </c>
      <c r="H19" s="14">
        <v>496</v>
      </c>
      <c r="I19" s="14">
        <v>275</v>
      </c>
    </row>
    <row r="20" spans="1:11" x14ac:dyDescent="0.25">
      <c r="A20" s="17" t="s">
        <v>305</v>
      </c>
      <c r="B20" s="14">
        <v>4155</v>
      </c>
      <c r="C20" s="14">
        <v>4155</v>
      </c>
      <c r="D20" s="14">
        <v>2391</v>
      </c>
      <c r="E20" s="14">
        <v>4074</v>
      </c>
      <c r="F20" s="14">
        <v>3535</v>
      </c>
      <c r="G20" s="14">
        <v>1448</v>
      </c>
      <c r="H20" s="14">
        <v>1875</v>
      </c>
      <c r="I20" s="14">
        <v>2245</v>
      </c>
    </row>
    <row r="21" spans="1:11" x14ac:dyDescent="0.25">
      <c r="A21" s="18" t="s">
        <v>306</v>
      </c>
      <c r="B21" s="14">
        <v>2374</v>
      </c>
      <c r="C21" s="14">
        <v>2374</v>
      </c>
      <c r="D21" s="14">
        <v>1745</v>
      </c>
      <c r="E21" s="14">
        <v>2373</v>
      </c>
      <c r="F21" s="14">
        <v>2260</v>
      </c>
      <c r="G21" s="14">
        <v>1217</v>
      </c>
      <c r="H21" s="14">
        <v>1452</v>
      </c>
      <c r="I21" s="14">
        <v>1647</v>
      </c>
    </row>
    <row r="22" spans="1:11" x14ac:dyDescent="0.25">
      <c r="A22" s="18" t="s">
        <v>307</v>
      </c>
      <c r="B22" s="14">
        <v>1781</v>
      </c>
      <c r="C22" s="14">
        <v>1781</v>
      </c>
      <c r="D22" s="14">
        <v>646</v>
      </c>
      <c r="E22" s="14">
        <v>1701</v>
      </c>
      <c r="F22" s="14">
        <v>1275</v>
      </c>
      <c r="G22" s="14">
        <v>231</v>
      </c>
      <c r="H22" s="14">
        <v>423</v>
      </c>
      <c r="I22" s="14">
        <v>598</v>
      </c>
    </row>
    <row r="23" spans="1:11" x14ac:dyDescent="0.25">
      <c r="A23" s="17" t="s">
        <v>308</v>
      </c>
      <c r="B23" s="14">
        <v>5826</v>
      </c>
      <c r="C23" s="14">
        <v>5817</v>
      </c>
      <c r="D23" s="14">
        <v>3585</v>
      </c>
      <c r="E23" s="14">
        <v>5409</v>
      </c>
      <c r="F23" s="14">
        <v>5258</v>
      </c>
      <c r="G23" s="14">
        <v>1848</v>
      </c>
      <c r="H23" s="14">
        <v>2696</v>
      </c>
      <c r="I23" s="14">
        <v>2024</v>
      </c>
    </row>
    <row r="24" spans="1:11" x14ac:dyDescent="0.25">
      <c r="A24" s="17" t="s">
        <v>309</v>
      </c>
      <c r="B24" s="14">
        <v>11330</v>
      </c>
      <c r="C24" s="14">
        <v>11320</v>
      </c>
      <c r="D24" s="14">
        <v>6646</v>
      </c>
      <c r="E24" s="14">
        <v>10714</v>
      </c>
      <c r="F24" s="14">
        <v>8053</v>
      </c>
      <c r="G24" s="14">
        <v>3959</v>
      </c>
      <c r="H24" s="14">
        <v>5925</v>
      </c>
      <c r="I24" s="14">
        <v>5118</v>
      </c>
      <c r="K24" s="19"/>
    </row>
    <row r="25" spans="1:11" ht="15" customHeight="1" x14ac:dyDescent="0.25">
      <c r="A25" s="20" t="s">
        <v>310</v>
      </c>
      <c r="B25" s="14">
        <v>5439</v>
      </c>
      <c r="C25" s="14">
        <v>5430</v>
      </c>
      <c r="D25" s="14">
        <v>1671</v>
      </c>
      <c r="E25" s="14">
        <v>4864</v>
      </c>
      <c r="F25" s="14">
        <v>2712</v>
      </c>
      <c r="G25" s="14">
        <v>891</v>
      </c>
      <c r="H25" s="14">
        <v>1608</v>
      </c>
      <c r="I25" s="14">
        <v>1295</v>
      </c>
    </row>
    <row r="26" spans="1:11" ht="15" customHeight="1" x14ac:dyDescent="0.25">
      <c r="A26" s="20" t="s">
        <v>311</v>
      </c>
      <c r="B26" s="14">
        <v>5890</v>
      </c>
      <c r="C26" s="14">
        <v>5890</v>
      </c>
      <c r="D26" s="14">
        <v>4975</v>
      </c>
      <c r="E26" s="14">
        <v>5850</v>
      </c>
      <c r="F26" s="14">
        <v>5341</v>
      </c>
      <c r="G26" s="14">
        <v>3069</v>
      </c>
      <c r="H26" s="14">
        <v>4317</v>
      </c>
      <c r="I26" s="14">
        <v>3824</v>
      </c>
    </row>
    <row r="27" spans="1:11" ht="15" customHeight="1" x14ac:dyDescent="0.25">
      <c r="A27" s="17" t="s">
        <v>312</v>
      </c>
      <c r="B27" s="14">
        <v>15952</v>
      </c>
      <c r="C27" s="14">
        <v>15952</v>
      </c>
      <c r="D27" s="14">
        <v>7541</v>
      </c>
      <c r="E27" s="14">
        <v>15547</v>
      </c>
      <c r="F27" s="14">
        <v>11438</v>
      </c>
      <c r="G27" s="14">
        <v>3858</v>
      </c>
      <c r="H27" s="14">
        <v>5598</v>
      </c>
      <c r="I27" s="14">
        <v>5034</v>
      </c>
    </row>
    <row r="28" spans="1:11" ht="15" customHeight="1" x14ac:dyDescent="0.25">
      <c r="A28" s="17" t="s">
        <v>313</v>
      </c>
      <c r="B28" s="14">
        <v>5559</v>
      </c>
      <c r="C28" s="14">
        <v>5527</v>
      </c>
      <c r="D28" s="14">
        <v>3035</v>
      </c>
      <c r="E28" s="14">
        <v>5208</v>
      </c>
      <c r="F28" s="14">
        <v>4125</v>
      </c>
      <c r="G28" s="14">
        <v>1922</v>
      </c>
      <c r="H28" s="14">
        <v>2172</v>
      </c>
      <c r="I28" s="14">
        <v>1955</v>
      </c>
    </row>
    <row r="29" spans="1:11" ht="15" customHeight="1" x14ac:dyDescent="0.25">
      <c r="A29" s="17" t="s">
        <v>314</v>
      </c>
      <c r="B29" s="14">
        <v>1440</v>
      </c>
      <c r="C29" s="14">
        <v>1414</v>
      </c>
      <c r="D29" s="14">
        <v>623</v>
      </c>
      <c r="E29" s="14">
        <v>1375</v>
      </c>
      <c r="F29" s="14">
        <v>1086</v>
      </c>
      <c r="G29" s="14">
        <v>404</v>
      </c>
      <c r="H29" s="14">
        <v>416</v>
      </c>
      <c r="I29" s="14">
        <v>360</v>
      </c>
    </row>
    <row r="30" spans="1:11" ht="15" customHeight="1" x14ac:dyDescent="0.25">
      <c r="A30" s="17" t="s">
        <v>315</v>
      </c>
      <c r="B30" s="14">
        <v>4557</v>
      </c>
      <c r="C30" s="14">
        <v>4557</v>
      </c>
      <c r="D30" s="14">
        <v>3015</v>
      </c>
      <c r="E30" s="14">
        <v>4293</v>
      </c>
      <c r="F30" s="14">
        <v>3187</v>
      </c>
      <c r="G30" s="14">
        <v>839</v>
      </c>
      <c r="H30" s="14">
        <v>1540</v>
      </c>
      <c r="I30" s="14">
        <v>902</v>
      </c>
    </row>
    <row r="31" spans="1:11" ht="15" customHeight="1" x14ac:dyDescent="0.25">
      <c r="A31" s="17" t="s">
        <v>316</v>
      </c>
      <c r="B31" s="14">
        <v>4630</v>
      </c>
      <c r="C31" s="14">
        <v>4379</v>
      </c>
      <c r="D31" s="14">
        <v>1026</v>
      </c>
      <c r="E31" s="14">
        <v>4142</v>
      </c>
      <c r="F31" s="14">
        <v>1569</v>
      </c>
      <c r="G31" s="14">
        <v>980</v>
      </c>
      <c r="H31" s="14">
        <v>1024</v>
      </c>
      <c r="I31" s="14" t="s">
        <v>292</v>
      </c>
    </row>
    <row r="32" spans="1:11" ht="15" customHeight="1" x14ac:dyDescent="0.25">
      <c r="A32" s="17" t="s">
        <v>317</v>
      </c>
      <c r="B32" s="14">
        <v>13077</v>
      </c>
      <c r="C32" s="14">
        <v>12079</v>
      </c>
      <c r="D32" s="14">
        <v>3094</v>
      </c>
      <c r="E32" s="14">
        <v>11280</v>
      </c>
      <c r="F32" s="14">
        <v>4040</v>
      </c>
      <c r="G32" s="14">
        <v>2934</v>
      </c>
      <c r="H32" s="14">
        <v>2438</v>
      </c>
      <c r="I32" s="14">
        <v>998</v>
      </c>
    </row>
    <row r="33" spans="1:9" ht="15" customHeight="1" x14ac:dyDescent="0.25">
      <c r="A33" s="17" t="s">
        <v>318</v>
      </c>
      <c r="B33" s="14">
        <v>2002</v>
      </c>
      <c r="C33" s="14">
        <v>1930</v>
      </c>
      <c r="D33" s="14">
        <v>790</v>
      </c>
      <c r="E33" s="14">
        <v>1880</v>
      </c>
      <c r="F33" s="14">
        <v>783</v>
      </c>
      <c r="G33" s="14">
        <v>383</v>
      </c>
      <c r="H33" s="14">
        <v>344</v>
      </c>
      <c r="I33" s="14">
        <v>290</v>
      </c>
    </row>
    <row r="34" spans="1:9" ht="15" customHeight="1" x14ac:dyDescent="0.25">
      <c r="A34" s="17" t="s">
        <v>319</v>
      </c>
      <c r="B34" s="14">
        <v>3256</v>
      </c>
      <c r="C34" s="14">
        <v>1128</v>
      </c>
      <c r="D34" s="14">
        <v>288</v>
      </c>
      <c r="E34" s="14">
        <v>1076</v>
      </c>
      <c r="F34" s="14">
        <v>445</v>
      </c>
      <c r="G34" s="14" t="s">
        <v>292</v>
      </c>
      <c r="H34" s="14" t="s">
        <v>292</v>
      </c>
      <c r="I34" s="14" t="s">
        <v>292</v>
      </c>
    </row>
    <row r="35" spans="1:9" ht="24" customHeight="1" x14ac:dyDescent="0.25">
      <c r="A35" s="15" t="s">
        <v>320</v>
      </c>
      <c r="B35" s="15"/>
      <c r="C35" s="15"/>
      <c r="D35" s="15"/>
      <c r="E35" s="15"/>
      <c r="F35" s="15"/>
      <c r="G35" s="15"/>
      <c r="H35" s="15"/>
      <c r="I35" s="15"/>
    </row>
    <row r="36" spans="1:9" ht="15" customHeight="1" x14ac:dyDescent="0.25">
      <c r="A36" s="17" t="s">
        <v>321</v>
      </c>
      <c r="B36" s="14">
        <v>3983</v>
      </c>
      <c r="C36" s="14">
        <v>3715</v>
      </c>
      <c r="D36" s="14">
        <v>2292</v>
      </c>
      <c r="E36" s="14">
        <v>3280</v>
      </c>
      <c r="F36" s="14">
        <v>2346</v>
      </c>
      <c r="G36" s="14">
        <v>763</v>
      </c>
      <c r="H36" s="14">
        <v>1208</v>
      </c>
      <c r="I36" s="14">
        <v>744</v>
      </c>
    </row>
    <row r="37" spans="1:9" ht="15" customHeight="1" x14ac:dyDescent="0.25">
      <c r="A37" s="17" t="s">
        <v>322</v>
      </c>
      <c r="B37" s="14">
        <v>6025</v>
      </c>
      <c r="C37" s="14">
        <v>5774</v>
      </c>
      <c r="D37" s="14">
        <v>2750</v>
      </c>
      <c r="E37" s="14">
        <v>5472</v>
      </c>
      <c r="F37" s="14">
        <v>3714</v>
      </c>
      <c r="G37" s="14">
        <v>1337</v>
      </c>
      <c r="H37" s="14">
        <v>1948</v>
      </c>
      <c r="I37" s="14">
        <v>1528</v>
      </c>
    </row>
    <row r="38" spans="1:9" ht="15" customHeight="1" x14ac:dyDescent="0.25">
      <c r="A38" s="17" t="s">
        <v>323</v>
      </c>
      <c r="B38" s="14">
        <v>7381</v>
      </c>
      <c r="C38" s="14">
        <v>7087</v>
      </c>
      <c r="D38" s="14">
        <v>3494</v>
      </c>
      <c r="E38" s="14">
        <v>6860</v>
      </c>
      <c r="F38" s="14">
        <v>4340</v>
      </c>
      <c r="G38" s="14">
        <v>1785</v>
      </c>
      <c r="H38" s="14">
        <v>2028</v>
      </c>
      <c r="I38" s="14">
        <v>1306</v>
      </c>
    </row>
    <row r="39" spans="1:9" ht="15" customHeight="1" x14ac:dyDescent="0.25">
      <c r="A39" s="17" t="s">
        <v>324</v>
      </c>
      <c r="B39" s="14">
        <v>10362</v>
      </c>
      <c r="C39" s="14">
        <v>10061</v>
      </c>
      <c r="D39" s="14">
        <v>4629</v>
      </c>
      <c r="E39" s="14">
        <v>9857</v>
      </c>
      <c r="F39" s="14">
        <v>6463</v>
      </c>
      <c r="G39" s="14">
        <v>2525</v>
      </c>
      <c r="H39" s="14">
        <v>2948</v>
      </c>
      <c r="I39" s="14">
        <v>2224</v>
      </c>
    </row>
    <row r="40" spans="1:9" ht="15" customHeight="1" x14ac:dyDescent="0.25">
      <c r="A40" s="17" t="s">
        <v>325</v>
      </c>
      <c r="B40" s="14">
        <v>10846</v>
      </c>
      <c r="C40" s="14">
        <v>10354</v>
      </c>
      <c r="D40" s="14">
        <v>5560</v>
      </c>
      <c r="E40" s="14">
        <v>9992</v>
      </c>
      <c r="F40" s="14">
        <v>6913</v>
      </c>
      <c r="G40" s="14">
        <v>3311</v>
      </c>
      <c r="H40" s="14">
        <v>3418</v>
      </c>
      <c r="I40" s="14">
        <v>2632</v>
      </c>
    </row>
    <row r="41" spans="1:9" ht="15" customHeight="1" x14ac:dyDescent="0.25">
      <c r="A41" s="17" t="s">
        <v>326</v>
      </c>
      <c r="B41" s="14">
        <v>15230</v>
      </c>
      <c r="C41" s="14">
        <v>14688</v>
      </c>
      <c r="D41" s="14">
        <v>6972</v>
      </c>
      <c r="E41" s="14">
        <v>14263</v>
      </c>
      <c r="F41" s="14">
        <v>9199</v>
      </c>
      <c r="G41" s="14">
        <v>4591</v>
      </c>
      <c r="H41" s="14">
        <v>5124</v>
      </c>
      <c r="I41" s="14">
        <v>4374</v>
      </c>
    </row>
    <row r="42" spans="1:9" ht="15" customHeight="1" x14ac:dyDescent="0.25">
      <c r="A42" s="17" t="s">
        <v>327</v>
      </c>
      <c r="B42" s="14">
        <v>13803</v>
      </c>
      <c r="C42" s="14">
        <v>12856</v>
      </c>
      <c r="D42" s="14">
        <v>5494</v>
      </c>
      <c r="E42" s="14">
        <v>12267</v>
      </c>
      <c r="F42" s="14">
        <v>8327</v>
      </c>
      <c r="G42" s="14">
        <v>4127</v>
      </c>
      <c r="H42" s="14">
        <v>4364</v>
      </c>
      <c r="I42" s="14">
        <v>3489</v>
      </c>
    </row>
    <row r="43" spans="1:9" ht="15" customHeight="1" x14ac:dyDescent="0.25">
      <c r="A43" s="17" t="s">
        <v>328</v>
      </c>
      <c r="B43" s="14">
        <v>7215</v>
      </c>
      <c r="C43" s="14">
        <v>7100</v>
      </c>
      <c r="D43" s="14">
        <v>2874</v>
      </c>
      <c r="E43" s="14">
        <v>6810</v>
      </c>
      <c r="F43" s="14">
        <v>4692</v>
      </c>
      <c r="G43" s="14">
        <v>2072</v>
      </c>
      <c r="H43" s="14">
        <v>2580</v>
      </c>
      <c r="I43" s="14">
        <v>1915</v>
      </c>
    </row>
    <row r="44" spans="1:9" ht="15" customHeight="1" x14ac:dyDescent="0.25">
      <c r="A44" s="17" t="s">
        <v>329</v>
      </c>
      <c r="B44" s="14">
        <v>6524</v>
      </c>
      <c r="C44" s="14">
        <v>6378</v>
      </c>
      <c r="D44" s="14">
        <v>2745</v>
      </c>
      <c r="E44" s="14">
        <v>6209</v>
      </c>
      <c r="F44" s="14">
        <v>4249</v>
      </c>
      <c r="G44" s="14">
        <v>1770</v>
      </c>
      <c r="H44" s="14">
        <v>2514</v>
      </c>
      <c r="I44" s="14">
        <v>2113</v>
      </c>
    </row>
    <row r="45" spans="1:9" ht="15" customHeight="1" x14ac:dyDescent="0.25">
      <c r="A45" s="17" t="s">
        <v>330</v>
      </c>
      <c r="B45" s="14">
        <v>5723</v>
      </c>
      <c r="C45" s="14">
        <v>5556</v>
      </c>
      <c r="D45" s="14">
        <v>1595</v>
      </c>
      <c r="E45" s="14">
        <v>5070</v>
      </c>
      <c r="F45" s="14">
        <v>3574</v>
      </c>
      <c r="G45" s="14">
        <v>1116</v>
      </c>
      <c r="H45" s="14">
        <v>1929</v>
      </c>
      <c r="I45" s="14">
        <v>1747</v>
      </c>
    </row>
    <row r="46" spans="1:9" ht="24" customHeight="1" x14ac:dyDescent="0.25">
      <c r="A46" s="15" t="s">
        <v>331</v>
      </c>
      <c r="B46" s="16"/>
      <c r="C46" s="16"/>
      <c r="D46" s="16"/>
      <c r="E46" s="16"/>
      <c r="F46" s="16"/>
      <c r="G46" s="16"/>
      <c r="H46" s="16"/>
      <c r="I46" s="16"/>
    </row>
    <row r="47" spans="1:9" ht="15" customHeight="1" x14ac:dyDescent="0.25">
      <c r="A47" s="17" t="s">
        <v>332</v>
      </c>
      <c r="B47" s="14">
        <v>15534</v>
      </c>
      <c r="C47" s="14">
        <v>15071</v>
      </c>
      <c r="D47" s="14">
        <v>7565</v>
      </c>
      <c r="E47" s="14">
        <v>14473</v>
      </c>
      <c r="F47" s="14">
        <v>10771</v>
      </c>
      <c r="G47" s="14">
        <v>4510</v>
      </c>
      <c r="H47" s="14">
        <v>5267</v>
      </c>
      <c r="I47" s="14">
        <v>4752</v>
      </c>
    </row>
    <row r="48" spans="1:9" ht="15" customHeight="1" x14ac:dyDescent="0.25">
      <c r="A48" s="18" t="s">
        <v>333</v>
      </c>
      <c r="B48" s="14">
        <v>4302</v>
      </c>
      <c r="C48" s="14">
        <v>4062</v>
      </c>
      <c r="D48" s="14">
        <v>2046</v>
      </c>
      <c r="E48" s="14">
        <v>3771</v>
      </c>
      <c r="F48" s="14">
        <v>2886</v>
      </c>
      <c r="G48" s="14">
        <v>1161</v>
      </c>
      <c r="H48" s="14">
        <v>1494</v>
      </c>
      <c r="I48" s="14">
        <v>1363</v>
      </c>
    </row>
    <row r="49" spans="1:9" ht="15" customHeight="1" x14ac:dyDescent="0.25">
      <c r="A49" s="18" t="s">
        <v>334</v>
      </c>
      <c r="B49" s="14">
        <v>11232</v>
      </c>
      <c r="C49" s="14">
        <v>11009</v>
      </c>
      <c r="D49" s="14">
        <v>5520</v>
      </c>
      <c r="E49" s="14">
        <v>10702</v>
      </c>
      <c r="F49" s="14">
        <v>7886</v>
      </c>
      <c r="G49" s="14">
        <v>3349</v>
      </c>
      <c r="H49" s="14">
        <v>3774</v>
      </c>
      <c r="I49" s="14">
        <v>3388</v>
      </c>
    </row>
    <row r="50" spans="1:9" ht="15" customHeight="1" x14ac:dyDescent="0.25">
      <c r="A50" s="17" t="s">
        <v>335</v>
      </c>
      <c r="B50" s="14">
        <v>18919</v>
      </c>
      <c r="C50" s="14">
        <v>18190</v>
      </c>
      <c r="D50" s="14">
        <v>9038</v>
      </c>
      <c r="E50" s="14">
        <v>17514</v>
      </c>
      <c r="F50" s="14">
        <v>11841</v>
      </c>
      <c r="G50" s="14">
        <v>5357</v>
      </c>
      <c r="H50" s="14">
        <v>6169</v>
      </c>
      <c r="I50" s="14">
        <v>5148</v>
      </c>
    </row>
    <row r="51" spans="1:9" ht="15" customHeight="1" x14ac:dyDescent="0.25">
      <c r="A51" s="18" t="s">
        <v>336</v>
      </c>
      <c r="B51" s="14">
        <v>12742</v>
      </c>
      <c r="C51" s="14">
        <v>12323</v>
      </c>
      <c r="D51" s="14">
        <v>6180</v>
      </c>
      <c r="E51" s="14">
        <v>11880</v>
      </c>
      <c r="F51" s="14">
        <v>8336</v>
      </c>
      <c r="G51" s="14">
        <v>4102</v>
      </c>
      <c r="H51" s="14">
        <v>4590</v>
      </c>
      <c r="I51" s="14">
        <v>3759</v>
      </c>
    </row>
    <row r="52" spans="1:9" ht="15" customHeight="1" x14ac:dyDescent="0.25">
      <c r="A52" s="18" t="s">
        <v>337</v>
      </c>
      <c r="B52" s="14">
        <v>6178</v>
      </c>
      <c r="C52" s="14">
        <v>5867</v>
      </c>
      <c r="D52" s="14">
        <v>2858</v>
      </c>
      <c r="E52" s="14">
        <v>5634</v>
      </c>
      <c r="F52" s="14">
        <v>3505</v>
      </c>
      <c r="G52" s="14">
        <v>1255</v>
      </c>
      <c r="H52" s="14">
        <v>1578</v>
      </c>
      <c r="I52" s="14">
        <v>1389</v>
      </c>
    </row>
    <row r="53" spans="1:9" ht="15" customHeight="1" x14ac:dyDescent="0.25">
      <c r="A53" s="17" t="s">
        <v>338</v>
      </c>
      <c r="B53" s="14">
        <v>34279</v>
      </c>
      <c r="C53" s="14">
        <v>32621</v>
      </c>
      <c r="D53" s="14">
        <v>14581</v>
      </c>
      <c r="E53" s="14">
        <v>31363</v>
      </c>
      <c r="F53" s="14">
        <v>20042</v>
      </c>
      <c r="G53" s="14">
        <v>9347</v>
      </c>
      <c r="H53" s="14">
        <v>10970</v>
      </c>
      <c r="I53" s="14">
        <v>7559</v>
      </c>
    </row>
    <row r="54" spans="1:9" ht="15" customHeight="1" x14ac:dyDescent="0.25">
      <c r="A54" s="18" t="s">
        <v>339</v>
      </c>
      <c r="B54" s="14">
        <v>17981</v>
      </c>
      <c r="C54" s="14">
        <v>17449</v>
      </c>
      <c r="D54" s="14">
        <v>7828</v>
      </c>
      <c r="E54" s="14">
        <v>16888</v>
      </c>
      <c r="F54" s="14">
        <v>10855</v>
      </c>
      <c r="G54" s="14">
        <v>5325</v>
      </c>
      <c r="H54" s="14">
        <v>6161</v>
      </c>
      <c r="I54" s="14">
        <v>4553</v>
      </c>
    </row>
    <row r="55" spans="1:9" ht="15" customHeight="1" x14ac:dyDescent="0.25">
      <c r="A55" s="18" t="s">
        <v>340</v>
      </c>
      <c r="B55" s="14">
        <v>4904</v>
      </c>
      <c r="C55" s="14">
        <v>4726</v>
      </c>
      <c r="D55" s="14">
        <v>2468</v>
      </c>
      <c r="E55" s="14">
        <v>4573</v>
      </c>
      <c r="F55" s="14">
        <v>2923</v>
      </c>
      <c r="G55" s="14">
        <v>1182</v>
      </c>
      <c r="H55" s="14">
        <v>1349</v>
      </c>
      <c r="I55" s="14">
        <v>1232</v>
      </c>
    </row>
    <row r="56" spans="1:9" ht="15" customHeight="1" x14ac:dyDescent="0.25">
      <c r="A56" s="18" t="s">
        <v>341</v>
      </c>
      <c r="B56" s="14">
        <v>11394</v>
      </c>
      <c r="C56" s="14">
        <v>10446</v>
      </c>
      <c r="D56" s="14">
        <v>4286</v>
      </c>
      <c r="E56" s="14">
        <v>9901</v>
      </c>
      <c r="F56" s="14">
        <v>6263</v>
      </c>
      <c r="G56" s="14">
        <v>2841</v>
      </c>
      <c r="H56" s="14">
        <v>3459</v>
      </c>
      <c r="I56" s="14">
        <v>1774</v>
      </c>
    </row>
    <row r="57" spans="1:9" ht="15" customHeight="1" x14ac:dyDescent="0.25">
      <c r="A57" s="17" t="s">
        <v>342</v>
      </c>
      <c r="B57" s="14">
        <v>18360</v>
      </c>
      <c r="C57" s="14">
        <v>17687</v>
      </c>
      <c r="D57" s="14">
        <v>7222</v>
      </c>
      <c r="E57" s="14">
        <v>16732</v>
      </c>
      <c r="F57" s="14">
        <v>11163</v>
      </c>
      <c r="G57" s="14">
        <v>4182</v>
      </c>
      <c r="H57" s="14">
        <v>5653</v>
      </c>
      <c r="I57" s="14">
        <v>4612</v>
      </c>
    </row>
    <row r="58" spans="1:9" ht="15" customHeight="1" x14ac:dyDescent="0.25">
      <c r="A58" s="18" t="s">
        <v>343</v>
      </c>
      <c r="B58" s="14">
        <v>4981</v>
      </c>
      <c r="C58" s="14">
        <v>4677</v>
      </c>
      <c r="D58" s="14">
        <v>2253</v>
      </c>
      <c r="E58" s="14">
        <v>4529</v>
      </c>
      <c r="F58" s="14">
        <v>3007</v>
      </c>
      <c r="G58" s="14">
        <v>1314</v>
      </c>
      <c r="H58" s="14">
        <v>1663</v>
      </c>
      <c r="I58" s="14">
        <v>1513</v>
      </c>
    </row>
    <row r="59" spans="1:9" ht="15" customHeight="1" x14ac:dyDescent="0.25">
      <c r="A59" s="18" t="s">
        <v>344</v>
      </c>
      <c r="B59" s="14">
        <v>13379</v>
      </c>
      <c r="C59" s="14">
        <v>13010</v>
      </c>
      <c r="D59" s="14">
        <v>4969</v>
      </c>
      <c r="E59" s="14">
        <v>12203</v>
      </c>
      <c r="F59" s="14">
        <v>8156</v>
      </c>
      <c r="G59" s="14">
        <v>2868</v>
      </c>
      <c r="H59" s="14">
        <v>3990</v>
      </c>
      <c r="I59" s="14">
        <v>3099</v>
      </c>
    </row>
    <row r="60" spans="1:9" ht="24" customHeight="1" x14ac:dyDescent="0.25">
      <c r="A60" s="15" t="s">
        <v>345</v>
      </c>
      <c r="B60" s="15"/>
      <c r="C60" s="15"/>
      <c r="D60" s="15"/>
      <c r="E60" s="15"/>
      <c r="F60" s="15"/>
      <c r="G60" s="15"/>
      <c r="H60" s="15"/>
      <c r="I60" s="15"/>
    </row>
    <row r="61" spans="1:9" x14ac:dyDescent="0.25">
      <c r="A61" s="17" t="s">
        <v>346</v>
      </c>
      <c r="B61" s="14">
        <v>31898</v>
      </c>
      <c r="C61" s="14">
        <v>30542</v>
      </c>
      <c r="D61" s="14">
        <v>14837</v>
      </c>
      <c r="E61" s="14">
        <v>29315</v>
      </c>
      <c r="F61" s="14">
        <v>20485</v>
      </c>
      <c r="G61" s="14">
        <v>8734</v>
      </c>
      <c r="H61" s="14">
        <v>10366</v>
      </c>
      <c r="I61" s="14">
        <v>9156</v>
      </c>
    </row>
    <row r="62" spans="1:9" x14ac:dyDescent="0.25">
      <c r="A62" s="17" t="s">
        <v>347</v>
      </c>
      <c r="B62" s="14">
        <v>27873</v>
      </c>
      <c r="C62" s="14">
        <v>27096</v>
      </c>
      <c r="D62" s="14">
        <v>13429</v>
      </c>
      <c r="E62" s="14">
        <v>26407</v>
      </c>
      <c r="F62" s="14">
        <v>17410</v>
      </c>
      <c r="G62" s="14">
        <v>8547</v>
      </c>
      <c r="H62" s="14">
        <v>9391</v>
      </c>
      <c r="I62" s="14">
        <v>6936</v>
      </c>
    </row>
    <row r="63" spans="1:9" x14ac:dyDescent="0.25">
      <c r="A63" s="17" t="s">
        <v>348</v>
      </c>
      <c r="B63" s="14">
        <v>12037</v>
      </c>
      <c r="C63" s="14">
        <v>11670</v>
      </c>
      <c r="D63" s="14">
        <v>4139</v>
      </c>
      <c r="E63" s="14">
        <v>11018</v>
      </c>
      <c r="F63" s="14">
        <v>6692</v>
      </c>
      <c r="G63" s="14">
        <v>2661</v>
      </c>
      <c r="H63" s="14">
        <v>3257</v>
      </c>
      <c r="I63" s="14">
        <v>2514</v>
      </c>
    </row>
    <row r="64" spans="1:9" x14ac:dyDescent="0.25">
      <c r="A64" s="17" t="s">
        <v>349</v>
      </c>
      <c r="B64" s="14">
        <v>12831</v>
      </c>
      <c r="C64" s="14">
        <v>11881</v>
      </c>
      <c r="D64" s="14">
        <v>4769</v>
      </c>
      <c r="E64" s="14">
        <v>11096</v>
      </c>
      <c r="F64" s="14">
        <v>7285</v>
      </c>
      <c r="G64" s="14">
        <v>3035</v>
      </c>
      <c r="H64" s="14">
        <v>4152</v>
      </c>
      <c r="I64" s="14">
        <v>2733</v>
      </c>
    </row>
    <row r="65" spans="1:9" x14ac:dyDescent="0.25">
      <c r="A65" s="17" t="s">
        <v>350</v>
      </c>
      <c r="B65" s="14">
        <v>2454</v>
      </c>
      <c r="C65" s="14">
        <v>2381</v>
      </c>
      <c r="D65" s="14">
        <v>1232</v>
      </c>
      <c r="E65" s="14">
        <v>2246</v>
      </c>
      <c r="F65" s="14">
        <v>1944</v>
      </c>
      <c r="G65" s="14">
        <v>420</v>
      </c>
      <c r="H65" s="14">
        <v>893</v>
      </c>
      <c r="I65" s="14">
        <v>732</v>
      </c>
    </row>
    <row r="66" spans="1:9" ht="24" customHeight="1" x14ac:dyDescent="0.25">
      <c r="A66" s="15" t="s">
        <v>351</v>
      </c>
      <c r="B66" s="15"/>
      <c r="C66" s="15"/>
      <c r="D66" s="15"/>
      <c r="E66" s="15"/>
      <c r="F66" s="15"/>
      <c r="G66" s="15"/>
      <c r="H66" s="15"/>
      <c r="I66" s="15"/>
    </row>
    <row r="67" spans="1:9" x14ac:dyDescent="0.25">
      <c r="A67" s="17" t="s">
        <v>352</v>
      </c>
      <c r="B67" s="14">
        <v>39809</v>
      </c>
      <c r="C67" s="14">
        <v>37113</v>
      </c>
      <c r="D67" s="14">
        <v>13966</v>
      </c>
      <c r="E67" s="14">
        <v>34818</v>
      </c>
      <c r="F67" s="14">
        <v>18664</v>
      </c>
      <c r="G67" s="14">
        <v>8474</v>
      </c>
      <c r="H67" s="14">
        <v>9952</v>
      </c>
      <c r="I67" s="14">
        <v>6930</v>
      </c>
    </row>
    <row r="68" spans="1:9" x14ac:dyDescent="0.25">
      <c r="A68" s="17" t="s">
        <v>353</v>
      </c>
      <c r="B68" s="14">
        <v>20206</v>
      </c>
      <c r="C68" s="14">
        <v>19726</v>
      </c>
      <c r="D68" s="14">
        <v>9208</v>
      </c>
      <c r="E68" s="14">
        <v>19068</v>
      </c>
      <c r="F68" s="14">
        <v>12629</v>
      </c>
      <c r="G68" s="14">
        <v>5326</v>
      </c>
      <c r="H68" s="14">
        <v>5781</v>
      </c>
      <c r="I68" s="14">
        <v>3905</v>
      </c>
    </row>
    <row r="69" spans="1:9" x14ac:dyDescent="0.25">
      <c r="A69" s="17" t="s">
        <v>354</v>
      </c>
      <c r="B69" s="14">
        <v>8140</v>
      </c>
      <c r="C69" s="14">
        <v>8055</v>
      </c>
      <c r="D69" s="14">
        <v>3886</v>
      </c>
      <c r="E69" s="14">
        <v>7767</v>
      </c>
      <c r="F69" s="14">
        <v>5761</v>
      </c>
      <c r="G69" s="14">
        <v>2239</v>
      </c>
      <c r="H69" s="14">
        <v>2789</v>
      </c>
      <c r="I69" s="14">
        <v>1950</v>
      </c>
    </row>
    <row r="70" spans="1:9" x14ac:dyDescent="0.25">
      <c r="A70" s="17" t="s">
        <v>355</v>
      </c>
      <c r="B70" s="14">
        <v>13535</v>
      </c>
      <c r="C70" s="14">
        <v>13307</v>
      </c>
      <c r="D70" s="14">
        <v>7842</v>
      </c>
      <c r="E70" s="14">
        <v>13083</v>
      </c>
      <c r="F70" s="14">
        <v>11610</v>
      </c>
      <c r="G70" s="14">
        <v>4469</v>
      </c>
      <c r="H70" s="14">
        <v>6053</v>
      </c>
      <c r="I70" s="14">
        <v>5642</v>
      </c>
    </row>
    <row r="71" spans="1:9" x14ac:dyDescent="0.25">
      <c r="A71" s="17" t="s">
        <v>356</v>
      </c>
      <c r="B71" s="14">
        <v>5404</v>
      </c>
      <c r="C71" s="14">
        <v>5368</v>
      </c>
      <c r="D71" s="14">
        <v>3504</v>
      </c>
      <c r="E71" s="14">
        <v>5344</v>
      </c>
      <c r="F71" s="14">
        <v>5152</v>
      </c>
      <c r="G71" s="14">
        <v>2888</v>
      </c>
      <c r="H71" s="14">
        <v>3484</v>
      </c>
      <c r="I71" s="14">
        <v>3645</v>
      </c>
    </row>
    <row r="72" spans="1:9" ht="24" customHeight="1" x14ac:dyDescent="0.25">
      <c r="A72" s="15" t="s">
        <v>357</v>
      </c>
      <c r="B72" s="21"/>
      <c r="C72" s="21"/>
      <c r="D72" s="21"/>
      <c r="E72" s="21"/>
      <c r="F72" s="21"/>
      <c r="G72" s="21"/>
      <c r="H72" s="21"/>
      <c r="I72" s="21"/>
    </row>
    <row r="73" spans="1:9" ht="15" customHeight="1" x14ac:dyDescent="0.25">
      <c r="A73" s="17" t="s">
        <v>358</v>
      </c>
      <c r="B73" s="14">
        <v>17751</v>
      </c>
      <c r="C73" s="14">
        <v>14286</v>
      </c>
      <c r="D73" s="14">
        <v>4834</v>
      </c>
      <c r="E73" s="14">
        <v>12622</v>
      </c>
      <c r="F73" s="14">
        <v>6162</v>
      </c>
      <c r="G73" s="14">
        <v>1664</v>
      </c>
      <c r="H73" s="14">
        <v>2418</v>
      </c>
      <c r="I73" s="14">
        <v>993</v>
      </c>
    </row>
    <row r="74" spans="1:9" ht="15" customHeight="1" x14ac:dyDescent="0.25">
      <c r="A74" s="17" t="s">
        <v>359</v>
      </c>
      <c r="B74" s="14">
        <v>8973</v>
      </c>
      <c r="C74" s="14">
        <v>8925</v>
      </c>
      <c r="D74" s="14">
        <v>3346</v>
      </c>
      <c r="E74" s="14">
        <v>8446</v>
      </c>
      <c r="F74" s="14">
        <v>4404</v>
      </c>
      <c r="G74" s="14">
        <v>1445</v>
      </c>
      <c r="H74" s="14">
        <v>1953</v>
      </c>
      <c r="I74" s="14">
        <v>902</v>
      </c>
    </row>
    <row r="75" spans="1:9" ht="15" customHeight="1" x14ac:dyDescent="0.25">
      <c r="A75" s="17" t="s">
        <v>360</v>
      </c>
      <c r="B75" s="14">
        <v>9623</v>
      </c>
      <c r="C75" s="14">
        <v>9614</v>
      </c>
      <c r="D75" s="14">
        <v>3753</v>
      </c>
      <c r="E75" s="14">
        <v>9292</v>
      </c>
      <c r="F75" s="14">
        <v>5181</v>
      </c>
      <c r="G75" s="14">
        <v>1673</v>
      </c>
      <c r="H75" s="14">
        <v>2355</v>
      </c>
      <c r="I75" s="14">
        <v>1360</v>
      </c>
    </row>
    <row r="76" spans="1:9" ht="15" customHeight="1" x14ac:dyDescent="0.25">
      <c r="A76" s="17" t="s">
        <v>361</v>
      </c>
      <c r="B76" s="14">
        <v>14514</v>
      </c>
      <c r="C76" s="14">
        <v>14512</v>
      </c>
      <c r="D76" s="14">
        <v>6370</v>
      </c>
      <c r="E76" s="14">
        <v>14195</v>
      </c>
      <c r="F76" s="14">
        <v>9078</v>
      </c>
      <c r="G76" s="14">
        <v>3603</v>
      </c>
      <c r="H76" s="14">
        <v>4800</v>
      </c>
      <c r="I76" s="14">
        <v>3548</v>
      </c>
    </row>
    <row r="77" spans="1:9" ht="15" customHeight="1" x14ac:dyDescent="0.25">
      <c r="A77" s="17" t="s">
        <v>362</v>
      </c>
      <c r="B77" s="14">
        <v>13476</v>
      </c>
      <c r="C77" s="14">
        <v>13476</v>
      </c>
      <c r="D77" s="14">
        <v>6902</v>
      </c>
      <c r="E77" s="14">
        <v>13040</v>
      </c>
      <c r="F77" s="14">
        <v>9597</v>
      </c>
      <c r="G77" s="14">
        <v>4563</v>
      </c>
      <c r="H77" s="14">
        <v>5243</v>
      </c>
      <c r="I77" s="14">
        <v>4223</v>
      </c>
    </row>
    <row r="78" spans="1:9" ht="15" customHeight="1" x14ac:dyDescent="0.25">
      <c r="A78" s="17" t="s">
        <v>363</v>
      </c>
      <c r="B78" s="14">
        <v>10941</v>
      </c>
      <c r="C78" s="14">
        <v>10941</v>
      </c>
      <c r="D78" s="14">
        <v>5568</v>
      </c>
      <c r="E78" s="14">
        <v>10782</v>
      </c>
      <c r="F78" s="14">
        <v>8461</v>
      </c>
      <c r="G78" s="14">
        <v>4441</v>
      </c>
      <c r="H78" s="14">
        <v>4227</v>
      </c>
      <c r="I78" s="14">
        <v>4231</v>
      </c>
    </row>
    <row r="79" spans="1:9" ht="15" customHeight="1" x14ac:dyDescent="0.25">
      <c r="A79" s="17" t="s">
        <v>364</v>
      </c>
      <c r="B79" s="14">
        <v>11815</v>
      </c>
      <c r="C79" s="14">
        <v>11815</v>
      </c>
      <c r="D79" s="14">
        <v>7633</v>
      </c>
      <c r="E79" s="14">
        <v>11704</v>
      </c>
      <c r="F79" s="14">
        <v>10933</v>
      </c>
      <c r="G79" s="14">
        <v>6007</v>
      </c>
      <c r="H79" s="14">
        <v>7062</v>
      </c>
      <c r="I79" s="14">
        <v>6814</v>
      </c>
    </row>
    <row r="80" spans="1:9" ht="24" customHeight="1" x14ac:dyDescent="0.25">
      <c r="A80" s="15" t="s">
        <v>365</v>
      </c>
      <c r="B80" s="21"/>
      <c r="C80" s="21"/>
      <c r="D80" s="21"/>
      <c r="E80" s="21"/>
      <c r="F80" s="21"/>
      <c r="G80" s="21"/>
      <c r="H80" s="21"/>
      <c r="I80" s="21"/>
    </row>
    <row r="81" spans="1:9" ht="15" customHeight="1" x14ac:dyDescent="0.25">
      <c r="A81" s="17" t="s">
        <v>366</v>
      </c>
      <c r="B81" s="14">
        <v>8220</v>
      </c>
      <c r="C81" s="14">
        <v>5514</v>
      </c>
      <c r="D81" s="14">
        <v>2684</v>
      </c>
      <c r="E81" s="14">
        <v>5037</v>
      </c>
      <c r="F81" s="14">
        <v>2645</v>
      </c>
      <c r="G81" s="14">
        <v>754</v>
      </c>
      <c r="H81" s="14">
        <v>1073</v>
      </c>
      <c r="I81" s="14">
        <v>445</v>
      </c>
    </row>
    <row r="82" spans="1:9" ht="15" customHeight="1" x14ac:dyDescent="0.25">
      <c r="A82" s="17" t="s">
        <v>367</v>
      </c>
      <c r="B82" s="14">
        <v>15828</v>
      </c>
      <c r="C82" s="14">
        <v>15693</v>
      </c>
      <c r="D82" s="14">
        <v>6209</v>
      </c>
      <c r="E82" s="14">
        <v>15156</v>
      </c>
      <c r="F82" s="14">
        <v>7767</v>
      </c>
      <c r="G82" s="14">
        <v>3063</v>
      </c>
      <c r="H82" s="14">
        <v>3615</v>
      </c>
      <c r="I82" s="14">
        <v>1876</v>
      </c>
    </row>
    <row r="83" spans="1:9" ht="15" customHeight="1" x14ac:dyDescent="0.25">
      <c r="A83" s="17" t="s">
        <v>368</v>
      </c>
      <c r="B83" s="14">
        <v>20529</v>
      </c>
      <c r="C83" s="14">
        <v>20401</v>
      </c>
      <c r="D83" s="14">
        <v>7753</v>
      </c>
      <c r="E83" s="14">
        <v>19671</v>
      </c>
      <c r="F83" s="14">
        <v>12581</v>
      </c>
      <c r="G83" s="14">
        <v>5227</v>
      </c>
      <c r="H83" s="14">
        <v>5702</v>
      </c>
      <c r="I83" s="14">
        <v>4094</v>
      </c>
    </row>
    <row r="84" spans="1:9" ht="15" customHeight="1" x14ac:dyDescent="0.25">
      <c r="A84" s="17" t="s">
        <v>369</v>
      </c>
      <c r="B84" s="14">
        <v>15867</v>
      </c>
      <c r="C84" s="14">
        <v>15773</v>
      </c>
      <c r="D84" s="14">
        <v>8805</v>
      </c>
      <c r="E84" s="14">
        <v>15372</v>
      </c>
      <c r="F84" s="14">
        <v>11430</v>
      </c>
      <c r="G84" s="14">
        <v>5341</v>
      </c>
      <c r="H84" s="14">
        <v>6696</v>
      </c>
      <c r="I84" s="14">
        <v>6080</v>
      </c>
    </row>
    <row r="85" spans="1:9" ht="15" customHeight="1" x14ac:dyDescent="0.25">
      <c r="A85" s="17" t="s">
        <v>370</v>
      </c>
      <c r="B85" s="14">
        <v>9395</v>
      </c>
      <c r="C85" s="14">
        <v>9336</v>
      </c>
      <c r="D85" s="14">
        <v>4289</v>
      </c>
      <c r="E85" s="14">
        <v>8702</v>
      </c>
      <c r="F85" s="14">
        <v>6225</v>
      </c>
      <c r="G85" s="14">
        <v>2726</v>
      </c>
      <c r="H85" s="14">
        <v>3544</v>
      </c>
      <c r="I85" s="14">
        <v>2832</v>
      </c>
    </row>
    <row r="86" spans="1:9" ht="15" customHeight="1" x14ac:dyDescent="0.25">
      <c r="A86" s="17" t="s">
        <v>371</v>
      </c>
      <c r="B86" s="14">
        <v>17253</v>
      </c>
      <c r="C86" s="14">
        <v>16852</v>
      </c>
      <c r="D86" s="14">
        <v>8667</v>
      </c>
      <c r="E86" s="14">
        <v>16144</v>
      </c>
      <c r="F86" s="14">
        <v>13169</v>
      </c>
      <c r="G86" s="14">
        <v>6286</v>
      </c>
      <c r="H86" s="14">
        <v>7428</v>
      </c>
      <c r="I86" s="14">
        <v>6745</v>
      </c>
    </row>
    <row r="87" spans="1:9" ht="24" customHeight="1" x14ac:dyDescent="0.25">
      <c r="A87" s="15" t="s">
        <v>372</v>
      </c>
      <c r="B87" s="21"/>
      <c r="C87" s="21"/>
      <c r="D87" s="21"/>
      <c r="E87" s="21"/>
      <c r="F87" s="21"/>
      <c r="G87" s="21"/>
      <c r="H87" s="21"/>
      <c r="I87" s="21"/>
    </row>
    <row r="88" spans="1:9" ht="15" customHeight="1" x14ac:dyDescent="0.25">
      <c r="A88" s="17" t="s">
        <v>373</v>
      </c>
      <c r="B88" s="14">
        <v>67550</v>
      </c>
      <c r="C88" s="14">
        <v>64509</v>
      </c>
      <c r="D88" s="14">
        <v>29885</v>
      </c>
      <c r="E88" s="14">
        <v>61330</v>
      </c>
      <c r="F88" s="14">
        <v>40348</v>
      </c>
      <c r="G88" s="14">
        <v>16399</v>
      </c>
      <c r="H88" s="14">
        <v>22488</v>
      </c>
      <c r="I88" s="14">
        <v>17210</v>
      </c>
    </row>
    <row r="89" spans="1:9" ht="15" customHeight="1" x14ac:dyDescent="0.25">
      <c r="A89" s="18" t="s">
        <v>374</v>
      </c>
      <c r="B89" s="14">
        <v>30637</v>
      </c>
      <c r="C89" s="14">
        <v>29949</v>
      </c>
      <c r="D89" s="14">
        <v>13181</v>
      </c>
      <c r="E89" s="14">
        <v>28109</v>
      </c>
      <c r="F89" s="14">
        <v>18432</v>
      </c>
      <c r="G89" s="14">
        <v>6238</v>
      </c>
      <c r="H89" s="14">
        <v>8652</v>
      </c>
      <c r="I89" s="14">
        <v>6135</v>
      </c>
    </row>
    <row r="90" spans="1:9" ht="15" customHeight="1" x14ac:dyDescent="0.25">
      <c r="A90" s="18" t="s">
        <v>375</v>
      </c>
      <c r="B90" s="14">
        <v>26115</v>
      </c>
      <c r="C90" s="14">
        <v>25543</v>
      </c>
      <c r="D90" s="14">
        <v>11650</v>
      </c>
      <c r="E90" s="14">
        <v>24494</v>
      </c>
      <c r="F90" s="14">
        <v>15538</v>
      </c>
      <c r="G90" s="14">
        <v>6932</v>
      </c>
      <c r="H90" s="14">
        <v>9504</v>
      </c>
      <c r="I90" s="14">
        <v>7422</v>
      </c>
    </row>
    <row r="91" spans="1:9" ht="15" customHeight="1" x14ac:dyDescent="0.25">
      <c r="A91" s="18" t="s">
        <v>376</v>
      </c>
      <c r="B91" s="14">
        <v>8873</v>
      </c>
      <c r="C91" s="14">
        <v>8778</v>
      </c>
      <c r="D91" s="14">
        <v>5011</v>
      </c>
      <c r="E91" s="14">
        <v>8508</v>
      </c>
      <c r="F91" s="14">
        <v>6323</v>
      </c>
      <c r="G91" s="14">
        <v>3190</v>
      </c>
      <c r="H91" s="14">
        <v>4293</v>
      </c>
      <c r="I91" s="14">
        <v>3647</v>
      </c>
    </row>
    <row r="92" spans="1:9" ht="15" customHeight="1" x14ac:dyDescent="0.25">
      <c r="A92" s="18" t="s">
        <v>377</v>
      </c>
      <c r="B92" s="14">
        <v>1925</v>
      </c>
      <c r="C92" s="14">
        <v>239</v>
      </c>
      <c r="D92" s="14" t="s">
        <v>292</v>
      </c>
      <c r="E92" s="14">
        <v>219</v>
      </c>
      <c r="F92" s="14" t="s">
        <v>292</v>
      </c>
      <c r="G92" s="14" t="s">
        <v>292</v>
      </c>
      <c r="H92" s="14" t="s">
        <v>292</v>
      </c>
      <c r="I92" s="14" t="s">
        <v>292</v>
      </c>
    </row>
    <row r="93" spans="1:9" ht="15" customHeight="1" x14ac:dyDescent="0.25">
      <c r="A93" s="17" t="s">
        <v>378</v>
      </c>
      <c r="B93" s="14">
        <v>19543</v>
      </c>
      <c r="C93" s="14">
        <v>19060</v>
      </c>
      <c r="D93" s="14">
        <v>8522</v>
      </c>
      <c r="E93" s="14">
        <v>18751</v>
      </c>
      <c r="F93" s="14">
        <v>13469</v>
      </c>
      <c r="G93" s="14">
        <v>6998</v>
      </c>
      <c r="H93" s="14">
        <v>5571</v>
      </c>
      <c r="I93" s="14">
        <v>4862</v>
      </c>
    </row>
    <row r="94" spans="1:9" ht="15" customHeight="1" x14ac:dyDescent="0.25">
      <c r="A94" s="18" t="s">
        <v>379</v>
      </c>
      <c r="B94" s="14">
        <v>1573</v>
      </c>
      <c r="C94" s="14">
        <v>1573</v>
      </c>
      <c r="D94" s="14">
        <v>761</v>
      </c>
      <c r="E94" s="14">
        <v>1572</v>
      </c>
      <c r="F94" s="14">
        <v>1288</v>
      </c>
      <c r="G94" s="14">
        <v>804</v>
      </c>
      <c r="H94" s="14">
        <v>949</v>
      </c>
      <c r="I94" s="14">
        <v>798</v>
      </c>
    </row>
    <row r="95" spans="1:9" ht="15" customHeight="1" x14ac:dyDescent="0.25">
      <c r="A95" s="18" t="s">
        <v>380</v>
      </c>
      <c r="B95" s="14">
        <v>5539</v>
      </c>
      <c r="C95" s="14">
        <v>5412</v>
      </c>
      <c r="D95" s="14">
        <v>2581</v>
      </c>
      <c r="E95" s="14">
        <v>5320</v>
      </c>
      <c r="F95" s="14">
        <v>4009</v>
      </c>
      <c r="G95" s="14">
        <v>1955</v>
      </c>
      <c r="H95" s="14">
        <v>1716</v>
      </c>
      <c r="I95" s="14">
        <v>1480</v>
      </c>
    </row>
    <row r="96" spans="1:9" ht="15" customHeight="1" x14ac:dyDescent="0.25">
      <c r="A96" s="18" t="s">
        <v>381</v>
      </c>
      <c r="B96" s="14">
        <v>12431</v>
      </c>
      <c r="C96" s="14">
        <v>12074</v>
      </c>
      <c r="D96" s="14">
        <v>5180</v>
      </c>
      <c r="E96" s="14">
        <v>11859</v>
      </c>
      <c r="F96" s="14">
        <v>8171</v>
      </c>
      <c r="G96" s="14">
        <v>4238</v>
      </c>
      <c r="H96" s="14">
        <v>2906</v>
      </c>
      <c r="I96" s="14">
        <v>2584</v>
      </c>
    </row>
    <row r="97" spans="1:9" ht="45.95" customHeight="1" x14ac:dyDescent="0.25">
      <c r="A97" s="15" t="s">
        <v>382</v>
      </c>
      <c r="B97" s="21"/>
      <c r="C97" s="21"/>
      <c r="D97" s="21"/>
      <c r="E97" s="21"/>
      <c r="F97" s="21"/>
      <c r="G97" s="21"/>
      <c r="H97" s="21"/>
      <c r="I97" s="21"/>
    </row>
    <row r="98" spans="1:9" ht="15" customHeight="1" x14ac:dyDescent="0.25">
      <c r="A98" s="17" t="s">
        <v>383</v>
      </c>
      <c r="B98" s="14">
        <v>73702</v>
      </c>
      <c r="C98" s="14">
        <v>70469</v>
      </c>
      <c r="D98" s="14">
        <v>31846</v>
      </c>
      <c r="E98" s="14">
        <v>67399</v>
      </c>
      <c r="F98" s="14">
        <v>46163</v>
      </c>
      <c r="G98" s="14">
        <v>19310</v>
      </c>
      <c r="H98" s="14">
        <v>22602</v>
      </c>
      <c r="I98" s="14">
        <v>17924</v>
      </c>
    </row>
    <row r="99" spans="1:9" ht="15" customHeight="1" x14ac:dyDescent="0.25">
      <c r="A99" s="17" t="s">
        <v>384</v>
      </c>
      <c r="B99" s="14">
        <v>11309</v>
      </c>
      <c r="C99" s="14">
        <v>11045</v>
      </c>
      <c r="D99" s="14">
        <v>5466</v>
      </c>
      <c r="E99" s="14">
        <v>10748</v>
      </c>
      <c r="F99" s="14">
        <v>6369</v>
      </c>
      <c r="G99" s="14">
        <v>3351</v>
      </c>
      <c r="H99" s="14">
        <v>4596</v>
      </c>
      <c r="I99" s="14">
        <v>3455</v>
      </c>
    </row>
    <row r="100" spans="1:9" ht="15" customHeight="1" x14ac:dyDescent="0.25">
      <c r="A100" s="17" t="s">
        <v>385</v>
      </c>
      <c r="B100" s="14">
        <v>1250</v>
      </c>
      <c r="C100" s="14">
        <v>1230</v>
      </c>
      <c r="D100" s="14">
        <v>681</v>
      </c>
      <c r="E100" s="14">
        <v>1127</v>
      </c>
      <c r="F100" s="14">
        <v>841</v>
      </c>
      <c r="G100" s="14">
        <v>462</v>
      </c>
      <c r="H100" s="14">
        <v>628</v>
      </c>
      <c r="I100" s="14">
        <v>502</v>
      </c>
    </row>
    <row r="101" spans="1:9" ht="15" customHeight="1" x14ac:dyDescent="0.25">
      <c r="A101" s="17" t="s">
        <v>69</v>
      </c>
      <c r="B101" s="14">
        <v>832</v>
      </c>
      <c r="C101" s="14">
        <v>825</v>
      </c>
      <c r="D101" s="14">
        <v>413</v>
      </c>
      <c r="E101" s="14">
        <v>807</v>
      </c>
      <c r="F101" s="14">
        <v>444</v>
      </c>
      <c r="G101" s="14" t="s">
        <v>292</v>
      </c>
      <c r="H101" s="14" t="s">
        <v>292</v>
      </c>
      <c r="I101" s="14" t="s">
        <v>292</v>
      </c>
    </row>
    <row r="102" spans="1:9" ht="33.950000000000003" customHeight="1" x14ac:dyDescent="0.25">
      <c r="A102" s="15" t="s">
        <v>386</v>
      </c>
      <c r="B102" s="21"/>
      <c r="C102" s="21"/>
      <c r="D102" s="21"/>
      <c r="E102" s="21"/>
      <c r="F102" s="21"/>
      <c r="G102" s="21"/>
      <c r="H102" s="21"/>
      <c r="I102" s="21"/>
    </row>
    <row r="103" spans="1:9" ht="15" customHeight="1" x14ac:dyDescent="0.25">
      <c r="A103" s="17" t="s">
        <v>383</v>
      </c>
      <c r="B103" s="22">
        <v>76271</v>
      </c>
      <c r="C103" s="22">
        <v>72961</v>
      </c>
      <c r="D103" s="22">
        <v>33177</v>
      </c>
      <c r="E103" s="22">
        <v>69883</v>
      </c>
      <c r="F103" s="22">
        <v>47361</v>
      </c>
      <c r="G103" s="22">
        <v>19929</v>
      </c>
      <c r="H103" s="22">
        <v>23577</v>
      </c>
      <c r="I103" s="22">
        <v>18671</v>
      </c>
    </row>
    <row r="104" spans="1:9" ht="15" customHeight="1" x14ac:dyDescent="0.25">
      <c r="A104" s="17" t="s">
        <v>384</v>
      </c>
      <c r="B104" s="14">
        <v>8256</v>
      </c>
      <c r="C104" s="14">
        <v>8059</v>
      </c>
      <c r="D104" s="14">
        <v>3996</v>
      </c>
      <c r="E104" s="14">
        <v>7819</v>
      </c>
      <c r="F104" s="14">
        <v>4871</v>
      </c>
      <c r="G104" s="14">
        <v>2621</v>
      </c>
      <c r="H104" s="14">
        <v>3448</v>
      </c>
      <c r="I104" s="14">
        <v>2431</v>
      </c>
    </row>
    <row r="105" spans="1:9" ht="15" customHeight="1" x14ac:dyDescent="0.25">
      <c r="A105" s="17" t="s">
        <v>385</v>
      </c>
      <c r="B105" s="14">
        <v>880</v>
      </c>
      <c r="C105" s="14">
        <v>880</v>
      </c>
      <c r="D105" s="14">
        <v>411</v>
      </c>
      <c r="E105" s="14">
        <v>733</v>
      </c>
      <c r="F105" s="14">
        <v>573</v>
      </c>
      <c r="G105" s="14">
        <v>330</v>
      </c>
      <c r="H105" s="14">
        <v>453</v>
      </c>
      <c r="I105" s="14">
        <v>360</v>
      </c>
    </row>
    <row r="106" spans="1:9" ht="15" customHeight="1" x14ac:dyDescent="0.25">
      <c r="A106" s="17" t="s">
        <v>69</v>
      </c>
      <c r="B106" s="14">
        <v>1686</v>
      </c>
      <c r="C106" s="14">
        <v>1668</v>
      </c>
      <c r="D106" s="14">
        <v>822</v>
      </c>
      <c r="E106" s="14">
        <v>1647</v>
      </c>
      <c r="F106" s="14">
        <v>1012</v>
      </c>
      <c r="G106" s="14">
        <v>517</v>
      </c>
      <c r="H106" s="14">
        <v>581</v>
      </c>
      <c r="I106" s="14">
        <v>609</v>
      </c>
    </row>
    <row r="107" spans="1:9" ht="24" customHeight="1" x14ac:dyDescent="0.25">
      <c r="A107" s="15" t="s">
        <v>387</v>
      </c>
      <c r="B107" s="16"/>
      <c r="C107" s="16"/>
      <c r="D107" s="16"/>
      <c r="E107" s="16"/>
      <c r="F107" s="16"/>
      <c r="G107" s="16"/>
      <c r="H107" s="16"/>
      <c r="I107" s="16"/>
    </row>
    <row r="108" spans="1:9" ht="15" customHeight="1" x14ac:dyDescent="0.25">
      <c r="A108" s="17" t="s">
        <v>388</v>
      </c>
      <c r="B108" s="14">
        <v>52275</v>
      </c>
      <c r="C108" s="14">
        <v>50347</v>
      </c>
      <c r="D108" s="14">
        <v>23510</v>
      </c>
      <c r="E108" s="14">
        <v>48384</v>
      </c>
      <c r="F108" s="14">
        <v>31219</v>
      </c>
      <c r="G108" s="14">
        <v>12969</v>
      </c>
      <c r="H108" s="14">
        <v>16382</v>
      </c>
      <c r="I108" s="14">
        <v>11924</v>
      </c>
    </row>
    <row r="109" spans="1:9" ht="15" customHeight="1" x14ac:dyDescent="0.25">
      <c r="A109" s="17" t="s">
        <v>389</v>
      </c>
      <c r="B109" s="14">
        <v>4616</v>
      </c>
      <c r="C109" s="14">
        <v>4580</v>
      </c>
      <c r="D109" s="14">
        <v>1947</v>
      </c>
      <c r="E109" s="14">
        <v>4534</v>
      </c>
      <c r="F109" s="14">
        <v>2857</v>
      </c>
      <c r="G109" s="14">
        <v>1742</v>
      </c>
      <c r="H109" s="14">
        <v>1103</v>
      </c>
      <c r="I109" s="14">
        <v>792</v>
      </c>
    </row>
    <row r="110" spans="1:9" ht="15" customHeight="1" x14ac:dyDescent="0.25">
      <c r="A110" s="17" t="s">
        <v>390</v>
      </c>
      <c r="B110" s="14">
        <v>4068</v>
      </c>
      <c r="C110" s="14">
        <v>3990</v>
      </c>
      <c r="D110" s="14">
        <v>1216</v>
      </c>
      <c r="E110" s="14">
        <v>3928</v>
      </c>
      <c r="F110" s="14">
        <v>3521</v>
      </c>
      <c r="G110" s="14">
        <v>876</v>
      </c>
      <c r="H110" s="14">
        <v>1147</v>
      </c>
      <c r="I110" s="14">
        <v>1197</v>
      </c>
    </row>
    <row r="111" spans="1:9" ht="15" customHeight="1" x14ac:dyDescent="0.25">
      <c r="A111" s="17" t="s">
        <v>391</v>
      </c>
      <c r="B111" s="14">
        <v>3456</v>
      </c>
      <c r="C111" s="14">
        <v>3383</v>
      </c>
      <c r="D111" s="14">
        <v>1586</v>
      </c>
      <c r="E111" s="14">
        <v>3281</v>
      </c>
      <c r="F111" s="14">
        <v>2536</v>
      </c>
      <c r="G111" s="14">
        <v>910</v>
      </c>
      <c r="H111" s="14">
        <v>1329</v>
      </c>
      <c r="I111" s="14">
        <v>1204</v>
      </c>
    </row>
    <row r="112" spans="1:9" ht="15" customHeight="1" x14ac:dyDescent="0.25">
      <c r="A112" s="17" t="s">
        <v>392</v>
      </c>
      <c r="B112" s="14">
        <v>5159</v>
      </c>
      <c r="C112" s="14">
        <v>5011</v>
      </c>
      <c r="D112" s="14">
        <v>3088</v>
      </c>
      <c r="E112" s="14">
        <v>4795</v>
      </c>
      <c r="F112" s="14">
        <v>3723</v>
      </c>
      <c r="G112" s="14">
        <v>1995</v>
      </c>
      <c r="H112" s="14">
        <v>2705</v>
      </c>
      <c r="I112" s="14">
        <v>2325</v>
      </c>
    </row>
    <row r="113" spans="1:9" ht="15" customHeight="1" x14ac:dyDescent="0.25">
      <c r="A113" s="17" t="s">
        <v>393</v>
      </c>
      <c r="B113" s="14">
        <v>3212</v>
      </c>
      <c r="C113" s="14">
        <v>2360</v>
      </c>
      <c r="D113" s="14">
        <v>397</v>
      </c>
      <c r="E113" s="14">
        <v>1951</v>
      </c>
      <c r="F113" s="14">
        <v>695</v>
      </c>
      <c r="G113" s="14">
        <v>566</v>
      </c>
      <c r="H113" s="14" t="s">
        <v>292</v>
      </c>
      <c r="I113" s="14" t="s">
        <v>292</v>
      </c>
    </row>
    <row r="114" spans="1:9" ht="15" customHeight="1" x14ac:dyDescent="0.25">
      <c r="A114" s="17" t="s">
        <v>394</v>
      </c>
      <c r="B114" s="14">
        <v>1932</v>
      </c>
      <c r="C114" s="14">
        <v>1911</v>
      </c>
      <c r="D114" s="14">
        <v>1294</v>
      </c>
      <c r="E114" s="14">
        <v>1704</v>
      </c>
      <c r="F114" s="14">
        <v>1189</v>
      </c>
      <c r="G114" s="14">
        <v>379</v>
      </c>
      <c r="H114" s="14">
        <v>666</v>
      </c>
      <c r="I114" s="14">
        <v>438</v>
      </c>
    </row>
    <row r="115" spans="1:9" ht="15" customHeight="1" x14ac:dyDescent="0.25">
      <c r="A115" s="17" t="s">
        <v>395</v>
      </c>
      <c r="B115" s="14">
        <v>3362</v>
      </c>
      <c r="C115" s="14">
        <v>3302</v>
      </c>
      <c r="D115" s="14">
        <v>2212</v>
      </c>
      <c r="E115" s="14">
        <v>3289</v>
      </c>
      <c r="F115" s="14">
        <v>2973</v>
      </c>
      <c r="G115" s="14">
        <v>1372</v>
      </c>
      <c r="H115" s="14">
        <v>1671</v>
      </c>
      <c r="I115" s="14">
        <v>1810</v>
      </c>
    </row>
    <row r="116" spans="1:9" ht="15" customHeight="1" x14ac:dyDescent="0.25">
      <c r="A116" s="17" t="s">
        <v>396</v>
      </c>
      <c r="B116" s="14">
        <v>1295</v>
      </c>
      <c r="C116" s="14">
        <v>1284</v>
      </c>
      <c r="D116" s="14">
        <v>675</v>
      </c>
      <c r="E116" s="14">
        <v>1088</v>
      </c>
      <c r="F116" s="14">
        <v>1113</v>
      </c>
      <c r="G116" s="14">
        <v>520</v>
      </c>
      <c r="H116" s="14">
        <v>573</v>
      </c>
      <c r="I116" s="14" t="s">
        <v>292</v>
      </c>
    </row>
    <row r="117" spans="1:9" ht="15" customHeight="1" x14ac:dyDescent="0.25">
      <c r="A117" s="17" t="s">
        <v>397</v>
      </c>
      <c r="B117" s="14">
        <v>554</v>
      </c>
      <c r="C117" s="14">
        <v>526</v>
      </c>
      <c r="D117" s="14">
        <v>231</v>
      </c>
      <c r="E117" s="14">
        <v>499</v>
      </c>
      <c r="F117" s="14">
        <v>356</v>
      </c>
      <c r="G117" s="14">
        <v>223</v>
      </c>
      <c r="H117" s="14">
        <v>209</v>
      </c>
      <c r="I117" s="14">
        <v>211</v>
      </c>
    </row>
    <row r="118" spans="1:9" ht="15" customHeight="1" x14ac:dyDescent="0.25">
      <c r="A118" s="17" t="s">
        <v>398</v>
      </c>
      <c r="B118" s="14">
        <v>2107</v>
      </c>
      <c r="C118" s="14">
        <v>2087</v>
      </c>
      <c r="D118" s="14">
        <v>798</v>
      </c>
      <c r="E118" s="14">
        <v>2005</v>
      </c>
      <c r="F118" s="14">
        <v>1436</v>
      </c>
      <c r="G118" s="14">
        <v>660</v>
      </c>
      <c r="H118" s="14">
        <v>683</v>
      </c>
      <c r="I118" s="14">
        <v>608</v>
      </c>
    </row>
    <row r="119" spans="1:9" ht="15" customHeight="1" x14ac:dyDescent="0.25">
      <c r="A119" s="17" t="s">
        <v>69</v>
      </c>
      <c r="B119" s="14">
        <v>5057</v>
      </c>
      <c r="C119" s="14">
        <v>4787</v>
      </c>
      <c r="D119" s="14">
        <v>1453</v>
      </c>
      <c r="E119" s="14">
        <v>4622</v>
      </c>
      <c r="F119" s="14">
        <v>2199</v>
      </c>
      <c r="G119" s="14">
        <v>1184</v>
      </c>
      <c r="H119" s="14">
        <v>1371</v>
      </c>
      <c r="I119" s="14">
        <v>953</v>
      </c>
    </row>
    <row r="120" spans="1:9" ht="44.25" customHeight="1" x14ac:dyDescent="0.25">
      <c r="A120" s="15" t="s">
        <v>399</v>
      </c>
      <c r="B120" s="21"/>
      <c r="C120" s="21"/>
      <c r="D120" s="21"/>
      <c r="E120" s="21"/>
      <c r="F120" s="21"/>
      <c r="G120" s="21"/>
      <c r="H120" s="21"/>
      <c r="I120" s="21"/>
    </row>
    <row r="121" spans="1:9" ht="15" customHeight="1" x14ac:dyDescent="0.25">
      <c r="A121" s="17" t="s">
        <v>400</v>
      </c>
      <c r="B121" s="14">
        <v>42216</v>
      </c>
      <c r="C121" s="14">
        <v>41479</v>
      </c>
      <c r="D121" s="14">
        <v>21682</v>
      </c>
      <c r="E121" s="14">
        <v>40110</v>
      </c>
      <c r="F121" s="14">
        <v>29853</v>
      </c>
      <c r="G121" s="14">
        <v>13577</v>
      </c>
      <c r="H121" s="14">
        <v>16029</v>
      </c>
      <c r="I121" s="14">
        <v>13577</v>
      </c>
    </row>
    <row r="122" spans="1:9" ht="15" customHeight="1" x14ac:dyDescent="0.25">
      <c r="A122" s="18" t="s">
        <v>401</v>
      </c>
      <c r="B122" s="14">
        <v>13022</v>
      </c>
      <c r="C122" s="14">
        <v>12924</v>
      </c>
      <c r="D122" s="14">
        <v>7595</v>
      </c>
      <c r="E122" s="14">
        <v>12770</v>
      </c>
      <c r="F122" s="14">
        <v>9867</v>
      </c>
      <c r="G122" s="14">
        <v>5170</v>
      </c>
      <c r="H122" s="14">
        <v>5328</v>
      </c>
      <c r="I122" s="14">
        <v>4711</v>
      </c>
    </row>
    <row r="123" spans="1:9" ht="15" customHeight="1" x14ac:dyDescent="0.25">
      <c r="A123" s="18" t="s">
        <v>402</v>
      </c>
      <c r="B123" s="14">
        <v>1753</v>
      </c>
      <c r="C123" s="14">
        <v>1718</v>
      </c>
      <c r="D123" s="14">
        <v>1071</v>
      </c>
      <c r="E123" s="14">
        <v>1652</v>
      </c>
      <c r="F123" s="14">
        <v>1287</v>
      </c>
      <c r="G123" s="14">
        <v>738</v>
      </c>
      <c r="H123" s="14">
        <v>581</v>
      </c>
      <c r="I123" s="14">
        <v>603</v>
      </c>
    </row>
    <row r="124" spans="1:9" ht="15" customHeight="1" x14ac:dyDescent="0.25">
      <c r="A124" s="18" t="s">
        <v>403</v>
      </c>
      <c r="B124" s="14">
        <v>20917</v>
      </c>
      <c r="C124" s="14">
        <v>20674</v>
      </c>
      <c r="D124" s="14">
        <v>11459</v>
      </c>
      <c r="E124" s="14">
        <v>20154</v>
      </c>
      <c r="F124" s="14">
        <v>15616</v>
      </c>
      <c r="G124" s="14">
        <v>7578</v>
      </c>
      <c r="H124" s="14">
        <v>8126</v>
      </c>
      <c r="I124" s="14">
        <v>7492</v>
      </c>
    </row>
    <row r="125" spans="1:9" ht="15" customHeight="1" x14ac:dyDescent="0.25">
      <c r="A125" s="18" t="s">
        <v>404</v>
      </c>
      <c r="B125" s="14">
        <v>4230</v>
      </c>
      <c r="C125" s="14">
        <v>4197</v>
      </c>
      <c r="D125" s="14">
        <v>2231</v>
      </c>
      <c r="E125" s="14">
        <v>4118</v>
      </c>
      <c r="F125" s="14">
        <v>3247</v>
      </c>
      <c r="G125" s="14">
        <v>1569</v>
      </c>
      <c r="H125" s="14">
        <v>1951</v>
      </c>
      <c r="I125" s="14">
        <v>1725</v>
      </c>
    </row>
    <row r="126" spans="1:9" ht="15" customHeight="1" x14ac:dyDescent="0.25">
      <c r="A126" s="18" t="s">
        <v>405</v>
      </c>
      <c r="B126" s="14">
        <v>21340</v>
      </c>
      <c r="C126" s="14">
        <v>21006</v>
      </c>
      <c r="D126" s="14">
        <v>11613</v>
      </c>
      <c r="E126" s="14">
        <v>20643</v>
      </c>
      <c r="F126" s="14">
        <v>16528</v>
      </c>
      <c r="G126" s="14">
        <v>7193</v>
      </c>
      <c r="H126" s="14">
        <v>9477</v>
      </c>
      <c r="I126" s="14">
        <v>8549</v>
      </c>
    </row>
    <row r="127" spans="1:9" ht="15" customHeight="1" x14ac:dyDescent="0.25">
      <c r="A127" s="18" t="s">
        <v>406</v>
      </c>
      <c r="B127" s="14">
        <v>12265</v>
      </c>
      <c r="C127" s="14">
        <v>12193</v>
      </c>
      <c r="D127" s="14">
        <v>6862</v>
      </c>
      <c r="E127" s="14">
        <v>11805</v>
      </c>
      <c r="F127" s="14">
        <v>9675</v>
      </c>
      <c r="G127" s="14">
        <v>4328</v>
      </c>
      <c r="H127" s="14">
        <v>5358</v>
      </c>
      <c r="I127" s="14">
        <v>4526</v>
      </c>
    </row>
    <row r="128" spans="1:9" ht="15" customHeight="1" x14ac:dyDescent="0.25">
      <c r="A128" s="18" t="s">
        <v>407</v>
      </c>
      <c r="B128" s="14">
        <v>26779</v>
      </c>
      <c r="C128" s="14">
        <v>26504</v>
      </c>
      <c r="D128" s="14">
        <v>14715</v>
      </c>
      <c r="E128" s="14">
        <v>25911</v>
      </c>
      <c r="F128" s="14">
        <v>20410</v>
      </c>
      <c r="G128" s="14">
        <v>9918</v>
      </c>
      <c r="H128" s="14">
        <v>11421</v>
      </c>
      <c r="I128" s="14">
        <v>9614</v>
      </c>
    </row>
    <row r="129" spans="1:9" ht="15" customHeight="1" x14ac:dyDescent="0.25">
      <c r="A129" s="18" t="s">
        <v>408</v>
      </c>
      <c r="B129" s="14">
        <v>25503</v>
      </c>
      <c r="C129" s="14">
        <v>25268</v>
      </c>
      <c r="D129" s="14">
        <v>13502</v>
      </c>
      <c r="E129" s="14">
        <v>24681</v>
      </c>
      <c r="F129" s="14">
        <v>19342</v>
      </c>
      <c r="G129" s="14">
        <v>8933</v>
      </c>
      <c r="H129" s="14">
        <v>10688</v>
      </c>
      <c r="I129" s="14">
        <v>9803</v>
      </c>
    </row>
    <row r="130" spans="1:9" ht="15" customHeight="1" x14ac:dyDescent="0.25">
      <c r="A130" s="18" t="s">
        <v>409</v>
      </c>
      <c r="B130" s="14">
        <v>16160</v>
      </c>
      <c r="C130" s="14">
        <v>15948</v>
      </c>
      <c r="D130" s="14">
        <v>9523</v>
      </c>
      <c r="E130" s="14">
        <v>15553</v>
      </c>
      <c r="F130" s="14">
        <v>12613</v>
      </c>
      <c r="G130" s="14">
        <v>5533</v>
      </c>
      <c r="H130" s="14">
        <v>7293</v>
      </c>
      <c r="I130" s="14">
        <v>6345</v>
      </c>
    </row>
    <row r="131" spans="1:9" ht="15" customHeight="1" x14ac:dyDescent="0.25">
      <c r="A131" s="18" t="s">
        <v>410</v>
      </c>
      <c r="B131" s="14">
        <v>13828</v>
      </c>
      <c r="C131" s="14">
        <v>13701</v>
      </c>
      <c r="D131" s="14">
        <v>8026</v>
      </c>
      <c r="E131" s="14">
        <v>13354</v>
      </c>
      <c r="F131" s="14">
        <v>11096</v>
      </c>
      <c r="G131" s="14">
        <v>4748</v>
      </c>
      <c r="H131" s="14">
        <v>6417</v>
      </c>
      <c r="I131" s="14">
        <v>5653</v>
      </c>
    </row>
    <row r="132" spans="1:9" ht="15" customHeight="1" x14ac:dyDescent="0.25">
      <c r="A132" s="18" t="s">
        <v>411</v>
      </c>
      <c r="B132" s="14">
        <v>7607</v>
      </c>
      <c r="C132" s="14">
        <v>7471</v>
      </c>
      <c r="D132" s="14">
        <v>4343</v>
      </c>
      <c r="E132" s="14">
        <v>7377</v>
      </c>
      <c r="F132" s="14">
        <v>5782</v>
      </c>
      <c r="G132" s="14">
        <v>2503</v>
      </c>
      <c r="H132" s="14">
        <v>3255</v>
      </c>
      <c r="I132" s="14">
        <v>3303</v>
      </c>
    </row>
    <row r="133" spans="1:9" ht="15" customHeight="1" x14ac:dyDescent="0.25">
      <c r="A133" s="18" t="s">
        <v>412</v>
      </c>
      <c r="B133" s="14">
        <v>17196</v>
      </c>
      <c r="C133" s="14">
        <v>17108</v>
      </c>
      <c r="D133" s="14">
        <v>9766</v>
      </c>
      <c r="E133" s="14">
        <v>16727</v>
      </c>
      <c r="F133" s="14">
        <v>13892</v>
      </c>
      <c r="G133" s="14">
        <v>6325</v>
      </c>
      <c r="H133" s="14">
        <v>7996</v>
      </c>
      <c r="I133" s="14">
        <v>7226</v>
      </c>
    </row>
    <row r="134" spans="1:9" ht="15" customHeight="1" x14ac:dyDescent="0.25">
      <c r="A134" s="18" t="s">
        <v>413</v>
      </c>
      <c r="B134" s="14">
        <v>3913</v>
      </c>
      <c r="C134" s="14">
        <v>3876</v>
      </c>
      <c r="D134" s="14">
        <v>2199</v>
      </c>
      <c r="E134" s="14">
        <v>3791</v>
      </c>
      <c r="F134" s="14">
        <v>3152</v>
      </c>
      <c r="G134" s="14">
        <v>1316</v>
      </c>
      <c r="H134" s="14">
        <v>1902</v>
      </c>
      <c r="I134" s="14">
        <v>1672</v>
      </c>
    </row>
    <row r="135" spans="1:9" ht="15" customHeight="1" x14ac:dyDescent="0.25">
      <c r="A135" s="18" t="s">
        <v>69</v>
      </c>
      <c r="B135" s="14">
        <v>848</v>
      </c>
      <c r="C135" s="14">
        <v>848</v>
      </c>
      <c r="D135" s="14">
        <v>499</v>
      </c>
      <c r="E135" s="14">
        <v>848</v>
      </c>
      <c r="F135" s="14">
        <v>656</v>
      </c>
      <c r="G135" s="14" t="s">
        <v>292</v>
      </c>
      <c r="H135" s="14">
        <v>492</v>
      </c>
      <c r="I135" s="14">
        <v>391</v>
      </c>
    </row>
    <row r="136" spans="1:9" ht="15" customHeight="1" x14ac:dyDescent="0.25">
      <c r="A136" s="17" t="s">
        <v>414</v>
      </c>
      <c r="B136" s="14">
        <v>39154</v>
      </c>
      <c r="C136" s="14">
        <v>36534</v>
      </c>
      <c r="D136" s="14">
        <v>15129</v>
      </c>
      <c r="E136" s="14">
        <v>34901</v>
      </c>
      <c r="F136" s="14">
        <v>20389</v>
      </c>
      <c r="G136" s="14">
        <v>8704</v>
      </c>
      <c r="H136" s="14">
        <v>10101</v>
      </c>
      <c r="I136" s="14">
        <v>6748</v>
      </c>
    </row>
    <row r="137" spans="1:9" ht="15" customHeight="1" x14ac:dyDescent="0.25">
      <c r="A137" s="17" t="s">
        <v>415</v>
      </c>
      <c r="B137" s="14">
        <v>5723</v>
      </c>
      <c r="C137" s="14">
        <v>5556</v>
      </c>
      <c r="D137" s="14">
        <v>1595</v>
      </c>
      <c r="E137" s="14">
        <v>5070</v>
      </c>
      <c r="F137" s="14">
        <v>3574</v>
      </c>
      <c r="G137" s="14">
        <v>1116</v>
      </c>
      <c r="H137" s="14">
        <v>1929</v>
      </c>
      <c r="I137" s="14">
        <v>1747</v>
      </c>
    </row>
    <row r="138" spans="1:9" ht="33.950000000000003" customHeight="1" x14ac:dyDescent="0.25">
      <c r="A138" s="15" t="s">
        <v>416</v>
      </c>
      <c r="B138" s="21"/>
      <c r="C138" s="21"/>
      <c r="D138" s="21"/>
      <c r="E138" s="21"/>
      <c r="F138" s="21"/>
      <c r="G138" s="21"/>
      <c r="H138" s="21"/>
      <c r="I138" s="21"/>
    </row>
    <row r="139" spans="1:9" ht="15" customHeight="1" x14ac:dyDescent="0.25">
      <c r="A139" s="17" t="s">
        <v>186</v>
      </c>
      <c r="B139" s="14">
        <v>84869</v>
      </c>
      <c r="C139" s="14">
        <v>83569</v>
      </c>
      <c r="D139" s="14">
        <v>38406</v>
      </c>
      <c r="E139" s="14">
        <v>80081</v>
      </c>
      <c r="F139" s="14">
        <v>53816</v>
      </c>
      <c r="G139" s="14">
        <v>23396</v>
      </c>
      <c r="H139" s="14">
        <v>28059</v>
      </c>
      <c r="I139" s="14">
        <v>22071</v>
      </c>
    </row>
    <row r="140" spans="1:9" ht="15" customHeight="1" x14ac:dyDescent="0.25">
      <c r="A140" s="17" t="s">
        <v>193</v>
      </c>
      <c r="B140" s="14">
        <v>58725</v>
      </c>
      <c r="C140" s="14">
        <v>58278</v>
      </c>
      <c r="D140" s="14">
        <v>29672</v>
      </c>
      <c r="E140" s="14">
        <v>56575</v>
      </c>
      <c r="F140" s="14">
        <v>40392</v>
      </c>
      <c r="G140" s="14">
        <v>18328</v>
      </c>
      <c r="H140" s="14">
        <v>21261</v>
      </c>
      <c r="I140" s="14">
        <v>17539</v>
      </c>
    </row>
    <row r="141" spans="1:9" ht="15" customHeight="1" x14ac:dyDescent="0.25">
      <c r="A141" s="17" t="s">
        <v>194</v>
      </c>
      <c r="B141" s="14">
        <v>20200</v>
      </c>
      <c r="C141" s="14">
        <v>20120</v>
      </c>
      <c r="D141" s="14">
        <v>11355</v>
      </c>
      <c r="E141" s="14">
        <v>19742</v>
      </c>
      <c r="F141" s="14">
        <v>16251</v>
      </c>
      <c r="G141" s="14">
        <v>8782</v>
      </c>
      <c r="H141" s="14">
        <v>9690</v>
      </c>
      <c r="I141" s="14">
        <v>8933</v>
      </c>
    </row>
    <row r="142" spans="1:9" ht="15" customHeight="1" x14ac:dyDescent="0.25">
      <c r="A142" s="17" t="s">
        <v>195</v>
      </c>
      <c r="B142" s="14">
        <v>5964</v>
      </c>
      <c r="C142" s="14">
        <v>5873</v>
      </c>
      <c r="D142" s="14">
        <v>3161</v>
      </c>
      <c r="E142" s="14">
        <v>5781</v>
      </c>
      <c r="F142" s="14">
        <v>5314</v>
      </c>
      <c r="G142" s="14">
        <v>2555</v>
      </c>
      <c r="H142" s="14">
        <v>2769</v>
      </c>
      <c r="I142" s="14">
        <v>2871</v>
      </c>
    </row>
    <row r="143" spans="1:9" ht="15" customHeight="1" x14ac:dyDescent="0.25">
      <c r="A143" s="17" t="s">
        <v>417</v>
      </c>
      <c r="B143" s="14">
        <v>4608</v>
      </c>
      <c r="C143" s="14">
        <v>4545</v>
      </c>
      <c r="D143" s="14">
        <v>2284</v>
      </c>
      <c r="E143" s="14">
        <v>4516</v>
      </c>
      <c r="F143" s="14">
        <v>4071</v>
      </c>
      <c r="G143" s="14">
        <v>1729</v>
      </c>
      <c r="H143" s="14">
        <v>1805</v>
      </c>
      <c r="I143" s="14">
        <v>1941</v>
      </c>
    </row>
    <row r="144" spans="1:9" ht="15" customHeight="1" x14ac:dyDescent="0.25">
      <c r="A144" s="17" t="s">
        <v>169</v>
      </c>
      <c r="B144" s="14">
        <v>7706</v>
      </c>
      <c r="C144" s="14">
        <v>7652</v>
      </c>
      <c r="D144" s="14">
        <v>3803</v>
      </c>
      <c r="E144" s="14">
        <v>7281</v>
      </c>
      <c r="F144" s="14">
        <v>4622</v>
      </c>
      <c r="G144" s="14">
        <v>2584</v>
      </c>
      <c r="H144" s="14">
        <v>2865</v>
      </c>
      <c r="I144" s="14">
        <v>2098</v>
      </c>
    </row>
    <row r="145" spans="1:9" ht="15" customHeight="1" x14ac:dyDescent="0.25">
      <c r="A145" s="17" t="s">
        <v>69</v>
      </c>
      <c r="B145" s="14">
        <v>3826</v>
      </c>
      <c r="C145" s="14">
        <v>3784</v>
      </c>
      <c r="D145" s="14">
        <v>1735</v>
      </c>
      <c r="E145" s="14">
        <v>3685</v>
      </c>
      <c r="F145" s="14">
        <v>2664</v>
      </c>
      <c r="G145" s="14">
        <v>957</v>
      </c>
      <c r="H145" s="14">
        <v>1466</v>
      </c>
      <c r="I145" s="14">
        <v>1247</v>
      </c>
    </row>
    <row r="146" spans="1:9" ht="33.950000000000003" customHeight="1" x14ac:dyDescent="0.25">
      <c r="A146" s="15" t="s">
        <v>420</v>
      </c>
      <c r="B146" s="21"/>
      <c r="C146" s="21"/>
      <c r="D146" s="21"/>
      <c r="E146" s="21"/>
      <c r="F146" s="21"/>
      <c r="G146" s="21"/>
      <c r="H146" s="21"/>
      <c r="I146" s="21"/>
    </row>
    <row r="147" spans="1:9" ht="15" customHeight="1" x14ac:dyDescent="0.25">
      <c r="A147" s="17" t="s">
        <v>287</v>
      </c>
      <c r="B147" s="14">
        <v>80078</v>
      </c>
      <c r="C147" s="14">
        <v>79384</v>
      </c>
      <c r="D147" s="14">
        <v>37292</v>
      </c>
      <c r="E147" s="14">
        <v>76646</v>
      </c>
      <c r="F147" s="14">
        <v>52287</v>
      </c>
      <c r="G147" s="14">
        <v>22631</v>
      </c>
      <c r="H147" s="14">
        <v>27225</v>
      </c>
      <c r="I147" s="14">
        <v>21503</v>
      </c>
    </row>
    <row r="148" spans="1:9" ht="15" customHeight="1" x14ac:dyDescent="0.25">
      <c r="A148" s="17" t="s">
        <v>421</v>
      </c>
      <c r="B148" s="14">
        <v>79294</v>
      </c>
      <c r="C148" s="14">
        <v>78876</v>
      </c>
      <c r="D148" s="14">
        <v>37119</v>
      </c>
      <c r="E148" s="14">
        <v>76125</v>
      </c>
      <c r="F148" s="14">
        <v>52285</v>
      </c>
      <c r="G148" s="14">
        <v>22734</v>
      </c>
      <c r="H148" s="14">
        <v>27618</v>
      </c>
      <c r="I148" s="14">
        <v>21869</v>
      </c>
    </row>
    <row r="149" spans="1:9" ht="15" customHeight="1" x14ac:dyDescent="0.25">
      <c r="A149" s="17" t="s">
        <v>197</v>
      </c>
      <c r="B149" s="14">
        <v>79015</v>
      </c>
      <c r="C149" s="14">
        <v>78622</v>
      </c>
      <c r="D149" s="14">
        <v>37160</v>
      </c>
      <c r="E149" s="14">
        <v>75803</v>
      </c>
      <c r="F149" s="14">
        <v>52606</v>
      </c>
      <c r="G149" s="14">
        <v>22834</v>
      </c>
      <c r="H149" s="14">
        <v>27589</v>
      </c>
      <c r="I149" s="14">
        <v>21894</v>
      </c>
    </row>
    <row r="150" spans="1:9" ht="15" customHeight="1" x14ac:dyDescent="0.25">
      <c r="A150" s="17" t="s">
        <v>422</v>
      </c>
      <c r="B150" s="14">
        <v>38546</v>
      </c>
      <c r="C150" s="14">
        <v>38494</v>
      </c>
      <c r="D150" s="14">
        <v>23469</v>
      </c>
      <c r="E150" s="14">
        <v>37728</v>
      </c>
      <c r="F150" s="14">
        <v>30809</v>
      </c>
      <c r="G150" s="14">
        <v>14810</v>
      </c>
      <c r="H150" s="14">
        <v>17558</v>
      </c>
      <c r="I150" s="14">
        <v>15043</v>
      </c>
    </row>
    <row r="151" spans="1:9" ht="15" customHeight="1" x14ac:dyDescent="0.25">
      <c r="A151" s="17" t="s">
        <v>423</v>
      </c>
      <c r="B151" s="14">
        <v>5078</v>
      </c>
      <c r="C151" s="14">
        <v>5044</v>
      </c>
      <c r="D151" s="14">
        <v>2387</v>
      </c>
      <c r="E151" s="14">
        <v>4928</v>
      </c>
      <c r="F151" s="14">
        <v>2363</v>
      </c>
      <c r="G151" s="14">
        <v>1421</v>
      </c>
      <c r="H151" s="14">
        <v>1506</v>
      </c>
      <c r="I151" s="14">
        <v>751</v>
      </c>
    </row>
    <row r="152" spans="1:9" ht="27.95" customHeight="1" x14ac:dyDescent="0.25">
      <c r="A152" s="17" t="s">
        <v>424</v>
      </c>
      <c r="B152" s="14">
        <v>25642</v>
      </c>
      <c r="C152" s="14">
        <v>25605</v>
      </c>
      <c r="D152" s="14">
        <v>13305</v>
      </c>
      <c r="E152" s="14">
        <v>25096</v>
      </c>
      <c r="F152" s="14">
        <v>21247</v>
      </c>
      <c r="G152" s="14">
        <v>10397</v>
      </c>
      <c r="H152" s="14">
        <v>12027</v>
      </c>
      <c r="I152" s="14">
        <v>11434</v>
      </c>
    </row>
    <row r="153" spans="1:9" ht="24" customHeight="1" x14ac:dyDescent="0.25">
      <c r="A153" s="15" t="s">
        <v>455</v>
      </c>
      <c r="B153" s="21"/>
      <c r="C153" s="21"/>
      <c r="D153" s="21"/>
      <c r="E153" s="21"/>
      <c r="F153" s="21"/>
      <c r="G153" s="21"/>
      <c r="H153" s="21"/>
      <c r="I153" s="21"/>
    </row>
    <row r="154" spans="1:9" ht="15" customHeight="1" x14ac:dyDescent="0.25">
      <c r="A154" s="17" t="s">
        <v>456</v>
      </c>
      <c r="B154" s="14">
        <v>322</v>
      </c>
      <c r="C154" s="14" t="s">
        <v>292</v>
      </c>
      <c r="D154" s="14" t="s">
        <v>292</v>
      </c>
      <c r="E154" s="14" t="s">
        <v>292</v>
      </c>
      <c r="F154" s="14" t="s">
        <v>292</v>
      </c>
      <c r="G154" s="14" t="s">
        <v>303</v>
      </c>
      <c r="H154" s="14" t="s">
        <v>303</v>
      </c>
      <c r="I154" s="14" t="s">
        <v>292</v>
      </c>
    </row>
    <row r="155" spans="1:9" ht="15" customHeight="1" x14ac:dyDescent="0.25">
      <c r="A155" s="17" t="s">
        <v>427</v>
      </c>
      <c r="B155" s="14">
        <v>12628</v>
      </c>
      <c r="C155" s="14">
        <v>12628</v>
      </c>
      <c r="D155" s="14">
        <v>4867</v>
      </c>
      <c r="E155" s="14">
        <v>11798</v>
      </c>
      <c r="F155" s="14">
        <v>6202</v>
      </c>
      <c r="G155" s="14">
        <v>2418</v>
      </c>
      <c r="H155" s="14">
        <v>2884</v>
      </c>
      <c r="I155" s="14">
        <v>1937</v>
      </c>
    </row>
    <row r="156" spans="1:9" ht="15" customHeight="1" x14ac:dyDescent="0.25">
      <c r="A156" s="17" t="s">
        <v>428</v>
      </c>
      <c r="B156" s="14">
        <v>34814</v>
      </c>
      <c r="C156" s="14">
        <v>34814</v>
      </c>
      <c r="D156" s="14">
        <v>19106</v>
      </c>
      <c r="E156" s="14">
        <v>33816</v>
      </c>
      <c r="F156" s="14">
        <v>25376</v>
      </c>
      <c r="G156" s="14">
        <v>11003</v>
      </c>
      <c r="H156" s="14">
        <v>15045</v>
      </c>
      <c r="I156" s="14">
        <v>11847</v>
      </c>
    </row>
    <row r="157" spans="1:9" ht="15" customHeight="1" x14ac:dyDescent="0.25">
      <c r="A157" s="34" t="s">
        <v>429</v>
      </c>
      <c r="B157" s="14">
        <v>35726</v>
      </c>
      <c r="C157" s="14">
        <v>35726</v>
      </c>
      <c r="D157" s="14">
        <v>14283</v>
      </c>
      <c r="E157" s="14">
        <v>34132</v>
      </c>
      <c r="F157" s="14">
        <v>22087</v>
      </c>
      <c r="G157" s="14">
        <v>9929</v>
      </c>
      <c r="H157" s="14">
        <v>10084</v>
      </c>
      <c r="I157" s="14">
        <v>8278</v>
      </c>
    </row>
    <row r="158" spans="1:9" ht="27.95" customHeight="1" x14ac:dyDescent="0.25">
      <c r="A158" s="34" t="s">
        <v>457</v>
      </c>
      <c r="B158" s="14">
        <v>3603</v>
      </c>
      <c r="C158" s="14">
        <v>371</v>
      </c>
      <c r="D158" s="14" t="s">
        <v>292</v>
      </c>
      <c r="E158" s="14">
        <v>326</v>
      </c>
      <c r="F158" s="14" t="s">
        <v>292</v>
      </c>
      <c r="G158" s="14" t="s">
        <v>292</v>
      </c>
      <c r="H158" s="14" t="s">
        <v>292</v>
      </c>
      <c r="I158" s="14" t="s">
        <v>292</v>
      </c>
    </row>
    <row r="159" spans="1:9" ht="24" customHeight="1" x14ac:dyDescent="0.25">
      <c r="A159" s="15" t="s">
        <v>458</v>
      </c>
      <c r="B159" s="21"/>
      <c r="C159" s="21"/>
      <c r="D159" s="21"/>
      <c r="E159" s="21"/>
      <c r="F159" s="21"/>
      <c r="G159" s="21"/>
      <c r="H159" s="21"/>
      <c r="I159" s="21"/>
    </row>
    <row r="160" spans="1:9" ht="15" customHeight="1" x14ac:dyDescent="0.25">
      <c r="A160" s="17" t="s">
        <v>456</v>
      </c>
      <c r="B160" s="14">
        <v>24746</v>
      </c>
      <c r="C160" s="14">
        <v>23500</v>
      </c>
      <c r="D160" s="14">
        <v>8122</v>
      </c>
      <c r="E160" s="14">
        <v>21910</v>
      </c>
      <c r="F160" s="14">
        <v>11540</v>
      </c>
      <c r="G160" s="14">
        <v>4722</v>
      </c>
      <c r="H160" s="14">
        <v>4692</v>
      </c>
      <c r="I160" s="14">
        <v>3038</v>
      </c>
    </row>
    <row r="161" spans="1:9" ht="15" customHeight="1" x14ac:dyDescent="0.25">
      <c r="A161" s="17" t="s">
        <v>427</v>
      </c>
      <c r="B161" s="14">
        <v>50753</v>
      </c>
      <c r="C161" s="14">
        <v>50753</v>
      </c>
      <c r="D161" s="14">
        <v>25337</v>
      </c>
      <c r="E161" s="14">
        <v>49312</v>
      </c>
      <c r="F161" s="14">
        <v>35189</v>
      </c>
      <c r="G161" s="14">
        <v>15141</v>
      </c>
      <c r="H161" s="14">
        <v>19374</v>
      </c>
      <c r="I161" s="14">
        <v>15404</v>
      </c>
    </row>
    <row r="162" spans="1:9" ht="15" customHeight="1" x14ac:dyDescent="0.25">
      <c r="A162" s="17" t="s">
        <v>459</v>
      </c>
      <c r="B162" s="14">
        <v>6926</v>
      </c>
      <c r="C162" s="14">
        <v>6926</v>
      </c>
      <c r="D162" s="14">
        <v>3936</v>
      </c>
      <c r="E162" s="14">
        <v>6568</v>
      </c>
      <c r="F162" s="14">
        <v>5611</v>
      </c>
      <c r="G162" s="14">
        <v>2627</v>
      </c>
      <c r="H162" s="14">
        <v>3022</v>
      </c>
      <c r="I162" s="14">
        <v>2712</v>
      </c>
    </row>
    <row r="163" spans="1:9" ht="27.95" customHeight="1" x14ac:dyDescent="0.25">
      <c r="A163" s="34" t="s">
        <v>460</v>
      </c>
      <c r="B163" s="14">
        <v>2443</v>
      </c>
      <c r="C163" s="14">
        <v>2390</v>
      </c>
      <c r="D163" s="14">
        <v>1012</v>
      </c>
      <c r="E163" s="14">
        <v>2291</v>
      </c>
      <c r="F163" s="14">
        <v>1477</v>
      </c>
      <c r="G163" s="14">
        <v>906</v>
      </c>
      <c r="H163" s="14">
        <v>970</v>
      </c>
      <c r="I163" s="14">
        <v>917</v>
      </c>
    </row>
    <row r="164" spans="1:9" ht="15" customHeight="1" x14ac:dyDescent="0.25">
      <c r="A164" s="34" t="s">
        <v>461</v>
      </c>
      <c r="B164" s="14">
        <v>2225</v>
      </c>
      <c r="C164" s="14" t="s">
        <v>303</v>
      </c>
      <c r="D164" s="14" t="s">
        <v>303</v>
      </c>
      <c r="E164" s="14" t="s">
        <v>303</v>
      </c>
      <c r="F164" s="14" t="s">
        <v>303</v>
      </c>
      <c r="G164" s="14" t="s">
        <v>303</v>
      </c>
      <c r="H164" s="14" t="s">
        <v>303</v>
      </c>
      <c r="I164" s="14" t="s">
        <v>303</v>
      </c>
    </row>
    <row r="165" spans="1:9" ht="33.950000000000003" customHeight="1" x14ac:dyDescent="0.25">
      <c r="A165" s="15" t="s">
        <v>462</v>
      </c>
      <c r="B165" s="21"/>
      <c r="C165" s="21"/>
      <c r="D165" s="21"/>
      <c r="E165" s="21"/>
      <c r="F165" s="21"/>
      <c r="G165" s="21"/>
      <c r="H165" s="21"/>
      <c r="I165" s="21"/>
    </row>
    <row r="166" spans="1:9" ht="15" customHeight="1" x14ac:dyDescent="0.25">
      <c r="A166" s="17" t="s">
        <v>463</v>
      </c>
      <c r="B166" s="14">
        <v>38406</v>
      </c>
      <c r="C166" s="14">
        <v>38406</v>
      </c>
      <c r="D166" s="14">
        <v>38406</v>
      </c>
      <c r="E166" s="14">
        <v>37447</v>
      </c>
      <c r="F166" s="14">
        <v>30603</v>
      </c>
      <c r="G166" s="14">
        <v>15324</v>
      </c>
      <c r="H166" s="14">
        <v>19550</v>
      </c>
      <c r="I166" s="14">
        <v>15118</v>
      </c>
    </row>
    <row r="167" spans="1:9" ht="15" customHeight="1" x14ac:dyDescent="0.25">
      <c r="A167" s="17" t="s">
        <v>464</v>
      </c>
      <c r="B167" s="14">
        <v>80081</v>
      </c>
      <c r="C167" s="14">
        <v>80081</v>
      </c>
      <c r="D167" s="14">
        <v>37447</v>
      </c>
      <c r="E167" s="14">
        <v>80081</v>
      </c>
      <c r="F167" s="14">
        <v>51568</v>
      </c>
      <c r="G167" s="14">
        <v>22703</v>
      </c>
      <c r="H167" s="14">
        <v>27403</v>
      </c>
      <c r="I167" s="14">
        <v>21386</v>
      </c>
    </row>
    <row r="168" spans="1:9" ht="15" customHeight="1" x14ac:dyDescent="0.25">
      <c r="A168" s="17" t="s">
        <v>465</v>
      </c>
      <c r="B168" s="14">
        <v>53816</v>
      </c>
      <c r="C168" s="14">
        <v>53816</v>
      </c>
      <c r="D168" s="14">
        <v>30603</v>
      </c>
      <c r="E168" s="14">
        <v>51568</v>
      </c>
      <c r="F168" s="14">
        <v>53816</v>
      </c>
      <c r="G168" s="14">
        <v>18808</v>
      </c>
      <c r="H168" s="14">
        <v>23433</v>
      </c>
      <c r="I168" s="14">
        <v>19584</v>
      </c>
    </row>
    <row r="169" spans="1:9" ht="15" customHeight="1" x14ac:dyDescent="0.25">
      <c r="A169" s="17" t="s">
        <v>466</v>
      </c>
      <c r="B169" s="14">
        <v>23396</v>
      </c>
      <c r="C169" s="14">
        <v>23396</v>
      </c>
      <c r="D169" s="14">
        <v>15324</v>
      </c>
      <c r="E169" s="14">
        <v>22703</v>
      </c>
      <c r="F169" s="14">
        <v>18808</v>
      </c>
      <c r="G169" s="14">
        <v>23396</v>
      </c>
      <c r="H169" s="14">
        <v>13211</v>
      </c>
      <c r="I169" s="14">
        <v>10729</v>
      </c>
    </row>
    <row r="170" spans="1:9" ht="15" customHeight="1" x14ac:dyDescent="0.25">
      <c r="A170" s="17" t="s">
        <v>453</v>
      </c>
      <c r="B170" s="14">
        <v>28059</v>
      </c>
      <c r="C170" s="14">
        <v>28059</v>
      </c>
      <c r="D170" s="14">
        <v>19550</v>
      </c>
      <c r="E170" s="14">
        <v>27403</v>
      </c>
      <c r="F170" s="14">
        <v>23433</v>
      </c>
      <c r="G170" s="14">
        <v>13211</v>
      </c>
      <c r="H170" s="14">
        <v>28059</v>
      </c>
      <c r="I170" s="14">
        <v>13934</v>
      </c>
    </row>
    <row r="171" spans="1:9" ht="15" customHeight="1" x14ac:dyDescent="0.25">
      <c r="A171" s="17" t="s">
        <v>454</v>
      </c>
      <c r="B171" s="14">
        <v>22071</v>
      </c>
      <c r="C171" s="14">
        <v>22071</v>
      </c>
      <c r="D171" s="14">
        <v>15118</v>
      </c>
      <c r="E171" s="14">
        <v>21386</v>
      </c>
      <c r="F171" s="14">
        <v>19584</v>
      </c>
      <c r="G171" s="14">
        <v>10729</v>
      </c>
      <c r="H171" s="14">
        <v>13934</v>
      </c>
      <c r="I171" s="14">
        <v>22071</v>
      </c>
    </row>
    <row r="172" spans="1:9" ht="15" customHeight="1" x14ac:dyDescent="0.25">
      <c r="A172" s="17" t="s">
        <v>69</v>
      </c>
      <c r="B172" s="14">
        <v>446</v>
      </c>
      <c r="C172" s="14">
        <v>446</v>
      </c>
      <c r="D172" s="14">
        <v>390</v>
      </c>
      <c r="E172" s="14">
        <v>446</v>
      </c>
      <c r="F172" s="14">
        <v>446</v>
      </c>
      <c r="G172" s="14" t="s">
        <v>292</v>
      </c>
      <c r="H172" s="14">
        <v>361</v>
      </c>
      <c r="I172" s="14">
        <v>357</v>
      </c>
    </row>
    <row r="173" spans="1:9" ht="44.25" customHeight="1" x14ac:dyDescent="0.25">
      <c r="A173" s="15" t="s">
        <v>467</v>
      </c>
      <c r="B173" s="21"/>
      <c r="C173" s="21"/>
      <c r="D173" s="21"/>
      <c r="E173" s="21"/>
      <c r="F173" s="21"/>
      <c r="G173" s="21"/>
      <c r="H173" s="21"/>
      <c r="I173" s="21"/>
    </row>
    <row r="174" spans="1:9" ht="15" customHeight="1" x14ac:dyDescent="0.25">
      <c r="A174" s="17" t="s">
        <v>468</v>
      </c>
      <c r="B174" s="14">
        <v>60362</v>
      </c>
      <c r="C174" s="14">
        <v>59205</v>
      </c>
      <c r="D174" s="14">
        <v>29012</v>
      </c>
      <c r="E174" s="14">
        <v>57237</v>
      </c>
      <c r="F174" s="14">
        <v>41014</v>
      </c>
      <c r="G174" s="14">
        <v>18216</v>
      </c>
      <c r="H174" s="14">
        <v>21614</v>
      </c>
      <c r="I174" s="14">
        <v>17864</v>
      </c>
    </row>
    <row r="175" spans="1:9" ht="15" customHeight="1" x14ac:dyDescent="0.25">
      <c r="A175" s="17" t="s">
        <v>469</v>
      </c>
      <c r="B175" s="14">
        <v>45025</v>
      </c>
      <c r="C175" s="14">
        <v>44068</v>
      </c>
      <c r="D175" s="14">
        <v>21931</v>
      </c>
      <c r="E175" s="14">
        <v>42856</v>
      </c>
      <c r="F175" s="14">
        <v>31503</v>
      </c>
      <c r="G175" s="14">
        <v>15006</v>
      </c>
      <c r="H175" s="14">
        <v>17327</v>
      </c>
      <c r="I175" s="14">
        <v>14758</v>
      </c>
    </row>
    <row r="176" spans="1:9" ht="15" customHeight="1" x14ac:dyDescent="0.25">
      <c r="A176" s="17" t="s">
        <v>470</v>
      </c>
      <c r="B176" s="14">
        <v>15908</v>
      </c>
      <c r="C176" s="14">
        <v>15759</v>
      </c>
      <c r="D176" s="14">
        <v>8748</v>
      </c>
      <c r="E176" s="14">
        <v>15232</v>
      </c>
      <c r="F176" s="14">
        <v>12668</v>
      </c>
      <c r="G176" s="14">
        <v>6287</v>
      </c>
      <c r="H176" s="14">
        <v>7896</v>
      </c>
      <c r="I176" s="14">
        <v>6873</v>
      </c>
    </row>
    <row r="177" spans="1:9" ht="15" customHeight="1" x14ac:dyDescent="0.25">
      <c r="A177" s="17" t="s">
        <v>471</v>
      </c>
      <c r="B177" s="14">
        <v>32188</v>
      </c>
      <c r="C177" s="14">
        <v>31869</v>
      </c>
      <c r="D177" s="14">
        <v>17405</v>
      </c>
      <c r="E177" s="14">
        <v>30762</v>
      </c>
      <c r="F177" s="14">
        <v>23268</v>
      </c>
      <c r="G177" s="14">
        <v>10433</v>
      </c>
      <c r="H177" s="14">
        <v>13417</v>
      </c>
      <c r="I177" s="14">
        <v>10694</v>
      </c>
    </row>
    <row r="178" spans="1:9" ht="15" customHeight="1" x14ac:dyDescent="0.25">
      <c r="A178" s="17" t="s">
        <v>472</v>
      </c>
      <c r="B178" s="14">
        <v>22261</v>
      </c>
      <c r="C178" s="14">
        <v>21902</v>
      </c>
      <c r="D178" s="14">
        <v>11479</v>
      </c>
      <c r="E178" s="14">
        <v>21291</v>
      </c>
      <c r="F178" s="14">
        <v>16651</v>
      </c>
      <c r="G178" s="14">
        <v>8534</v>
      </c>
      <c r="H178" s="14">
        <v>10239</v>
      </c>
      <c r="I178" s="14">
        <v>8409</v>
      </c>
    </row>
    <row r="179" spans="1:9" ht="15" customHeight="1" x14ac:dyDescent="0.25">
      <c r="A179" s="17" t="s">
        <v>473</v>
      </c>
      <c r="B179" s="14">
        <v>30263</v>
      </c>
      <c r="C179" s="14">
        <v>30263</v>
      </c>
      <c r="D179" s="14">
        <v>16639</v>
      </c>
      <c r="E179" s="14">
        <v>29056</v>
      </c>
      <c r="F179" s="14">
        <v>24267</v>
      </c>
      <c r="G179" s="14">
        <v>12845</v>
      </c>
      <c r="H179" s="14">
        <v>15175</v>
      </c>
      <c r="I179" s="14">
        <v>12888</v>
      </c>
    </row>
    <row r="180" spans="1:9" ht="15" customHeight="1" x14ac:dyDescent="0.25">
      <c r="A180" s="17" t="s">
        <v>474</v>
      </c>
      <c r="B180" s="14">
        <v>35871</v>
      </c>
      <c r="C180" s="14">
        <v>35871</v>
      </c>
      <c r="D180" s="14">
        <v>18510</v>
      </c>
      <c r="E180" s="14">
        <v>34858</v>
      </c>
      <c r="F180" s="14">
        <v>28252</v>
      </c>
      <c r="G180" s="14">
        <v>13754</v>
      </c>
      <c r="H180" s="14">
        <v>16401</v>
      </c>
      <c r="I180" s="14">
        <v>15662</v>
      </c>
    </row>
    <row r="181" spans="1:9" ht="15" customHeight="1" x14ac:dyDescent="0.25">
      <c r="A181" s="17" t="s">
        <v>475</v>
      </c>
      <c r="B181" s="14">
        <v>14534</v>
      </c>
      <c r="C181" s="14">
        <v>14534</v>
      </c>
      <c r="D181" s="14">
        <v>9302</v>
      </c>
      <c r="E181" s="14">
        <v>13971</v>
      </c>
      <c r="F181" s="14">
        <v>12688</v>
      </c>
      <c r="G181" s="14">
        <v>6520</v>
      </c>
      <c r="H181" s="14">
        <v>8888</v>
      </c>
      <c r="I181" s="14">
        <v>7984</v>
      </c>
    </row>
    <row r="182" spans="1:9" ht="15" customHeight="1" x14ac:dyDescent="0.25">
      <c r="A182" s="17" t="s">
        <v>476</v>
      </c>
      <c r="B182" s="14">
        <v>6114</v>
      </c>
      <c r="C182" s="14">
        <v>6114</v>
      </c>
      <c r="D182" s="14">
        <v>3387</v>
      </c>
      <c r="E182" s="14">
        <v>6032</v>
      </c>
      <c r="F182" s="14">
        <v>4887</v>
      </c>
      <c r="G182" s="14">
        <v>2868</v>
      </c>
      <c r="H182" s="14">
        <v>3341</v>
      </c>
      <c r="I182" s="14">
        <v>3980</v>
      </c>
    </row>
    <row r="183" spans="1:9" ht="15" customHeight="1" x14ac:dyDescent="0.25">
      <c r="A183" s="17" t="s">
        <v>477</v>
      </c>
      <c r="B183" s="14">
        <v>4738</v>
      </c>
      <c r="C183" s="14">
        <v>4738</v>
      </c>
      <c r="D183" s="14">
        <v>2946</v>
      </c>
      <c r="E183" s="14">
        <v>4506</v>
      </c>
      <c r="F183" s="14">
        <v>3502</v>
      </c>
      <c r="G183" s="14">
        <v>2061</v>
      </c>
      <c r="H183" s="14">
        <v>2437</v>
      </c>
      <c r="I183" s="14">
        <v>2251</v>
      </c>
    </row>
    <row r="184" spans="1:9" ht="27.95" customHeight="1" x14ac:dyDescent="0.25">
      <c r="A184" s="17" t="s">
        <v>478</v>
      </c>
      <c r="B184" s="14">
        <v>12068</v>
      </c>
      <c r="C184" s="14">
        <v>12068</v>
      </c>
      <c r="D184" s="14">
        <v>6984</v>
      </c>
      <c r="E184" s="14">
        <v>11721</v>
      </c>
      <c r="F184" s="14">
        <v>10143</v>
      </c>
      <c r="G184" s="14">
        <v>5684</v>
      </c>
      <c r="H184" s="14">
        <v>6577</v>
      </c>
      <c r="I184" s="14">
        <v>6766</v>
      </c>
    </row>
    <row r="185" spans="1:9" ht="44.25" customHeight="1" x14ac:dyDescent="0.25">
      <c r="A185" s="15" t="s">
        <v>444</v>
      </c>
      <c r="B185" s="21"/>
      <c r="C185" s="21"/>
      <c r="D185" s="21"/>
      <c r="E185" s="21"/>
      <c r="F185" s="21"/>
      <c r="G185" s="21"/>
      <c r="H185" s="21"/>
      <c r="I185" s="21"/>
    </row>
    <row r="186" spans="1:9" ht="15" customHeight="1" x14ac:dyDescent="0.25">
      <c r="A186" s="17" t="s">
        <v>67</v>
      </c>
      <c r="B186" s="14">
        <v>63167</v>
      </c>
      <c r="C186" s="14">
        <v>62669</v>
      </c>
      <c r="D186" s="14">
        <v>30314</v>
      </c>
      <c r="E186" s="14">
        <v>60546</v>
      </c>
      <c r="F186" s="14">
        <v>42331</v>
      </c>
      <c r="G186" s="14">
        <v>18572</v>
      </c>
      <c r="H186" s="14">
        <v>21904</v>
      </c>
      <c r="I186" s="14">
        <v>17671</v>
      </c>
    </row>
    <row r="187" spans="1:9" ht="15" customHeight="1" x14ac:dyDescent="0.25">
      <c r="A187" s="17" t="s">
        <v>65</v>
      </c>
      <c r="B187" s="14">
        <v>62516</v>
      </c>
      <c r="C187" s="14">
        <v>62156</v>
      </c>
      <c r="D187" s="14">
        <v>30210</v>
      </c>
      <c r="E187" s="14">
        <v>59941</v>
      </c>
      <c r="F187" s="14">
        <v>42180</v>
      </c>
      <c r="G187" s="14">
        <v>18424</v>
      </c>
      <c r="H187" s="14">
        <v>22268</v>
      </c>
      <c r="I187" s="14">
        <v>17939</v>
      </c>
    </row>
    <row r="188" spans="1:9" ht="15" customHeight="1" x14ac:dyDescent="0.25">
      <c r="A188" s="17" t="s">
        <v>68</v>
      </c>
      <c r="B188" s="14">
        <v>78594</v>
      </c>
      <c r="C188" s="14">
        <v>78594</v>
      </c>
      <c r="D188" s="14">
        <v>36405</v>
      </c>
      <c r="E188" s="14">
        <v>75380</v>
      </c>
      <c r="F188" s="14">
        <v>51068</v>
      </c>
      <c r="G188" s="14">
        <v>21872</v>
      </c>
      <c r="H188" s="14">
        <v>26646</v>
      </c>
      <c r="I188" s="14">
        <v>20668</v>
      </c>
    </row>
    <row r="189" spans="1:9" ht="15" customHeight="1" thickBot="1" x14ac:dyDescent="0.3">
      <c r="A189" s="18"/>
    </row>
    <row r="190" spans="1:9" ht="140.25" customHeight="1" x14ac:dyDescent="0.25">
      <c r="A190" s="111" t="s">
        <v>445</v>
      </c>
      <c r="B190" s="112"/>
      <c r="C190" s="112"/>
      <c r="D190" s="112"/>
      <c r="E190" s="112"/>
      <c r="F190" s="112"/>
      <c r="G190" s="112"/>
      <c r="H190" s="112"/>
      <c r="I190" s="112"/>
    </row>
  </sheetData>
  <mergeCells count="6">
    <mergeCell ref="A190:I190"/>
    <mergeCell ref="A2:I2"/>
    <mergeCell ref="B4:B5"/>
    <mergeCell ref="C4:C5"/>
    <mergeCell ref="D4:I4"/>
    <mergeCell ref="B3:I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N166"/>
  <sheetViews>
    <sheetView workbookViewId="0"/>
  </sheetViews>
  <sheetFormatPr defaultRowHeight="15" x14ac:dyDescent="0.25"/>
  <cols>
    <col min="1" max="1" width="28.7109375" customWidth="1"/>
    <col min="2" max="11" width="7.7109375" style="8" customWidth="1"/>
  </cols>
  <sheetData>
    <row r="1" spans="1:11" ht="29.65" customHeight="1" x14ac:dyDescent="0.25">
      <c r="A1" s="7" t="s">
        <v>283</v>
      </c>
    </row>
    <row r="2" spans="1:11" ht="26.25" customHeight="1" x14ac:dyDescent="0.25">
      <c r="A2" s="118" t="s">
        <v>479</v>
      </c>
      <c r="B2" s="119"/>
      <c r="C2" s="119"/>
      <c r="D2" s="119"/>
      <c r="E2" s="119"/>
      <c r="F2" s="119"/>
      <c r="G2" s="119"/>
      <c r="H2" s="119"/>
      <c r="I2" s="119"/>
      <c r="J2" s="119"/>
      <c r="K2" s="119"/>
    </row>
    <row r="3" spans="1:11" ht="24" customHeight="1" x14ac:dyDescent="0.25">
      <c r="A3" s="9"/>
      <c r="B3" s="128" t="s">
        <v>480</v>
      </c>
      <c r="C3" s="124"/>
      <c r="D3" s="124"/>
      <c r="E3" s="124"/>
      <c r="F3" s="129"/>
      <c r="G3" s="123" t="s">
        <v>285</v>
      </c>
      <c r="H3" s="124"/>
      <c r="I3" s="124"/>
      <c r="J3" s="124"/>
      <c r="K3" s="124"/>
    </row>
    <row r="4" spans="1:11" ht="36.75" customHeight="1" x14ac:dyDescent="0.25">
      <c r="A4" s="9"/>
      <c r="B4" s="125" t="s">
        <v>286</v>
      </c>
      <c r="C4" s="125" t="s">
        <v>197</v>
      </c>
      <c r="D4" s="126" t="s">
        <v>481</v>
      </c>
      <c r="E4" s="127"/>
      <c r="F4" s="127"/>
      <c r="G4" s="125" t="s">
        <v>286</v>
      </c>
      <c r="H4" s="125" t="s">
        <v>197</v>
      </c>
      <c r="I4" s="126" t="s">
        <v>481</v>
      </c>
      <c r="J4" s="127"/>
      <c r="K4" s="127"/>
    </row>
    <row r="5" spans="1:11" ht="89.25" customHeight="1" thickBot="1" x14ac:dyDescent="0.3">
      <c r="A5" s="10"/>
      <c r="B5" s="108"/>
      <c r="C5" s="108"/>
      <c r="D5" s="43" t="s">
        <v>482</v>
      </c>
      <c r="E5" s="43" t="s">
        <v>483</v>
      </c>
      <c r="F5" s="43" t="s">
        <v>484</v>
      </c>
      <c r="G5" s="108"/>
      <c r="H5" s="108"/>
      <c r="I5" s="43" t="s">
        <v>482</v>
      </c>
      <c r="J5" s="43" t="s">
        <v>483</v>
      </c>
      <c r="K5" s="43" t="s">
        <v>484</v>
      </c>
    </row>
    <row r="6" spans="1:11" ht="24" customHeight="1" thickTop="1" x14ac:dyDescent="0.25">
      <c r="A6" s="12" t="s">
        <v>289</v>
      </c>
      <c r="B6" s="13">
        <v>5557</v>
      </c>
      <c r="C6" s="13">
        <v>4423</v>
      </c>
      <c r="D6" s="13">
        <v>3348</v>
      </c>
      <c r="E6" s="13">
        <v>690</v>
      </c>
      <c r="F6" s="13">
        <v>385</v>
      </c>
      <c r="G6" s="13">
        <v>87093</v>
      </c>
      <c r="H6" s="13">
        <v>79015</v>
      </c>
      <c r="I6" s="13">
        <v>47534</v>
      </c>
      <c r="J6" s="13">
        <v>12688</v>
      </c>
      <c r="K6" s="13">
        <v>18793</v>
      </c>
    </row>
    <row r="7" spans="1:11" ht="24" customHeight="1" x14ac:dyDescent="0.25">
      <c r="A7" s="15" t="s">
        <v>290</v>
      </c>
      <c r="B7" s="16"/>
      <c r="C7" s="16"/>
      <c r="D7" s="16"/>
      <c r="E7" s="16"/>
      <c r="F7" s="16"/>
      <c r="G7" s="16"/>
      <c r="H7" s="16"/>
      <c r="I7" s="16"/>
      <c r="J7" s="16"/>
      <c r="K7" s="16"/>
    </row>
    <row r="8" spans="1:11" ht="15" customHeight="1" x14ac:dyDescent="0.25">
      <c r="A8" s="17" t="s">
        <v>291</v>
      </c>
      <c r="B8" s="14">
        <v>2777</v>
      </c>
      <c r="C8" s="14">
        <v>2032</v>
      </c>
      <c r="D8" s="14">
        <v>1653</v>
      </c>
      <c r="E8" s="14">
        <v>322</v>
      </c>
      <c r="F8" s="14">
        <v>57</v>
      </c>
      <c r="G8" s="14">
        <v>8041</v>
      </c>
      <c r="H8" s="14">
        <v>6102</v>
      </c>
      <c r="I8" s="14">
        <v>4906</v>
      </c>
      <c r="J8" s="14">
        <v>1011</v>
      </c>
      <c r="K8" s="14">
        <v>185</v>
      </c>
    </row>
    <row r="9" spans="1:11" ht="15" customHeight="1" x14ac:dyDescent="0.25">
      <c r="A9" s="17" t="s">
        <v>293</v>
      </c>
      <c r="B9" s="14">
        <v>1229</v>
      </c>
      <c r="C9" s="14">
        <v>992</v>
      </c>
      <c r="D9" s="14">
        <v>789</v>
      </c>
      <c r="E9" s="14">
        <v>120</v>
      </c>
      <c r="F9" s="14">
        <v>82</v>
      </c>
      <c r="G9" s="14">
        <v>8900</v>
      </c>
      <c r="H9" s="14">
        <v>7236</v>
      </c>
      <c r="I9" s="14">
        <v>5731</v>
      </c>
      <c r="J9" s="14">
        <v>890</v>
      </c>
      <c r="K9" s="14">
        <v>615</v>
      </c>
    </row>
    <row r="10" spans="1:11" ht="15" customHeight="1" x14ac:dyDescent="0.25">
      <c r="A10" s="17" t="s">
        <v>294</v>
      </c>
      <c r="B10" s="14">
        <v>884</v>
      </c>
      <c r="C10" s="14">
        <v>775</v>
      </c>
      <c r="D10" s="14">
        <v>538</v>
      </c>
      <c r="E10" s="14">
        <v>143</v>
      </c>
      <c r="F10" s="14">
        <v>93</v>
      </c>
      <c r="G10" s="14">
        <v>14105</v>
      </c>
      <c r="H10" s="14">
        <v>12401</v>
      </c>
      <c r="I10" s="14">
        <v>8549</v>
      </c>
      <c r="J10" s="14">
        <v>2318</v>
      </c>
      <c r="K10" s="14">
        <v>1534</v>
      </c>
    </row>
    <row r="11" spans="1:11" ht="15" customHeight="1" x14ac:dyDescent="0.25">
      <c r="A11" s="17" t="s">
        <v>295</v>
      </c>
      <c r="B11" s="14">
        <v>332</v>
      </c>
      <c r="C11" s="14">
        <v>307</v>
      </c>
      <c r="D11" s="14">
        <v>198</v>
      </c>
      <c r="E11" s="14">
        <v>57</v>
      </c>
      <c r="F11" s="14">
        <v>51</v>
      </c>
      <c r="G11" s="14">
        <v>11917</v>
      </c>
      <c r="H11" s="14">
        <v>11007</v>
      </c>
      <c r="I11" s="14">
        <v>7125</v>
      </c>
      <c r="J11" s="14">
        <v>1983</v>
      </c>
      <c r="K11" s="14">
        <v>1899</v>
      </c>
    </row>
    <row r="12" spans="1:11" ht="15" customHeight="1" x14ac:dyDescent="0.25">
      <c r="A12" s="17" t="s">
        <v>296</v>
      </c>
      <c r="B12" s="14">
        <v>199</v>
      </c>
      <c r="C12" s="14">
        <v>186</v>
      </c>
      <c r="D12" s="14">
        <v>103</v>
      </c>
      <c r="E12" s="14">
        <v>28</v>
      </c>
      <c r="F12" s="14">
        <v>55</v>
      </c>
      <c r="G12" s="14">
        <v>13918</v>
      </c>
      <c r="H12" s="14">
        <v>13063</v>
      </c>
      <c r="I12" s="14">
        <v>7181</v>
      </c>
      <c r="J12" s="14">
        <v>1904</v>
      </c>
      <c r="K12" s="14">
        <v>3978</v>
      </c>
    </row>
    <row r="13" spans="1:11" ht="15" customHeight="1" x14ac:dyDescent="0.25">
      <c r="A13" s="17" t="s">
        <v>297</v>
      </c>
      <c r="B13" s="14">
        <v>90</v>
      </c>
      <c r="C13" s="14">
        <v>86</v>
      </c>
      <c r="D13" s="14">
        <v>45</v>
      </c>
      <c r="E13" s="14">
        <v>13</v>
      </c>
      <c r="F13" s="14">
        <v>29</v>
      </c>
      <c r="G13" s="14">
        <v>12415</v>
      </c>
      <c r="H13" s="14">
        <v>11903</v>
      </c>
      <c r="I13" s="14">
        <v>6120</v>
      </c>
      <c r="J13" s="14">
        <v>1846</v>
      </c>
      <c r="K13" s="14">
        <v>3937</v>
      </c>
    </row>
    <row r="14" spans="1:11" ht="15" customHeight="1" x14ac:dyDescent="0.25">
      <c r="A14" s="17" t="s">
        <v>298</v>
      </c>
      <c r="B14" s="14">
        <v>38</v>
      </c>
      <c r="C14" s="14">
        <v>36</v>
      </c>
      <c r="D14" s="14">
        <v>17</v>
      </c>
      <c r="E14" s="14">
        <v>5</v>
      </c>
      <c r="F14" s="14">
        <v>14</v>
      </c>
      <c r="G14" s="14">
        <v>10724</v>
      </c>
      <c r="H14" s="14">
        <v>10351</v>
      </c>
      <c r="I14" s="14">
        <v>4924</v>
      </c>
      <c r="J14" s="14">
        <v>1516</v>
      </c>
      <c r="K14" s="14">
        <v>3911</v>
      </c>
    </row>
    <row r="15" spans="1:11" ht="15" customHeight="1" x14ac:dyDescent="0.25">
      <c r="A15" s="17" t="s">
        <v>299</v>
      </c>
      <c r="B15" s="14">
        <v>8</v>
      </c>
      <c r="C15" s="14">
        <v>8</v>
      </c>
      <c r="D15" s="14">
        <v>4</v>
      </c>
      <c r="E15" s="14">
        <v>1</v>
      </c>
      <c r="F15" s="14">
        <v>3</v>
      </c>
      <c r="G15" s="14">
        <v>7074</v>
      </c>
      <c r="H15" s="14">
        <v>6951</v>
      </c>
      <c r="I15" s="14">
        <v>2998</v>
      </c>
      <c r="J15" s="14">
        <v>1220</v>
      </c>
      <c r="K15" s="14">
        <v>2734</v>
      </c>
    </row>
    <row r="16" spans="1:11" ht="24" customHeight="1" x14ac:dyDescent="0.25">
      <c r="A16" s="15" t="s">
        <v>300</v>
      </c>
      <c r="B16" s="15"/>
      <c r="C16" s="15"/>
      <c r="D16" s="15"/>
      <c r="E16" s="15"/>
      <c r="F16" s="15"/>
      <c r="G16" s="15"/>
      <c r="H16" s="15"/>
      <c r="I16" s="15"/>
      <c r="J16" s="15"/>
      <c r="K16" s="15"/>
    </row>
    <row r="17" spans="1:14" x14ac:dyDescent="0.25">
      <c r="A17" s="17" t="s">
        <v>301</v>
      </c>
      <c r="B17" s="14">
        <v>389</v>
      </c>
      <c r="C17" s="14">
        <v>332</v>
      </c>
      <c r="D17" s="14">
        <v>244</v>
      </c>
      <c r="E17" s="14">
        <v>51</v>
      </c>
      <c r="F17" s="14">
        <v>38</v>
      </c>
      <c r="G17" s="14">
        <v>12239</v>
      </c>
      <c r="H17" s="14">
        <v>11905</v>
      </c>
      <c r="I17" s="14">
        <v>7580</v>
      </c>
      <c r="J17" s="14">
        <v>1269</v>
      </c>
      <c r="K17" s="14">
        <v>3057</v>
      </c>
    </row>
    <row r="18" spans="1:14" x14ac:dyDescent="0.25">
      <c r="A18" s="17" t="s">
        <v>302</v>
      </c>
      <c r="B18" s="14">
        <v>177</v>
      </c>
      <c r="C18" s="14">
        <v>177</v>
      </c>
      <c r="D18" s="14">
        <v>155</v>
      </c>
      <c r="E18" s="14" t="s">
        <v>292</v>
      </c>
      <c r="F18" s="14" t="s">
        <v>292</v>
      </c>
      <c r="G18" s="14">
        <v>1252</v>
      </c>
      <c r="H18" s="14">
        <v>1252</v>
      </c>
      <c r="I18" s="14">
        <v>883</v>
      </c>
      <c r="J18" s="14" t="s">
        <v>292</v>
      </c>
      <c r="K18" s="14" t="s">
        <v>292</v>
      </c>
    </row>
    <row r="19" spans="1:14" x14ac:dyDescent="0.25">
      <c r="A19" s="17" t="s">
        <v>304</v>
      </c>
      <c r="B19" s="14">
        <v>380</v>
      </c>
      <c r="C19" s="14">
        <v>379</v>
      </c>
      <c r="D19" s="14">
        <v>307</v>
      </c>
      <c r="E19" s="14">
        <v>33</v>
      </c>
      <c r="F19" s="14">
        <v>39</v>
      </c>
      <c r="G19" s="14">
        <v>1819</v>
      </c>
      <c r="H19" s="14">
        <v>1817</v>
      </c>
      <c r="I19" s="14">
        <v>1449</v>
      </c>
      <c r="J19" s="14">
        <v>130</v>
      </c>
      <c r="K19" s="14">
        <v>237</v>
      </c>
    </row>
    <row r="20" spans="1:14" x14ac:dyDescent="0.25">
      <c r="A20" s="17" t="s">
        <v>305</v>
      </c>
      <c r="B20" s="14">
        <v>157</v>
      </c>
      <c r="C20" s="14">
        <v>156</v>
      </c>
      <c r="D20" s="14">
        <v>124</v>
      </c>
      <c r="E20" s="14">
        <v>22</v>
      </c>
      <c r="F20" s="14">
        <v>10</v>
      </c>
      <c r="G20" s="14">
        <v>4155</v>
      </c>
      <c r="H20" s="14">
        <v>4153</v>
      </c>
      <c r="I20" s="14">
        <v>2630</v>
      </c>
      <c r="J20" s="14">
        <v>449</v>
      </c>
      <c r="K20" s="14">
        <v>1074</v>
      </c>
    </row>
    <row r="21" spans="1:14" x14ac:dyDescent="0.25">
      <c r="A21" s="18" t="s">
        <v>306</v>
      </c>
      <c r="B21" s="14">
        <v>10</v>
      </c>
      <c r="C21" s="14">
        <v>10</v>
      </c>
      <c r="D21" s="14">
        <v>6</v>
      </c>
      <c r="E21" s="14" t="s">
        <v>292</v>
      </c>
      <c r="F21" s="14">
        <v>2</v>
      </c>
      <c r="G21" s="14">
        <v>2374</v>
      </c>
      <c r="H21" s="14">
        <v>2374</v>
      </c>
      <c r="I21" s="14">
        <v>1419</v>
      </c>
      <c r="J21" s="14" t="s">
        <v>292</v>
      </c>
      <c r="K21" s="14">
        <v>860</v>
      </c>
    </row>
    <row r="22" spans="1:14" x14ac:dyDescent="0.25">
      <c r="A22" s="18" t="s">
        <v>307</v>
      </c>
      <c r="B22" s="14">
        <v>147</v>
      </c>
      <c r="C22" s="14">
        <v>146</v>
      </c>
      <c r="D22" s="14">
        <v>118</v>
      </c>
      <c r="E22" s="14">
        <v>21</v>
      </c>
      <c r="F22" s="14" t="s">
        <v>292</v>
      </c>
      <c r="G22" s="14">
        <v>1781</v>
      </c>
      <c r="H22" s="14">
        <v>1779</v>
      </c>
      <c r="I22" s="14">
        <v>1211</v>
      </c>
      <c r="J22" s="14">
        <v>354</v>
      </c>
      <c r="K22" s="14" t="s">
        <v>292</v>
      </c>
    </row>
    <row r="23" spans="1:14" x14ac:dyDescent="0.25">
      <c r="A23" s="17" t="s">
        <v>308</v>
      </c>
      <c r="B23" s="14">
        <v>158</v>
      </c>
      <c r="C23" s="14">
        <v>158</v>
      </c>
      <c r="D23" s="14">
        <v>132</v>
      </c>
      <c r="E23" s="14">
        <v>7</v>
      </c>
      <c r="F23" s="14">
        <v>19</v>
      </c>
      <c r="G23" s="14">
        <v>5826</v>
      </c>
      <c r="H23" s="14">
        <v>5821</v>
      </c>
      <c r="I23" s="14">
        <v>4418</v>
      </c>
      <c r="J23" s="14">
        <v>369</v>
      </c>
      <c r="K23" s="14">
        <v>1034</v>
      </c>
    </row>
    <row r="24" spans="1:14" x14ac:dyDescent="0.25">
      <c r="A24" s="17" t="s">
        <v>309</v>
      </c>
      <c r="B24" s="14">
        <v>602</v>
      </c>
      <c r="C24" s="14">
        <v>531</v>
      </c>
      <c r="D24" s="14">
        <v>342</v>
      </c>
      <c r="E24" s="14">
        <v>90</v>
      </c>
      <c r="F24" s="14">
        <v>99</v>
      </c>
      <c r="G24" s="14">
        <v>11330</v>
      </c>
      <c r="H24" s="14">
        <v>10960</v>
      </c>
      <c r="I24" s="14">
        <v>4705</v>
      </c>
      <c r="J24" s="14">
        <v>1492</v>
      </c>
      <c r="K24" s="14">
        <v>4763</v>
      </c>
      <c r="N24" s="19"/>
    </row>
    <row r="25" spans="1:14" ht="15" customHeight="1" x14ac:dyDescent="0.25">
      <c r="A25" s="20" t="s">
        <v>310</v>
      </c>
      <c r="B25" s="14">
        <v>438</v>
      </c>
      <c r="C25" s="14">
        <v>367</v>
      </c>
      <c r="D25" s="14">
        <v>270</v>
      </c>
      <c r="E25" s="14">
        <v>80</v>
      </c>
      <c r="F25" s="14">
        <v>17</v>
      </c>
      <c r="G25" s="14">
        <v>5439</v>
      </c>
      <c r="H25" s="14">
        <v>5070</v>
      </c>
      <c r="I25" s="14">
        <v>2932</v>
      </c>
      <c r="J25" s="14">
        <v>1013</v>
      </c>
      <c r="K25" s="14">
        <v>1125</v>
      </c>
    </row>
    <row r="26" spans="1:14" ht="15" customHeight="1" x14ac:dyDescent="0.25">
      <c r="A26" s="20" t="s">
        <v>311</v>
      </c>
      <c r="B26" s="14">
        <v>164</v>
      </c>
      <c r="C26" s="14">
        <v>164</v>
      </c>
      <c r="D26" s="14">
        <v>72</v>
      </c>
      <c r="E26" s="14">
        <v>10</v>
      </c>
      <c r="F26" s="14">
        <v>82</v>
      </c>
      <c r="G26" s="14">
        <v>5890</v>
      </c>
      <c r="H26" s="14">
        <v>5890</v>
      </c>
      <c r="I26" s="14">
        <v>1773</v>
      </c>
      <c r="J26" s="14">
        <v>479</v>
      </c>
      <c r="K26" s="14">
        <v>3638</v>
      </c>
    </row>
    <row r="27" spans="1:14" ht="15" customHeight="1" x14ac:dyDescent="0.25">
      <c r="A27" s="17" t="s">
        <v>312</v>
      </c>
      <c r="B27" s="14">
        <v>1012</v>
      </c>
      <c r="C27" s="14">
        <v>943</v>
      </c>
      <c r="D27" s="14">
        <v>713</v>
      </c>
      <c r="E27" s="14">
        <v>160</v>
      </c>
      <c r="F27" s="14">
        <v>71</v>
      </c>
      <c r="G27" s="14">
        <v>15952</v>
      </c>
      <c r="H27" s="14">
        <v>15663</v>
      </c>
      <c r="I27" s="14">
        <v>8724</v>
      </c>
      <c r="J27" s="14">
        <v>2934</v>
      </c>
      <c r="K27" s="14">
        <v>4006</v>
      </c>
    </row>
    <row r="28" spans="1:14" ht="15" customHeight="1" x14ac:dyDescent="0.25">
      <c r="A28" s="17" t="s">
        <v>313</v>
      </c>
      <c r="B28" s="14">
        <v>352</v>
      </c>
      <c r="C28" s="14">
        <v>317</v>
      </c>
      <c r="D28" s="14">
        <v>248</v>
      </c>
      <c r="E28" s="14">
        <v>41</v>
      </c>
      <c r="F28" s="14">
        <v>28</v>
      </c>
      <c r="G28" s="14">
        <v>5559</v>
      </c>
      <c r="H28" s="14">
        <v>5318</v>
      </c>
      <c r="I28" s="14">
        <v>3389</v>
      </c>
      <c r="J28" s="14">
        <v>514</v>
      </c>
      <c r="K28" s="14">
        <v>1415</v>
      </c>
    </row>
    <row r="29" spans="1:14" ht="15" customHeight="1" x14ac:dyDescent="0.25">
      <c r="A29" s="17" t="s">
        <v>314</v>
      </c>
      <c r="B29" s="14">
        <v>84</v>
      </c>
      <c r="C29" s="14">
        <v>80</v>
      </c>
      <c r="D29" s="14">
        <v>72</v>
      </c>
      <c r="E29" s="14" t="s">
        <v>292</v>
      </c>
      <c r="F29" s="14" t="s">
        <v>292</v>
      </c>
      <c r="G29" s="14">
        <v>1440</v>
      </c>
      <c r="H29" s="14">
        <v>1341</v>
      </c>
      <c r="I29" s="14">
        <v>1139</v>
      </c>
      <c r="J29" s="14" t="s">
        <v>292</v>
      </c>
      <c r="K29" s="14" t="s">
        <v>292</v>
      </c>
    </row>
    <row r="30" spans="1:14" ht="15" customHeight="1" x14ac:dyDescent="0.25">
      <c r="A30" s="17" t="s">
        <v>315</v>
      </c>
      <c r="B30" s="14">
        <v>412</v>
      </c>
      <c r="C30" s="14">
        <v>383</v>
      </c>
      <c r="D30" s="14">
        <v>290</v>
      </c>
      <c r="E30" s="14">
        <v>70</v>
      </c>
      <c r="F30" s="14">
        <v>23</v>
      </c>
      <c r="G30" s="14">
        <v>4557</v>
      </c>
      <c r="H30" s="14">
        <v>4337</v>
      </c>
      <c r="I30" s="14">
        <v>2850</v>
      </c>
      <c r="J30" s="14">
        <v>711</v>
      </c>
      <c r="K30" s="14">
        <v>776</v>
      </c>
    </row>
    <row r="31" spans="1:14" ht="15" customHeight="1" x14ac:dyDescent="0.25">
      <c r="A31" s="17" t="s">
        <v>316</v>
      </c>
      <c r="B31" s="14">
        <v>619</v>
      </c>
      <c r="C31" s="14">
        <v>442</v>
      </c>
      <c r="D31" s="14">
        <v>347</v>
      </c>
      <c r="E31" s="14">
        <v>80</v>
      </c>
      <c r="F31" s="14" t="s">
        <v>292</v>
      </c>
      <c r="G31" s="14">
        <v>4630</v>
      </c>
      <c r="H31" s="14">
        <v>3763</v>
      </c>
      <c r="I31" s="14">
        <v>2695</v>
      </c>
      <c r="J31" s="14">
        <v>669</v>
      </c>
      <c r="K31" s="14" t="s">
        <v>292</v>
      </c>
    </row>
    <row r="32" spans="1:14" ht="15" customHeight="1" x14ac:dyDescent="0.25">
      <c r="A32" s="17" t="s">
        <v>317</v>
      </c>
      <c r="B32" s="14">
        <v>796</v>
      </c>
      <c r="C32" s="14">
        <v>370</v>
      </c>
      <c r="D32" s="14">
        <v>252</v>
      </c>
      <c r="E32" s="14">
        <v>93</v>
      </c>
      <c r="F32" s="14">
        <v>26</v>
      </c>
      <c r="G32" s="14">
        <v>13077</v>
      </c>
      <c r="H32" s="14">
        <v>10041</v>
      </c>
      <c r="I32" s="14">
        <v>5204</v>
      </c>
      <c r="J32" s="14">
        <v>3449</v>
      </c>
      <c r="K32" s="14">
        <v>1388</v>
      </c>
    </row>
    <row r="33" spans="1:11" ht="15" customHeight="1" x14ac:dyDescent="0.25">
      <c r="A33" s="17" t="s">
        <v>318</v>
      </c>
      <c r="B33" s="14">
        <v>125</v>
      </c>
      <c r="C33" s="14">
        <v>98</v>
      </c>
      <c r="D33" s="14">
        <v>81</v>
      </c>
      <c r="E33" s="14" t="s">
        <v>292</v>
      </c>
      <c r="F33" s="14" t="s">
        <v>292</v>
      </c>
      <c r="G33" s="14">
        <v>2002</v>
      </c>
      <c r="H33" s="14">
        <v>1614</v>
      </c>
      <c r="I33" s="14">
        <v>1170</v>
      </c>
      <c r="J33" s="14" t="s">
        <v>292</v>
      </c>
      <c r="K33" s="14" t="s">
        <v>292</v>
      </c>
    </row>
    <row r="34" spans="1:11" ht="15" customHeight="1" x14ac:dyDescent="0.25">
      <c r="A34" s="17" t="s">
        <v>319</v>
      </c>
      <c r="B34" s="14">
        <v>296</v>
      </c>
      <c r="C34" s="14">
        <v>56</v>
      </c>
      <c r="D34" s="14">
        <v>44</v>
      </c>
      <c r="E34" s="14" t="s">
        <v>292</v>
      </c>
      <c r="F34" s="14" t="s">
        <v>292</v>
      </c>
      <c r="G34" s="14">
        <v>3256</v>
      </c>
      <c r="H34" s="14">
        <v>1031</v>
      </c>
      <c r="I34" s="14">
        <v>700</v>
      </c>
      <c r="J34" s="14" t="s">
        <v>292</v>
      </c>
      <c r="K34" s="14" t="s">
        <v>292</v>
      </c>
    </row>
    <row r="35" spans="1:11" ht="24" customHeight="1" x14ac:dyDescent="0.25">
      <c r="A35" s="15" t="s">
        <v>320</v>
      </c>
      <c r="B35" s="15"/>
      <c r="C35" s="15"/>
      <c r="D35" s="15"/>
      <c r="E35" s="15"/>
      <c r="F35" s="15"/>
      <c r="G35" s="15"/>
      <c r="H35" s="15"/>
      <c r="I35" s="15"/>
      <c r="J35" s="15"/>
      <c r="K35" s="15"/>
    </row>
    <row r="36" spans="1:11" ht="15" customHeight="1" x14ac:dyDescent="0.25">
      <c r="A36" s="17" t="s">
        <v>321</v>
      </c>
      <c r="B36" s="14">
        <v>362</v>
      </c>
      <c r="C36" s="14">
        <v>286</v>
      </c>
      <c r="D36" s="14">
        <v>232</v>
      </c>
      <c r="E36" s="14">
        <v>39</v>
      </c>
      <c r="F36" s="14">
        <v>15</v>
      </c>
      <c r="G36" s="14">
        <v>3983</v>
      </c>
      <c r="H36" s="14">
        <v>3403</v>
      </c>
      <c r="I36" s="14">
        <v>2287</v>
      </c>
      <c r="J36" s="14">
        <v>526</v>
      </c>
      <c r="K36" s="14">
        <v>590</v>
      </c>
    </row>
    <row r="37" spans="1:11" ht="15" customHeight="1" x14ac:dyDescent="0.25">
      <c r="A37" s="17" t="s">
        <v>322</v>
      </c>
      <c r="B37" s="14">
        <v>488</v>
      </c>
      <c r="C37" s="14">
        <v>383</v>
      </c>
      <c r="D37" s="14">
        <v>288</v>
      </c>
      <c r="E37" s="14">
        <v>69</v>
      </c>
      <c r="F37" s="14">
        <v>26</v>
      </c>
      <c r="G37" s="14">
        <v>6025</v>
      </c>
      <c r="H37" s="14">
        <v>5299</v>
      </c>
      <c r="I37" s="14">
        <v>2918</v>
      </c>
      <c r="J37" s="14">
        <v>743</v>
      </c>
      <c r="K37" s="14">
        <v>1638</v>
      </c>
    </row>
    <row r="38" spans="1:11" ht="15" customHeight="1" x14ac:dyDescent="0.25">
      <c r="A38" s="17" t="s">
        <v>323</v>
      </c>
      <c r="B38" s="14">
        <v>599</v>
      </c>
      <c r="C38" s="14">
        <v>460</v>
      </c>
      <c r="D38" s="14">
        <v>356</v>
      </c>
      <c r="E38" s="14">
        <v>78</v>
      </c>
      <c r="F38" s="14">
        <v>26</v>
      </c>
      <c r="G38" s="14">
        <v>7381</v>
      </c>
      <c r="H38" s="14">
        <v>6410</v>
      </c>
      <c r="I38" s="14">
        <v>4305</v>
      </c>
      <c r="J38" s="14">
        <v>943</v>
      </c>
      <c r="K38" s="14">
        <v>1162</v>
      </c>
    </row>
    <row r="39" spans="1:11" ht="15" customHeight="1" x14ac:dyDescent="0.25">
      <c r="A39" s="17" t="s">
        <v>324</v>
      </c>
      <c r="B39" s="14">
        <v>639</v>
      </c>
      <c r="C39" s="14">
        <v>540</v>
      </c>
      <c r="D39" s="14">
        <v>427</v>
      </c>
      <c r="E39" s="14">
        <v>60</v>
      </c>
      <c r="F39" s="14">
        <v>53</v>
      </c>
      <c r="G39" s="14">
        <v>10362</v>
      </c>
      <c r="H39" s="14">
        <v>9699</v>
      </c>
      <c r="I39" s="14">
        <v>6252</v>
      </c>
      <c r="J39" s="14">
        <v>1005</v>
      </c>
      <c r="K39" s="14">
        <v>2442</v>
      </c>
    </row>
    <row r="40" spans="1:11" ht="15" customHeight="1" x14ac:dyDescent="0.25">
      <c r="A40" s="17" t="s">
        <v>325</v>
      </c>
      <c r="B40" s="14">
        <v>684</v>
      </c>
      <c r="C40" s="14">
        <v>577</v>
      </c>
      <c r="D40" s="14">
        <v>435</v>
      </c>
      <c r="E40" s="14">
        <v>87</v>
      </c>
      <c r="F40" s="14">
        <v>55</v>
      </c>
      <c r="G40" s="14">
        <v>10846</v>
      </c>
      <c r="H40" s="14">
        <v>10158</v>
      </c>
      <c r="I40" s="14">
        <v>6298</v>
      </c>
      <c r="J40" s="14">
        <v>1773</v>
      </c>
      <c r="K40" s="14">
        <v>2087</v>
      </c>
    </row>
    <row r="41" spans="1:11" ht="15" customHeight="1" x14ac:dyDescent="0.25">
      <c r="A41" s="17" t="s">
        <v>326</v>
      </c>
      <c r="B41" s="14">
        <v>915</v>
      </c>
      <c r="C41" s="14">
        <v>727</v>
      </c>
      <c r="D41" s="14">
        <v>527</v>
      </c>
      <c r="E41" s="14">
        <v>139</v>
      </c>
      <c r="F41" s="14">
        <v>61</v>
      </c>
      <c r="G41" s="14">
        <v>15230</v>
      </c>
      <c r="H41" s="14">
        <v>13831</v>
      </c>
      <c r="I41" s="14">
        <v>7338</v>
      </c>
      <c r="J41" s="14">
        <v>2888</v>
      </c>
      <c r="K41" s="14">
        <v>3605</v>
      </c>
    </row>
    <row r="42" spans="1:11" ht="15" customHeight="1" x14ac:dyDescent="0.25">
      <c r="A42" s="17" t="s">
        <v>327</v>
      </c>
      <c r="B42" s="14">
        <v>845</v>
      </c>
      <c r="C42" s="14">
        <v>631</v>
      </c>
      <c r="D42" s="14">
        <v>498</v>
      </c>
      <c r="E42" s="14">
        <v>86</v>
      </c>
      <c r="F42" s="14">
        <v>48</v>
      </c>
      <c r="G42" s="14">
        <v>13803</v>
      </c>
      <c r="H42" s="14">
        <v>12209</v>
      </c>
      <c r="I42" s="14">
        <v>7417</v>
      </c>
      <c r="J42" s="14">
        <v>1724</v>
      </c>
      <c r="K42" s="14">
        <v>3069</v>
      </c>
    </row>
    <row r="43" spans="1:11" ht="15" customHeight="1" x14ac:dyDescent="0.25">
      <c r="A43" s="17" t="s">
        <v>328</v>
      </c>
      <c r="B43" s="14">
        <v>375</v>
      </c>
      <c r="C43" s="14">
        <v>312</v>
      </c>
      <c r="D43" s="14">
        <v>235</v>
      </c>
      <c r="E43" s="14">
        <v>45</v>
      </c>
      <c r="F43" s="14">
        <v>32</v>
      </c>
      <c r="G43" s="14">
        <v>7215</v>
      </c>
      <c r="H43" s="14">
        <v>6889</v>
      </c>
      <c r="I43" s="14">
        <v>4098</v>
      </c>
      <c r="J43" s="14">
        <v>1145</v>
      </c>
      <c r="K43" s="14">
        <v>1646</v>
      </c>
    </row>
    <row r="44" spans="1:11" ht="15" customHeight="1" x14ac:dyDescent="0.25">
      <c r="A44" s="17" t="s">
        <v>329</v>
      </c>
      <c r="B44" s="14">
        <v>347</v>
      </c>
      <c r="C44" s="14">
        <v>275</v>
      </c>
      <c r="D44" s="14">
        <v>190</v>
      </c>
      <c r="E44" s="14">
        <v>47</v>
      </c>
      <c r="F44" s="14">
        <v>38</v>
      </c>
      <c r="G44" s="14">
        <v>6524</v>
      </c>
      <c r="H44" s="14">
        <v>5955</v>
      </c>
      <c r="I44" s="14">
        <v>3445</v>
      </c>
      <c r="J44" s="14">
        <v>1007</v>
      </c>
      <c r="K44" s="14">
        <v>1503</v>
      </c>
    </row>
    <row r="45" spans="1:11" ht="15" customHeight="1" x14ac:dyDescent="0.25">
      <c r="A45" s="17" t="s">
        <v>330</v>
      </c>
      <c r="B45" s="14">
        <v>303</v>
      </c>
      <c r="C45" s="14">
        <v>231</v>
      </c>
      <c r="D45" s="14">
        <v>161</v>
      </c>
      <c r="E45" s="14">
        <v>39</v>
      </c>
      <c r="F45" s="14">
        <v>30</v>
      </c>
      <c r="G45" s="14">
        <v>5723</v>
      </c>
      <c r="H45" s="14">
        <v>5162</v>
      </c>
      <c r="I45" s="14">
        <v>3176</v>
      </c>
      <c r="J45" s="14">
        <v>933</v>
      </c>
      <c r="K45" s="14">
        <v>1053</v>
      </c>
    </row>
    <row r="46" spans="1:11" ht="24" customHeight="1" x14ac:dyDescent="0.25">
      <c r="A46" s="15" t="s">
        <v>331</v>
      </c>
      <c r="B46" s="16"/>
      <c r="C46" s="16"/>
      <c r="D46" s="16"/>
      <c r="E46" s="16"/>
      <c r="F46" s="16"/>
      <c r="G46" s="16"/>
      <c r="H46" s="16"/>
      <c r="I46" s="16"/>
      <c r="J46" s="16"/>
      <c r="K46" s="16"/>
    </row>
    <row r="47" spans="1:11" ht="15" customHeight="1" x14ac:dyDescent="0.25">
      <c r="A47" s="17" t="s">
        <v>332</v>
      </c>
      <c r="B47" s="14">
        <v>805</v>
      </c>
      <c r="C47" s="14">
        <v>671</v>
      </c>
      <c r="D47" s="14">
        <v>493</v>
      </c>
      <c r="E47" s="14">
        <v>123</v>
      </c>
      <c r="F47" s="14">
        <v>56</v>
      </c>
      <c r="G47" s="14">
        <v>15534</v>
      </c>
      <c r="H47" s="14">
        <v>14633</v>
      </c>
      <c r="I47" s="14">
        <v>9128</v>
      </c>
      <c r="J47" s="14">
        <v>2383</v>
      </c>
      <c r="K47" s="14">
        <v>3122</v>
      </c>
    </row>
    <row r="48" spans="1:11" ht="15" customHeight="1" x14ac:dyDescent="0.25">
      <c r="A48" s="18" t="s">
        <v>333</v>
      </c>
      <c r="B48" s="14">
        <v>302</v>
      </c>
      <c r="C48" s="14">
        <v>235</v>
      </c>
      <c r="D48" s="14">
        <v>166</v>
      </c>
      <c r="E48" s="14">
        <v>40</v>
      </c>
      <c r="F48" s="14">
        <v>30</v>
      </c>
      <c r="G48" s="14">
        <v>4302</v>
      </c>
      <c r="H48" s="14">
        <v>3915</v>
      </c>
      <c r="I48" s="14">
        <v>2487</v>
      </c>
      <c r="J48" s="14">
        <v>586</v>
      </c>
      <c r="K48" s="14">
        <v>843</v>
      </c>
    </row>
    <row r="49" spans="1:11" ht="15" customHeight="1" x14ac:dyDescent="0.25">
      <c r="A49" s="18" t="s">
        <v>334</v>
      </c>
      <c r="B49" s="14">
        <v>504</v>
      </c>
      <c r="C49" s="14">
        <v>436</v>
      </c>
      <c r="D49" s="14">
        <v>327</v>
      </c>
      <c r="E49" s="14">
        <v>83</v>
      </c>
      <c r="F49" s="14">
        <v>26</v>
      </c>
      <c r="G49" s="14">
        <v>11232</v>
      </c>
      <c r="H49" s="14">
        <v>10718</v>
      </c>
      <c r="I49" s="14">
        <v>6641</v>
      </c>
      <c r="J49" s="14">
        <v>1797</v>
      </c>
      <c r="K49" s="14">
        <v>2279</v>
      </c>
    </row>
    <row r="50" spans="1:11" ht="15" customHeight="1" x14ac:dyDescent="0.25">
      <c r="A50" s="17" t="s">
        <v>335</v>
      </c>
      <c r="B50" s="14">
        <v>1237</v>
      </c>
      <c r="C50" s="14">
        <v>1014</v>
      </c>
      <c r="D50" s="14">
        <v>806</v>
      </c>
      <c r="E50" s="14">
        <v>133</v>
      </c>
      <c r="F50" s="14">
        <v>76</v>
      </c>
      <c r="G50" s="14">
        <v>18919</v>
      </c>
      <c r="H50" s="14">
        <v>17592</v>
      </c>
      <c r="I50" s="14">
        <v>11316</v>
      </c>
      <c r="J50" s="14">
        <v>2335</v>
      </c>
      <c r="K50" s="14">
        <v>3942</v>
      </c>
    </row>
    <row r="51" spans="1:11" ht="15" customHeight="1" x14ac:dyDescent="0.25">
      <c r="A51" s="18" t="s">
        <v>336</v>
      </c>
      <c r="B51" s="14">
        <v>735</v>
      </c>
      <c r="C51" s="14">
        <v>629</v>
      </c>
      <c r="D51" s="14">
        <v>490</v>
      </c>
      <c r="E51" s="14">
        <v>90</v>
      </c>
      <c r="F51" s="14">
        <v>49</v>
      </c>
      <c r="G51" s="14">
        <v>12742</v>
      </c>
      <c r="H51" s="14">
        <v>12082</v>
      </c>
      <c r="I51" s="14">
        <v>7606</v>
      </c>
      <c r="J51" s="14">
        <v>1671</v>
      </c>
      <c r="K51" s="14">
        <v>2804</v>
      </c>
    </row>
    <row r="52" spans="1:11" ht="15" customHeight="1" x14ac:dyDescent="0.25">
      <c r="A52" s="18" t="s">
        <v>337</v>
      </c>
      <c r="B52" s="14">
        <v>502</v>
      </c>
      <c r="C52" s="14">
        <v>385</v>
      </c>
      <c r="D52" s="14">
        <v>316</v>
      </c>
      <c r="E52" s="14">
        <v>43</v>
      </c>
      <c r="F52" s="14">
        <v>27</v>
      </c>
      <c r="G52" s="14">
        <v>6178</v>
      </c>
      <c r="H52" s="14">
        <v>5510</v>
      </c>
      <c r="I52" s="14">
        <v>3710</v>
      </c>
      <c r="J52" s="14">
        <v>663</v>
      </c>
      <c r="K52" s="14">
        <v>1137</v>
      </c>
    </row>
    <row r="53" spans="1:11" ht="15" customHeight="1" x14ac:dyDescent="0.25">
      <c r="A53" s="17" t="s">
        <v>338</v>
      </c>
      <c r="B53" s="14">
        <v>2247</v>
      </c>
      <c r="C53" s="14">
        <v>1740</v>
      </c>
      <c r="D53" s="14">
        <v>1322</v>
      </c>
      <c r="E53" s="14">
        <v>264</v>
      </c>
      <c r="F53" s="14">
        <v>154</v>
      </c>
      <c r="G53" s="14">
        <v>34279</v>
      </c>
      <c r="H53" s="14">
        <v>30261</v>
      </c>
      <c r="I53" s="14">
        <v>17460</v>
      </c>
      <c r="J53" s="14">
        <v>4938</v>
      </c>
      <c r="K53" s="14">
        <v>7863</v>
      </c>
    </row>
    <row r="54" spans="1:11" ht="15" customHeight="1" x14ac:dyDescent="0.25">
      <c r="A54" s="18" t="s">
        <v>339</v>
      </c>
      <c r="B54" s="14">
        <v>1091</v>
      </c>
      <c r="C54" s="14">
        <v>856</v>
      </c>
      <c r="D54" s="14">
        <v>617</v>
      </c>
      <c r="E54" s="14">
        <v>160</v>
      </c>
      <c r="F54" s="14">
        <v>79</v>
      </c>
      <c r="G54" s="14">
        <v>17981</v>
      </c>
      <c r="H54" s="14">
        <v>16144</v>
      </c>
      <c r="I54" s="14">
        <v>8889</v>
      </c>
      <c r="J54" s="14">
        <v>3030</v>
      </c>
      <c r="K54" s="14">
        <v>4226</v>
      </c>
    </row>
    <row r="55" spans="1:11" ht="15" customHeight="1" x14ac:dyDescent="0.25">
      <c r="A55" s="18" t="s">
        <v>340</v>
      </c>
      <c r="B55" s="14">
        <v>370</v>
      </c>
      <c r="C55" s="14">
        <v>325</v>
      </c>
      <c r="D55" s="14">
        <v>268</v>
      </c>
      <c r="E55" s="14">
        <v>28</v>
      </c>
      <c r="F55" s="14">
        <v>29</v>
      </c>
      <c r="G55" s="14">
        <v>4904</v>
      </c>
      <c r="H55" s="14">
        <v>4598</v>
      </c>
      <c r="I55" s="14">
        <v>2745</v>
      </c>
      <c r="J55" s="14">
        <v>437</v>
      </c>
      <c r="K55" s="14">
        <v>1416</v>
      </c>
    </row>
    <row r="56" spans="1:11" ht="15" customHeight="1" x14ac:dyDescent="0.25">
      <c r="A56" s="18" t="s">
        <v>341</v>
      </c>
      <c r="B56" s="14">
        <v>786</v>
      </c>
      <c r="C56" s="14">
        <v>560</v>
      </c>
      <c r="D56" s="14">
        <v>437</v>
      </c>
      <c r="E56" s="14">
        <v>76</v>
      </c>
      <c r="F56" s="14">
        <v>46</v>
      </c>
      <c r="G56" s="14">
        <v>11394</v>
      </c>
      <c r="H56" s="14">
        <v>9519</v>
      </c>
      <c r="I56" s="14">
        <v>5826</v>
      </c>
      <c r="J56" s="14">
        <v>1471</v>
      </c>
      <c r="K56" s="14">
        <v>2222</v>
      </c>
    </row>
    <row r="57" spans="1:11" ht="15" customHeight="1" x14ac:dyDescent="0.25">
      <c r="A57" s="17" t="s">
        <v>342</v>
      </c>
      <c r="B57" s="14">
        <v>1267</v>
      </c>
      <c r="C57" s="14">
        <v>997</v>
      </c>
      <c r="D57" s="14">
        <v>728</v>
      </c>
      <c r="E57" s="14">
        <v>170</v>
      </c>
      <c r="F57" s="14">
        <v>99</v>
      </c>
      <c r="G57" s="14">
        <v>18360</v>
      </c>
      <c r="H57" s="14">
        <v>16529</v>
      </c>
      <c r="I57" s="14">
        <v>9631</v>
      </c>
      <c r="J57" s="14">
        <v>3032</v>
      </c>
      <c r="K57" s="14">
        <v>3866</v>
      </c>
    </row>
    <row r="58" spans="1:11" ht="15" customHeight="1" x14ac:dyDescent="0.25">
      <c r="A58" s="18" t="s">
        <v>343</v>
      </c>
      <c r="B58" s="14">
        <v>338</v>
      </c>
      <c r="C58" s="14">
        <v>260</v>
      </c>
      <c r="D58" s="14">
        <v>195</v>
      </c>
      <c r="E58" s="14">
        <v>36</v>
      </c>
      <c r="F58" s="14">
        <v>29</v>
      </c>
      <c r="G58" s="14">
        <v>4981</v>
      </c>
      <c r="H58" s="14">
        <v>4440</v>
      </c>
      <c r="I58" s="14">
        <v>2573</v>
      </c>
      <c r="J58" s="14">
        <v>699</v>
      </c>
      <c r="K58" s="14">
        <v>1168</v>
      </c>
    </row>
    <row r="59" spans="1:11" ht="15" customHeight="1" x14ac:dyDescent="0.25">
      <c r="A59" s="18" t="s">
        <v>344</v>
      </c>
      <c r="B59" s="14">
        <v>929</v>
      </c>
      <c r="C59" s="14">
        <v>737</v>
      </c>
      <c r="D59" s="14">
        <v>533</v>
      </c>
      <c r="E59" s="14">
        <v>135</v>
      </c>
      <c r="F59" s="14">
        <v>69</v>
      </c>
      <c r="G59" s="14">
        <v>13379</v>
      </c>
      <c r="H59" s="14">
        <v>12089</v>
      </c>
      <c r="I59" s="14">
        <v>7058</v>
      </c>
      <c r="J59" s="14">
        <v>2333</v>
      </c>
      <c r="K59" s="14">
        <v>2698</v>
      </c>
    </row>
    <row r="60" spans="1:11" ht="24" customHeight="1" x14ac:dyDescent="0.25">
      <c r="A60" s="15" t="s">
        <v>345</v>
      </c>
      <c r="B60" s="15"/>
      <c r="C60" s="15"/>
      <c r="D60" s="15"/>
      <c r="E60" s="15"/>
      <c r="F60" s="15"/>
      <c r="G60" s="15"/>
      <c r="H60" s="15"/>
      <c r="I60" s="15"/>
      <c r="J60" s="15"/>
      <c r="K60" s="15"/>
    </row>
    <row r="61" spans="1:11" x14ac:dyDescent="0.25">
      <c r="A61" s="17" t="s">
        <v>346</v>
      </c>
      <c r="B61" s="14">
        <v>2031</v>
      </c>
      <c r="C61" s="14">
        <v>1639</v>
      </c>
      <c r="D61" s="14">
        <v>1261</v>
      </c>
      <c r="E61" s="14">
        <v>242</v>
      </c>
      <c r="F61" s="14">
        <v>136</v>
      </c>
      <c r="G61" s="14">
        <v>31898</v>
      </c>
      <c r="H61" s="14">
        <v>29567</v>
      </c>
      <c r="I61" s="14">
        <v>18894</v>
      </c>
      <c r="J61" s="14">
        <v>4184</v>
      </c>
      <c r="K61" s="14">
        <v>6489</v>
      </c>
    </row>
    <row r="62" spans="1:11" x14ac:dyDescent="0.25">
      <c r="A62" s="17" t="s">
        <v>347</v>
      </c>
      <c r="B62" s="14">
        <v>1743</v>
      </c>
      <c r="C62" s="14">
        <v>1445</v>
      </c>
      <c r="D62" s="14">
        <v>1120</v>
      </c>
      <c r="E62" s="14">
        <v>201</v>
      </c>
      <c r="F62" s="14">
        <v>124</v>
      </c>
      <c r="G62" s="14">
        <v>27873</v>
      </c>
      <c r="H62" s="14">
        <v>25772</v>
      </c>
      <c r="I62" s="14">
        <v>15231</v>
      </c>
      <c r="J62" s="14">
        <v>3619</v>
      </c>
      <c r="K62" s="14">
        <v>6922</v>
      </c>
    </row>
    <row r="63" spans="1:11" x14ac:dyDescent="0.25">
      <c r="A63" s="17" t="s">
        <v>348</v>
      </c>
      <c r="B63" s="14">
        <v>837</v>
      </c>
      <c r="C63" s="14">
        <v>635</v>
      </c>
      <c r="D63" s="14">
        <v>457</v>
      </c>
      <c r="E63" s="14">
        <v>124</v>
      </c>
      <c r="F63" s="14">
        <v>54</v>
      </c>
      <c r="G63" s="14">
        <v>12037</v>
      </c>
      <c r="H63" s="14">
        <v>10585</v>
      </c>
      <c r="I63" s="14">
        <v>6259</v>
      </c>
      <c r="J63" s="14">
        <v>2221</v>
      </c>
      <c r="K63" s="14">
        <v>2105</v>
      </c>
    </row>
    <row r="64" spans="1:11" x14ac:dyDescent="0.25">
      <c r="A64" s="17" t="s">
        <v>349</v>
      </c>
      <c r="B64" s="14">
        <v>799</v>
      </c>
      <c r="C64" s="14">
        <v>590</v>
      </c>
      <c r="D64" s="14">
        <v>431</v>
      </c>
      <c r="E64" s="14">
        <v>104</v>
      </c>
      <c r="F64" s="14">
        <v>55</v>
      </c>
      <c r="G64" s="14">
        <v>12831</v>
      </c>
      <c r="H64" s="14">
        <v>10837</v>
      </c>
      <c r="I64" s="14">
        <v>5983</v>
      </c>
      <c r="J64" s="14">
        <v>2298</v>
      </c>
      <c r="K64" s="14">
        <v>2556</v>
      </c>
    </row>
    <row r="65" spans="1:11" x14ac:dyDescent="0.25">
      <c r="A65" s="17" t="s">
        <v>350</v>
      </c>
      <c r="B65" s="14">
        <v>147</v>
      </c>
      <c r="C65" s="14">
        <v>113</v>
      </c>
      <c r="D65" s="14">
        <v>78</v>
      </c>
      <c r="E65" s="14" t="s">
        <v>292</v>
      </c>
      <c r="F65" s="14">
        <v>16</v>
      </c>
      <c r="G65" s="14">
        <v>2454</v>
      </c>
      <c r="H65" s="14">
        <v>2255</v>
      </c>
      <c r="I65" s="14">
        <v>1168</v>
      </c>
      <c r="J65" s="14">
        <v>366</v>
      </c>
      <c r="K65" s="14">
        <v>721</v>
      </c>
    </row>
    <row r="66" spans="1:11" ht="24" customHeight="1" x14ac:dyDescent="0.25">
      <c r="A66" s="15" t="s">
        <v>351</v>
      </c>
      <c r="B66" s="15"/>
      <c r="C66" s="15"/>
      <c r="D66" s="15"/>
      <c r="E66" s="15"/>
      <c r="F66" s="15"/>
      <c r="G66" s="15"/>
      <c r="H66" s="15"/>
      <c r="I66" s="15"/>
      <c r="J66" s="15"/>
      <c r="K66" s="15"/>
    </row>
    <row r="67" spans="1:11" x14ac:dyDescent="0.25">
      <c r="A67" s="17" t="s">
        <v>352</v>
      </c>
      <c r="B67" s="14">
        <v>3836</v>
      </c>
      <c r="C67" s="14">
        <v>2862</v>
      </c>
      <c r="D67" s="14">
        <v>2179</v>
      </c>
      <c r="E67" s="14">
        <v>451</v>
      </c>
      <c r="F67" s="14">
        <v>231</v>
      </c>
      <c r="G67" s="14">
        <v>39809</v>
      </c>
      <c r="H67" s="14">
        <v>33591</v>
      </c>
      <c r="I67" s="14">
        <v>20177</v>
      </c>
      <c r="J67" s="14">
        <v>6094</v>
      </c>
      <c r="K67" s="14">
        <v>7321</v>
      </c>
    </row>
    <row r="68" spans="1:11" x14ac:dyDescent="0.25">
      <c r="A68" s="17" t="s">
        <v>353</v>
      </c>
      <c r="B68" s="14">
        <v>1158</v>
      </c>
      <c r="C68" s="14">
        <v>1039</v>
      </c>
      <c r="D68" s="14">
        <v>786</v>
      </c>
      <c r="E68" s="14">
        <v>156</v>
      </c>
      <c r="F68" s="14">
        <v>97</v>
      </c>
      <c r="G68" s="14">
        <v>20206</v>
      </c>
      <c r="H68" s="14">
        <v>19088</v>
      </c>
      <c r="I68" s="14">
        <v>11762</v>
      </c>
      <c r="J68" s="14">
        <v>3133</v>
      </c>
      <c r="K68" s="14">
        <v>4194</v>
      </c>
    </row>
    <row r="69" spans="1:11" x14ac:dyDescent="0.25">
      <c r="A69" s="17" t="s">
        <v>354</v>
      </c>
      <c r="B69" s="14">
        <v>374</v>
      </c>
      <c r="C69" s="14">
        <v>344</v>
      </c>
      <c r="D69" s="14">
        <v>259</v>
      </c>
      <c r="E69" s="14">
        <v>58</v>
      </c>
      <c r="F69" s="14">
        <v>26</v>
      </c>
      <c r="G69" s="14">
        <v>8140</v>
      </c>
      <c r="H69" s="14">
        <v>7932</v>
      </c>
      <c r="I69" s="14">
        <v>5148</v>
      </c>
      <c r="J69" s="14">
        <v>1181</v>
      </c>
      <c r="K69" s="14">
        <v>1602</v>
      </c>
    </row>
    <row r="70" spans="1:11" x14ac:dyDescent="0.25">
      <c r="A70" s="17" t="s">
        <v>355</v>
      </c>
      <c r="B70" s="14">
        <v>177</v>
      </c>
      <c r="C70" s="14">
        <v>166</v>
      </c>
      <c r="D70" s="14">
        <v>118</v>
      </c>
      <c r="E70" s="14">
        <v>23</v>
      </c>
      <c r="F70" s="14">
        <v>26</v>
      </c>
      <c r="G70" s="14">
        <v>13535</v>
      </c>
      <c r="H70" s="14">
        <v>13141</v>
      </c>
      <c r="I70" s="14">
        <v>7998</v>
      </c>
      <c r="J70" s="14">
        <v>1646</v>
      </c>
      <c r="K70" s="14">
        <v>3497</v>
      </c>
    </row>
    <row r="71" spans="1:11" x14ac:dyDescent="0.25">
      <c r="A71" s="17" t="s">
        <v>356</v>
      </c>
      <c r="B71" s="14">
        <v>13</v>
      </c>
      <c r="C71" s="14">
        <v>12</v>
      </c>
      <c r="D71" s="14">
        <v>6</v>
      </c>
      <c r="E71" s="14">
        <v>2</v>
      </c>
      <c r="F71" s="14">
        <v>5</v>
      </c>
      <c r="G71" s="14">
        <v>5404</v>
      </c>
      <c r="H71" s="14">
        <v>5264</v>
      </c>
      <c r="I71" s="14">
        <v>2450</v>
      </c>
      <c r="J71" s="14">
        <v>635</v>
      </c>
      <c r="K71" s="14">
        <v>2179</v>
      </c>
    </row>
    <row r="72" spans="1:11" ht="24" customHeight="1" x14ac:dyDescent="0.25">
      <c r="A72" s="15" t="s">
        <v>357</v>
      </c>
      <c r="B72" s="21"/>
      <c r="C72" s="21"/>
      <c r="D72" s="21"/>
      <c r="E72" s="21"/>
      <c r="F72" s="21"/>
      <c r="G72" s="21"/>
      <c r="H72" s="21"/>
      <c r="I72" s="21"/>
      <c r="J72" s="21"/>
      <c r="K72" s="21"/>
    </row>
    <row r="73" spans="1:11" ht="15" customHeight="1" x14ac:dyDescent="0.25">
      <c r="A73" s="17" t="s">
        <v>358</v>
      </c>
      <c r="B73" s="14">
        <v>2892</v>
      </c>
      <c r="C73" s="14">
        <v>1917</v>
      </c>
      <c r="D73" s="14">
        <v>1547</v>
      </c>
      <c r="E73" s="14">
        <v>292</v>
      </c>
      <c r="F73" s="14">
        <v>78</v>
      </c>
      <c r="G73" s="14">
        <v>17751</v>
      </c>
      <c r="H73" s="14">
        <v>11783</v>
      </c>
      <c r="I73" s="14">
        <v>8984</v>
      </c>
      <c r="J73" s="14">
        <v>1713</v>
      </c>
      <c r="K73" s="14">
        <v>1086</v>
      </c>
    </row>
    <row r="74" spans="1:11" ht="15" customHeight="1" x14ac:dyDescent="0.25">
      <c r="A74" s="17" t="s">
        <v>359</v>
      </c>
      <c r="B74" s="14">
        <v>1085</v>
      </c>
      <c r="C74" s="14">
        <v>977</v>
      </c>
      <c r="D74" s="14">
        <v>777</v>
      </c>
      <c r="E74" s="14">
        <v>140</v>
      </c>
      <c r="F74" s="14">
        <v>61</v>
      </c>
      <c r="G74" s="14">
        <v>8973</v>
      </c>
      <c r="H74" s="14">
        <v>8205</v>
      </c>
      <c r="I74" s="14">
        <v>6262</v>
      </c>
      <c r="J74" s="14">
        <v>1188</v>
      </c>
      <c r="K74" s="14">
        <v>755</v>
      </c>
    </row>
    <row r="75" spans="1:11" ht="15" customHeight="1" x14ac:dyDescent="0.25">
      <c r="A75" s="17" t="s">
        <v>360</v>
      </c>
      <c r="B75" s="14">
        <v>731</v>
      </c>
      <c r="C75" s="14">
        <v>700</v>
      </c>
      <c r="D75" s="14">
        <v>515</v>
      </c>
      <c r="E75" s="14">
        <v>118</v>
      </c>
      <c r="F75" s="14">
        <v>66</v>
      </c>
      <c r="G75" s="14">
        <v>9623</v>
      </c>
      <c r="H75" s="14">
        <v>9137</v>
      </c>
      <c r="I75" s="14">
        <v>6320</v>
      </c>
      <c r="J75" s="14">
        <v>1690</v>
      </c>
      <c r="K75" s="14">
        <v>1126</v>
      </c>
    </row>
    <row r="76" spans="1:11" ht="15" customHeight="1" x14ac:dyDescent="0.25">
      <c r="A76" s="17" t="s">
        <v>361</v>
      </c>
      <c r="B76" s="14">
        <v>513</v>
      </c>
      <c r="C76" s="14">
        <v>495</v>
      </c>
      <c r="D76" s="14">
        <v>319</v>
      </c>
      <c r="E76" s="14">
        <v>78</v>
      </c>
      <c r="F76" s="14">
        <v>98</v>
      </c>
      <c r="G76" s="14">
        <v>14514</v>
      </c>
      <c r="H76" s="14">
        <v>14097</v>
      </c>
      <c r="I76" s="14">
        <v>7957</v>
      </c>
      <c r="J76" s="14">
        <v>2282</v>
      </c>
      <c r="K76" s="14">
        <v>3859</v>
      </c>
    </row>
    <row r="77" spans="1:11" ht="15" customHeight="1" x14ac:dyDescent="0.25">
      <c r="A77" s="17" t="s">
        <v>362</v>
      </c>
      <c r="B77" s="14">
        <v>206</v>
      </c>
      <c r="C77" s="14">
        <v>203</v>
      </c>
      <c r="D77" s="14">
        <v>122</v>
      </c>
      <c r="E77" s="14">
        <v>36</v>
      </c>
      <c r="F77" s="14">
        <v>46</v>
      </c>
      <c r="G77" s="14">
        <v>13476</v>
      </c>
      <c r="H77" s="14">
        <v>13171</v>
      </c>
      <c r="I77" s="14">
        <v>7105</v>
      </c>
      <c r="J77" s="14">
        <v>2192</v>
      </c>
      <c r="K77" s="14">
        <v>3873</v>
      </c>
    </row>
    <row r="78" spans="1:11" ht="15" customHeight="1" x14ac:dyDescent="0.25">
      <c r="A78" s="17" t="s">
        <v>363</v>
      </c>
      <c r="B78" s="14">
        <v>93</v>
      </c>
      <c r="C78" s="14">
        <v>93</v>
      </c>
      <c r="D78" s="14">
        <v>51</v>
      </c>
      <c r="E78" s="14">
        <v>20</v>
      </c>
      <c r="F78" s="14">
        <v>23</v>
      </c>
      <c r="G78" s="14">
        <v>10941</v>
      </c>
      <c r="H78" s="14">
        <v>10912</v>
      </c>
      <c r="I78" s="14">
        <v>5614</v>
      </c>
      <c r="J78" s="14">
        <v>1893</v>
      </c>
      <c r="K78" s="14">
        <v>3404</v>
      </c>
    </row>
    <row r="79" spans="1:11" ht="15" customHeight="1" x14ac:dyDescent="0.25">
      <c r="A79" s="17" t="s">
        <v>364</v>
      </c>
      <c r="B79" s="14">
        <v>37</v>
      </c>
      <c r="C79" s="14">
        <v>37</v>
      </c>
      <c r="D79" s="14">
        <v>17</v>
      </c>
      <c r="E79" s="14">
        <v>6</v>
      </c>
      <c r="F79" s="14">
        <v>14</v>
      </c>
      <c r="G79" s="14">
        <v>11815</v>
      </c>
      <c r="H79" s="14">
        <v>11711</v>
      </c>
      <c r="I79" s="14">
        <v>5292</v>
      </c>
      <c r="J79" s="14">
        <v>1730</v>
      </c>
      <c r="K79" s="14">
        <v>4689</v>
      </c>
    </row>
    <row r="80" spans="1:11" ht="24" customHeight="1" x14ac:dyDescent="0.25">
      <c r="A80" s="15" t="s">
        <v>365</v>
      </c>
      <c r="B80" s="21"/>
      <c r="C80" s="21"/>
      <c r="D80" s="21"/>
      <c r="E80" s="21"/>
      <c r="F80" s="21"/>
      <c r="G80" s="21"/>
      <c r="H80" s="21"/>
      <c r="I80" s="21"/>
      <c r="J80" s="21"/>
      <c r="K80" s="21"/>
    </row>
    <row r="81" spans="1:11" ht="15" customHeight="1" x14ac:dyDescent="0.25">
      <c r="A81" s="17" t="s">
        <v>366</v>
      </c>
      <c r="B81" s="14">
        <v>1149</v>
      </c>
      <c r="C81" s="14">
        <v>703</v>
      </c>
      <c r="D81" s="14">
        <v>575</v>
      </c>
      <c r="E81" s="14">
        <v>97</v>
      </c>
      <c r="F81" s="14">
        <v>31</v>
      </c>
      <c r="G81" s="14">
        <v>8220</v>
      </c>
      <c r="H81" s="14">
        <v>5137</v>
      </c>
      <c r="I81" s="14">
        <v>3777</v>
      </c>
      <c r="J81" s="14">
        <v>659</v>
      </c>
      <c r="K81" s="14">
        <v>701</v>
      </c>
    </row>
    <row r="82" spans="1:11" ht="15" customHeight="1" x14ac:dyDescent="0.25">
      <c r="A82" s="17" t="s">
        <v>367</v>
      </c>
      <c r="B82" s="14">
        <v>1346</v>
      </c>
      <c r="C82" s="14">
        <v>1107</v>
      </c>
      <c r="D82" s="14">
        <v>843</v>
      </c>
      <c r="E82" s="14">
        <v>193</v>
      </c>
      <c r="F82" s="14">
        <v>71</v>
      </c>
      <c r="G82" s="14">
        <v>15828</v>
      </c>
      <c r="H82" s="14">
        <v>14388</v>
      </c>
      <c r="I82" s="14">
        <v>9155</v>
      </c>
      <c r="J82" s="14">
        <v>2631</v>
      </c>
      <c r="K82" s="14">
        <v>2602</v>
      </c>
    </row>
    <row r="83" spans="1:11" ht="15" customHeight="1" x14ac:dyDescent="0.25">
      <c r="A83" s="17" t="s">
        <v>368</v>
      </c>
      <c r="B83" s="14">
        <v>1244</v>
      </c>
      <c r="C83" s="14">
        <v>1063</v>
      </c>
      <c r="D83" s="14">
        <v>789</v>
      </c>
      <c r="E83" s="14">
        <v>184</v>
      </c>
      <c r="F83" s="14">
        <v>89</v>
      </c>
      <c r="G83" s="14">
        <v>20529</v>
      </c>
      <c r="H83" s="14">
        <v>18878</v>
      </c>
      <c r="I83" s="14">
        <v>11623</v>
      </c>
      <c r="J83" s="14">
        <v>3487</v>
      </c>
      <c r="K83" s="14">
        <v>3768</v>
      </c>
    </row>
    <row r="84" spans="1:11" ht="15" customHeight="1" x14ac:dyDescent="0.25">
      <c r="A84" s="17" t="s">
        <v>369</v>
      </c>
      <c r="B84" s="14">
        <v>764</v>
      </c>
      <c r="C84" s="14">
        <v>676</v>
      </c>
      <c r="D84" s="14">
        <v>467</v>
      </c>
      <c r="E84" s="14">
        <v>111</v>
      </c>
      <c r="F84" s="14">
        <v>98</v>
      </c>
      <c r="G84" s="14">
        <v>15867</v>
      </c>
      <c r="H84" s="14">
        <v>15304</v>
      </c>
      <c r="I84" s="14">
        <v>7601</v>
      </c>
      <c r="J84" s="14">
        <v>2621</v>
      </c>
      <c r="K84" s="14">
        <v>5082</v>
      </c>
    </row>
    <row r="85" spans="1:11" ht="15" customHeight="1" x14ac:dyDescent="0.25">
      <c r="A85" s="17" t="s">
        <v>370</v>
      </c>
      <c r="B85" s="14">
        <v>479</v>
      </c>
      <c r="C85" s="14">
        <v>428</v>
      </c>
      <c r="D85" s="14">
        <v>315</v>
      </c>
      <c r="E85" s="14">
        <v>67</v>
      </c>
      <c r="F85" s="14">
        <v>46</v>
      </c>
      <c r="G85" s="14">
        <v>9395</v>
      </c>
      <c r="H85" s="14">
        <v>8937</v>
      </c>
      <c r="I85" s="14">
        <v>5247</v>
      </c>
      <c r="J85" s="14">
        <v>1470</v>
      </c>
      <c r="K85" s="14">
        <v>2220</v>
      </c>
    </row>
    <row r="86" spans="1:11" ht="15" customHeight="1" x14ac:dyDescent="0.25">
      <c r="A86" s="17" t="s">
        <v>371</v>
      </c>
      <c r="B86" s="14">
        <v>575</v>
      </c>
      <c r="C86" s="14">
        <v>447</v>
      </c>
      <c r="D86" s="14">
        <v>359</v>
      </c>
      <c r="E86" s="14">
        <v>38</v>
      </c>
      <c r="F86" s="14">
        <v>49</v>
      </c>
      <c r="G86" s="14">
        <v>17253</v>
      </c>
      <c r="H86" s="14">
        <v>16371</v>
      </c>
      <c r="I86" s="14">
        <v>10131</v>
      </c>
      <c r="J86" s="14">
        <v>1820</v>
      </c>
      <c r="K86" s="14">
        <v>4420</v>
      </c>
    </row>
    <row r="87" spans="1:11" ht="24" customHeight="1" x14ac:dyDescent="0.25">
      <c r="A87" s="15" t="s">
        <v>372</v>
      </c>
      <c r="B87" s="21"/>
      <c r="C87" s="21"/>
      <c r="D87" s="21"/>
      <c r="E87" s="21"/>
      <c r="F87" s="21"/>
      <c r="G87" s="21"/>
      <c r="H87" s="21"/>
      <c r="I87" s="21"/>
      <c r="J87" s="21"/>
      <c r="K87" s="21"/>
    </row>
    <row r="88" spans="1:11" ht="15" customHeight="1" x14ac:dyDescent="0.25">
      <c r="A88" s="17" t="s">
        <v>373</v>
      </c>
      <c r="B88" s="14">
        <v>4781</v>
      </c>
      <c r="C88" s="14">
        <v>3791</v>
      </c>
      <c r="D88" s="14">
        <v>2851</v>
      </c>
      <c r="E88" s="14">
        <v>617</v>
      </c>
      <c r="F88" s="14">
        <v>323</v>
      </c>
      <c r="G88" s="14">
        <v>67550</v>
      </c>
      <c r="H88" s="14">
        <v>60645</v>
      </c>
      <c r="I88" s="14">
        <v>35837</v>
      </c>
      <c r="J88" s="14">
        <v>11091</v>
      </c>
      <c r="K88" s="14">
        <v>13717</v>
      </c>
    </row>
    <row r="89" spans="1:11" ht="15" customHeight="1" x14ac:dyDescent="0.25">
      <c r="A89" s="18" t="s">
        <v>374</v>
      </c>
      <c r="B89" s="14">
        <v>2466</v>
      </c>
      <c r="C89" s="14">
        <v>2048</v>
      </c>
      <c r="D89" s="14">
        <v>1634</v>
      </c>
      <c r="E89" s="14">
        <v>289</v>
      </c>
      <c r="F89" s="14">
        <v>125</v>
      </c>
      <c r="G89" s="14">
        <v>30637</v>
      </c>
      <c r="H89" s="14">
        <v>27869</v>
      </c>
      <c r="I89" s="14">
        <v>19154</v>
      </c>
      <c r="J89" s="14">
        <v>4090</v>
      </c>
      <c r="K89" s="14">
        <v>4626</v>
      </c>
    </row>
    <row r="90" spans="1:11" ht="15" customHeight="1" x14ac:dyDescent="0.25">
      <c r="A90" s="18" t="s">
        <v>375</v>
      </c>
      <c r="B90" s="14">
        <v>1745</v>
      </c>
      <c r="C90" s="14">
        <v>1401</v>
      </c>
      <c r="D90" s="14">
        <v>1001</v>
      </c>
      <c r="E90" s="14">
        <v>251</v>
      </c>
      <c r="F90" s="14">
        <v>149</v>
      </c>
      <c r="G90" s="14">
        <v>26115</v>
      </c>
      <c r="H90" s="14">
        <v>23900</v>
      </c>
      <c r="I90" s="14">
        <v>12749</v>
      </c>
      <c r="J90" s="14">
        <v>4804</v>
      </c>
      <c r="K90" s="14">
        <v>6347</v>
      </c>
    </row>
    <row r="91" spans="1:11" ht="15" customHeight="1" x14ac:dyDescent="0.25">
      <c r="A91" s="18" t="s">
        <v>376</v>
      </c>
      <c r="B91" s="14">
        <v>349</v>
      </c>
      <c r="C91" s="14">
        <v>316</v>
      </c>
      <c r="D91" s="14">
        <v>195</v>
      </c>
      <c r="E91" s="14">
        <v>75</v>
      </c>
      <c r="F91" s="14">
        <v>46</v>
      </c>
      <c r="G91" s="14">
        <v>8873</v>
      </c>
      <c r="H91" s="14">
        <v>8544</v>
      </c>
      <c r="I91" s="14">
        <v>3698</v>
      </c>
      <c r="J91" s="14">
        <v>2181</v>
      </c>
      <c r="K91" s="14">
        <v>2665</v>
      </c>
    </row>
    <row r="92" spans="1:11" ht="15" customHeight="1" x14ac:dyDescent="0.25">
      <c r="A92" s="18" t="s">
        <v>377</v>
      </c>
      <c r="B92" s="14">
        <v>221</v>
      </c>
      <c r="C92" s="14">
        <v>26</v>
      </c>
      <c r="D92" s="14">
        <v>21</v>
      </c>
      <c r="E92" s="14" t="s">
        <v>292</v>
      </c>
      <c r="F92" s="14" t="s">
        <v>292</v>
      </c>
      <c r="G92" s="14">
        <v>1925</v>
      </c>
      <c r="H92" s="14">
        <v>332</v>
      </c>
      <c r="I92" s="14">
        <v>237</v>
      </c>
      <c r="J92" s="14" t="s">
        <v>292</v>
      </c>
      <c r="K92" s="14" t="s">
        <v>292</v>
      </c>
    </row>
    <row r="93" spans="1:11" ht="15" customHeight="1" x14ac:dyDescent="0.25">
      <c r="A93" s="17" t="s">
        <v>378</v>
      </c>
      <c r="B93" s="14">
        <v>776</v>
      </c>
      <c r="C93" s="14">
        <v>632</v>
      </c>
      <c r="D93" s="14">
        <v>497</v>
      </c>
      <c r="E93" s="14">
        <v>72</v>
      </c>
      <c r="F93" s="14">
        <v>62</v>
      </c>
      <c r="G93" s="14">
        <v>19543</v>
      </c>
      <c r="H93" s="14">
        <v>18370</v>
      </c>
      <c r="I93" s="14">
        <v>11697</v>
      </c>
      <c r="J93" s="14">
        <v>1596</v>
      </c>
      <c r="K93" s="14">
        <v>5076</v>
      </c>
    </row>
    <row r="94" spans="1:11" ht="15" customHeight="1" x14ac:dyDescent="0.25">
      <c r="A94" s="18" t="s">
        <v>379</v>
      </c>
      <c r="B94" s="14">
        <v>33</v>
      </c>
      <c r="C94" s="14">
        <v>33</v>
      </c>
      <c r="D94" s="14">
        <v>29</v>
      </c>
      <c r="E94" s="14" t="s">
        <v>292</v>
      </c>
      <c r="F94" s="14">
        <v>3</v>
      </c>
      <c r="G94" s="14">
        <v>1573</v>
      </c>
      <c r="H94" s="14">
        <v>1565</v>
      </c>
      <c r="I94" s="14">
        <v>837</v>
      </c>
      <c r="J94" s="14" t="s">
        <v>292</v>
      </c>
      <c r="K94" s="14">
        <v>626</v>
      </c>
    </row>
    <row r="95" spans="1:11" ht="15" customHeight="1" x14ac:dyDescent="0.25">
      <c r="A95" s="18" t="s">
        <v>380</v>
      </c>
      <c r="B95" s="14">
        <v>185</v>
      </c>
      <c r="C95" s="14">
        <v>146</v>
      </c>
      <c r="D95" s="14">
        <v>106</v>
      </c>
      <c r="E95" s="14">
        <v>22</v>
      </c>
      <c r="F95" s="14">
        <v>19</v>
      </c>
      <c r="G95" s="14">
        <v>5539</v>
      </c>
      <c r="H95" s="14">
        <v>5270</v>
      </c>
      <c r="I95" s="14">
        <v>3188</v>
      </c>
      <c r="J95" s="14">
        <v>746</v>
      </c>
      <c r="K95" s="14">
        <v>1336</v>
      </c>
    </row>
    <row r="96" spans="1:11" ht="15" customHeight="1" x14ac:dyDescent="0.25">
      <c r="A96" s="18" t="s">
        <v>381</v>
      </c>
      <c r="B96" s="14">
        <v>558</v>
      </c>
      <c r="C96" s="14">
        <v>452</v>
      </c>
      <c r="D96" s="14">
        <v>362</v>
      </c>
      <c r="E96" s="14">
        <v>50</v>
      </c>
      <c r="F96" s="14">
        <v>40</v>
      </c>
      <c r="G96" s="14">
        <v>12431</v>
      </c>
      <c r="H96" s="14">
        <v>11535</v>
      </c>
      <c r="I96" s="14">
        <v>7672</v>
      </c>
      <c r="J96" s="14">
        <v>749</v>
      </c>
      <c r="K96" s="14">
        <v>3115</v>
      </c>
    </row>
    <row r="97" spans="1:11" ht="45.95" customHeight="1" x14ac:dyDescent="0.25">
      <c r="A97" s="15" t="s">
        <v>382</v>
      </c>
      <c r="B97" s="21"/>
      <c r="C97" s="21"/>
      <c r="D97" s="21"/>
      <c r="E97" s="21"/>
      <c r="F97" s="21"/>
      <c r="G97" s="21"/>
      <c r="H97" s="21"/>
      <c r="I97" s="21"/>
      <c r="J97" s="21"/>
      <c r="K97" s="21"/>
    </row>
    <row r="98" spans="1:11" ht="15" customHeight="1" x14ac:dyDescent="0.25">
      <c r="A98" s="17" t="s">
        <v>383</v>
      </c>
      <c r="B98" s="14">
        <v>4715</v>
      </c>
      <c r="C98" s="14">
        <v>3706</v>
      </c>
      <c r="D98" s="14">
        <v>2841</v>
      </c>
      <c r="E98" s="14">
        <v>580</v>
      </c>
      <c r="F98" s="14">
        <v>285</v>
      </c>
      <c r="G98" s="14">
        <v>73702</v>
      </c>
      <c r="H98" s="14">
        <v>66462</v>
      </c>
      <c r="I98" s="14">
        <v>41135</v>
      </c>
      <c r="J98" s="14">
        <v>10474</v>
      </c>
      <c r="K98" s="14">
        <v>14852</v>
      </c>
    </row>
    <row r="99" spans="1:11" ht="15" customHeight="1" x14ac:dyDescent="0.25">
      <c r="A99" s="17" t="s">
        <v>384</v>
      </c>
      <c r="B99" s="14">
        <v>724</v>
      </c>
      <c r="C99" s="14">
        <v>617</v>
      </c>
      <c r="D99" s="14">
        <v>432</v>
      </c>
      <c r="E99" s="14">
        <v>98</v>
      </c>
      <c r="F99" s="14">
        <v>87</v>
      </c>
      <c r="G99" s="14">
        <v>11309</v>
      </c>
      <c r="H99" s="14">
        <v>10617</v>
      </c>
      <c r="I99" s="14">
        <v>5269</v>
      </c>
      <c r="J99" s="14">
        <v>1896</v>
      </c>
      <c r="K99" s="14">
        <v>3452</v>
      </c>
    </row>
    <row r="100" spans="1:11" ht="15" customHeight="1" x14ac:dyDescent="0.25">
      <c r="A100" s="17" t="s">
        <v>385</v>
      </c>
      <c r="B100" s="14">
        <v>54</v>
      </c>
      <c r="C100" s="14">
        <v>42</v>
      </c>
      <c r="D100" s="14">
        <v>29</v>
      </c>
      <c r="E100" s="14" t="s">
        <v>292</v>
      </c>
      <c r="F100" s="14">
        <v>7</v>
      </c>
      <c r="G100" s="14">
        <v>1250</v>
      </c>
      <c r="H100" s="14">
        <v>1177</v>
      </c>
      <c r="I100" s="14">
        <v>600</v>
      </c>
      <c r="J100" s="14" t="s">
        <v>292</v>
      </c>
      <c r="K100" s="14">
        <v>400</v>
      </c>
    </row>
    <row r="101" spans="1:11" ht="15" customHeight="1" x14ac:dyDescent="0.25">
      <c r="A101" s="17" t="s">
        <v>69</v>
      </c>
      <c r="B101" s="14">
        <v>64</v>
      </c>
      <c r="C101" s="14">
        <v>57</v>
      </c>
      <c r="D101" s="14">
        <v>46</v>
      </c>
      <c r="E101" s="14" t="s">
        <v>292</v>
      </c>
      <c r="F101" s="14" t="s">
        <v>292</v>
      </c>
      <c r="G101" s="14">
        <v>832</v>
      </c>
      <c r="H101" s="14">
        <v>759</v>
      </c>
      <c r="I101" s="14">
        <v>531</v>
      </c>
      <c r="J101" s="14" t="s">
        <v>292</v>
      </c>
      <c r="K101" s="14" t="s">
        <v>292</v>
      </c>
    </row>
    <row r="102" spans="1:11" ht="33.950000000000003" customHeight="1" x14ac:dyDescent="0.25">
      <c r="A102" s="15" t="s">
        <v>386</v>
      </c>
      <c r="B102" s="21"/>
      <c r="C102" s="21"/>
      <c r="D102" s="21"/>
      <c r="E102" s="21"/>
      <c r="F102" s="21"/>
      <c r="G102" s="21"/>
      <c r="H102" s="21"/>
      <c r="I102" s="21"/>
      <c r="J102" s="21"/>
      <c r="K102" s="21"/>
    </row>
    <row r="103" spans="1:11" ht="15" customHeight="1" x14ac:dyDescent="0.25">
      <c r="A103" s="17" t="s">
        <v>383</v>
      </c>
      <c r="B103" s="22">
        <v>4876</v>
      </c>
      <c r="C103" s="22">
        <v>3830</v>
      </c>
      <c r="D103" s="22">
        <v>2933</v>
      </c>
      <c r="E103" s="22">
        <v>591</v>
      </c>
      <c r="F103" s="22">
        <v>306</v>
      </c>
      <c r="G103" s="22">
        <v>76271</v>
      </c>
      <c r="H103" s="22">
        <v>68848</v>
      </c>
      <c r="I103" s="22">
        <v>42370</v>
      </c>
      <c r="J103" s="22">
        <v>10971</v>
      </c>
      <c r="K103" s="22">
        <v>15507</v>
      </c>
    </row>
    <row r="104" spans="1:11" ht="15" customHeight="1" x14ac:dyDescent="0.25">
      <c r="A104" s="17" t="s">
        <v>384</v>
      </c>
      <c r="B104" s="14">
        <v>540</v>
      </c>
      <c r="C104" s="14">
        <v>466</v>
      </c>
      <c r="D104" s="14">
        <v>317</v>
      </c>
      <c r="E104" s="14">
        <v>85</v>
      </c>
      <c r="F104" s="14">
        <v>64</v>
      </c>
      <c r="G104" s="14">
        <v>8256</v>
      </c>
      <c r="H104" s="14">
        <v>7779</v>
      </c>
      <c r="I104" s="14">
        <v>3962</v>
      </c>
      <c r="J104" s="14">
        <v>1345</v>
      </c>
      <c r="K104" s="14">
        <v>2471</v>
      </c>
    </row>
    <row r="105" spans="1:11" ht="15" customHeight="1" x14ac:dyDescent="0.25">
      <c r="A105" s="17" t="s">
        <v>385</v>
      </c>
      <c r="B105" s="14">
        <v>35</v>
      </c>
      <c r="C105" s="14">
        <v>29</v>
      </c>
      <c r="D105" s="14">
        <v>23</v>
      </c>
      <c r="E105" s="14" t="s">
        <v>292</v>
      </c>
      <c r="F105" s="14" t="s">
        <v>292</v>
      </c>
      <c r="G105" s="14">
        <v>880</v>
      </c>
      <c r="H105" s="14">
        <v>784</v>
      </c>
      <c r="I105" s="14">
        <v>378</v>
      </c>
      <c r="J105" s="14" t="s">
        <v>292</v>
      </c>
      <c r="K105" s="14" t="s">
        <v>292</v>
      </c>
    </row>
    <row r="106" spans="1:11" ht="15" customHeight="1" x14ac:dyDescent="0.25">
      <c r="A106" s="17" t="s">
        <v>69</v>
      </c>
      <c r="B106" s="14">
        <v>106</v>
      </c>
      <c r="C106" s="14">
        <v>98</v>
      </c>
      <c r="D106" s="14">
        <v>75</v>
      </c>
      <c r="E106" s="14" t="s">
        <v>292</v>
      </c>
      <c r="F106" s="14">
        <v>12</v>
      </c>
      <c r="G106" s="14">
        <v>1686</v>
      </c>
      <c r="H106" s="14">
        <v>1605</v>
      </c>
      <c r="I106" s="14">
        <v>824</v>
      </c>
      <c r="J106" s="14" t="s">
        <v>292</v>
      </c>
      <c r="K106" s="14">
        <v>549</v>
      </c>
    </row>
    <row r="107" spans="1:11" ht="24" customHeight="1" x14ac:dyDescent="0.25">
      <c r="A107" s="15" t="s">
        <v>387</v>
      </c>
      <c r="B107" s="16"/>
      <c r="C107" s="16"/>
      <c r="D107" s="16"/>
      <c r="E107" s="16"/>
      <c r="F107" s="16"/>
      <c r="G107" s="16"/>
      <c r="H107" s="16"/>
      <c r="I107" s="16"/>
      <c r="J107" s="16"/>
      <c r="K107" s="16"/>
    </row>
    <row r="108" spans="1:11" ht="15" customHeight="1" x14ac:dyDescent="0.25">
      <c r="A108" s="17" t="s">
        <v>388</v>
      </c>
      <c r="B108" s="14">
        <v>3683</v>
      </c>
      <c r="C108" s="14">
        <v>3084</v>
      </c>
      <c r="D108" s="14">
        <v>2369</v>
      </c>
      <c r="E108" s="14">
        <v>467</v>
      </c>
      <c r="F108" s="14">
        <v>248</v>
      </c>
      <c r="G108" s="14">
        <v>52275</v>
      </c>
      <c r="H108" s="14">
        <v>47942</v>
      </c>
      <c r="I108" s="14">
        <v>29176</v>
      </c>
      <c r="J108" s="14">
        <v>8061</v>
      </c>
      <c r="K108" s="14">
        <v>10705</v>
      </c>
    </row>
    <row r="109" spans="1:11" ht="15" customHeight="1" x14ac:dyDescent="0.25">
      <c r="A109" s="17" t="s">
        <v>389</v>
      </c>
      <c r="B109" s="14">
        <v>237</v>
      </c>
      <c r="C109" s="14">
        <v>165</v>
      </c>
      <c r="D109" s="14">
        <v>115</v>
      </c>
      <c r="E109" s="14">
        <v>32</v>
      </c>
      <c r="F109" s="14">
        <v>19</v>
      </c>
      <c r="G109" s="14">
        <v>4616</v>
      </c>
      <c r="H109" s="14">
        <v>4214</v>
      </c>
      <c r="I109" s="14">
        <v>2522</v>
      </c>
      <c r="J109" s="14">
        <v>496</v>
      </c>
      <c r="K109" s="14">
        <v>1196</v>
      </c>
    </row>
    <row r="110" spans="1:11" ht="15" customHeight="1" x14ac:dyDescent="0.25">
      <c r="A110" s="17" t="s">
        <v>390</v>
      </c>
      <c r="B110" s="14">
        <v>84</v>
      </c>
      <c r="C110" s="14">
        <v>79</v>
      </c>
      <c r="D110" s="14">
        <v>63</v>
      </c>
      <c r="E110" s="14">
        <v>8</v>
      </c>
      <c r="F110" s="14">
        <v>8</v>
      </c>
      <c r="G110" s="14">
        <v>4068</v>
      </c>
      <c r="H110" s="14">
        <v>4010</v>
      </c>
      <c r="I110" s="14">
        <v>2951</v>
      </c>
      <c r="J110" s="14">
        <v>472</v>
      </c>
      <c r="K110" s="14">
        <v>587</v>
      </c>
    </row>
    <row r="111" spans="1:11" ht="15" customHeight="1" x14ac:dyDescent="0.25">
      <c r="A111" s="17" t="s">
        <v>391</v>
      </c>
      <c r="B111" s="14">
        <v>154</v>
      </c>
      <c r="C111" s="14">
        <v>141</v>
      </c>
      <c r="D111" s="14">
        <v>93</v>
      </c>
      <c r="E111" s="14">
        <v>33</v>
      </c>
      <c r="F111" s="14">
        <v>15</v>
      </c>
      <c r="G111" s="14">
        <v>3456</v>
      </c>
      <c r="H111" s="14">
        <v>3395</v>
      </c>
      <c r="I111" s="14">
        <v>1606</v>
      </c>
      <c r="J111" s="14">
        <v>691</v>
      </c>
      <c r="K111" s="14">
        <v>1097</v>
      </c>
    </row>
    <row r="112" spans="1:11" ht="15" customHeight="1" x14ac:dyDescent="0.25">
      <c r="A112" s="17" t="s">
        <v>392</v>
      </c>
      <c r="B112" s="14">
        <v>258</v>
      </c>
      <c r="C112" s="14">
        <v>218</v>
      </c>
      <c r="D112" s="14">
        <v>139</v>
      </c>
      <c r="E112" s="14">
        <v>26</v>
      </c>
      <c r="F112" s="14">
        <v>53</v>
      </c>
      <c r="G112" s="14">
        <v>5159</v>
      </c>
      <c r="H112" s="14">
        <v>4921</v>
      </c>
      <c r="I112" s="14">
        <v>2014</v>
      </c>
      <c r="J112" s="14">
        <v>482</v>
      </c>
      <c r="K112" s="14">
        <v>2425</v>
      </c>
    </row>
    <row r="113" spans="1:11" ht="15" customHeight="1" x14ac:dyDescent="0.25">
      <c r="A113" s="17" t="s">
        <v>393</v>
      </c>
      <c r="B113" s="14">
        <v>314</v>
      </c>
      <c r="C113" s="14">
        <v>52</v>
      </c>
      <c r="D113" s="14">
        <v>29</v>
      </c>
      <c r="E113" s="14">
        <v>22</v>
      </c>
      <c r="F113" s="14" t="s">
        <v>292</v>
      </c>
      <c r="G113" s="14">
        <v>3212</v>
      </c>
      <c r="H113" s="14">
        <v>1284</v>
      </c>
      <c r="I113" s="14">
        <v>643</v>
      </c>
      <c r="J113" s="14">
        <v>545</v>
      </c>
      <c r="K113" s="14" t="s">
        <v>292</v>
      </c>
    </row>
    <row r="114" spans="1:11" ht="15" customHeight="1" x14ac:dyDescent="0.25">
      <c r="A114" s="17" t="s">
        <v>394</v>
      </c>
      <c r="B114" s="14">
        <v>197</v>
      </c>
      <c r="C114" s="14">
        <v>181</v>
      </c>
      <c r="D114" s="14">
        <v>136</v>
      </c>
      <c r="E114" s="14">
        <v>36</v>
      </c>
      <c r="F114" s="14" t="s">
        <v>292</v>
      </c>
      <c r="G114" s="14">
        <v>1932</v>
      </c>
      <c r="H114" s="14">
        <v>1810</v>
      </c>
      <c r="I114" s="14">
        <v>1159</v>
      </c>
      <c r="J114" s="14">
        <v>344</v>
      </c>
      <c r="K114" s="14" t="s">
        <v>292</v>
      </c>
    </row>
    <row r="115" spans="1:11" ht="15" customHeight="1" x14ac:dyDescent="0.25">
      <c r="A115" s="17" t="s">
        <v>395</v>
      </c>
      <c r="B115" s="14">
        <v>52</v>
      </c>
      <c r="C115" s="14">
        <v>50</v>
      </c>
      <c r="D115" s="14">
        <v>42</v>
      </c>
      <c r="E115" s="14" t="s">
        <v>292</v>
      </c>
      <c r="F115" s="14">
        <v>7</v>
      </c>
      <c r="G115" s="14">
        <v>3362</v>
      </c>
      <c r="H115" s="14">
        <v>3314</v>
      </c>
      <c r="I115" s="14">
        <v>2278</v>
      </c>
      <c r="J115" s="14" t="s">
        <v>292</v>
      </c>
      <c r="K115" s="14">
        <v>912</v>
      </c>
    </row>
    <row r="116" spans="1:11" ht="15" customHeight="1" x14ac:dyDescent="0.25">
      <c r="A116" s="17" t="s">
        <v>396</v>
      </c>
      <c r="B116" s="14">
        <v>65</v>
      </c>
      <c r="C116" s="14">
        <v>61</v>
      </c>
      <c r="D116" s="14">
        <v>53</v>
      </c>
      <c r="E116" s="14" t="s">
        <v>292</v>
      </c>
      <c r="F116" s="14" t="s">
        <v>292</v>
      </c>
      <c r="G116" s="14">
        <v>1295</v>
      </c>
      <c r="H116" s="14">
        <v>1275</v>
      </c>
      <c r="I116" s="14">
        <v>1048</v>
      </c>
      <c r="J116" s="14" t="s">
        <v>292</v>
      </c>
      <c r="K116" s="14" t="s">
        <v>292</v>
      </c>
    </row>
    <row r="117" spans="1:11" ht="15" customHeight="1" x14ac:dyDescent="0.25">
      <c r="A117" s="17" t="s">
        <v>397</v>
      </c>
      <c r="B117" s="14">
        <v>35</v>
      </c>
      <c r="C117" s="14">
        <v>32</v>
      </c>
      <c r="D117" s="14">
        <v>27</v>
      </c>
      <c r="E117" s="14" t="s">
        <v>292</v>
      </c>
      <c r="F117" s="14" t="s">
        <v>485</v>
      </c>
      <c r="G117" s="14">
        <v>554</v>
      </c>
      <c r="H117" s="14">
        <v>494</v>
      </c>
      <c r="I117" s="14">
        <v>193</v>
      </c>
      <c r="J117" s="14" t="s">
        <v>292</v>
      </c>
      <c r="K117" s="14">
        <v>200</v>
      </c>
    </row>
    <row r="118" spans="1:11" ht="15" customHeight="1" x14ac:dyDescent="0.25">
      <c r="A118" s="17" t="s">
        <v>398</v>
      </c>
      <c r="B118" s="14">
        <v>104</v>
      </c>
      <c r="C118" s="14">
        <v>81</v>
      </c>
      <c r="D118" s="14">
        <v>71</v>
      </c>
      <c r="E118" s="14" t="s">
        <v>292</v>
      </c>
      <c r="F118" s="14">
        <v>2</v>
      </c>
      <c r="G118" s="14">
        <v>2107</v>
      </c>
      <c r="H118" s="14">
        <v>1886</v>
      </c>
      <c r="I118" s="14">
        <v>1359</v>
      </c>
      <c r="J118" s="14" t="s">
        <v>292</v>
      </c>
      <c r="K118" s="14">
        <v>415</v>
      </c>
    </row>
    <row r="119" spans="1:11" ht="15" customHeight="1" x14ac:dyDescent="0.25">
      <c r="A119" s="17" t="s">
        <v>69</v>
      </c>
      <c r="B119" s="14">
        <v>371</v>
      </c>
      <c r="C119" s="14">
        <v>278</v>
      </c>
      <c r="D119" s="14">
        <v>209</v>
      </c>
      <c r="E119" s="14">
        <v>49</v>
      </c>
      <c r="F119" s="14">
        <v>20</v>
      </c>
      <c r="G119" s="14">
        <v>5057</v>
      </c>
      <c r="H119" s="14">
        <v>4470</v>
      </c>
      <c r="I119" s="14">
        <v>2584</v>
      </c>
      <c r="J119" s="14">
        <v>1228</v>
      </c>
      <c r="K119" s="14">
        <v>658</v>
      </c>
    </row>
    <row r="120" spans="1:11" ht="44.25" customHeight="1" x14ac:dyDescent="0.25">
      <c r="A120" s="15" t="s">
        <v>399</v>
      </c>
      <c r="B120" s="21"/>
      <c r="C120" s="21"/>
      <c r="D120" s="21"/>
      <c r="E120" s="21"/>
      <c r="F120" s="21"/>
      <c r="G120" s="21"/>
      <c r="H120" s="21"/>
      <c r="I120" s="21"/>
      <c r="J120" s="21"/>
      <c r="K120" s="21"/>
    </row>
    <row r="121" spans="1:11" ht="15" customHeight="1" x14ac:dyDescent="0.25">
      <c r="A121" s="17" t="s">
        <v>400</v>
      </c>
      <c r="B121" s="14">
        <v>2094</v>
      </c>
      <c r="C121" s="14">
        <v>1886</v>
      </c>
      <c r="D121" s="14">
        <v>1393</v>
      </c>
      <c r="E121" s="14">
        <v>297</v>
      </c>
      <c r="F121" s="14">
        <v>196</v>
      </c>
      <c r="G121" s="14">
        <v>42216</v>
      </c>
      <c r="H121" s="14">
        <v>40289</v>
      </c>
      <c r="I121" s="14">
        <v>22231</v>
      </c>
      <c r="J121" s="14">
        <v>6390</v>
      </c>
      <c r="K121" s="14">
        <v>11668</v>
      </c>
    </row>
    <row r="122" spans="1:11" ht="15" customHeight="1" x14ac:dyDescent="0.25">
      <c r="A122" s="18" t="s">
        <v>401</v>
      </c>
      <c r="B122" s="14">
        <v>444</v>
      </c>
      <c r="C122" s="14">
        <v>424</v>
      </c>
      <c r="D122" s="14">
        <v>296</v>
      </c>
      <c r="E122" s="14">
        <v>74</v>
      </c>
      <c r="F122" s="14">
        <v>54</v>
      </c>
      <c r="G122" s="14">
        <v>13022</v>
      </c>
      <c r="H122" s="14">
        <v>12835</v>
      </c>
      <c r="I122" s="14">
        <v>7022</v>
      </c>
      <c r="J122" s="14">
        <v>1819</v>
      </c>
      <c r="K122" s="14">
        <v>3994</v>
      </c>
    </row>
    <row r="123" spans="1:11" ht="15" customHeight="1" x14ac:dyDescent="0.25">
      <c r="A123" s="18" t="s">
        <v>402</v>
      </c>
      <c r="B123" s="14">
        <v>71</v>
      </c>
      <c r="C123" s="14">
        <v>62</v>
      </c>
      <c r="D123" s="14">
        <v>52</v>
      </c>
      <c r="E123" s="14" t="s">
        <v>292</v>
      </c>
      <c r="F123" s="14">
        <v>5</v>
      </c>
      <c r="G123" s="14">
        <v>1753</v>
      </c>
      <c r="H123" s="14">
        <v>1715</v>
      </c>
      <c r="I123" s="14">
        <v>935</v>
      </c>
      <c r="J123" s="14" t="s">
        <v>292</v>
      </c>
      <c r="K123" s="14">
        <v>485</v>
      </c>
    </row>
    <row r="124" spans="1:11" ht="15" customHeight="1" x14ac:dyDescent="0.25">
      <c r="A124" s="18" t="s">
        <v>403</v>
      </c>
      <c r="B124" s="14">
        <v>987</v>
      </c>
      <c r="C124" s="14">
        <v>881</v>
      </c>
      <c r="D124" s="14">
        <v>654</v>
      </c>
      <c r="E124" s="14">
        <v>133</v>
      </c>
      <c r="F124" s="14">
        <v>94</v>
      </c>
      <c r="G124" s="14">
        <v>20917</v>
      </c>
      <c r="H124" s="14">
        <v>20189</v>
      </c>
      <c r="I124" s="14">
        <v>10907</v>
      </c>
      <c r="J124" s="14">
        <v>3186</v>
      </c>
      <c r="K124" s="14">
        <v>6095</v>
      </c>
    </row>
    <row r="125" spans="1:11" ht="15" customHeight="1" x14ac:dyDescent="0.25">
      <c r="A125" s="18" t="s">
        <v>404</v>
      </c>
      <c r="B125" s="14">
        <v>194</v>
      </c>
      <c r="C125" s="14">
        <v>174</v>
      </c>
      <c r="D125" s="14">
        <v>130</v>
      </c>
      <c r="E125" s="14">
        <v>27</v>
      </c>
      <c r="F125" s="14">
        <v>17</v>
      </c>
      <c r="G125" s="14">
        <v>4230</v>
      </c>
      <c r="H125" s="14">
        <v>4144</v>
      </c>
      <c r="I125" s="14">
        <v>2261</v>
      </c>
      <c r="J125" s="14">
        <v>788</v>
      </c>
      <c r="K125" s="14">
        <v>1096</v>
      </c>
    </row>
    <row r="126" spans="1:11" ht="15" customHeight="1" x14ac:dyDescent="0.25">
      <c r="A126" s="18" t="s">
        <v>405</v>
      </c>
      <c r="B126" s="14">
        <v>889</v>
      </c>
      <c r="C126" s="14">
        <v>813</v>
      </c>
      <c r="D126" s="14">
        <v>563</v>
      </c>
      <c r="E126" s="14">
        <v>136</v>
      </c>
      <c r="F126" s="14">
        <v>114</v>
      </c>
      <c r="G126" s="14">
        <v>21340</v>
      </c>
      <c r="H126" s="14">
        <v>20777</v>
      </c>
      <c r="I126" s="14">
        <v>10449</v>
      </c>
      <c r="J126" s="14">
        <v>3418</v>
      </c>
      <c r="K126" s="14">
        <v>6911</v>
      </c>
    </row>
    <row r="127" spans="1:11" ht="15" customHeight="1" x14ac:dyDescent="0.25">
      <c r="A127" s="18" t="s">
        <v>406</v>
      </c>
      <c r="B127" s="14">
        <v>560</v>
      </c>
      <c r="C127" s="14">
        <v>526</v>
      </c>
      <c r="D127" s="14">
        <v>352</v>
      </c>
      <c r="E127" s="14">
        <v>107</v>
      </c>
      <c r="F127" s="14">
        <v>66</v>
      </c>
      <c r="G127" s="14">
        <v>12265</v>
      </c>
      <c r="H127" s="14">
        <v>11984</v>
      </c>
      <c r="I127" s="14">
        <v>6237</v>
      </c>
      <c r="J127" s="14">
        <v>1983</v>
      </c>
      <c r="K127" s="14">
        <v>3765</v>
      </c>
    </row>
    <row r="128" spans="1:11" ht="15" customHeight="1" x14ac:dyDescent="0.25">
      <c r="A128" s="18" t="s">
        <v>407</v>
      </c>
      <c r="B128" s="14">
        <v>1101</v>
      </c>
      <c r="C128" s="14">
        <v>1019</v>
      </c>
      <c r="D128" s="14">
        <v>722</v>
      </c>
      <c r="E128" s="14">
        <v>173</v>
      </c>
      <c r="F128" s="14">
        <v>123</v>
      </c>
      <c r="G128" s="14">
        <v>26779</v>
      </c>
      <c r="H128" s="14">
        <v>26061</v>
      </c>
      <c r="I128" s="14">
        <v>13578</v>
      </c>
      <c r="J128" s="14">
        <v>4230</v>
      </c>
      <c r="K128" s="14">
        <v>8253</v>
      </c>
    </row>
    <row r="129" spans="1:11" ht="15" customHeight="1" x14ac:dyDescent="0.25">
      <c r="A129" s="18" t="s">
        <v>408</v>
      </c>
      <c r="B129" s="14">
        <v>982</v>
      </c>
      <c r="C129" s="14">
        <v>920</v>
      </c>
      <c r="D129" s="14">
        <v>660</v>
      </c>
      <c r="E129" s="14">
        <v>150</v>
      </c>
      <c r="F129" s="14">
        <v>110</v>
      </c>
      <c r="G129" s="14">
        <v>25503</v>
      </c>
      <c r="H129" s="14">
        <v>24671</v>
      </c>
      <c r="I129" s="14">
        <v>12695</v>
      </c>
      <c r="J129" s="14">
        <v>3900</v>
      </c>
      <c r="K129" s="14">
        <v>8076</v>
      </c>
    </row>
    <row r="130" spans="1:11" ht="15" customHeight="1" x14ac:dyDescent="0.25">
      <c r="A130" s="18" t="s">
        <v>409</v>
      </c>
      <c r="B130" s="14">
        <v>747</v>
      </c>
      <c r="C130" s="14">
        <v>681</v>
      </c>
      <c r="D130" s="14">
        <v>487</v>
      </c>
      <c r="E130" s="14">
        <v>109</v>
      </c>
      <c r="F130" s="14">
        <v>85</v>
      </c>
      <c r="G130" s="14">
        <v>16160</v>
      </c>
      <c r="H130" s="14">
        <v>15675</v>
      </c>
      <c r="I130" s="14">
        <v>8123</v>
      </c>
      <c r="J130" s="14">
        <v>2398</v>
      </c>
      <c r="K130" s="14">
        <v>5154</v>
      </c>
    </row>
    <row r="131" spans="1:11" ht="15" customHeight="1" x14ac:dyDescent="0.25">
      <c r="A131" s="18" t="s">
        <v>410</v>
      </c>
      <c r="B131" s="14">
        <v>644</v>
      </c>
      <c r="C131" s="14">
        <v>601</v>
      </c>
      <c r="D131" s="14">
        <v>422</v>
      </c>
      <c r="E131" s="14">
        <v>98</v>
      </c>
      <c r="F131" s="14">
        <v>81</v>
      </c>
      <c r="G131" s="14">
        <v>13828</v>
      </c>
      <c r="H131" s="14">
        <v>13544</v>
      </c>
      <c r="I131" s="14">
        <v>7147</v>
      </c>
      <c r="J131" s="14">
        <v>1944</v>
      </c>
      <c r="K131" s="14">
        <v>4452</v>
      </c>
    </row>
    <row r="132" spans="1:11" ht="15" customHeight="1" x14ac:dyDescent="0.25">
      <c r="A132" s="18" t="s">
        <v>411</v>
      </c>
      <c r="B132" s="14">
        <v>382</v>
      </c>
      <c r="C132" s="14">
        <v>353</v>
      </c>
      <c r="D132" s="14">
        <v>248</v>
      </c>
      <c r="E132" s="14">
        <v>61</v>
      </c>
      <c r="F132" s="14">
        <v>44</v>
      </c>
      <c r="G132" s="14">
        <v>7607</v>
      </c>
      <c r="H132" s="14">
        <v>7331</v>
      </c>
      <c r="I132" s="14">
        <v>3785</v>
      </c>
      <c r="J132" s="14">
        <v>1176</v>
      </c>
      <c r="K132" s="14">
        <v>2370</v>
      </c>
    </row>
    <row r="133" spans="1:11" ht="15" customHeight="1" x14ac:dyDescent="0.25">
      <c r="A133" s="18" t="s">
        <v>412</v>
      </c>
      <c r="B133" s="14">
        <v>616</v>
      </c>
      <c r="C133" s="14">
        <v>585</v>
      </c>
      <c r="D133" s="14">
        <v>407</v>
      </c>
      <c r="E133" s="14">
        <v>101</v>
      </c>
      <c r="F133" s="14">
        <v>77</v>
      </c>
      <c r="G133" s="14">
        <v>17196</v>
      </c>
      <c r="H133" s="14">
        <v>16864</v>
      </c>
      <c r="I133" s="14">
        <v>8874</v>
      </c>
      <c r="J133" s="14">
        <v>2709</v>
      </c>
      <c r="K133" s="14">
        <v>5281</v>
      </c>
    </row>
    <row r="134" spans="1:11" ht="15" customHeight="1" x14ac:dyDescent="0.25">
      <c r="A134" s="18" t="s">
        <v>413</v>
      </c>
      <c r="B134" s="14">
        <v>152</v>
      </c>
      <c r="C134" s="14">
        <v>144</v>
      </c>
      <c r="D134" s="14">
        <v>108</v>
      </c>
      <c r="E134" s="14">
        <v>20</v>
      </c>
      <c r="F134" s="14">
        <v>16</v>
      </c>
      <c r="G134" s="14">
        <v>3913</v>
      </c>
      <c r="H134" s="14">
        <v>3853</v>
      </c>
      <c r="I134" s="14">
        <v>2137</v>
      </c>
      <c r="J134" s="14">
        <v>518</v>
      </c>
      <c r="K134" s="14">
        <v>1198</v>
      </c>
    </row>
    <row r="135" spans="1:11" ht="15" customHeight="1" x14ac:dyDescent="0.25">
      <c r="A135" s="18" t="s">
        <v>69</v>
      </c>
      <c r="B135" s="14">
        <v>39</v>
      </c>
      <c r="C135" s="14">
        <v>34</v>
      </c>
      <c r="D135" s="14">
        <v>25</v>
      </c>
      <c r="E135" s="14" t="s">
        <v>292</v>
      </c>
      <c r="F135" s="14" t="s">
        <v>292</v>
      </c>
      <c r="G135" s="14">
        <v>848</v>
      </c>
      <c r="H135" s="14">
        <v>829</v>
      </c>
      <c r="I135" s="14">
        <v>321</v>
      </c>
      <c r="J135" s="14" t="s">
        <v>292</v>
      </c>
      <c r="K135" s="14" t="s">
        <v>292</v>
      </c>
    </row>
    <row r="136" spans="1:11" ht="15" customHeight="1" x14ac:dyDescent="0.25">
      <c r="A136" s="17" t="s">
        <v>414</v>
      </c>
      <c r="B136" s="14">
        <v>3160</v>
      </c>
      <c r="C136" s="14">
        <v>2306</v>
      </c>
      <c r="D136" s="14">
        <v>1794</v>
      </c>
      <c r="E136" s="14">
        <v>354</v>
      </c>
      <c r="F136" s="14">
        <v>158</v>
      </c>
      <c r="G136" s="14">
        <v>39154</v>
      </c>
      <c r="H136" s="14">
        <v>33564</v>
      </c>
      <c r="I136" s="14">
        <v>22127</v>
      </c>
      <c r="J136" s="14">
        <v>5365</v>
      </c>
      <c r="K136" s="14">
        <v>6073</v>
      </c>
    </row>
    <row r="137" spans="1:11" ht="15" customHeight="1" x14ac:dyDescent="0.25">
      <c r="A137" s="17" t="s">
        <v>415</v>
      </c>
      <c r="B137" s="14">
        <v>303</v>
      </c>
      <c r="C137" s="14">
        <v>231</v>
      </c>
      <c r="D137" s="14">
        <v>161</v>
      </c>
      <c r="E137" s="14">
        <v>39</v>
      </c>
      <c r="F137" s="14">
        <v>30</v>
      </c>
      <c r="G137" s="14">
        <v>5723</v>
      </c>
      <c r="H137" s="14">
        <v>5162</v>
      </c>
      <c r="I137" s="14">
        <v>3176</v>
      </c>
      <c r="J137" s="14">
        <v>933</v>
      </c>
      <c r="K137" s="14">
        <v>1053</v>
      </c>
    </row>
    <row r="138" spans="1:11" ht="33.950000000000003" customHeight="1" x14ac:dyDescent="0.25">
      <c r="A138" s="15" t="s">
        <v>416</v>
      </c>
      <c r="B138" s="21"/>
      <c r="C138" s="21"/>
      <c r="D138" s="21"/>
      <c r="E138" s="21"/>
      <c r="F138" s="21"/>
      <c r="G138" s="21"/>
      <c r="H138" s="21"/>
      <c r="I138" s="21"/>
      <c r="J138" s="21"/>
      <c r="K138" s="21"/>
    </row>
    <row r="139" spans="1:11" ht="15" customHeight="1" x14ac:dyDescent="0.25">
      <c r="A139" s="17" t="s">
        <v>186</v>
      </c>
      <c r="B139" s="14">
        <v>5234</v>
      </c>
      <c r="C139" s="14">
        <v>4423</v>
      </c>
      <c r="D139" s="14">
        <v>3348</v>
      </c>
      <c r="E139" s="14">
        <v>690</v>
      </c>
      <c r="F139" s="14">
        <v>385</v>
      </c>
      <c r="G139" s="14">
        <v>84869</v>
      </c>
      <c r="H139" s="14">
        <v>79015</v>
      </c>
      <c r="I139" s="14">
        <v>47534</v>
      </c>
      <c r="J139" s="14">
        <v>12688</v>
      </c>
      <c r="K139" s="14">
        <v>18793</v>
      </c>
    </row>
    <row r="140" spans="1:11" ht="15" customHeight="1" x14ac:dyDescent="0.25">
      <c r="A140" s="17" t="s">
        <v>193</v>
      </c>
      <c r="B140" s="14">
        <v>2933</v>
      </c>
      <c r="C140" s="14">
        <v>2742</v>
      </c>
      <c r="D140" s="14">
        <v>2073</v>
      </c>
      <c r="E140" s="14">
        <v>388</v>
      </c>
      <c r="F140" s="14">
        <v>282</v>
      </c>
      <c r="G140" s="14">
        <v>58725</v>
      </c>
      <c r="H140" s="14">
        <v>57019</v>
      </c>
      <c r="I140" s="14">
        <v>34005</v>
      </c>
      <c r="J140" s="14">
        <v>8211</v>
      </c>
      <c r="K140" s="14">
        <v>14803</v>
      </c>
    </row>
    <row r="141" spans="1:11" ht="15" customHeight="1" x14ac:dyDescent="0.25">
      <c r="A141" s="17" t="s">
        <v>194</v>
      </c>
      <c r="B141" s="14">
        <v>467</v>
      </c>
      <c r="C141" s="14">
        <v>411</v>
      </c>
      <c r="D141" s="14">
        <v>314</v>
      </c>
      <c r="E141" s="14">
        <v>52</v>
      </c>
      <c r="F141" s="14">
        <v>45</v>
      </c>
      <c r="G141" s="14">
        <v>20200</v>
      </c>
      <c r="H141" s="14">
        <v>19708</v>
      </c>
      <c r="I141" s="14">
        <v>10979</v>
      </c>
      <c r="J141" s="14">
        <v>2510</v>
      </c>
      <c r="K141" s="14">
        <v>6219</v>
      </c>
    </row>
    <row r="142" spans="1:11" ht="15" customHeight="1" x14ac:dyDescent="0.25">
      <c r="A142" s="17" t="s">
        <v>195</v>
      </c>
      <c r="B142" s="14">
        <v>48</v>
      </c>
      <c r="C142" s="14">
        <v>45</v>
      </c>
      <c r="D142" s="14">
        <v>30</v>
      </c>
      <c r="E142" s="14">
        <v>6</v>
      </c>
      <c r="F142" s="14">
        <v>8</v>
      </c>
      <c r="G142" s="14">
        <v>5964</v>
      </c>
      <c r="H142" s="14">
        <v>5822</v>
      </c>
      <c r="I142" s="14">
        <v>3596</v>
      </c>
      <c r="J142" s="14">
        <v>501</v>
      </c>
      <c r="K142" s="14">
        <v>1725</v>
      </c>
    </row>
    <row r="143" spans="1:11" ht="15" customHeight="1" x14ac:dyDescent="0.25">
      <c r="A143" s="17" t="s">
        <v>417</v>
      </c>
      <c r="B143" s="14">
        <v>54</v>
      </c>
      <c r="C143" s="14">
        <v>51</v>
      </c>
      <c r="D143" s="14">
        <v>24</v>
      </c>
      <c r="E143" s="14">
        <v>19</v>
      </c>
      <c r="F143" s="14">
        <v>7</v>
      </c>
      <c r="G143" s="14">
        <v>4608</v>
      </c>
      <c r="H143" s="14">
        <v>4511</v>
      </c>
      <c r="I143" s="14">
        <v>2907</v>
      </c>
      <c r="J143" s="14">
        <v>450</v>
      </c>
      <c r="K143" s="14">
        <v>1154</v>
      </c>
    </row>
    <row r="144" spans="1:11" ht="15" customHeight="1" x14ac:dyDescent="0.25">
      <c r="A144" s="17" t="s">
        <v>169</v>
      </c>
      <c r="B144" s="14">
        <v>510</v>
      </c>
      <c r="C144" s="14">
        <v>466</v>
      </c>
      <c r="D144" s="14">
        <v>357</v>
      </c>
      <c r="E144" s="14">
        <v>72</v>
      </c>
      <c r="F144" s="14">
        <v>38</v>
      </c>
      <c r="G144" s="14">
        <v>7706</v>
      </c>
      <c r="H144" s="14">
        <v>7383</v>
      </c>
      <c r="I144" s="14">
        <v>4491</v>
      </c>
      <c r="J144" s="14">
        <v>1127</v>
      </c>
      <c r="K144" s="14">
        <v>1765</v>
      </c>
    </row>
    <row r="145" spans="1:11" ht="15" customHeight="1" thickBot="1" x14ac:dyDescent="0.3">
      <c r="A145" s="23" t="s">
        <v>69</v>
      </c>
      <c r="B145" s="24">
        <v>172</v>
      </c>
      <c r="C145" s="24">
        <v>141</v>
      </c>
      <c r="D145" s="24">
        <v>104</v>
      </c>
      <c r="E145" s="24">
        <v>23</v>
      </c>
      <c r="F145" s="24">
        <v>14</v>
      </c>
      <c r="G145" s="24">
        <v>3826</v>
      </c>
      <c r="H145" s="24">
        <v>3679</v>
      </c>
      <c r="I145" s="24">
        <v>2260</v>
      </c>
      <c r="J145" s="24">
        <v>475</v>
      </c>
      <c r="K145" s="24">
        <v>944</v>
      </c>
    </row>
    <row r="146" spans="1:11" ht="33.950000000000003" customHeight="1" x14ac:dyDescent="0.25">
      <c r="A146" s="25" t="s">
        <v>486</v>
      </c>
      <c r="B146" s="26"/>
      <c r="C146" s="26"/>
      <c r="D146" s="26"/>
      <c r="E146" s="26"/>
      <c r="F146" s="26"/>
      <c r="G146" s="26"/>
      <c r="H146" s="26"/>
      <c r="I146" s="26"/>
      <c r="J146" s="26"/>
      <c r="K146" s="27"/>
    </row>
    <row r="147" spans="1:11" ht="15" customHeight="1" x14ac:dyDescent="0.25">
      <c r="A147" s="28" t="s">
        <v>186</v>
      </c>
      <c r="B147" s="29">
        <v>2658</v>
      </c>
      <c r="C147" s="29">
        <v>2658</v>
      </c>
      <c r="D147" s="29">
        <v>1901</v>
      </c>
      <c r="E147" s="29">
        <v>508</v>
      </c>
      <c r="F147" s="29">
        <v>250</v>
      </c>
      <c r="G147" s="29">
        <v>42755</v>
      </c>
      <c r="H147" s="29">
        <v>42755</v>
      </c>
      <c r="I147" s="29">
        <v>21435</v>
      </c>
      <c r="J147" s="29">
        <v>9362</v>
      </c>
      <c r="K147" s="30">
        <v>11957</v>
      </c>
    </row>
    <row r="148" spans="1:11" ht="15" customHeight="1" x14ac:dyDescent="0.25">
      <c r="A148" s="28" t="s">
        <v>193</v>
      </c>
      <c r="B148" s="29">
        <v>1758</v>
      </c>
      <c r="C148" s="29">
        <v>1758</v>
      </c>
      <c r="D148" s="29">
        <v>1367</v>
      </c>
      <c r="E148" s="29">
        <v>182</v>
      </c>
      <c r="F148" s="29">
        <v>209</v>
      </c>
      <c r="G148" s="29">
        <v>39523</v>
      </c>
      <c r="H148" s="29">
        <v>39523</v>
      </c>
      <c r="I148" s="29">
        <v>24806</v>
      </c>
      <c r="J148" s="29">
        <v>4088</v>
      </c>
      <c r="K148" s="30">
        <v>10629</v>
      </c>
    </row>
    <row r="149" spans="1:11" ht="15" customHeight="1" x14ac:dyDescent="0.25">
      <c r="A149" s="28" t="s">
        <v>194</v>
      </c>
      <c r="B149" s="29">
        <v>77</v>
      </c>
      <c r="C149" s="29">
        <v>77</v>
      </c>
      <c r="D149" s="29">
        <v>63</v>
      </c>
      <c r="E149" s="29" t="s">
        <v>292</v>
      </c>
      <c r="F149" s="29">
        <v>7</v>
      </c>
      <c r="G149" s="29">
        <v>1911</v>
      </c>
      <c r="H149" s="29">
        <v>1911</v>
      </c>
      <c r="I149" s="29">
        <v>1318</v>
      </c>
      <c r="J149" s="29" t="s">
        <v>292</v>
      </c>
      <c r="K149" s="30">
        <v>467</v>
      </c>
    </row>
    <row r="150" spans="1:11" ht="15" customHeight="1" x14ac:dyDescent="0.25">
      <c r="A150" s="28" t="s">
        <v>195</v>
      </c>
      <c r="B150" s="29">
        <v>25</v>
      </c>
      <c r="C150" s="29">
        <v>25</v>
      </c>
      <c r="D150" s="29">
        <v>19</v>
      </c>
      <c r="E150" s="29">
        <v>3</v>
      </c>
      <c r="F150" s="29">
        <v>4</v>
      </c>
      <c r="G150" s="29">
        <v>4551</v>
      </c>
      <c r="H150" s="29">
        <v>4551</v>
      </c>
      <c r="I150" s="29">
        <v>3002</v>
      </c>
      <c r="J150" s="29">
        <v>325</v>
      </c>
      <c r="K150" s="30">
        <v>1224</v>
      </c>
    </row>
    <row r="151" spans="1:11" ht="15" customHeight="1" thickBot="1" x14ac:dyDescent="0.3">
      <c r="A151" s="31" t="s">
        <v>169</v>
      </c>
      <c r="B151" s="32">
        <v>142</v>
      </c>
      <c r="C151" s="32">
        <v>142</v>
      </c>
      <c r="D151" s="32">
        <v>106</v>
      </c>
      <c r="E151" s="32" t="s">
        <v>292</v>
      </c>
      <c r="F151" s="32">
        <v>14</v>
      </c>
      <c r="G151" s="32">
        <v>1575</v>
      </c>
      <c r="H151" s="32">
        <v>1575</v>
      </c>
      <c r="I151" s="32">
        <v>1006</v>
      </c>
      <c r="J151" s="32" t="s">
        <v>292</v>
      </c>
      <c r="K151" s="33">
        <v>348</v>
      </c>
    </row>
    <row r="152" spans="1:11" ht="33.950000000000003" customHeight="1" x14ac:dyDescent="0.25">
      <c r="A152" s="15" t="s">
        <v>420</v>
      </c>
      <c r="B152" s="21"/>
      <c r="C152" s="21"/>
      <c r="D152" s="21"/>
      <c r="E152" s="21"/>
      <c r="F152" s="21"/>
      <c r="G152" s="21"/>
      <c r="H152" s="21"/>
      <c r="I152" s="21"/>
      <c r="J152" s="21"/>
      <c r="K152" s="21"/>
    </row>
    <row r="153" spans="1:11" ht="15" customHeight="1" x14ac:dyDescent="0.25">
      <c r="A153" s="17" t="s">
        <v>287</v>
      </c>
      <c r="B153" s="14">
        <v>4722</v>
      </c>
      <c r="C153" s="14">
        <v>4237</v>
      </c>
      <c r="D153" s="14">
        <v>3229</v>
      </c>
      <c r="E153" s="14">
        <v>634</v>
      </c>
      <c r="F153" s="14">
        <v>374</v>
      </c>
      <c r="G153" s="14">
        <v>80078</v>
      </c>
      <c r="H153" s="14">
        <v>76584</v>
      </c>
      <c r="I153" s="14">
        <v>46147</v>
      </c>
      <c r="J153" s="14">
        <v>11914</v>
      </c>
      <c r="K153" s="14">
        <v>18523</v>
      </c>
    </row>
    <row r="154" spans="1:11" ht="15" customHeight="1" x14ac:dyDescent="0.25">
      <c r="A154" s="17" t="s">
        <v>421</v>
      </c>
      <c r="B154" s="14">
        <v>4461</v>
      </c>
      <c r="C154" s="14">
        <v>4097</v>
      </c>
      <c r="D154" s="14">
        <v>3093</v>
      </c>
      <c r="E154" s="14">
        <v>631</v>
      </c>
      <c r="F154" s="14">
        <v>374</v>
      </c>
      <c r="G154" s="14">
        <v>79294</v>
      </c>
      <c r="H154" s="14">
        <v>76414</v>
      </c>
      <c r="I154" s="14">
        <v>45554</v>
      </c>
      <c r="J154" s="14">
        <v>12198</v>
      </c>
      <c r="K154" s="14">
        <v>18662</v>
      </c>
    </row>
    <row r="155" spans="1:11" ht="15" customHeight="1" x14ac:dyDescent="0.25">
      <c r="A155" s="17" t="s">
        <v>197</v>
      </c>
      <c r="B155" s="14">
        <v>4423</v>
      </c>
      <c r="C155" s="14">
        <v>4423</v>
      </c>
      <c r="D155" s="14">
        <v>3348</v>
      </c>
      <c r="E155" s="14">
        <v>690</v>
      </c>
      <c r="F155" s="14">
        <v>385</v>
      </c>
      <c r="G155" s="14">
        <v>79015</v>
      </c>
      <c r="H155" s="14">
        <v>79015</v>
      </c>
      <c r="I155" s="14">
        <v>47534</v>
      </c>
      <c r="J155" s="14">
        <v>12688</v>
      </c>
      <c r="K155" s="14">
        <v>18793</v>
      </c>
    </row>
    <row r="156" spans="1:11" ht="15" customHeight="1" x14ac:dyDescent="0.25">
      <c r="A156" s="17" t="s">
        <v>422</v>
      </c>
      <c r="B156" s="14">
        <v>1589</v>
      </c>
      <c r="C156" s="14">
        <v>1573</v>
      </c>
      <c r="D156" s="14">
        <v>1190</v>
      </c>
      <c r="E156" s="14">
        <v>176</v>
      </c>
      <c r="F156" s="14">
        <v>208</v>
      </c>
      <c r="G156" s="14">
        <v>38546</v>
      </c>
      <c r="H156" s="14">
        <v>38389</v>
      </c>
      <c r="I156" s="14">
        <v>21608</v>
      </c>
      <c r="J156" s="14">
        <v>4102</v>
      </c>
      <c r="K156" s="14">
        <v>12679</v>
      </c>
    </row>
    <row r="157" spans="1:11" ht="15" customHeight="1" x14ac:dyDescent="0.25">
      <c r="A157" s="17" t="s">
        <v>423</v>
      </c>
      <c r="B157" s="14">
        <v>259</v>
      </c>
      <c r="C157" s="14">
        <v>228</v>
      </c>
      <c r="D157" s="14">
        <v>150</v>
      </c>
      <c r="E157" s="14">
        <v>55</v>
      </c>
      <c r="F157" s="14">
        <v>22</v>
      </c>
      <c r="G157" s="14">
        <v>5078</v>
      </c>
      <c r="H157" s="14">
        <v>4570</v>
      </c>
      <c r="I157" s="14">
        <v>2431</v>
      </c>
      <c r="J157" s="14">
        <v>1148</v>
      </c>
      <c r="K157" s="14">
        <v>990</v>
      </c>
    </row>
    <row r="158" spans="1:11" ht="27.95" customHeight="1" x14ac:dyDescent="0.25">
      <c r="A158" s="17" t="s">
        <v>424</v>
      </c>
      <c r="B158" s="14">
        <v>410</v>
      </c>
      <c r="C158" s="14">
        <v>395</v>
      </c>
      <c r="D158" s="14">
        <v>292</v>
      </c>
      <c r="E158" s="14">
        <v>34</v>
      </c>
      <c r="F158" s="14">
        <v>69</v>
      </c>
      <c r="G158" s="14">
        <v>25642</v>
      </c>
      <c r="H158" s="14">
        <v>25280</v>
      </c>
      <c r="I158" s="14">
        <v>14045</v>
      </c>
      <c r="J158" s="14">
        <v>2858</v>
      </c>
      <c r="K158" s="14">
        <v>8378</v>
      </c>
    </row>
    <row r="159" spans="1:11" ht="44.25" customHeight="1" x14ac:dyDescent="0.25">
      <c r="A159" s="15" t="s">
        <v>487</v>
      </c>
      <c r="B159" s="21"/>
      <c r="C159" s="21"/>
      <c r="D159" s="21"/>
      <c r="E159" s="21"/>
      <c r="F159" s="21"/>
      <c r="G159" s="21"/>
      <c r="H159" s="21"/>
      <c r="I159" s="21"/>
      <c r="J159" s="21"/>
      <c r="K159" s="21"/>
    </row>
    <row r="160" spans="1:11" ht="15" customHeight="1" x14ac:dyDescent="0.25">
      <c r="A160" s="17" t="s">
        <v>488</v>
      </c>
      <c r="B160" s="14">
        <v>153</v>
      </c>
      <c r="C160" s="14">
        <v>150</v>
      </c>
      <c r="D160" s="14">
        <v>95</v>
      </c>
      <c r="E160" s="14">
        <v>17</v>
      </c>
      <c r="F160" s="14">
        <v>38</v>
      </c>
      <c r="G160" s="14">
        <v>9884</v>
      </c>
      <c r="H160" s="14">
        <v>9864</v>
      </c>
      <c r="I160" s="14">
        <v>4357</v>
      </c>
      <c r="J160" s="14">
        <v>899</v>
      </c>
      <c r="K160" s="14">
        <v>4608</v>
      </c>
    </row>
    <row r="161" spans="1:11" ht="15" customHeight="1" x14ac:dyDescent="0.25">
      <c r="A161" s="17" t="s">
        <v>489</v>
      </c>
      <c r="B161" s="14">
        <v>173</v>
      </c>
      <c r="C161" s="14">
        <v>173</v>
      </c>
      <c r="D161" s="14">
        <v>97</v>
      </c>
      <c r="E161" s="14">
        <v>13</v>
      </c>
      <c r="F161" s="14">
        <v>63</v>
      </c>
      <c r="G161" s="14">
        <v>9787</v>
      </c>
      <c r="H161" s="14">
        <v>9778</v>
      </c>
      <c r="I161" s="14">
        <v>3500</v>
      </c>
      <c r="J161" s="14">
        <v>1131</v>
      </c>
      <c r="K161" s="14">
        <v>5147</v>
      </c>
    </row>
    <row r="162" spans="1:11" ht="15" customHeight="1" x14ac:dyDescent="0.25">
      <c r="A162" s="17" t="s">
        <v>490</v>
      </c>
      <c r="B162" s="14">
        <v>130</v>
      </c>
      <c r="C162" s="14">
        <v>130</v>
      </c>
      <c r="D162" s="14">
        <v>81</v>
      </c>
      <c r="E162" s="14">
        <v>12</v>
      </c>
      <c r="F162" s="14">
        <v>38</v>
      </c>
      <c r="G162" s="14">
        <v>15222</v>
      </c>
      <c r="H162" s="14">
        <v>15219</v>
      </c>
      <c r="I162" s="14">
        <v>8204</v>
      </c>
      <c r="J162" s="14">
        <v>1429</v>
      </c>
      <c r="K162" s="14">
        <v>5587</v>
      </c>
    </row>
    <row r="163" spans="1:11" ht="27.95" customHeight="1" x14ac:dyDescent="0.25">
      <c r="A163" s="17" t="s">
        <v>491</v>
      </c>
      <c r="B163" s="14">
        <v>282</v>
      </c>
      <c r="C163" s="14">
        <v>282</v>
      </c>
      <c r="D163" s="14">
        <v>181</v>
      </c>
      <c r="E163" s="14">
        <v>41</v>
      </c>
      <c r="F163" s="14">
        <v>60</v>
      </c>
      <c r="G163" s="14">
        <v>16150</v>
      </c>
      <c r="H163" s="14">
        <v>16150</v>
      </c>
      <c r="I163" s="14">
        <v>8757</v>
      </c>
      <c r="J163" s="14">
        <v>1491</v>
      </c>
      <c r="K163" s="14">
        <v>5901</v>
      </c>
    </row>
    <row r="164" spans="1:11" ht="15" customHeight="1" x14ac:dyDescent="0.25">
      <c r="A164" s="17" t="s">
        <v>492</v>
      </c>
      <c r="B164" s="14">
        <v>736</v>
      </c>
      <c r="C164" s="14">
        <v>723</v>
      </c>
      <c r="D164" s="14">
        <v>577</v>
      </c>
      <c r="E164" s="14">
        <v>82</v>
      </c>
      <c r="F164" s="14">
        <v>64</v>
      </c>
      <c r="G164" s="14">
        <v>14054</v>
      </c>
      <c r="H164" s="14">
        <v>13926</v>
      </c>
      <c r="I164" s="14">
        <v>8428</v>
      </c>
      <c r="J164" s="14">
        <v>1284</v>
      </c>
      <c r="K164" s="14">
        <v>4213</v>
      </c>
    </row>
    <row r="165" spans="1:11" ht="15" customHeight="1" thickBot="1" x14ac:dyDescent="0.3">
      <c r="A165" s="18"/>
    </row>
    <row r="166" spans="1:11" ht="153" customHeight="1" x14ac:dyDescent="0.25">
      <c r="A166" s="111" t="s">
        <v>493</v>
      </c>
      <c r="B166" s="112"/>
      <c r="C166" s="112"/>
      <c r="D166" s="112"/>
      <c r="E166" s="112"/>
      <c r="F166" s="112"/>
      <c r="G166" s="112"/>
      <c r="H166" s="112"/>
      <c r="I166" s="112"/>
      <c r="J166" s="112"/>
      <c r="K166" s="112"/>
    </row>
  </sheetData>
  <mergeCells count="10">
    <mergeCell ref="A2:K2"/>
    <mergeCell ref="I4:K4"/>
    <mergeCell ref="G3:K3"/>
    <mergeCell ref="B4:B5"/>
    <mergeCell ref="C4:C5"/>
    <mergeCell ref="G4:G5"/>
    <mergeCell ref="A166:K166"/>
    <mergeCell ref="D4:F4"/>
    <mergeCell ref="B3:F3"/>
    <mergeCell ref="H4:H5"/>
  </mergeCells>
  <pageMargins left="0.7" right="0.7" top="0.6" bottom="0.6" header="0.3" footer="0.3"/>
  <pageSetup scale="85" fitToHeight="0" orientation="portrait"/>
  <rowBreaks count="3" manualBreakCount="3">
    <brk id="45" max="16383" man="1"/>
    <brk id="79" max="16383" man="1"/>
    <brk id="106"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92"/>
  <sheetViews>
    <sheetView workbookViewId="0"/>
  </sheetViews>
  <sheetFormatPr defaultRowHeight="15" x14ac:dyDescent="0.25"/>
  <sheetData>
    <row r="1" spans="1:31" x14ac:dyDescent="0.25">
      <c r="A1" t="s">
        <v>494</v>
      </c>
    </row>
    <row r="2" spans="1:31" x14ac:dyDescent="0.25">
      <c r="A2" t="s">
        <v>495</v>
      </c>
    </row>
    <row r="3" spans="1:31" x14ac:dyDescent="0.25">
      <c r="A3" t="s">
        <v>496</v>
      </c>
    </row>
    <row r="4" spans="1:31" x14ac:dyDescent="0.25">
      <c r="A4" t="s">
        <v>497</v>
      </c>
    </row>
    <row r="5" spans="1:31" x14ac:dyDescent="0.25">
      <c r="B5" t="s">
        <v>229</v>
      </c>
      <c r="C5" t="s">
        <v>230</v>
      </c>
      <c r="D5" t="s">
        <v>231</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498</v>
      </c>
    </row>
    <row r="6" spans="1:31" x14ac:dyDescent="0.25">
      <c r="A6" t="s">
        <v>232</v>
      </c>
    </row>
    <row r="7" spans="1:31" x14ac:dyDescent="0.25">
      <c r="A7" t="s">
        <v>162</v>
      </c>
    </row>
    <row r="8" spans="1:31" x14ac:dyDescent="0.25">
      <c r="A8" t="s">
        <v>164</v>
      </c>
      <c r="B8" t="s">
        <v>233</v>
      </c>
      <c r="C8" t="s">
        <v>499</v>
      </c>
      <c r="D8" t="s">
        <v>234</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500</v>
      </c>
    </row>
    <row r="9" spans="1:31" x14ac:dyDescent="0.25">
      <c r="A9" t="s">
        <v>165</v>
      </c>
      <c r="B9" t="s">
        <v>235</v>
      </c>
      <c r="C9" t="s">
        <v>501</v>
      </c>
      <c r="D9" t="s">
        <v>234</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502</v>
      </c>
    </row>
    <row r="10" spans="1:31" x14ac:dyDescent="0.25">
      <c r="A10" t="s">
        <v>166</v>
      </c>
      <c r="B10" t="s">
        <v>236</v>
      </c>
      <c r="C10" t="s">
        <v>503</v>
      </c>
      <c r="D10" t="s">
        <v>234</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504</v>
      </c>
    </row>
    <row r="11" spans="1:31" x14ac:dyDescent="0.25">
      <c r="A11" t="s">
        <v>167</v>
      </c>
      <c r="B11" t="s">
        <v>237</v>
      </c>
      <c r="C11" t="s">
        <v>505</v>
      </c>
      <c r="D11" t="s">
        <v>234</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506</v>
      </c>
    </row>
    <row r="12" spans="1:31" x14ac:dyDescent="0.25">
      <c r="A12" t="s">
        <v>168</v>
      </c>
      <c r="B12" t="s">
        <v>238</v>
      </c>
      <c r="C12" t="s">
        <v>507</v>
      </c>
      <c r="D12" t="s">
        <v>234</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508</v>
      </c>
    </row>
    <row r="13" spans="1:31" x14ac:dyDescent="0.25">
      <c r="A13" t="s">
        <v>169</v>
      </c>
      <c r="B13" t="s">
        <v>239</v>
      </c>
      <c r="C13" t="s">
        <v>509</v>
      </c>
      <c r="D13" t="s">
        <v>234</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510</v>
      </c>
    </row>
    <row r="14" spans="1:31" x14ac:dyDescent="0.25">
      <c r="A14" t="s">
        <v>171</v>
      </c>
      <c r="B14" t="s">
        <v>241</v>
      </c>
      <c r="C14" t="s">
        <v>511</v>
      </c>
      <c r="D14" t="s">
        <v>234</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512</v>
      </c>
    </row>
    <row r="15" spans="1:31" x14ac:dyDescent="0.25">
      <c r="A15" t="s">
        <v>172</v>
      </c>
      <c r="B15" t="s">
        <v>242</v>
      </c>
      <c r="C15" t="s">
        <v>513</v>
      </c>
      <c r="D15" t="s">
        <v>234</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514</v>
      </c>
    </row>
    <row r="16" spans="1:31" x14ac:dyDescent="0.25">
      <c r="A16" t="s">
        <v>243</v>
      </c>
      <c r="B16" t="s">
        <v>244</v>
      </c>
      <c r="C16" t="s">
        <v>515</v>
      </c>
      <c r="D16" t="s">
        <v>234</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516</v>
      </c>
    </row>
    <row r="17" spans="1:31" x14ac:dyDescent="0.25">
      <c r="A17" t="s">
        <v>245</v>
      </c>
    </row>
    <row r="18" spans="1:31" x14ac:dyDescent="0.25">
      <c r="A18" t="s">
        <v>164</v>
      </c>
      <c r="B18" t="s">
        <v>246</v>
      </c>
      <c r="C18" t="s">
        <v>517</v>
      </c>
      <c r="D18" t="s">
        <v>234</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500</v>
      </c>
    </row>
    <row r="19" spans="1:31" x14ac:dyDescent="0.25">
      <c r="A19" t="s">
        <v>166</v>
      </c>
      <c r="B19" t="s">
        <v>247</v>
      </c>
      <c r="C19" t="s">
        <v>518</v>
      </c>
      <c r="D19" t="s">
        <v>234</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504</v>
      </c>
    </row>
    <row r="20" spans="1:31" x14ac:dyDescent="0.25">
      <c r="A20" t="s">
        <v>172</v>
      </c>
      <c r="B20" t="s">
        <v>248</v>
      </c>
      <c r="C20" t="s">
        <v>519</v>
      </c>
      <c r="D20" t="s">
        <v>234</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514</v>
      </c>
    </row>
    <row r="21" spans="1:31" x14ac:dyDescent="0.25">
      <c r="A21" t="s">
        <v>174</v>
      </c>
      <c r="B21" t="s">
        <v>249</v>
      </c>
      <c r="C21" t="s">
        <v>520</v>
      </c>
      <c r="D21" t="s">
        <v>234</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521</v>
      </c>
    </row>
    <row r="22" spans="1:31" x14ac:dyDescent="0.25">
      <c r="A22" t="s">
        <v>175</v>
      </c>
      <c r="B22" t="s">
        <v>250</v>
      </c>
      <c r="C22" t="s">
        <v>522</v>
      </c>
      <c r="D22" t="s">
        <v>234</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523</v>
      </c>
    </row>
    <row r="23" spans="1:31" x14ac:dyDescent="0.25">
      <c r="A23" t="s">
        <v>243</v>
      </c>
      <c r="B23" t="s">
        <v>251</v>
      </c>
      <c r="C23" t="s">
        <v>524</v>
      </c>
      <c r="D23" t="s">
        <v>234</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525</v>
      </c>
    </row>
    <row r="24" spans="1:31" x14ac:dyDescent="0.25">
      <c r="A24" t="s">
        <v>252</v>
      </c>
    </row>
    <row r="25" spans="1:31" x14ac:dyDescent="0.25">
      <c r="A25" t="s">
        <v>177</v>
      </c>
      <c r="B25" t="s">
        <v>253</v>
      </c>
      <c r="C25" t="s">
        <v>526</v>
      </c>
      <c r="D25" t="s">
        <v>234</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502</v>
      </c>
    </row>
    <row r="26" spans="1:31" x14ac:dyDescent="0.25">
      <c r="A26" t="s">
        <v>178</v>
      </c>
      <c r="B26" t="s">
        <v>254</v>
      </c>
      <c r="C26" t="s">
        <v>527</v>
      </c>
      <c r="D26" t="s">
        <v>234</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506</v>
      </c>
    </row>
    <row r="27" spans="1:31" x14ac:dyDescent="0.25">
      <c r="A27" t="s">
        <v>168</v>
      </c>
      <c r="B27" t="s">
        <v>255</v>
      </c>
      <c r="C27" t="s">
        <v>528</v>
      </c>
      <c r="D27" t="s">
        <v>234</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529</v>
      </c>
    </row>
    <row r="28" spans="1:31" x14ac:dyDescent="0.25">
      <c r="A28" t="s">
        <v>169</v>
      </c>
      <c r="B28" t="s">
        <v>256</v>
      </c>
      <c r="C28" t="s">
        <v>530</v>
      </c>
      <c r="D28" t="s">
        <v>234</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531</v>
      </c>
    </row>
    <row r="29" spans="1:31" x14ac:dyDescent="0.25">
      <c r="A29" t="s">
        <v>179</v>
      </c>
      <c r="B29" t="s">
        <v>257</v>
      </c>
      <c r="C29" t="s">
        <v>532</v>
      </c>
      <c r="D29" t="s">
        <v>234</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523</v>
      </c>
    </row>
    <row r="30" spans="1:31" x14ac:dyDescent="0.25">
      <c r="A30" t="s">
        <v>243</v>
      </c>
      <c r="B30" t="s">
        <v>258</v>
      </c>
      <c r="C30" t="s">
        <v>533</v>
      </c>
      <c r="D30" t="s">
        <v>234</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516</v>
      </c>
    </row>
    <row r="31" spans="1:31" x14ac:dyDescent="0.25">
      <c r="A31" t="s">
        <v>259</v>
      </c>
    </row>
    <row r="32" spans="1:31" x14ac:dyDescent="0.25">
      <c r="A32" t="s">
        <v>177</v>
      </c>
      <c r="B32" t="s">
        <v>260</v>
      </c>
      <c r="C32" t="s">
        <v>534</v>
      </c>
      <c r="D32" t="s">
        <v>234</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514</v>
      </c>
    </row>
    <row r="33" spans="1:31" x14ac:dyDescent="0.25">
      <c r="A33" t="s">
        <v>178</v>
      </c>
      <c r="B33" t="s">
        <v>261</v>
      </c>
      <c r="C33" t="s">
        <v>535</v>
      </c>
      <c r="D33" t="s">
        <v>234</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506</v>
      </c>
    </row>
    <row r="34" spans="1:31" x14ac:dyDescent="0.25">
      <c r="A34" t="s">
        <v>169</v>
      </c>
      <c r="B34" t="s">
        <v>262</v>
      </c>
      <c r="C34" t="s">
        <v>536</v>
      </c>
      <c r="D34" t="s">
        <v>234</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523</v>
      </c>
    </row>
    <row r="35" spans="1:31" x14ac:dyDescent="0.25">
      <c r="A35" t="s">
        <v>243</v>
      </c>
      <c r="B35" t="s">
        <v>263</v>
      </c>
      <c r="C35" t="s">
        <v>537</v>
      </c>
      <c r="D35" t="s">
        <v>234</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514</v>
      </c>
    </row>
    <row r="36" spans="1:31" x14ac:dyDescent="0.25">
      <c r="A36" t="s">
        <v>264</v>
      </c>
    </row>
    <row r="37" spans="1:31" x14ac:dyDescent="0.25">
      <c r="A37" t="s">
        <v>177</v>
      </c>
      <c r="B37" t="s">
        <v>265</v>
      </c>
      <c r="C37" t="s">
        <v>538</v>
      </c>
      <c r="D37" t="s">
        <v>234</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539</v>
      </c>
    </row>
    <row r="38" spans="1:31" x14ac:dyDescent="0.25">
      <c r="A38" t="s">
        <v>178</v>
      </c>
      <c r="B38" t="s">
        <v>266</v>
      </c>
      <c r="C38" t="s">
        <v>540</v>
      </c>
      <c r="D38" t="s">
        <v>234</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541</v>
      </c>
    </row>
    <row r="39" spans="1:31" x14ac:dyDescent="0.25">
      <c r="A39" t="s">
        <v>243</v>
      </c>
      <c r="B39" t="s">
        <v>267</v>
      </c>
      <c r="C39" t="s">
        <v>542</v>
      </c>
      <c r="D39" t="s">
        <v>234</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543</v>
      </c>
    </row>
    <row r="40" spans="1:31" x14ac:dyDescent="0.25">
      <c r="A40" t="s">
        <v>268</v>
      </c>
    </row>
    <row r="41" spans="1:31" x14ac:dyDescent="0.25">
      <c r="A41" t="s">
        <v>269</v>
      </c>
      <c r="B41" t="s">
        <v>270</v>
      </c>
      <c r="C41" t="s">
        <v>544</v>
      </c>
      <c r="D41" t="s">
        <v>234</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516</v>
      </c>
    </row>
    <row r="42" spans="1:31" x14ac:dyDescent="0.25">
      <c r="A42" t="s">
        <v>271</v>
      </c>
      <c r="B42" t="s">
        <v>272</v>
      </c>
      <c r="C42" t="s">
        <v>545</v>
      </c>
      <c r="D42" t="s">
        <v>234</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506</v>
      </c>
    </row>
    <row r="43" spans="1:31" x14ac:dyDescent="0.25">
      <c r="A43" t="s">
        <v>546</v>
      </c>
    </row>
    <row r="44" spans="1:31" x14ac:dyDescent="0.25">
      <c r="A44" t="s">
        <v>162</v>
      </c>
    </row>
    <row r="45" spans="1:31" x14ac:dyDescent="0.25">
      <c r="A45" t="s">
        <v>547</v>
      </c>
      <c r="B45" t="s">
        <v>548</v>
      </c>
      <c r="C45" t="s">
        <v>549</v>
      </c>
      <c r="D45" t="s">
        <v>550</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504</v>
      </c>
    </row>
    <row r="46" spans="1:31" x14ac:dyDescent="0.25">
      <c r="A46" t="s">
        <v>551</v>
      </c>
      <c r="B46" t="s">
        <v>552</v>
      </c>
      <c r="C46" t="s">
        <v>553</v>
      </c>
      <c r="D46" t="s">
        <v>554</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555</v>
      </c>
    </row>
    <row r="47" spans="1:31" x14ac:dyDescent="0.25">
      <c r="A47" t="s">
        <v>556</v>
      </c>
      <c r="B47" t="s">
        <v>557</v>
      </c>
      <c r="C47" t="s">
        <v>558</v>
      </c>
      <c r="D47" t="s">
        <v>559</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560</v>
      </c>
    </row>
    <row r="48" spans="1:31" x14ac:dyDescent="0.25">
      <c r="A48" t="s">
        <v>561</v>
      </c>
      <c r="B48" t="s">
        <v>562</v>
      </c>
      <c r="C48" t="s">
        <v>563</v>
      </c>
      <c r="D48" t="s">
        <v>564</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514</v>
      </c>
    </row>
    <row r="49" spans="1:31" x14ac:dyDescent="0.25">
      <c r="A49" t="s">
        <v>565</v>
      </c>
      <c r="B49" t="s">
        <v>566</v>
      </c>
      <c r="C49" t="s">
        <v>567</v>
      </c>
      <c r="D49" t="s">
        <v>564</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555</v>
      </c>
    </row>
    <row r="50" spans="1:31" x14ac:dyDescent="0.25">
      <c r="A50" t="s">
        <v>173</v>
      </c>
    </row>
    <row r="51" spans="1:31" x14ac:dyDescent="0.25">
      <c r="A51" t="s">
        <v>568</v>
      </c>
      <c r="B51" t="s">
        <v>569</v>
      </c>
      <c r="C51" t="s">
        <v>570</v>
      </c>
      <c r="D51" t="s">
        <v>571</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506</v>
      </c>
    </row>
    <row r="52" spans="1:31" x14ac:dyDescent="0.25">
      <c r="A52" t="s">
        <v>551</v>
      </c>
      <c r="B52" t="s">
        <v>572</v>
      </c>
      <c r="C52" t="s">
        <v>573</v>
      </c>
      <c r="D52" t="s">
        <v>554</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560</v>
      </c>
    </row>
    <row r="53" spans="1:31" x14ac:dyDescent="0.25">
      <c r="A53" t="s">
        <v>574</v>
      </c>
      <c r="B53" t="s">
        <v>575</v>
      </c>
      <c r="C53" t="s">
        <v>576</v>
      </c>
      <c r="D53" t="s">
        <v>577</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514</v>
      </c>
    </row>
    <row r="54" spans="1:31" x14ac:dyDescent="0.25">
      <c r="A54" t="s">
        <v>578</v>
      </c>
      <c r="B54" t="s">
        <v>579</v>
      </c>
      <c r="C54" t="s">
        <v>580</v>
      </c>
      <c r="D54" t="s">
        <v>571</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504</v>
      </c>
    </row>
    <row r="55" spans="1:31" x14ac:dyDescent="0.25">
      <c r="A55" t="s">
        <v>581</v>
      </c>
      <c r="B55" t="s">
        <v>582</v>
      </c>
      <c r="C55" t="s">
        <v>583</v>
      </c>
      <c r="D55" t="s">
        <v>577</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584</v>
      </c>
    </row>
    <row r="56" spans="1:31" x14ac:dyDescent="0.25">
      <c r="A56" t="s">
        <v>176</v>
      </c>
    </row>
    <row r="57" spans="1:31" x14ac:dyDescent="0.25">
      <c r="A57" t="s">
        <v>585</v>
      </c>
      <c r="B57" t="s">
        <v>586</v>
      </c>
      <c r="C57" t="s">
        <v>587</v>
      </c>
      <c r="D57" t="s">
        <v>588</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589</v>
      </c>
    </row>
    <row r="58" spans="1:31" x14ac:dyDescent="0.25">
      <c r="A58" t="s">
        <v>590</v>
      </c>
      <c r="B58" t="s">
        <v>591</v>
      </c>
      <c r="C58" t="s">
        <v>592</v>
      </c>
      <c r="D58" t="s">
        <v>588</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593</v>
      </c>
    </row>
    <row r="59" spans="1:31" x14ac:dyDescent="0.25">
      <c r="A59" t="s">
        <v>594</v>
      </c>
      <c r="B59" t="s">
        <v>595</v>
      </c>
      <c r="C59" t="s">
        <v>596</v>
      </c>
      <c r="D59" t="s">
        <v>588</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514</v>
      </c>
    </row>
    <row r="60" spans="1:31" x14ac:dyDescent="0.25">
      <c r="A60" t="s">
        <v>597</v>
      </c>
      <c r="B60" t="s">
        <v>598</v>
      </c>
      <c r="C60" t="s">
        <v>599</v>
      </c>
      <c r="D60" t="s">
        <v>588</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593</v>
      </c>
    </row>
    <row r="61" spans="1:31" x14ac:dyDescent="0.25">
      <c r="A61" t="s">
        <v>600</v>
      </c>
    </row>
    <row r="62" spans="1:31" x14ac:dyDescent="0.25">
      <c r="A62" t="s">
        <v>269</v>
      </c>
      <c r="B62" t="s">
        <v>601</v>
      </c>
      <c r="C62" t="s">
        <v>602</v>
      </c>
      <c r="D62" t="s">
        <v>603</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604</v>
      </c>
    </row>
    <row r="63" spans="1:31" x14ac:dyDescent="0.25">
      <c r="A63" t="s">
        <v>271</v>
      </c>
      <c r="B63" t="s">
        <v>605</v>
      </c>
      <c r="C63" t="s">
        <v>606</v>
      </c>
      <c r="D63" t="s">
        <v>603</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607</v>
      </c>
    </row>
    <row r="64" spans="1:31" x14ac:dyDescent="0.25">
      <c r="A64" t="s">
        <v>608</v>
      </c>
    </row>
    <row r="65" spans="1:31" x14ac:dyDescent="0.25">
      <c r="A65" t="s">
        <v>609</v>
      </c>
    </row>
    <row r="66" spans="1:31" x14ac:dyDescent="0.25">
      <c r="A66" t="s">
        <v>610</v>
      </c>
      <c r="B66" t="s">
        <v>611</v>
      </c>
      <c r="C66" t="s">
        <v>612</v>
      </c>
      <c r="D66" t="s">
        <v>613</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614</v>
      </c>
    </row>
    <row r="67" spans="1:31" x14ac:dyDescent="0.25">
      <c r="A67" t="s">
        <v>615</v>
      </c>
      <c r="B67" t="s">
        <v>616</v>
      </c>
      <c r="C67" t="s">
        <v>617</v>
      </c>
      <c r="D67" t="s">
        <v>613</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560</v>
      </c>
    </row>
    <row r="68" spans="1:31" x14ac:dyDescent="0.25">
      <c r="A68" t="s">
        <v>618</v>
      </c>
      <c r="B68" t="s">
        <v>619</v>
      </c>
      <c r="C68" t="s">
        <v>620</v>
      </c>
      <c r="D68" t="s">
        <v>613</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508</v>
      </c>
    </row>
    <row r="69" spans="1:31" x14ac:dyDescent="0.25">
      <c r="A69" t="s">
        <v>173</v>
      </c>
    </row>
    <row r="70" spans="1:31" x14ac:dyDescent="0.25">
      <c r="A70" t="s">
        <v>610</v>
      </c>
      <c r="B70" t="s">
        <v>621</v>
      </c>
      <c r="C70" t="s">
        <v>622</v>
      </c>
      <c r="D70" t="s">
        <v>613</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623</v>
      </c>
    </row>
    <row r="71" spans="1:31" x14ac:dyDescent="0.25">
      <c r="A71" t="s">
        <v>615</v>
      </c>
      <c r="B71" t="s">
        <v>624</v>
      </c>
      <c r="C71" t="s">
        <v>625</v>
      </c>
      <c r="D71" t="s">
        <v>613</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510</v>
      </c>
    </row>
    <row r="72" spans="1:31" x14ac:dyDescent="0.25">
      <c r="A72" t="s">
        <v>618</v>
      </c>
      <c r="B72" t="s">
        <v>626</v>
      </c>
      <c r="C72" t="s">
        <v>627</v>
      </c>
      <c r="D72" t="s">
        <v>613</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512</v>
      </c>
    </row>
    <row r="73" spans="1:31" x14ac:dyDescent="0.25">
      <c r="A73" t="s">
        <v>628</v>
      </c>
    </row>
    <row r="74" spans="1:31" x14ac:dyDescent="0.25">
      <c r="A74" t="s">
        <v>629</v>
      </c>
    </row>
    <row r="75" spans="1:31" x14ac:dyDescent="0.25">
      <c r="A75" t="s">
        <v>630</v>
      </c>
    </row>
    <row r="76" spans="1:31" x14ac:dyDescent="0.25">
      <c r="A76" t="s">
        <v>631</v>
      </c>
      <c r="B76" t="s">
        <v>632</v>
      </c>
      <c r="C76" t="s">
        <v>633</v>
      </c>
      <c r="D76" t="s">
        <v>634</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635</v>
      </c>
    </row>
    <row r="77" spans="1:31" x14ac:dyDescent="0.25">
      <c r="A77" t="s">
        <v>636</v>
      </c>
      <c r="B77" t="s">
        <v>637</v>
      </c>
      <c r="C77" t="s">
        <v>638</v>
      </c>
      <c r="D77" t="s">
        <v>634</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639</v>
      </c>
    </row>
    <row r="78" spans="1:31" x14ac:dyDescent="0.25">
      <c r="A78" t="s">
        <v>640</v>
      </c>
      <c r="B78" t="s">
        <v>641</v>
      </c>
      <c r="C78" t="s">
        <v>642</v>
      </c>
      <c r="D78" t="s">
        <v>634</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643</v>
      </c>
    </row>
    <row r="79" spans="1:31" x14ac:dyDescent="0.25">
      <c r="A79" t="s">
        <v>243</v>
      </c>
      <c r="B79" t="s">
        <v>644</v>
      </c>
      <c r="C79" t="s">
        <v>645</v>
      </c>
      <c r="D79" t="s">
        <v>634</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639</v>
      </c>
    </row>
    <row r="80" spans="1:31" x14ac:dyDescent="0.25">
      <c r="A80" t="s">
        <v>646</v>
      </c>
    </row>
    <row r="81" spans="1:31" x14ac:dyDescent="0.25">
      <c r="A81" t="s">
        <v>631</v>
      </c>
      <c r="B81" t="s">
        <v>647</v>
      </c>
      <c r="C81" t="s">
        <v>648</v>
      </c>
      <c r="D81" t="s">
        <v>649</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635</v>
      </c>
    </row>
    <row r="82" spans="1:31" x14ac:dyDescent="0.25">
      <c r="A82" t="s">
        <v>636</v>
      </c>
      <c r="B82" t="s">
        <v>650</v>
      </c>
      <c r="C82" t="s">
        <v>651</v>
      </c>
      <c r="D82" t="s">
        <v>649</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652</v>
      </c>
    </row>
    <row r="83" spans="1:31" x14ac:dyDescent="0.25">
      <c r="A83" t="s">
        <v>640</v>
      </c>
      <c r="B83" t="s">
        <v>653</v>
      </c>
      <c r="C83" t="s">
        <v>654</v>
      </c>
      <c r="D83" t="s">
        <v>649</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543</v>
      </c>
    </row>
    <row r="84" spans="1:31" x14ac:dyDescent="0.25">
      <c r="A84" t="s">
        <v>243</v>
      </c>
      <c r="B84" t="s">
        <v>655</v>
      </c>
      <c r="C84" t="s">
        <v>656</v>
      </c>
      <c r="D84" t="s">
        <v>649</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652</v>
      </c>
    </row>
    <row r="85" spans="1:31" x14ac:dyDescent="0.25">
      <c r="A85" t="s">
        <v>657</v>
      </c>
    </row>
    <row r="86" spans="1:31" x14ac:dyDescent="0.25">
      <c r="A86" t="s">
        <v>658</v>
      </c>
      <c r="B86" t="s">
        <v>659</v>
      </c>
      <c r="C86" t="s">
        <v>660</v>
      </c>
      <c r="D86" t="s">
        <v>649</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661</v>
      </c>
    </row>
    <row r="87" spans="1:31" x14ac:dyDescent="0.25">
      <c r="A87" t="s">
        <v>662</v>
      </c>
      <c r="B87" t="s">
        <v>663</v>
      </c>
      <c r="C87" t="s">
        <v>664</v>
      </c>
      <c r="D87" t="s">
        <v>649</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665</v>
      </c>
    </row>
    <row r="88" spans="1:31" x14ac:dyDescent="0.25">
      <c r="A88" t="s">
        <v>666</v>
      </c>
    </row>
    <row r="89" spans="1:31" x14ac:dyDescent="0.25">
      <c r="A89" t="s">
        <v>631</v>
      </c>
      <c r="B89" t="s">
        <v>667</v>
      </c>
      <c r="C89" t="s">
        <v>668</v>
      </c>
      <c r="D89" t="s">
        <v>669</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635</v>
      </c>
    </row>
    <row r="90" spans="1:31" x14ac:dyDescent="0.25">
      <c r="A90" t="s">
        <v>636</v>
      </c>
      <c r="B90" t="s">
        <v>670</v>
      </c>
      <c r="C90" t="s">
        <v>671</v>
      </c>
      <c r="D90" t="s">
        <v>669</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652</v>
      </c>
    </row>
    <row r="91" spans="1:31" x14ac:dyDescent="0.25">
      <c r="A91" t="s">
        <v>640</v>
      </c>
      <c r="B91" t="s">
        <v>672</v>
      </c>
      <c r="C91" t="s">
        <v>673</v>
      </c>
      <c r="D91" t="s">
        <v>669</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543</v>
      </c>
    </row>
    <row r="92" spans="1:31" x14ac:dyDescent="0.25">
      <c r="A92" t="s">
        <v>243</v>
      </c>
      <c r="B92" t="s">
        <v>674</v>
      </c>
      <c r="C92" t="s">
        <v>675</v>
      </c>
      <c r="D92" t="s">
        <v>669</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652</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11"/>
  <sheetViews>
    <sheetView workbookViewId="0"/>
  </sheetViews>
  <sheetFormatPr defaultRowHeight="15" x14ac:dyDescent="0.25"/>
  <cols>
    <col min="1" max="1" width="60" customWidth="1"/>
  </cols>
  <sheetData>
    <row r="1" spans="1:3" x14ac:dyDescent="0.25">
      <c r="A1" s="98" t="s">
        <v>676</v>
      </c>
    </row>
    <row r="3" spans="1:3" x14ac:dyDescent="0.25">
      <c r="A3" s="98" t="s">
        <v>677</v>
      </c>
    </row>
    <row r="4" spans="1:3" x14ac:dyDescent="0.25">
      <c r="A4" t="s">
        <v>678</v>
      </c>
      <c r="B4">
        <f>('Factors applied'!$E$3+'Factors applied'!$E$4+'Factors applied'!$E$5)</f>
        <v>1</v>
      </c>
      <c r="C4" s="98" t="str">
        <f t="shared" ref="C4:C35" si="0">IF(ABS(B4-1)&lt;0.000000001,"PASS","FAIL")</f>
        <v>PASS</v>
      </c>
    </row>
    <row r="5" spans="1:3" x14ac:dyDescent="0.25">
      <c r="A5" t="s">
        <v>679</v>
      </c>
      <c r="B5">
        <f>('Factors applied'!$E$6+'Factors applied'!$E$7)</f>
        <v>1</v>
      </c>
      <c r="C5" s="98" t="str">
        <f t="shared" si="0"/>
        <v>PASS</v>
      </c>
    </row>
    <row r="6" spans="1:3" x14ac:dyDescent="0.25">
      <c r="A6" t="s">
        <v>680</v>
      </c>
      <c r="B6">
        <f>('Factors applied'!$E$8+'Factors applied'!$E$9)</f>
        <v>1</v>
      </c>
      <c r="C6" s="98" t="str">
        <f t="shared" si="0"/>
        <v>PASS</v>
      </c>
    </row>
    <row r="7" spans="1:3" x14ac:dyDescent="0.25">
      <c r="A7" t="s">
        <v>681</v>
      </c>
      <c r="B7">
        <f>('Factors applied'!$E$10+'Factors applied'!$E$11+'Factors applied'!$E$12+'Factors applied'!$E$13+'Factors applied'!$E$14)</f>
        <v>0.99999999999999989</v>
      </c>
      <c r="C7" s="98" t="str">
        <f t="shared" si="0"/>
        <v>PASS</v>
      </c>
    </row>
    <row r="8" spans="1:3" x14ac:dyDescent="0.25">
      <c r="A8" t="s">
        <v>682</v>
      </c>
      <c r="B8">
        <f>('Factors applied'!$E$15+'Factors applied'!$E$16)</f>
        <v>1</v>
      </c>
      <c r="C8" s="98" t="str">
        <f t="shared" si="0"/>
        <v>PASS</v>
      </c>
    </row>
    <row r="9" spans="1:3" x14ac:dyDescent="0.25">
      <c r="A9" t="s">
        <v>683</v>
      </c>
      <c r="B9">
        <f>('Factors applied'!$E$17+'Factors applied'!$E$18)</f>
        <v>1</v>
      </c>
      <c r="C9" s="98" t="str">
        <f t="shared" si="0"/>
        <v>PASS</v>
      </c>
    </row>
    <row r="10" spans="1:3" x14ac:dyDescent="0.25">
      <c r="A10" t="s">
        <v>684</v>
      </c>
      <c r="B10">
        <f>('Factors applied'!$E$19+'Factors applied'!$E$20+'Factors applied'!$E$21)</f>
        <v>1</v>
      </c>
      <c r="C10" s="98" t="str">
        <f t="shared" si="0"/>
        <v>PASS</v>
      </c>
    </row>
    <row r="11" spans="1:3" x14ac:dyDescent="0.25">
      <c r="A11" t="s">
        <v>685</v>
      </c>
      <c r="B11">
        <f>('Factors applied'!$E$22+'Factors applied'!$E$23)</f>
        <v>1</v>
      </c>
      <c r="C11" s="98" t="str">
        <f t="shared" si="0"/>
        <v>PASS</v>
      </c>
    </row>
    <row r="12" spans="1:3" x14ac:dyDescent="0.25">
      <c r="A12" t="s">
        <v>686</v>
      </c>
      <c r="B12">
        <f>('Factors applied'!$E$24+'Factors applied'!$E$25)</f>
        <v>1</v>
      </c>
      <c r="C12" s="98" t="str">
        <f t="shared" si="0"/>
        <v>PASS</v>
      </c>
    </row>
    <row r="13" spans="1:3" x14ac:dyDescent="0.25">
      <c r="A13" t="s">
        <v>687</v>
      </c>
      <c r="B13">
        <f>('Factors applied'!$E$26+'Factors applied'!$E$27+'Factors applied'!$E$28+'Factors applied'!$E$29+'Factors applied'!$E$30)</f>
        <v>0.99999999999999989</v>
      </c>
      <c r="C13" s="98" t="str">
        <f t="shared" si="0"/>
        <v>PASS</v>
      </c>
    </row>
    <row r="14" spans="1:3" x14ac:dyDescent="0.25">
      <c r="A14" t="s">
        <v>688</v>
      </c>
      <c r="B14">
        <f>('Factors applied'!$E$31+'Factors applied'!$E$32)</f>
        <v>1</v>
      </c>
      <c r="C14" s="98" t="str">
        <f t="shared" si="0"/>
        <v>PASS</v>
      </c>
    </row>
    <row r="15" spans="1:3" x14ac:dyDescent="0.25">
      <c r="A15" t="s">
        <v>689</v>
      </c>
      <c r="B15">
        <f>('Factors applied'!$E$33+'Factors applied'!$E$34)</f>
        <v>1</v>
      </c>
      <c r="C15" s="98" t="str">
        <f t="shared" si="0"/>
        <v>PASS</v>
      </c>
    </row>
    <row r="16" spans="1:3" x14ac:dyDescent="0.25">
      <c r="A16" t="s">
        <v>690</v>
      </c>
      <c r="B16">
        <f>('Factors applied'!$E$35+'Factors applied'!$E$36+'Factors applied'!$E$37)</f>
        <v>1</v>
      </c>
      <c r="C16" s="98" t="str">
        <f t="shared" si="0"/>
        <v>PASS</v>
      </c>
    </row>
    <row r="17" spans="1:3" x14ac:dyDescent="0.25">
      <c r="A17" t="s">
        <v>691</v>
      </c>
      <c r="B17">
        <f>('Factors applied'!$E$38+'Factors applied'!$E$39)</f>
        <v>1</v>
      </c>
      <c r="C17" s="98" t="str">
        <f t="shared" si="0"/>
        <v>PASS</v>
      </c>
    </row>
    <row r="18" spans="1:3" x14ac:dyDescent="0.25">
      <c r="A18" t="s">
        <v>692</v>
      </c>
      <c r="B18">
        <f>('Factors applied'!$E$40+'Factors applied'!$E$41)</f>
        <v>1</v>
      </c>
      <c r="C18" s="98" t="str">
        <f t="shared" si="0"/>
        <v>PASS</v>
      </c>
    </row>
    <row r="19" spans="1:3" x14ac:dyDescent="0.25">
      <c r="A19" t="s">
        <v>693</v>
      </c>
      <c r="B19">
        <f>('Factors applied'!$E$42+'Factors applied'!$E$43+'Factors applied'!$E$44+'Factors applied'!$E$45+'Factors applied'!$E$46)</f>
        <v>0.99999999999999989</v>
      </c>
      <c r="C19" s="98" t="str">
        <f t="shared" si="0"/>
        <v>PASS</v>
      </c>
    </row>
    <row r="20" spans="1:3" x14ac:dyDescent="0.25">
      <c r="A20" t="s">
        <v>694</v>
      </c>
      <c r="B20">
        <f>('Factors applied'!$E$47+'Factors applied'!$E$48)</f>
        <v>1</v>
      </c>
      <c r="C20" s="98" t="str">
        <f t="shared" si="0"/>
        <v>PASS</v>
      </c>
    </row>
    <row r="21" spans="1:3" x14ac:dyDescent="0.25">
      <c r="A21" t="s">
        <v>695</v>
      </c>
      <c r="B21">
        <f>('Factors applied'!$E$49+'Factors applied'!$E$50)</f>
        <v>1</v>
      </c>
      <c r="C21" s="98" t="str">
        <f t="shared" si="0"/>
        <v>PASS</v>
      </c>
    </row>
    <row r="22" spans="1:3" x14ac:dyDescent="0.25">
      <c r="A22" t="s">
        <v>696</v>
      </c>
      <c r="B22">
        <f>('Factors applied'!$E$51+'Factors applied'!$E$52+'Factors applied'!$E$53)</f>
        <v>1</v>
      </c>
      <c r="C22" s="98" t="str">
        <f t="shared" si="0"/>
        <v>PASS</v>
      </c>
    </row>
    <row r="23" spans="1:3" x14ac:dyDescent="0.25">
      <c r="A23" t="s">
        <v>697</v>
      </c>
      <c r="B23">
        <f>('Factors applied'!$E$54+'Factors applied'!$E$55)</f>
        <v>1</v>
      </c>
      <c r="C23" s="98" t="str">
        <f t="shared" si="0"/>
        <v>PASS</v>
      </c>
    </row>
    <row r="24" spans="1:3" x14ac:dyDescent="0.25">
      <c r="A24" t="s">
        <v>698</v>
      </c>
      <c r="B24">
        <f>('Factors applied'!$E$56+'Factors applied'!$E$57)</f>
        <v>1</v>
      </c>
      <c r="C24" s="98" t="str">
        <f t="shared" si="0"/>
        <v>PASS</v>
      </c>
    </row>
    <row r="25" spans="1:3" x14ac:dyDescent="0.25">
      <c r="A25" t="s">
        <v>699</v>
      </c>
      <c r="B25">
        <f>('Factors applied'!$E$58+'Factors applied'!$E$59+'Factors applied'!$E$60+'Factors applied'!$E$61+'Factors applied'!$E$62)</f>
        <v>0.99999999999999989</v>
      </c>
      <c r="C25" s="98" t="str">
        <f t="shared" si="0"/>
        <v>PASS</v>
      </c>
    </row>
    <row r="26" spans="1:3" x14ac:dyDescent="0.25">
      <c r="A26" t="s">
        <v>700</v>
      </c>
      <c r="B26">
        <f>('Factors applied'!$E$63+'Factors applied'!$E$64)</f>
        <v>1</v>
      </c>
      <c r="C26" s="98" t="str">
        <f t="shared" si="0"/>
        <v>PASS</v>
      </c>
    </row>
    <row r="27" spans="1:3" x14ac:dyDescent="0.25">
      <c r="A27" t="s">
        <v>701</v>
      </c>
      <c r="B27">
        <f>('Factors applied'!$E$65+'Factors applied'!$E$66)</f>
        <v>1</v>
      </c>
      <c r="C27" s="98" t="str">
        <f t="shared" si="0"/>
        <v>PASS</v>
      </c>
    </row>
    <row r="28" spans="1:3" x14ac:dyDescent="0.25">
      <c r="A28" t="s">
        <v>702</v>
      </c>
      <c r="B28">
        <f>('Factors applied'!$E$67+'Factors applied'!$E$68+'Factors applied'!$E$69)</f>
        <v>1</v>
      </c>
      <c r="C28" s="98" t="str">
        <f t="shared" si="0"/>
        <v>PASS</v>
      </c>
    </row>
    <row r="29" spans="1:3" x14ac:dyDescent="0.25">
      <c r="A29" t="s">
        <v>703</v>
      </c>
      <c r="B29">
        <f>('Factors applied'!$E$70+'Factors applied'!$E$71)</f>
        <v>1</v>
      </c>
      <c r="C29" s="98" t="str">
        <f t="shared" si="0"/>
        <v>PASS</v>
      </c>
    </row>
    <row r="30" spans="1:3" x14ac:dyDescent="0.25">
      <c r="A30" t="s">
        <v>704</v>
      </c>
      <c r="B30">
        <f>('Factors applied'!$E$72+'Factors applied'!$E$73)</f>
        <v>1</v>
      </c>
      <c r="C30" s="98" t="str">
        <f t="shared" si="0"/>
        <v>PASS</v>
      </c>
    </row>
    <row r="31" spans="1:3" x14ac:dyDescent="0.25">
      <c r="A31" t="s">
        <v>705</v>
      </c>
      <c r="B31">
        <f>('Factors applied'!$E$74+'Factors applied'!$E$75+'Factors applied'!$E$76+'Factors applied'!$E$77+'Factors applied'!$E$78)</f>
        <v>0.99999999999999989</v>
      </c>
      <c r="C31" s="98" t="str">
        <f t="shared" si="0"/>
        <v>PASS</v>
      </c>
    </row>
    <row r="32" spans="1:3" x14ac:dyDescent="0.25">
      <c r="A32" t="s">
        <v>706</v>
      </c>
      <c r="B32">
        <f>('Factors applied'!$E$79+'Factors applied'!$E$80)</f>
        <v>1</v>
      </c>
      <c r="C32" s="98" t="str">
        <f t="shared" si="0"/>
        <v>PASS</v>
      </c>
    </row>
    <row r="33" spans="1:3" x14ac:dyDescent="0.25">
      <c r="A33" t="s">
        <v>707</v>
      </c>
      <c r="B33">
        <f>('Factors applied'!$E$81+'Factors applied'!$E$82)</f>
        <v>1</v>
      </c>
      <c r="C33" s="98" t="str">
        <f t="shared" si="0"/>
        <v>PASS</v>
      </c>
    </row>
    <row r="34" spans="1:3" x14ac:dyDescent="0.25">
      <c r="A34" t="s">
        <v>708</v>
      </c>
      <c r="B34">
        <f>('Factors applied'!$E$83+'Factors applied'!$E$84+'Factors applied'!$E$85)</f>
        <v>1</v>
      </c>
      <c r="C34" s="98" t="str">
        <f t="shared" si="0"/>
        <v>PASS</v>
      </c>
    </row>
    <row r="35" spans="1:3" x14ac:dyDescent="0.25">
      <c r="A35" t="s">
        <v>709</v>
      </c>
      <c r="B35">
        <f>('Factors applied'!$E$86+'Factors applied'!$E$87)</f>
        <v>1</v>
      </c>
      <c r="C35" s="98" t="str">
        <f t="shared" si="0"/>
        <v>PASS</v>
      </c>
    </row>
    <row r="36" spans="1:3" x14ac:dyDescent="0.25">
      <c r="A36" t="s">
        <v>710</v>
      </c>
      <c r="B36">
        <f>('Factors applied'!$E$88+'Factors applied'!$E$89)</f>
        <v>1</v>
      </c>
      <c r="C36" s="98" t="str">
        <f t="shared" ref="C36:C67" si="1">IF(ABS(B36-1)&lt;0.000000001,"PASS","FAIL")</f>
        <v>PASS</v>
      </c>
    </row>
    <row r="37" spans="1:3" x14ac:dyDescent="0.25">
      <c r="A37" t="s">
        <v>711</v>
      </c>
      <c r="B37">
        <f>('Factors applied'!$E$90+'Factors applied'!$E$91+'Factors applied'!$E$92+'Factors applied'!$E$93+'Factors applied'!$E$94)</f>
        <v>0.99999999999999989</v>
      </c>
      <c r="C37" s="98" t="str">
        <f t="shared" si="1"/>
        <v>PASS</v>
      </c>
    </row>
    <row r="38" spans="1:3" x14ac:dyDescent="0.25">
      <c r="A38" t="s">
        <v>712</v>
      </c>
      <c r="B38">
        <f>('Factors applied'!$E$95+'Factors applied'!$E$96)</f>
        <v>1</v>
      </c>
      <c r="C38" s="98" t="str">
        <f t="shared" si="1"/>
        <v>PASS</v>
      </c>
    </row>
    <row r="39" spans="1:3" x14ac:dyDescent="0.25">
      <c r="A39" t="s">
        <v>713</v>
      </c>
      <c r="B39">
        <f>('Factors applied'!$E$97+'Factors applied'!$E$98)</f>
        <v>1</v>
      </c>
      <c r="C39" s="98" t="str">
        <f t="shared" si="1"/>
        <v>PASS</v>
      </c>
    </row>
    <row r="40" spans="1:3" x14ac:dyDescent="0.25">
      <c r="A40" t="s">
        <v>714</v>
      </c>
      <c r="B40">
        <f>('Factors applied'!$E$99+'Factors applied'!$E$100+'Factors applied'!$E$101)</f>
        <v>1</v>
      </c>
      <c r="C40" s="98" t="str">
        <f t="shared" si="1"/>
        <v>PASS</v>
      </c>
    </row>
    <row r="41" spans="1:3" x14ac:dyDescent="0.25">
      <c r="A41" t="s">
        <v>715</v>
      </c>
      <c r="B41">
        <f>('Factors applied'!$E$102+'Factors applied'!$E$103)</f>
        <v>1</v>
      </c>
      <c r="C41" s="98" t="str">
        <f t="shared" si="1"/>
        <v>PASS</v>
      </c>
    </row>
    <row r="42" spans="1:3" x14ac:dyDescent="0.25">
      <c r="A42" t="s">
        <v>716</v>
      </c>
      <c r="B42">
        <f>('Factors applied'!$E$104+'Factors applied'!$E$105)</f>
        <v>1</v>
      </c>
      <c r="C42" s="98" t="str">
        <f t="shared" si="1"/>
        <v>PASS</v>
      </c>
    </row>
    <row r="43" spans="1:3" x14ac:dyDescent="0.25">
      <c r="A43" t="s">
        <v>717</v>
      </c>
      <c r="B43">
        <f>('Factors applied'!$E$106+'Factors applied'!$E$107+'Factors applied'!$E$108+'Factors applied'!$E$109+'Factors applied'!$E$110)</f>
        <v>0.99999999999999989</v>
      </c>
      <c r="C43" s="98" t="str">
        <f t="shared" si="1"/>
        <v>PASS</v>
      </c>
    </row>
    <row r="44" spans="1:3" x14ac:dyDescent="0.25">
      <c r="A44" t="s">
        <v>718</v>
      </c>
      <c r="B44">
        <f>('Factors applied'!$E$111+'Factors applied'!$E$112)</f>
        <v>1</v>
      </c>
      <c r="C44" s="98" t="str">
        <f t="shared" si="1"/>
        <v>PASS</v>
      </c>
    </row>
    <row r="45" spans="1:3" x14ac:dyDescent="0.25">
      <c r="A45" t="s">
        <v>719</v>
      </c>
      <c r="B45">
        <f>('Factors applied'!$E$113+'Factors applied'!$E$114)</f>
        <v>1</v>
      </c>
      <c r="C45" s="98" t="str">
        <f t="shared" si="1"/>
        <v>PASS</v>
      </c>
    </row>
    <row r="46" spans="1:3" x14ac:dyDescent="0.25">
      <c r="A46" t="s">
        <v>720</v>
      </c>
      <c r="B46">
        <f>('Factors applied'!$E$115+'Factors applied'!$E$116+'Factors applied'!$E$117)</f>
        <v>1</v>
      </c>
      <c r="C46" s="98" t="str">
        <f t="shared" si="1"/>
        <v>PASS</v>
      </c>
    </row>
    <row r="47" spans="1:3" x14ac:dyDescent="0.25">
      <c r="A47" t="s">
        <v>721</v>
      </c>
      <c r="B47">
        <f>('Factors applied'!$E$118+'Factors applied'!$E$119)</f>
        <v>1</v>
      </c>
      <c r="C47" s="98" t="str">
        <f t="shared" si="1"/>
        <v>PASS</v>
      </c>
    </row>
    <row r="48" spans="1:3" x14ac:dyDescent="0.25">
      <c r="A48" t="s">
        <v>722</v>
      </c>
      <c r="B48">
        <f>('Factors applied'!$E$120+'Factors applied'!$E$121)</f>
        <v>1</v>
      </c>
      <c r="C48" s="98" t="str">
        <f t="shared" si="1"/>
        <v>PASS</v>
      </c>
    </row>
    <row r="49" spans="1:3" x14ac:dyDescent="0.25">
      <c r="A49" t="s">
        <v>723</v>
      </c>
      <c r="B49">
        <f>('Factors applied'!$E$122+'Factors applied'!$E$123+'Factors applied'!$E$124+'Factors applied'!$E$125+'Factors applied'!$E$126)</f>
        <v>0.99999999999999989</v>
      </c>
      <c r="C49" s="98" t="str">
        <f t="shared" si="1"/>
        <v>PASS</v>
      </c>
    </row>
    <row r="50" spans="1:3" x14ac:dyDescent="0.25">
      <c r="A50" t="s">
        <v>724</v>
      </c>
      <c r="B50">
        <f>('Factors applied'!$E$127+'Factors applied'!$E$128)</f>
        <v>1</v>
      </c>
      <c r="C50" s="98" t="str">
        <f t="shared" si="1"/>
        <v>PASS</v>
      </c>
    </row>
    <row r="51" spans="1:3" x14ac:dyDescent="0.25">
      <c r="A51" t="s">
        <v>725</v>
      </c>
      <c r="B51">
        <f>('Factors applied'!$E$129+'Factors applied'!$E$130)</f>
        <v>1</v>
      </c>
      <c r="C51" s="98" t="str">
        <f t="shared" si="1"/>
        <v>PASS</v>
      </c>
    </row>
    <row r="52" spans="1:3" x14ac:dyDescent="0.25">
      <c r="A52" t="s">
        <v>726</v>
      </c>
      <c r="B52">
        <f>('Factors applied'!$E$131+'Factors applied'!$E$132+'Factors applied'!$E$133)</f>
        <v>1</v>
      </c>
      <c r="C52" s="98" t="str">
        <f t="shared" si="1"/>
        <v>PASS</v>
      </c>
    </row>
    <row r="53" spans="1:3" x14ac:dyDescent="0.25">
      <c r="A53" t="s">
        <v>727</v>
      </c>
      <c r="B53">
        <f>('Factors applied'!$E$134+'Factors applied'!$E$135)</f>
        <v>1</v>
      </c>
      <c r="C53" s="98" t="str">
        <f t="shared" si="1"/>
        <v>PASS</v>
      </c>
    </row>
    <row r="54" spans="1:3" x14ac:dyDescent="0.25">
      <c r="A54" t="s">
        <v>728</v>
      </c>
      <c r="B54">
        <f>('Factors applied'!$E$136+'Factors applied'!$E$137)</f>
        <v>1</v>
      </c>
      <c r="C54" s="98" t="str">
        <f t="shared" si="1"/>
        <v>PASS</v>
      </c>
    </row>
    <row r="55" spans="1:3" x14ac:dyDescent="0.25">
      <c r="A55" t="s">
        <v>729</v>
      </c>
      <c r="B55">
        <f>('Factors applied'!$E$138+'Factors applied'!$E$139+'Factors applied'!$E$140+'Factors applied'!$E$141+'Factors applied'!$E$142)</f>
        <v>0.99999999999999989</v>
      </c>
      <c r="C55" s="98" t="str">
        <f t="shared" si="1"/>
        <v>PASS</v>
      </c>
    </row>
    <row r="56" spans="1:3" x14ac:dyDescent="0.25">
      <c r="A56" t="s">
        <v>730</v>
      </c>
      <c r="B56">
        <f>('Factors applied'!$E$143+'Factors applied'!$E$144)</f>
        <v>1</v>
      </c>
      <c r="C56" s="98" t="str">
        <f t="shared" si="1"/>
        <v>PASS</v>
      </c>
    </row>
    <row r="57" spans="1:3" x14ac:dyDescent="0.25">
      <c r="A57" t="s">
        <v>731</v>
      </c>
      <c r="B57">
        <f>('Factors applied'!$E$145+'Factors applied'!$E$146)</f>
        <v>1</v>
      </c>
      <c r="C57" s="98" t="str">
        <f t="shared" si="1"/>
        <v>PASS</v>
      </c>
    </row>
    <row r="58" spans="1:3" x14ac:dyDescent="0.25">
      <c r="A58" t="s">
        <v>732</v>
      </c>
      <c r="B58">
        <f>('Factors applied'!$E$147+'Factors applied'!$E$148+'Factors applied'!$E$149)</f>
        <v>1</v>
      </c>
      <c r="C58" s="98" t="str">
        <f t="shared" si="1"/>
        <v>PASS</v>
      </c>
    </row>
    <row r="59" spans="1:3" x14ac:dyDescent="0.25">
      <c r="A59" t="s">
        <v>733</v>
      </c>
      <c r="B59">
        <f>('Factors applied'!$E$150+'Factors applied'!$E$151)</f>
        <v>1</v>
      </c>
      <c r="C59" s="98" t="str">
        <f t="shared" si="1"/>
        <v>PASS</v>
      </c>
    </row>
    <row r="60" spans="1:3" x14ac:dyDescent="0.25">
      <c r="A60" t="s">
        <v>734</v>
      </c>
      <c r="B60">
        <f>('Factors applied'!$E$152+'Factors applied'!$E$153)</f>
        <v>1</v>
      </c>
      <c r="C60" s="98" t="str">
        <f t="shared" si="1"/>
        <v>PASS</v>
      </c>
    </row>
    <row r="61" spans="1:3" x14ac:dyDescent="0.25">
      <c r="A61" t="s">
        <v>735</v>
      </c>
      <c r="B61">
        <f>('Factors applied'!$E$154+'Factors applied'!$E$155+'Factors applied'!$E$156+'Factors applied'!$E$157+'Factors applied'!$E$158)</f>
        <v>0.99999999999999989</v>
      </c>
      <c r="C61" s="98" t="str">
        <f t="shared" si="1"/>
        <v>PASS</v>
      </c>
    </row>
    <row r="62" spans="1:3" x14ac:dyDescent="0.25">
      <c r="A62" t="s">
        <v>736</v>
      </c>
      <c r="B62">
        <f>('Factors applied'!$E$159+'Factors applied'!$E$160)</f>
        <v>1</v>
      </c>
      <c r="C62" s="98" t="str">
        <f t="shared" si="1"/>
        <v>PASS</v>
      </c>
    </row>
    <row r="63" spans="1:3" x14ac:dyDescent="0.25">
      <c r="A63" t="s">
        <v>737</v>
      </c>
      <c r="B63">
        <f>('Factors applied'!$E$161+'Factors applied'!$E$162)</f>
        <v>1</v>
      </c>
      <c r="C63" s="98" t="str">
        <f t="shared" si="1"/>
        <v>PASS</v>
      </c>
    </row>
    <row r="64" spans="1:3" x14ac:dyDescent="0.25">
      <c r="A64" t="s">
        <v>738</v>
      </c>
      <c r="B64">
        <f>('Factors applied'!$E$163+'Factors applied'!$E$164+'Factors applied'!$E$165)</f>
        <v>1</v>
      </c>
      <c r="C64" s="98" t="str">
        <f t="shared" si="1"/>
        <v>PASS</v>
      </c>
    </row>
    <row r="65" spans="1:3" x14ac:dyDescent="0.25">
      <c r="A65" t="s">
        <v>739</v>
      </c>
      <c r="B65">
        <f>('Factors applied'!$E$166+'Factors applied'!$E$167)</f>
        <v>1</v>
      </c>
      <c r="C65" s="98" t="str">
        <f t="shared" si="1"/>
        <v>PASS</v>
      </c>
    </row>
    <row r="66" spans="1:3" x14ac:dyDescent="0.25">
      <c r="A66" t="s">
        <v>740</v>
      </c>
      <c r="B66">
        <f>('Factors applied'!$E$168+'Factors applied'!$E$169)</f>
        <v>1</v>
      </c>
      <c r="C66" s="98" t="str">
        <f t="shared" si="1"/>
        <v>PASS</v>
      </c>
    </row>
    <row r="67" spans="1:3" x14ac:dyDescent="0.25">
      <c r="A67" t="s">
        <v>741</v>
      </c>
      <c r="B67">
        <f>('Factors applied'!$E$170+'Factors applied'!$E$171+'Factors applied'!$E$172+'Factors applied'!$E$173+'Factors applied'!$E$174)</f>
        <v>0.99999999999999989</v>
      </c>
      <c r="C67" s="98" t="str">
        <f t="shared" si="1"/>
        <v>PASS</v>
      </c>
    </row>
    <row r="68" spans="1:3" x14ac:dyDescent="0.25">
      <c r="A68" t="s">
        <v>742</v>
      </c>
      <c r="B68">
        <f>('Factors applied'!$E$175+'Factors applied'!$E$176)</f>
        <v>1</v>
      </c>
      <c r="C68" s="98" t="str">
        <f t="shared" ref="C68:C99" si="2">IF(ABS(B68-1)&lt;0.000000001,"PASS","FAIL")</f>
        <v>PASS</v>
      </c>
    </row>
    <row r="69" spans="1:3" x14ac:dyDescent="0.25">
      <c r="A69" t="s">
        <v>743</v>
      </c>
      <c r="B69">
        <f>('Factors applied'!$E$177+'Factors applied'!$E$178)</f>
        <v>1</v>
      </c>
      <c r="C69" s="98" t="str">
        <f t="shared" si="2"/>
        <v>PASS</v>
      </c>
    </row>
    <row r="70" spans="1:3" x14ac:dyDescent="0.25">
      <c r="A70" t="s">
        <v>744</v>
      </c>
      <c r="B70">
        <f>('Factors applied'!$E$179+'Factors applied'!$E$180+'Factors applied'!$E$181)</f>
        <v>1</v>
      </c>
      <c r="C70" s="98" t="str">
        <f t="shared" si="2"/>
        <v>PASS</v>
      </c>
    </row>
    <row r="71" spans="1:3" x14ac:dyDescent="0.25">
      <c r="A71" t="s">
        <v>745</v>
      </c>
      <c r="B71">
        <f>('Factors applied'!$E$182+'Factors applied'!$E$183)</f>
        <v>1</v>
      </c>
      <c r="C71" s="98" t="str">
        <f t="shared" si="2"/>
        <v>PASS</v>
      </c>
    </row>
    <row r="72" spans="1:3" x14ac:dyDescent="0.25">
      <c r="A72" t="s">
        <v>746</v>
      </c>
      <c r="B72">
        <f>('Factors applied'!$E$184+'Factors applied'!$E$185)</f>
        <v>1</v>
      </c>
      <c r="C72" s="98" t="str">
        <f t="shared" si="2"/>
        <v>PASS</v>
      </c>
    </row>
    <row r="73" spans="1:3" x14ac:dyDescent="0.25">
      <c r="A73" t="s">
        <v>747</v>
      </c>
      <c r="B73">
        <f>('Factors applied'!$E$186+'Factors applied'!$E$187+'Factors applied'!$E$188+'Factors applied'!$E$189+'Factors applied'!$E$190)</f>
        <v>0.99999999999999989</v>
      </c>
      <c r="C73" s="98" t="str">
        <f t="shared" si="2"/>
        <v>PASS</v>
      </c>
    </row>
    <row r="74" spans="1:3" x14ac:dyDescent="0.25">
      <c r="A74" t="s">
        <v>748</v>
      </c>
      <c r="B74">
        <f>('Factors applied'!$E$191+'Factors applied'!$E$192)</f>
        <v>1</v>
      </c>
      <c r="C74" s="98" t="str">
        <f t="shared" si="2"/>
        <v>PASS</v>
      </c>
    </row>
    <row r="75" spans="1:3" x14ac:dyDescent="0.25">
      <c r="A75" t="s">
        <v>749</v>
      </c>
      <c r="B75">
        <f>('Factors applied'!$E$193+'Factors applied'!$E$194)</f>
        <v>1</v>
      </c>
      <c r="C75" s="98" t="str">
        <f t="shared" si="2"/>
        <v>PASS</v>
      </c>
    </row>
    <row r="76" spans="1:3" x14ac:dyDescent="0.25">
      <c r="A76" t="s">
        <v>750</v>
      </c>
      <c r="B76">
        <f>('Factors applied'!$E$195+'Factors applied'!$E$196+'Factors applied'!$E$197)</f>
        <v>1</v>
      </c>
      <c r="C76" s="98" t="str">
        <f t="shared" si="2"/>
        <v>PASS</v>
      </c>
    </row>
    <row r="77" spans="1:3" x14ac:dyDescent="0.25">
      <c r="A77" t="s">
        <v>751</v>
      </c>
      <c r="B77">
        <f>('Factors applied'!$E$198+'Factors applied'!$E$199)</f>
        <v>1</v>
      </c>
      <c r="C77" s="98" t="str">
        <f t="shared" si="2"/>
        <v>PASS</v>
      </c>
    </row>
    <row r="78" spans="1:3" x14ac:dyDescent="0.25">
      <c r="A78" t="s">
        <v>752</v>
      </c>
      <c r="B78">
        <f>('Factors applied'!$E$200+'Factors applied'!$E$201)</f>
        <v>1</v>
      </c>
      <c r="C78" s="98" t="str">
        <f t="shared" si="2"/>
        <v>PASS</v>
      </c>
    </row>
    <row r="79" spans="1:3" x14ac:dyDescent="0.25">
      <c r="A79" t="s">
        <v>753</v>
      </c>
      <c r="B79">
        <f>('Factors applied'!$E$202+'Factors applied'!$E$203+'Factors applied'!$E$204+'Factors applied'!$E$205+'Factors applied'!$E$206)</f>
        <v>0.99999999999999989</v>
      </c>
      <c r="C79" s="98" t="str">
        <f t="shared" si="2"/>
        <v>PASS</v>
      </c>
    </row>
    <row r="80" spans="1:3" x14ac:dyDescent="0.25">
      <c r="A80" t="s">
        <v>754</v>
      </c>
      <c r="B80">
        <f>('Factors applied'!$E$207+'Factors applied'!$E$208)</f>
        <v>1</v>
      </c>
      <c r="C80" s="98" t="str">
        <f t="shared" si="2"/>
        <v>PASS</v>
      </c>
    </row>
    <row r="81" spans="1:3" x14ac:dyDescent="0.25">
      <c r="A81" t="s">
        <v>755</v>
      </c>
      <c r="B81">
        <f>('Factors applied'!$E$209+'Factors applied'!$E$210)</f>
        <v>1</v>
      </c>
      <c r="C81" s="98" t="str">
        <f t="shared" si="2"/>
        <v>PASS</v>
      </c>
    </row>
    <row r="82" spans="1:3" x14ac:dyDescent="0.25">
      <c r="A82" t="s">
        <v>756</v>
      </c>
      <c r="B82">
        <f>('Factors applied'!$E$211+'Factors applied'!$E$212+'Factors applied'!$E$213)</f>
        <v>1</v>
      </c>
      <c r="C82" s="98" t="str">
        <f t="shared" si="2"/>
        <v>PASS</v>
      </c>
    </row>
    <row r="83" spans="1:3" x14ac:dyDescent="0.25">
      <c r="A83" t="s">
        <v>757</v>
      </c>
      <c r="B83">
        <f>('Factors applied'!$E$214+'Factors applied'!$E$215)</f>
        <v>1</v>
      </c>
      <c r="C83" s="98" t="str">
        <f t="shared" si="2"/>
        <v>PASS</v>
      </c>
    </row>
    <row r="84" spans="1:3" x14ac:dyDescent="0.25">
      <c r="A84" t="s">
        <v>758</v>
      </c>
      <c r="B84">
        <f>('Factors applied'!$E$216+'Factors applied'!$E$217)</f>
        <v>1</v>
      </c>
      <c r="C84" s="98" t="str">
        <f t="shared" si="2"/>
        <v>PASS</v>
      </c>
    </row>
    <row r="85" spans="1:3" x14ac:dyDescent="0.25">
      <c r="A85" t="s">
        <v>759</v>
      </c>
      <c r="B85">
        <f>('Factors applied'!$E$218+'Factors applied'!$E$219+'Factors applied'!$E$220+'Factors applied'!$E$221+'Factors applied'!$E$222)</f>
        <v>0.99999999999999989</v>
      </c>
      <c r="C85" s="98" t="str">
        <f t="shared" si="2"/>
        <v>PASS</v>
      </c>
    </row>
    <row r="86" spans="1:3" x14ac:dyDescent="0.25">
      <c r="A86" t="s">
        <v>760</v>
      </c>
      <c r="B86">
        <f>('Factors applied'!$E$223+'Factors applied'!$E$224)</f>
        <v>1</v>
      </c>
      <c r="C86" s="98" t="str">
        <f t="shared" si="2"/>
        <v>PASS</v>
      </c>
    </row>
    <row r="87" spans="1:3" x14ac:dyDescent="0.25">
      <c r="A87" t="s">
        <v>761</v>
      </c>
      <c r="B87">
        <f>('Factors applied'!$E$225+'Factors applied'!$E$226)</f>
        <v>1</v>
      </c>
      <c r="C87" s="98" t="str">
        <f t="shared" si="2"/>
        <v>PASS</v>
      </c>
    </row>
    <row r="88" spans="1:3" x14ac:dyDescent="0.25">
      <c r="A88" t="s">
        <v>762</v>
      </c>
      <c r="B88">
        <f>('Factors applied'!$E$227+'Factors applied'!$E$228+'Factors applied'!$E$229)</f>
        <v>1</v>
      </c>
      <c r="C88" s="98" t="str">
        <f t="shared" si="2"/>
        <v>PASS</v>
      </c>
    </row>
    <row r="89" spans="1:3" x14ac:dyDescent="0.25">
      <c r="A89" t="s">
        <v>763</v>
      </c>
      <c r="B89">
        <f>('Factors applied'!$E$230+'Factors applied'!$E$231)</f>
        <v>1</v>
      </c>
      <c r="C89" s="98" t="str">
        <f t="shared" si="2"/>
        <v>PASS</v>
      </c>
    </row>
    <row r="90" spans="1:3" x14ac:dyDescent="0.25">
      <c r="A90" t="s">
        <v>764</v>
      </c>
      <c r="B90">
        <f>('Factors applied'!$E$232+'Factors applied'!$E$233)</f>
        <v>1</v>
      </c>
      <c r="C90" s="98" t="str">
        <f t="shared" si="2"/>
        <v>PASS</v>
      </c>
    </row>
    <row r="91" spans="1:3" x14ac:dyDescent="0.25">
      <c r="A91" t="s">
        <v>765</v>
      </c>
      <c r="B91">
        <f>('Factors applied'!$E$234+'Factors applied'!$E$235+'Factors applied'!$E$236+'Factors applied'!$E$237+'Factors applied'!$E$238)</f>
        <v>0.99999999999999989</v>
      </c>
      <c r="C91" s="98" t="str">
        <f t="shared" si="2"/>
        <v>PASS</v>
      </c>
    </row>
    <row r="92" spans="1:3" x14ac:dyDescent="0.25">
      <c r="A92" t="s">
        <v>766</v>
      </c>
      <c r="B92">
        <f>('Factors applied'!$E$239+'Factors applied'!$E$240)</f>
        <v>1</v>
      </c>
      <c r="C92" s="98" t="str">
        <f t="shared" si="2"/>
        <v>PASS</v>
      </c>
    </row>
    <row r="93" spans="1:3" x14ac:dyDescent="0.25">
      <c r="A93" t="s">
        <v>767</v>
      </c>
      <c r="B93">
        <f>('Factors applied'!$E$241+'Factors applied'!$E$242)</f>
        <v>1</v>
      </c>
      <c r="C93" s="98" t="str">
        <f t="shared" si="2"/>
        <v>PASS</v>
      </c>
    </row>
    <row r="94" spans="1:3" x14ac:dyDescent="0.25">
      <c r="A94" t="s">
        <v>768</v>
      </c>
      <c r="B94">
        <f>('Factors applied'!$E$243+'Factors applied'!$E$244+'Factors applied'!$E$245)</f>
        <v>1</v>
      </c>
      <c r="C94" s="98" t="str">
        <f t="shared" si="2"/>
        <v>PASS</v>
      </c>
    </row>
    <row r="95" spans="1:3" x14ac:dyDescent="0.25">
      <c r="A95" t="s">
        <v>769</v>
      </c>
      <c r="B95">
        <f>('Factors applied'!$E$246+'Factors applied'!$E$247)</f>
        <v>1</v>
      </c>
      <c r="C95" s="98" t="str">
        <f t="shared" si="2"/>
        <v>PASS</v>
      </c>
    </row>
    <row r="96" spans="1:3" x14ac:dyDescent="0.25">
      <c r="A96" t="s">
        <v>770</v>
      </c>
      <c r="B96">
        <f>('Factors applied'!$E$248+'Factors applied'!$E$249)</f>
        <v>1</v>
      </c>
      <c r="C96" s="98" t="str">
        <f t="shared" si="2"/>
        <v>PASS</v>
      </c>
    </row>
    <row r="97" spans="1:3" x14ac:dyDescent="0.25">
      <c r="A97" t="s">
        <v>771</v>
      </c>
      <c r="B97">
        <f>('Factors applied'!$E$250+'Factors applied'!$E$251+'Factors applied'!$E$252+'Factors applied'!$E$253+'Factors applied'!$E$254)</f>
        <v>0.99999999999999989</v>
      </c>
      <c r="C97" s="98" t="str">
        <f t="shared" si="2"/>
        <v>PASS</v>
      </c>
    </row>
    <row r="98" spans="1:3" x14ac:dyDescent="0.25">
      <c r="A98" t="s">
        <v>772</v>
      </c>
      <c r="B98">
        <f>('Factors applied'!$E$255+'Factors applied'!$E$256)</f>
        <v>1</v>
      </c>
      <c r="C98" s="98" t="str">
        <f t="shared" si="2"/>
        <v>PASS</v>
      </c>
    </row>
    <row r="99" spans="1:3" x14ac:dyDescent="0.25">
      <c r="A99" t="s">
        <v>773</v>
      </c>
      <c r="B99">
        <f>('Factors applied'!$E$257+'Factors applied'!$E$258)</f>
        <v>1</v>
      </c>
      <c r="C99" s="98" t="str">
        <f t="shared" si="2"/>
        <v>PASS</v>
      </c>
    </row>
    <row r="100" spans="1:3" x14ac:dyDescent="0.25">
      <c r="A100" t="s">
        <v>774</v>
      </c>
      <c r="B100">
        <f>('Factors applied'!$E$259+'Factors applied'!$E$260+'Factors applied'!$E$261)</f>
        <v>1</v>
      </c>
      <c r="C100" s="98" t="str">
        <f t="shared" ref="C100:C131" si="3">IF(ABS(B100-1)&lt;0.000000001,"PASS","FAIL")</f>
        <v>PASS</v>
      </c>
    </row>
    <row r="101" spans="1:3" x14ac:dyDescent="0.25">
      <c r="A101" t="s">
        <v>775</v>
      </c>
      <c r="B101">
        <f>('Factors applied'!$E$262+'Factors applied'!$E$263)</f>
        <v>1</v>
      </c>
      <c r="C101" s="98" t="str">
        <f t="shared" si="3"/>
        <v>PASS</v>
      </c>
    </row>
    <row r="102" spans="1:3" x14ac:dyDescent="0.25">
      <c r="A102" t="s">
        <v>776</v>
      </c>
      <c r="B102">
        <f>('Factors applied'!$E$264+'Factors applied'!$E$265)</f>
        <v>1</v>
      </c>
      <c r="C102" s="98" t="str">
        <f t="shared" si="3"/>
        <v>PASS</v>
      </c>
    </row>
    <row r="103" spans="1:3" x14ac:dyDescent="0.25">
      <c r="A103" t="s">
        <v>777</v>
      </c>
      <c r="B103">
        <f>('Factors applied'!$E$266+'Factors applied'!$E$267+'Factors applied'!$E$268+'Factors applied'!$E$269+'Factors applied'!$E$270)</f>
        <v>0.99999999999999989</v>
      </c>
      <c r="C103" s="98" t="str">
        <f t="shared" si="3"/>
        <v>PASS</v>
      </c>
    </row>
    <row r="104" spans="1:3" x14ac:dyDescent="0.25">
      <c r="A104" t="s">
        <v>778</v>
      </c>
      <c r="B104">
        <f>('Factors applied'!$E$271+'Factors applied'!$E$272)</f>
        <v>1</v>
      </c>
      <c r="C104" s="98" t="str">
        <f t="shared" si="3"/>
        <v>PASS</v>
      </c>
    </row>
    <row r="105" spans="1:3" x14ac:dyDescent="0.25">
      <c r="A105" t="s">
        <v>779</v>
      </c>
      <c r="B105">
        <f>('Factors applied'!$E$273+'Factors applied'!$E$274)</f>
        <v>1</v>
      </c>
      <c r="C105" s="98" t="str">
        <f t="shared" si="3"/>
        <v>PASS</v>
      </c>
    </row>
    <row r="106" spans="1:3" x14ac:dyDescent="0.25">
      <c r="A106" t="s">
        <v>780</v>
      </c>
      <c r="B106">
        <f>('Factors applied'!$E$275+'Factors applied'!$E$276+'Factors applied'!$E$277)</f>
        <v>1</v>
      </c>
      <c r="C106" s="98" t="str">
        <f t="shared" si="3"/>
        <v>PASS</v>
      </c>
    </row>
    <row r="107" spans="1:3" x14ac:dyDescent="0.25">
      <c r="A107" t="s">
        <v>781</v>
      </c>
      <c r="B107">
        <f>('Factors applied'!$E$278+'Factors applied'!$E$279)</f>
        <v>1</v>
      </c>
      <c r="C107" s="98" t="str">
        <f t="shared" si="3"/>
        <v>PASS</v>
      </c>
    </row>
    <row r="108" spans="1:3" x14ac:dyDescent="0.25">
      <c r="A108" t="s">
        <v>782</v>
      </c>
      <c r="B108">
        <f>('Factors applied'!$E$280+'Factors applied'!$E$281)</f>
        <v>1</v>
      </c>
      <c r="C108" s="98" t="str">
        <f t="shared" si="3"/>
        <v>PASS</v>
      </c>
    </row>
    <row r="109" spans="1:3" x14ac:dyDescent="0.25">
      <c r="A109" t="s">
        <v>783</v>
      </c>
      <c r="B109">
        <f>('Factors applied'!$E$282+'Factors applied'!$E$283+'Factors applied'!$E$284+'Factors applied'!$E$285+'Factors applied'!$E$286)</f>
        <v>0.99999999999999989</v>
      </c>
      <c r="C109" s="98" t="str">
        <f t="shared" si="3"/>
        <v>PASS</v>
      </c>
    </row>
    <row r="110" spans="1:3" x14ac:dyDescent="0.25">
      <c r="A110" t="s">
        <v>784</v>
      </c>
      <c r="B110">
        <f>('Factors applied'!$E$287+'Factors applied'!$E$288)</f>
        <v>1</v>
      </c>
      <c r="C110" s="98" t="str">
        <f t="shared" si="3"/>
        <v>PASS</v>
      </c>
    </row>
    <row r="111" spans="1:3" x14ac:dyDescent="0.25">
      <c r="A111" t="s">
        <v>785</v>
      </c>
      <c r="B111">
        <f>('Factors applied'!$E$289+'Factors applied'!$E$290)</f>
        <v>1</v>
      </c>
      <c r="C111" s="98" t="str">
        <f t="shared" si="3"/>
        <v>PASS</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BA7"/>
  <sheetViews>
    <sheetView topLeftCell="U1" workbookViewId="0">
      <selection activeCell="AG5" sqref="AG5"/>
    </sheetView>
  </sheetViews>
  <sheetFormatPr defaultRowHeight="15" x14ac:dyDescent="0.25"/>
  <cols>
    <col min="1" max="1" width="22.85546875" customWidth="1"/>
    <col min="2" max="43" width="11.140625" customWidth="1"/>
  </cols>
  <sheetData>
    <row r="1" spans="1:53" x14ac:dyDescent="0.25">
      <c r="A1" s="99" t="s">
        <v>786</v>
      </c>
      <c r="B1" s="98" t="s">
        <v>41</v>
      </c>
      <c r="C1" s="98" t="s">
        <v>44</v>
      </c>
      <c r="D1" s="98" t="s">
        <v>45</v>
      </c>
      <c r="E1" s="98" t="s">
        <v>76</v>
      </c>
      <c r="F1" s="98" t="s">
        <v>78</v>
      </c>
      <c r="G1" s="98" t="s">
        <v>46</v>
      </c>
      <c r="H1" s="98" t="s">
        <v>48</v>
      </c>
      <c r="I1" s="98" t="s">
        <v>81</v>
      </c>
      <c r="J1" s="98" t="s">
        <v>83</v>
      </c>
      <c r="K1" s="98" t="s">
        <v>85</v>
      </c>
      <c r="L1" s="98" t="s">
        <v>87</v>
      </c>
      <c r="M1" s="98" t="s">
        <v>89</v>
      </c>
      <c r="N1" s="98" t="s">
        <v>91</v>
      </c>
      <c r="O1" s="98" t="s">
        <v>93</v>
      </c>
      <c r="P1" s="98" t="s">
        <v>95</v>
      </c>
      <c r="Q1" s="98" t="s">
        <v>97</v>
      </c>
      <c r="R1" s="98" t="s">
        <v>99</v>
      </c>
      <c r="S1" s="98" t="s">
        <v>101</v>
      </c>
      <c r="T1" s="98" t="s">
        <v>103</v>
      </c>
      <c r="U1" s="98" t="s">
        <v>105</v>
      </c>
      <c r="V1" s="98" t="s">
        <v>107</v>
      </c>
      <c r="W1" s="98" t="s">
        <v>109</v>
      </c>
      <c r="X1" s="98" t="s">
        <v>111</v>
      </c>
      <c r="Y1" s="98" t="s">
        <v>113</v>
      </c>
      <c r="Z1" s="98" t="s">
        <v>115</v>
      </c>
      <c r="AA1" s="98" t="s">
        <v>49</v>
      </c>
      <c r="AB1" s="98" t="s">
        <v>51</v>
      </c>
      <c r="AC1" s="98" t="s">
        <v>118</v>
      </c>
      <c r="AD1" s="98" t="s">
        <v>120</v>
      </c>
      <c r="AE1" s="98" t="s">
        <v>122</v>
      </c>
      <c r="AF1" s="98" t="s">
        <v>124</v>
      </c>
      <c r="AG1" s="98" t="s">
        <v>126</v>
      </c>
      <c r="AH1" s="98" t="s">
        <v>128</v>
      </c>
      <c r="AI1" s="98" t="s">
        <v>52</v>
      </c>
      <c r="AJ1" s="98" t="s">
        <v>54</v>
      </c>
      <c r="AK1" s="98" t="s">
        <v>55</v>
      </c>
      <c r="AL1" s="98" t="s">
        <v>56</v>
      </c>
      <c r="AM1" s="98" t="s">
        <v>57</v>
      </c>
      <c r="AN1" s="98" t="s">
        <v>131</v>
      </c>
      <c r="AO1" s="98" t="s">
        <v>133</v>
      </c>
      <c r="AP1" s="98" t="s">
        <v>135</v>
      </c>
      <c r="AQ1" s="98" t="s">
        <v>137</v>
      </c>
      <c r="AR1" s="98" t="s">
        <v>139</v>
      </c>
      <c r="AS1" s="98" t="s">
        <v>141</v>
      </c>
      <c r="AT1" s="98" t="s">
        <v>58</v>
      </c>
      <c r="AU1" s="98" t="s">
        <v>61</v>
      </c>
      <c r="AV1" s="98" t="s">
        <v>144</v>
      </c>
      <c r="AW1" s="98" t="s">
        <v>146</v>
      </c>
      <c r="AX1" s="98" t="s">
        <v>148</v>
      </c>
      <c r="AY1" s="98" t="s">
        <v>62</v>
      </c>
      <c r="AZ1" s="98" t="s">
        <v>64</v>
      </c>
      <c r="BA1" s="98" t="s">
        <v>151</v>
      </c>
    </row>
    <row r="2" spans="1:53" x14ac:dyDescent="0.25">
      <c r="A2" t="s">
        <v>67</v>
      </c>
      <c r="B2">
        <f>(SUMIFS('Cost Breakdowns'!$C$3:$C$12,'Cost Breakdowns'!$A$3:$A$12,'SoBCaICbIC-urbanresidential'!$A2,'Cost Breakdowns'!$F$3:$F$12,"ISIC 01T03"))*'Factors applied'!$E$243</f>
        <v>0</v>
      </c>
      <c r="C2">
        <f>(SUMIFS('Cost Breakdowns'!$C$3:$C$12,'Cost Breakdowns'!$A$3:$A$12,'SoBCaICbIC-urbanresidential'!$A2,'Cost Breakdowns'!$F$3:$F$12,"ISIC 01T03"))*'Factors applied'!$E$244</f>
        <v>0</v>
      </c>
      <c r="D2">
        <f>(SUMIFS('Cost Breakdowns'!$C$3:$C$12,'Cost Breakdowns'!$A$3:$A$12,'SoBCaICbIC-urbanresidential'!$A2,'Cost Breakdowns'!$F$3:$F$12,"ISIC 01T03"))*'Factors applied'!$E$245</f>
        <v>0</v>
      </c>
      <c r="E2">
        <f>(SUMIFS('Cost Breakdowns'!$C$3:$C$12,'Cost Breakdowns'!$A$3:$A$12,'SoBCaICbIC-urbanresidential'!$A2,'Cost Breakdowns'!$F$3:$F$12,"ISIC 05"))</f>
        <v>0</v>
      </c>
      <c r="F2">
        <f>(SUMIFS('Cost Breakdowns'!$C$3:$C$12,'Cost Breakdowns'!$A$3:$A$12,'SoBCaICbIC-urbanresidential'!$A2,'Cost Breakdowns'!$F$3:$F$12,"ISIC 06"))</f>
        <v>0</v>
      </c>
      <c r="G2">
        <f>(SUMIFS('Cost Breakdowns'!$C$3:$C$12,'Cost Breakdowns'!$A$3:$A$12,'SoBCaICbIC-urbanresidential'!$A2,'Cost Breakdowns'!$F$3:$F$12,"ISIC 07T08"))*'Factors applied'!$E$246</f>
        <v>0</v>
      </c>
      <c r="H2">
        <f>(SUMIFS('Cost Breakdowns'!$C$3:$C$12,'Cost Breakdowns'!$A$3:$A$12,'SoBCaICbIC-urbanresidential'!$A2,'Cost Breakdowns'!$F$3:$F$12,"ISIC 07T08"))*'Factors applied'!$E$247</f>
        <v>0</v>
      </c>
      <c r="I2">
        <f>(SUMIFS('Cost Breakdowns'!$C$3:$C$12,'Cost Breakdowns'!$A$3:$A$12,'SoBCaICbIC-urbanresidential'!$A2,'Cost Breakdowns'!$F$3:$F$12,"ISIC 09"))</f>
        <v>0</v>
      </c>
      <c r="J2">
        <f>(SUMIFS('Cost Breakdowns'!$C$3:$C$12,'Cost Breakdowns'!$A$3:$A$12,'SoBCaICbIC-urbanresidential'!$A2,'Cost Breakdowns'!$F$3:$F$12,"ISIC 10T12"))</f>
        <v>0</v>
      </c>
      <c r="K2">
        <f>(SUMIFS('Cost Breakdowns'!$C$3:$C$12,'Cost Breakdowns'!$A$3:$A$12,'SoBCaICbIC-urbanresidential'!$A2,'Cost Breakdowns'!$F$3:$F$12,"ISIC 13T15"))</f>
        <v>0</v>
      </c>
      <c r="L2">
        <f>(SUMIFS('Cost Breakdowns'!$C$3:$C$12,'Cost Breakdowns'!$A$3:$A$12,'SoBCaICbIC-urbanresidential'!$A2,'Cost Breakdowns'!$F$3:$F$12,"ISIC 16"))</f>
        <v>0</v>
      </c>
      <c r="M2">
        <f>(SUMIFS('Cost Breakdowns'!$C$3:$C$12,'Cost Breakdowns'!$A$3:$A$12,'SoBCaICbIC-urbanresidential'!$A2,'Cost Breakdowns'!$F$3:$F$12,"ISIC 17T18"))</f>
        <v>0</v>
      </c>
      <c r="N2">
        <f>(SUMIFS('Cost Breakdowns'!$C$3:$C$12,'Cost Breakdowns'!$A$3:$A$12,'SoBCaICbIC-urbanresidential'!$A2,'Cost Breakdowns'!$F$3:$F$12,"ISIC 19"))</f>
        <v>0</v>
      </c>
      <c r="O2">
        <f>(SUMIFS('Cost Breakdowns'!$C$3:$C$12,'Cost Breakdowns'!$A$3:$A$12,'SoBCaICbIC-urbanresidential'!$A2,'Cost Breakdowns'!$F$3:$F$12,"ISIC 20"))</f>
        <v>0</v>
      </c>
      <c r="P2">
        <f>(SUMIFS('Cost Breakdowns'!$C$3:$C$12,'Cost Breakdowns'!$A$3:$A$12,'SoBCaICbIC-urbanresidential'!$A2,'Cost Breakdowns'!$F$3:$F$12,"ISIC 21"))</f>
        <v>0</v>
      </c>
      <c r="Q2">
        <f>(SUMIFS('Cost Breakdowns'!$C$3:$C$12,'Cost Breakdowns'!$A$3:$A$12,'SoBCaICbIC-urbanresidential'!$A2,'Cost Breakdowns'!$F$3:$F$12,"ISIC 22"))</f>
        <v>0</v>
      </c>
      <c r="R2">
        <f>(SUMIFS('Cost Breakdowns'!$C$3:$C$12,'Cost Breakdowns'!$A$3:$A$12,'SoBCaICbIC-urbanresidential'!$A2,'Cost Breakdowns'!$F$3:$F$12,"ISIC 231"))</f>
        <v>0</v>
      </c>
      <c r="S2">
        <f>(SUMIFS('Cost Breakdowns'!$C$3:$C$12,'Cost Breakdowns'!$A$3:$A$12,'SoBCaICbIC-urbanresidential'!$A2,'Cost Breakdowns'!$F$3:$F$12,"ISIC 239"))</f>
        <v>0</v>
      </c>
      <c r="T2">
        <f>(SUMIFS('Cost Breakdowns'!$C$3:$C$12,'Cost Breakdowns'!$A$3:$A$12,'SoBCaICbIC-urbanresidential'!$A2,'Cost Breakdowns'!$F$3:$F$12,"ISIC 241"))</f>
        <v>0</v>
      </c>
      <c r="U2">
        <f>(SUMIFS('Cost Breakdowns'!$C$3:$C$12,'Cost Breakdowns'!$A$3:$A$12,'SoBCaICbIC-urbanresidential'!$A2,'Cost Breakdowns'!$F$3:$F$12,"ISIC 242"))</f>
        <v>0</v>
      </c>
      <c r="V2">
        <f>(SUMIFS('Cost Breakdowns'!$C$3:$C$12,'Cost Breakdowns'!$A$3:$A$12,'SoBCaICbIC-urbanresidential'!$A2,'Cost Breakdowns'!$F$3:$F$12,"ISIC 25"))</f>
        <v>0</v>
      </c>
      <c r="W2">
        <f>(SUMIFS('Cost Breakdowns'!$C$3:$C$12,'Cost Breakdowns'!$A$3:$A$12,'SoBCaICbIC-urbanresidential'!$A2,'Cost Breakdowns'!$F$3:$F$12,"ISIC 26"))</f>
        <v>0</v>
      </c>
      <c r="X2">
        <f>(SUMIFS('Cost Breakdowns'!$C$3:$C$12,'Cost Breakdowns'!$A$3:$A$12,'SoBCaICbIC-urbanresidential'!$A2,'Cost Breakdowns'!$F$3:$F$12,"ISIC 27"))</f>
        <v>0</v>
      </c>
      <c r="Y2">
        <f>(SUMIFS('Cost Breakdowns'!$C$3:$C$12,'Cost Breakdowns'!$A$3:$A$12,'SoBCaICbIC-urbanresidential'!$A2,'Cost Breakdowns'!$F$3:$F$12,"ISIC 28"))</f>
        <v>0.55028127086837375</v>
      </c>
      <c r="Z2">
        <f>(SUMIFS('Cost Breakdowns'!$C$3:$C$12,'Cost Breakdowns'!$A$3:$A$12,'SoBCaICbIC-urbanresidential'!$A2,'Cost Breakdowns'!$F$3:$F$12,"ISIC 29"))</f>
        <v>0</v>
      </c>
      <c r="AA2">
        <f>(SUMIFS('Cost Breakdowns'!$C$3:$C$12,'Cost Breakdowns'!$A$3:$A$12,'SoBCaICbIC-urbanresidential'!$A2,'Cost Breakdowns'!$F$3:$F$12,"ISIC 30"))*'Factors applied'!$E$248</f>
        <v>0</v>
      </c>
      <c r="AB2">
        <f>(SUMIFS('Cost Breakdowns'!$C$3:$C$12,'Cost Breakdowns'!$A$3:$A$12,'SoBCaICbIC-urbanresidential'!$A2,'Cost Breakdowns'!$F$3:$F$12,"ISIC 30"))*'Factors applied'!$E$249</f>
        <v>0</v>
      </c>
      <c r="AC2">
        <f>(SUMIFS('Cost Breakdowns'!$C$3:$C$12,'Cost Breakdowns'!$A$3:$A$12,'SoBCaICbIC-urbanresidential'!$A2,'Cost Breakdowns'!$F$3:$F$12,"ISIC 31T33"))</f>
        <v>0</v>
      </c>
      <c r="AD2">
        <f>(SUMIFS('Cost Breakdowns'!$C$3:$C$12,'Cost Breakdowns'!$A$3:$A$12,'SoBCaICbIC-urbanresidential'!$A2,'Cost Breakdowns'!$F$3:$F$12,"ISIC 351"))</f>
        <v>0</v>
      </c>
      <c r="AE2">
        <f>(SUMIFS('Cost Breakdowns'!$C$3:$C$12,'Cost Breakdowns'!$A$3:$A$12,'SoBCaICbIC-urbanresidential'!$A2,'Cost Breakdowns'!$F$3:$F$12,"ISIC 352T353"))</f>
        <v>0</v>
      </c>
      <c r="AF2">
        <f>(SUMIFS('Cost Breakdowns'!$C$3:$C$12,'Cost Breakdowns'!$A$3:$A$12,'SoBCaICbIC-urbanresidential'!$A2,'Cost Breakdowns'!$F$3:$F$12,"ISIC 36T39"))</f>
        <v>0</v>
      </c>
      <c r="AG2">
        <f>(SUMIFS('Cost Breakdowns'!$C$3:$C$12,'Cost Breakdowns'!$A$3:$A$12,'SoBCaICbIC-urbanresidential'!$A2,'Cost Breakdowns'!$F$3:$F$12,"ISIC 41T43"))</f>
        <v>0.44971872913162625</v>
      </c>
      <c r="AH2">
        <f>(SUMIFS('Cost Breakdowns'!$C$3:$C$12,'Cost Breakdowns'!$A$3:$A$12,'SoBCaICbIC-urbanresidential'!$A2,'Cost Breakdowns'!$F$3:$F$12,"ISIC 45T47"))</f>
        <v>0</v>
      </c>
      <c r="AI2">
        <f>(SUMIFS('Cost Breakdowns'!$C$3:$C$12,'Cost Breakdowns'!$A$3:$A$12,'SoBCaICbIC-urbanresidential'!$A2,'Cost Breakdowns'!$F$3:$F$12,"ISIC 49T53"))*'Factors applied'!$E$250</f>
        <v>0</v>
      </c>
      <c r="AJ2">
        <f>(SUMIFS('Cost Breakdowns'!$C$3:$C$12,'Cost Breakdowns'!$A$3:$A$12,'SoBCaICbIC-urbanresidential'!$A2,'Cost Breakdowns'!$F$3:$F$12,"ISIC 49T53"))*'Factors applied'!$E$251</f>
        <v>0</v>
      </c>
      <c r="AK2">
        <f>(SUMIFS('Cost Breakdowns'!$C$3:$C$12,'Cost Breakdowns'!$A$3:$A$12,'SoBCaICbIC-urbanresidential'!$A2,'Cost Breakdowns'!$F$3:$F$12,"ISIC 49T53"))*'Factors applied'!$E$252</f>
        <v>0</v>
      </c>
      <c r="AL2">
        <f>(SUMIFS('Cost Breakdowns'!$C$3:$C$12,'Cost Breakdowns'!$A$3:$A$12,'SoBCaICbIC-urbanresidential'!$A2,'Cost Breakdowns'!$F$3:$F$12,"ISIC 49T53"))*'Factors applied'!$E$253</f>
        <v>0</v>
      </c>
      <c r="AM2">
        <f>(SUMIFS('Cost Breakdowns'!$C$3:$C$12,'Cost Breakdowns'!$A$3:$A$12,'SoBCaICbIC-urbanresidential'!$A2,'Cost Breakdowns'!$F$3:$F$12,"ISIC 49T53"))*'Factors applied'!$E$254</f>
        <v>0</v>
      </c>
      <c r="AN2">
        <f>(SUMIFS('Cost Breakdowns'!$C$3:$C$12,'Cost Breakdowns'!$A$3:$A$12,'SoBCaICbIC-urbanresidential'!$A2,'Cost Breakdowns'!$F$3:$F$12,"ISIC 55T56"))</f>
        <v>0</v>
      </c>
      <c r="AO2">
        <f>(SUMIFS('Cost Breakdowns'!$C$3:$C$12,'Cost Breakdowns'!$A$3:$A$12,'SoBCaICbIC-urbanresidential'!$A2,'Cost Breakdowns'!$F$3:$F$12,"ISIC 58T60"))</f>
        <v>0</v>
      </c>
      <c r="AP2">
        <f>(SUMIFS('Cost Breakdowns'!$C$3:$C$12,'Cost Breakdowns'!$A$3:$A$12,'SoBCaICbIC-urbanresidential'!$A2,'Cost Breakdowns'!$F$3:$F$12,"ISIC 61"))</f>
        <v>0</v>
      </c>
      <c r="AQ2">
        <f>(SUMIFS('Cost Breakdowns'!$C$3:$C$12,'Cost Breakdowns'!$A$3:$A$12,'SoBCaICbIC-urbanresidential'!$A2,'Cost Breakdowns'!$F$3:$F$12,"ISIC 62T63"))</f>
        <v>0</v>
      </c>
      <c r="AR2">
        <f>(SUMIFS('Cost Breakdowns'!$C$3:$C$12,'Cost Breakdowns'!$A$3:$A$12,'SoBCaICbIC-urbanresidential'!$A2,'Cost Breakdowns'!$F$3:$F$12,"ISIC 64T66"))</f>
        <v>0</v>
      </c>
      <c r="AS2">
        <f>(SUMIFS('Cost Breakdowns'!$C$3:$C$12,'Cost Breakdowns'!$A$3:$A$12,'SoBCaICbIC-urbanresidential'!$A2,'Cost Breakdowns'!$F$3:$F$12,"ISIC 68"))</f>
        <v>0</v>
      </c>
      <c r="AT2">
        <f>(SUMIFS('Cost Breakdowns'!$C$3:$C$12,'Cost Breakdowns'!$A$3:$A$12,'SoBCaICbIC-urbanresidential'!$A2,'Cost Breakdowns'!$F$3:$F$12,"ISIC 69T82"))*'Factors applied'!$E$255</f>
        <v>0</v>
      </c>
      <c r="AU2">
        <f>(SUMIFS('Cost Breakdowns'!$C$3:$C$12,'Cost Breakdowns'!$A$3:$A$12,'SoBCaICbIC-urbanresidential'!$A2,'Cost Breakdowns'!$F$3:$F$12,"ISIC 69T82"))*'Factors applied'!$E$256</f>
        <v>0</v>
      </c>
      <c r="AV2">
        <f>(SUMIFS('Cost Breakdowns'!$C$3:$C$12,'Cost Breakdowns'!$A$3:$A$12,'SoBCaICbIC-urbanresidential'!$A2,'Cost Breakdowns'!$F$3:$F$12,"ISIC 84"))</f>
        <v>0</v>
      </c>
      <c r="AW2">
        <f>(SUMIFS('Cost Breakdowns'!$C$3:$C$12,'Cost Breakdowns'!$A$3:$A$12,'SoBCaICbIC-urbanresidential'!$A2,'Cost Breakdowns'!$F$3:$F$12,"ISIC 85"))</f>
        <v>0</v>
      </c>
      <c r="AX2">
        <f>(SUMIFS('Cost Breakdowns'!$C$3:$C$12,'Cost Breakdowns'!$A$3:$A$12,'SoBCaICbIC-urbanresidential'!$A2,'Cost Breakdowns'!$F$3:$F$12,"ISIC 86T88"))</f>
        <v>0</v>
      </c>
      <c r="AY2">
        <f>(SUMIFS('Cost Breakdowns'!$C$3:$C$12,'Cost Breakdowns'!$A$3:$A$12,'SoBCaICbIC-urbanresidential'!$A2,'Cost Breakdowns'!$F$3:$F$12,"ISIC 90T96"))*'Factors applied'!$E$257</f>
        <v>0</v>
      </c>
      <c r="AZ2">
        <f>(SUMIFS('Cost Breakdowns'!$C$3:$C$12,'Cost Breakdowns'!$A$3:$A$12,'SoBCaICbIC-urbanresidential'!$A2,'Cost Breakdowns'!$F$3:$F$12,"ISIC 90T96"))*'Factors applied'!$E$258</f>
        <v>0</v>
      </c>
      <c r="BA2">
        <f>(SUMIFS('Cost Breakdowns'!$C$3:$C$12,'Cost Breakdowns'!$A$3:$A$12,'SoBCaICbIC-urbanresidential'!$A2,'Cost Breakdowns'!$F$3:$F$12,"ISIC 97T98"))</f>
        <v>0</v>
      </c>
    </row>
    <row r="3" spans="1:53" x14ac:dyDescent="0.25">
      <c r="A3" t="s">
        <v>65</v>
      </c>
      <c r="B3">
        <f>(SUMIFS('Cost Breakdowns'!$C$3:$C$12,'Cost Breakdowns'!$A$3:$A$12,'SoBCaICbIC-urbanresidential'!$A3,'Cost Breakdowns'!$F$3:$F$12,"ISIC 01T03"))*'Factors applied'!$E$211</f>
        <v>0</v>
      </c>
      <c r="C3">
        <f>(SUMIFS('Cost Breakdowns'!$C$3:$C$12,'Cost Breakdowns'!$A$3:$A$12,'SoBCaICbIC-urbanresidential'!$A3,'Cost Breakdowns'!$F$3:$F$12,"ISIC 01T03"))*'Factors applied'!$E$212</f>
        <v>0</v>
      </c>
      <c r="D3">
        <f>(SUMIFS('Cost Breakdowns'!$C$3:$C$12,'Cost Breakdowns'!$A$3:$A$12,'SoBCaICbIC-urbanresidential'!$A3,'Cost Breakdowns'!$F$3:$F$12,"ISIC 01T03"))*'Factors applied'!$E$213</f>
        <v>0</v>
      </c>
      <c r="E3">
        <f>(SUMIFS('Cost Breakdowns'!$C$3:$C$12,'Cost Breakdowns'!$A$3:$A$12,'SoBCaICbIC-urbanresidential'!$A3,'Cost Breakdowns'!$F$3:$F$12,"ISIC 05"))</f>
        <v>0</v>
      </c>
      <c r="F3">
        <f>(SUMIFS('Cost Breakdowns'!$C$3:$C$12,'Cost Breakdowns'!$A$3:$A$12,'SoBCaICbIC-urbanresidential'!$A3,'Cost Breakdowns'!$F$3:$F$12,"ISIC 06"))</f>
        <v>0</v>
      </c>
      <c r="G3">
        <f>(SUMIFS('Cost Breakdowns'!$C$3:$C$12,'Cost Breakdowns'!$A$3:$A$12,'SoBCaICbIC-urbanresidential'!$A3,'Cost Breakdowns'!$F$3:$F$12,"ISIC 07T08"))*'Factors applied'!$E$214</f>
        <v>0</v>
      </c>
      <c r="H3">
        <f>(SUMIFS('Cost Breakdowns'!$C$3:$C$12,'Cost Breakdowns'!$A$3:$A$12,'SoBCaICbIC-urbanresidential'!$A3,'Cost Breakdowns'!$F$3:$F$12,"ISIC 07T08"))*'Factors applied'!$E$215</f>
        <v>0</v>
      </c>
      <c r="I3">
        <f>(SUMIFS('Cost Breakdowns'!$C$3:$C$12,'Cost Breakdowns'!$A$3:$A$12,'SoBCaICbIC-urbanresidential'!$A3,'Cost Breakdowns'!$F$3:$F$12,"ISIC 09"))</f>
        <v>0</v>
      </c>
      <c r="J3">
        <f>(SUMIFS('Cost Breakdowns'!$C$3:$C$12,'Cost Breakdowns'!$A$3:$A$12,'SoBCaICbIC-urbanresidential'!$A3,'Cost Breakdowns'!$F$3:$F$12,"ISIC 10T12"))</f>
        <v>0</v>
      </c>
      <c r="K3">
        <f>(SUMIFS('Cost Breakdowns'!$C$3:$C$12,'Cost Breakdowns'!$A$3:$A$12,'SoBCaICbIC-urbanresidential'!$A3,'Cost Breakdowns'!$F$3:$F$12,"ISIC 13T15"))</f>
        <v>0</v>
      </c>
      <c r="L3">
        <f>(SUMIFS('Cost Breakdowns'!$C$3:$C$12,'Cost Breakdowns'!$A$3:$A$12,'SoBCaICbIC-urbanresidential'!$A3,'Cost Breakdowns'!$F$3:$F$12,"ISIC 16"))</f>
        <v>0</v>
      </c>
      <c r="M3">
        <f>(SUMIFS('Cost Breakdowns'!$C$3:$C$12,'Cost Breakdowns'!$A$3:$A$12,'SoBCaICbIC-urbanresidential'!$A3,'Cost Breakdowns'!$F$3:$F$12,"ISIC 17T18"))</f>
        <v>0</v>
      </c>
      <c r="N3">
        <f>(SUMIFS('Cost Breakdowns'!$C$3:$C$12,'Cost Breakdowns'!$A$3:$A$12,'SoBCaICbIC-urbanresidential'!$A3,'Cost Breakdowns'!$F$3:$F$12,"ISIC 19"))</f>
        <v>0</v>
      </c>
      <c r="O3">
        <f>(SUMIFS('Cost Breakdowns'!$C$3:$C$12,'Cost Breakdowns'!$A$3:$A$12,'SoBCaICbIC-urbanresidential'!$A3,'Cost Breakdowns'!$F$3:$F$12,"ISIC 20"))</f>
        <v>0</v>
      </c>
      <c r="P3">
        <f>(SUMIFS('Cost Breakdowns'!$C$3:$C$12,'Cost Breakdowns'!$A$3:$A$12,'SoBCaICbIC-urbanresidential'!$A3,'Cost Breakdowns'!$F$3:$F$12,"ISIC 21"))</f>
        <v>0</v>
      </c>
      <c r="Q3">
        <f>(SUMIFS('Cost Breakdowns'!$C$3:$C$12,'Cost Breakdowns'!$A$3:$A$12,'SoBCaICbIC-urbanresidential'!$A3,'Cost Breakdowns'!$F$3:$F$12,"ISIC 22"))</f>
        <v>0</v>
      </c>
      <c r="R3">
        <f>(SUMIFS('Cost Breakdowns'!$C$3:$C$12,'Cost Breakdowns'!$A$3:$A$12,'SoBCaICbIC-urbanresidential'!$A3,'Cost Breakdowns'!$F$3:$F$12,"ISIC 231"))</f>
        <v>0</v>
      </c>
      <c r="S3">
        <f>(SUMIFS('Cost Breakdowns'!$C$3:$C$12,'Cost Breakdowns'!$A$3:$A$12,'SoBCaICbIC-urbanresidential'!$A3,'Cost Breakdowns'!$F$3:$F$12,"ISIC 239"))</f>
        <v>0</v>
      </c>
      <c r="T3">
        <f>(SUMIFS('Cost Breakdowns'!$C$3:$C$12,'Cost Breakdowns'!$A$3:$A$12,'SoBCaICbIC-urbanresidential'!$A3,'Cost Breakdowns'!$F$3:$F$12,"ISIC 241"))</f>
        <v>0</v>
      </c>
      <c r="U3">
        <f>(SUMIFS('Cost Breakdowns'!$C$3:$C$12,'Cost Breakdowns'!$A$3:$A$12,'SoBCaICbIC-urbanresidential'!$A3,'Cost Breakdowns'!$F$3:$F$12,"ISIC 242"))</f>
        <v>0</v>
      </c>
      <c r="V3">
        <f>(SUMIFS('Cost Breakdowns'!$C$3:$C$12,'Cost Breakdowns'!$A$3:$A$12,'SoBCaICbIC-urbanresidential'!$A3,'Cost Breakdowns'!$F$3:$F$12,"ISIC 25"))</f>
        <v>0</v>
      </c>
      <c r="W3">
        <f>(SUMIFS('Cost Breakdowns'!$C$3:$C$12,'Cost Breakdowns'!$A$3:$A$12,'SoBCaICbIC-urbanresidential'!$A3,'Cost Breakdowns'!$F$3:$F$12,"ISIC 26"))</f>
        <v>0</v>
      </c>
      <c r="X3">
        <f>(SUMIFS('Cost Breakdowns'!$C$3:$C$12,'Cost Breakdowns'!$A$3:$A$12,'SoBCaICbIC-urbanresidential'!$A3,'Cost Breakdowns'!$F$3:$F$12,"ISIC 27"))</f>
        <v>0</v>
      </c>
      <c r="Y3">
        <f>(SUMIFS('Cost Breakdowns'!$C$3:$C$12,'Cost Breakdowns'!$A$3:$A$12,'SoBCaICbIC-urbanresidential'!$A3,'Cost Breakdowns'!$F$3:$F$12,"ISIC 28"))</f>
        <v>0.73624568720161232</v>
      </c>
      <c r="Z3">
        <f>(SUMIFS('Cost Breakdowns'!$C$3:$C$12,'Cost Breakdowns'!$A$3:$A$12,'SoBCaICbIC-urbanresidential'!$A3,'Cost Breakdowns'!$F$3:$F$12,"ISIC 29"))</f>
        <v>0</v>
      </c>
      <c r="AA3">
        <f>(SUMIFS('Cost Breakdowns'!$C$3:$C$12,'Cost Breakdowns'!$A$3:$A$12,'SoBCaICbIC-urbanresidential'!$A3,'Cost Breakdowns'!$F$3:$F$12,"ISIC 30"))*'Factors applied'!$E$216</f>
        <v>0</v>
      </c>
      <c r="AB3">
        <f>(SUMIFS('Cost Breakdowns'!$C$3:$C$12,'Cost Breakdowns'!$A$3:$A$12,'SoBCaICbIC-urbanresidential'!$A3,'Cost Breakdowns'!$F$3:$F$12,"ISIC 30"))*'Factors applied'!$E$217</f>
        <v>0</v>
      </c>
      <c r="AC3">
        <f>(SUMIFS('Cost Breakdowns'!$C$3:$C$12,'Cost Breakdowns'!$A$3:$A$12,'SoBCaICbIC-urbanresidential'!$A3,'Cost Breakdowns'!$F$3:$F$12,"ISIC 31T33"))</f>
        <v>0</v>
      </c>
      <c r="AD3">
        <f>(SUMIFS('Cost Breakdowns'!$C$3:$C$12,'Cost Breakdowns'!$A$3:$A$12,'SoBCaICbIC-urbanresidential'!$A3,'Cost Breakdowns'!$F$3:$F$12,"ISIC 351"))</f>
        <v>0</v>
      </c>
      <c r="AE3">
        <f>(SUMIFS('Cost Breakdowns'!$C$3:$C$12,'Cost Breakdowns'!$A$3:$A$12,'SoBCaICbIC-urbanresidential'!$A3,'Cost Breakdowns'!$F$3:$F$12,"ISIC 352T353"))</f>
        <v>0</v>
      </c>
      <c r="AF3">
        <f>(SUMIFS('Cost Breakdowns'!$C$3:$C$12,'Cost Breakdowns'!$A$3:$A$12,'SoBCaICbIC-urbanresidential'!$A3,'Cost Breakdowns'!$F$3:$F$12,"ISIC 36T39"))</f>
        <v>0</v>
      </c>
      <c r="AG3">
        <f>(SUMIFS('Cost Breakdowns'!$C$3:$C$12,'Cost Breakdowns'!$A$3:$A$12,'SoBCaICbIC-urbanresidential'!$A3,'Cost Breakdowns'!$F$3:$F$12,"ISIC 41T43"))</f>
        <v>0.26375431279838768</v>
      </c>
      <c r="AH3">
        <f>(SUMIFS('Cost Breakdowns'!$C$3:$C$12,'Cost Breakdowns'!$A$3:$A$12,'SoBCaICbIC-urbanresidential'!$A3,'Cost Breakdowns'!$F$3:$F$12,"ISIC 45T47"))</f>
        <v>0</v>
      </c>
      <c r="AI3">
        <f>(SUMIFS('Cost Breakdowns'!$C$3:$C$12,'Cost Breakdowns'!$A$3:$A$12,'SoBCaICbIC-urbanresidential'!$A3,'Cost Breakdowns'!$F$3:$F$12,"ISIC 49T53"))*'Factors applied'!$E$218</f>
        <v>0</v>
      </c>
      <c r="AJ3">
        <f>(SUMIFS('Cost Breakdowns'!$C$3:$C$12,'Cost Breakdowns'!$A$3:$A$12,'SoBCaICbIC-urbanresidential'!$A3,'Cost Breakdowns'!$F$3:$F$12,"ISIC 49T53"))*'Factors applied'!$E$219</f>
        <v>0</v>
      </c>
      <c r="AK3">
        <f>(SUMIFS('Cost Breakdowns'!$C$3:$C$12,'Cost Breakdowns'!$A$3:$A$12,'SoBCaICbIC-urbanresidential'!$A3,'Cost Breakdowns'!$F$3:$F$12,"ISIC 49T53"))*'Factors applied'!$E$220</f>
        <v>0</v>
      </c>
      <c r="AL3">
        <f>(SUMIFS('Cost Breakdowns'!$C$3:$C$12,'Cost Breakdowns'!$A$3:$A$12,'SoBCaICbIC-urbanresidential'!$A3,'Cost Breakdowns'!$F$3:$F$12,"ISIC 49T53"))*'Factors applied'!$E$221</f>
        <v>0</v>
      </c>
      <c r="AM3">
        <f>(SUMIFS('Cost Breakdowns'!$C$3:$C$12,'Cost Breakdowns'!$A$3:$A$12,'SoBCaICbIC-urbanresidential'!$A3,'Cost Breakdowns'!$F$3:$F$12,"ISIC 49T53"))*'Factors applied'!$E$222</f>
        <v>0</v>
      </c>
      <c r="AN3">
        <f>(SUMIFS('Cost Breakdowns'!$C$3:$C$12,'Cost Breakdowns'!$A$3:$A$12,'SoBCaICbIC-urbanresidential'!$A3,'Cost Breakdowns'!$F$3:$F$12,"ISIC 55T56"))</f>
        <v>0</v>
      </c>
      <c r="AO3">
        <f>(SUMIFS('Cost Breakdowns'!$C$3:$C$12,'Cost Breakdowns'!$A$3:$A$12,'SoBCaICbIC-urbanresidential'!$A3,'Cost Breakdowns'!$F$3:$F$12,"ISIC 58T60"))</f>
        <v>0</v>
      </c>
      <c r="AP3">
        <f>(SUMIFS('Cost Breakdowns'!$C$3:$C$12,'Cost Breakdowns'!$A$3:$A$12,'SoBCaICbIC-urbanresidential'!$A3,'Cost Breakdowns'!$F$3:$F$12,"ISIC 61"))</f>
        <v>0</v>
      </c>
      <c r="AQ3">
        <f>(SUMIFS('Cost Breakdowns'!$C$3:$C$12,'Cost Breakdowns'!$A$3:$A$12,'SoBCaICbIC-urbanresidential'!$A3,'Cost Breakdowns'!$F$3:$F$12,"ISIC 62T63"))</f>
        <v>0</v>
      </c>
      <c r="AR3">
        <f>(SUMIFS('Cost Breakdowns'!$C$3:$C$12,'Cost Breakdowns'!$A$3:$A$12,'SoBCaICbIC-urbanresidential'!$A3,'Cost Breakdowns'!$F$3:$F$12,"ISIC 64T66"))</f>
        <v>0</v>
      </c>
      <c r="AS3">
        <f>(SUMIFS('Cost Breakdowns'!$C$3:$C$12,'Cost Breakdowns'!$A$3:$A$12,'SoBCaICbIC-urbanresidential'!$A3,'Cost Breakdowns'!$F$3:$F$12,"ISIC 68"))</f>
        <v>0</v>
      </c>
      <c r="AT3">
        <f>(SUMIFS('Cost Breakdowns'!$C$3:$C$12,'Cost Breakdowns'!$A$3:$A$12,'SoBCaICbIC-urbanresidential'!$A3,'Cost Breakdowns'!$F$3:$F$12,"ISIC 69T82"))*'Factors applied'!$E$223</f>
        <v>0</v>
      </c>
      <c r="AU3">
        <f>(SUMIFS('Cost Breakdowns'!$C$3:$C$12,'Cost Breakdowns'!$A$3:$A$12,'SoBCaICbIC-urbanresidential'!$A3,'Cost Breakdowns'!$F$3:$F$12,"ISIC 69T82"))*'Factors applied'!$E$224</f>
        <v>0</v>
      </c>
      <c r="AV3">
        <f>(SUMIFS('Cost Breakdowns'!$C$3:$C$12,'Cost Breakdowns'!$A$3:$A$12,'SoBCaICbIC-urbanresidential'!$A3,'Cost Breakdowns'!$F$3:$F$12,"ISIC 84"))</f>
        <v>0</v>
      </c>
      <c r="AW3">
        <f>(SUMIFS('Cost Breakdowns'!$C$3:$C$12,'Cost Breakdowns'!$A$3:$A$12,'SoBCaICbIC-urbanresidential'!$A3,'Cost Breakdowns'!$F$3:$F$12,"ISIC 85"))</f>
        <v>0</v>
      </c>
      <c r="AX3">
        <f>(SUMIFS('Cost Breakdowns'!$C$3:$C$12,'Cost Breakdowns'!$A$3:$A$12,'SoBCaICbIC-urbanresidential'!$A3,'Cost Breakdowns'!$F$3:$F$12,"ISIC 86T88"))</f>
        <v>0</v>
      </c>
      <c r="AY3">
        <f>(SUMIFS('Cost Breakdowns'!$C$3:$C$12,'Cost Breakdowns'!$A$3:$A$12,'SoBCaICbIC-urbanresidential'!$A3,'Cost Breakdowns'!$F$3:$F$12,"ISIC 90T96"))*'Factors applied'!$E$225</f>
        <v>0</v>
      </c>
      <c r="AZ3">
        <f>(SUMIFS('Cost Breakdowns'!$C$3:$C$12,'Cost Breakdowns'!$A$3:$A$12,'SoBCaICbIC-urbanresidential'!$A3,'Cost Breakdowns'!$F$3:$F$12,"ISIC 90T96"))*'Factors applied'!$E$226</f>
        <v>0</v>
      </c>
      <c r="BA3">
        <f>(SUMIFS('Cost Breakdowns'!$C$3:$C$12,'Cost Breakdowns'!$A$3:$A$12,'SoBCaICbIC-urbanresidential'!$A3,'Cost Breakdowns'!$F$3:$F$12,"ISIC 97T98"))</f>
        <v>0</v>
      </c>
    </row>
    <row r="4" spans="1:53" x14ac:dyDescent="0.25">
      <c r="A4" t="s">
        <v>66</v>
      </c>
      <c r="B4">
        <f>(SUMIFS('Cost Breakdowns'!$C$3:$C$12,'Cost Breakdowns'!$A$3:$A$12,'SoBCaICbIC-urbanresidential'!$A4,'Cost Breakdowns'!$F$3:$F$12,"ISIC 01T03"))*'Factors applied'!$E$227</f>
        <v>0</v>
      </c>
      <c r="C4">
        <f>(SUMIFS('Cost Breakdowns'!$C$3:$C$12,'Cost Breakdowns'!$A$3:$A$12,'SoBCaICbIC-urbanresidential'!$A4,'Cost Breakdowns'!$F$3:$F$12,"ISIC 01T03"))*'Factors applied'!$E$228</f>
        <v>0</v>
      </c>
      <c r="D4">
        <f>(SUMIFS('Cost Breakdowns'!$C$3:$C$12,'Cost Breakdowns'!$A$3:$A$12,'SoBCaICbIC-urbanresidential'!$A4,'Cost Breakdowns'!$F$3:$F$12,"ISIC 01T03"))*'Factors applied'!$E$229</f>
        <v>0</v>
      </c>
      <c r="E4">
        <f>(SUMIFS('Cost Breakdowns'!$C$3:$C$12,'Cost Breakdowns'!$A$3:$A$12,'SoBCaICbIC-urbanresidential'!$A4,'Cost Breakdowns'!$F$3:$F$12,"ISIC 05"))</f>
        <v>0</v>
      </c>
      <c r="F4">
        <f>(SUMIFS('Cost Breakdowns'!$C$3:$C$12,'Cost Breakdowns'!$A$3:$A$12,'SoBCaICbIC-urbanresidential'!$A4,'Cost Breakdowns'!$F$3:$F$12,"ISIC 06"))</f>
        <v>0</v>
      </c>
      <c r="G4">
        <f>(SUMIFS('Cost Breakdowns'!$C$3:$C$12,'Cost Breakdowns'!$A$3:$A$12,'SoBCaICbIC-urbanresidential'!$A4,'Cost Breakdowns'!$F$3:$F$12,"ISIC 07T08"))*'Factors applied'!$E$230</f>
        <v>0</v>
      </c>
      <c r="H4">
        <f>(SUMIFS('Cost Breakdowns'!$C$3:$C$12,'Cost Breakdowns'!$A$3:$A$12,'SoBCaICbIC-urbanresidential'!$A4,'Cost Breakdowns'!$F$3:$F$12,"ISIC 07T08"))*'Factors applied'!$E$231</f>
        <v>0</v>
      </c>
      <c r="I4">
        <f>(SUMIFS('Cost Breakdowns'!$C$3:$C$12,'Cost Breakdowns'!$A$3:$A$12,'SoBCaICbIC-urbanresidential'!$A4,'Cost Breakdowns'!$F$3:$F$12,"ISIC 09"))</f>
        <v>0</v>
      </c>
      <c r="J4">
        <f>(SUMIFS('Cost Breakdowns'!$C$3:$C$12,'Cost Breakdowns'!$A$3:$A$12,'SoBCaICbIC-urbanresidential'!$A4,'Cost Breakdowns'!$F$3:$F$12,"ISIC 10T12"))</f>
        <v>0</v>
      </c>
      <c r="K4">
        <f>(SUMIFS('Cost Breakdowns'!$C$3:$C$12,'Cost Breakdowns'!$A$3:$A$12,'SoBCaICbIC-urbanresidential'!$A4,'Cost Breakdowns'!$F$3:$F$12,"ISIC 13T15"))</f>
        <v>0</v>
      </c>
      <c r="L4">
        <f>(SUMIFS('Cost Breakdowns'!$C$3:$C$12,'Cost Breakdowns'!$A$3:$A$12,'SoBCaICbIC-urbanresidential'!$A4,'Cost Breakdowns'!$F$3:$F$12,"ISIC 16"))</f>
        <v>0</v>
      </c>
      <c r="M4">
        <f>(SUMIFS('Cost Breakdowns'!$C$3:$C$12,'Cost Breakdowns'!$A$3:$A$12,'SoBCaICbIC-urbanresidential'!$A4,'Cost Breakdowns'!$F$3:$F$12,"ISIC 17T18"))</f>
        <v>0</v>
      </c>
      <c r="N4">
        <f>(SUMIFS('Cost Breakdowns'!$C$3:$C$12,'Cost Breakdowns'!$A$3:$A$12,'SoBCaICbIC-urbanresidential'!$A4,'Cost Breakdowns'!$F$3:$F$12,"ISIC 19"))</f>
        <v>0</v>
      </c>
      <c r="O4">
        <f>(SUMIFS('Cost Breakdowns'!$C$3:$C$12,'Cost Breakdowns'!$A$3:$A$12,'SoBCaICbIC-urbanresidential'!$A4,'Cost Breakdowns'!$F$3:$F$12,"ISIC 20"))</f>
        <v>0</v>
      </c>
      <c r="P4">
        <f>(SUMIFS('Cost Breakdowns'!$C$3:$C$12,'Cost Breakdowns'!$A$3:$A$12,'SoBCaICbIC-urbanresidential'!$A4,'Cost Breakdowns'!$F$3:$F$12,"ISIC 21"))</f>
        <v>0</v>
      </c>
      <c r="Q4">
        <f>(SUMIFS('Cost Breakdowns'!$C$3:$C$12,'Cost Breakdowns'!$A$3:$A$12,'SoBCaICbIC-urbanresidential'!$A4,'Cost Breakdowns'!$F$3:$F$12,"ISIC 22"))</f>
        <v>0</v>
      </c>
      <c r="R4">
        <f>(SUMIFS('Cost Breakdowns'!$C$3:$C$12,'Cost Breakdowns'!$A$3:$A$12,'SoBCaICbIC-urbanresidential'!$A4,'Cost Breakdowns'!$F$3:$F$12,"ISIC 231"))</f>
        <v>0</v>
      </c>
      <c r="S4">
        <f>(SUMIFS('Cost Breakdowns'!$C$3:$C$12,'Cost Breakdowns'!$A$3:$A$12,'SoBCaICbIC-urbanresidential'!$A4,'Cost Breakdowns'!$F$3:$F$12,"ISIC 239"))</f>
        <v>0</v>
      </c>
      <c r="T4">
        <f>(SUMIFS('Cost Breakdowns'!$C$3:$C$12,'Cost Breakdowns'!$A$3:$A$12,'SoBCaICbIC-urbanresidential'!$A4,'Cost Breakdowns'!$F$3:$F$12,"ISIC 241"))</f>
        <v>0</v>
      </c>
      <c r="U4">
        <f>(SUMIFS('Cost Breakdowns'!$C$3:$C$12,'Cost Breakdowns'!$A$3:$A$12,'SoBCaICbIC-urbanresidential'!$A4,'Cost Breakdowns'!$F$3:$F$12,"ISIC 242"))</f>
        <v>0</v>
      </c>
      <c r="V4">
        <f>(SUMIFS('Cost Breakdowns'!$C$3:$C$12,'Cost Breakdowns'!$A$3:$A$12,'SoBCaICbIC-urbanresidential'!$A4,'Cost Breakdowns'!$F$3:$F$12,"ISIC 25"))</f>
        <v>0</v>
      </c>
      <c r="W4">
        <f>(SUMIFS('Cost Breakdowns'!$C$3:$C$12,'Cost Breakdowns'!$A$3:$A$12,'SoBCaICbIC-urbanresidential'!$A4,'Cost Breakdowns'!$F$3:$F$12,"ISIC 26"))</f>
        <v>0</v>
      </c>
      <c r="X4">
        <f>(SUMIFS('Cost Breakdowns'!$C$3:$C$12,'Cost Breakdowns'!$A$3:$A$12,'SoBCaICbIC-urbanresidential'!$A4,'Cost Breakdowns'!$F$3:$F$12,"ISIC 27"))</f>
        <v>0</v>
      </c>
      <c r="Y4">
        <f>(SUMIFS('Cost Breakdowns'!$C$3:$C$12,'Cost Breakdowns'!$A$3:$A$12,'SoBCaICbIC-urbanresidential'!$A4,'Cost Breakdowns'!$F$3:$F$12,"ISIC 28"))</f>
        <v>0</v>
      </c>
      <c r="Z4">
        <f>(SUMIFS('Cost Breakdowns'!$C$3:$C$12,'Cost Breakdowns'!$A$3:$A$12,'SoBCaICbIC-urbanresidential'!$A4,'Cost Breakdowns'!$F$3:$F$12,"ISIC 29"))</f>
        <v>0</v>
      </c>
      <c r="AA4">
        <f>(SUMIFS('Cost Breakdowns'!$C$3:$C$12,'Cost Breakdowns'!$A$3:$A$12,'SoBCaICbIC-urbanresidential'!$A4,'Cost Breakdowns'!$F$3:$F$12,"ISIC 30"))*'Factors applied'!$E$232</f>
        <v>0</v>
      </c>
      <c r="AB4">
        <f>(SUMIFS('Cost Breakdowns'!$C$3:$C$12,'Cost Breakdowns'!$A$3:$A$12,'SoBCaICbIC-urbanresidential'!$A4,'Cost Breakdowns'!$F$3:$F$12,"ISIC 30"))*'Factors applied'!$E$233</f>
        <v>0</v>
      </c>
      <c r="AC4">
        <f>(SUMIFS('Cost Breakdowns'!$C$3:$C$12,'Cost Breakdowns'!$A$3:$A$12,'SoBCaICbIC-urbanresidential'!$A4,'Cost Breakdowns'!$F$3:$F$12,"ISIC 31T33"))</f>
        <v>0</v>
      </c>
      <c r="AD4">
        <f>(SUMIFS('Cost Breakdowns'!$C$3:$C$12,'Cost Breakdowns'!$A$3:$A$12,'SoBCaICbIC-urbanresidential'!$A4,'Cost Breakdowns'!$F$3:$F$12,"ISIC 351"))</f>
        <v>0</v>
      </c>
      <c r="AE4">
        <f>(SUMIFS('Cost Breakdowns'!$C$3:$C$12,'Cost Breakdowns'!$A$3:$A$12,'SoBCaICbIC-urbanresidential'!$A4,'Cost Breakdowns'!$F$3:$F$12,"ISIC 352T353"))</f>
        <v>0</v>
      </c>
      <c r="AF4">
        <f>(SUMIFS('Cost Breakdowns'!$C$3:$C$12,'Cost Breakdowns'!$A$3:$A$12,'SoBCaICbIC-urbanresidential'!$A4,'Cost Breakdowns'!$F$3:$F$12,"ISIC 36T39"))</f>
        <v>0</v>
      </c>
      <c r="AG4">
        <f>(SUMIFS('Cost Breakdowns'!$C$3:$C$12,'Cost Breakdowns'!$A$3:$A$12,'SoBCaICbIC-urbanresidential'!$A4,'Cost Breakdowns'!$F$3:$F$12,"ISIC 41T43"))</f>
        <v>0</v>
      </c>
      <c r="AH4">
        <f>(SUMIFS('Cost Breakdowns'!$C$3:$C$12,'Cost Breakdowns'!$A$3:$A$12,'SoBCaICbIC-urbanresidential'!$A4,'Cost Breakdowns'!$F$3:$F$12,"ISIC 45T47"))</f>
        <v>0</v>
      </c>
      <c r="AI4">
        <f>(SUMIFS('Cost Breakdowns'!$C$3:$C$12,'Cost Breakdowns'!$A$3:$A$12,'SoBCaICbIC-urbanresidential'!$A4,'Cost Breakdowns'!$F$3:$F$12,"ISIC 49T53"))*'Factors applied'!$E$234</f>
        <v>0</v>
      </c>
      <c r="AJ4">
        <f>(SUMIFS('Cost Breakdowns'!$C$3:$C$12,'Cost Breakdowns'!$A$3:$A$12,'SoBCaICbIC-urbanresidential'!$A4,'Cost Breakdowns'!$F$3:$F$12,"ISIC 49T53"))*'Factors applied'!$E$235</f>
        <v>0</v>
      </c>
      <c r="AK4">
        <f>(SUMIFS('Cost Breakdowns'!$C$3:$C$12,'Cost Breakdowns'!$A$3:$A$12,'SoBCaICbIC-urbanresidential'!$A4,'Cost Breakdowns'!$F$3:$F$12,"ISIC 49T53"))*'Factors applied'!$E$236</f>
        <v>0</v>
      </c>
      <c r="AL4">
        <f>(SUMIFS('Cost Breakdowns'!$C$3:$C$12,'Cost Breakdowns'!$A$3:$A$12,'SoBCaICbIC-urbanresidential'!$A4,'Cost Breakdowns'!$F$3:$F$12,"ISIC 49T53"))*'Factors applied'!$E$237</f>
        <v>0</v>
      </c>
      <c r="AM4">
        <f>(SUMIFS('Cost Breakdowns'!$C$3:$C$12,'Cost Breakdowns'!$A$3:$A$12,'SoBCaICbIC-urbanresidential'!$A4,'Cost Breakdowns'!$F$3:$F$12,"ISIC 49T53"))*'Factors applied'!$E$238</f>
        <v>0</v>
      </c>
      <c r="AN4">
        <f>(SUMIFS('Cost Breakdowns'!$C$3:$C$12,'Cost Breakdowns'!$A$3:$A$12,'SoBCaICbIC-urbanresidential'!$A4,'Cost Breakdowns'!$F$3:$F$12,"ISIC 55T56"))</f>
        <v>0</v>
      </c>
      <c r="AO4">
        <f>(SUMIFS('Cost Breakdowns'!$C$3:$C$12,'Cost Breakdowns'!$A$3:$A$12,'SoBCaICbIC-urbanresidential'!$A4,'Cost Breakdowns'!$F$3:$F$12,"ISIC 58T60"))</f>
        <v>0</v>
      </c>
      <c r="AP4">
        <f>(SUMIFS('Cost Breakdowns'!$C$3:$C$12,'Cost Breakdowns'!$A$3:$A$12,'SoBCaICbIC-urbanresidential'!$A4,'Cost Breakdowns'!$F$3:$F$12,"ISIC 61"))</f>
        <v>0</v>
      </c>
      <c r="AQ4">
        <f>(SUMIFS('Cost Breakdowns'!$C$3:$C$12,'Cost Breakdowns'!$A$3:$A$12,'SoBCaICbIC-urbanresidential'!$A4,'Cost Breakdowns'!$F$3:$F$12,"ISIC 62T63"))</f>
        <v>0</v>
      </c>
      <c r="AR4">
        <f>(SUMIFS('Cost Breakdowns'!$C$3:$C$12,'Cost Breakdowns'!$A$3:$A$12,'SoBCaICbIC-urbanresidential'!$A4,'Cost Breakdowns'!$F$3:$F$12,"ISIC 64T66"))</f>
        <v>0</v>
      </c>
      <c r="AS4">
        <f>(SUMIFS('Cost Breakdowns'!$C$3:$C$12,'Cost Breakdowns'!$A$3:$A$12,'SoBCaICbIC-urbanresidential'!$A4,'Cost Breakdowns'!$F$3:$F$12,"ISIC 68"))</f>
        <v>0</v>
      </c>
      <c r="AT4">
        <f>(SUMIFS('Cost Breakdowns'!$C$3:$C$12,'Cost Breakdowns'!$A$3:$A$12,'SoBCaICbIC-urbanresidential'!$A4,'Cost Breakdowns'!$F$3:$F$12,"ISIC 69T82"))*'Factors applied'!$E$239</f>
        <v>0</v>
      </c>
      <c r="AU4">
        <f>(SUMIFS('Cost Breakdowns'!$C$3:$C$12,'Cost Breakdowns'!$A$3:$A$12,'SoBCaICbIC-urbanresidential'!$A4,'Cost Breakdowns'!$F$3:$F$12,"ISIC 69T82"))*'Factors applied'!$E$240</f>
        <v>0</v>
      </c>
      <c r="AV4">
        <f>(SUMIFS('Cost Breakdowns'!$C$3:$C$12,'Cost Breakdowns'!$A$3:$A$12,'SoBCaICbIC-urbanresidential'!$A4,'Cost Breakdowns'!$F$3:$F$12,"ISIC 84"))</f>
        <v>0</v>
      </c>
      <c r="AW4">
        <f>(SUMIFS('Cost Breakdowns'!$C$3:$C$12,'Cost Breakdowns'!$A$3:$A$12,'SoBCaICbIC-urbanresidential'!$A4,'Cost Breakdowns'!$F$3:$F$12,"ISIC 85"))</f>
        <v>0</v>
      </c>
      <c r="AX4">
        <f>(SUMIFS('Cost Breakdowns'!$C$3:$C$12,'Cost Breakdowns'!$A$3:$A$12,'SoBCaICbIC-urbanresidential'!$A4,'Cost Breakdowns'!$F$3:$F$12,"ISIC 86T88"))</f>
        <v>0</v>
      </c>
      <c r="AY4">
        <f>(SUMIFS('Cost Breakdowns'!$C$3:$C$12,'Cost Breakdowns'!$A$3:$A$12,'SoBCaICbIC-urbanresidential'!$A4,'Cost Breakdowns'!$F$3:$F$12,"ISIC 90T96"))*'Factors applied'!$E$241</f>
        <v>0</v>
      </c>
      <c r="AZ4">
        <f>(SUMIFS('Cost Breakdowns'!$C$3:$C$12,'Cost Breakdowns'!$A$3:$A$12,'SoBCaICbIC-urbanresidential'!$A4,'Cost Breakdowns'!$F$3:$F$12,"ISIC 90T96"))*'Factors applied'!$E$242</f>
        <v>0</v>
      </c>
      <c r="BA4">
        <f>(SUMIFS('Cost Breakdowns'!$C$3:$C$12,'Cost Breakdowns'!$A$3:$A$12,'SoBCaICbIC-urbanresidential'!$A4,'Cost Breakdowns'!$F$3:$F$12,"ISIC 97T98"))</f>
        <v>0</v>
      </c>
    </row>
    <row r="5" spans="1:53" x14ac:dyDescent="0.25">
      <c r="A5" t="s">
        <v>68</v>
      </c>
      <c r="B5">
        <f>(SUMIFS('Cost Breakdowns'!$C$3:$C$12,'Cost Breakdowns'!$A$3:$A$12,'SoBCaICbIC-urbanresidential'!$A5,'Cost Breakdowns'!$F$3:$F$12,"ISIC 01T03"))*'Factors applied'!$E$259</f>
        <v>0</v>
      </c>
      <c r="C5">
        <f>(SUMIFS('Cost Breakdowns'!$C$3:$C$12,'Cost Breakdowns'!$A$3:$A$12,'SoBCaICbIC-urbanresidential'!$A5,'Cost Breakdowns'!$F$3:$F$12,"ISIC 01T03"))*'Factors applied'!$E$260</f>
        <v>0</v>
      </c>
      <c r="D5">
        <f>(SUMIFS('Cost Breakdowns'!$C$3:$C$12,'Cost Breakdowns'!$A$3:$A$12,'SoBCaICbIC-urbanresidential'!$A5,'Cost Breakdowns'!$F$3:$F$12,"ISIC 01T03"))*'Factors applied'!$E$261</f>
        <v>0</v>
      </c>
      <c r="E5">
        <f>(SUMIFS('Cost Breakdowns'!$C$3:$C$12,'Cost Breakdowns'!$A$3:$A$12,'SoBCaICbIC-urbanresidential'!$A5,'Cost Breakdowns'!$F$3:$F$12,"ISIC 05"))</f>
        <v>0</v>
      </c>
      <c r="F5">
        <f>(SUMIFS('Cost Breakdowns'!$C$3:$C$12,'Cost Breakdowns'!$A$3:$A$12,'SoBCaICbIC-urbanresidential'!$A5,'Cost Breakdowns'!$F$3:$F$12,"ISIC 06"))</f>
        <v>0</v>
      </c>
      <c r="G5">
        <f>(SUMIFS('Cost Breakdowns'!$C$3:$C$12,'Cost Breakdowns'!$A$3:$A$12,'SoBCaICbIC-urbanresidential'!$A5,'Cost Breakdowns'!$F$3:$F$12,"ISIC 07T08"))*'Factors applied'!$E$262</f>
        <v>0</v>
      </c>
      <c r="H5">
        <f>(SUMIFS('Cost Breakdowns'!$C$3:$C$12,'Cost Breakdowns'!$A$3:$A$12,'SoBCaICbIC-urbanresidential'!$A5,'Cost Breakdowns'!$F$3:$F$12,"ISIC 07T08"))*'Factors applied'!$E$263</f>
        <v>0</v>
      </c>
      <c r="I5">
        <f>(SUMIFS('Cost Breakdowns'!$C$3:$C$12,'Cost Breakdowns'!$A$3:$A$12,'SoBCaICbIC-urbanresidential'!$A5,'Cost Breakdowns'!$F$3:$F$12,"ISIC 09"))</f>
        <v>0</v>
      </c>
      <c r="J5">
        <f>(SUMIFS('Cost Breakdowns'!$C$3:$C$12,'Cost Breakdowns'!$A$3:$A$12,'SoBCaICbIC-urbanresidential'!$A5,'Cost Breakdowns'!$F$3:$F$12,"ISIC 10T12"))</f>
        <v>0</v>
      </c>
      <c r="K5">
        <f>(SUMIFS('Cost Breakdowns'!$C$3:$C$12,'Cost Breakdowns'!$A$3:$A$12,'SoBCaICbIC-urbanresidential'!$A5,'Cost Breakdowns'!$F$3:$F$12,"ISIC 13T15"))</f>
        <v>0</v>
      </c>
      <c r="L5">
        <f>(SUMIFS('Cost Breakdowns'!$C$3:$C$12,'Cost Breakdowns'!$A$3:$A$12,'SoBCaICbIC-urbanresidential'!$A5,'Cost Breakdowns'!$F$3:$F$12,"ISIC 16"))</f>
        <v>0</v>
      </c>
      <c r="M5">
        <f>(SUMIFS('Cost Breakdowns'!$C$3:$C$12,'Cost Breakdowns'!$A$3:$A$12,'SoBCaICbIC-urbanresidential'!$A5,'Cost Breakdowns'!$F$3:$F$12,"ISIC 17T18"))</f>
        <v>0</v>
      </c>
      <c r="N5">
        <f>(SUMIFS('Cost Breakdowns'!$C$3:$C$12,'Cost Breakdowns'!$A$3:$A$12,'SoBCaICbIC-urbanresidential'!$A5,'Cost Breakdowns'!$F$3:$F$12,"ISIC 19"))</f>
        <v>0</v>
      </c>
      <c r="O5">
        <f>(SUMIFS('Cost Breakdowns'!$C$3:$C$12,'Cost Breakdowns'!$A$3:$A$12,'SoBCaICbIC-urbanresidential'!$A5,'Cost Breakdowns'!$F$3:$F$12,"ISIC 20"))</f>
        <v>0</v>
      </c>
      <c r="P5">
        <f>(SUMIFS('Cost Breakdowns'!$C$3:$C$12,'Cost Breakdowns'!$A$3:$A$12,'SoBCaICbIC-urbanresidential'!$A5,'Cost Breakdowns'!$F$3:$F$12,"ISIC 21"))</f>
        <v>0</v>
      </c>
      <c r="Q5">
        <f>(SUMIFS('Cost Breakdowns'!$C$3:$C$12,'Cost Breakdowns'!$A$3:$A$12,'SoBCaICbIC-urbanresidential'!$A5,'Cost Breakdowns'!$F$3:$F$12,"ISIC 22"))</f>
        <v>0</v>
      </c>
      <c r="R5">
        <f>(SUMIFS('Cost Breakdowns'!$C$3:$C$12,'Cost Breakdowns'!$A$3:$A$12,'SoBCaICbIC-urbanresidential'!$A5,'Cost Breakdowns'!$F$3:$F$12,"ISIC 231"))</f>
        <v>0</v>
      </c>
      <c r="S5">
        <f>(SUMIFS('Cost Breakdowns'!$C$3:$C$12,'Cost Breakdowns'!$A$3:$A$12,'SoBCaICbIC-urbanresidential'!$A5,'Cost Breakdowns'!$F$3:$F$12,"ISIC 239"))</f>
        <v>0</v>
      </c>
      <c r="T5">
        <f>(SUMIFS('Cost Breakdowns'!$C$3:$C$12,'Cost Breakdowns'!$A$3:$A$12,'SoBCaICbIC-urbanresidential'!$A5,'Cost Breakdowns'!$F$3:$F$12,"ISIC 241"))</f>
        <v>0</v>
      </c>
      <c r="U5">
        <f>(SUMIFS('Cost Breakdowns'!$C$3:$C$12,'Cost Breakdowns'!$A$3:$A$12,'SoBCaICbIC-urbanresidential'!$A5,'Cost Breakdowns'!$F$3:$F$12,"ISIC 242"))</f>
        <v>0</v>
      </c>
      <c r="V5">
        <f>(SUMIFS('Cost Breakdowns'!$C$3:$C$12,'Cost Breakdowns'!$A$3:$A$12,'SoBCaICbIC-urbanresidential'!$A5,'Cost Breakdowns'!$F$3:$F$12,"ISIC 25"))</f>
        <v>0</v>
      </c>
      <c r="W5">
        <f>(SUMIFS('Cost Breakdowns'!$C$3:$C$12,'Cost Breakdowns'!$A$3:$A$12,'SoBCaICbIC-urbanresidential'!$A5,'Cost Breakdowns'!$F$3:$F$12,"ISIC 26"))</f>
        <v>0</v>
      </c>
      <c r="X5">
        <f>(SUMIFS('Cost Breakdowns'!$C$3:$C$12,'Cost Breakdowns'!$A$3:$A$12,'SoBCaICbIC-urbanresidential'!$A5,'Cost Breakdowns'!$F$3:$F$12,"ISIC 27"))</f>
        <v>1</v>
      </c>
      <c r="Y5">
        <f>(SUMIFS('Cost Breakdowns'!$C$3:$C$12,'Cost Breakdowns'!$A$3:$A$12,'SoBCaICbIC-urbanresidential'!$A5,'Cost Breakdowns'!$F$3:$F$12,"ISIC 28"))</f>
        <v>0</v>
      </c>
      <c r="Z5">
        <f>(SUMIFS('Cost Breakdowns'!$C$3:$C$12,'Cost Breakdowns'!$A$3:$A$12,'SoBCaICbIC-urbanresidential'!$A5,'Cost Breakdowns'!$F$3:$F$12,"ISIC 29"))</f>
        <v>0</v>
      </c>
      <c r="AA5">
        <f>(SUMIFS('Cost Breakdowns'!$C$3:$C$12,'Cost Breakdowns'!$A$3:$A$12,'SoBCaICbIC-urbanresidential'!$A5,'Cost Breakdowns'!$F$3:$F$12,"ISIC 30"))*'Factors applied'!$E$264</f>
        <v>0</v>
      </c>
      <c r="AB5">
        <f>(SUMIFS('Cost Breakdowns'!$C$3:$C$12,'Cost Breakdowns'!$A$3:$A$12,'SoBCaICbIC-urbanresidential'!$A5,'Cost Breakdowns'!$F$3:$F$12,"ISIC 30"))*'Factors applied'!$E$265</f>
        <v>0</v>
      </c>
      <c r="AC5">
        <f>(SUMIFS('Cost Breakdowns'!$C$3:$C$12,'Cost Breakdowns'!$A$3:$A$12,'SoBCaICbIC-urbanresidential'!$A5,'Cost Breakdowns'!$F$3:$F$12,"ISIC 31T33"))</f>
        <v>0</v>
      </c>
      <c r="AD5">
        <f>(SUMIFS('Cost Breakdowns'!$C$3:$C$12,'Cost Breakdowns'!$A$3:$A$12,'SoBCaICbIC-urbanresidential'!$A5,'Cost Breakdowns'!$F$3:$F$12,"ISIC 351"))</f>
        <v>0</v>
      </c>
      <c r="AE5">
        <f>(SUMIFS('Cost Breakdowns'!$C$3:$C$12,'Cost Breakdowns'!$A$3:$A$12,'SoBCaICbIC-urbanresidential'!$A5,'Cost Breakdowns'!$F$3:$F$12,"ISIC 352T353"))</f>
        <v>0</v>
      </c>
      <c r="AF5">
        <f>(SUMIFS('Cost Breakdowns'!$C$3:$C$12,'Cost Breakdowns'!$A$3:$A$12,'SoBCaICbIC-urbanresidential'!$A5,'Cost Breakdowns'!$F$3:$F$12,"ISIC 36T39"))</f>
        <v>0</v>
      </c>
      <c r="AG5">
        <f>(SUMIFS('Cost Breakdowns'!$C$3:$C$12,'Cost Breakdowns'!$A$3:$A$12,'SoBCaICbIC-urbanresidential'!$A5,'Cost Breakdowns'!$F$3:$F$12,"ISIC 41T43"))</f>
        <v>0</v>
      </c>
      <c r="AH5">
        <f>(SUMIFS('Cost Breakdowns'!$C$3:$C$12,'Cost Breakdowns'!$A$3:$A$12,'SoBCaICbIC-urbanresidential'!$A5,'Cost Breakdowns'!$F$3:$F$12,"ISIC 45T47"))</f>
        <v>0</v>
      </c>
      <c r="AI5">
        <f>(SUMIFS('Cost Breakdowns'!$C$3:$C$12,'Cost Breakdowns'!$A$3:$A$12,'SoBCaICbIC-urbanresidential'!$A5,'Cost Breakdowns'!$F$3:$F$12,"ISIC 49T53"))*'Factors applied'!$E$266</f>
        <v>0</v>
      </c>
      <c r="AJ5">
        <f>(SUMIFS('Cost Breakdowns'!$C$3:$C$12,'Cost Breakdowns'!$A$3:$A$12,'SoBCaICbIC-urbanresidential'!$A5,'Cost Breakdowns'!$F$3:$F$12,"ISIC 49T53"))*'Factors applied'!$E$267</f>
        <v>0</v>
      </c>
      <c r="AK5">
        <f>(SUMIFS('Cost Breakdowns'!$C$3:$C$12,'Cost Breakdowns'!$A$3:$A$12,'SoBCaICbIC-urbanresidential'!$A5,'Cost Breakdowns'!$F$3:$F$12,"ISIC 49T53"))*'Factors applied'!$E$268</f>
        <v>0</v>
      </c>
      <c r="AL5">
        <f>(SUMIFS('Cost Breakdowns'!$C$3:$C$12,'Cost Breakdowns'!$A$3:$A$12,'SoBCaICbIC-urbanresidential'!$A5,'Cost Breakdowns'!$F$3:$F$12,"ISIC 49T53"))*'Factors applied'!$E$269</f>
        <v>0</v>
      </c>
      <c r="AM5">
        <f>(SUMIFS('Cost Breakdowns'!$C$3:$C$12,'Cost Breakdowns'!$A$3:$A$12,'SoBCaICbIC-urbanresidential'!$A5,'Cost Breakdowns'!$F$3:$F$12,"ISIC 49T53"))*'Factors applied'!$E$270</f>
        <v>0</v>
      </c>
      <c r="AN5">
        <f>(SUMIFS('Cost Breakdowns'!$C$3:$C$12,'Cost Breakdowns'!$A$3:$A$12,'SoBCaICbIC-urbanresidential'!$A5,'Cost Breakdowns'!$F$3:$F$12,"ISIC 55T56"))</f>
        <v>0</v>
      </c>
      <c r="AO5">
        <f>(SUMIFS('Cost Breakdowns'!$C$3:$C$12,'Cost Breakdowns'!$A$3:$A$12,'SoBCaICbIC-urbanresidential'!$A5,'Cost Breakdowns'!$F$3:$F$12,"ISIC 58T60"))</f>
        <v>0</v>
      </c>
      <c r="AP5">
        <f>(SUMIFS('Cost Breakdowns'!$C$3:$C$12,'Cost Breakdowns'!$A$3:$A$12,'SoBCaICbIC-urbanresidential'!$A5,'Cost Breakdowns'!$F$3:$F$12,"ISIC 61"))</f>
        <v>0</v>
      </c>
      <c r="AQ5">
        <f>(SUMIFS('Cost Breakdowns'!$C$3:$C$12,'Cost Breakdowns'!$A$3:$A$12,'SoBCaICbIC-urbanresidential'!$A5,'Cost Breakdowns'!$F$3:$F$12,"ISIC 62T63"))</f>
        <v>0</v>
      </c>
      <c r="AR5">
        <f>(SUMIFS('Cost Breakdowns'!$C$3:$C$12,'Cost Breakdowns'!$A$3:$A$12,'SoBCaICbIC-urbanresidential'!$A5,'Cost Breakdowns'!$F$3:$F$12,"ISIC 64T66"))</f>
        <v>0</v>
      </c>
      <c r="AS5">
        <f>(SUMIFS('Cost Breakdowns'!$C$3:$C$12,'Cost Breakdowns'!$A$3:$A$12,'SoBCaICbIC-urbanresidential'!$A5,'Cost Breakdowns'!$F$3:$F$12,"ISIC 68"))</f>
        <v>0</v>
      </c>
      <c r="AT5">
        <f>(SUMIFS('Cost Breakdowns'!$C$3:$C$12,'Cost Breakdowns'!$A$3:$A$12,'SoBCaICbIC-urbanresidential'!$A5,'Cost Breakdowns'!$F$3:$F$12,"ISIC 69T82"))*'Factors applied'!$E$271</f>
        <v>0</v>
      </c>
      <c r="AU5">
        <f>(SUMIFS('Cost Breakdowns'!$C$3:$C$12,'Cost Breakdowns'!$A$3:$A$12,'SoBCaICbIC-urbanresidential'!$A5,'Cost Breakdowns'!$F$3:$F$12,"ISIC 69T82"))*'Factors applied'!$E$272</f>
        <v>0</v>
      </c>
      <c r="AV5">
        <f>(SUMIFS('Cost Breakdowns'!$C$3:$C$12,'Cost Breakdowns'!$A$3:$A$12,'SoBCaICbIC-urbanresidential'!$A5,'Cost Breakdowns'!$F$3:$F$12,"ISIC 84"))</f>
        <v>0</v>
      </c>
      <c r="AW5">
        <f>(SUMIFS('Cost Breakdowns'!$C$3:$C$12,'Cost Breakdowns'!$A$3:$A$12,'SoBCaICbIC-urbanresidential'!$A5,'Cost Breakdowns'!$F$3:$F$12,"ISIC 85"))</f>
        <v>0</v>
      </c>
      <c r="AX5">
        <f>(SUMIFS('Cost Breakdowns'!$C$3:$C$12,'Cost Breakdowns'!$A$3:$A$12,'SoBCaICbIC-urbanresidential'!$A5,'Cost Breakdowns'!$F$3:$F$12,"ISIC 86T88"))</f>
        <v>0</v>
      </c>
      <c r="AY5">
        <f>(SUMIFS('Cost Breakdowns'!$C$3:$C$12,'Cost Breakdowns'!$A$3:$A$12,'SoBCaICbIC-urbanresidential'!$A5,'Cost Breakdowns'!$F$3:$F$12,"ISIC 90T96"))*'Factors applied'!$E$273</f>
        <v>0</v>
      </c>
      <c r="AZ5">
        <f>(SUMIFS('Cost Breakdowns'!$C$3:$C$12,'Cost Breakdowns'!$A$3:$A$12,'SoBCaICbIC-urbanresidential'!$A5,'Cost Breakdowns'!$F$3:$F$12,"ISIC 90T96"))*'Factors applied'!$E$274</f>
        <v>0</v>
      </c>
      <c r="BA5">
        <f>(SUMIFS('Cost Breakdowns'!$C$3:$C$12,'Cost Breakdowns'!$A$3:$A$12,'SoBCaICbIC-urbanresidential'!$A5,'Cost Breakdowns'!$F$3:$F$12,"ISIC 97T98"))</f>
        <v>0</v>
      </c>
    </row>
    <row r="6" spans="1:53" x14ac:dyDescent="0.25">
      <c r="A6" t="s">
        <v>40</v>
      </c>
      <c r="B6">
        <f>(SUMIFS('Cost Breakdowns'!$C$3:$C$12,'Cost Breakdowns'!$A$3:$A$12,'SoBCaICbIC-urbanresidential'!$A6,'Cost Breakdowns'!$F$3:$F$12,"ISIC 01T03"))*'Factors applied'!$E$195</f>
        <v>0</v>
      </c>
      <c r="C6">
        <f>(SUMIFS('Cost Breakdowns'!$C$3:$C$12,'Cost Breakdowns'!$A$3:$A$12,'SoBCaICbIC-urbanresidential'!$A6,'Cost Breakdowns'!$F$3:$F$12,"ISIC 01T03"))*'Factors applied'!$E$196</f>
        <v>0</v>
      </c>
      <c r="D6">
        <f>(SUMIFS('Cost Breakdowns'!$C$3:$C$12,'Cost Breakdowns'!$A$3:$A$12,'SoBCaICbIC-urbanresidential'!$A6,'Cost Breakdowns'!$F$3:$F$12,"ISIC 01T03"))*'Factors applied'!$E$197</f>
        <v>0</v>
      </c>
      <c r="E6">
        <f>(SUMIFS('Cost Breakdowns'!$C$3:$C$12,'Cost Breakdowns'!$A$3:$A$12,'SoBCaICbIC-urbanresidential'!$A6,'Cost Breakdowns'!$F$3:$F$12,"ISIC 05"))</f>
        <v>0</v>
      </c>
      <c r="F6">
        <f>(SUMIFS('Cost Breakdowns'!$C$3:$C$12,'Cost Breakdowns'!$A$3:$A$12,'SoBCaICbIC-urbanresidential'!$A6,'Cost Breakdowns'!$F$3:$F$12,"ISIC 06"))</f>
        <v>0</v>
      </c>
      <c r="G6">
        <f>(SUMIFS('Cost Breakdowns'!$C$3:$C$12,'Cost Breakdowns'!$A$3:$A$12,'SoBCaICbIC-urbanresidential'!$A6,'Cost Breakdowns'!$F$3:$F$12,"ISIC 07T08"))*'Factors applied'!$E$198</f>
        <v>0</v>
      </c>
      <c r="H6">
        <f>(SUMIFS('Cost Breakdowns'!$C$3:$C$12,'Cost Breakdowns'!$A$3:$A$12,'SoBCaICbIC-urbanresidential'!$A6,'Cost Breakdowns'!$F$3:$F$12,"ISIC 07T08"))*'Factors applied'!$E$199</f>
        <v>0</v>
      </c>
      <c r="I6">
        <f>(SUMIFS('Cost Breakdowns'!$C$3:$C$12,'Cost Breakdowns'!$A$3:$A$12,'SoBCaICbIC-urbanresidential'!$A6,'Cost Breakdowns'!$F$3:$F$12,"ISIC 09"))</f>
        <v>0</v>
      </c>
      <c r="J6">
        <f>(SUMIFS('Cost Breakdowns'!$C$3:$C$12,'Cost Breakdowns'!$A$3:$A$12,'SoBCaICbIC-urbanresidential'!$A6,'Cost Breakdowns'!$F$3:$F$12,"ISIC 10T12"))</f>
        <v>0</v>
      </c>
      <c r="K6">
        <f>(SUMIFS('Cost Breakdowns'!$C$3:$C$12,'Cost Breakdowns'!$A$3:$A$12,'SoBCaICbIC-urbanresidential'!$A6,'Cost Breakdowns'!$F$3:$F$12,"ISIC 13T15"))</f>
        <v>0</v>
      </c>
      <c r="L6">
        <f>(SUMIFS('Cost Breakdowns'!$C$3:$C$12,'Cost Breakdowns'!$A$3:$A$12,'SoBCaICbIC-urbanresidential'!$A6,'Cost Breakdowns'!$F$3:$F$12,"ISIC 16"))</f>
        <v>0</v>
      </c>
      <c r="M6">
        <f>(SUMIFS('Cost Breakdowns'!$C$3:$C$12,'Cost Breakdowns'!$A$3:$A$12,'SoBCaICbIC-urbanresidential'!$A6,'Cost Breakdowns'!$F$3:$F$12,"ISIC 17T18"))</f>
        <v>0</v>
      </c>
      <c r="N6">
        <f>(SUMIFS('Cost Breakdowns'!$C$3:$C$12,'Cost Breakdowns'!$A$3:$A$12,'SoBCaICbIC-urbanresidential'!$A6,'Cost Breakdowns'!$F$3:$F$12,"ISIC 19"))</f>
        <v>0</v>
      </c>
      <c r="O6">
        <f>(SUMIFS('Cost Breakdowns'!$C$3:$C$12,'Cost Breakdowns'!$A$3:$A$12,'SoBCaICbIC-urbanresidential'!$A6,'Cost Breakdowns'!$F$3:$F$12,"ISIC 20"))</f>
        <v>0</v>
      </c>
      <c r="P6">
        <f>(SUMIFS('Cost Breakdowns'!$C$3:$C$12,'Cost Breakdowns'!$A$3:$A$12,'SoBCaICbIC-urbanresidential'!$A6,'Cost Breakdowns'!$F$3:$F$12,"ISIC 21"))</f>
        <v>0</v>
      </c>
      <c r="Q6">
        <f>(SUMIFS('Cost Breakdowns'!$C$3:$C$12,'Cost Breakdowns'!$A$3:$A$12,'SoBCaICbIC-urbanresidential'!$A6,'Cost Breakdowns'!$F$3:$F$12,"ISIC 22"))</f>
        <v>0</v>
      </c>
      <c r="R6">
        <f>(SUMIFS('Cost Breakdowns'!$C$3:$C$12,'Cost Breakdowns'!$A$3:$A$12,'SoBCaICbIC-urbanresidential'!$A6,'Cost Breakdowns'!$F$3:$F$12,"ISIC 231"))</f>
        <v>0</v>
      </c>
      <c r="S6">
        <f>(SUMIFS('Cost Breakdowns'!$C$3:$C$12,'Cost Breakdowns'!$A$3:$A$12,'SoBCaICbIC-urbanresidential'!$A6,'Cost Breakdowns'!$F$3:$F$12,"ISIC 239"))</f>
        <v>0</v>
      </c>
      <c r="T6">
        <f>(SUMIFS('Cost Breakdowns'!$C$3:$C$12,'Cost Breakdowns'!$A$3:$A$12,'SoBCaICbIC-urbanresidential'!$A6,'Cost Breakdowns'!$F$3:$F$12,"ISIC 241"))</f>
        <v>0</v>
      </c>
      <c r="U6">
        <f>(SUMIFS('Cost Breakdowns'!$C$3:$C$12,'Cost Breakdowns'!$A$3:$A$12,'SoBCaICbIC-urbanresidential'!$A6,'Cost Breakdowns'!$F$3:$F$12,"ISIC 242"))</f>
        <v>0</v>
      </c>
      <c r="V6">
        <f>(SUMIFS('Cost Breakdowns'!$C$3:$C$12,'Cost Breakdowns'!$A$3:$A$12,'SoBCaICbIC-urbanresidential'!$A6,'Cost Breakdowns'!$F$3:$F$12,"ISIC 25"))</f>
        <v>0</v>
      </c>
      <c r="W6">
        <f>(SUMIFS('Cost Breakdowns'!$C$3:$C$12,'Cost Breakdowns'!$A$3:$A$12,'SoBCaICbIC-urbanresidential'!$A6,'Cost Breakdowns'!$F$3:$F$12,"ISIC 26"))</f>
        <v>0</v>
      </c>
      <c r="X6">
        <f>(SUMIFS('Cost Breakdowns'!$C$3:$C$12,'Cost Breakdowns'!$A$3:$A$12,'SoBCaICbIC-urbanresidential'!$A6,'Cost Breakdowns'!$F$3:$F$12,"ISIC 27"))</f>
        <v>0.75435141943914585</v>
      </c>
      <c r="Y6">
        <f>(SUMIFS('Cost Breakdowns'!$C$3:$C$12,'Cost Breakdowns'!$A$3:$A$12,'SoBCaICbIC-urbanresidential'!$A6,'Cost Breakdowns'!$F$3:$F$12,"ISIC 28"))</f>
        <v>0</v>
      </c>
      <c r="Z6">
        <f>(SUMIFS('Cost Breakdowns'!$C$3:$C$12,'Cost Breakdowns'!$A$3:$A$12,'SoBCaICbIC-urbanresidential'!$A6,'Cost Breakdowns'!$F$3:$F$12,"ISIC 29"))</f>
        <v>0</v>
      </c>
      <c r="AA6">
        <f>(SUMIFS('Cost Breakdowns'!$C$3:$C$12,'Cost Breakdowns'!$A$3:$A$12,'SoBCaICbIC-urbanresidential'!$A6,'Cost Breakdowns'!$F$3:$F$12,"ISIC 30"))*'Factors applied'!$E$200</f>
        <v>0</v>
      </c>
      <c r="AB6">
        <f>(SUMIFS('Cost Breakdowns'!$C$3:$C$12,'Cost Breakdowns'!$A$3:$A$12,'SoBCaICbIC-urbanresidential'!$A6,'Cost Breakdowns'!$F$3:$F$12,"ISIC 30"))*'Factors applied'!$E$201</f>
        <v>0</v>
      </c>
      <c r="AC6">
        <f>(SUMIFS('Cost Breakdowns'!$C$3:$C$12,'Cost Breakdowns'!$A$3:$A$12,'SoBCaICbIC-urbanresidential'!$A6,'Cost Breakdowns'!$F$3:$F$12,"ISIC 31T33"))</f>
        <v>0</v>
      </c>
      <c r="AD6">
        <f>(SUMIFS('Cost Breakdowns'!$C$3:$C$12,'Cost Breakdowns'!$A$3:$A$12,'SoBCaICbIC-urbanresidential'!$A6,'Cost Breakdowns'!$F$3:$F$12,"ISIC 351"))</f>
        <v>0</v>
      </c>
      <c r="AE6">
        <f>(SUMIFS('Cost Breakdowns'!$C$3:$C$12,'Cost Breakdowns'!$A$3:$A$12,'SoBCaICbIC-urbanresidential'!$A6,'Cost Breakdowns'!$F$3:$F$12,"ISIC 352T353"))</f>
        <v>0</v>
      </c>
      <c r="AF6">
        <f>(SUMIFS('Cost Breakdowns'!$C$3:$C$12,'Cost Breakdowns'!$A$3:$A$12,'SoBCaICbIC-urbanresidential'!$A6,'Cost Breakdowns'!$F$3:$F$12,"ISIC 36T39"))</f>
        <v>0</v>
      </c>
      <c r="AG6">
        <f>(SUMIFS('Cost Breakdowns'!$C$3:$C$12,'Cost Breakdowns'!$A$3:$A$12,'SoBCaICbIC-urbanresidential'!$A6,'Cost Breakdowns'!$F$3:$F$12,"ISIC 41T43"))</f>
        <v>0.24564858056085415</v>
      </c>
      <c r="AH6">
        <f>(SUMIFS('Cost Breakdowns'!$C$3:$C$12,'Cost Breakdowns'!$A$3:$A$12,'SoBCaICbIC-urbanresidential'!$A6,'Cost Breakdowns'!$F$3:$F$12,"ISIC 45T47"))</f>
        <v>0</v>
      </c>
      <c r="AI6">
        <f>(SUMIFS('Cost Breakdowns'!$C$3:$C$12,'Cost Breakdowns'!$A$3:$A$12,'SoBCaICbIC-urbanresidential'!$A6,'Cost Breakdowns'!$F$3:$F$12,"ISIC 49T53"))*'Factors applied'!$E$202</f>
        <v>0</v>
      </c>
      <c r="AJ6">
        <f>(SUMIFS('Cost Breakdowns'!$C$3:$C$12,'Cost Breakdowns'!$A$3:$A$12,'SoBCaICbIC-urbanresidential'!$A6,'Cost Breakdowns'!$F$3:$F$12,"ISIC 49T53"))*'Factors applied'!$E$203</f>
        <v>0</v>
      </c>
      <c r="AK6">
        <f>(SUMIFS('Cost Breakdowns'!$C$3:$C$12,'Cost Breakdowns'!$A$3:$A$12,'SoBCaICbIC-urbanresidential'!$A6,'Cost Breakdowns'!$F$3:$F$12,"ISIC 49T53"))*'Factors applied'!$E$204</f>
        <v>0</v>
      </c>
      <c r="AL6">
        <f>(SUMIFS('Cost Breakdowns'!$C$3:$C$12,'Cost Breakdowns'!$A$3:$A$12,'SoBCaICbIC-urbanresidential'!$A6,'Cost Breakdowns'!$F$3:$F$12,"ISIC 49T53"))*'Factors applied'!$E$205</f>
        <v>0</v>
      </c>
      <c r="AM6">
        <f>(SUMIFS('Cost Breakdowns'!$C$3:$C$12,'Cost Breakdowns'!$A$3:$A$12,'SoBCaICbIC-urbanresidential'!$A6,'Cost Breakdowns'!$F$3:$F$12,"ISIC 49T53"))*'Factors applied'!$E$206</f>
        <v>0</v>
      </c>
      <c r="AN6">
        <f>(SUMIFS('Cost Breakdowns'!$C$3:$C$12,'Cost Breakdowns'!$A$3:$A$12,'SoBCaICbIC-urbanresidential'!$A6,'Cost Breakdowns'!$F$3:$F$12,"ISIC 55T56"))</f>
        <v>0</v>
      </c>
      <c r="AO6">
        <f>(SUMIFS('Cost Breakdowns'!$C$3:$C$12,'Cost Breakdowns'!$A$3:$A$12,'SoBCaICbIC-urbanresidential'!$A6,'Cost Breakdowns'!$F$3:$F$12,"ISIC 58T60"))</f>
        <v>0</v>
      </c>
      <c r="AP6">
        <f>(SUMIFS('Cost Breakdowns'!$C$3:$C$12,'Cost Breakdowns'!$A$3:$A$12,'SoBCaICbIC-urbanresidential'!$A6,'Cost Breakdowns'!$F$3:$F$12,"ISIC 61"))</f>
        <v>0</v>
      </c>
      <c r="AQ6">
        <f>(SUMIFS('Cost Breakdowns'!$C$3:$C$12,'Cost Breakdowns'!$A$3:$A$12,'SoBCaICbIC-urbanresidential'!$A6,'Cost Breakdowns'!$F$3:$F$12,"ISIC 62T63"))</f>
        <v>0</v>
      </c>
      <c r="AR6">
        <f>(SUMIFS('Cost Breakdowns'!$C$3:$C$12,'Cost Breakdowns'!$A$3:$A$12,'SoBCaICbIC-urbanresidential'!$A6,'Cost Breakdowns'!$F$3:$F$12,"ISIC 64T66"))</f>
        <v>0</v>
      </c>
      <c r="AS6">
        <f>(SUMIFS('Cost Breakdowns'!$C$3:$C$12,'Cost Breakdowns'!$A$3:$A$12,'SoBCaICbIC-urbanresidential'!$A6,'Cost Breakdowns'!$F$3:$F$12,"ISIC 68"))</f>
        <v>0</v>
      </c>
      <c r="AT6">
        <f>(SUMIFS('Cost Breakdowns'!$C$3:$C$12,'Cost Breakdowns'!$A$3:$A$12,'SoBCaICbIC-urbanresidential'!$A6,'Cost Breakdowns'!$F$3:$F$12,"ISIC 69T82"))*'Factors applied'!$E$207</f>
        <v>0</v>
      </c>
      <c r="AU6">
        <f>(SUMIFS('Cost Breakdowns'!$C$3:$C$12,'Cost Breakdowns'!$A$3:$A$12,'SoBCaICbIC-urbanresidential'!$A6,'Cost Breakdowns'!$F$3:$F$12,"ISIC 69T82"))*'Factors applied'!$E$208</f>
        <v>0</v>
      </c>
      <c r="AV6">
        <f>(SUMIFS('Cost Breakdowns'!$C$3:$C$12,'Cost Breakdowns'!$A$3:$A$12,'SoBCaICbIC-urbanresidential'!$A6,'Cost Breakdowns'!$F$3:$F$12,"ISIC 84"))</f>
        <v>0</v>
      </c>
      <c r="AW6">
        <f>(SUMIFS('Cost Breakdowns'!$C$3:$C$12,'Cost Breakdowns'!$A$3:$A$12,'SoBCaICbIC-urbanresidential'!$A6,'Cost Breakdowns'!$F$3:$F$12,"ISIC 85"))</f>
        <v>0</v>
      </c>
      <c r="AX6">
        <f>(SUMIFS('Cost Breakdowns'!$C$3:$C$12,'Cost Breakdowns'!$A$3:$A$12,'SoBCaICbIC-urbanresidential'!$A6,'Cost Breakdowns'!$F$3:$F$12,"ISIC 86T88"))</f>
        <v>0</v>
      </c>
      <c r="AY6">
        <f>(SUMIFS('Cost Breakdowns'!$C$3:$C$12,'Cost Breakdowns'!$A$3:$A$12,'SoBCaICbIC-urbanresidential'!$A6,'Cost Breakdowns'!$F$3:$F$12,"ISIC 90T96"))*'Factors applied'!$E$209</f>
        <v>0</v>
      </c>
      <c r="AZ6">
        <f>(SUMIFS('Cost Breakdowns'!$C$3:$C$12,'Cost Breakdowns'!$A$3:$A$12,'SoBCaICbIC-urbanresidential'!$A6,'Cost Breakdowns'!$F$3:$F$12,"ISIC 90T96"))*'Factors applied'!$E$210</f>
        <v>0</v>
      </c>
      <c r="BA6">
        <f>(SUMIFS('Cost Breakdowns'!$C$3:$C$12,'Cost Breakdowns'!$A$3:$A$12,'SoBCaICbIC-urbanresidential'!$A6,'Cost Breakdowns'!$F$3:$F$12,"ISIC 97T98"))</f>
        <v>0</v>
      </c>
    </row>
    <row r="7" spans="1:53" x14ac:dyDescent="0.25">
      <c r="A7" t="s">
        <v>69</v>
      </c>
      <c r="B7">
        <f>(SUMIFS('Cost Breakdowns'!$C$3:$C$12,'Cost Breakdowns'!$A$3:$A$12,'SoBCaICbIC-urbanresidential'!$A7,'Cost Breakdowns'!$F$3:$F$12,"ISIC 01T03"))*'Factors applied'!$E$275</f>
        <v>0</v>
      </c>
      <c r="C7">
        <f>(SUMIFS('Cost Breakdowns'!$C$3:$C$12,'Cost Breakdowns'!$A$3:$A$12,'SoBCaICbIC-urbanresidential'!$A7,'Cost Breakdowns'!$F$3:$F$12,"ISIC 01T03"))*'Factors applied'!$E$276</f>
        <v>0</v>
      </c>
      <c r="D7">
        <f>(SUMIFS('Cost Breakdowns'!$C$3:$C$12,'Cost Breakdowns'!$A$3:$A$12,'SoBCaICbIC-urbanresidential'!$A7,'Cost Breakdowns'!$F$3:$F$12,"ISIC 01T03"))*'Factors applied'!$E$277</f>
        <v>0</v>
      </c>
      <c r="E7">
        <f>(SUMIFS('Cost Breakdowns'!$C$3:$C$12,'Cost Breakdowns'!$A$3:$A$12,'SoBCaICbIC-urbanresidential'!$A7,'Cost Breakdowns'!$F$3:$F$12,"ISIC 05"))</f>
        <v>0</v>
      </c>
      <c r="F7">
        <f>(SUMIFS('Cost Breakdowns'!$C$3:$C$12,'Cost Breakdowns'!$A$3:$A$12,'SoBCaICbIC-urbanresidential'!$A7,'Cost Breakdowns'!$F$3:$F$12,"ISIC 06"))</f>
        <v>0</v>
      </c>
      <c r="G7">
        <f>(SUMIFS('Cost Breakdowns'!$C$3:$C$12,'Cost Breakdowns'!$A$3:$A$12,'SoBCaICbIC-urbanresidential'!$A7,'Cost Breakdowns'!$F$3:$F$12,"ISIC 07T08"))*'Factors applied'!$E$278</f>
        <v>0</v>
      </c>
      <c r="H7">
        <f>(SUMIFS('Cost Breakdowns'!$C$3:$C$12,'Cost Breakdowns'!$A$3:$A$12,'SoBCaICbIC-urbanresidential'!$A7,'Cost Breakdowns'!$F$3:$F$12,"ISIC 07T08"))*'Factors applied'!$E$279</f>
        <v>0</v>
      </c>
      <c r="I7">
        <f>(SUMIFS('Cost Breakdowns'!$C$3:$C$12,'Cost Breakdowns'!$A$3:$A$12,'SoBCaICbIC-urbanresidential'!$A7,'Cost Breakdowns'!$F$3:$F$12,"ISIC 09"))</f>
        <v>0</v>
      </c>
      <c r="J7">
        <f>(SUMIFS('Cost Breakdowns'!$C$3:$C$12,'Cost Breakdowns'!$A$3:$A$12,'SoBCaICbIC-urbanresidential'!$A7,'Cost Breakdowns'!$F$3:$F$12,"ISIC 10T12"))</f>
        <v>0</v>
      </c>
      <c r="K7">
        <f>(SUMIFS('Cost Breakdowns'!$C$3:$C$12,'Cost Breakdowns'!$A$3:$A$12,'SoBCaICbIC-urbanresidential'!$A7,'Cost Breakdowns'!$F$3:$F$12,"ISIC 13T15"))</f>
        <v>0</v>
      </c>
      <c r="L7">
        <f>(SUMIFS('Cost Breakdowns'!$C$3:$C$12,'Cost Breakdowns'!$A$3:$A$12,'SoBCaICbIC-urbanresidential'!$A7,'Cost Breakdowns'!$F$3:$F$12,"ISIC 16"))</f>
        <v>0</v>
      </c>
      <c r="M7">
        <f>(SUMIFS('Cost Breakdowns'!$C$3:$C$12,'Cost Breakdowns'!$A$3:$A$12,'SoBCaICbIC-urbanresidential'!$A7,'Cost Breakdowns'!$F$3:$F$12,"ISIC 17T18"))</f>
        <v>0</v>
      </c>
      <c r="N7">
        <f>(SUMIFS('Cost Breakdowns'!$C$3:$C$12,'Cost Breakdowns'!$A$3:$A$12,'SoBCaICbIC-urbanresidential'!$A7,'Cost Breakdowns'!$F$3:$F$12,"ISIC 19"))</f>
        <v>0</v>
      </c>
      <c r="O7">
        <f>(SUMIFS('Cost Breakdowns'!$C$3:$C$12,'Cost Breakdowns'!$A$3:$A$12,'SoBCaICbIC-urbanresidential'!$A7,'Cost Breakdowns'!$F$3:$F$12,"ISIC 20"))</f>
        <v>0</v>
      </c>
      <c r="P7">
        <f>(SUMIFS('Cost Breakdowns'!$C$3:$C$12,'Cost Breakdowns'!$A$3:$A$12,'SoBCaICbIC-urbanresidential'!$A7,'Cost Breakdowns'!$F$3:$F$12,"ISIC 21"))</f>
        <v>0</v>
      </c>
      <c r="Q7">
        <f>(SUMIFS('Cost Breakdowns'!$C$3:$C$12,'Cost Breakdowns'!$A$3:$A$12,'SoBCaICbIC-urbanresidential'!$A7,'Cost Breakdowns'!$F$3:$F$12,"ISIC 22"))</f>
        <v>0</v>
      </c>
      <c r="R7">
        <f>(SUMIFS('Cost Breakdowns'!$C$3:$C$12,'Cost Breakdowns'!$A$3:$A$12,'SoBCaICbIC-urbanresidential'!$A7,'Cost Breakdowns'!$F$3:$F$12,"ISIC 231"))</f>
        <v>0</v>
      </c>
      <c r="S7">
        <f>(SUMIFS('Cost Breakdowns'!$C$3:$C$12,'Cost Breakdowns'!$A$3:$A$12,'SoBCaICbIC-urbanresidential'!$A7,'Cost Breakdowns'!$F$3:$F$12,"ISIC 239"))</f>
        <v>0</v>
      </c>
      <c r="T7">
        <f>(SUMIFS('Cost Breakdowns'!$C$3:$C$12,'Cost Breakdowns'!$A$3:$A$12,'SoBCaICbIC-urbanresidential'!$A7,'Cost Breakdowns'!$F$3:$F$12,"ISIC 241"))</f>
        <v>0</v>
      </c>
      <c r="U7">
        <f>(SUMIFS('Cost Breakdowns'!$C$3:$C$12,'Cost Breakdowns'!$A$3:$A$12,'SoBCaICbIC-urbanresidential'!$A7,'Cost Breakdowns'!$F$3:$F$12,"ISIC 242"))</f>
        <v>0</v>
      </c>
      <c r="V7">
        <f>(SUMIFS('Cost Breakdowns'!$C$3:$C$12,'Cost Breakdowns'!$A$3:$A$12,'SoBCaICbIC-urbanresidential'!$A7,'Cost Breakdowns'!$F$3:$F$12,"ISIC 25"))</f>
        <v>0</v>
      </c>
      <c r="W7">
        <f>(SUMIFS('Cost Breakdowns'!$C$3:$C$12,'Cost Breakdowns'!$A$3:$A$12,'SoBCaICbIC-urbanresidential'!$A7,'Cost Breakdowns'!$F$3:$F$12,"ISIC 26"))</f>
        <v>0</v>
      </c>
      <c r="X7">
        <f>(SUMIFS('Cost Breakdowns'!$C$3:$C$12,'Cost Breakdowns'!$A$3:$A$12,'SoBCaICbIC-urbanresidential'!$A7,'Cost Breakdowns'!$F$3:$F$12,"ISIC 27"))</f>
        <v>0.75435141943914585</v>
      </c>
      <c r="Y7">
        <f>(SUMIFS('Cost Breakdowns'!$C$3:$C$12,'Cost Breakdowns'!$A$3:$A$12,'SoBCaICbIC-urbanresidential'!$A7,'Cost Breakdowns'!$F$3:$F$12,"ISIC 28"))</f>
        <v>0</v>
      </c>
      <c r="Z7">
        <f>(SUMIFS('Cost Breakdowns'!$C$3:$C$12,'Cost Breakdowns'!$A$3:$A$12,'SoBCaICbIC-urbanresidential'!$A7,'Cost Breakdowns'!$F$3:$F$12,"ISIC 29"))</f>
        <v>0</v>
      </c>
      <c r="AA7">
        <f>(SUMIFS('Cost Breakdowns'!$C$3:$C$12,'Cost Breakdowns'!$A$3:$A$12,'SoBCaICbIC-urbanresidential'!$A7,'Cost Breakdowns'!$F$3:$F$12,"ISIC 30"))*'Factors applied'!$E$280</f>
        <v>0</v>
      </c>
      <c r="AB7">
        <f>(SUMIFS('Cost Breakdowns'!$C$3:$C$12,'Cost Breakdowns'!$A$3:$A$12,'SoBCaICbIC-urbanresidential'!$A7,'Cost Breakdowns'!$F$3:$F$12,"ISIC 30"))*'Factors applied'!$E$281</f>
        <v>0</v>
      </c>
      <c r="AC7">
        <f>(SUMIFS('Cost Breakdowns'!$C$3:$C$12,'Cost Breakdowns'!$A$3:$A$12,'SoBCaICbIC-urbanresidential'!$A7,'Cost Breakdowns'!$F$3:$F$12,"ISIC 31T33"))</f>
        <v>0</v>
      </c>
      <c r="AD7">
        <f>(SUMIFS('Cost Breakdowns'!$C$3:$C$12,'Cost Breakdowns'!$A$3:$A$12,'SoBCaICbIC-urbanresidential'!$A7,'Cost Breakdowns'!$F$3:$F$12,"ISIC 351"))</f>
        <v>0</v>
      </c>
      <c r="AE7">
        <f>(SUMIFS('Cost Breakdowns'!$C$3:$C$12,'Cost Breakdowns'!$A$3:$A$12,'SoBCaICbIC-urbanresidential'!$A7,'Cost Breakdowns'!$F$3:$F$12,"ISIC 352T353"))</f>
        <v>0</v>
      </c>
      <c r="AF7">
        <f>(SUMIFS('Cost Breakdowns'!$C$3:$C$12,'Cost Breakdowns'!$A$3:$A$12,'SoBCaICbIC-urbanresidential'!$A7,'Cost Breakdowns'!$F$3:$F$12,"ISIC 36T39"))</f>
        <v>0</v>
      </c>
      <c r="AG7">
        <f>(SUMIFS('Cost Breakdowns'!$C$3:$C$12,'Cost Breakdowns'!$A$3:$A$12,'SoBCaICbIC-urbanresidential'!$A7,'Cost Breakdowns'!$F$3:$F$12,"ISIC 41T43"))</f>
        <v>0.24564858056085415</v>
      </c>
      <c r="AH7">
        <f>(SUMIFS('Cost Breakdowns'!$C$3:$C$12,'Cost Breakdowns'!$A$3:$A$12,'SoBCaICbIC-urbanresidential'!$A7,'Cost Breakdowns'!$F$3:$F$12,"ISIC 45T47"))</f>
        <v>0</v>
      </c>
      <c r="AI7">
        <f>(SUMIFS('Cost Breakdowns'!$C$3:$C$12,'Cost Breakdowns'!$A$3:$A$12,'SoBCaICbIC-urbanresidential'!$A7,'Cost Breakdowns'!$F$3:$F$12,"ISIC 49T53"))*'Factors applied'!$E$282</f>
        <v>0</v>
      </c>
      <c r="AJ7">
        <f>(SUMIFS('Cost Breakdowns'!$C$3:$C$12,'Cost Breakdowns'!$A$3:$A$12,'SoBCaICbIC-urbanresidential'!$A7,'Cost Breakdowns'!$F$3:$F$12,"ISIC 49T53"))*'Factors applied'!$E$283</f>
        <v>0</v>
      </c>
      <c r="AK7">
        <f>(SUMIFS('Cost Breakdowns'!$C$3:$C$12,'Cost Breakdowns'!$A$3:$A$12,'SoBCaICbIC-urbanresidential'!$A7,'Cost Breakdowns'!$F$3:$F$12,"ISIC 49T53"))*'Factors applied'!$E$284</f>
        <v>0</v>
      </c>
      <c r="AL7">
        <f>(SUMIFS('Cost Breakdowns'!$C$3:$C$12,'Cost Breakdowns'!$A$3:$A$12,'SoBCaICbIC-urbanresidential'!$A7,'Cost Breakdowns'!$F$3:$F$12,"ISIC 49T53"))*'Factors applied'!$E$285</f>
        <v>0</v>
      </c>
      <c r="AM7">
        <f>(SUMIFS('Cost Breakdowns'!$C$3:$C$12,'Cost Breakdowns'!$A$3:$A$12,'SoBCaICbIC-urbanresidential'!$A7,'Cost Breakdowns'!$F$3:$F$12,"ISIC 49T53"))*'Factors applied'!$E$286</f>
        <v>0</v>
      </c>
      <c r="AN7">
        <f>(SUMIFS('Cost Breakdowns'!$C$3:$C$12,'Cost Breakdowns'!$A$3:$A$12,'SoBCaICbIC-urbanresidential'!$A7,'Cost Breakdowns'!$F$3:$F$12,"ISIC 55T56"))</f>
        <v>0</v>
      </c>
      <c r="AO7">
        <f>(SUMIFS('Cost Breakdowns'!$C$3:$C$12,'Cost Breakdowns'!$A$3:$A$12,'SoBCaICbIC-urbanresidential'!$A7,'Cost Breakdowns'!$F$3:$F$12,"ISIC 58T60"))</f>
        <v>0</v>
      </c>
      <c r="AP7">
        <f>(SUMIFS('Cost Breakdowns'!$C$3:$C$12,'Cost Breakdowns'!$A$3:$A$12,'SoBCaICbIC-urbanresidential'!$A7,'Cost Breakdowns'!$F$3:$F$12,"ISIC 61"))</f>
        <v>0</v>
      </c>
      <c r="AQ7">
        <f>(SUMIFS('Cost Breakdowns'!$C$3:$C$12,'Cost Breakdowns'!$A$3:$A$12,'SoBCaICbIC-urbanresidential'!$A7,'Cost Breakdowns'!$F$3:$F$12,"ISIC 62T63"))</f>
        <v>0</v>
      </c>
      <c r="AR7">
        <f>(SUMIFS('Cost Breakdowns'!$C$3:$C$12,'Cost Breakdowns'!$A$3:$A$12,'SoBCaICbIC-urbanresidential'!$A7,'Cost Breakdowns'!$F$3:$F$12,"ISIC 64T66"))</f>
        <v>0</v>
      </c>
      <c r="AS7">
        <f>(SUMIFS('Cost Breakdowns'!$C$3:$C$12,'Cost Breakdowns'!$A$3:$A$12,'SoBCaICbIC-urbanresidential'!$A7,'Cost Breakdowns'!$F$3:$F$12,"ISIC 68"))</f>
        <v>0</v>
      </c>
      <c r="AT7">
        <f>(SUMIFS('Cost Breakdowns'!$C$3:$C$12,'Cost Breakdowns'!$A$3:$A$12,'SoBCaICbIC-urbanresidential'!$A7,'Cost Breakdowns'!$F$3:$F$12,"ISIC 69T82"))*'Factors applied'!$E$287</f>
        <v>0</v>
      </c>
      <c r="AU7">
        <f>(SUMIFS('Cost Breakdowns'!$C$3:$C$12,'Cost Breakdowns'!$A$3:$A$12,'SoBCaICbIC-urbanresidential'!$A7,'Cost Breakdowns'!$F$3:$F$12,"ISIC 69T82"))*'Factors applied'!$E$288</f>
        <v>0</v>
      </c>
      <c r="AV7">
        <f>(SUMIFS('Cost Breakdowns'!$C$3:$C$12,'Cost Breakdowns'!$A$3:$A$12,'SoBCaICbIC-urbanresidential'!$A7,'Cost Breakdowns'!$F$3:$F$12,"ISIC 84"))</f>
        <v>0</v>
      </c>
      <c r="AW7">
        <f>(SUMIFS('Cost Breakdowns'!$C$3:$C$12,'Cost Breakdowns'!$A$3:$A$12,'SoBCaICbIC-urbanresidential'!$A7,'Cost Breakdowns'!$F$3:$F$12,"ISIC 85"))</f>
        <v>0</v>
      </c>
      <c r="AX7">
        <f>(SUMIFS('Cost Breakdowns'!$C$3:$C$12,'Cost Breakdowns'!$A$3:$A$12,'SoBCaICbIC-urbanresidential'!$A7,'Cost Breakdowns'!$F$3:$F$12,"ISIC 86T88"))</f>
        <v>0</v>
      </c>
      <c r="AY7">
        <f>(SUMIFS('Cost Breakdowns'!$C$3:$C$12,'Cost Breakdowns'!$A$3:$A$12,'SoBCaICbIC-urbanresidential'!$A7,'Cost Breakdowns'!$F$3:$F$12,"ISIC 90T96"))*'Factors applied'!$E$289</f>
        <v>0</v>
      </c>
      <c r="AZ7">
        <f>(SUMIFS('Cost Breakdowns'!$C$3:$C$12,'Cost Breakdowns'!$A$3:$A$12,'SoBCaICbIC-urbanresidential'!$A7,'Cost Breakdowns'!$F$3:$F$12,"ISIC 90T96"))*'Factors applied'!$E$290</f>
        <v>0</v>
      </c>
      <c r="BA7">
        <f>(SUMIFS('Cost Breakdowns'!$C$3:$C$12,'Cost Breakdowns'!$A$3:$A$12,'SoBCaICbIC-urbanresidential'!$A7,'Cost Breakdowns'!$F$3:$F$12,"ISIC 97T98"))</f>
        <v>0</v>
      </c>
    </row>
  </sheetData>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BA7"/>
  <sheetViews>
    <sheetView workbookViewId="0">
      <selection activeCell="Q4" sqref="Q4"/>
    </sheetView>
  </sheetViews>
  <sheetFormatPr defaultRowHeight="15" x14ac:dyDescent="0.25"/>
  <cols>
    <col min="1" max="1" width="22.85546875" customWidth="1"/>
    <col min="2" max="43" width="10.5703125" customWidth="1"/>
  </cols>
  <sheetData>
    <row r="1" spans="1:53" x14ac:dyDescent="0.25">
      <c r="A1" s="99" t="s">
        <v>786</v>
      </c>
      <c r="B1" s="98" t="s">
        <v>41</v>
      </c>
      <c r="C1" s="98" t="s">
        <v>44</v>
      </c>
      <c r="D1" s="98" t="s">
        <v>45</v>
      </c>
      <c r="E1" s="98" t="s">
        <v>76</v>
      </c>
      <c r="F1" s="98" t="s">
        <v>78</v>
      </c>
      <c r="G1" s="98" t="s">
        <v>46</v>
      </c>
      <c r="H1" s="98" t="s">
        <v>48</v>
      </c>
      <c r="I1" s="98" t="s">
        <v>81</v>
      </c>
      <c r="J1" s="98" t="s">
        <v>83</v>
      </c>
      <c r="K1" s="98" t="s">
        <v>85</v>
      </c>
      <c r="L1" s="98" t="s">
        <v>87</v>
      </c>
      <c r="M1" s="98" t="s">
        <v>89</v>
      </c>
      <c r="N1" s="98" t="s">
        <v>91</v>
      </c>
      <c r="O1" s="98" t="s">
        <v>93</v>
      </c>
      <c r="P1" s="98" t="s">
        <v>95</v>
      </c>
      <c r="Q1" s="98" t="s">
        <v>97</v>
      </c>
      <c r="R1" s="98" t="s">
        <v>99</v>
      </c>
      <c r="S1" s="98" t="s">
        <v>101</v>
      </c>
      <c r="T1" s="98" t="s">
        <v>103</v>
      </c>
      <c r="U1" s="98" t="s">
        <v>105</v>
      </c>
      <c r="V1" s="98" t="s">
        <v>107</v>
      </c>
      <c r="W1" s="98" t="s">
        <v>109</v>
      </c>
      <c r="X1" s="98" t="s">
        <v>111</v>
      </c>
      <c r="Y1" s="98" t="s">
        <v>113</v>
      </c>
      <c r="Z1" s="98" t="s">
        <v>115</v>
      </c>
      <c r="AA1" s="98" t="s">
        <v>49</v>
      </c>
      <c r="AB1" s="98" t="s">
        <v>51</v>
      </c>
      <c r="AC1" s="98" t="s">
        <v>118</v>
      </c>
      <c r="AD1" s="98" t="s">
        <v>120</v>
      </c>
      <c r="AE1" s="98" t="s">
        <v>122</v>
      </c>
      <c r="AF1" s="98" t="s">
        <v>124</v>
      </c>
      <c r="AG1" s="98" t="s">
        <v>126</v>
      </c>
      <c r="AH1" s="98" t="s">
        <v>128</v>
      </c>
      <c r="AI1" s="98" t="s">
        <v>52</v>
      </c>
      <c r="AJ1" s="98" t="s">
        <v>54</v>
      </c>
      <c r="AK1" s="98" t="s">
        <v>55</v>
      </c>
      <c r="AL1" s="98" t="s">
        <v>56</v>
      </c>
      <c r="AM1" s="98" t="s">
        <v>57</v>
      </c>
      <c r="AN1" s="98" t="s">
        <v>131</v>
      </c>
      <c r="AO1" s="98" t="s">
        <v>133</v>
      </c>
      <c r="AP1" s="98" t="s">
        <v>135</v>
      </c>
      <c r="AQ1" s="98" t="s">
        <v>137</v>
      </c>
      <c r="AR1" s="98" t="s">
        <v>139</v>
      </c>
      <c r="AS1" s="98" t="s">
        <v>141</v>
      </c>
      <c r="AT1" s="98" t="s">
        <v>58</v>
      </c>
      <c r="AU1" s="98" t="s">
        <v>61</v>
      </c>
      <c r="AV1" s="98" t="s">
        <v>144</v>
      </c>
      <c r="AW1" s="98" t="s">
        <v>146</v>
      </c>
      <c r="AX1" s="98" t="s">
        <v>148</v>
      </c>
      <c r="AY1" s="98" t="s">
        <v>62</v>
      </c>
      <c r="AZ1" s="98" t="s">
        <v>64</v>
      </c>
      <c r="BA1" s="98" t="s">
        <v>151</v>
      </c>
    </row>
    <row r="2" spans="1:53" x14ac:dyDescent="0.25">
      <c r="A2" t="s">
        <v>67</v>
      </c>
      <c r="B2">
        <f>(SUMIFS('Cost Breakdowns'!$D$3:$D$12,'Cost Breakdowns'!$A$3:$A$12,'SoBCaICbIC-urbanresidential'!$A2,'Cost Breakdowns'!$F$3:$F$12,"ISIC 01T03"))*'Factors applied'!$E$147</f>
        <v>0</v>
      </c>
      <c r="C2">
        <f>(SUMIFS('Cost Breakdowns'!$D$3:$D$12,'Cost Breakdowns'!$A$3:$A$12,'SoBCaICbIC-urbanresidential'!$A2,'Cost Breakdowns'!$F$3:$F$12,"ISIC 01T03"))*'Factors applied'!$E$148</f>
        <v>0</v>
      </c>
      <c r="D2">
        <f>(SUMIFS('Cost Breakdowns'!$D$3:$D$12,'Cost Breakdowns'!$A$3:$A$12,'SoBCaICbIC-urbanresidential'!$A2,'Cost Breakdowns'!$F$3:$F$12,"ISIC 01T03"))*'Factors applied'!$E$149</f>
        <v>0</v>
      </c>
      <c r="E2">
        <f>(SUMIFS('Cost Breakdowns'!$D$3:$D$12,'Cost Breakdowns'!$A$3:$A$12,'SoBCaICbIC-urbanresidential'!$A2,'Cost Breakdowns'!$F$3:$F$12,"ISIC 05"))</f>
        <v>0</v>
      </c>
      <c r="F2">
        <f>(SUMIFS('Cost Breakdowns'!$D$3:$D$12,'Cost Breakdowns'!$A$3:$A$12,'SoBCaICbIC-urbanresidential'!$A2,'Cost Breakdowns'!$F$3:$F$12,"ISIC 06"))</f>
        <v>0</v>
      </c>
      <c r="G2">
        <f>(SUMIFS('Cost Breakdowns'!$D$3:$D$12,'Cost Breakdowns'!$A$3:$A$12,'SoBCaICbIC-urbanresidential'!$A2,'Cost Breakdowns'!$F$3:$F$12,"ISIC 07T08"))*'Factors applied'!$E$150</f>
        <v>0</v>
      </c>
      <c r="H2">
        <f>(SUMIFS('Cost Breakdowns'!$D$3:$D$12,'Cost Breakdowns'!$A$3:$A$12,'SoBCaICbIC-urbanresidential'!$A2,'Cost Breakdowns'!$F$3:$F$12,"ISIC 07T08"))*'Factors applied'!$E$151</f>
        <v>0</v>
      </c>
      <c r="I2">
        <f>(SUMIFS('Cost Breakdowns'!$D$3:$D$12,'Cost Breakdowns'!$A$3:$A$12,'SoBCaICbIC-urbanresidential'!$A2,'Cost Breakdowns'!$F$3:$F$12,"ISIC 09"))</f>
        <v>0</v>
      </c>
      <c r="J2">
        <f>(SUMIFS('Cost Breakdowns'!$D$3:$D$12,'Cost Breakdowns'!$A$3:$A$12,'SoBCaICbIC-urbanresidential'!$A2,'Cost Breakdowns'!$F$3:$F$12,"ISIC 10T12"))</f>
        <v>0</v>
      </c>
      <c r="K2">
        <f>(SUMIFS('Cost Breakdowns'!$D$3:$D$12,'Cost Breakdowns'!$A$3:$A$12,'SoBCaICbIC-urbanresidential'!$A2,'Cost Breakdowns'!$F$3:$F$12,"ISIC 13T15"))</f>
        <v>0</v>
      </c>
      <c r="L2">
        <f>(SUMIFS('Cost Breakdowns'!$D$3:$D$12,'Cost Breakdowns'!$A$3:$A$12,'SoBCaICbIC-urbanresidential'!$A2,'Cost Breakdowns'!$F$3:$F$12,"ISIC 16"))</f>
        <v>0</v>
      </c>
      <c r="M2">
        <f>(SUMIFS('Cost Breakdowns'!$D$3:$D$12,'Cost Breakdowns'!$A$3:$A$12,'SoBCaICbIC-urbanresidential'!$A2,'Cost Breakdowns'!$F$3:$F$12,"ISIC 17T18"))</f>
        <v>0</v>
      </c>
      <c r="N2">
        <f>(SUMIFS('Cost Breakdowns'!$D$3:$D$12,'Cost Breakdowns'!$A$3:$A$12,'SoBCaICbIC-urbanresidential'!$A2,'Cost Breakdowns'!$F$3:$F$12,"ISIC 19"))</f>
        <v>0</v>
      </c>
      <c r="O2">
        <f>(SUMIFS('Cost Breakdowns'!$D$3:$D$12,'Cost Breakdowns'!$A$3:$A$12,'SoBCaICbIC-urbanresidential'!$A2,'Cost Breakdowns'!$F$3:$F$12,"ISIC 20"))</f>
        <v>0</v>
      </c>
      <c r="P2">
        <f>(SUMIFS('Cost Breakdowns'!$D$3:$D$12,'Cost Breakdowns'!$A$3:$A$12,'SoBCaICbIC-urbanresidential'!$A2,'Cost Breakdowns'!$F$3:$F$12,"ISIC 21"))</f>
        <v>0</v>
      </c>
      <c r="Q2">
        <f>(SUMIFS('Cost Breakdowns'!$D$3:$D$12,'Cost Breakdowns'!$A$3:$A$12,'SoBCaICbIC-urbanresidential'!$A2,'Cost Breakdowns'!$F$3:$F$12,"ISIC 22"))</f>
        <v>0</v>
      </c>
      <c r="R2">
        <f>(SUMIFS('Cost Breakdowns'!$D$3:$D$12,'Cost Breakdowns'!$A$3:$A$12,'SoBCaICbIC-urbanresidential'!$A2,'Cost Breakdowns'!$F$3:$F$12,"ISIC 231"))</f>
        <v>0</v>
      </c>
      <c r="S2">
        <f>(SUMIFS('Cost Breakdowns'!$D$3:$D$12,'Cost Breakdowns'!$A$3:$A$12,'SoBCaICbIC-urbanresidential'!$A2,'Cost Breakdowns'!$F$3:$F$12,"ISIC 239"))</f>
        <v>0</v>
      </c>
      <c r="T2">
        <f>(SUMIFS('Cost Breakdowns'!$D$3:$D$12,'Cost Breakdowns'!$A$3:$A$12,'SoBCaICbIC-urbanresidential'!$A2,'Cost Breakdowns'!$F$3:$F$12,"ISIC 241"))</f>
        <v>0</v>
      </c>
      <c r="U2">
        <f>(SUMIFS('Cost Breakdowns'!$D$3:$D$12,'Cost Breakdowns'!$A$3:$A$12,'SoBCaICbIC-urbanresidential'!$A2,'Cost Breakdowns'!$F$3:$F$12,"ISIC 242"))</f>
        <v>0</v>
      </c>
      <c r="V2">
        <f>(SUMIFS('Cost Breakdowns'!$D$3:$D$12,'Cost Breakdowns'!$A$3:$A$12,'SoBCaICbIC-urbanresidential'!$A2,'Cost Breakdowns'!$F$3:$F$12,"ISIC 25"))</f>
        <v>0</v>
      </c>
      <c r="W2">
        <f>(SUMIFS('Cost Breakdowns'!$D$3:$D$12,'Cost Breakdowns'!$A$3:$A$12,'SoBCaICbIC-urbanresidential'!$A2,'Cost Breakdowns'!$F$3:$F$12,"ISIC 26"))</f>
        <v>0</v>
      </c>
      <c r="X2">
        <f>(SUMIFS('Cost Breakdowns'!$D$3:$D$12,'Cost Breakdowns'!$A$3:$A$12,'SoBCaICbIC-urbanresidential'!$A2,'Cost Breakdowns'!$F$3:$F$12,"ISIC 27"))</f>
        <v>0</v>
      </c>
      <c r="Y2">
        <f>(SUMIFS('Cost Breakdowns'!$D$3:$D$12,'Cost Breakdowns'!$A$3:$A$12,'SoBCaICbIC-urbanresidential'!$A2,'Cost Breakdowns'!$F$3:$F$12,"ISIC 28"))</f>
        <v>0.55028127086837375</v>
      </c>
      <c r="Z2">
        <f>(SUMIFS('Cost Breakdowns'!$D$3:$D$12,'Cost Breakdowns'!$A$3:$A$12,'SoBCaICbIC-urbanresidential'!$A2,'Cost Breakdowns'!$F$3:$F$12,"ISIC 29"))</f>
        <v>0</v>
      </c>
      <c r="AA2">
        <f>(SUMIFS('Cost Breakdowns'!$D$3:$D$12,'Cost Breakdowns'!$A$3:$A$12,'SoBCaICbIC-urbanresidential'!$A2,'Cost Breakdowns'!$F$3:$F$12,"ISIC 30"))*'Factors applied'!$E$152</f>
        <v>0</v>
      </c>
      <c r="AB2">
        <f>(SUMIFS('Cost Breakdowns'!$D$3:$D$12,'Cost Breakdowns'!$A$3:$A$12,'SoBCaICbIC-urbanresidential'!$A2,'Cost Breakdowns'!$F$3:$F$12,"ISIC 30"))*'Factors applied'!$E$153</f>
        <v>0</v>
      </c>
      <c r="AC2">
        <f>(SUMIFS('Cost Breakdowns'!$D$3:$D$12,'Cost Breakdowns'!$A$3:$A$12,'SoBCaICbIC-urbanresidential'!$A2,'Cost Breakdowns'!$F$3:$F$12,"ISIC 31T33"))</f>
        <v>0</v>
      </c>
      <c r="AD2">
        <f>(SUMIFS('Cost Breakdowns'!$D$3:$D$12,'Cost Breakdowns'!$A$3:$A$12,'SoBCaICbIC-urbanresidential'!$A2,'Cost Breakdowns'!$F$3:$F$12,"ISIC 351"))</f>
        <v>0</v>
      </c>
      <c r="AE2">
        <f>(SUMIFS('Cost Breakdowns'!$D$3:$D$12,'Cost Breakdowns'!$A$3:$A$12,'SoBCaICbIC-urbanresidential'!$A2,'Cost Breakdowns'!$F$3:$F$12,"ISIC 352T353"))</f>
        <v>0</v>
      </c>
      <c r="AF2">
        <f>(SUMIFS('Cost Breakdowns'!$D$3:$D$12,'Cost Breakdowns'!$A$3:$A$12,'SoBCaICbIC-urbanresidential'!$A2,'Cost Breakdowns'!$F$3:$F$12,"ISIC 36T39"))</f>
        <v>0</v>
      </c>
      <c r="AG2">
        <f>(SUMIFS('Cost Breakdowns'!$D$3:$D$12,'Cost Breakdowns'!$A$3:$A$12,'SoBCaICbIC-urbanresidential'!$A2,'Cost Breakdowns'!$F$3:$F$12,"ISIC 41T43"))</f>
        <v>0.44971872913162625</v>
      </c>
      <c r="AH2">
        <f>(SUMIFS('Cost Breakdowns'!$D$3:$D$12,'Cost Breakdowns'!$A$3:$A$12,'SoBCaICbIC-urbanresidential'!$A2,'Cost Breakdowns'!$F$3:$F$12,"ISIC 45T47"))</f>
        <v>0</v>
      </c>
      <c r="AI2">
        <f>(SUMIFS('Cost Breakdowns'!$D$3:$D$12,'Cost Breakdowns'!$A$3:$A$12,'SoBCaICbIC-urbanresidential'!$A2,'Cost Breakdowns'!$F$3:$F$12,"ISIC 49T53"))*'Factors applied'!$E$154</f>
        <v>0</v>
      </c>
      <c r="AJ2">
        <f>(SUMIFS('Cost Breakdowns'!$D$3:$D$12,'Cost Breakdowns'!$A$3:$A$12,'SoBCaICbIC-urbanresidential'!$A2,'Cost Breakdowns'!$F$3:$F$12,"ISIC 49T53"))*'Factors applied'!$E$155</f>
        <v>0</v>
      </c>
      <c r="AK2">
        <f>(SUMIFS('Cost Breakdowns'!$D$3:$D$12,'Cost Breakdowns'!$A$3:$A$12,'SoBCaICbIC-urbanresidential'!$A2,'Cost Breakdowns'!$F$3:$F$12,"ISIC 49T53"))*'Factors applied'!$E$156</f>
        <v>0</v>
      </c>
      <c r="AL2">
        <f>(SUMIFS('Cost Breakdowns'!$D$3:$D$12,'Cost Breakdowns'!$A$3:$A$12,'SoBCaICbIC-urbanresidential'!$A2,'Cost Breakdowns'!$F$3:$F$12,"ISIC 49T53"))*'Factors applied'!$E$157</f>
        <v>0</v>
      </c>
      <c r="AM2">
        <f>(SUMIFS('Cost Breakdowns'!$D$3:$D$12,'Cost Breakdowns'!$A$3:$A$12,'SoBCaICbIC-urbanresidential'!$A2,'Cost Breakdowns'!$F$3:$F$12,"ISIC 49T53"))*'Factors applied'!$E$158</f>
        <v>0</v>
      </c>
      <c r="AN2">
        <f>(SUMIFS('Cost Breakdowns'!$D$3:$D$12,'Cost Breakdowns'!$A$3:$A$12,'SoBCaICbIC-urbanresidential'!$A2,'Cost Breakdowns'!$F$3:$F$12,"ISIC 55T56"))</f>
        <v>0</v>
      </c>
      <c r="AO2">
        <f>(SUMIFS('Cost Breakdowns'!$D$3:$D$12,'Cost Breakdowns'!$A$3:$A$12,'SoBCaICbIC-urbanresidential'!$A2,'Cost Breakdowns'!$F$3:$F$12,"ISIC 58T60"))</f>
        <v>0</v>
      </c>
      <c r="AP2">
        <f>(SUMIFS('Cost Breakdowns'!$D$3:$D$12,'Cost Breakdowns'!$A$3:$A$12,'SoBCaICbIC-urbanresidential'!$A2,'Cost Breakdowns'!$F$3:$F$12,"ISIC 61"))</f>
        <v>0</v>
      </c>
      <c r="AQ2">
        <f>(SUMIFS('Cost Breakdowns'!$D$3:$D$12,'Cost Breakdowns'!$A$3:$A$12,'SoBCaICbIC-urbanresidential'!$A2,'Cost Breakdowns'!$F$3:$F$12,"ISIC 62T63"))</f>
        <v>0</v>
      </c>
      <c r="AR2">
        <f>(SUMIFS('Cost Breakdowns'!$D$3:$D$12,'Cost Breakdowns'!$A$3:$A$12,'SoBCaICbIC-urbanresidential'!$A2,'Cost Breakdowns'!$F$3:$F$12,"ISIC 64T66"))</f>
        <v>0</v>
      </c>
      <c r="AS2">
        <f>(SUMIFS('Cost Breakdowns'!$D$3:$D$12,'Cost Breakdowns'!$A$3:$A$12,'SoBCaICbIC-urbanresidential'!$A2,'Cost Breakdowns'!$F$3:$F$12,"ISIC 68"))</f>
        <v>0</v>
      </c>
      <c r="AT2">
        <f>(SUMIFS('Cost Breakdowns'!$D$3:$D$12,'Cost Breakdowns'!$A$3:$A$12,'SoBCaICbIC-urbanresidential'!$A2,'Cost Breakdowns'!$F$3:$F$12,"ISIC 69T82"))*'Factors applied'!$E$159</f>
        <v>0</v>
      </c>
      <c r="AU2">
        <f>(SUMIFS('Cost Breakdowns'!$D$3:$D$12,'Cost Breakdowns'!$A$3:$A$12,'SoBCaICbIC-urbanresidential'!$A2,'Cost Breakdowns'!$F$3:$F$12,"ISIC 69T82"))*'Factors applied'!$E$160</f>
        <v>0</v>
      </c>
      <c r="AV2">
        <f>(SUMIFS('Cost Breakdowns'!$D$3:$D$12,'Cost Breakdowns'!$A$3:$A$12,'SoBCaICbIC-urbanresidential'!$A2,'Cost Breakdowns'!$F$3:$F$12,"ISIC 84"))</f>
        <v>0</v>
      </c>
      <c r="AW2">
        <f>(SUMIFS('Cost Breakdowns'!$D$3:$D$12,'Cost Breakdowns'!$A$3:$A$12,'SoBCaICbIC-urbanresidential'!$A2,'Cost Breakdowns'!$F$3:$F$12,"ISIC 85"))</f>
        <v>0</v>
      </c>
      <c r="AX2">
        <f>(SUMIFS('Cost Breakdowns'!$D$3:$D$12,'Cost Breakdowns'!$A$3:$A$12,'SoBCaICbIC-urbanresidential'!$A2,'Cost Breakdowns'!$F$3:$F$12,"ISIC 86T88"))</f>
        <v>0</v>
      </c>
      <c r="AY2">
        <f>(SUMIFS('Cost Breakdowns'!$D$3:$D$12,'Cost Breakdowns'!$A$3:$A$12,'SoBCaICbIC-urbanresidential'!$A2,'Cost Breakdowns'!$F$3:$F$12,"ISIC 90T96"))*'Factors applied'!$E$161</f>
        <v>0</v>
      </c>
      <c r="AZ2">
        <f>(SUMIFS('Cost Breakdowns'!$D$3:$D$12,'Cost Breakdowns'!$A$3:$A$12,'SoBCaICbIC-urbanresidential'!$A2,'Cost Breakdowns'!$F$3:$F$12,"ISIC 90T96"))*'Factors applied'!$E$162</f>
        <v>0</v>
      </c>
      <c r="BA2">
        <f>(SUMIFS('Cost Breakdowns'!$D$3:$D$12,'Cost Breakdowns'!$A$3:$A$12,'SoBCaICbIC-urbanresidential'!$A2,'Cost Breakdowns'!$F$3:$F$12,"ISIC 97T98"))</f>
        <v>0</v>
      </c>
    </row>
    <row r="3" spans="1:53" x14ac:dyDescent="0.25">
      <c r="A3" t="s">
        <v>65</v>
      </c>
      <c r="B3">
        <f>(SUMIFS('Cost Breakdowns'!$D$3:$D$12,'Cost Breakdowns'!$A$3:$A$12,'SoBCaICbIC-urbanresidential'!$A3,'Cost Breakdowns'!$F$3:$F$12,"ISIC 01T03"))*'Factors applied'!$E$115</f>
        <v>0</v>
      </c>
      <c r="C3">
        <f>(SUMIFS('Cost Breakdowns'!$D$3:$D$12,'Cost Breakdowns'!$A$3:$A$12,'SoBCaICbIC-urbanresidential'!$A3,'Cost Breakdowns'!$F$3:$F$12,"ISIC 01T03"))*'Factors applied'!$E$116</f>
        <v>0</v>
      </c>
      <c r="D3">
        <f>(SUMIFS('Cost Breakdowns'!$D$3:$D$12,'Cost Breakdowns'!$A$3:$A$12,'SoBCaICbIC-urbanresidential'!$A3,'Cost Breakdowns'!$F$3:$F$12,"ISIC 01T03"))*'Factors applied'!$E$117</f>
        <v>0</v>
      </c>
      <c r="E3">
        <f>(SUMIFS('Cost Breakdowns'!$D$3:$D$12,'Cost Breakdowns'!$A$3:$A$12,'SoBCaICbIC-urbanresidential'!$A3,'Cost Breakdowns'!$F$3:$F$12,"ISIC 05"))</f>
        <v>0</v>
      </c>
      <c r="F3">
        <f>(SUMIFS('Cost Breakdowns'!$D$3:$D$12,'Cost Breakdowns'!$A$3:$A$12,'SoBCaICbIC-urbanresidential'!$A3,'Cost Breakdowns'!$F$3:$F$12,"ISIC 06"))</f>
        <v>0</v>
      </c>
      <c r="G3">
        <f>(SUMIFS('Cost Breakdowns'!$D$3:$D$12,'Cost Breakdowns'!$A$3:$A$12,'SoBCaICbIC-urbanresidential'!$A3,'Cost Breakdowns'!$F$3:$F$12,"ISIC 07T08"))*'Factors applied'!$E$118</f>
        <v>0</v>
      </c>
      <c r="H3">
        <f>(SUMIFS('Cost Breakdowns'!$D$3:$D$12,'Cost Breakdowns'!$A$3:$A$12,'SoBCaICbIC-urbanresidential'!$A3,'Cost Breakdowns'!$F$3:$F$12,"ISIC 07T08"))*'Factors applied'!$E$119</f>
        <v>0</v>
      </c>
      <c r="I3">
        <f>(SUMIFS('Cost Breakdowns'!$D$3:$D$12,'Cost Breakdowns'!$A$3:$A$12,'SoBCaICbIC-urbanresidential'!$A3,'Cost Breakdowns'!$F$3:$F$12,"ISIC 09"))</f>
        <v>0</v>
      </c>
      <c r="J3">
        <f>(SUMIFS('Cost Breakdowns'!$D$3:$D$12,'Cost Breakdowns'!$A$3:$A$12,'SoBCaICbIC-urbanresidential'!$A3,'Cost Breakdowns'!$F$3:$F$12,"ISIC 10T12"))</f>
        <v>0</v>
      </c>
      <c r="K3">
        <f>(SUMIFS('Cost Breakdowns'!$D$3:$D$12,'Cost Breakdowns'!$A$3:$A$12,'SoBCaICbIC-urbanresidential'!$A3,'Cost Breakdowns'!$F$3:$F$12,"ISIC 13T15"))</f>
        <v>0</v>
      </c>
      <c r="L3">
        <f>(SUMIFS('Cost Breakdowns'!$D$3:$D$12,'Cost Breakdowns'!$A$3:$A$12,'SoBCaICbIC-urbanresidential'!$A3,'Cost Breakdowns'!$F$3:$F$12,"ISIC 16"))</f>
        <v>0</v>
      </c>
      <c r="M3">
        <f>(SUMIFS('Cost Breakdowns'!$D$3:$D$12,'Cost Breakdowns'!$A$3:$A$12,'SoBCaICbIC-urbanresidential'!$A3,'Cost Breakdowns'!$F$3:$F$12,"ISIC 17T18"))</f>
        <v>0</v>
      </c>
      <c r="N3">
        <f>(SUMIFS('Cost Breakdowns'!$D$3:$D$12,'Cost Breakdowns'!$A$3:$A$12,'SoBCaICbIC-urbanresidential'!$A3,'Cost Breakdowns'!$F$3:$F$12,"ISIC 19"))</f>
        <v>0</v>
      </c>
      <c r="O3">
        <f>(SUMIFS('Cost Breakdowns'!$D$3:$D$12,'Cost Breakdowns'!$A$3:$A$12,'SoBCaICbIC-urbanresidential'!$A3,'Cost Breakdowns'!$F$3:$F$12,"ISIC 20"))</f>
        <v>0</v>
      </c>
      <c r="P3">
        <f>(SUMIFS('Cost Breakdowns'!$D$3:$D$12,'Cost Breakdowns'!$A$3:$A$12,'SoBCaICbIC-urbanresidential'!$A3,'Cost Breakdowns'!$F$3:$F$12,"ISIC 21"))</f>
        <v>0</v>
      </c>
      <c r="Q3">
        <f>(SUMIFS('Cost Breakdowns'!$D$3:$D$12,'Cost Breakdowns'!$A$3:$A$12,'SoBCaICbIC-urbanresidential'!$A3,'Cost Breakdowns'!$F$3:$F$12,"ISIC 22"))</f>
        <v>0</v>
      </c>
      <c r="R3">
        <f>(SUMIFS('Cost Breakdowns'!$D$3:$D$12,'Cost Breakdowns'!$A$3:$A$12,'SoBCaICbIC-urbanresidential'!$A3,'Cost Breakdowns'!$F$3:$F$12,"ISIC 231"))</f>
        <v>0</v>
      </c>
      <c r="S3">
        <f>(SUMIFS('Cost Breakdowns'!$D$3:$D$12,'Cost Breakdowns'!$A$3:$A$12,'SoBCaICbIC-urbanresidential'!$A3,'Cost Breakdowns'!$F$3:$F$12,"ISIC 239"))</f>
        <v>0</v>
      </c>
      <c r="T3">
        <f>(SUMIFS('Cost Breakdowns'!$D$3:$D$12,'Cost Breakdowns'!$A$3:$A$12,'SoBCaICbIC-urbanresidential'!$A3,'Cost Breakdowns'!$F$3:$F$12,"ISIC 241"))</f>
        <v>0</v>
      </c>
      <c r="U3">
        <f>(SUMIFS('Cost Breakdowns'!$D$3:$D$12,'Cost Breakdowns'!$A$3:$A$12,'SoBCaICbIC-urbanresidential'!$A3,'Cost Breakdowns'!$F$3:$F$12,"ISIC 242"))</f>
        <v>0</v>
      </c>
      <c r="V3">
        <f>(SUMIFS('Cost Breakdowns'!$D$3:$D$12,'Cost Breakdowns'!$A$3:$A$12,'SoBCaICbIC-urbanresidential'!$A3,'Cost Breakdowns'!$F$3:$F$12,"ISIC 25"))</f>
        <v>0</v>
      </c>
      <c r="W3">
        <f>(SUMIFS('Cost Breakdowns'!$D$3:$D$12,'Cost Breakdowns'!$A$3:$A$12,'SoBCaICbIC-urbanresidential'!$A3,'Cost Breakdowns'!$F$3:$F$12,"ISIC 26"))</f>
        <v>0</v>
      </c>
      <c r="X3">
        <f>(SUMIFS('Cost Breakdowns'!$D$3:$D$12,'Cost Breakdowns'!$A$3:$A$12,'SoBCaICbIC-urbanresidential'!$A3,'Cost Breakdowns'!$F$3:$F$12,"ISIC 27"))</f>
        <v>0</v>
      </c>
      <c r="Y3">
        <f>(SUMIFS('Cost Breakdowns'!$D$3:$D$12,'Cost Breakdowns'!$A$3:$A$12,'SoBCaICbIC-urbanresidential'!$A3,'Cost Breakdowns'!$F$3:$F$12,"ISIC 28"))</f>
        <v>0.73624568720161232</v>
      </c>
      <c r="Z3">
        <f>(SUMIFS('Cost Breakdowns'!$D$3:$D$12,'Cost Breakdowns'!$A$3:$A$12,'SoBCaICbIC-urbanresidential'!$A3,'Cost Breakdowns'!$F$3:$F$12,"ISIC 29"))</f>
        <v>0</v>
      </c>
      <c r="AA3">
        <f>(SUMIFS('Cost Breakdowns'!$D$3:$D$12,'Cost Breakdowns'!$A$3:$A$12,'SoBCaICbIC-urbanresidential'!$A3,'Cost Breakdowns'!$F$3:$F$12,"ISIC 30"))*'Factors applied'!$E$120</f>
        <v>0</v>
      </c>
      <c r="AB3">
        <f>(SUMIFS('Cost Breakdowns'!$D$3:$D$12,'Cost Breakdowns'!$A$3:$A$12,'SoBCaICbIC-urbanresidential'!$A3,'Cost Breakdowns'!$F$3:$F$12,"ISIC 30"))*'Factors applied'!$E$121</f>
        <v>0</v>
      </c>
      <c r="AC3">
        <f>(SUMIFS('Cost Breakdowns'!$D$3:$D$12,'Cost Breakdowns'!$A$3:$A$12,'SoBCaICbIC-urbanresidential'!$A3,'Cost Breakdowns'!$F$3:$F$12,"ISIC 31T33"))</f>
        <v>0</v>
      </c>
      <c r="AD3">
        <f>(SUMIFS('Cost Breakdowns'!$D$3:$D$12,'Cost Breakdowns'!$A$3:$A$12,'SoBCaICbIC-urbanresidential'!$A3,'Cost Breakdowns'!$F$3:$F$12,"ISIC 351"))</f>
        <v>0</v>
      </c>
      <c r="AE3">
        <f>(SUMIFS('Cost Breakdowns'!$D$3:$D$12,'Cost Breakdowns'!$A$3:$A$12,'SoBCaICbIC-urbanresidential'!$A3,'Cost Breakdowns'!$F$3:$F$12,"ISIC 352T353"))</f>
        <v>0</v>
      </c>
      <c r="AF3">
        <f>(SUMIFS('Cost Breakdowns'!$D$3:$D$12,'Cost Breakdowns'!$A$3:$A$12,'SoBCaICbIC-urbanresidential'!$A3,'Cost Breakdowns'!$F$3:$F$12,"ISIC 36T39"))</f>
        <v>0</v>
      </c>
      <c r="AG3">
        <f>(SUMIFS('Cost Breakdowns'!$D$3:$D$12,'Cost Breakdowns'!$A$3:$A$12,'SoBCaICbIC-urbanresidential'!$A3,'Cost Breakdowns'!$F$3:$F$12,"ISIC 41T43"))</f>
        <v>0.26375431279838768</v>
      </c>
      <c r="AH3">
        <f>(SUMIFS('Cost Breakdowns'!$D$3:$D$12,'Cost Breakdowns'!$A$3:$A$12,'SoBCaICbIC-urbanresidential'!$A3,'Cost Breakdowns'!$F$3:$F$12,"ISIC 45T47"))</f>
        <v>0</v>
      </c>
      <c r="AI3">
        <f>(SUMIFS('Cost Breakdowns'!$D$3:$D$12,'Cost Breakdowns'!$A$3:$A$12,'SoBCaICbIC-urbanresidential'!$A3,'Cost Breakdowns'!$F$3:$F$12,"ISIC 49T53"))*'Factors applied'!$E$122</f>
        <v>0</v>
      </c>
      <c r="AJ3">
        <f>(SUMIFS('Cost Breakdowns'!$D$3:$D$12,'Cost Breakdowns'!$A$3:$A$12,'SoBCaICbIC-urbanresidential'!$A3,'Cost Breakdowns'!$F$3:$F$12,"ISIC 49T53"))*'Factors applied'!$E$123</f>
        <v>0</v>
      </c>
      <c r="AK3">
        <f>(SUMIFS('Cost Breakdowns'!$D$3:$D$12,'Cost Breakdowns'!$A$3:$A$12,'SoBCaICbIC-urbanresidential'!$A3,'Cost Breakdowns'!$F$3:$F$12,"ISIC 49T53"))*'Factors applied'!$E$124</f>
        <v>0</v>
      </c>
      <c r="AL3">
        <f>(SUMIFS('Cost Breakdowns'!$D$3:$D$12,'Cost Breakdowns'!$A$3:$A$12,'SoBCaICbIC-urbanresidential'!$A3,'Cost Breakdowns'!$F$3:$F$12,"ISIC 49T53"))*'Factors applied'!$E$125</f>
        <v>0</v>
      </c>
      <c r="AM3">
        <f>(SUMIFS('Cost Breakdowns'!$D$3:$D$12,'Cost Breakdowns'!$A$3:$A$12,'SoBCaICbIC-urbanresidential'!$A3,'Cost Breakdowns'!$F$3:$F$12,"ISIC 49T53"))*'Factors applied'!$E$126</f>
        <v>0</v>
      </c>
      <c r="AN3">
        <f>(SUMIFS('Cost Breakdowns'!$D$3:$D$12,'Cost Breakdowns'!$A$3:$A$12,'SoBCaICbIC-urbanresidential'!$A3,'Cost Breakdowns'!$F$3:$F$12,"ISIC 55T56"))</f>
        <v>0</v>
      </c>
      <c r="AO3">
        <f>(SUMIFS('Cost Breakdowns'!$D$3:$D$12,'Cost Breakdowns'!$A$3:$A$12,'SoBCaICbIC-urbanresidential'!$A3,'Cost Breakdowns'!$F$3:$F$12,"ISIC 58T60"))</f>
        <v>0</v>
      </c>
      <c r="AP3">
        <f>(SUMIFS('Cost Breakdowns'!$D$3:$D$12,'Cost Breakdowns'!$A$3:$A$12,'SoBCaICbIC-urbanresidential'!$A3,'Cost Breakdowns'!$F$3:$F$12,"ISIC 61"))</f>
        <v>0</v>
      </c>
      <c r="AQ3">
        <f>(SUMIFS('Cost Breakdowns'!$D$3:$D$12,'Cost Breakdowns'!$A$3:$A$12,'SoBCaICbIC-urbanresidential'!$A3,'Cost Breakdowns'!$F$3:$F$12,"ISIC 62T63"))</f>
        <v>0</v>
      </c>
      <c r="AR3">
        <f>(SUMIFS('Cost Breakdowns'!$D$3:$D$12,'Cost Breakdowns'!$A$3:$A$12,'SoBCaICbIC-urbanresidential'!$A3,'Cost Breakdowns'!$F$3:$F$12,"ISIC 64T66"))</f>
        <v>0</v>
      </c>
      <c r="AS3">
        <f>(SUMIFS('Cost Breakdowns'!$D$3:$D$12,'Cost Breakdowns'!$A$3:$A$12,'SoBCaICbIC-urbanresidential'!$A3,'Cost Breakdowns'!$F$3:$F$12,"ISIC 68"))</f>
        <v>0</v>
      </c>
      <c r="AT3">
        <f>(SUMIFS('Cost Breakdowns'!$D$3:$D$12,'Cost Breakdowns'!$A$3:$A$12,'SoBCaICbIC-urbanresidential'!$A3,'Cost Breakdowns'!$F$3:$F$12,"ISIC 69T82"))*'Factors applied'!$E$127</f>
        <v>0</v>
      </c>
      <c r="AU3">
        <f>(SUMIFS('Cost Breakdowns'!$D$3:$D$12,'Cost Breakdowns'!$A$3:$A$12,'SoBCaICbIC-urbanresidential'!$A3,'Cost Breakdowns'!$F$3:$F$12,"ISIC 69T82"))*'Factors applied'!$E$128</f>
        <v>0</v>
      </c>
      <c r="AV3">
        <f>(SUMIFS('Cost Breakdowns'!$D$3:$D$12,'Cost Breakdowns'!$A$3:$A$12,'SoBCaICbIC-urbanresidential'!$A3,'Cost Breakdowns'!$F$3:$F$12,"ISIC 84"))</f>
        <v>0</v>
      </c>
      <c r="AW3">
        <f>(SUMIFS('Cost Breakdowns'!$D$3:$D$12,'Cost Breakdowns'!$A$3:$A$12,'SoBCaICbIC-urbanresidential'!$A3,'Cost Breakdowns'!$F$3:$F$12,"ISIC 85"))</f>
        <v>0</v>
      </c>
      <c r="AX3">
        <f>(SUMIFS('Cost Breakdowns'!$D$3:$D$12,'Cost Breakdowns'!$A$3:$A$12,'SoBCaICbIC-urbanresidential'!$A3,'Cost Breakdowns'!$F$3:$F$12,"ISIC 86T88"))</f>
        <v>0</v>
      </c>
      <c r="AY3">
        <f>(SUMIFS('Cost Breakdowns'!$D$3:$D$12,'Cost Breakdowns'!$A$3:$A$12,'SoBCaICbIC-urbanresidential'!$A3,'Cost Breakdowns'!$F$3:$F$12,"ISIC 90T96"))*'Factors applied'!$E$129</f>
        <v>0</v>
      </c>
      <c r="AZ3">
        <f>(SUMIFS('Cost Breakdowns'!$D$3:$D$12,'Cost Breakdowns'!$A$3:$A$12,'SoBCaICbIC-urbanresidential'!$A3,'Cost Breakdowns'!$F$3:$F$12,"ISIC 90T96"))*'Factors applied'!$E$130</f>
        <v>0</v>
      </c>
      <c r="BA3">
        <f>(SUMIFS('Cost Breakdowns'!$D$3:$D$12,'Cost Breakdowns'!$A$3:$A$12,'SoBCaICbIC-urbanresidential'!$A3,'Cost Breakdowns'!$F$3:$F$12,"ISIC 97T98"))</f>
        <v>0</v>
      </c>
    </row>
    <row r="4" spans="1:53" x14ac:dyDescent="0.25">
      <c r="A4" t="s">
        <v>66</v>
      </c>
      <c r="B4">
        <f>(SUMIFS('Cost Breakdowns'!$D$3:$D$12,'Cost Breakdowns'!$A$3:$A$12,'SoBCaICbIC-urbanresidential'!$A4,'Cost Breakdowns'!$F$3:$F$12,"ISIC 01T03"))*'Factors applied'!$E$131</f>
        <v>0</v>
      </c>
      <c r="C4">
        <f>(SUMIFS('Cost Breakdowns'!$D$3:$D$12,'Cost Breakdowns'!$A$3:$A$12,'SoBCaICbIC-urbanresidential'!$A4,'Cost Breakdowns'!$F$3:$F$12,"ISIC 01T03"))*'Factors applied'!$E$132</f>
        <v>0</v>
      </c>
      <c r="D4">
        <f>(SUMIFS('Cost Breakdowns'!$D$3:$D$12,'Cost Breakdowns'!$A$3:$A$12,'SoBCaICbIC-urbanresidential'!$A4,'Cost Breakdowns'!$F$3:$F$12,"ISIC 01T03"))*'Factors applied'!$E$133</f>
        <v>0</v>
      </c>
      <c r="E4">
        <f>(SUMIFS('Cost Breakdowns'!$D$3:$D$12,'Cost Breakdowns'!$A$3:$A$12,'SoBCaICbIC-urbanresidential'!$A4,'Cost Breakdowns'!$F$3:$F$12,"ISIC 05"))</f>
        <v>0</v>
      </c>
      <c r="F4">
        <f>(SUMIFS('Cost Breakdowns'!$D$3:$D$12,'Cost Breakdowns'!$A$3:$A$12,'SoBCaICbIC-urbanresidential'!$A4,'Cost Breakdowns'!$F$3:$F$12,"ISIC 06"))</f>
        <v>0</v>
      </c>
      <c r="G4">
        <f>(SUMIFS('Cost Breakdowns'!$D$3:$D$12,'Cost Breakdowns'!$A$3:$A$12,'SoBCaICbIC-urbanresidential'!$A4,'Cost Breakdowns'!$F$3:$F$12,"ISIC 07T08"))*'Factors applied'!$E$134</f>
        <v>0</v>
      </c>
      <c r="H4">
        <f>(SUMIFS('Cost Breakdowns'!$D$3:$D$12,'Cost Breakdowns'!$A$3:$A$12,'SoBCaICbIC-urbanresidential'!$A4,'Cost Breakdowns'!$F$3:$F$12,"ISIC 07T08"))*'Factors applied'!$E$135</f>
        <v>0</v>
      </c>
      <c r="I4">
        <f>(SUMIFS('Cost Breakdowns'!$D$3:$D$12,'Cost Breakdowns'!$A$3:$A$12,'SoBCaICbIC-urbanresidential'!$A4,'Cost Breakdowns'!$F$3:$F$12,"ISIC 09"))</f>
        <v>0</v>
      </c>
      <c r="J4">
        <f>(SUMIFS('Cost Breakdowns'!$D$3:$D$12,'Cost Breakdowns'!$A$3:$A$12,'SoBCaICbIC-urbanresidential'!$A4,'Cost Breakdowns'!$F$3:$F$12,"ISIC 10T12"))</f>
        <v>0</v>
      </c>
      <c r="K4">
        <f>(SUMIFS('Cost Breakdowns'!$D$3:$D$12,'Cost Breakdowns'!$A$3:$A$12,'SoBCaICbIC-urbanresidential'!$A4,'Cost Breakdowns'!$F$3:$F$12,"ISIC 13T15"))</f>
        <v>0</v>
      </c>
      <c r="L4">
        <f>(SUMIFS('Cost Breakdowns'!$D$3:$D$12,'Cost Breakdowns'!$A$3:$A$12,'SoBCaICbIC-urbanresidential'!$A4,'Cost Breakdowns'!$F$3:$F$12,"ISIC 16"))</f>
        <v>0</v>
      </c>
      <c r="M4">
        <f>(SUMIFS('Cost Breakdowns'!$D$3:$D$12,'Cost Breakdowns'!$A$3:$A$12,'SoBCaICbIC-urbanresidential'!$A4,'Cost Breakdowns'!$F$3:$F$12,"ISIC 17T18"))</f>
        <v>0</v>
      </c>
      <c r="N4">
        <f>(SUMIFS('Cost Breakdowns'!$D$3:$D$12,'Cost Breakdowns'!$A$3:$A$12,'SoBCaICbIC-urbanresidential'!$A4,'Cost Breakdowns'!$F$3:$F$12,"ISIC 19"))</f>
        <v>0</v>
      </c>
      <c r="O4">
        <f>(SUMIFS('Cost Breakdowns'!$D$3:$D$12,'Cost Breakdowns'!$A$3:$A$12,'SoBCaICbIC-urbanresidential'!$A4,'Cost Breakdowns'!$F$3:$F$12,"ISIC 20"))</f>
        <v>0</v>
      </c>
      <c r="P4">
        <f>(SUMIFS('Cost Breakdowns'!$D$3:$D$12,'Cost Breakdowns'!$A$3:$A$12,'SoBCaICbIC-urbanresidential'!$A4,'Cost Breakdowns'!$F$3:$F$12,"ISIC 21"))</f>
        <v>0</v>
      </c>
      <c r="Q4">
        <f>(SUMIFS('Cost Breakdowns'!$D$3:$D$12,'Cost Breakdowns'!$A$3:$A$12,'SoBCaICbIC-urbanresidential'!$A4,'Cost Breakdowns'!$F$3:$F$12,"ISIC 22"))</f>
        <v>0</v>
      </c>
      <c r="R4">
        <f>(SUMIFS('Cost Breakdowns'!$D$3:$D$12,'Cost Breakdowns'!$A$3:$A$12,'SoBCaICbIC-urbanresidential'!$A4,'Cost Breakdowns'!$F$3:$F$12,"ISIC 231"))</f>
        <v>0</v>
      </c>
      <c r="S4">
        <f>(SUMIFS('Cost Breakdowns'!$D$3:$D$12,'Cost Breakdowns'!$A$3:$A$12,'SoBCaICbIC-urbanresidential'!$A4,'Cost Breakdowns'!$F$3:$F$12,"ISIC 239"))</f>
        <v>0</v>
      </c>
      <c r="T4">
        <f>(SUMIFS('Cost Breakdowns'!$D$3:$D$12,'Cost Breakdowns'!$A$3:$A$12,'SoBCaICbIC-urbanresidential'!$A4,'Cost Breakdowns'!$F$3:$F$12,"ISIC 241"))</f>
        <v>0</v>
      </c>
      <c r="U4">
        <f>(SUMIFS('Cost Breakdowns'!$D$3:$D$12,'Cost Breakdowns'!$A$3:$A$12,'SoBCaICbIC-urbanresidential'!$A4,'Cost Breakdowns'!$F$3:$F$12,"ISIC 242"))</f>
        <v>0</v>
      </c>
      <c r="V4">
        <f>(SUMIFS('Cost Breakdowns'!$D$3:$D$12,'Cost Breakdowns'!$A$3:$A$12,'SoBCaICbIC-urbanresidential'!$A4,'Cost Breakdowns'!$F$3:$F$12,"ISIC 25"))</f>
        <v>0</v>
      </c>
      <c r="W4">
        <f>(SUMIFS('Cost Breakdowns'!$D$3:$D$12,'Cost Breakdowns'!$A$3:$A$12,'SoBCaICbIC-urbanresidential'!$A4,'Cost Breakdowns'!$F$3:$F$12,"ISIC 26"))</f>
        <v>0</v>
      </c>
      <c r="X4">
        <f>(SUMIFS('Cost Breakdowns'!$D$3:$D$12,'Cost Breakdowns'!$A$3:$A$12,'SoBCaICbIC-urbanresidential'!$A4,'Cost Breakdowns'!$F$3:$F$12,"ISIC 27"))</f>
        <v>0</v>
      </c>
      <c r="Y4">
        <f>(SUMIFS('Cost Breakdowns'!$D$3:$D$12,'Cost Breakdowns'!$A$3:$A$12,'SoBCaICbIC-urbanresidential'!$A4,'Cost Breakdowns'!$F$3:$F$12,"ISIC 28"))</f>
        <v>0</v>
      </c>
      <c r="Z4">
        <f>(SUMIFS('Cost Breakdowns'!$D$3:$D$12,'Cost Breakdowns'!$A$3:$A$12,'SoBCaICbIC-urbanresidential'!$A4,'Cost Breakdowns'!$F$3:$F$12,"ISIC 29"))</f>
        <v>0</v>
      </c>
      <c r="AA4">
        <f>(SUMIFS('Cost Breakdowns'!$D$3:$D$12,'Cost Breakdowns'!$A$3:$A$12,'SoBCaICbIC-urbanresidential'!$A4,'Cost Breakdowns'!$F$3:$F$12,"ISIC 30"))*'Factors applied'!$E$136</f>
        <v>0</v>
      </c>
      <c r="AB4">
        <f>(SUMIFS('Cost Breakdowns'!$D$3:$D$12,'Cost Breakdowns'!$A$3:$A$12,'SoBCaICbIC-urbanresidential'!$A4,'Cost Breakdowns'!$F$3:$F$12,"ISIC 30"))*'Factors applied'!$E$137</f>
        <v>0</v>
      </c>
      <c r="AC4">
        <f>(SUMIFS('Cost Breakdowns'!$D$3:$D$12,'Cost Breakdowns'!$A$3:$A$12,'SoBCaICbIC-urbanresidential'!$A4,'Cost Breakdowns'!$F$3:$F$12,"ISIC 31T33"))</f>
        <v>0</v>
      </c>
      <c r="AD4">
        <f>(SUMIFS('Cost Breakdowns'!$D$3:$D$12,'Cost Breakdowns'!$A$3:$A$12,'SoBCaICbIC-urbanresidential'!$A4,'Cost Breakdowns'!$F$3:$F$12,"ISIC 351"))</f>
        <v>0</v>
      </c>
      <c r="AE4">
        <f>(SUMIFS('Cost Breakdowns'!$D$3:$D$12,'Cost Breakdowns'!$A$3:$A$12,'SoBCaICbIC-urbanresidential'!$A4,'Cost Breakdowns'!$F$3:$F$12,"ISIC 352T353"))</f>
        <v>0</v>
      </c>
      <c r="AF4">
        <f>(SUMIFS('Cost Breakdowns'!$D$3:$D$12,'Cost Breakdowns'!$A$3:$A$12,'SoBCaICbIC-urbanresidential'!$A4,'Cost Breakdowns'!$F$3:$F$12,"ISIC 36T39"))</f>
        <v>0</v>
      </c>
      <c r="AG4">
        <f>(SUMIFS('Cost Breakdowns'!$D$3:$D$12,'Cost Breakdowns'!$A$3:$A$12,'SoBCaICbIC-urbanresidential'!$A4,'Cost Breakdowns'!$F$3:$F$12,"ISIC 41T43"))</f>
        <v>0</v>
      </c>
      <c r="AH4">
        <f>(SUMIFS('Cost Breakdowns'!$D$3:$D$12,'Cost Breakdowns'!$A$3:$A$12,'SoBCaICbIC-urbanresidential'!$A4,'Cost Breakdowns'!$F$3:$F$12,"ISIC 45T47"))</f>
        <v>0</v>
      </c>
      <c r="AI4">
        <f>(SUMIFS('Cost Breakdowns'!$D$3:$D$12,'Cost Breakdowns'!$A$3:$A$12,'SoBCaICbIC-urbanresidential'!$A4,'Cost Breakdowns'!$F$3:$F$12,"ISIC 49T53"))*'Factors applied'!$E$138</f>
        <v>0</v>
      </c>
      <c r="AJ4">
        <f>(SUMIFS('Cost Breakdowns'!$D$3:$D$12,'Cost Breakdowns'!$A$3:$A$12,'SoBCaICbIC-urbanresidential'!$A4,'Cost Breakdowns'!$F$3:$F$12,"ISIC 49T53"))*'Factors applied'!$E$139</f>
        <v>0</v>
      </c>
      <c r="AK4">
        <f>(SUMIFS('Cost Breakdowns'!$D$3:$D$12,'Cost Breakdowns'!$A$3:$A$12,'SoBCaICbIC-urbanresidential'!$A4,'Cost Breakdowns'!$F$3:$F$12,"ISIC 49T53"))*'Factors applied'!$E$140</f>
        <v>0</v>
      </c>
      <c r="AL4">
        <f>(SUMIFS('Cost Breakdowns'!$D$3:$D$12,'Cost Breakdowns'!$A$3:$A$12,'SoBCaICbIC-urbanresidential'!$A4,'Cost Breakdowns'!$F$3:$F$12,"ISIC 49T53"))*'Factors applied'!$E$141</f>
        <v>0</v>
      </c>
      <c r="AM4">
        <f>(SUMIFS('Cost Breakdowns'!$D$3:$D$12,'Cost Breakdowns'!$A$3:$A$12,'SoBCaICbIC-urbanresidential'!$A4,'Cost Breakdowns'!$F$3:$F$12,"ISIC 49T53"))*'Factors applied'!$E$142</f>
        <v>0</v>
      </c>
      <c r="AN4">
        <f>(SUMIFS('Cost Breakdowns'!$D$3:$D$12,'Cost Breakdowns'!$A$3:$A$12,'SoBCaICbIC-urbanresidential'!$A4,'Cost Breakdowns'!$F$3:$F$12,"ISIC 55T56"))</f>
        <v>0</v>
      </c>
      <c r="AO4">
        <f>(SUMIFS('Cost Breakdowns'!$D$3:$D$12,'Cost Breakdowns'!$A$3:$A$12,'SoBCaICbIC-urbanresidential'!$A4,'Cost Breakdowns'!$F$3:$F$12,"ISIC 58T60"))</f>
        <v>0</v>
      </c>
      <c r="AP4">
        <f>(SUMIFS('Cost Breakdowns'!$D$3:$D$12,'Cost Breakdowns'!$A$3:$A$12,'SoBCaICbIC-urbanresidential'!$A4,'Cost Breakdowns'!$F$3:$F$12,"ISIC 61"))</f>
        <v>0</v>
      </c>
      <c r="AQ4">
        <f>(SUMIFS('Cost Breakdowns'!$D$3:$D$12,'Cost Breakdowns'!$A$3:$A$12,'SoBCaICbIC-urbanresidential'!$A4,'Cost Breakdowns'!$F$3:$F$12,"ISIC 62T63"))</f>
        <v>0</v>
      </c>
      <c r="AR4">
        <f>(SUMIFS('Cost Breakdowns'!$D$3:$D$12,'Cost Breakdowns'!$A$3:$A$12,'SoBCaICbIC-urbanresidential'!$A4,'Cost Breakdowns'!$F$3:$F$12,"ISIC 64T66"))</f>
        <v>0</v>
      </c>
      <c r="AS4">
        <f>(SUMIFS('Cost Breakdowns'!$D$3:$D$12,'Cost Breakdowns'!$A$3:$A$12,'SoBCaICbIC-urbanresidential'!$A4,'Cost Breakdowns'!$F$3:$F$12,"ISIC 68"))</f>
        <v>0</v>
      </c>
      <c r="AT4">
        <f>(SUMIFS('Cost Breakdowns'!$D$3:$D$12,'Cost Breakdowns'!$A$3:$A$12,'SoBCaICbIC-urbanresidential'!$A4,'Cost Breakdowns'!$F$3:$F$12,"ISIC 69T82"))*'Factors applied'!$E$143</f>
        <v>0</v>
      </c>
      <c r="AU4">
        <f>(SUMIFS('Cost Breakdowns'!$D$3:$D$12,'Cost Breakdowns'!$A$3:$A$12,'SoBCaICbIC-urbanresidential'!$A4,'Cost Breakdowns'!$F$3:$F$12,"ISIC 69T82"))*'Factors applied'!$E$144</f>
        <v>0</v>
      </c>
      <c r="AV4">
        <f>(SUMIFS('Cost Breakdowns'!$D$3:$D$12,'Cost Breakdowns'!$A$3:$A$12,'SoBCaICbIC-urbanresidential'!$A4,'Cost Breakdowns'!$F$3:$F$12,"ISIC 84"))</f>
        <v>0</v>
      </c>
      <c r="AW4">
        <f>(SUMIFS('Cost Breakdowns'!$D$3:$D$12,'Cost Breakdowns'!$A$3:$A$12,'SoBCaICbIC-urbanresidential'!$A4,'Cost Breakdowns'!$F$3:$F$12,"ISIC 85"))</f>
        <v>0</v>
      </c>
      <c r="AX4">
        <f>(SUMIFS('Cost Breakdowns'!$D$3:$D$12,'Cost Breakdowns'!$A$3:$A$12,'SoBCaICbIC-urbanresidential'!$A4,'Cost Breakdowns'!$F$3:$F$12,"ISIC 86T88"))</f>
        <v>0</v>
      </c>
      <c r="AY4">
        <f>(SUMIFS('Cost Breakdowns'!$D$3:$D$12,'Cost Breakdowns'!$A$3:$A$12,'SoBCaICbIC-urbanresidential'!$A4,'Cost Breakdowns'!$F$3:$F$12,"ISIC 90T96"))*'Factors applied'!$E$145</f>
        <v>0</v>
      </c>
      <c r="AZ4">
        <f>(SUMIFS('Cost Breakdowns'!$D$3:$D$12,'Cost Breakdowns'!$A$3:$A$12,'SoBCaICbIC-urbanresidential'!$A4,'Cost Breakdowns'!$F$3:$F$12,"ISIC 90T96"))*'Factors applied'!$E$146</f>
        <v>0</v>
      </c>
      <c r="BA4">
        <f>(SUMIFS('Cost Breakdowns'!$D$3:$D$12,'Cost Breakdowns'!$A$3:$A$12,'SoBCaICbIC-urbanresidential'!$A4,'Cost Breakdowns'!$F$3:$F$12,"ISIC 97T98"))</f>
        <v>0</v>
      </c>
    </row>
    <row r="5" spans="1:53" x14ac:dyDescent="0.25">
      <c r="A5" t="s">
        <v>68</v>
      </c>
      <c r="B5">
        <f>(SUMIFS('Cost Breakdowns'!$D$3:$D$12,'Cost Breakdowns'!$A$3:$A$12,'SoBCaICbIC-urbanresidential'!$A5,'Cost Breakdowns'!$F$3:$F$12,"ISIC 01T03"))*'Factors applied'!$E$163</f>
        <v>0</v>
      </c>
      <c r="C5">
        <f>(SUMIFS('Cost Breakdowns'!$D$3:$D$12,'Cost Breakdowns'!$A$3:$A$12,'SoBCaICbIC-urbanresidential'!$A5,'Cost Breakdowns'!$F$3:$F$12,"ISIC 01T03"))*'Factors applied'!$E$164</f>
        <v>0</v>
      </c>
      <c r="D5">
        <f>(SUMIFS('Cost Breakdowns'!$D$3:$D$12,'Cost Breakdowns'!$A$3:$A$12,'SoBCaICbIC-urbanresidential'!$A5,'Cost Breakdowns'!$F$3:$F$12,"ISIC 01T03"))*'Factors applied'!$E$165</f>
        <v>0</v>
      </c>
      <c r="E5">
        <f>(SUMIFS('Cost Breakdowns'!$D$3:$D$12,'Cost Breakdowns'!$A$3:$A$12,'SoBCaICbIC-urbanresidential'!$A5,'Cost Breakdowns'!$F$3:$F$12,"ISIC 05"))</f>
        <v>0</v>
      </c>
      <c r="F5">
        <f>(SUMIFS('Cost Breakdowns'!$D$3:$D$12,'Cost Breakdowns'!$A$3:$A$12,'SoBCaICbIC-urbanresidential'!$A5,'Cost Breakdowns'!$F$3:$F$12,"ISIC 06"))</f>
        <v>0</v>
      </c>
      <c r="G5">
        <f>(SUMIFS('Cost Breakdowns'!$D$3:$D$12,'Cost Breakdowns'!$A$3:$A$12,'SoBCaICbIC-urbanresidential'!$A5,'Cost Breakdowns'!$F$3:$F$12,"ISIC 07T08"))*'Factors applied'!$E$166</f>
        <v>0</v>
      </c>
      <c r="H5">
        <f>(SUMIFS('Cost Breakdowns'!$D$3:$D$12,'Cost Breakdowns'!$A$3:$A$12,'SoBCaICbIC-urbanresidential'!$A5,'Cost Breakdowns'!$F$3:$F$12,"ISIC 07T08"))*'Factors applied'!$E$167</f>
        <v>0</v>
      </c>
      <c r="I5">
        <f>(SUMIFS('Cost Breakdowns'!$D$3:$D$12,'Cost Breakdowns'!$A$3:$A$12,'SoBCaICbIC-urbanresidential'!$A5,'Cost Breakdowns'!$F$3:$F$12,"ISIC 09"))</f>
        <v>0</v>
      </c>
      <c r="J5">
        <f>(SUMIFS('Cost Breakdowns'!$D$3:$D$12,'Cost Breakdowns'!$A$3:$A$12,'SoBCaICbIC-urbanresidential'!$A5,'Cost Breakdowns'!$F$3:$F$12,"ISIC 10T12"))</f>
        <v>0</v>
      </c>
      <c r="K5">
        <f>(SUMIFS('Cost Breakdowns'!$D$3:$D$12,'Cost Breakdowns'!$A$3:$A$12,'SoBCaICbIC-urbanresidential'!$A5,'Cost Breakdowns'!$F$3:$F$12,"ISIC 13T15"))</f>
        <v>0</v>
      </c>
      <c r="L5">
        <f>(SUMIFS('Cost Breakdowns'!$D$3:$D$12,'Cost Breakdowns'!$A$3:$A$12,'SoBCaICbIC-urbanresidential'!$A5,'Cost Breakdowns'!$F$3:$F$12,"ISIC 16"))</f>
        <v>0</v>
      </c>
      <c r="M5">
        <f>(SUMIFS('Cost Breakdowns'!$D$3:$D$12,'Cost Breakdowns'!$A$3:$A$12,'SoBCaICbIC-urbanresidential'!$A5,'Cost Breakdowns'!$F$3:$F$12,"ISIC 17T18"))</f>
        <v>0</v>
      </c>
      <c r="N5">
        <f>(SUMIFS('Cost Breakdowns'!$D$3:$D$12,'Cost Breakdowns'!$A$3:$A$12,'SoBCaICbIC-urbanresidential'!$A5,'Cost Breakdowns'!$F$3:$F$12,"ISIC 19"))</f>
        <v>0</v>
      </c>
      <c r="O5">
        <f>(SUMIFS('Cost Breakdowns'!$D$3:$D$12,'Cost Breakdowns'!$A$3:$A$12,'SoBCaICbIC-urbanresidential'!$A5,'Cost Breakdowns'!$F$3:$F$12,"ISIC 20"))</f>
        <v>0</v>
      </c>
      <c r="P5">
        <f>(SUMIFS('Cost Breakdowns'!$D$3:$D$12,'Cost Breakdowns'!$A$3:$A$12,'SoBCaICbIC-urbanresidential'!$A5,'Cost Breakdowns'!$F$3:$F$12,"ISIC 21"))</f>
        <v>0</v>
      </c>
      <c r="Q5">
        <f>(SUMIFS('Cost Breakdowns'!$D$3:$D$12,'Cost Breakdowns'!$A$3:$A$12,'SoBCaICbIC-urbanresidential'!$A5,'Cost Breakdowns'!$F$3:$F$12,"ISIC 22"))</f>
        <v>0</v>
      </c>
      <c r="R5">
        <f>(SUMIFS('Cost Breakdowns'!$D$3:$D$12,'Cost Breakdowns'!$A$3:$A$12,'SoBCaICbIC-urbanresidential'!$A5,'Cost Breakdowns'!$F$3:$F$12,"ISIC 231"))</f>
        <v>0</v>
      </c>
      <c r="S5">
        <f>(SUMIFS('Cost Breakdowns'!$D$3:$D$12,'Cost Breakdowns'!$A$3:$A$12,'SoBCaICbIC-urbanresidential'!$A5,'Cost Breakdowns'!$F$3:$F$12,"ISIC 239"))</f>
        <v>0</v>
      </c>
      <c r="T5">
        <f>(SUMIFS('Cost Breakdowns'!$D$3:$D$12,'Cost Breakdowns'!$A$3:$A$12,'SoBCaICbIC-urbanresidential'!$A5,'Cost Breakdowns'!$F$3:$F$12,"ISIC 241"))</f>
        <v>0</v>
      </c>
      <c r="U5">
        <f>(SUMIFS('Cost Breakdowns'!$D$3:$D$12,'Cost Breakdowns'!$A$3:$A$12,'SoBCaICbIC-urbanresidential'!$A5,'Cost Breakdowns'!$F$3:$F$12,"ISIC 242"))</f>
        <v>0</v>
      </c>
      <c r="V5">
        <f>(SUMIFS('Cost Breakdowns'!$D$3:$D$12,'Cost Breakdowns'!$A$3:$A$12,'SoBCaICbIC-urbanresidential'!$A5,'Cost Breakdowns'!$F$3:$F$12,"ISIC 25"))</f>
        <v>0</v>
      </c>
      <c r="W5">
        <f>(SUMIFS('Cost Breakdowns'!$D$3:$D$12,'Cost Breakdowns'!$A$3:$A$12,'SoBCaICbIC-urbanresidential'!$A5,'Cost Breakdowns'!$F$3:$F$12,"ISIC 26"))</f>
        <v>0</v>
      </c>
      <c r="X5">
        <f>(SUMIFS('Cost Breakdowns'!$D$3:$D$12,'Cost Breakdowns'!$A$3:$A$12,'SoBCaICbIC-urbanresidential'!$A5,'Cost Breakdowns'!$F$3:$F$12,"ISIC 27"))</f>
        <v>1</v>
      </c>
      <c r="Y5">
        <f>(SUMIFS('Cost Breakdowns'!$D$3:$D$12,'Cost Breakdowns'!$A$3:$A$12,'SoBCaICbIC-urbanresidential'!$A5,'Cost Breakdowns'!$F$3:$F$12,"ISIC 28"))</f>
        <v>0</v>
      </c>
      <c r="Z5">
        <f>(SUMIFS('Cost Breakdowns'!$D$3:$D$12,'Cost Breakdowns'!$A$3:$A$12,'SoBCaICbIC-urbanresidential'!$A5,'Cost Breakdowns'!$F$3:$F$12,"ISIC 29"))</f>
        <v>0</v>
      </c>
      <c r="AA5">
        <f>(SUMIFS('Cost Breakdowns'!$D$3:$D$12,'Cost Breakdowns'!$A$3:$A$12,'SoBCaICbIC-urbanresidential'!$A5,'Cost Breakdowns'!$F$3:$F$12,"ISIC 30"))*'Factors applied'!$E$168</f>
        <v>0</v>
      </c>
      <c r="AB5">
        <f>(SUMIFS('Cost Breakdowns'!$D$3:$D$12,'Cost Breakdowns'!$A$3:$A$12,'SoBCaICbIC-urbanresidential'!$A5,'Cost Breakdowns'!$F$3:$F$12,"ISIC 30"))*'Factors applied'!$E$169</f>
        <v>0</v>
      </c>
      <c r="AC5">
        <f>(SUMIFS('Cost Breakdowns'!$D$3:$D$12,'Cost Breakdowns'!$A$3:$A$12,'SoBCaICbIC-urbanresidential'!$A5,'Cost Breakdowns'!$F$3:$F$12,"ISIC 31T33"))</f>
        <v>0</v>
      </c>
      <c r="AD5">
        <f>(SUMIFS('Cost Breakdowns'!$D$3:$D$12,'Cost Breakdowns'!$A$3:$A$12,'SoBCaICbIC-urbanresidential'!$A5,'Cost Breakdowns'!$F$3:$F$12,"ISIC 351"))</f>
        <v>0</v>
      </c>
      <c r="AE5">
        <f>(SUMIFS('Cost Breakdowns'!$D$3:$D$12,'Cost Breakdowns'!$A$3:$A$12,'SoBCaICbIC-urbanresidential'!$A5,'Cost Breakdowns'!$F$3:$F$12,"ISIC 352T353"))</f>
        <v>0</v>
      </c>
      <c r="AF5">
        <f>(SUMIFS('Cost Breakdowns'!$D$3:$D$12,'Cost Breakdowns'!$A$3:$A$12,'SoBCaICbIC-urbanresidential'!$A5,'Cost Breakdowns'!$F$3:$F$12,"ISIC 36T39"))</f>
        <v>0</v>
      </c>
      <c r="AG5">
        <f>(SUMIFS('Cost Breakdowns'!$D$3:$D$12,'Cost Breakdowns'!$A$3:$A$12,'SoBCaICbIC-urbanresidential'!$A5,'Cost Breakdowns'!$F$3:$F$12,"ISIC 41T43"))</f>
        <v>0</v>
      </c>
      <c r="AH5">
        <f>(SUMIFS('Cost Breakdowns'!$D$3:$D$12,'Cost Breakdowns'!$A$3:$A$12,'SoBCaICbIC-urbanresidential'!$A5,'Cost Breakdowns'!$F$3:$F$12,"ISIC 45T47"))</f>
        <v>0</v>
      </c>
      <c r="AI5">
        <f>(SUMIFS('Cost Breakdowns'!$D$3:$D$12,'Cost Breakdowns'!$A$3:$A$12,'SoBCaICbIC-urbanresidential'!$A5,'Cost Breakdowns'!$F$3:$F$12,"ISIC 49T53"))*'Factors applied'!$E$170</f>
        <v>0</v>
      </c>
      <c r="AJ5">
        <f>(SUMIFS('Cost Breakdowns'!$D$3:$D$12,'Cost Breakdowns'!$A$3:$A$12,'SoBCaICbIC-urbanresidential'!$A5,'Cost Breakdowns'!$F$3:$F$12,"ISIC 49T53"))*'Factors applied'!$E$171</f>
        <v>0</v>
      </c>
      <c r="AK5">
        <f>(SUMIFS('Cost Breakdowns'!$D$3:$D$12,'Cost Breakdowns'!$A$3:$A$12,'SoBCaICbIC-urbanresidential'!$A5,'Cost Breakdowns'!$F$3:$F$12,"ISIC 49T53"))*'Factors applied'!$E$172</f>
        <v>0</v>
      </c>
      <c r="AL5">
        <f>(SUMIFS('Cost Breakdowns'!$D$3:$D$12,'Cost Breakdowns'!$A$3:$A$12,'SoBCaICbIC-urbanresidential'!$A5,'Cost Breakdowns'!$F$3:$F$12,"ISIC 49T53"))*'Factors applied'!$E$173</f>
        <v>0</v>
      </c>
      <c r="AM5">
        <f>(SUMIFS('Cost Breakdowns'!$D$3:$D$12,'Cost Breakdowns'!$A$3:$A$12,'SoBCaICbIC-urbanresidential'!$A5,'Cost Breakdowns'!$F$3:$F$12,"ISIC 49T53"))*'Factors applied'!$E$174</f>
        <v>0</v>
      </c>
      <c r="AN5">
        <f>(SUMIFS('Cost Breakdowns'!$D$3:$D$12,'Cost Breakdowns'!$A$3:$A$12,'SoBCaICbIC-urbanresidential'!$A5,'Cost Breakdowns'!$F$3:$F$12,"ISIC 55T56"))</f>
        <v>0</v>
      </c>
      <c r="AO5">
        <f>(SUMIFS('Cost Breakdowns'!$D$3:$D$12,'Cost Breakdowns'!$A$3:$A$12,'SoBCaICbIC-urbanresidential'!$A5,'Cost Breakdowns'!$F$3:$F$12,"ISIC 58T60"))</f>
        <v>0</v>
      </c>
      <c r="AP5">
        <f>(SUMIFS('Cost Breakdowns'!$D$3:$D$12,'Cost Breakdowns'!$A$3:$A$12,'SoBCaICbIC-urbanresidential'!$A5,'Cost Breakdowns'!$F$3:$F$12,"ISIC 61"))</f>
        <v>0</v>
      </c>
      <c r="AQ5">
        <f>(SUMIFS('Cost Breakdowns'!$D$3:$D$12,'Cost Breakdowns'!$A$3:$A$12,'SoBCaICbIC-urbanresidential'!$A5,'Cost Breakdowns'!$F$3:$F$12,"ISIC 62T63"))</f>
        <v>0</v>
      </c>
      <c r="AR5">
        <f>(SUMIFS('Cost Breakdowns'!$D$3:$D$12,'Cost Breakdowns'!$A$3:$A$12,'SoBCaICbIC-urbanresidential'!$A5,'Cost Breakdowns'!$F$3:$F$12,"ISIC 64T66"))</f>
        <v>0</v>
      </c>
      <c r="AS5">
        <f>(SUMIFS('Cost Breakdowns'!$D$3:$D$12,'Cost Breakdowns'!$A$3:$A$12,'SoBCaICbIC-urbanresidential'!$A5,'Cost Breakdowns'!$F$3:$F$12,"ISIC 68"))</f>
        <v>0</v>
      </c>
      <c r="AT5">
        <f>(SUMIFS('Cost Breakdowns'!$D$3:$D$12,'Cost Breakdowns'!$A$3:$A$12,'SoBCaICbIC-urbanresidential'!$A5,'Cost Breakdowns'!$F$3:$F$12,"ISIC 69T82"))*'Factors applied'!$E$175</f>
        <v>0</v>
      </c>
      <c r="AU5">
        <f>(SUMIFS('Cost Breakdowns'!$D$3:$D$12,'Cost Breakdowns'!$A$3:$A$12,'SoBCaICbIC-urbanresidential'!$A5,'Cost Breakdowns'!$F$3:$F$12,"ISIC 69T82"))*'Factors applied'!$E$176</f>
        <v>0</v>
      </c>
      <c r="AV5">
        <f>(SUMIFS('Cost Breakdowns'!$D$3:$D$12,'Cost Breakdowns'!$A$3:$A$12,'SoBCaICbIC-urbanresidential'!$A5,'Cost Breakdowns'!$F$3:$F$12,"ISIC 84"))</f>
        <v>0</v>
      </c>
      <c r="AW5">
        <f>(SUMIFS('Cost Breakdowns'!$D$3:$D$12,'Cost Breakdowns'!$A$3:$A$12,'SoBCaICbIC-urbanresidential'!$A5,'Cost Breakdowns'!$F$3:$F$12,"ISIC 85"))</f>
        <v>0</v>
      </c>
      <c r="AX5">
        <f>(SUMIFS('Cost Breakdowns'!$D$3:$D$12,'Cost Breakdowns'!$A$3:$A$12,'SoBCaICbIC-urbanresidential'!$A5,'Cost Breakdowns'!$F$3:$F$12,"ISIC 86T88"))</f>
        <v>0</v>
      </c>
      <c r="AY5">
        <f>(SUMIFS('Cost Breakdowns'!$D$3:$D$12,'Cost Breakdowns'!$A$3:$A$12,'SoBCaICbIC-urbanresidential'!$A5,'Cost Breakdowns'!$F$3:$F$12,"ISIC 90T96"))*'Factors applied'!$E$177</f>
        <v>0</v>
      </c>
      <c r="AZ5">
        <f>(SUMIFS('Cost Breakdowns'!$D$3:$D$12,'Cost Breakdowns'!$A$3:$A$12,'SoBCaICbIC-urbanresidential'!$A5,'Cost Breakdowns'!$F$3:$F$12,"ISIC 90T96"))*'Factors applied'!$E$178</f>
        <v>0</v>
      </c>
      <c r="BA5">
        <f>(SUMIFS('Cost Breakdowns'!$D$3:$D$12,'Cost Breakdowns'!$A$3:$A$12,'SoBCaICbIC-urbanresidential'!$A5,'Cost Breakdowns'!$F$3:$F$12,"ISIC 97T98"))</f>
        <v>0</v>
      </c>
    </row>
    <row r="6" spans="1:53" x14ac:dyDescent="0.25">
      <c r="A6" t="s">
        <v>40</v>
      </c>
      <c r="B6">
        <f>(SUMIFS('Cost Breakdowns'!$D$3:$D$12,'Cost Breakdowns'!$A$3:$A$12,'SoBCaICbIC-urbanresidential'!$A6,'Cost Breakdowns'!$F$3:$F$12,"ISIC 01T03"))*'Factors applied'!$E$99</f>
        <v>0</v>
      </c>
      <c r="C6">
        <f>(SUMIFS('Cost Breakdowns'!$D$3:$D$12,'Cost Breakdowns'!$A$3:$A$12,'SoBCaICbIC-urbanresidential'!$A6,'Cost Breakdowns'!$F$3:$F$12,"ISIC 01T03"))*'Factors applied'!$E$100</f>
        <v>0</v>
      </c>
      <c r="D6">
        <f>(SUMIFS('Cost Breakdowns'!$D$3:$D$12,'Cost Breakdowns'!$A$3:$A$12,'SoBCaICbIC-urbanresidential'!$A6,'Cost Breakdowns'!$F$3:$F$12,"ISIC 01T03"))*'Factors applied'!$E$101</f>
        <v>0</v>
      </c>
      <c r="E6">
        <f>(SUMIFS('Cost Breakdowns'!$D$3:$D$12,'Cost Breakdowns'!$A$3:$A$12,'SoBCaICbIC-urbanresidential'!$A6,'Cost Breakdowns'!$F$3:$F$12,"ISIC 05"))</f>
        <v>0</v>
      </c>
      <c r="F6">
        <f>(SUMIFS('Cost Breakdowns'!$D$3:$D$12,'Cost Breakdowns'!$A$3:$A$12,'SoBCaICbIC-urbanresidential'!$A6,'Cost Breakdowns'!$F$3:$F$12,"ISIC 06"))</f>
        <v>0</v>
      </c>
      <c r="G6">
        <f>(SUMIFS('Cost Breakdowns'!$D$3:$D$12,'Cost Breakdowns'!$A$3:$A$12,'SoBCaICbIC-urbanresidential'!$A6,'Cost Breakdowns'!$F$3:$F$12,"ISIC 07T08"))*'Factors applied'!$E$102</f>
        <v>0</v>
      </c>
      <c r="H6">
        <f>(SUMIFS('Cost Breakdowns'!$D$3:$D$12,'Cost Breakdowns'!$A$3:$A$12,'SoBCaICbIC-urbanresidential'!$A6,'Cost Breakdowns'!$F$3:$F$12,"ISIC 07T08"))*'Factors applied'!$E$103</f>
        <v>0</v>
      </c>
      <c r="I6">
        <f>(SUMIFS('Cost Breakdowns'!$D$3:$D$12,'Cost Breakdowns'!$A$3:$A$12,'SoBCaICbIC-urbanresidential'!$A6,'Cost Breakdowns'!$F$3:$F$12,"ISIC 09"))</f>
        <v>0</v>
      </c>
      <c r="J6">
        <f>(SUMIFS('Cost Breakdowns'!$D$3:$D$12,'Cost Breakdowns'!$A$3:$A$12,'SoBCaICbIC-urbanresidential'!$A6,'Cost Breakdowns'!$F$3:$F$12,"ISIC 10T12"))</f>
        <v>0</v>
      </c>
      <c r="K6">
        <f>(SUMIFS('Cost Breakdowns'!$D$3:$D$12,'Cost Breakdowns'!$A$3:$A$12,'SoBCaICbIC-urbanresidential'!$A6,'Cost Breakdowns'!$F$3:$F$12,"ISIC 13T15"))</f>
        <v>0</v>
      </c>
      <c r="L6">
        <f>(SUMIFS('Cost Breakdowns'!$D$3:$D$12,'Cost Breakdowns'!$A$3:$A$12,'SoBCaICbIC-urbanresidential'!$A6,'Cost Breakdowns'!$F$3:$F$12,"ISIC 16"))</f>
        <v>0</v>
      </c>
      <c r="M6">
        <f>(SUMIFS('Cost Breakdowns'!$D$3:$D$12,'Cost Breakdowns'!$A$3:$A$12,'SoBCaICbIC-urbanresidential'!$A6,'Cost Breakdowns'!$F$3:$F$12,"ISIC 17T18"))</f>
        <v>0</v>
      </c>
      <c r="N6">
        <f>(SUMIFS('Cost Breakdowns'!$D$3:$D$12,'Cost Breakdowns'!$A$3:$A$12,'SoBCaICbIC-urbanresidential'!$A6,'Cost Breakdowns'!$F$3:$F$12,"ISIC 19"))</f>
        <v>0</v>
      </c>
      <c r="O6">
        <f>(SUMIFS('Cost Breakdowns'!$D$3:$D$12,'Cost Breakdowns'!$A$3:$A$12,'SoBCaICbIC-urbanresidential'!$A6,'Cost Breakdowns'!$F$3:$F$12,"ISIC 20"))</f>
        <v>0</v>
      </c>
      <c r="P6">
        <f>(SUMIFS('Cost Breakdowns'!$D$3:$D$12,'Cost Breakdowns'!$A$3:$A$12,'SoBCaICbIC-urbanresidential'!$A6,'Cost Breakdowns'!$F$3:$F$12,"ISIC 21"))</f>
        <v>0</v>
      </c>
      <c r="Q6">
        <f>(SUMIFS('Cost Breakdowns'!$D$3:$D$12,'Cost Breakdowns'!$A$3:$A$12,'SoBCaICbIC-urbanresidential'!$A6,'Cost Breakdowns'!$F$3:$F$12,"ISIC 22"))</f>
        <v>0</v>
      </c>
      <c r="R6">
        <f>(SUMIFS('Cost Breakdowns'!$D$3:$D$12,'Cost Breakdowns'!$A$3:$A$12,'SoBCaICbIC-urbanresidential'!$A6,'Cost Breakdowns'!$F$3:$F$12,"ISIC 231"))</f>
        <v>0</v>
      </c>
      <c r="S6">
        <f>(SUMIFS('Cost Breakdowns'!$D$3:$D$12,'Cost Breakdowns'!$A$3:$A$12,'SoBCaICbIC-urbanresidential'!$A6,'Cost Breakdowns'!$F$3:$F$12,"ISIC 239"))</f>
        <v>0</v>
      </c>
      <c r="T6">
        <f>(SUMIFS('Cost Breakdowns'!$D$3:$D$12,'Cost Breakdowns'!$A$3:$A$12,'SoBCaICbIC-urbanresidential'!$A6,'Cost Breakdowns'!$F$3:$F$12,"ISIC 241"))</f>
        <v>0</v>
      </c>
      <c r="U6">
        <f>(SUMIFS('Cost Breakdowns'!$D$3:$D$12,'Cost Breakdowns'!$A$3:$A$12,'SoBCaICbIC-urbanresidential'!$A6,'Cost Breakdowns'!$F$3:$F$12,"ISIC 242"))</f>
        <v>0</v>
      </c>
      <c r="V6">
        <f>(SUMIFS('Cost Breakdowns'!$D$3:$D$12,'Cost Breakdowns'!$A$3:$A$12,'SoBCaICbIC-urbanresidential'!$A6,'Cost Breakdowns'!$F$3:$F$12,"ISIC 25"))</f>
        <v>0</v>
      </c>
      <c r="W6">
        <f>(SUMIFS('Cost Breakdowns'!$D$3:$D$12,'Cost Breakdowns'!$A$3:$A$12,'SoBCaICbIC-urbanresidential'!$A6,'Cost Breakdowns'!$F$3:$F$12,"ISIC 26"))</f>
        <v>0</v>
      </c>
      <c r="X6">
        <f>(SUMIFS('Cost Breakdowns'!$D$3:$D$12,'Cost Breakdowns'!$A$3:$A$12,'SoBCaICbIC-urbanresidential'!$A6,'Cost Breakdowns'!$F$3:$F$12,"ISIC 27"))</f>
        <v>0.75435141943914585</v>
      </c>
      <c r="Y6">
        <f>(SUMIFS('Cost Breakdowns'!$D$3:$D$12,'Cost Breakdowns'!$A$3:$A$12,'SoBCaICbIC-urbanresidential'!$A6,'Cost Breakdowns'!$F$3:$F$12,"ISIC 28"))</f>
        <v>0</v>
      </c>
      <c r="Z6">
        <f>(SUMIFS('Cost Breakdowns'!$D$3:$D$12,'Cost Breakdowns'!$A$3:$A$12,'SoBCaICbIC-urbanresidential'!$A6,'Cost Breakdowns'!$F$3:$F$12,"ISIC 29"))</f>
        <v>0</v>
      </c>
      <c r="AA6">
        <f>(SUMIFS('Cost Breakdowns'!$D$3:$D$12,'Cost Breakdowns'!$A$3:$A$12,'SoBCaICbIC-urbanresidential'!$A6,'Cost Breakdowns'!$F$3:$F$12,"ISIC 30"))*'Factors applied'!$E$104</f>
        <v>0</v>
      </c>
      <c r="AB6">
        <f>(SUMIFS('Cost Breakdowns'!$D$3:$D$12,'Cost Breakdowns'!$A$3:$A$12,'SoBCaICbIC-urbanresidential'!$A6,'Cost Breakdowns'!$F$3:$F$12,"ISIC 30"))*'Factors applied'!$E$105</f>
        <v>0</v>
      </c>
      <c r="AC6">
        <f>(SUMIFS('Cost Breakdowns'!$D$3:$D$12,'Cost Breakdowns'!$A$3:$A$12,'SoBCaICbIC-urbanresidential'!$A6,'Cost Breakdowns'!$F$3:$F$12,"ISIC 31T33"))</f>
        <v>0</v>
      </c>
      <c r="AD6">
        <f>(SUMIFS('Cost Breakdowns'!$D$3:$D$12,'Cost Breakdowns'!$A$3:$A$12,'SoBCaICbIC-urbanresidential'!$A6,'Cost Breakdowns'!$F$3:$F$12,"ISIC 351"))</f>
        <v>0</v>
      </c>
      <c r="AE6">
        <f>(SUMIFS('Cost Breakdowns'!$D$3:$D$12,'Cost Breakdowns'!$A$3:$A$12,'SoBCaICbIC-urbanresidential'!$A6,'Cost Breakdowns'!$F$3:$F$12,"ISIC 352T353"))</f>
        <v>0</v>
      </c>
      <c r="AF6">
        <f>(SUMIFS('Cost Breakdowns'!$D$3:$D$12,'Cost Breakdowns'!$A$3:$A$12,'SoBCaICbIC-urbanresidential'!$A6,'Cost Breakdowns'!$F$3:$F$12,"ISIC 36T39"))</f>
        <v>0</v>
      </c>
      <c r="AG6">
        <f>(SUMIFS('Cost Breakdowns'!$D$3:$D$12,'Cost Breakdowns'!$A$3:$A$12,'SoBCaICbIC-urbanresidential'!$A6,'Cost Breakdowns'!$F$3:$F$12,"ISIC 41T43"))</f>
        <v>0.24564858056085415</v>
      </c>
      <c r="AH6">
        <f>(SUMIFS('Cost Breakdowns'!$D$3:$D$12,'Cost Breakdowns'!$A$3:$A$12,'SoBCaICbIC-urbanresidential'!$A6,'Cost Breakdowns'!$F$3:$F$12,"ISIC 45T47"))</f>
        <v>0</v>
      </c>
      <c r="AI6">
        <f>(SUMIFS('Cost Breakdowns'!$D$3:$D$12,'Cost Breakdowns'!$A$3:$A$12,'SoBCaICbIC-urbanresidential'!$A6,'Cost Breakdowns'!$F$3:$F$12,"ISIC 49T53"))*'Factors applied'!$E$106</f>
        <v>0</v>
      </c>
      <c r="AJ6">
        <f>(SUMIFS('Cost Breakdowns'!$D$3:$D$12,'Cost Breakdowns'!$A$3:$A$12,'SoBCaICbIC-urbanresidential'!$A6,'Cost Breakdowns'!$F$3:$F$12,"ISIC 49T53"))*'Factors applied'!$E$107</f>
        <v>0</v>
      </c>
      <c r="AK6">
        <f>(SUMIFS('Cost Breakdowns'!$D$3:$D$12,'Cost Breakdowns'!$A$3:$A$12,'SoBCaICbIC-urbanresidential'!$A6,'Cost Breakdowns'!$F$3:$F$12,"ISIC 49T53"))*'Factors applied'!$E$108</f>
        <v>0</v>
      </c>
      <c r="AL6">
        <f>(SUMIFS('Cost Breakdowns'!$D$3:$D$12,'Cost Breakdowns'!$A$3:$A$12,'SoBCaICbIC-urbanresidential'!$A6,'Cost Breakdowns'!$F$3:$F$12,"ISIC 49T53"))*'Factors applied'!$E$109</f>
        <v>0</v>
      </c>
      <c r="AM6">
        <f>(SUMIFS('Cost Breakdowns'!$D$3:$D$12,'Cost Breakdowns'!$A$3:$A$12,'SoBCaICbIC-urbanresidential'!$A6,'Cost Breakdowns'!$F$3:$F$12,"ISIC 49T53"))*'Factors applied'!$E$110</f>
        <v>0</v>
      </c>
      <c r="AN6">
        <f>(SUMIFS('Cost Breakdowns'!$D$3:$D$12,'Cost Breakdowns'!$A$3:$A$12,'SoBCaICbIC-urbanresidential'!$A6,'Cost Breakdowns'!$F$3:$F$12,"ISIC 55T56"))</f>
        <v>0</v>
      </c>
      <c r="AO6">
        <f>(SUMIFS('Cost Breakdowns'!$D$3:$D$12,'Cost Breakdowns'!$A$3:$A$12,'SoBCaICbIC-urbanresidential'!$A6,'Cost Breakdowns'!$F$3:$F$12,"ISIC 58T60"))</f>
        <v>0</v>
      </c>
      <c r="AP6">
        <f>(SUMIFS('Cost Breakdowns'!$D$3:$D$12,'Cost Breakdowns'!$A$3:$A$12,'SoBCaICbIC-urbanresidential'!$A6,'Cost Breakdowns'!$F$3:$F$12,"ISIC 61"))</f>
        <v>0</v>
      </c>
      <c r="AQ6">
        <f>(SUMIFS('Cost Breakdowns'!$D$3:$D$12,'Cost Breakdowns'!$A$3:$A$12,'SoBCaICbIC-urbanresidential'!$A6,'Cost Breakdowns'!$F$3:$F$12,"ISIC 62T63"))</f>
        <v>0</v>
      </c>
      <c r="AR6">
        <f>(SUMIFS('Cost Breakdowns'!$D$3:$D$12,'Cost Breakdowns'!$A$3:$A$12,'SoBCaICbIC-urbanresidential'!$A6,'Cost Breakdowns'!$F$3:$F$12,"ISIC 64T66"))</f>
        <v>0</v>
      </c>
      <c r="AS6">
        <f>(SUMIFS('Cost Breakdowns'!$D$3:$D$12,'Cost Breakdowns'!$A$3:$A$12,'SoBCaICbIC-urbanresidential'!$A6,'Cost Breakdowns'!$F$3:$F$12,"ISIC 68"))</f>
        <v>0</v>
      </c>
      <c r="AT6">
        <f>(SUMIFS('Cost Breakdowns'!$D$3:$D$12,'Cost Breakdowns'!$A$3:$A$12,'SoBCaICbIC-urbanresidential'!$A6,'Cost Breakdowns'!$F$3:$F$12,"ISIC 69T82"))*'Factors applied'!$E$111</f>
        <v>0</v>
      </c>
      <c r="AU6">
        <f>(SUMIFS('Cost Breakdowns'!$D$3:$D$12,'Cost Breakdowns'!$A$3:$A$12,'SoBCaICbIC-urbanresidential'!$A6,'Cost Breakdowns'!$F$3:$F$12,"ISIC 69T82"))*'Factors applied'!$E$112</f>
        <v>0</v>
      </c>
      <c r="AV6">
        <f>(SUMIFS('Cost Breakdowns'!$D$3:$D$12,'Cost Breakdowns'!$A$3:$A$12,'SoBCaICbIC-urbanresidential'!$A6,'Cost Breakdowns'!$F$3:$F$12,"ISIC 84"))</f>
        <v>0</v>
      </c>
      <c r="AW6">
        <f>(SUMIFS('Cost Breakdowns'!$D$3:$D$12,'Cost Breakdowns'!$A$3:$A$12,'SoBCaICbIC-urbanresidential'!$A6,'Cost Breakdowns'!$F$3:$F$12,"ISIC 85"))</f>
        <v>0</v>
      </c>
      <c r="AX6">
        <f>(SUMIFS('Cost Breakdowns'!$D$3:$D$12,'Cost Breakdowns'!$A$3:$A$12,'SoBCaICbIC-urbanresidential'!$A6,'Cost Breakdowns'!$F$3:$F$12,"ISIC 86T88"))</f>
        <v>0</v>
      </c>
      <c r="AY6">
        <f>(SUMIFS('Cost Breakdowns'!$D$3:$D$12,'Cost Breakdowns'!$A$3:$A$12,'SoBCaICbIC-urbanresidential'!$A6,'Cost Breakdowns'!$F$3:$F$12,"ISIC 90T96"))*'Factors applied'!$E$113</f>
        <v>0</v>
      </c>
      <c r="AZ6">
        <f>(SUMIFS('Cost Breakdowns'!$D$3:$D$12,'Cost Breakdowns'!$A$3:$A$12,'SoBCaICbIC-urbanresidential'!$A6,'Cost Breakdowns'!$F$3:$F$12,"ISIC 90T96"))*'Factors applied'!$E$114</f>
        <v>0</v>
      </c>
      <c r="BA6">
        <f>(SUMIFS('Cost Breakdowns'!$D$3:$D$12,'Cost Breakdowns'!$A$3:$A$12,'SoBCaICbIC-urbanresidential'!$A6,'Cost Breakdowns'!$F$3:$F$12,"ISIC 97T98"))</f>
        <v>0</v>
      </c>
    </row>
    <row r="7" spans="1:53" x14ac:dyDescent="0.25">
      <c r="A7" t="s">
        <v>69</v>
      </c>
      <c r="B7">
        <f>(SUMIFS('Cost Breakdowns'!$D$3:$D$12,'Cost Breakdowns'!$A$3:$A$12,'SoBCaICbIC-urbanresidential'!$A7,'Cost Breakdowns'!$F$3:$F$12,"ISIC 01T03"))*'Factors applied'!$E$179</f>
        <v>0</v>
      </c>
      <c r="C7">
        <f>(SUMIFS('Cost Breakdowns'!$D$3:$D$12,'Cost Breakdowns'!$A$3:$A$12,'SoBCaICbIC-urbanresidential'!$A7,'Cost Breakdowns'!$F$3:$F$12,"ISIC 01T03"))*'Factors applied'!$E$180</f>
        <v>0</v>
      </c>
      <c r="D7">
        <f>(SUMIFS('Cost Breakdowns'!$D$3:$D$12,'Cost Breakdowns'!$A$3:$A$12,'SoBCaICbIC-urbanresidential'!$A7,'Cost Breakdowns'!$F$3:$F$12,"ISIC 01T03"))*'Factors applied'!$E$181</f>
        <v>0</v>
      </c>
      <c r="E7">
        <f>(SUMIFS('Cost Breakdowns'!$D$3:$D$12,'Cost Breakdowns'!$A$3:$A$12,'SoBCaICbIC-urbanresidential'!$A7,'Cost Breakdowns'!$F$3:$F$12,"ISIC 05"))</f>
        <v>0</v>
      </c>
      <c r="F7">
        <f>(SUMIFS('Cost Breakdowns'!$D$3:$D$12,'Cost Breakdowns'!$A$3:$A$12,'SoBCaICbIC-urbanresidential'!$A7,'Cost Breakdowns'!$F$3:$F$12,"ISIC 06"))</f>
        <v>0</v>
      </c>
      <c r="G7">
        <f>(SUMIFS('Cost Breakdowns'!$D$3:$D$12,'Cost Breakdowns'!$A$3:$A$12,'SoBCaICbIC-urbanresidential'!$A7,'Cost Breakdowns'!$F$3:$F$12,"ISIC 07T08"))*'Factors applied'!$E$182</f>
        <v>0</v>
      </c>
      <c r="H7">
        <f>(SUMIFS('Cost Breakdowns'!$D$3:$D$12,'Cost Breakdowns'!$A$3:$A$12,'SoBCaICbIC-urbanresidential'!$A7,'Cost Breakdowns'!$F$3:$F$12,"ISIC 07T08"))*'Factors applied'!$E$183</f>
        <v>0</v>
      </c>
      <c r="I7">
        <f>(SUMIFS('Cost Breakdowns'!$D$3:$D$12,'Cost Breakdowns'!$A$3:$A$12,'SoBCaICbIC-urbanresidential'!$A7,'Cost Breakdowns'!$F$3:$F$12,"ISIC 09"))</f>
        <v>0</v>
      </c>
      <c r="J7">
        <f>(SUMIFS('Cost Breakdowns'!$D$3:$D$12,'Cost Breakdowns'!$A$3:$A$12,'SoBCaICbIC-urbanresidential'!$A7,'Cost Breakdowns'!$F$3:$F$12,"ISIC 10T12"))</f>
        <v>0</v>
      </c>
      <c r="K7">
        <f>(SUMIFS('Cost Breakdowns'!$D$3:$D$12,'Cost Breakdowns'!$A$3:$A$12,'SoBCaICbIC-urbanresidential'!$A7,'Cost Breakdowns'!$F$3:$F$12,"ISIC 13T15"))</f>
        <v>0</v>
      </c>
      <c r="L7">
        <f>(SUMIFS('Cost Breakdowns'!$D$3:$D$12,'Cost Breakdowns'!$A$3:$A$12,'SoBCaICbIC-urbanresidential'!$A7,'Cost Breakdowns'!$F$3:$F$12,"ISIC 16"))</f>
        <v>0</v>
      </c>
      <c r="M7">
        <f>(SUMIFS('Cost Breakdowns'!$D$3:$D$12,'Cost Breakdowns'!$A$3:$A$12,'SoBCaICbIC-urbanresidential'!$A7,'Cost Breakdowns'!$F$3:$F$12,"ISIC 17T18"))</f>
        <v>0</v>
      </c>
      <c r="N7">
        <f>(SUMIFS('Cost Breakdowns'!$D$3:$D$12,'Cost Breakdowns'!$A$3:$A$12,'SoBCaICbIC-urbanresidential'!$A7,'Cost Breakdowns'!$F$3:$F$12,"ISIC 19"))</f>
        <v>0</v>
      </c>
      <c r="O7">
        <f>(SUMIFS('Cost Breakdowns'!$D$3:$D$12,'Cost Breakdowns'!$A$3:$A$12,'SoBCaICbIC-urbanresidential'!$A7,'Cost Breakdowns'!$F$3:$F$12,"ISIC 20"))</f>
        <v>0</v>
      </c>
      <c r="P7">
        <f>(SUMIFS('Cost Breakdowns'!$D$3:$D$12,'Cost Breakdowns'!$A$3:$A$12,'SoBCaICbIC-urbanresidential'!$A7,'Cost Breakdowns'!$F$3:$F$12,"ISIC 21"))</f>
        <v>0</v>
      </c>
      <c r="Q7">
        <f>(SUMIFS('Cost Breakdowns'!$D$3:$D$12,'Cost Breakdowns'!$A$3:$A$12,'SoBCaICbIC-urbanresidential'!$A7,'Cost Breakdowns'!$F$3:$F$12,"ISIC 22"))</f>
        <v>0</v>
      </c>
      <c r="R7">
        <f>(SUMIFS('Cost Breakdowns'!$D$3:$D$12,'Cost Breakdowns'!$A$3:$A$12,'SoBCaICbIC-urbanresidential'!$A7,'Cost Breakdowns'!$F$3:$F$12,"ISIC 231"))</f>
        <v>0</v>
      </c>
      <c r="S7">
        <f>(SUMIFS('Cost Breakdowns'!$D$3:$D$12,'Cost Breakdowns'!$A$3:$A$12,'SoBCaICbIC-urbanresidential'!$A7,'Cost Breakdowns'!$F$3:$F$12,"ISIC 239"))</f>
        <v>0</v>
      </c>
      <c r="T7">
        <f>(SUMIFS('Cost Breakdowns'!$D$3:$D$12,'Cost Breakdowns'!$A$3:$A$12,'SoBCaICbIC-urbanresidential'!$A7,'Cost Breakdowns'!$F$3:$F$12,"ISIC 241"))</f>
        <v>0</v>
      </c>
      <c r="U7">
        <f>(SUMIFS('Cost Breakdowns'!$D$3:$D$12,'Cost Breakdowns'!$A$3:$A$12,'SoBCaICbIC-urbanresidential'!$A7,'Cost Breakdowns'!$F$3:$F$12,"ISIC 242"))</f>
        <v>0</v>
      </c>
      <c r="V7">
        <f>(SUMIFS('Cost Breakdowns'!$D$3:$D$12,'Cost Breakdowns'!$A$3:$A$12,'SoBCaICbIC-urbanresidential'!$A7,'Cost Breakdowns'!$F$3:$F$12,"ISIC 25"))</f>
        <v>0</v>
      </c>
      <c r="W7">
        <f>(SUMIFS('Cost Breakdowns'!$D$3:$D$12,'Cost Breakdowns'!$A$3:$A$12,'SoBCaICbIC-urbanresidential'!$A7,'Cost Breakdowns'!$F$3:$F$12,"ISIC 26"))</f>
        <v>0</v>
      </c>
      <c r="X7">
        <f>(SUMIFS('Cost Breakdowns'!$D$3:$D$12,'Cost Breakdowns'!$A$3:$A$12,'SoBCaICbIC-urbanresidential'!$A7,'Cost Breakdowns'!$F$3:$F$12,"ISIC 27"))</f>
        <v>0.75435141943914585</v>
      </c>
      <c r="Y7">
        <f>(SUMIFS('Cost Breakdowns'!$D$3:$D$12,'Cost Breakdowns'!$A$3:$A$12,'SoBCaICbIC-urbanresidential'!$A7,'Cost Breakdowns'!$F$3:$F$12,"ISIC 28"))</f>
        <v>0</v>
      </c>
      <c r="Z7">
        <f>(SUMIFS('Cost Breakdowns'!$D$3:$D$12,'Cost Breakdowns'!$A$3:$A$12,'SoBCaICbIC-urbanresidential'!$A7,'Cost Breakdowns'!$F$3:$F$12,"ISIC 29"))</f>
        <v>0</v>
      </c>
      <c r="AA7">
        <f>(SUMIFS('Cost Breakdowns'!$D$3:$D$12,'Cost Breakdowns'!$A$3:$A$12,'SoBCaICbIC-urbanresidential'!$A7,'Cost Breakdowns'!$F$3:$F$12,"ISIC 30"))*'Factors applied'!$E$184</f>
        <v>0</v>
      </c>
      <c r="AB7">
        <f>(SUMIFS('Cost Breakdowns'!$D$3:$D$12,'Cost Breakdowns'!$A$3:$A$12,'SoBCaICbIC-urbanresidential'!$A7,'Cost Breakdowns'!$F$3:$F$12,"ISIC 30"))*'Factors applied'!$E$185</f>
        <v>0</v>
      </c>
      <c r="AC7">
        <f>(SUMIFS('Cost Breakdowns'!$D$3:$D$12,'Cost Breakdowns'!$A$3:$A$12,'SoBCaICbIC-urbanresidential'!$A7,'Cost Breakdowns'!$F$3:$F$12,"ISIC 31T33"))</f>
        <v>0</v>
      </c>
      <c r="AD7">
        <f>(SUMIFS('Cost Breakdowns'!$D$3:$D$12,'Cost Breakdowns'!$A$3:$A$12,'SoBCaICbIC-urbanresidential'!$A7,'Cost Breakdowns'!$F$3:$F$12,"ISIC 351"))</f>
        <v>0</v>
      </c>
      <c r="AE7">
        <f>(SUMIFS('Cost Breakdowns'!$D$3:$D$12,'Cost Breakdowns'!$A$3:$A$12,'SoBCaICbIC-urbanresidential'!$A7,'Cost Breakdowns'!$F$3:$F$12,"ISIC 352T353"))</f>
        <v>0</v>
      </c>
      <c r="AF7">
        <f>(SUMIFS('Cost Breakdowns'!$D$3:$D$12,'Cost Breakdowns'!$A$3:$A$12,'SoBCaICbIC-urbanresidential'!$A7,'Cost Breakdowns'!$F$3:$F$12,"ISIC 36T39"))</f>
        <v>0</v>
      </c>
      <c r="AG7">
        <f>(SUMIFS('Cost Breakdowns'!$D$3:$D$12,'Cost Breakdowns'!$A$3:$A$12,'SoBCaICbIC-urbanresidential'!$A7,'Cost Breakdowns'!$F$3:$F$12,"ISIC 41T43"))</f>
        <v>0.24564858056085415</v>
      </c>
      <c r="AH7">
        <f>(SUMIFS('Cost Breakdowns'!$D$3:$D$12,'Cost Breakdowns'!$A$3:$A$12,'SoBCaICbIC-urbanresidential'!$A7,'Cost Breakdowns'!$F$3:$F$12,"ISIC 45T47"))</f>
        <v>0</v>
      </c>
      <c r="AI7">
        <f>(SUMIFS('Cost Breakdowns'!$D$3:$D$12,'Cost Breakdowns'!$A$3:$A$12,'SoBCaICbIC-urbanresidential'!$A7,'Cost Breakdowns'!$F$3:$F$12,"ISIC 49T53"))*'Factors applied'!$E$186</f>
        <v>0</v>
      </c>
      <c r="AJ7">
        <f>(SUMIFS('Cost Breakdowns'!$D$3:$D$12,'Cost Breakdowns'!$A$3:$A$12,'SoBCaICbIC-urbanresidential'!$A7,'Cost Breakdowns'!$F$3:$F$12,"ISIC 49T53"))*'Factors applied'!$E$187</f>
        <v>0</v>
      </c>
      <c r="AK7">
        <f>(SUMIFS('Cost Breakdowns'!$D$3:$D$12,'Cost Breakdowns'!$A$3:$A$12,'SoBCaICbIC-urbanresidential'!$A7,'Cost Breakdowns'!$F$3:$F$12,"ISIC 49T53"))*'Factors applied'!$E$188</f>
        <v>0</v>
      </c>
      <c r="AL7">
        <f>(SUMIFS('Cost Breakdowns'!$D$3:$D$12,'Cost Breakdowns'!$A$3:$A$12,'SoBCaICbIC-urbanresidential'!$A7,'Cost Breakdowns'!$F$3:$F$12,"ISIC 49T53"))*'Factors applied'!$E$189</f>
        <v>0</v>
      </c>
      <c r="AM7">
        <f>(SUMIFS('Cost Breakdowns'!$D$3:$D$12,'Cost Breakdowns'!$A$3:$A$12,'SoBCaICbIC-urbanresidential'!$A7,'Cost Breakdowns'!$F$3:$F$12,"ISIC 49T53"))*'Factors applied'!$E$190</f>
        <v>0</v>
      </c>
      <c r="AN7">
        <f>(SUMIFS('Cost Breakdowns'!$D$3:$D$12,'Cost Breakdowns'!$A$3:$A$12,'SoBCaICbIC-urbanresidential'!$A7,'Cost Breakdowns'!$F$3:$F$12,"ISIC 55T56"))</f>
        <v>0</v>
      </c>
      <c r="AO7">
        <f>(SUMIFS('Cost Breakdowns'!$D$3:$D$12,'Cost Breakdowns'!$A$3:$A$12,'SoBCaICbIC-urbanresidential'!$A7,'Cost Breakdowns'!$F$3:$F$12,"ISIC 58T60"))</f>
        <v>0</v>
      </c>
      <c r="AP7">
        <f>(SUMIFS('Cost Breakdowns'!$D$3:$D$12,'Cost Breakdowns'!$A$3:$A$12,'SoBCaICbIC-urbanresidential'!$A7,'Cost Breakdowns'!$F$3:$F$12,"ISIC 61"))</f>
        <v>0</v>
      </c>
      <c r="AQ7">
        <f>(SUMIFS('Cost Breakdowns'!$D$3:$D$12,'Cost Breakdowns'!$A$3:$A$12,'SoBCaICbIC-urbanresidential'!$A7,'Cost Breakdowns'!$F$3:$F$12,"ISIC 62T63"))</f>
        <v>0</v>
      </c>
      <c r="AR7">
        <f>(SUMIFS('Cost Breakdowns'!$D$3:$D$12,'Cost Breakdowns'!$A$3:$A$12,'SoBCaICbIC-urbanresidential'!$A7,'Cost Breakdowns'!$F$3:$F$12,"ISIC 64T66"))</f>
        <v>0</v>
      </c>
      <c r="AS7">
        <f>(SUMIFS('Cost Breakdowns'!$D$3:$D$12,'Cost Breakdowns'!$A$3:$A$12,'SoBCaICbIC-urbanresidential'!$A7,'Cost Breakdowns'!$F$3:$F$12,"ISIC 68"))</f>
        <v>0</v>
      </c>
      <c r="AT7">
        <f>(SUMIFS('Cost Breakdowns'!$D$3:$D$12,'Cost Breakdowns'!$A$3:$A$12,'SoBCaICbIC-urbanresidential'!$A7,'Cost Breakdowns'!$F$3:$F$12,"ISIC 69T82"))*'Factors applied'!$E$191</f>
        <v>0</v>
      </c>
      <c r="AU7">
        <f>(SUMIFS('Cost Breakdowns'!$D$3:$D$12,'Cost Breakdowns'!$A$3:$A$12,'SoBCaICbIC-urbanresidential'!$A7,'Cost Breakdowns'!$F$3:$F$12,"ISIC 69T82"))*'Factors applied'!$E$192</f>
        <v>0</v>
      </c>
      <c r="AV7">
        <f>(SUMIFS('Cost Breakdowns'!$D$3:$D$12,'Cost Breakdowns'!$A$3:$A$12,'SoBCaICbIC-urbanresidential'!$A7,'Cost Breakdowns'!$F$3:$F$12,"ISIC 84"))</f>
        <v>0</v>
      </c>
      <c r="AW7">
        <f>(SUMIFS('Cost Breakdowns'!$D$3:$D$12,'Cost Breakdowns'!$A$3:$A$12,'SoBCaICbIC-urbanresidential'!$A7,'Cost Breakdowns'!$F$3:$F$12,"ISIC 85"))</f>
        <v>0</v>
      </c>
      <c r="AX7">
        <f>(SUMIFS('Cost Breakdowns'!$D$3:$D$12,'Cost Breakdowns'!$A$3:$A$12,'SoBCaICbIC-urbanresidential'!$A7,'Cost Breakdowns'!$F$3:$F$12,"ISIC 86T88"))</f>
        <v>0</v>
      </c>
      <c r="AY7">
        <f>(SUMIFS('Cost Breakdowns'!$D$3:$D$12,'Cost Breakdowns'!$A$3:$A$12,'SoBCaICbIC-urbanresidential'!$A7,'Cost Breakdowns'!$F$3:$F$12,"ISIC 90T96"))*'Factors applied'!$E$193</f>
        <v>0</v>
      </c>
      <c r="AZ7">
        <f>(SUMIFS('Cost Breakdowns'!$D$3:$D$12,'Cost Breakdowns'!$A$3:$A$12,'SoBCaICbIC-urbanresidential'!$A7,'Cost Breakdowns'!$F$3:$F$12,"ISIC 90T96"))*'Factors applied'!$E$194</f>
        <v>0</v>
      </c>
      <c r="BA7">
        <f>(SUMIFS('Cost Breakdowns'!$D$3:$D$12,'Cost Breakdowns'!$A$3:$A$12,'SoBCaICbIC-urbanresidential'!$A7,'Cost Breakdowns'!$F$3:$F$12,"ISIC 97T98"))</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BA7"/>
  <sheetViews>
    <sheetView workbookViewId="0">
      <selection activeCell="AA4" sqref="AA4"/>
    </sheetView>
  </sheetViews>
  <sheetFormatPr defaultRowHeight="15" x14ac:dyDescent="0.25"/>
  <cols>
    <col min="1" max="1" width="22.85546875" customWidth="1"/>
    <col min="2" max="43" width="10.85546875" customWidth="1"/>
  </cols>
  <sheetData>
    <row r="1" spans="1:53" x14ac:dyDescent="0.25">
      <c r="A1" s="99" t="s">
        <v>786</v>
      </c>
      <c r="B1" s="98" t="s">
        <v>41</v>
      </c>
      <c r="C1" s="98" t="s">
        <v>44</v>
      </c>
      <c r="D1" s="98" t="s">
        <v>45</v>
      </c>
      <c r="E1" s="98" t="s">
        <v>76</v>
      </c>
      <c r="F1" s="98" t="s">
        <v>78</v>
      </c>
      <c r="G1" s="98" t="s">
        <v>46</v>
      </c>
      <c r="H1" s="98" t="s">
        <v>48</v>
      </c>
      <c r="I1" s="98" t="s">
        <v>81</v>
      </c>
      <c r="J1" s="98" t="s">
        <v>83</v>
      </c>
      <c r="K1" s="98" t="s">
        <v>85</v>
      </c>
      <c r="L1" s="98" t="s">
        <v>87</v>
      </c>
      <c r="M1" s="98" t="s">
        <v>89</v>
      </c>
      <c r="N1" s="98" t="s">
        <v>91</v>
      </c>
      <c r="O1" s="98" t="s">
        <v>93</v>
      </c>
      <c r="P1" s="98" t="s">
        <v>95</v>
      </c>
      <c r="Q1" s="98" t="s">
        <v>97</v>
      </c>
      <c r="R1" s="98" t="s">
        <v>99</v>
      </c>
      <c r="S1" s="98" t="s">
        <v>101</v>
      </c>
      <c r="T1" s="98" t="s">
        <v>103</v>
      </c>
      <c r="U1" s="98" t="s">
        <v>105</v>
      </c>
      <c r="V1" s="98" t="s">
        <v>107</v>
      </c>
      <c r="W1" s="98" t="s">
        <v>109</v>
      </c>
      <c r="X1" s="98" t="s">
        <v>111</v>
      </c>
      <c r="Y1" s="98" t="s">
        <v>113</v>
      </c>
      <c r="Z1" s="98" t="s">
        <v>115</v>
      </c>
      <c r="AA1" s="98" t="s">
        <v>49</v>
      </c>
      <c r="AB1" s="98" t="s">
        <v>51</v>
      </c>
      <c r="AC1" s="98" t="s">
        <v>118</v>
      </c>
      <c r="AD1" s="98" t="s">
        <v>120</v>
      </c>
      <c r="AE1" s="98" t="s">
        <v>122</v>
      </c>
      <c r="AF1" s="98" t="s">
        <v>124</v>
      </c>
      <c r="AG1" s="98" t="s">
        <v>126</v>
      </c>
      <c r="AH1" s="98" t="s">
        <v>128</v>
      </c>
      <c r="AI1" s="98" t="s">
        <v>52</v>
      </c>
      <c r="AJ1" s="98" t="s">
        <v>54</v>
      </c>
      <c r="AK1" s="98" t="s">
        <v>55</v>
      </c>
      <c r="AL1" s="98" t="s">
        <v>56</v>
      </c>
      <c r="AM1" s="98" t="s">
        <v>57</v>
      </c>
      <c r="AN1" s="98" t="s">
        <v>131</v>
      </c>
      <c r="AO1" s="98" t="s">
        <v>133</v>
      </c>
      <c r="AP1" s="98" t="s">
        <v>135</v>
      </c>
      <c r="AQ1" s="98" t="s">
        <v>137</v>
      </c>
      <c r="AR1" s="98" t="s">
        <v>139</v>
      </c>
      <c r="AS1" s="98" t="s">
        <v>141</v>
      </c>
      <c r="AT1" s="98" t="s">
        <v>58</v>
      </c>
      <c r="AU1" s="98" t="s">
        <v>61</v>
      </c>
      <c r="AV1" s="98" t="s">
        <v>144</v>
      </c>
      <c r="AW1" s="98" t="s">
        <v>146</v>
      </c>
      <c r="AX1" s="98" t="s">
        <v>148</v>
      </c>
      <c r="AY1" s="98" t="s">
        <v>62</v>
      </c>
      <c r="AZ1" s="98" t="s">
        <v>64</v>
      </c>
      <c r="BA1" s="98" t="s">
        <v>151</v>
      </c>
    </row>
    <row r="2" spans="1:53" x14ac:dyDescent="0.25">
      <c r="A2" t="s">
        <v>67</v>
      </c>
      <c r="B2">
        <f>(SUMIFS('Cost Breakdowns'!$E$3:$E$12,'Cost Breakdowns'!$A$3:$A$12,'SoBCaICbIC-urbanresidential'!$A2,'Cost Breakdowns'!$F$3:$F$12,"ISIC 01T03"))*'Factors applied'!$E$51</f>
        <v>0</v>
      </c>
      <c r="C2">
        <f>(SUMIFS('Cost Breakdowns'!$E$3:$E$12,'Cost Breakdowns'!$A$3:$A$12,'SoBCaICbIC-urbanresidential'!$A2,'Cost Breakdowns'!$F$3:$F$12,"ISIC 01T03"))*'Factors applied'!$E$52</f>
        <v>0</v>
      </c>
      <c r="D2">
        <f>(SUMIFS('Cost Breakdowns'!$E$3:$E$12,'Cost Breakdowns'!$A$3:$A$12,'SoBCaICbIC-urbanresidential'!$A2,'Cost Breakdowns'!$F$3:$F$12,"ISIC 01T03"))*'Factors applied'!$E$53</f>
        <v>0</v>
      </c>
      <c r="E2">
        <f>(SUMIFS('Cost Breakdowns'!$E$3:$E$12,'Cost Breakdowns'!$A$3:$A$12,'SoBCaICbIC-urbanresidential'!$A2,'Cost Breakdowns'!$F$3:$F$12,"ISIC 05"))</f>
        <v>0</v>
      </c>
      <c r="F2">
        <f>(SUMIFS('Cost Breakdowns'!$E$3:$E$12,'Cost Breakdowns'!$A$3:$A$12,'SoBCaICbIC-urbanresidential'!$A2,'Cost Breakdowns'!$F$3:$F$12,"ISIC 06"))</f>
        <v>0</v>
      </c>
      <c r="G2">
        <f>(SUMIFS('Cost Breakdowns'!$E$3:$E$12,'Cost Breakdowns'!$A$3:$A$12,'SoBCaICbIC-urbanresidential'!$A2,'Cost Breakdowns'!$F$3:$F$12,"ISIC 07T08"))*'Factors applied'!$E$54</f>
        <v>0</v>
      </c>
      <c r="H2">
        <f>(SUMIFS('Cost Breakdowns'!$E$3:$E$12,'Cost Breakdowns'!$A$3:$A$12,'SoBCaICbIC-urbanresidential'!$A2,'Cost Breakdowns'!$F$3:$F$12,"ISIC 07T08"))*'Factors applied'!$E$55</f>
        <v>0</v>
      </c>
      <c r="I2">
        <f>(SUMIFS('Cost Breakdowns'!$E$3:$E$12,'Cost Breakdowns'!$A$3:$A$12,'SoBCaICbIC-urbanresidential'!$A2,'Cost Breakdowns'!$F$3:$F$12,"ISIC 09"))</f>
        <v>0</v>
      </c>
      <c r="J2">
        <f>(SUMIFS('Cost Breakdowns'!$E$3:$E$12,'Cost Breakdowns'!$A$3:$A$12,'SoBCaICbIC-urbanresidential'!$A2,'Cost Breakdowns'!$F$3:$F$12,"ISIC 10T12"))</f>
        <v>0</v>
      </c>
      <c r="K2">
        <f>(SUMIFS('Cost Breakdowns'!$E$3:$E$12,'Cost Breakdowns'!$A$3:$A$12,'SoBCaICbIC-urbanresidential'!$A2,'Cost Breakdowns'!$F$3:$F$12,"ISIC 13T15"))</f>
        <v>0</v>
      </c>
      <c r="L2">
        <f>(SUMIFS('Cost Breakdowns'!$E$3:$E$12,'Cost Breakdowns'!$A$3:$A$12,'SoBCaICbIC-urbanresidential'!$A2,'Cost Breakdowns'!$F$3:$F$12,"ISIC 16"))</f>
        <v>0</v>
      </c>
      <c r="M2">
        <f>(SUMIFS('Cost Breakdowns'!$E$3:$E$12,'Cost Breakdowns'!$A$3:$A$12,'SoBCaICbIC-urbanresidential'!$A2,'Cost Breakdowns'!$F$3:$F$12,"ISIC 17T18"))</f>
        <v>0</v>
      </c>
      <c r="N2">
        <f>(SUMIFS('Cost Breakdowns'!$E$3:$E$12,'Cost Breakdowns'!$A$3:$A$12,'SoBCaICbIC-urbanresidential'!$A2,'Cost Breakdowns'!$F$3:$F$12,"ISIC 19"))</f>
        <v>0</v>
      </c>
      <c r="O2">
        <f>(SUMIFS('Cost Breakdowns'!$E$3:$E$12,'Cost Breakdowns'!$A$3:$A$12,'SoBCaICbIC-urbanresidential'!$A2,'Cost Breakdowns'!$F$3:$F$12,"ISIC 20"))</f>
        <v>0</v>
      </c>
      <c r="P2">
        <f>(SUMIFS('Cost Breakdowns'!$E$3:$E$12,'Cost Breakdowns'!$A$3:$A$12,'SoBCaICbIC-urbanresidential'!$A2,'Cost Breakdowns'!$F$3:$F$12,"ISIC 21"))</f>
        <v>0</v>
      </c>
      <c r="Q2">
        <f>(SUMIFS('Cost Breakdowns'!$E$3:$E$12,'Cost Breakdowns'!$A$3:$A$12,'SoBCaICbIC-urbanresidential'!$A2,'Cost Breakdowns'!$F$3:$F$12,"ISIC 22"))</f>
        <v>0</v>
      </c>
      <c r="R2">
        <f>(SUMIFS('Cost Breakdowns'!$E$3:$E$12,'Cost Breakdowns'!$A$3:$A$12,'SoBCaICbIC-urbanresidential'!$A2,'Cost Breakdowns'!$F$3:$F$12,"ISIC 231"))</f>
        <v>0</v>
      </c>
      <c r="S2">
        <f>(SUMIFS('Cost Breakdowns'!$E$3:$E$12,'Cost Breakdowns'!$A$3:$A$12,'SoBCaICbIC-urbanresidential'!$A2,'Cost Breakdowns'!$F$3:$F$12,"ISIC 239"))</f>
        <v>0</v>
      </c>
      <c r="T2">
        <f>(SUMIFS('Cost Breakdowns'!$E$3:$E$12,'Cost Breakdowns'!$A$3:$A$12,'SoBCaICbIC-urbanresidential'!$A2,'Cost Breakdowns'!$F$3:$F$12,"ISIC 241"))</f>
        <v>0</v>
      </c>
      <c r="U2">
        <f>(SUMIFS('Cost Breakdowns'!$E$3:$E$12,'Cost Breakdowns'!$A$3:$A$12,'SoBCaICbIC-urbanresidential'!$A2,'Cost Breakdowns'!$F$3:$F$12,"ISIC 242"))</f>
        <v>0</v>
      </c>
      <c r="V2">
        <f>(SUMIFS('Cost Breakdowns'!$E$3:$E$12,'Cost Breakdowns'!$A$3:$A$12,'SoBCaICbIC-urbanresidential'!$A2,'Cost Breakdowns'!$F$3:$F$12,"ISIC 25"))</f>
        <v>0</v>
      </c>
      <c r="W2">
        <f>(SUMIFS('Cost Breakdowns'!$E$3:$E$12,'Cost Breakdowns'!$A$3:$A$12,'SoBCaICbIC-urbanresidential'!$A2,'Cost Breakdowns'!$F$3:$F$12,"ISIC 26"))</f>
        <v>0</v>
      </c>
      <c r="X2">
        <f>(SUMIFS('Cost Breakdowns'!$E$3:$E$12,'Cost Breakdowns'!$A$3:$A$12,'SoBCaICbIC-urbanresidential'!$A2,'Cost Breakdowns'!$F$3:$F$12,"ISIC 27"))</f>
        <v>0</v>
      </c>
      <c r="Y2">
        <f>(SUMIFS('Cost Breakdowns'!$E$3:$E$12,'Cost Breakdowns'!$A$3:$A$12,'SoBCaICbIC-urbanresidential'!$A2,'Cost Breakdowns'!$F$3:$F$12,"ISIC 28"))</f>
        <v>0.70398750275034405</v>
      </c>
      <c r="Z2">
        <f>(SUMIFS('Cost Breakdowns'!$E$3:$E$12,'Cost Breakdowns'!$A$3:$A$12,'SoBCaICbIC-urbanresidential'!$A2,'Cost Breakdowns'!$F$3:$F$12,"ISIC 29"))</f>
        <v>0</v>
      </c>
      <c r="AA2">
        <f>(SUMIFS('Cost Breakdowns'!$E$3:$E$12,'Cost Breakdowns'!$A$3:$A$12,'SoBCaICbIC-urbanresidential'!$A2,'Cost Breakdowns'!$F$3:$F$12,"ISIC 30"))*'Factors applied'!$E$56</f>
        <v>0</v>
      </c>
      <c r="AB2">
        <f>(SUMIFS('Cost Breakdowns'!$E$3:$E$12,'Cost Breakdowns'!$A$3:$A$12,'SoBCaICbIC-urbanresidential'!$A2,'Cost Breakdowns'!$F$3:$F$12,"ISIC 30"))*'Factors applied'!$E$57</f>
        <v>0</v>
      </c>
      <c r="AC2">
        <f>(SUMIFS('Cost Breakdowns'!$E$3:$E$12,'Cost Breakdowns'!$A$3:$A$12,'SoBCaICbIC-urbanresidential'!$A2,'Cost Breakdowns'!$F$3:$F$12,"ISIC 31T33"))</f>
        <v>0</v>
      </c>
      <c r="AD2">
        <f>(SUMIFS('Cost Breakdowns'!$E$3:$E$12,'Cost Breakdowns'!$A$3:$A$12,'SoBCaICbIC-urbanresidential'!$A2,'Cost Breakdowns'!$F$3:$F$12,"ISIC 351"))</f>
        <v>0</v>
      </c>
      <c r="AE2">
        <f>(SUMIFS('Cost Breakdowns'!$E$3:$E$12,'Cost Breakdowns'!$A$3:$A$12,'SoBCaICbIC-urbanresidential'!$A2,'Cost Breakdowns'!$F$3:$F$12,"ISIC 352T353"))</f>
        <v>0</v>
      </c>
      <c r="AF2">
        <f>(SUMIFS('Cost Breakdowns'!$E$3:$E$12,'Cost Breakdowns'!$A$3:$A$12,'SoBCaICbIC-urbanresidential'!$A2,'Cost Breakdowns'!$F$3:$F$12,"ISIC 36T39"))</f>
        <v>0</v>
      </c>
      <c r="AG2">
        <f>(SUMIFS('Cost Breakdowns'!$E$3:$E$12,'Cost Breakdowns'!$A$3:$A$12,'SoBCaICbIC-urbanresidential'!$A2,'Cost Breakdowns'!$F$3:$F$12,"ISIC 41T43"))</f>
        <v>0.29601249724965595</v>
      </c>
      <c r="AH2">
        <f>(SUMIFS('Cost Breakdowns'!$E$3:$E$12,'Cost Breakdowns'!$A$3:$A$12,'SoBCaICbIC-urbanresidential'!$A2,'Cost Breakdowns'!$F$3:$F$12,"ISIC 45T47"))</f>
        <v>0</v>
      </c>
      <c r="AI2">
        <f>(SUMIFS('Cost Breakdowns'!$E$3:$E$12,'Cost Breakdowns'!$A$3:$A$12,'SoBCaICbIC-urbanresidential'!$A2,'Cost Breakdowns'!$F$3:$F$12,"ISIC 49T53"))*'Factors applied'!$E$58</f>
        <v>0</v>
      </c>
      <c r="AJ2">
        <f>(SUMIFS('Cost Breakdowns'!$E$3:$E$12,'Cost Breakdowns'!$A$3:$A$12,'SoBCaICbIC-urbanresidential'!$A2,'Cost Breakdowns'!$F$3:$F$12,"ISIC 49T53"))*'Factors applied'!$E$59</f>
        <v>0</v>
      </c>
      <c r="AK2">
        <f>(SUMIFS('Cost Breakdowns'!$E$3:$E$12,'Cost Breakdowns'!$A$3:$A$12,'SoBCaICbIC-urbanresidential'!$A2,'Cost Breakdowns'!$F$3:$F$12,"ISIC 49T53"))*'Factors applied'!$E$60</f>
        <v>0</v>
      </c>
      <c r="AL2">
        <f>(SUMIFS('Cost Breakdowns'!$E$3:$E$12,'Cost Breakdowns'!$A$3:$A$12,'SoBCaICbIC-urbanresidential'!$A2,'Cost Breakdowns'!$F$3:$F$12,"ISIC 49T53"))*'Factors applied'!$E$61</f>
        <v>0</v>
      </c>
      <c r="AM2">
        <f>(SUMIFS('Cost Breakdowns'!$E$3:$E$12,'Cost Breakdowns'!$A$3:$A$12,'SoBCaICbIC-urbanresidential'!$A2,'Cost Breakdowns'!$F$3:$F$12,"ISIC 49T53"))*'Factors applied'!$E$62</f>
        <v>0</v>
      </c>
      <c r="AN2">
        <f>(SUMIFS('Cost Breakdowns'!$E$3:$E$12,'Cost Breakdowns'!$A$3:$A$12,'SoBCaICbIC-urbanresidential'!$A2,'Cost Breakdowns'!$F$3:$F$12,"ISIC 55T56"))</f>
        <v>0</v>
      </c>
      <c r="AO2">
        <f>(SUMIFS('Cost Breakdowns'!$E$3:$E$12,'Cost Breakdowns'!$A$3:$A$12,'SoBCaICbIC-urbanresidential'!$A2,'Cost Breakdowns'!$F$3:$F$12,"ISIC 58T60"))</f>
        <v>0</v>
      </c>
      <c r="AP2">
        <f>(SUMIFS('Cost Breakdowns'!$E$3:$E$12,'Cost Breakdowns'!$A$3:$A$12,'SoBCaICbIC-urbanresidential'!$A2,'Cost Breakdowns'!$F$3:$F$12,"ISIC 61"))</f>
        <v>0</v>
      </c>
      <c r="AQ2">
        <f>(SUMIFS('Cost Breakdowns'!$E$3:$E$12,'Cost Breakdowns'!$A$3:$A$12,'SoBCaICbIC-urbanresidential'!$A2,'Cost Breakdowns'!$F$3:$F$12,"ISIC 62T63"))</f>
        <v>0</v>
      </c>
      <c r="AR2">
        <f>(SUMIFS('Cost Breakdowns'!$E$3:$E$12,'Cost Breakdowns'!$A$3:$A$12,'SoBCaICbIC-urbanresidential'!$A2,'Cost Breakdowns'!$F$3:$F$12,"ISIC 64T66"))</f>
        <v>0</v>
      </c>
      <c r="AS2">
        <f>(SUMIFS('Cost Breakdowns'!$E$3:$E$12,'Cost Breakdowns'!$A$3:$A$12,'SoBCaICbIC-urbanresidential'!$A2,'Cost Breakdowns'!$F$3:$F$12,"ISIC 68"))</f>
        <v>0</v>
      </c>
      <c r="AT2">
        <f>(SUMIFS('Cost Breakdowns'!$E$3:$E$12,'Cost Breakdowns'!$A$3:$A$12,'SoBCaICbIC-urbanresidential'!$A2,'Cost Breakdowns'!$F$3:$F$12,"ISIC 69T82"))*'Factors applied'!$E$63</f>
        <v>0</v>
      </c>
      <c r="AU2">
        <f>(SUMIFS('Cost Breakdowns'!$E$3:$E$12,'Cost Breakdowns'!$A$3:$A$12,'SoBCaICbIC-urbanresidential'!$A2,'Cost Breakdowns'!$F$3:$F$12,"ISIC 69T82"))*'Factors applied'!$E$64</f>
        <v>0</v>
      </c>
      <c r="AV2">
        <f>(SUMIFS('Cost Breakdowns'!$E$3:$E$12,'Cost Breakdowns'!$A$3:$A$12,'SoBCaICbIC-urbanresidential'!$A2,'Cost Breakdowns'!$F$3:$F$12,"ISIC 84"))</f>
        <v>0</v>
      </c>
      <c r="AW2">
        <f>(SUMIFS('Cost Breakdowns'!$E$3:$E$12,'Cost Breakdowns'!$A$3:$A$12,'SoBCaICbIC-urbanresidential'!$A2,'Cost Breakdowns'!$F$3:$F$12,"ISIC 85"))</f>
        <v>0</v>
      </c>
      <c r="AX2">
        <f>(SUMIFS('Cost Breakdowns'!$E$3:$E$12,'Cost Breakdowns'!$A$3:$A$12,'SoBCaICbIC-urbanresidential'!$A2,'Cost Breakdowns'!$F$3:$F$12,"ISIC 86T88"))</f>
        <v>0</v>
      </c>
      <c r="AY2">
        <f>(SUMIFS('Cost Breakdowns'!$E$3:$E$12,'Cost Breakdowns'!$A$3:$A$12,'SoBCaICbIC-urbanresidential'!$A2,'Cost Breakdowns'!$F$3:$F$12,"ISIC 90T96"))*'Factors applied'!$E$65</f>
        <v>0</v>
      </c>
      <c r="AZ2">
        <f>(SUMIFS('Cost Breakdowns'!$E$3:$E$12,'Cost Breakdowns'!$A$3:$A$12,'SoBCaICbIC-urbanresidential'!$A2,'Cost Breakdowns'!$F$3:$F$12,"ISIC 90T96"))*'Factors applied'!$E$66</f>
        <v>0</v>
      </c>
      <c r="BA2">
        <f>(SUMIFS('Cost Breakdowns'!$E$3:$E$12,'Cost Breakdowns'!$A$3:$A$12,'SoBCaICbIC-urbanresidential'!$A2,'Cost Breakdowns'!$F$3:$F$12,"ISIC 97T98"))</f>
        <v>0</v>
      </c>
    </row>
    <row r="3" spans="1:53" x14ac:dyDescent="0.25">
      <c r="A3" t="s">
        <v>65</v>
      </c>
      <c r="B3">
        <f>(SUMIFS('Cost Breakdowns'!$E$3:$E$12,'Cost Breakdowns'!$A$3:$A$12,'SoBCaICbIC-urbanresidential'!$A3,'Cost Breakdowns'!$F$3:$F$12,"ISIC 01T03"))*'Factors applied'!$E$19</f>
        <v>0</v>
      </c>
      <c r="C3">
        <f>(SUMIFS('Cost Breakdowns'!$E$3:$E$12,'Cost Breakdowns'!$A$3:$A$12,'SoBCaICbIC-urbanresidential'!$A3,'Cost Breakdowns'!$F$3:$F$12,"ISIC 01T03"))*'Factors applied'!$E$20</f>
        <v>0</v>
      </c>
      <c r="D3">
        <f>(SUMIFS('Cost Breakdowns'!$E$3:$E$12,'Cost Breakdowns'!$A$3:$A$12,'SoBCaICbIC-urbanresidential'!$A3,'Cost Breakdowns'!$F$3:$F$12,"ISIC 01T03"))*'Factors applied'!$E$21</f>
        <v>0</v>
      </c>
      <c r="E3">
        <f>(SUMIFS('Cost Breakdowns'!$E$3:$E$12,'Cost Breakdowns'!$A$3:$A$12,'SoBCaICbIC-urbanresidential'!$A3,'Cost Breakdowns'!$F$3:$F$12,"ISIC 05"))</f>
        <v>0</v>
      </c>
      <c r="F3">
        <f>(SUMIFS('Cost Breakdowns'!$E$3:$E$12,'Cost Breakdowns'!$A$3:$A$12,'SoBCaICbIC-urbanresidential'!$A3,'Cost Breakdowns'!$F$3:$F$12,"ISIC 06"))</f>
        <v>0</v>
      </c>
      <c r="G3">
        <f>(SUMIFS('Cost Breakdowns'!$E$3:$E$12,'Cost Breakdowns'!$A$3:$A$12,'SoBCaICbIC-urbanresidential'!$A3,'Cost Breakdowns'!$F$3:$F$12,"ISIC 07T08"))*'Factors applied'!$E$22</f>
        <v>0</v>
      </c>
      <c r="H3">
        <f>(SUMIFS('Cost Breakdowns'!$E$3:$E$12,'Cost Breakdowns'!$A$3:$A$12,'SoBCaICbIC-urbanresidential'!$A3,'Cost Breakdowns'!$F$3:$F$12,"ISIC 07T08"))*'Factors applied'!$E$23</f>
        <v>0</v>
      </c>
      <c r="I3">
        <f>(SUMIFS('Cost Breakdowns'!$E$3:$E$12,'Cost Breakdowns'!$A$3:$A$12,'SoBCaICbIC-urbanresidential'!$A3,'Cost Breakdowns'!$F$3:$F$12,"ISIC 09"))</f>
        <v>0</v>
      </c>
      <c r="J3">
        <f>(SUMIFS('Cost Breakdowns'!$E$3:$E$12,'Cost Breakdowns'!$A$3:$A$12,'SoBCaICbIC-urbanresidential'!$A3,'Cost Breakdowns'!$F$3:$F$12,"ISIC 10T12"))</f>
        <v>0</v>
      </c>
      <c r="K3">
        <f>(SUMIFS('Cost Breakdowns'!$E$3:$E$12,'Cost Breakdowns'!$A$3:$A$12,'SoBCaICbIC-urbanresidential'!$A3,'Cost Breakdowns'!$F$3:$F$12,"ISIC 13T15"))</f>
        <v>0</v>
      </c>
      <c r="L3">
        <f>(SUMIFS('Cost Breakdowns'!$E$3:$E$12,'Cost Breakdowns'!$A$3:$A$12,'SoBCaICbIC-urbanresidential'!$A3,'Cost Breakdowns'!$F$3:$F$12,"ISIC 16"))</f>
        <v>0</v>
      </c>
      <c r="M3">
        <f>(SUMIFS('Cost Breakdowns'!$E$3:$E$12,'Cost Breakdowns'!$A$3:$A$12,'SoBCaICbIC-urbanresidential'!$A3,'Cost Breakdowns'!$F$3:$F$12,"ISIC 17T18"))</f>
        <v>0</v>
      </c>
      <c r="N3">
        <f>(SUMIFS('Cost Breakdowns'!$E$3:$E$12,'Cost Breakdowns'!$A$3:$A$12,'SoBCaICbIC-urbanresidential'!$A3,'Cost Breakdowns'!$F$3:$F$12,"ISIC 19"))</f>
        <v>0</v>
      </c>
      <c r="O3">
        <f>(SUMIFS('Cost Breakdowns'!$E$3:$E$12,'Cost Breakdowns'!$A$3:$A$12,'SoBCaICbIC-urbanresidential'!$A3,'Cost Breakdowns'!$F$3:$F$12,"ISIC 20"))</f>
        <v>0</v>
      </c>
      <c r="P3">
        <f>(SUMIFS('Cost Breakdowns'!$E$3:$E$12,'Cost Breakdowns'!$A$3:$A$12,'SoBCaICbIC-urbanresidential'!$A3,'Cost Breakdowns'!$F$3:$F$12,"ISIC 21"))</f>
        <v>0</v>
      </c>
      <c r="Q3">
        <f>(SUMIFS('Cost Breakdowns'!$E$3:$E$12,'Cost Breakdowns'!$A$3:$A$12,'SoBCaICbIC-urbanresidential'!$A3,'Cost Breakdowns'!$F$3:$F$12,"ISIC 22"))</f>
        <v>0</v>
      </c>
      <c r="R3">
        <f>(SUMIFS('Cost Breakdowns'!$E$3:$E$12,'Cost Breakdowns'!$A$3:$A$12,'SoBCaICbIC-urbanresidential'!$A3,'Cost Breakdowns'!$F$3:$F$12,"ISIC 231"))</f>
        <v>0</v>
      </c>
      <c r="S3">
        <f>(SUMIFS('Cost Breakdowns'!$E$3:$E$12,'Cost Breakdowns'!$A$3:$A$12,'SoBCaICbIC-urbanresidential'!$A3,'Cost Breakdowns'!$F$3:$F$12,"ISIC 239"))</f>
        <v>0</v>
      </c>
      <c r="T3">
        <f>(SUMIFS('Cost Breakdowns'!$E$3:$E$12,'Cost Breakdowns'!$A$3:$A$12,'SoBCaICbIC-urbanresidential'!$A3,'Cost Breakdowns'!$F$3:$F$12,"ISIC 241"))</f>
        <v>0</v>
      </c>
      <c r="U3">
        <f>(SUMIFS('Cost Breakdowns'!$E$3:$E$12,'Cost Breakdowns'!$A$3:$A$12,'SoBCaICbIC-urbanresidential'!$A3,'Cost Breakdowns'!$F$3:$F$12,"ISIC 242"))</f>
        <v>0</v>
      </c>
      <c r="V3">
        <f>(SUMIFS('Cost Breakdowns'!$E$3:$E$12,'Cost Breakdowns'!$A$3:$A$12,'SoBCaICbIC-urbanresidential'!$A3,'Cost Breakdowns'!$F$3:$F$12,"ISIC 25"))</f>
        <v>0</v>
      </c>
      <c r="W3">
        <f>(SUMIFS('Cost Breakdowns'!$E$3:$E$12,'Cost Breakdowns'!$A$3:$A$12,'SoBCaICbIC-urbanresidential'!$A3,'Cost Breakdowns'!$F$3:$F$12,"ISIC 26"))</f>
        <v>0</v>
      </c>
      <c r="X3">
        <f>(SUMIFS('Cost Breakdowns'!$E$3:$E$12,'Cost Breakdowns'!$A$3:$A$12,'SoBCaICbIC-urbanresidential'!$A3,'Cost Breakdowns'!$F$3:$F$12,"ISIC 27"))</f>
        <v>0</v>
      </c>
      <c r="Y3">
        <f>(SUMIFS('Cost Breakdowns'!$E$3:$E$12,'Cost Breakdowns'!$A$3:$A$12,'SoBCaICbIC-urbanresidential'!$A3,'Cost Breakdowns'!$F$3:$F$12,"ISIC 28"))</f>
        <v>0.5798301102469372</v>
      </c>
      <c r="Z3">
        <f>(SUMIFS('Cost Breakdowns'!$E$3:$E$12,'Cost Breakdowns'!$A$3:$A$12,'SoBCaICbIC-urbanresidential'!$A3,'Cost Breakdowns'!$F$3:$F$12,"ISIC 29"))</f>
        <v>0</v>
      </c>
      <c r="AA3">
        <f>(SUMIFS('Cost Breakdowns'!$E$3:$E$12,'Cost Breakdowns'!$A$3:$A$12,'SoBCaICbIC-urbanresidential'!$A3,'Cost Breakdowns'!$F$3:$F$12,"ISIC 30"))*'Factors applied'!$E$24</f>
        <v>0</v>
      </c>
      <c r="AB3">
        <f>(SUMIFS('Cost Breakdowns'!$E$3:$E$12,'Cost Breakdowns'!$A$3:$A$12,'SoBCaICbIC-urbanresidential'!$A3,'Cost Breakdowns'!$F$3:$F$12,"ISIC 30"))*'Factors applied'!$E$25</f>
        <v>0</v>
      </c>
      <c r="AC3">
        <f>(SUMIFS('Cost Breakdowns'!$E$3:$E$12,'Cost Breakdowns'!$A$3:$A$12,'SoBCaICbIC-urbanresidential'!$A3,'Cost Breakdowns'!$F$3:$F$12,"ISIC 31T33"))</f>
        <v>0</v>
      </c>
      <c r="AD3">
        <f>(SUMIFS('Cost Breakdowns'!$E$3:$E$12,'Cost Breakdowns'!$A$3:$A$12,'SoBCaICbIC-urbanresidential'!$A3,'Cost Breakdowns'!$F$3:$F$12,"ISIC 351"))</f>
        <v>0</v>
      </c>
      <c r="AE3">
        <f>(SUMIFS('Cost Breakdowns'!$E$3:$E$12,'Cost Breakdowns'!$A$3:$A$12,'SoBCaICbIC-urbanresidential'!$A3,'Cost Breakdowns'!$F$3:$F$12,"ISIC 352T353"))</f>
        <v>0</v>
      </c>
      <c r="AF3">
        <f>(SUMIFS('Cost Breakdowns'!$E$3:$E$12,'Cost Breakdowns'!$A$3:$A$12,'SoBCaICbIC-urbanresidential'!$A3,'Cost Breakdowns'!$F$3:$F$12,"ISIC 36T39"))</f>
        <v>0</v>
      </c>
      <c r="AG3">
        <f>(SUMIFS('Cost Breakdowns'!$E$3:$E$12,'Cost Breakdowns'!$A$3:$A$12,'SoBCaICbIC-urbanresidential'!$A3,'Cost Breakdowns'!$F$3:$F$12,"ISIC 41T43"))</f>
        <v>0.4201698897530628</v>
      </c>
      <c r="AH3">
        <f>(SUMIFS('Cost Breakdowns'!$E$3:$E$12,'Cost Breakdowns'!$A$3:$A$12,'SoBCaICbIC-urbanresidential'!$A3,'Cost Breakdowns'!$F$3:$F$12,"ISIC 45T47"))</f>
        <v>0</v>
      </c>
      <c r="AI3">
        <f>(SUMIFS('Cost Breakdowns'!$E$3:$E$12,'Cost Breakdowns'!$A$3:$A$12,'SoBCaICbIC-urbanresidential'!$A3,'Cost Breakdowns'!$F$3:$F$12,"ISIC 49T53"))*'Factors applied'!$E$26</f>
        <v>0</v>
      </c>
      <c r="AJ3">
        <f>(SUMIFS('Cost Breakdowns'!$E$3:$E$12,'Cost Breakdowns'!$A$3:$A$12,'SoBCaICbIC-urbanresidential'!$A3,'Cost Breakdowns'!$F$3:$F$12,"ISIC 49T53"))*'Factors applied'!$E$27</f>
        <v>0</v>
      </c>
      <c r="AK3">
        <f>(SUMIFS('Cost Breakdowns'!$E$3:$E$12,'Cost Breakdowns'!$A$3:$A$12,'SoBCaICbIC-urbanresidential'!$A3,'Cost Breakdowns'!$F$3:$F$12,"ISIC 49T53"))*'Factors applied'!$E$28</f>
        <v>0</v>
      </c>
      <c r="AL3">
        <f>(SUMIFS('Cost Breakdowns'!$E$3:$E$12,'Cost Breakdowns'!$A$3:$A$12,'SoBCaICbIC-urbanresidential'!$A3,'Cost Breakdowns'!$F$3:$F$12,"ISIC 49T53"))*'Factors applied'!$E$29</f>
        <v>0</v>
      </c>
      <c r="AM3">
        <f>(SUMIFS('Cost Breakdowns'!$E$3:$E$12,'Cost Breakdowns'!$A$3:$A$12,'SoBCaICbIC-urbanresidential'!$A3,'Cost Breakdowns'!$F$3:$F$12,"ISIC 49T53"))*'Factors applied'!$E$30</f>
        <v>0</v>
      </c>
      <c r="AN3">
        <f>(SUMIFS('Cost Breakdowns'!$E$3:$E$12,'Cost Breakdowns'!$A$3:$A$12,'SoBCaICbIC-urbanresidential'!$A3,'Cost Breakdowns'!$F$3:$F$12,"ISIC 55T56"))</f>
        <v>0</v>
      </c>
      <c r="AO3">
        <f>(SUMIFS('Cost Breakdowns'!$E$3:$E$12,'Cost Breakdowns'!$A$3:$A$12,'SoBCaICbIC-urbanresidential'!$A3,'Cost Breakdowns'!$F$3:$F$12,"ISIC 58T60"))</f>
        <v>0</v>
      </c>
      <c r="AP3">
        <f>(SUMIFS('Cost Breakdowns'!$E$3:$E$12,'Cost Breakdowns'!$A$3:$A$12,'SoBCaICbIC-urbanresidential'!$A3,'Cost Breakdowns'!$F$3:$F$12,"ISIC 61"))</f>
        <v>0</v>
      </c>
      <c r="AQ3">
        <f>(SUMIFS('Cost Breakdowns'!$E$3:$E$12,'Cost Breakdowns'!$A$3:$A$12,'SoBCaICbIC-urbanresidential'!$A3,'Cost Breakdowns'!$F$3:$F$12,"ISIC 62T63"))</f>
        <v>0</v>
      </c>
      <c r="AR3">
        <f>(SUMIFS('Cost Breakdowns'!$E$3:$E$12,'Cost Breakdowns'!$A$3:$A$12,'SoBCaICbIC-urbanresidential'!$A3,'Cost Breakdowns'!$F$3:$F$12,"ISIC 64T66"))</f>
        <v>0</v>
      </c>
      <c r="AS3">
        <f>(SUMIFS('Cost Breakdowns'!$E$3:$E$12,'Cost Breakdowns'!$A$3:$A$12,'SoBCaICbIC-urbanresidential'!$A3,'Cost Breakdowns'!$F$3:$F$12,"ISIC 68"))</f>
        <v>0</v>
      </c>
      <c r="AT3">
        <f>(SUMIFS('Cost Breakdowns'!$E$3:$E$12,'Cost Breakdowns'!$A$3:$A$12,'SoBCaICbIC-urbanresidential'!$A3,'Cost Breakdowns'!$F$3:$F$12,"ISIC 69T82"))*'Factors applied'!$E$31</f>
        <v>0</v>
      </c>
      <c r="AU3">
        <f>(SUMIFS('Cost Breakdowns'!$E$3:$E$12,'Cost Breakdowns'!$A$3:$A$12,'SoBCaICbIC-urbanresidential'!$A3,'Cost Breakdowns'!$F$3:$F$12,"ISIC 69T82"))*'Factors applied'!$E$32</f>
        <v>0</v>
      </c>
      <c r="AV3">
        <f>(SUMIFS('Cost Breakdowns'!$E$3:$E$12,'Cost Breakdowns'!$A$3:$A$12,'SoBCaICbIC-urbanresidential'!$A3,'Cost Breakdowns'!$F$3:$F$12,"ISIC 84"))</f>
        <v>0</v>
      </c>
      <c r="AW3">
        <f>(SUMIFS('Cost Breakdowns'!$E$3:$E$12,'Cost Breakdowns'!$A$3:$A$12,'SoBCaICbIC-urbanresidential'!$A3,'Cost Breakdowns'!$F$3:$F$12,"ISIC 85"))</f>
        <v>0</v>
      </c>
      <c r="AX3">
        <f>(SUMIFS('Cost Breakdowns'!$E$3:$E$12,'Cost Breakdowns'!$A$3:$A$12,'SoBCaICbIC-urbanresidential'!$A3,'Cost Breakdowns'!$F$3:$F$12,"ISIC 86T88"))</f>
        <v>0</v>
      </c>
      <c r="AY3">
        <f>(SUMIFS('Cost Breakdowns'!$E$3:$E$12,'Cost Breakdowns'!$A$3:$A$12,'SoBCaICbIC-urbanresidential'!$A3,'Cost Breakdowns'!$F$3:$F$12,"ISIC 90T96"))*'Factors applied'!$E$33</f>
        <v>0</v>
      </c>
      <c r="AZ3">
        <f>(SUMIFS('Cost Breakdowns'!$E$3:$E$12,'Cost Breakdowns'!$A$3:$A$12,'SoBCaICbIC-urbanresidential'!$A3,'Cost Breakdowns'!$F$3:$F$12,"ISIC 90T96"))*'Factors applied'!$E$34</f>
        <v>0</v>
      </c>
      <c r="BA3">
        <f>(SUMIFS('Cost Breakdowns'!$E$3:$E$12,'Cost Breakdowns'!$A$3:$A$12,'SoBCaICbIC-urbanresidential'!$A3,'Cost Breakdowns'!$F$3:$F$12,"ISIC 97T98"))</f>
        <v>0</v>
      </c>
    </row>
    <row r="4" spans="1:53" x14ac:dyDescent="0.25">
      <c r="A4" t="s">
        <v>66</v>
      </c>
      <c r="B4">
        <f>(SUMIFS('Cost Breakdowns'!$E$3:$E$12,'Cost Breakdowns'!$A$3:$A$12,'SoBCaICbIC-urbanresidential'!$A4,'Cost Breakdowns'!$F$3:$F$12,"ISIC 01T03"))*'Factors applied'!$E$35</f>
        <v>0</v>
      </c>
      <c r="C4">
        <f>(SUMIFS('Cost Breakdowns'!$E$3:$E$12,'Cost Breakdowns'!$A$3:$A$12,'SoBCaICbIC-urbanresidential'!$A4,'Cost Breakdowns'!$F$3:$F$12,"ISIC 01T03"))*'Factors applied'!$E$36</f>
        <v>0</v>
      </c>
      <c r="D4">
        <f>(SUMIFS('Cost Breakdowns'!$E$3:$E$12,'Cost Breakdowns'!$A$3:$A$12,'SoBCaICbIC-urbanresidential'!$A4,'Cost Breakdowns'!$F$3:$F$12,"ISIC 01T03"))*'Factors applied'!$E$37</f>
        <v>0</v>
      </c>
      <c r="E4">
        <f>(SUMIFS('Cost Breakdowns'!$E$3:$E$12,'Cost Breakdowns'!$A$3:$A$12,'SoBCaICbIC-urbanresidential'!$A4,'Cost Breakdowns'!$F$3:$F$12,"ISIC 05"))</f>
        <v>0</v>
      </c>
      <c r="F4">
        <f>(SUMIFS('Cost Breakdowns'!$E$3:$E$12,'Cost Breakdowns'!$A$3:$A$12,'SoBCaICbIC-urbanresidential'!$A4,'Cost Breakdowns'!$F$3:$F$12,"ISIC 06"))</f>
        <v>0</v>
      </c>
      <c r="G4">
        <f>(SUMIFS('Cost Breakdowns'!$E$3:$E$12,'Cost Breakdowns'!$A$3:$A$12,'SoBCaICbIC-urbanresidential'!$A4,'Cost Breakdowns'!$F$3:$F$12,"ISIC 07T08"))*'Factors applied'!$E$38</f>
        <v>0</v>
      </c>
      <c r="H4">
        <f>(SUMIFS('Cost Breakdowns'!$E$3:$E$12,'Cost Breakdowns'!$A$3:$A$12,'SoBCaICbIC-urbanresidential'!$A4,'Cost Breakdowns'!$F$3:$F$12,"ISIC 07T08"))*'Factors applied'!$E$39</f>
        <v>0</v>
      </c>
      <c r="I4">
        <f>(SUMIFS('Cost Breakdowns'!$E$3:$E$12,'Cost Breakdowns'!$A$3:$A$12,'SoBCaICbIC-urbanresidential'!$A4,'Cost Breakdowns'!$F$3:$F$12,"ISIC 09"))</f>
        <v>0</v>
      </c>
      <c r="J4">
        <f>(SUMIFS('Cost Breakdowns'!$E$3:$E$12,'Cost Breakdowns'!$A$3:$A$12,'SoBCaICbIC-urbanresidential'!$A4,'Cost Breakdowns'!$F$3:$F$12,"ISIC 10T12"))</f>
        <v>0</v>
      </c>
      <c r="K4">
        <f>(SUMIFS('Cost Breakdowns'!$E$3:$E$12,'Cost Breakdowns'!$A$3:$A$12,'SoBCaICbIC-urbanresidential'!$A4,'Cost Breakdowns'!$F$3:$F$12,"ISIC 13T15"))</f>
        <v>0</v>
      </c>
      <c r="L4">
        <f>(SUMIFS('Cost Breakdowns'!$E$3:$E$12,'Cost Breakdowns'!$A$3:$A$12,'SoBCaICbIC-urbanresidential'!$A4,'Cost Breakdowns'!$F$3:$F$12,"ISIC 16"))</f>
        <v>0</v>
      </c>
      <c r="M4">
        <f>(SUMIFS('Cost Breakdowns'!$E$3:$E$12,'Cost Breakdowns'!$A$3:$A$12,'SoBCaICbIC-urbanresidential'!$A4,'Cost Breakdowns'!$F$3:$F$12,"ISIC 17T18"))</f>
        <v>0</v>
      </c>
      <c r="N4">
        <f>(SUMIFS('Cost Breakdowns'!$E$3:$E$12,'Cost Breakdowns'!$A$3:$A$12,'SoBCaICbIC-urbanresidential'!$A4,'Cost Breakdowns'!$F$3:$F$12,"ISIC 19"))</f>
        <v>0</v>
      </c>
      <c r="O4">
        <f>(SUMIFS('Cost Breakdowns'!$E$3:$E$12,'Cost Breakdowns'!$A$3:$A$12,'SoBCaICbIC-urbanresidential'!$A4,'Cost Breakdowns'!$F$3:$F$12,"ISIC 20"))</f>
        <v>0</v>
      </c>
      <c r="P4">
        <f>(SUMIFS('Cost Breakdowns'!$E$3:$E$12,'Cost Breakdowns'!$A$3:$A$12,'SoBCaICbIC-urbanresidential'!$A4,'Cost Breakdowns'!$F$3:$F$12,"ISIC 21"))</f>
        <v>0</v>
      </c>
      <c r="Q4">
        <f>(SUMIFS('Cost Breakdowns'!$E$3:$E$12,'Cost Breakdowns'!$A$3:$A$12,'SoBCaICbIC-urbanresidential'!$A4,'Cost Breakdowns'!$F$3:$F$12,"ISIC 22"))</f>
        <v>0</v>
      </c>
      <c r="R4">
        <f>(SUMIFS('Cost Breakdowns'!$E$3:$E$12,'Cost Breakdowns'!$A$3:$A$12,'SoBCaICbIC-urbanresidential'!$A4,'Cost Breakdowns'!$F$3:$F$12,"ISIC 231"))</f>
        <v>0</v>
      </c>
      <c r="S4">
        <f>(SUMIFS('Cost Breakdowns'!$E$3:$E$12,'Cost Breakdowns'!$A$3:$A$12,'SoBCaICbIC-urbanresidential'!$A4,'Cost Breakdowns'!$F$3:$F$12,"ISIC 239"))</f>
        <v>0</v>
      </c>
      <c r="T4">
        <f>(SUMIFS('Cost Breakdowns'!$E$3:$E$12,'Cost Breakdowns'!$A$3:$A$12,'SoBCaICbIC-urbanresidential'!$A4,'Cost Breakdowns'!$F$3:$F$12,"ISIC 241"))</f>
        <v>0</v>
      </c>
      <c r="U4">
        <f>(SUMIFS('Cost Breakdowns'!$E$3:$E$12,'Cost Breakdowns'!$A$3:$A$12,'SoBCaICbIC-urbanresidential'!$A4,'Cost Breakdowns'!$F$3:$F$12,"ISIC 242"))</f>
        <v>0</v>
      </c>
      <c r="V4">
        <f>(SUMIFS('Cost Breakdowns'!$E$3:$E$12,'Cost Breakdowns'!$A$3:$A$12,'SoBCaICbIC-urbanresidential'!$A4,'Cost Breakdowns'!$F$3:$F$12,"ISIC 25"))</f>
        <v>0</v>
      </c>
      <c r="W4">
        <f>(SUMIFS('Cost Breakdowns'!$E$3:$E$12,'Cost Breakdowns'!$A$3:$A$12,'SoBCaICbIC-urbanresidential'!$A4,'Cost Breakdowns'!$F$3:$F$12,"ISIC 26"))</f>
        <v>0</v>
      </c>
      <c r="X4">
        <f>(SUMIFS('Cost Breakdowns'!$E$3:$E$12,'Cost Breakdowns'!$A$3:$A$12,'SoBCaICbIC-urbanresidential'!$A4,'Cost Breakdowns'!$F$3:$F$12,"ISIC 27"))</f>
        <v>0</v>
      </c>
      <c r="Y4">
        <f>(SUMIFS('Cost Breakdowns'!$E$3:$E$12,'Cost Breakdowns'!$A$3:$A$12,'SoBCaICbIC-urbanresidential'!$A4,'Cost Breakdowns'!$F$3:$F$12,"ISIC 28"))</f>
        <v>0</v>
      </c>
      <c r="Z4">
        <f>(SUMIFS('Cost Breakdowns'!$E$3:$E$12,'Cost Breakdowns'!$A$3:$A$12,'SoBCaICbIC-urbanresidential'!$A4,'Cost Breakdowns'!$F$3:$F$12,"ISIC 29"))</f>
        <v>0</v>
      </c>
      <c r="AA4">
        <f>(SUMIFS('Cost Breakdowns'!$E$3:$E$12,'Cost Breakdowns'!$A$3:$A$12,'SoBCaICbIC-urbanresidential'!$A4,'Cost Breakdowns'!$F$3:$F$12,"ISIC 30"))*'Factors applied'!$E$40</f>
        <v>0</v>
      </c>
      <c r="AB4">
        <f>(SUMIFS('Cost Breakdowns'!$E$3:$E$12,'Cost Breakdowns'!$A$3:$A$12,'SoBCaICbIC-urbanresidential'!$A4,'Cost Breakdowns'!$F$3:$F$12,"ISIC 30"))*'Factors applied'!$E$41</f>
        <v>0</v>
      </c>
      <c r="AC4">
        <f>(SUMIFS('Cost Breakdowns'!$E$3:$E$12,'Cost Breakdowns'!$A$3:$A$12,'SoBCaICbIC-urbanresidential'!$A4,'Cost Breakdowns'!$F$3:$F$12,"ISIC 31T33"))</f>
        <v>0</v>
      </c>
      <c r="AD4">
        <f>(SUMIFS('Cost Breakdowns'!$E$3:$E$12,'Cost Breakdowns'!$A$3:$A$12,'SoBCaICbIC-urbanresidential'!$A4,'Cost Breakdowns'!$F$3:$F$12,"ISIC 351"))</f>
        <v>0</v>
      </c>
      <c r="AE4">
        <f>(SUMIFS('Cost Breakdowns'!$E$3:$E$12,'Cost Breakdowns'!$A$3:$A$12,'SoBCaICbIC-urbanresidential'!$A4,'Cost Breakdowns'!$F$3:$F$12,"ISIC 352T353"))</f>
        <v>0</v>
      </c>
      <c r="AF4">
        <f>(SUMIFS('Cost Breakdowns'!$E$3:$E$12,'Cost Breakdowns'!$A$3:$A$12,'SoBCaICbIC-urbanresidential'!$A4,'Cost Breakdowns'!$F$3:$F$12,"ISIC 36T39"))</f>
        <v>0</v>
      </c>
      <c r="AG4">
        <f>(SUMIFS('Cost Breakdowns'!$E$3:$E$12,'Cost Breakdowns'!$A$3:$A$12,'SoBCaICbIC-urbanresidential'!$A4,'Cost Breakdowns'!$F$3:$F$12,"ISIC 41T43"))</f>
        <v>0</v>
      </c>
      <c r="AH4">
        <f>(SUMIFS('Cost Breakdowns'!$E$3:$E$12,'Cost Breakdowns'!$A$3:$A$12,'SoBCaICbIC-urbanresidential'!$A4,'Cost Breakdowns'!$F$3:$F$12,"ISIC 45T47"))</f>
        <v>0</v>
      </c>
      <c r="AI4">
        <f>(SUMIFS('Cost Breakdowns'!$E$3:$E$12,'Cost Breakdowns'!$A$3:$A$12,'SoBCaICbIC-urbanresidential'!$A4,'Cost Breakdowns'!$F$3:$F$12,"ISIC 49T53"))*'Factors applied'!$E$42</f>
        <v>0</v>
      </c>
      <c r="AJ4">
        <f>(SUMIFS('Cost Breakdowns'!$E$3:$E$12,'Cost Breakdowns'!$A$3:$A$12,'SoBCaICbIC-urbanresidential'!$A4,'Cost Breakdowns'!$F$3:$F$12,"ISIC 49T53"))*'Factors applied'!$E$43</f>
        <v>0</v>
      </c>
      <c r="AK4">
        <f>(SUMIFS('Cost Breakdowns'!$E$3:$E$12,'Cost Breakdowns'!$A$3:$A$12,'SoBCaICbIC-urbanresidential'!$A4,'Cost Breakdowns'!$F$3:$F$12,"ISIC 49T53"))*'Factors applied'!$E$44</f>
        <v>0</v>
      </c>
      <c r="AL4">
        <f>(SUMIFS('Cost Breakdowns'!$E$3:$E$12,'Cost Breakdowns'!$A$3:$A$12,'SoBCaICbIC-urbanresidential'!$A4,'Cost Breakdowns'!$F$3:$F$12,"ISIC 49T53"))*'Factors applied'!$E$45</f>
        <v>0</v>
      </c>
      <c r="AM4">
        <f>(SUMIFS('Cost Breakdowns'!$E$3:$E$12,'Cost Breakdowns'!$A$3:$A$12,'SoBCaICbIC-urbanresidential'!$A4,'Cost Breakdowns'!$F$3:$F$12,"ISIC 49T53"))*'Factors applied'!$E$46</f>
        <v>0</v>
      </c>
      <c r="AN4">
        <f>(SUMIFS('Cost Breakdowns'!$E$3:$E$12,'Cost Breakdowns'!$A$3:$A$12,'SoBCaICbIC-urbanresidential'!$A4,'Cost Breakdowns'!$F$3:$F$12,"ISIC 55T56"))</f>
        <v>0</v>
      </c>
      <c r="AO4">
        <f>(SUMIFS('Cost Breakdowns'!$E$3:$E$12,'Cost Breakdowns'!$A$3:$A$12,'SoBCaICbIC-urbanresidential'!$A4,'Cost Breakdowns'!$F$3:$F$12,"ISIC 58T60"))</f>
        <v>0</v>
      </c>
      <c r="AP4">
        <f>(SUMIFS('Cost Breakdowns'!$E$3:$E$12,'Cost Breakdowns'!$A$3:$A$12,'SoBCaICbIC-urbanresidential'!$A4,'Cost Breakdowns'!$F$3:$F$12,"ISIC 61"))</f>
        <v>0</v>
      </c>
      <c r="AQ4">
        <f>(SUMIFS('Cost Breakdowns'!$E$3:$E$12,'Cost Breakdowns'!$A$3:$A$12,'SoBCaICbIC-urbanresidential'!$A4,'Cost Breakdowns'!$F$3:$F$12,"ISIC 62T63"))</f>
        <v>0</v>
      </c>
      <c r="AR4">
        <f>(SUMIFS('Cost Breakdowns'!$E$3:$E$12,'Cost Breakdowns'!$A$3:$A$12,'SoBCaICbIC-urbanresidential'!$A4,'Cost Breakdowns'!$F$3:$F$12,"ISIC 64T66"))</f>
        <v>0</v>
      </c>
      <c r="AS4">
        <f>(SUMIFS('Cost Breakdowns'!$E$3:$E$12,'Cost Breakdowns'!$A$3:$A$12,'SoBCaICbIC-urbanresidential'!$A4,'Cost Breakdowns'!$F$3:$F$12,"ISIC 68"))</f>
        <v>0</v>
      </c>
      <c r="AT4">
        <f>(SUMIFS('Cost Breakdowns'!$E$3:$E$12,'Cost Breakdowns'!$A$3:$A$12,'SoBCaICbIC-urbanresidential'!$A4,'Cost Breakdowns'!$F$3:$F$12,"ISIC 69T82"))*'Factors applied'!$E$47</f>
        <v>0</v>
      </c>
      <c r="AU4">
        <f>(SUMIFS('Cost Breakdowns'!$E$3:$E$12,'Cost Breakdowns'!$A$3:$A$12,'SoBCaICbIC-urbanresidential'!$A4,'Cost Breakdowns'!$F$3:$F$12,"ISIC 69T82"))*'Factors applied'!$E$48</f>
        <v>0</v>
      </c>
      <c r="AV4">
        <f>(SUMIFS('Cost Breakdowns'!$E$3:$E$12,'Cost Breakdowns'!$A$3:$A$12,'SoBCaICbIC-urbanresidential'!$A4,'Cost Breakdowns'!$F$3:$F$12,"ISIC 84"))</f>
        <v>0</v>
      </c>
      <c r="AW4">
        <f>(SUMIFS('Cost Breakdowns'!$E$3:$E$12,'Cost Breakdowns'!$A$3:$A$12,'SoBCaICbIC-urbanresidential'!$A4,'Cost Breakdowns'!$F$3:$F$12,"ISIC 85"))</f>
        <v>0</v>
      </c>
      <c r="AX4">
        <f>(SUMIFS('Cost Breakdowns'!$E$3:$E$12,'Cost Breakdowns'!$A$3:$A$12,'SoBCaICbIC-urbanresidential'!$A4,'Cost Breakdowns'!$F$3:$F$12,"ISIC 86T88"))</f>
        <v>0</v>
      </c>
      <c r="AY4">
        <f>(SUMIFS('Cost Breakdowns'!$E$3:$E$12,'Cost Breakdowns'!$A$3:$A$12,'SoBCaICbIC-urbanresidential'!$A4,'Cost Breakdowns'!$F$3:$F$12,"ISIC 90T96"))*'Factors applied'!$E$49</f>
        <v>0</v>
      </c>
      <c r="AZ4">
        <f>(SUMIFS('Cost Breakdowns'!$E$3:$E$12,'Cost Breakdowns'!$A$3:$A$12,'SoBCaICbIC-urbanresidential'!$A4,'Cost Breakdowns'!$F$3:$F$12,"ISIC 90T96"))*'Factors applied'!$E$50</f>
        <v>0</v>
      </c>
      <c r="BA4">
        <f>(SUMIFS('Cost Breakdowns'!$E$3:$E$12,'Cost Breakdowns'!$A$3:$A$12,'SoBCaICbIC-urbanresidential'!$A4,'Cost Breakdowns'!$F$3:$F$12,"ISIC 97T98"))</f>
        <v>0</v>
      </c>
    </row>
    <row r="5" spans="1:53" x14ac:dyDescent="0.25">
      <c r="A5" t="s">
        <v>68</v>
      </c>
      <c r="B5">
        <f>(SUMIFS('Cost Breakdowns'!$E$3:$E$12,'Cost Breakdowns'!$A$3:$A$12,'SoBCaICbIC-urbanresidential'!$A5,'Cost Breakdowns'!$F$3:$F$12,"ISIC 01T03"))*'Factors applied'!$E$67</f>
        <v>0</v>
      </c>
      <c r="C5">
        <f>(SUMIFS('Cost Breakdowns'!$E$3:$E$12,'Cost Breakdowns'!$A$3:$A$12,'SoBCaICbIC-urbanresidential'!$A5,'Cost Breakdowns'!$F$3:$F$12,"ISIC 01T03"))*'Factors applied'!$E$68</f>
        <v>0</v>
      </c>
      <c r="D5">
        <f>(SUMIFS('Cost Breakdowns'!$E$3:$E$12,'Cost Breakdowns'!$A$3:$A$12,'SoBCaICbIC-urbanresidential'!$A5,'Cost Breakdowns'!$F$3:$F$12,"ISIC 01T03"))*'Factors applied'!$E$69</f>
        <v>0</v>
      </c>
      <c r="E5">
        <f>(SUMIFS('Cost Breakdowns'!$E$3:$E$12,'Cost Breakdowns'!$A$3:$A$12,'SoBCaICbIC-urbanresidential'!$A5,'Cost Breakdowns'!$F$3:$F$12,"ISIC 05"))</f>
        <v>0</v>
      </c>
      <c r="F5">
        <f>(SUMIFS('Cost Breakdowns'!$E$3:$E$12,'Cost Breakdowns'!$A$3:$A$12,'SoBCaICbIC-urbanresidential'!$A5,'Cost Breakdowns'!$F$3:$F$12,"ISIC 06"))</f>
        <v>0</v>
      </c>
      <c r="G5">
        <f>(SUMIFS('Cost Breakdowns'!$E$3:$E$12,'Cost Breakdowns'!$A$3:$A$12,'SoBCaICbIC-urbanresidential'!$A5,'Cost Breakdowns'!$F$3:$F$12,"ISIC 07T08"))*'Factors applied'!$E$70</f>
        <v>0</v>
      </c>
      <c r="H5">
        <f>(SUMIFS('Cost Breakdowns'!$E$3:$E$12,'Cost Breakdowns'!$A$3:$A$12,'SoBCaICbIC-urbanresidential'!$A5,'Cost Breakdowns'!$F$3:$F$12,"ISIC 07T08"))*'Factors applied'!$E$71</f>
        <v>0</v>
      </c>
      <c r="I5">
        <f>(SUMIFS('Cost Breakdowns'!$E$3:$E$12,'Cost Breakdowns'!$A$3:$A$12,'SoBCaICbIC-urbanresidential'!$A5,'Cost Breakdowns'!$F$3:$F$12,"ISIC 09"))</f>
        <v>0</v>
      </c>
      <c r="J5">
        <f>(SUMIFS('Cost Breakdowns'!$E$3:$E$12,'Cost Breakdowns'!$A$3:$A$12,'SoBCaICbIC-urbanresidential'!$A5,'Cost Breakdowns'!$F$3:$F$12,"ISIC 10T12"))</f>
        <v>0</v>
      </c>
      <c r="K5">
        <f>(SUMIFS('Cost Breakdowns'!$E$3:$E$12,'Cost Breakdowns'!$A$3:$A$12,'SoBCaICbIC-urbanresidential'!$A5,'Cost Breakdowns'!$F$3:$F$12,"ISIC 13T15"))</f>
        <v>0</v>
      </c>
      <c r="L5">
        <f>(SUMIFS('Cost Breakdowns'!$E$3:$E$12,'Cost Breakdowns'!$A$3:$A$12,'SoBCaICbIC-urbanresidential'!$A5,'Cost Breakdowns'!$F$3:$F$12,"ISIC 16"))</f>
        <v>0</v>
      </c>
      <c r="M5">
        <f>(SUMIFS('Cost Breakdowns'!$E$3:$E$12,'Cost Breakdowns'!$A$3:$A$12,'SoBCaICbIC-urbanresidential'!$A5,'Cost Breakdowns'!$F$3:$F$12,"ISIC 17T18"))</f>
        <v>0</v>
      </c>
      <c r="N5">
        <f>(SUMIFS('Cost Breakdowns'!$E$3:$E$12,'Cost Breakdowns'!$A$3:$A$12,'SoBCaICbIC-urbanresidential'!$A5,'Cost Breakdowns'!$F$3:$F$12,"ISIC 19"))</f>
        <v>0</v>
      </c>
      <c r="O5">
        <f>(SUMIFS('Cost Breakdowns'!$E$3:$E$12,'Cost Breakdowns'!$A$3:$A$12,'SoBCaICbIC-urbanresidential'!$A5,'Cost Breakdowns'!$F$3:$F$12,"ISIC 20"))</f>
        <v>0</v>
      </c>
      <c r="P5">
        <f>(SUMIFS('Cost Breakdowns'!$E$3:$E$12,'Cost Breakdowns'!$A$3:$A$12,'SoBCaICbIC-urbanresidential'!$A5,'Cost Breakdowns'!$F$3:$F$12,"ISIC 21"))</f>
        <v>0</v>
      </c>
      <c r="Q5">
        <f>(SUMIFS('Cost Breakdowns'!$E$3:$E$12,'Cost Breakdowns'!$A$3:$A$12,'SoBCaICbIC-urbanresidential'!$A5,'Cost Breakdowns'!$F$3:$F$12,"ISIC 22"))</f>
        <v>0</v>
      </c>
      <c r="R5">
        <f>(SUMIFS('Cost Breakdowns'!$E$3:$E$12,'Cost Breakdowns'!$A$3:$A$12,'SoBCaICbIC-urbanresidential'!$A5,'Cost Breakdowns'!$F$3:$F$12,"ISIC 231"))</f>
        <v>0</v>
      </c>
      <c r="S5">
        <f>(SUMIFS('Cost Breakdowns'!$E$3:$E$12,'Cost Breakdowns'!$A$3:$A$12,'SoBCaICbIC-urbanresidential'!$A5,'Cost Breakdowns'!$F$3:$F$12,"ISIC 239"))</f>
        <v>0</v>
      </c>
      <c r="T5">
        <f>(SUMIFS('Cost Breakdowns'!$E$3:$E$12,'Cost Breakdowns'!$A$3:$A$12,'SoBCaICbIC-urbanresidential'!$A5,'Cost Breakdowns'!$F$3:$F$12,"ISIC 241"))</f>
        <v>0</v>
      </c>
      <c r="U5">
        <f>(SUMIFS('Cost Breakdowns'!$E$3:$E$12,'Cost Breakdowns'!$A$3:$A$12,'SoBCaICbIC-urbanresidential'!$A5,'Cost Breakdowns'!$F$3:$F$12,"ISIC 242"))</f>
        <v>0</v>
      </c>
      <c r="V5">
        <f>(SUMIFS('Cost Breakdowns'!$E$3:$E$12,'Cost Breakdowns'!$A$3:$A$12,'SoBCaICbIC-urbanresidential'!$A5,'Cost Breakdowns'!$F$3:$F$12,"ISIC 25"))</f>
        <v>0</v>
      </c>
      <c r="W5">
        <f>(SUMIFS('Cost Breakdowns'!$E$3:$E$12,'Cost Breakdowns'!$A$3:$A$12,'SoBCaICbIC-urbanresidential'!$A5,'Cost Breakdowns'!$F$3:$F$12,"ISIC 26"))</f>
        <v>0</v>
      </c>
      <c r="X5">
        <f>(SUMIFS('Cost Breakdowns'!$E$3:$E$12,'Cost Breakdowns'!$A$3:$A$12,'SoBCaICbIC-urbanresidential'!$A5,'Cost Breakdowns'!$F$3:$F$12,"ISIC 27"))</f>
        <v>0.40766894664785691</v>
      </c>
      <c r="Y5">
        <f>(SUMIFS('Cost Breakdowns'!$E$3:$E$12,'Cost Breakdowns'!$A$3:$A$12,'SoBCaICbIC-urbanresidential'!$A5,'Cost Breakdowns'!$F$3:$F$12,"ISIC 28"))</f>
        <v>0</v>
      </c>
      <c r="Z5">
        <f>(SUMIFS('Cost Breakdowns'!$E$3:$E$12,'Cost Breakdowns'!$A$3:$A$12,'SoBCaICbIC-urbanresidential'!$A5,'Cost Breakdowns'!$F$3:$F$12,"ISIC 29"))</f>
        <v>0</v>
      </c>
      <c r="AA5">
        <f>(SUMIFS('Cost Breakdowns'!$E$3:$E$12,'Cost Breakdowns'!$A$3:$A$12,'SoBCaICbIC-urbanresidential'!$A5,'Cost Breakdowns'!$F$3:$F$12,"ISIC 30"))*'Factors applied'!$E$72</f>
        <v>0</v>
      </c>
      <c r="AB5">
        <f>(SUMIFS('Cost Breakdowns'!$E$3:$E$12,'Cost Breakdowns'!$A$3:$A$12,'SoBCaICbIC-urbanresidential'!$A5,'Cost Breakdowns'!$F$3:$F$12,"ISIC 30"))*'Factors applied'!$E$73</f>
        <v>0</v>
      </c>
      <c r="AC5">
        <f>(SUMIFS('Cost Breakdowns'!$E$3:$E$12,'Cost Breakdowns'!$A$3:$A$12,'SoBCaICbIC-urbanresidential'!$A5,'Cost Breakdowns'!$F$3:$F$12,"ISIC 31T33"))</f>
        <v>0</v>
      </c>
      <c r="AD5">
        <f>(SUMIFS('Cost Breakdowns'!$E$3:$E$12,'Cost Breakdowns'!$A$3:$A$12,'SoBCaICbIC-urbanresidential'!$A5,'Cost Breakdowns'!$F$3:$F$12,"ISIC 351"))</f>
        <v>0</v>
      </c>
      <c r="AE5">
        <f>(SUMIFS('Cost Breakdowns'!$E$3:$E$12,'Cost Breakdowns'!$A$3:$A$12,'SoBCaICbIC-urbanresidential'!$A5,'Cost Breakdowns'!$F$3:$F$12,"ISIC 352T353"))</f>
        <v>0</v>
      </c>
      <c r="AF5">
        <f>(SUMIFS('Cost Breakdowns'!$E$3:$E$12,'Cost Breakdowns'!$A$3:$A$12,'SoBCaICbIC-urbanresidential'!$A5,'Cost Breakdowns'!$F$3:$F$12,"ISIC 36T39"))</f>
        <v>0</v>
      </c>
      <c r="AG5">
        <f>(SUMIFS('Cost Breakdowns'!$E$3:$E$12,'Cost Breakdowns'!$A$3:$A$12,'SoBCaICbIC-urbanresidential'!$A5,'Cost Breakdowns'!$F$3:$F$12,"ISIC 41T43"))</f>
        <v>0.59233105335214309</v>
      </c>
      <c r="AH5">
        <f>(SUMIFS('Cost Breakdowns'!$E$3:$E$12,'Cost Breakdowns'!$A$3:$A$12,'SoBCaICbIC-urbanresidential'!$A5,'Cost Breakdowns'!$F$3:$F$12,"ISIC 45T47"))</f>
        <v>0</v>
      </c>
      <c r="AI5">
        <f>(SUMIFS('Cost Breakdowns'!$E$3:$E$12,'Cost Breakdowns'!$A$3:$A$12,'SoBCaICbIC-urbanresidential'!$A5,'Cost Breakdowns'!$F$3:$F$12,"ISIC 49T53"))*'Factors applied'!$E$74</f>
        <v>0</v>
      </c>
      <c r="AJ5">
        <f>(SUMIFS('Cost Breakdowns'!$E$3:$E$12,'Cost Breakdowns'!$A$3:$A$12,'SoBCaICbIC-urbanresidential'!$A5,'Cost Breakdowns'!$F$3:$F$12,"ISIC 49T53"))*'Factors applied'!$E$75</f>
        <v>0</v>
      </c>
      <c r="AK5">
        <f>(SUMIFS('Cost Breakdowns'!$E$3:$E$12,'Cost Breakdowns'!$A$3:$A$12,'SoBCaICbIC-urbanresidential'!$A5,'Cost Breakdowns'!$F$3:$F$12,"ISIC 49T53"))*'Factors applied'!$E$76</f>
        <v>0</v>
      </c>
      <c r="AL5">
        <f>(SUMIFS('Cost Breakdowns'!$E$3:$E$12,'Cost Breakdowns'!$A$3:$A$12,'SoBCaICbIC-urbanresidential'!$A5,'Cost Breakdowns'!$F$3:$F$12,"ISIC 49T53"))*'Factors applied'!$E$77</f>
        <v>0</v>
      </c>
      <c r="AM5">
        <f>(SUMIFS('Cost Breakdowns'!$E$3:$E$12,'Cost Breakdowns'!$A$3:$A$12,'SoBCaICbIC-urbanresidential'!$A5,'Cost Breakdowns'!$F$3:$F$12,"ISIC 49T53"))*'Factors applied'!$E$78</f>
        <v>0</v>
      </c>
      <c r="AN5">
        <f>(SUMIFS('Cost Breakdowns'!$E$3:$E$12,'Cost Breakdowns'!$A$3:$A$12,'SoBCaICbIC-urbanresidential'!$A5,'Cost Breakdowns'!$F$3:$F$12,"ISIC 55T56"))</f>
        <v>0</v>
      </c>
      <c r="AO5">
        <f>(SUMIFS('Cost Breakdowns'!$E$3:$E$12,'Cost Breakdowns'!$A$3:$A$12,'SoBCaICbIC-urbanresidential'!$A5,'Cost Breakdowns'!$F$3:$F$12,"ISIC 58T60"))</f>
        <v>0</v>
      </c>
      <c r="AP5">
        <f>(SUMIFS('Cost Breakdowns'!$E$3:$E$12,'Cost Breakdowns'!$A$3:$A$12,'SoBCaICbIC-urbanresidential'!$A5,'Cost Breakdowns'!$F$3:$F$12,"ISIC 61"))</f>
        <v>0</v>
      </c>
      <c r="AQ5">
        <f>(SUMIFS('Cost Breakdowns'!$E$3:$E$12,'Cost Breakdowns'!$A$3:$A$12,'SoBCaICbIC-urbanresidential'!$A5,'Cost Breakdowns'!$F$3:$F$12,"ISIC 62T63"))</f>
        <v>0</v>
      </c>
      <c r="AR5">
        <f>(SUMIFS('Cost Breakdowns'!$E$3:$E$12,'Cost Breakdowns'!$A$3:$A$12,'SoBCaICbIC-urbanresidential'!$A5,'Cost Breakdowns'!$F$3:$F$12,"ISIC 64T66"))</f>
        <v>0</v>
      </c>
      <c r="AS5">
        <f>(SUMIFS('Cost Breakdowns'!$E$3:$E$12,'Cost Breakdowns'!$A$3:$A$12,'SoBCaICbIC-urbanresidential'!$A5,'Cost Breakdowns'!$F$3:$F$12,"ISIC 68"))</f>
        <v>0</v>
      </c>
      <c r="AT5">
        <f>(SUMIFS('Cost Breakdowns'!$E$3:$E$12,'Cost Breakdowns'!$A$3:$A$12,'SoBCaICbIC-urbanresidential'!$A5,'Cost Breakdowns'!$F$3:$F$12,"ISIC 69T82"))*'Factors applied'!$E$79</f>
        <v>0</v>
      </c>
      <c r="AU5">
        <f>(SUMIFS('Cost Breakdowns'!$E$3:$E$12,'Cost Breakdowns'!$A$3:$A$12,'SoBCaICbIC-urbanresidential'!$A5,'Cost Breakdowns'!$F$3:$F$12,"ISIC 69T82"))*'Factors applied'!$E$80</f>
        <v>0</v>
      </c>
      <c r="AV5">
        <f>(SUMIFS('Cost Breakdowns'!$E$3:$E$12,'Cost Breakdowns'!$A$3:$A$12,'SoBCaICbIC-urbanresidential'!$A5,'Cost Breakdowns'!$F$3:$F$12,"ISIC 84"))</f>
        <v>0</v>
      </c>
      <c r="AW5">
        <f>(SUMIFS('Cost Breakdowns'!$E$3:$E$12,'Cost Breakdowns'!$A$3:$A$12,'SoBCaICbIC-urbanresidential'!$A5,'Cost Breakdowns'!$F$3:$F$12,"ISIC 85"))</f>
        <v>0</v>
      </c>
      <c r="AX5">
        <f>(SUMIFS('Cost Breakdowns'!$E$3:$E$12,'Cost Breakdowns'!$A$3:$A$12,'SoBCaICbIC-urbanresidential'!$A5,'Cost Breakdowns'!$F$3:$F$12,"ISIC 86T88"))</f>
        <v>0</v>
      </c>
      <c r="AY5">
        <f>(SUMIFS('Cost Breakdowns'!$E$3:$E$12,'Cost Breakdowns'!$A$3:$A$12,'SoBCaICbIC-urbanresidential'!$A5,'Cost Breakdowns'!$F$3:$F$12,"ISIC 90T96"))*'Factors applied'!$E$81</f>
        <v>0</v>
      </c>
      <c r="AZ5">
        <f>(SUMIFS('Cost Breakdowns'!$E$3:$E$12,'Cost Breakdowns'!$A$3:$A$12,'SoBCaICbIC-urbanresidential'!$A5,'Cost Breakdowns'!$F$3:$F$12,"ISIC 90T96"))*'Factors applied'!$E$82</f>
        <v>0</v>
      </c>
      <c r="BA5">
        <f>(SUMIFS('Cost Breakdowns'!$E$3:$E$12,'Cost Breakdowns'!$A$3:$A$12,'SoBCaICbIC-urbanresidential'!$A5,'Cost Breakdowns'!$F$3:$F$12,"ISIC 97T98"))</f>
        <v>0</v>
      </c>
    </row>
    <row r="6" spans="1:53" x14ac:dyDescent="0.25">
      <c r="A6" t="s">
        <v>40</v>
      </c>
      <c r="B6">
        <f>(SUMIFS('Cost Breakdowns'!$E$3:$E$12,'Cost Breakdowns'!$A$3:$A$12,'SoBCaICbIC-urbanresidential'!$A6,'Cost Breakdowns'!$F$3:$F$12,"ISIC 01T03"))*'Factors applied'!$E$3</f>
        <v>0</v>
      </c>
      <c r="C6">
        <f>(SUMIFS('Cost Breakdowns'!$E$3:$E$12,'Cost Breakdowns'!$A$3:$A$12,'SoBCaICbIC-urbanresidential'!$A6,'Cost Breakdowns'!$F$3:$F$12,"ISIC 01T03"))*'Factors applied'!$E$4</f>
        <v>0</v>
      </c>
      <c r="D6">
        <f>(SUMIFS('Cost Breakdowns'!$E$3:$E$12,'Cost Breakdowns'!$A$3:$A$12,'SoBCaICbIC-urbanresidential'!$A6,'Cost Breakdowns'!$F$3:$F$12,"ISIC 01T03"))*'Factors applied'!$E$5</f>
        <v>0</v>
      </c>
      <c r="E6">
        <f>(SUMIFS('Cost Breakdowns'!$E$3:$E$12,'Cost Breakdowns'!$A$3:$A$12,'SoBCaICbIC-urbanresidential'!$A6,'Cost Breakdowns'!$F$3:$F$12,"ISIC 05"))</f>
        <v>0</v>
      </c>
      <c r="F6">
        <f>(SUMIFS('Cost Breakdowns'!$E$3:$E$12,'Cost Breakdowns'!$A$3:$A$12,'SoBCaICbIC-urbanresidential'!$A6,'Cost Breakdowns'!$F$3:$F$12,"ISIC 06"))</f>
        <v>0</v>
      </c>
      <c r="G6">
        <f>(SUMIFS('Cost Breakdowns'!$E$3:$E$12,'Cost Breakdowns'!$A$3:$A$12,'SoBCaICbIC-urbanresidential'!$A6,'Cost Breakdowns'!$F$3:$F$12,"ISIC 07T08"))*'Factors applied'!$E$6</f>
        <v>0</v>
      </c>
      <c r="H6">
        <f>(SUMIFS('Cost Breakdowns'!$E$3:$E$12,'Cost Breakdowns'!$A$3:$A$12,'SoBCaICbIC-urbanresidential'!$A6,'Cost Breakdowns'!$F$3:$F$12,"ISIC 07T08"))*'Factors applied'!$E$7</f>
        <v>0</v>
      </c>
      <c r="I6">
        <f>(SUMIFS('Cost Breakdowns'!$E$3:$E$12,'Cost Breakdowns'!$A$3:$A$12,'SoBCaICbIC-urbanresidential'!$A6,'Cost Breakdowns'!$F$3:$F$12,"ISIC 09"))</f>
        <v>0</v>
      </c>
      <c r="J6">
        <f>(SUMIFS('Cost Breakdowns'!$E$3:$E$12,'Cost Breakdowns'!$A$3:$A$12,'SoBCaICbIC-urbanresidential'!$A6,'Cost Breakdowns'!$F$3:$F$12,"ISIC 10T12"))</f>
        <v>0</v>
      </c>
      <c r="K6">
        <f>(SUMIFS('Cost Breakdowns'!$E$3:$E$12,'Cost Breakdowns'!$A$3:$A$12,'SoBCaICbIC-urbanresidential'!$A6,'Cost Breakdowns'!$F$3:$F$12,"ISIC 13T15"))</f>
        <v>0</v>
      </c>
      <c r="L6">
        <f>(SUMIFS('Cost Breakdowns'!$E$3:$E$12,'Cost Breakdowns'!$A$3:$A$12,'SoBCaICbIC-urbanresidential'!$A6,'Cost Breakdowns'!$F$3:$F$12,"ISIC 16"))</f>
        <v>0</v>
      </c>
      <c r="M6">
        <f>(SUMIFS('Cost Breakdowns'!$E$3:$E$12,'Cost Breakdowns'!$A$3:$A$12,'SoBCaICbIC-urbanresidential'!$A6,'Cost Breakdowns'!$F$3:$F$12,"ISIC 17T18"))</f>
        <v>0</v>
      </c>
      <c r="N6">
        <f>(SUMIFS('Cost Breakdowns'!$E$3:$E$12,'Cost Breakdowns'!$A$3:$A$12,'SoBCaICbIC-urbanresidential'!$A6,'Cost Breakdowns'!$F$3:$F$12,"ISIC 19"))</f>
        <v>0</v>
      </c>
      <c r="O6">
        <f>(SUMIFS('Cost Breakdowns'!$E$3:$E$12,'Cost Breakdowns'!$A$3:$A$12,'SoBCaICbIC-urbanresidential'!$A6,'Cost Breakdowns'!$F$3:$F$12,"ISIC 20"))</f>
        <v>0</v>
      </c>
      <c r="P6">
        <f>(SUMIFS('Cost Breakdowns'!$E$3:$E$12,'Cost Breakdowns'!$A$3:$A$12,'SoBCaICbIC-urbanresidential'!$A6,'Cost Breakdowns'!$F$3:$F$12,"ISIC 21"))</f>
        <v>0</v>
      </c>
      <c r="Q6">
        <f>(SUMIFS('Cost Breakdowns'!$E$3:$E$12,'Cost Breakdowns'!$A$3:$A$12,'SoBCaICbIC-urbanresidential'!$A6,'Cost Breakdowns'!$F$3:$F$12,"ISIC 22"))</f>
        <v>0</v>
      </c>
      <c r="R6">
        <f>(SUMIFS('Cost Breakdowns'!$E$3:$E$12,'Cost Breakdowns'!$A$3:$A$12,'SoBCaICbIC-urbanresidential'!$A6,'Cost Breakdowns'!$F$3:$F$12,"ISIC 231"))</f>
        <v>0</v>
      </c>
      <c r="S6">
        <f>(SUMIFS('Cost Breakdowns'!$E$3:$E$12,'Cost Breakdowns'!$A$3:$A$12,'SoBCaICbIC-urbanresidential'!$A6,'Cost Breakdowns'!$F$3:$F$12,"ISIC 239"))</f>
        <v>0</v>
      </c>
      <c r="T6">
        <f>(SUMIFS('Cost Breakdowns'!$E$3:$E$12,'Cost Breakdowns'!$A$3:$A$12,'SoBCaICbIC-urbanresidential'!$A6,'Cost Breakdowns'!$F$3:$F$12,"ISIC 241"))</f>
        <v>0</v>
      </c>
      <c r="U6">
        <f>(SUMIFS('Cost Breakdowns'!$E$3:$E$12,'Cost Breakdowns'!$A$3:$A$12,'SoBCaICbIC-urbanresidential'!$A6,'Cost Breakdowns'!$F$3:$F$12,"ISIC 242"))</f>
        <v>0</v>
      </c>
      <c r="V6">
        <f>(SUMIFS('Cost Breakdowns'!$E$3:$E$12,'Cost Breakdowns'!$A$3:$A$12,'SoBCaICbIC-urbanresidential'!$A6,'Cost Breakdowns'!$F$3:$F$12,"ISIC 25"))</f>
        <v>0</v>
      </c>
      <c r="W6">
        <f>(SUMIFS('Cost Breakdowns'!$E$3:$E$12,'Cost Breakdowns'!$A$3:$A$12,'SoBCaICbIC-urbanresidential'!$A6,'Cost Breakdowns'!$F$3:$F$12,"ISIC 26"))</f>
        <v>0</v>
      </c>
      <c r="X6">
        <f>(SUMIFS('Cost Breakdowns'!$E$3:$E$12,'Cost Breakdowns'!$A$3:$A$12,'SoBCaICbIC-urbanresidential'!$A6,'Cost Breakdowns'!$F$3:$F$12,"ISIC 27"))</f>
        <v>0.75439886948727197</v>
      </c>
      <c r="Y6">
        <f>(SUMIFS('Cost Breakdowns'!$E$3:$E$12,'Cost Breakdowns'!$A$3:$A$12,'SoBCaICbIC-urbanresidential'!$A6,'Cost Breakdowns'!$F$3:$F$12,"ISIC 28"))</f>
        <v>0</v>
      </c>
      <c r="Z6">
        <f>(SUMIFS('Cost Breakdowns'!$E$3:$E$12,'Cost Breakdowns'!$A$3:$A$12,'SoBCaICbIC-urbanresidential'!$A6,'Cost Breakdowns'!$F$3:$F$12,"ISIC 29"))</f>
        <v>0</v>
      </c>
      <c r="AA6">
        <f>(SUMIFS('Cost Breakdowns'!$E$3:$E$12,'Cost Breakdowns'!$A$3:$A$12,'SoBCaICbIC-urbanresidential'!$A6,'Cost Breakdowns'!$F$3:$F$12,"ISIC 30"))*'Factors applied'!$E$8</f>
        <v>0</v>
      </c>
      <c r="AB6">
        <f>(SUMIFS('Cost Breakdowns'!$E$3:$E$12,'Cost Breakdowns'!$A$3:$A$12,'SoBCaICbIC-urbanresidential'!$A6,'Cost Breakdowns'!$F$3:$F$12,"ISIC 30"))*'Factors applied'!$E$9</f>
        <v>0</v>
      </c>
      <c r="AC6">
        <f>(SUMIFS('Cost Breakdowns'!$E$3:$E$12,'Cost Breakdowns'!$A$3:$A$12,'SoBCaICbIC-urbanresidential'!$A6,'Cost Breakdowns'!$F$3:$F$12,"ISIC 31T33"))</f>
        <v>0</v>
      </c>
      <c r="AD6">
        <f>(SUMIFS('Cost Breakdowns'!$E$3:$E$12,'Cost Breakdowns'!$A$3:$A$12,'SoBCaICbIC-urbanresidential'!$A6,'Cost Breakdowns'!$F$3:$F$12,"ISIC 351"))</f>
        <v>0</v>
      </c>
      <c r="AE6">
        <f>(SUMIFS('Cost Breakdowns'!$E$3:$E$12,'Cost Breakdowns'!$A$3:$A$12,'SoBCaICbIC-urbanresidential'!$A6,'Cost Breakdowns'!$F$3:$F$12,"ISIC 352T353"))</f>
        <v>0</v>
      </c>
      <c r="AF6">
        <f>(SUMIFS('Cost Breakdowns'!$E$3:$E$12,'Cost Breakdowns'!$A$3:$A$12,'SoBCaICbIC-urbanresidential'!$A6,'Cost Breakdowns'!$F$3:$F$12,"ISIC 36T39"))</f>
        <v>0</v>
      </c>
      <c r="AG6">
        <f>(SUMIFS('Cost Breakdowns'!$E$3:$E$12,'Cost Breakdowns'!$A$3:$A$12,'SoBCaICbIC-urbanresidential'!$A6,'Cost Breakdowns'!$F$3:$F$12,"ISIC 41T43"))</f>
        <v>0.24560113051272803</v>
      </c>
      <c r="AH6">
        <f>(SUMIFS('Cost Breakdowns'!$E$3:$E$12,'Cost Breakdowns'!$A$3:$A$12,'SoBCaICbIC-urbanresidential'!$A6,'Cost Breakdowns'!$F$3:$F$12,"ISIC 45T47"))</f>
        <v>0</v>
      </c>
      <c r="AI6">
        <f>(SUMIFS('Cost Breakdowns'!$E$3:$E$12,'Cost Breakdowns'!$A$3:$A$12,'SoBCaICbIC-urbanresidential'!$A6,'Cost Breakdowns'!$F$3:$F$12,"ISIC 49T53"))*'Factors applied'!$E$10</f>
        <v>0</v>
      </c>
      <c r="AJ6">
        <f>(SUMIFS('Cost Breakdowns'!$E$3:$E$12,'Cost Breakdowns'!$A$3:$A$12,'SoBCaICbIC-urbanresidential'!$A6,'Cost Breakdowns'!$F$3:$F$12,"ISIC 49T53"))*'Factors applied'!$E$11</f>
        <v>0</v>
      </c>
      <c r="AK6">
        <f>(SUMIFS('Cost Breakdowns'!$E$3:$E$12,'Cost Breakdowns'!$A$3:$A$12,'SoBCaICbIC-urbanresidential'!$A6,'Cost Breakdowns'!$F$3:$F$12,"ISIC 49T53"))*'Factors applied'!$E$12</f>
        <v>0</v>
      </c>
      <c r="AL6">
        <f>(SUMIFS('Cost Breakdowns'!$E$3:$E$12,'Cost Breakdowns'!$A$3:$A$12,'SoBCaICbIC-urbanresidential'!$A6,'Cost Breakdowns'!$F$3:$F$12,"ISIC 49T53"))*'Factors applied'!$E$13</f>
        <v>0</v>
      </c>
      <c r="AM6">
        <f>(SUMIFS('Cost Breakdowns'!$E$3:$E$12,'Cost Breakdowns'!$A$3:$A$12,'SoBCaICbIC-urbanresidential'!$A6,'Cost Breakdowns'!$F$3:$F$12,"ISIC 49T53"))*'Factors applied'!$E$14</f>
        <v>0</v>
      </c>
      <c r="AN6">
        <f>(SUMIFS('Cost Breakdowns'!$E$3:$E$12,'Cost Breakdowns'!$A$3:$A$12,'SoBCaICbIC-urbanresidential'!$A6,'Cost Breakdowns'!$F$3:$F$12,"ISIC 55T56"))</f>
        <v>0</v>
      </c>
      <c r="AO6">
        <f>(SUMIFS('Cost Breakdowns'!$E$3:$E$12,'Cost Breakdowns'!$A$3:$A$12,'SoBCaICbIC-urbanresidential'!$A6,'Cost Breakdowns'!$F$3:$F$12,"ISIC 58T60"))</f>
        <v>0</v>
      </c>
      <c r="AP6">
        <f>(SUMIFS('Cost Breakdowns'!$E$3:$E$12,'Cost Breakdowns'!$A$3:$A$12,'SoBCaICbIC-urbanresidential'!$A6,'Cost Breakdowns'!$F$3:$F$12,"ISIC 61"))</f>
        <v>0</v>
      </c>
      <c r="AQ6">
        <f>(SUMIFS('Cost Breakdowns'!$E$3:$E$12,'Cost Breakdowns'!$A$3:$A$12,'SoBCaICbIC-urbanresidential'!$A6,'Cost Breakdowns'!$F$3:$F$12,"ISIC 62T63"))</f>
        <v>0</v>
      </c>
      <c r="AR6">
        <f>(SUMIFS('Cost Breakdowns'!$E$3:$E$12,'Cost Breakdowns'!$A$3:$A$12,'SoBCaICbIC-urbanresidential'!$A6,'Cost Breakdowns'!$F$3:$F$12,"ISIC 64T66"))</f>
        <v>0</v>
      </c>
      <c r="AS6">
        <f>(SUMIFS('Cost Breakdowns'!$E$3:$E$12,'Cost Breakdowns'!$A$3:$A$12,'SoBCaICbIC-urbanresidential'!$A6,'Cost Breakdowns'!$F$3:$F$12,"ISIC 68"))</f>
        <v>0</v>
      </c>
      <c r="AT6">
        <f>(SUMIFS('Cost Breakdowns'!$E$3:$E$12,'Cost Breakdowns'!$A$3:$A$12,'SoBCaICbIC-urbanresidential'!$A6,'Cost Breakdowns'!$F$3:$F$12,"ISIC 69T82"))*'Factors applied'!$E$15</f>
        <v>0</v>
      </c>
      <c r="AU6">
        <f>(SUMIFS('Cost Breakdowns'!$E$3:$E$12,'Cost Breakdowns'!$A$3:$A$12,'SoBCaICbIC-urbanresidential'!$A6,'Cost Breakdowns'!$F$3:$F$12,"ISIC 69T82"))*'Factors applied'!$E$16</f>
        <v>0</v>
      </c>
      <c r="AV6">
        <f>(SUMIFS('Cost Breakdowns'!$E$3:$E$12,'Cost Breakdowns'!$A$3:$A$12,'SoBCaICbIC-urbanresidential'!$A6,'Cost Breakdowns'!$F$3:$F$12,"ISIC 84"))</f>
        <v>0</v>
      </c>
      <c r="AW6">
        <f>(SUMIFS('Cost Breakdowns'!$E$3:$E$12,'Cost Breakdowns'!$A$3:$A$12,'SoBCaICbIC-urbanresidential'!$A6,'Cost Breakdowns'!$F$3:$F$12,"ISIC 85"))</f>
        <v>0</v>
      </c>
      <c r="AX6">
        <f>(SUMIFS('Cost Breakdowns'!$E$3:$E$12,'Cost Breakdowns'!$A$3:$A$12,'SoBCaICbIC-urbanresidential'!$A6,'Cost Breakdowns'!$F$3:$F$12,"ISIC 86T88"))</f>
        <v>0</v>
      </c>
      <c r="AY6">
        <f>(SUMIFS('Cost Breakdowns'!$E$3:$E$12,'Cost Breakdowns'!$A$3:$A$12,'SoBCaICbIC-urbanresidential'!$A6,'Cost Breakdowns'!$F$3:$F$12,"ISIC 90T96"))*'Factors applied'!$E$17</f>
        <v>0</v>
      </c>
      <c r="AZ6">
        <f>(SUMIFS('Cost Breakdowns'!$E$3:$E$12,'Cost Breakdowns'!$A$3:$A$12,'SoBCaICbIC-urbanresidential'!$A6,'Cost Breakdowns'!$F$3:$F$12,"ISIC 90T96"))*'Factors applied'!$E$18</f>
        <v>0</v>
      </c>
      <c r="BA6">
        <f>(SUMIFS('Cost Breakdowns'!$E$3:$E$12,'Cost Breakdowns'!$A$3:$A$12,'SoBCaICbIC-urbanresidential'!$A6,'Cost Breakdowns'!$F$3:$F$12,"ISIC 97T98"))</f>
        <v>0</v>
      </c>
    </row>
    <row r="7" spans="1:53" x14ac:dyDescent="0.25">
      <c r="A7" t="s">
        <v>69</v>
      </c>
      <c r="B7">
        <f>(SUMIFS('Cost Breakdowns'!$E$3:$E$12,'Cost Breakdowns'!$A$3:$A$12,'SoBCaICbIC-urbanresidential'!$A7,'Cost Breakdowns'!$F$3:$F$12,"ISIC 01T03"))*'Factors applied'!$E$83</f>
        <v>0</v>
      </c>
      <c r="C7">
        <f>(SUMIFS('Cost Breakdowns'!$E$3:$E$12,'Cost Breakdowns'!$A$3:$A$12,'SoBCaICbIC-urbanresidential'!$A7,'Cost Breakdowns'!$F$3:$F$12,"ISIC 01T03"))*'Factors applied'!$E$84</f>
        <v>0</v>
      </c>
      <c r="D7">
        <f>(SUMIFS('Cost Breakdowns'!$E$3:$E$12,'Cost Breakdowns'!$A$3:$A$12,'SoBCaICbIC-urbanresidential'!$A7,'Cost Breakdowns'!$F$3:$F$12,"ISIC 01T03"))*'Factors applied'!$E$85</f>
        <v>0</v>
      </c>
      <c r="E7">
        <f>(SUMIFS('Cost Breakdowns'!$E$3:$E$12,'Cost Breakdowns'!$A$3:$A$12,'SoBCaICbIC-urbanresidential'!$A7,'Cost Breakdowns'!$F$3:$F$12,"ISIC 05"))</f>
        <v>0</v>
      </c>
      <c r="F7">
        <f>(SUMIFS('Cost Breakdowns'!$E$3:$E$12,'Cost Breakdowns'!$A$3:$A$12,'SoBCaICbIC-urbanresidential'!$A7,'Cost Breakdowns'!$F$3:$F$12,"ISIC 06"))</f>
        <v>0</v>
      </c>
      <c r="G7">
        <f>(SUMIFS('Cost Breakdowns'!$E$3:$E$12,'Cost Breakdowns'!$A$3:$A$12,'SoBCaICbIC-urbanresidential'!$A7,'Cost Breakdowns'!$F$3:$F$12,"ISIC 07T08"))*'Factors applied'!$E$86</f>
        <v>0</v>
      </c>
      <c r="H7">
        <f>(SUMIFS('Cost Breakdowns'!$E$3:$E$12,'Cost Breakdowns'!$A$3:$A$12,'SoBCaICbIC-urbanresidential'!$A7,'Cost Breakdowns'!$F$3:$F$12,"ISIC 07T08"))*'Factors applied'!$E$87</f>
        <v>0</v>
      </c>
      <c r="I7">
        <f>(SUMIFS('Cost Breakdowns'!$E$3:$E$12,'Cost Breakdowns'!$A$3:$A$12,'SoBCaICbIC-urbanresidential'!$A7,'Cost Breakdowns'!$F$3:$F$12,"ISIC 09"))</f>
        <v>0</v>
      </c>
      <c r="J7">
        <f>(SUMIFS('Cost Breakdowns'!$E$3:$E$12,'Cost Breakdowns'!$A$3:$A$12,'SoBCaICbIC-urbanresidential'!$A7,'Cost Breakdowns'!$F$3:$F$12,"ISIC 10T12"))</f>
        <v>0</v>
      </c>
      <c r="K7">
        <f>(SUMIFS('Cost Breakdowns'!$E$3:$E$12,'Cost Breakdowns'!$A$3:$A$12,'SoBCaICbIC-urbanresidential'!$A7,'Cost Breakdowns'!$F$3:$F$12,"ISIC 13T15"))</f>
        <v>0</v>
      </c>
      <c r="L7">
        <f>(SUMIFS('Cost Breakdowns'!$E$3:$E$12,'Cost Breakdowns'!$A$3:$A$12,'SoBCaICbIC-urbanresidential'!$A7,'Cost Breakdowns'!$F$3:$F$12,"ISIC 16"))</f>
        <v>0</v>
      </c>
      <c r="M7">
        <f>(SUMIFS('Cost Breakdowns'!$E$3:$E$12,'Cost Breakdowns'!$A$3:$A$12,'SoBCaICbIC-urbanresidential'!$A7,'Cost Breakdowns'!$F$3:$F$12,"ISIC 17T18"))</f>
        <v>0</v>
      </c>
      <c r="N7">
        <f>(SUMIFS('Cost Breakdowns'!$E$3:$E$12,'Cost Breakdowns'!$A$3:$A$12,'SoBCaICbIC-urbanresidential'!$A7,'Cost Breakdowns'!$F$3:$F$12,"ISIC 19"))</f>
        <v>0</v>
      </c>
      <c r="O7">
        <f>(SUMIFS('Cost Breakdowns'!$E$3:$E$12,'Cost Breakdowns'!$A$3:$A$12,'SoBCaICbIC-urbanresidential'!$A7,'Cost Breakdowns'!$F$3:$F$12,"ISIC 20"))</f>
        <v>0</v>
      </c>
      <c r="P7">
        <f>(SUMIFS('Cost Breakdowns'!$E$3:$E$12,'Cost Breakdowns'!$A$3:$A$12,'SoBCaICbIC-urbanresidential'!$A7,'Cost Breakdowns'!$F$3:$F$12,"ISIC 21"))</f>
        <v>0</v>
      </c>
      <c r="Q7">
        <f>(SUMIFS('Cost Breakdowns'!$E$3:$E$12,'Cost Breakdowns'!$A$3:$A$12,'SoBCaICbIC-urbanresidential'!$A7,'Cost Breakdowns'!$F$3:$F$12,"ISIC 22"))</f>
        <v>0</v>
      </c>
      <c r="R7">
        <f>(SUMIFS('Cost Breakdowns'!$E$3:$E$12,'Cost Breakdowns'!$A$3:$A$12,'SoBCaICbIC-urbanresidential'!$A7,'Cost Breakdowns'!$F$3:$F$12,"ISIC 231"))</f>
        <v>0</v>
      </c>
      <c r="S7">
        <f>(SUMIFS('Cost Breakdowns'!$E$3:$E$12,'Cost Breakdowns'!$A$3:$A$12,'SoBCaICbIC-urbanresidential'!$A7,'Cost Breakdowns'!$F$3:$F$12,"ISIC 239"))</f>
        <v>0</v>
      </c>
      <c r="T7">
        <f>(SUMIFS('Cost Breakdowns'!$E$3:$E$12,'Cost Breakdowns'!$A$3:$A$12,'SoBCaICbIC-urbanresidential'!$A7,'Cost Breakdowns'!$F$3:$F$12,"ISIC 241"))</f>
        <v>0</v>
      </c>
      <c r="U7">
        <f>(SUMIFS('Cost Breakdowns'!$E$3:$E$12,'Cost Breakdowns'!$A$3:$A$12,'SoBCaICbIC-urbanresidential'!$A7,'Cost Breakdowns'!$F$3:$F$12,"ISIC 242"))</f>
        <v>0</v>
      </c>
      <c r="V7">
        <f>(SUMIFS('Cost Breakdowns'!$E$3:$E$12,'Cost Breakdowns'!$A$3:$A$12,'SoBCaICbIC-urbanresidential'!$A7,'Cost Breakdowns'!$F$3:$F$12,"ISIC 25"))</f>
        <v>0</v>
      </c>
      <c r="W7">
        <f>(SUMIFS('Cost Breakdowns'!$E$3:$E$12,'Cost Breakdowns'!$A$3:$A$12,'SoBCaICbIC-urbanresidential'!$A7,'Cost Breakdowns'!$F$3:$F$12,"ISIC 26"))</f>
        <v>0</v>
      </c>
      <c r="X7">
        <f>(SUMIFS('Cost Breakdowns'!$E$3:$E$12,'Cost Breakdowns'!$A$3:$A$12,'SoBCaICbIC-urbanresidential'!$A7,'Cost Breakdowns'!$F$3:$F$12,"ISIC 27"))</f>
        <v>0.75439886948727197</v>
      </c>
      <c r="Y7">
        <f>(SUMIFS('Cost Breakdowns'!$E$3:$E$12,'Cost Breakdowns'!$A$3:$A$12,'SoBCaICbIC-urbanresidential'!$A7,'Cost Breakdowns'!$F$3:$F$12,"ISIC 28"))</f>
        <v>0</v>
      </c>
      <c r="Z7">
        <f>(SUMIFS('Cost Breakdowns'!$E$3:$E$12,'Cost Breakdowns'!$A$3:$A$12,'SoBCaICbIC-urbanresidential'!$A7,'Cost Breakdowns'!$F$3:$F$12,"ISIC 29"))</f>
        <v>0</v>
      </c>
      <c r="AA7">
        <f>(SUMIFS('Cost Breakdowns'!$E$3:$E$12,'Cost Breakdowns'!$A$3:$A$12,'SoBCaICbIC-urbanresidential'!$A7,'Cost Breakdowns'!$F$3:$F$12,"ISIC 30"))*'Factors applied'!$E$88</f>
        <v>0</v>
      </c>
      <c r="AB7">
        <f>(SUMIFS('Cost Breakdowns'!$E$3:$E$12,'Cost Breakdowns'!$A$3:$A$12,'SoBCaICbIC-urbanresidential'!$A7,'Cost Breakdowns'!$F$3:$F$12,"ISIC 30"))*'Factors applied'!$E$89</f>
        <v>0</v>
      </c>
      <c r="AC7">
        <f>(SUMIFS('Cost Breakdowns'!$E$3:$E$12,'Cost Breakdowns'!$A$3:$A$12,'SoBCaICbIC-urbanresidential'!$A7,'Cost Breakdowns'!$F$3:$F$12,"ISIC 31T33"))</f>
        <v>0</v>
      </c>
      <c r="AD7">
        <f>(SUMIFS('Cost Breakdowns'!$E$3:$E$12,'Cost Breakdowns'!$A$3:$A$12,'SoBCaICbIC-urbanresidential'!$A7,'Cost Breakdowns'!$F$3:$F$12,"ISIC 351"))</f>
        <v>0</v>
      </c>
      <c r="AE7">
        <f>(SUMIFS('Cost Breakdowns'!$E$3:$E$12,'Cost Breakdowns'!$A$3:$A$12,'SoBCaICbIC-urbanresidential'!$A7,'Cost Breakdowns'!$F$3:$F$12,"ISIC 352T353"))</f>
        <v>0</v>
      </c>
      <c r="AF7">
        <f>(SUMIFS('Cost Breakdowns'!$E$3:$E$12,'Cost Breakdowns'!$A$3:$A$12,'SoBCaICbIC-urbanresidential'!$A7,'Cost Breakdowns'!$F$3:$F$12,"ISIC 36T39"))</f>
        <v>0</v>
      </c>
      <c r="AG7">
        <f>(SUMIFS('Cost Breakdowns'!$E$3:$E$12,'Cost Breakdowns'!$A$3:$A$12,'SoBCaICbIC-urbanresidential'!$A7,'Cost Breakdowns'!$F$3:$F$12,"ISIC 41T43"))</f>
        <v>0.24560113051272803</v>
      </c>
      <c r="AH7">
        <f>(SUMIFS('Cost Breakdowns'!$E$3:$E$12,'Cost Breakdowns'!$A$3:$A$12,'SoBCaICbIC-urbanresidential'!$A7,'Cost Breakdowns'!$F$3:$F$12,"ISIC 45T47"))</f>
        <v>0</v>
      </c>
      <c r="AI7">
        <f>(SUMIFS('Cost Breakdowns'!$E$3:$E$12,'Cost Breakdowns'!$A$3:$A$12,'SoBCaICbIC-urbanresidential'!$A7,'Cost Breakdowns'!$F$3:$F$12,"ISIC 49T53"))*'Factors applied'!$E$90</f>
        <v>0</v>
      </c>
      <c r="AJ7">
        <f>(SUMIFS('Cost Breakdowns'!$E$3:$E$12,'Cost Breakdowns'!$A$3:$A$12,'SoBCaICbIC-urbanresidential'!$A7,'Cost Breakdowns'!$F$3:$F$12,"ISIC 49T53"))*'Factors applied'!$E$91</f>
        <v>0</v>
      </c>
      <c r="AK7">
        <f>(SUMIFS('Cost Breakdowns'!$E$3:$E$12,'Cost Breakdowns'!$A$3:$A$12,'SoBCaICbIC-urbanresidential'!$A7,'Cost Breakdowns'!$F$3:$F$12,"ISIC 49T53"))*'Factors applied'!$E$92</f>
        <v>0</v>
      </c>
      <c r="AL7">
        <f>(SUMIFS('Cost Breakdowns'!$E$3:$E$12,'Cost Breakdowns'!$A$3:$A$12,'SoBCaICbIC-urbanresidential'!$A7,'Cost Breakdowns'!$F$3:$F$12,"ISIC 49T53"))*'Factors applied'!$E$93</f>
        <v>0</v>
      </c>
      <c r="AM7">
        <f>(SUMIFS('Cost Breakdowns'!$E$3:$E$12,'Cost Breakdowns'!$A$3:$A$12,'SoBCaICbIC-urbanresidential'!$A7,'Cost Breakdowns'!$F$3:$F$12,"ISIC 49T53"))*'Factors applied'!$E$94</f>
        <v>0</v>
      </c>
      <c r="AN7">
        <f>(SUMIFS('Cost Breakdowns'!$E$3:$E$12,'Cost Breakdowns'!$A$3:$A$12,'SoBCaICbIC-urbanresidential'!$A7,'Cost Breakdowns'!$F$3:$F$12,"ISIC 55T56"))</f>
        <v>0</v>
      </c>
      <c r="AO7">
        <f>(SUMIFS('Cost Breakdowns'!$E$3:$E$12,'Cost Breakdowns'!$A$3:$A$12,'SoBCaICbIC-urbanresidential'!$A7,'Cost Breakdowns'!$F$3:$F$12,"ISIC 58T60"))</f>
        <v>0</v>
      </c>
      <c r="AP7">
        <f>(SUMIFS('Cost Breakdowns'!$E$3:$E$12,'Cost Breakdowns'!$A$3:$A$12,'SoBCaICbIC-urbanresidential'!$A7,'Cost Breakdowns'!$F$3:$F$12,"ISIC 61"))</f>
        <v>0</v>
      </c>
      <c r="AQ7">
        <f>(SUMIFS('Cost Breakdowns'!$E$3:$E$12,'Cost Breakdowns'!$A$3:$A$12,'SoBCaICbIC-urbanresidential'!$A7,'Cost Breakdowns'!$F$3:$F$12,"ISIC 62T63"))</f>
        <v>0</v>
      </c>
      <c r="AR7">
        <f>(SUMIFS('Cost Breakdowns'!$E$3:$E$12,'Cost Breakdowns'!$A$3:$A$12,'SoBCaICbIC-urbanresidential'!$A7,'Cost Breakdowns'!$F$3:$F$12,"ISIC 64T66"))</f>
        <v>0</v>
      </c>
      <c r="AS7">
        <f>(SUMIFS('Cost Breakdowns'!$E$3:$E$12,'Cost Breakdowns'!$A$3:$A$12,'SoBCaICbIC-urbanresidential'!$A7,'Cost Breakdowns'!$F$3:$F$12,"ISIC 68"))</f>
        <v>0</v>
      </c>
      <c r="AT7">
        <f>(SUMIFS('Cost Breakdowns'!$E$3:$E$12,'Cost Breakdowns'!$A$3:$A$12,'SoBCaICbIC-urbanresidential'!$A7,'Cost Breakdowns'!$F$3:$F$12,"ISIC 69T82"))*'Factors applied'!$E$95</f>
        <v>0</v>
      </c>
      <c r="AU7">
        <f>(SUMIFS('Cost Breakdowns'!$E$3:$E$12,'Cost Breakdowns'!$A$3:$A$12,'SoBCaICbIC-urbanresidential'!$A7,'Cost Breakdowns'!$F$3:$F$12,"ISIC 69T82"))*'Factors applied'!$E$96</f>
        <v>0</v>
      </c>
      <c r="AV7">
        <f>(SUMIFS('Cost Breakdowns'!$E$3:$E$12,'Cost Breakdowns'!$A$3:$A$12,'SoBCaICbIC-urbanresidential'!$A7,'Cost Breakdowns'!$F$3:$F$12,"ISIC 84"))</f>
        <v>0</v>
      </c>
      <c r="AW7">
        <f>(SUMIFS('Cost Breakdowns'!$E$3:$E$12,'Cost Breakdowns'!$A$3:$A$12,'SoBCaICbIC-urbanresidential'!$A7,'Cost Breakdowns'!$F$3:$F$12,"ISIC 85"))</f>
        <v>0</v>
      </c>
      <c r="AX7">
        <f>(SUMIFS('Cost Breakdowns'!$E$3:$E$12,'Cost Breakdowns'!$A$3:$A$12,'SoBCaICbIC-urbanresidential'!$A7,'Cost Breakdowns'!$F$3:$F$12,"ISIC 86T88"))</f>
        <v>0</v>
      </c>
      <c r="AY7">
        <f>(SUMIFS('Cost Breakdowns'!$E$3:$E$12,'Cost Breakdowns'!$A$3:$A$12,'SoBCaICbIC-urbanresidential'!$A7,'Cost Breakdowns'!$F$3:$F$12,"ISIC 90T96"))*'Factors applied'!$E$97</f>
        <v>0</v>
      </c>
      <c r="AZ7">
        <f>(SUMIFS('Cost Breakdowns'!$E$3:$E$12,'Cost Breakdowns'!$A$3:$A$12,'SoBCaICbIC-urbanresidential'!$A7,'Cost Breakdowns'!$F$3:$F$12,"ISIC 90T96"))*'Factors applied'!$E$98</f>
        <v>0</v>
      </c>
      <c r="BA7">
        <f>(SUMIFS('Cost Breakdowns'!$E$3:$E$12,'Cost Breakdowns'!$A$3:$A$12,'SoBCaICbIC-urbanresidential'!$A7,'Cost Breakdowns'!$F$3:$F$12,"ISIC 97T98"))</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12C29-28A3-42C5-9CBA-2CF39BBD5C13}">
  <sheetPr>
    <tabColor rgb="FF1F3864"/>
  </sheetPr>
  <dimension ref="A1:BA7"/>
  <sheetViews>
    <sheetView tabSelected="1" workbookViewId="0"/>
  </sheetViews>
  <sheetFormatPr defaultRowHeight="15" x14ac:dyDescent="0.25"/>
  <sheetData>
    <row r="1" spans="1:53" x14ac:dyDescent="0.25">
      <c r="A1" t="s">
        <v>786</v>
      </c>
      <c r="B1" t="s">
        <v>41</v>
      </c>
      <c r="C1" t="s">
        <v>44</v>
      </c>
      <c r="D1" t="s">
        <v>45</v>
      </c>
      <c r="E1" t="s">
        <v>76</v>
      </c>
      <c r="F1" t="s">
        <v>78</v>
      </c>
      <c r="G1" t="s">
        <v>46</v>
      </c>
      <c r="H1" t="s">
        <v>48</v>
      </c>
      <c r="I1" t="s">
        <v>81</v>
      </c>
      <c r="J1" t="s">
        <v>83</v>
      </c>
      <c r="K1" t="s">
        <v>85</v>
      </c>
      <c r="L1" t="s">
        <v>87</v>
      </c>
      <c r="M1" t="s">
        <v>89</v>
      </c>
      <c r="N1" t="s">
        <v>91</v>
      </c>
      <c r="O1" t="s">
        <v>93</v>
      </c>
      <c r="P1" t="s">
        <v>95</v>
      </c>
      <c r="Q1" t="s">
        <v>97</v>
      </c>
      <c r="R1" t="s">
        <v>99</v>
      </c>
      <c r="S1" t="s">
        <v>101</v>
      </c>
      <c r="T1" t="s">
        <v>103</v>
      </c>
      <c r="U1" t="s">
        <v>105</v>
      </c>
      <c r="V1" t="s">
        <v>107</v>
      </c>
      <c r="W1" t="s">
        <v>109</v>
      </c>
      <c r="X1" t="s">
        <v>111</v>
      </c>
      <c r="Y1" t="s">
        <v>113</v>
      </c>
      <c r="Z1" t="s">
        <v>115</v>
      </c>
      <c r="AA1" t="s">
        <v>49</v>
      </c>
      <c r="AB1" t="s">
        <v>51</v>
      </c>
      <c r="AC1" t="s">
        <v>118</v>
      </c>
      <c r="AD1" t="s">
        <v>120</v>
      </c>
      <c r="AE1" t="s">
        <v>122</v>
      </c>
      <c r="AF1" t="s">
        <v>124</v>
      </c>
      <c r="AG1" t="s">
        <v>126</v>
      </c>
      <c r="AH1" t="s">
        <v>128</v>
      </c>
      <c r="AI1" t="s">
        <v>52</v>
      </c>
      <c r="AJ1" t="s">
        <v>54</v>
      </c>
      <c r="AK1" t="s">
        <v>55</v>
      </c>
      <c r="AL1" t="s">
        <v>56</v>
      </c>
      <c r="AM1" t="s">
        <v>57</v>
      </c>
      <c r="AN1" t="s">
        <v>131</v>
      </c>
      <c r="AO1" t="s">
        <v>133</v>
      </c>
      <c r="AP1" t="s">
        <v>135</v>
      </c>
      <c r="AQ1" t="s">
        <v>137</v>
      </c>
      <c r="AR1" t="s">
        <v>139</v>
      </c>
      <c r="AS1" t="s">
        <v>141</v>
      </c>
      <c r="AT1" t="s">
        <v>58</v>
      </c>
      <c r="AU1" t="s">
        <v>61</v>
      </c>
      <c r="AV1" t="s">
        <v>144</v>
      </c>
      <c r="AW1" t="s">
        <v>146</v>
      </c>
      <c r="AX1" t="s">
        <v>148</v>
      </c>
      <c r="AY1" t="s">
        <v>62</v>
      </c>
      <c r="AZ1" t="s">
        <v>64</v>
      </c>
      <c r="BA1" t="s">
        <v>151</v>
      </c>
    </row>
    <row r="2" spans="1:53" x14ac:dyDescent="0.25">
      <c r="A2" t="s">
        <v>67</v>
      </c>
      <c r="B2">
        <f>'SoBCaICbIC-commercial'!B2</f>
        <v>0</v>
      </c>
      <c r="C2">
        <f>'SoBCaICbIC-commercial'!C2</f>
        <v>0</v>
      </c>
      <c r="D2">
        <f>'SoBCaICbIC-commercial'!D2</f>
        <v>0</v>
      </c>
      <c r="E2">
        <f>'SoBCaICbIC-commercial'!E2</f>
        <v>0</v>
      </c>
      <c r="F2">
        <f>'SoBCaICbIC-commercial'!F2</f>
        <v>0</v>
      </c>
      <c r="G2">
        <f>'SoBCaICbIC-commercial'!G2</f>
        <v>0</v>
      </c>
      <c r="H2">
        <f>'SoBCaICbIC-commercial'!H2</f>
        <v>0</v>
      </c>
      <c r="I2">
        <f>'SoBCaICbIC-commercial'!I2</f>
        <v>0</v>
      </c>
      <c r="J2">
        <f>'SoBCaICbIC-commercial'!J2</f>
        <v>0</v>
      </c>
      <c r="K2">
        <f>'SoBCaICbIC-commercial'!K2</f>
        <v>0</v>
      </c>
      <c r="L2">
        <f>'SoBCaICbIC-commercial'!L2</f>
        <v>0</v>
      </c>
      <c r="M2">
        <f>'SoBCaICbIC-commercial'!M2</f>
        <v>0</v>
      </c>
      <c r="N2">
        <f>'SoBCaICbIC-commercial'!N2</f>
        <v>0</v>
      </c>
      <c r="O2">
        <f>'SoBCaICbIC-commercial'!O2</f>
        <v>0</v>
      </c>
      <c r="P2">
        <f>'SoBCaICbIC-commercial'!P2</f>
        <v>0</v>
      </c>
      <c r="Q2">
        <f>'SoBCaICbIC-commercial'!Q2</f>
        <v>0</v>
      </c>
      <c r="R2">
        <f>'SoBCaICbIC-commercial'!R2</f>
        <v>0</v>
      </c>
      <c r="S2">
        <f>'SoBCaICbIC-commercial'!S2</f>
        <v>0</v>
      </c>
      <c r="T2">
        <f>'SoBCaICbIC-commercial'!T2</f>
        <v>0</v>
      </c>
      <c r="U2">
        <f>'SoBCaICbIC-commercial'!U2</f>
        <v>0</v>
      </c>
      <c r="V2">
        <f>'SoBCaICbIC-commercial'!V2</f>
        <v>0</v>
      </c>
      <c r="W2">
        <f>'SoBCaICbIC-commercial'!W2</f>
        <v>0</v>
      </c>
      <c r="X2">
        <f>'SoBCaICbIC-commercial'!X2</f>
        <v>0</v>
      </c>
      <c r="Y2">
        <f>'SoBCaICbIC-commercial'!Y2</f>
        <v>0.70398750275034405</v>
      </c>
      <c r="Z2">
        <f>'SoBCaICbIC-commercial'!Z2</f>
        <v>0</v>
      </c>
      <c r="AA2">
        <f>'SoBCaICbIC-commercial'!AA2</f>
        <v>0</v>
      </c>
      <c r="AB2">
        <f>'SoBCaICbIC-commercial'!AB2</f>
        <v>0</v>
      </c>
      <c r="AC2">
        <f>'SoBCaICbIC-commercial'!AC2</f>
        <v>0</v>
      </c>
      <c r="AD2">
        <f>'SoBCaICbIC-commercial'!AD2</f>
        <v>0</v>
      </c>
      <c r="AE2">
        <f>'SoBCaICbIC-commercial'!AE2</f>
        <v>0</v>
      </c>
      <c r="AF2">
        <f>'SoBCaICbIC-commercial'!AF2</f>
        <v>0</v>
      </c>
      <c r="AG2">
        <f>'SoBCaICbIC-commercial'!AG2</f>
        <v>0.29601249724965595</v>
      </c>
      <c r="AH2">
        <f>'SoBCaICbIC-commercial'!AH2</f>
        <v>0</v>
      </c>
      <c r="AI2">
        <f>'SoBCaICbIC-commercial'!AI2</f>
        <v>0</v>
      </c>
      <c r="AJ2">
        <f>'SoBCaICbIC-commercial'!AJ2</f>
        <v>0</v>
      </c>
      <c r="AK2">
        <f>'SoBCaICbIC-commercial'!AK2</f>
        <v>0</v>
      </c>
      <c r="AL2">
        <f>'SoBCaICbIC-commercial'!AL2</f>
        <v>0</v>
      </c>
      <c r="AM2">
        <f>'SoBCaICbIC-commercial'!AM2</f>
        <v>0</v>
      </c>
      <c r="AN2">
        <f>'SoBCaICbIC-commercial'!AN2</f>
        <v>0</v>
      </c>
      <c r="AO2">
        <f>'SoBCaICbIC-commercial'!AO2</f>
        <v>0</v>
      </c>
      <c r="AP2">
        <f>'SoBCaICbIC-commercial'!AP2</f>
        <v>0</v>
      </c>
      <c r="AQ2">
        <f>'SoBCaICbIC-commercial'!AQ2</f>
        <v>0</v>
      </c>
      <c r="AR2">
        <f>'SoBCaICbIC-commercial'!AR2</f>
        <v>0</v>
      </c>
      <c r="AS2">
        <f>'SoBCaICbIC-commercial'!AS2</f>
        <v>0</v>
      </c>
      <c r="AT2">
        <f>'SoBCaICbIC-commercial'!AT2</f>
        <v>0</v>
      </c>
      <c r="AU2">
        <f>'SoBCaICbIC-commercial'!AU2</f>
        <v>0</v>
      </c>
      <c r="AV2">
        <f>'SoBCaICbIC-commercial'!AV2</f>
        <v>0</v>
      </c>
      <c r="AW2">
        <f>'SoBCaICbIC-commercial'!AW2</f>
        <v>0</v>
      </c>
      <c r="AX2">
        <f>'SoBCaICbIC-commercial'!AX2</f>
        <v>0</v>
      </c>
      <c r="AY2">
        <f>'SoBCaICbIC-commercial'!AY2</f>
        <v>0</v>
      </c>
      <c r="AZ2">
        <f>'SoBCaICbIC-commercial'!AZ2</f>
        <v>0</v>
      </c>
      <c r="BA2">
        <f>'SoBCaICbIC-commercial'!BA2</f>
        <v>0</v>
      </c>
    </row>
    <row r="3" spans="1:53" x14ac:dyDescent="0.25">
      <c r="A3" t="s">
        <v>65</v>
      </c>
      <c r="B3">
        <f>'SoBCaICbIC-commercial'!B3</f>
        <v>0</v>
      </c>
      <c r="C3">
        <f>'SoBCaICbIC-commercial'!C3</f>
        <v>0</v>
      </c>
      <c r="D3">
        <f>'SoBCaICbIC-commercial'!D3</f>
        <v>0</v>
      </c>
      <c r="E3">
        <f>'SoBCaICbIC-commercial'!E3</f>
        <v>0</v>
      </c>
      <c r="F3">
        <f>'SoBCaICbIC-commercial'!F3</f>
        <v>0</v>
      </c>
      <c r="G3">
        <f>'SoBCaICbIC-commercial'!G3</f>
        <v>0</v>
      </c>
      <c r="H3">
        <f>'SoBCaICbIC-commercial'!H3</f>
        <v>0</v>
      </c>
      <c r="I3">
        <f>'SoBCaICbIC-commercial'!I3</f>
        <v>0</v>
      </c>
      <c r="J3">
        <f>'SoBCaICbIC-commercial'!J3</f>
        <v>0</v>
      </c>
      <c r="K3">
        <f>'SoBCaICbIC-commercial'!K3</f>
        <v>0</v>
      </c>
      <c r="L3">
        <f>'SoBCaICbIC-commercial'!L3</f>
        <v>0</v>
      </c>
      <c r="M3">
        <f>'SoBCaICbIC-commercial'!M3</f>
        <v>0</v>
      </c>
      <c r="N3">
        <f>'SoBCaICbIC-commercial'!N3</f>
        <v>0</v>
      </c>
      <c r="O3">
        <f>'SoBCaICbIC-commercial'!O3</f>
        <v>0</v>
      </c>
      <c r="P3">
        <f>'SoBCaICbIC-commercial'!P3</f>
        <v>0</v>
      </c>
      <c r="Q3">
        <f>'SoBCaICbIC-commercial'!Q3</f>
        <v>0</v>
      </c>
      <c r="R3">
        <f>'SoBCaICbIC-commercial'!R3</f>
        <v>0</v>
      </c>
      <c r="S3">
        <f>'SoBCaICbIC-commercial'!S3</f>
        <v>0</v>
      </c>
      <c r="T3">
        <f>'SoBCaICbIC-commercial'!T3</f>
        <v>0</v>
      </c>
      <c r="U3">
        <f>'SoBCaICbIC-commercial'!U3</f>
        <v>0</v>
      </c>
      <c r="V3">
        <f>'SoBCaICbIC-commercial'!V3</f>
        <v>0</v>
      </c>
      <c r="W3">
        <f>'SoBCaICbIC-commercial'!W3</f>
        <v>0</v>
      </c>
      <c r="X3">
        <f>'SoBCaICbIC-commercial'!X3</f>
        <v>0</v>
      </c>
      <c r="Y3">
        <f>'SoBCaICbIC-commercial'!Y3</f>
        <v>0.5798301102469372</v>
      </c>
      <c r="Z3">
        <f>'SoBCaICbIC-commercial'!Z3</f>
        <v>0</v>
      </c>
      <c r="AA3">
        <f>'SoBCaICbIC-commercial'!AA3</f>
        <v>0</v>
      </c>
      <c r="AB3">
        <f>'SoBCaICbIC-commercial'!AB3</f>
        <v>0</v>
      </c>
      <c r="AC3">
        <f>'SoBCaICbIC-commercial'!AC3</f>
        <v>0</v>
      </c>
      <c r="AD3">
        <f>'SoBCaICbIC-commercial'!AD3</f>
        <v>0</v>
      </c>
      <c r="AE3">
        <f>'SoBCaICbIC-commercial'!AE3</f>
        <v>0</v>
      </c>
      <c r="AF3">
        <f>'SoBCaICbIC-commercial'!AF3</f>
        <v>0</v>
      </c>
      <c r="AG3">
        <f>'SoBCaICbIC-commercial'!AG3</f>
        <v>0.4201698897530628</v>
      </c>
      <c r="AH3">
        <f>'SoBCaICbIC-commercial'!AH3</f>
        <v>0</v>
      </c>
      <c r="AI3">
        <f>'SoBCaICbIC-commercial'!AI3</f>
        <v>0</v>
      </c>
      <c r="AJ3">
        <f>'SoBCaICbIC-commercial'!AJ3</f>
        <v>0</v>
      </c>
      <c r="AK3">
        <f>'SoBCaICbIC-commercial'!AK3</f>
        <v>0</v>
      </c>
      <c r="AL3">
        <f>'SoBCaICbIC-commercial'!AL3</f>
        <v>0</v>
      </c>
      <c r="AM3">
        <f>'SoBCaICbIC-commercial'!AM3</f>
        <v>0</v>
      </c>
      <c r="AN3">
        <f>'SoBCaICbIC-commercial'!AN3</f>
        <v>0</v>
      </c>
      <c r="AO3">
        <f>'SoBCaICbIC-commercial'!AO3</f>
        <v>0</v>
      </c>
      <c r="AP3">
        <f>'SoBCaICbIC-commercial'!AP3</f>
        <v>0</v>
      </c>
      <c r="AQ3">
        <f>'SoBCaICbIC-commercial'!AQ3</f>
        <v>0</v>
      </c>
      <c r="AR3">
        <f>'SoBCaICbIC-commercial'!AR3</f>
        <v>0</v>
      </c>
      <c r="AS3">
        <f>'SoBCaICbIC-commercial'!AS3</f>
        <v>0</v>
      </c>
      <c r="AT3">
        <f>'SoBCaICbIC-commercial'!AT3</f>
        <v>0</v>
      </c>
      <c r="AU3">
        <f>'SoBCaICbIC-commercial'!AU3</f>
        <v>0</v>
      </c>
      <c r="AV3">
        <f>'SoBCaICbIC-commercial'!AV3</f>
        <v>0</v>
      </c>
      <c r="AW3">
        <f>'SoBCaICbIC-commercial'!AW3</f>
        <v>0</v>
      </c>
      <c r="AX3">
        <f>'SoBCaICbIC-commercial'!AX3</f>
        <v>0</v>
      </c>
      <c r="AY3">
        <f>'SoBCaICbIC-commercial'!AY3</f>
        <v>0</v>
      </c>
      <c r="AZ3">
        <f>'SoBCaICbIC-commercial'!AZ3</f>
        <v>0</v>
      </c>
      <c r="BA3">
        <f>'SoBCaICbIC-commercial'!BA3</f>
        <v>0</v>
      </c>
    </row>
    <row r="4" spans="1:53" x14ac:dyDescent="0.25">
      <c r="A4" t="s">
        <v>66</v>
      </c>
      <c r="B4">
        <f>'SoBCaICbIC-commercial'!B4</f>
        <v>0</v>
      </c>
      <c r="C4">
        <f>'SoBCaICbIC-commercial'!C4</f>
        <v>0</v>
      </c>
      <c r="D4">
        <f>'SoBCaICbIC-commercial'!D4</f>
        <v>0</v>
      </c>
      <c r="E4">
        <f>'SoBCaICbIC-commercial'!E4</f>
        <v>0</v>
      </c>
      <c r="F4">
        <f>'SoBCaICbIC-commercial'!F4</f>
        <v>0</v>
      </c>
      <c r="G4">
        <f>'SoBCaICbIC-commercial'!G4</f>
        <v>0</v>
      </c>
      <c r="H4">
        <f>'SoBCaICbIC-commercial'!H4</f>
        <v>0</v>
      </c>
      <c r="I4">
        <f>'SoBCaICbIC-commercial'!I4</f>
        <v>0</v>
      </c>
      <c r="J4">
        <f>'SoBCaICbIC-commercial'!J4</f>
        <v>0</v>
      </c>
      <c r="K4">
        <f>'SoBCaICbIC-commercial'!K4</f>
        <v>0</v>
      </c>
      <c r="L4">
        <f>'SoBCaICbIC-commercial'!L4</f>
        <v>0</v>
      </c>
      <c r="M4">
        <f>'SoBCaICbIC-commercial'!M4</f>
        <v>0</v>
      </c>
      <c r="N4">
        <f>'SoBCaICbIC-commercial'!N4</f>
        <v>0</v>
      </c>
      <c r="O4">
        <f>'SoBCaICbIC-commercial'!O4</f>
        <v>0</v>
      </c>
      <c r="P4">
        <f>'SoBCaICbIC-commercial'!P4</f>
        <v>0</v>
      </c>
      <c r="Q4">
        <f>'SoBCaICbIC-commercial'!Q4</f>
        <v>0</v>
      </c>
      <c r="R4">
        <f>'SoBCaICbIC-commercial'!R4</f>
        <v>0</v>
      </c>
      <c r="S4">
        <f>'SoBCaICbIC-commercial'!S4</f>
        <v>0</v>
      </c>
      <c r="T4">
        <f>'SoBCaICbIC-commercial'!T4</f>
        <v>0</v>
      </c>
      <c r="U4">
        <f>'SoBCaICbIC-commercial'!U4</f>
        <v>0</v>
      </c>
      <c r="V4">
        <f>'SoBCaICbIC-commercial'!V4</f>
        <v>0</v>
      </c>
      <c r="W4">
        <f>'SoBCaICbIC-commercial'!W4</f>
        <v>0</v>
      </c>
      <c r="X4">
        <f>'SoBCaICbIC-commercial'!X4</f>
        <v>0</v>
      </c>
      <c r="Y4">
        <f>'SoBCaICbIC-commercial'!Y4</f>
        <v>0</v>
      </c>
      <c r="Z4">
        <f>'SoBCaICbIC-commercial'!Z4</f>
        <v>0</v>
      </c>
      <c r="AA4">
        <f>'SoBCaICbIC-commercial'!AA4</f>
        <v>0</v>
      </c>
      <c r="AB4">
        <f>'SoBCaICbIC-commercial'!AB4</f>
        <v>0</v>
      </c>
      <c r="AC4">
        <f>'SoBCaICbIC-commercial'!AC4</f>
        <v>0</v>
      </c>
      <c r="AD4">
        <f>'SoBCaICbIC-commercial'!AD4</f>
        <v>0</v>
      </c>
      <c r="AE4">
        <f>'SoBCaICbIC-commercial'!AE4</f>
        <v>0</v>
      </c>
      <c r="AF4">
        <f>'SoBCaICbIC-commercial'!AF4</f>
        <v>0</v>
      </c>
      <c r="AG4">
        <f>'SoBCaICbIC-commercial'!AG4</f>
        <v>0</v>
      </c>
      <c r="AH4">
        <f>'SoBCaICbIC-commercial'!AH4</f>
        <v>0</v>
      </c>
      <c r="AI4">
        <f>'SoBCaICbIC-commercial'!AI4</f>
        <v>0</v>
      </c>
      <c r="AJ4">
        <f>'SoBCaICbIC-commercial'!AJ4</f>
        <v>0</v>
      </c>
      <c r="AK4">
        <f>'SoBCaICbIC-commercial'!AK4</f>
        <v>0</v>
      </c>
      <c r="AL4">
        <f>'SoBCaICbIC-commercial'!AL4</f>
        <v>0</v>
      </c>
      <c r="AM4">
        <f>'SoBCaICbIC-commercial'!AM4</f>
        <v>0</v>
      </c>
      <c r="AN4">
        <f>'SoBCaICbIC-commercial'!AN4</f>
        <v>0</v>
      </c>
      <c r="AO4">
        <f>'SoBCaICbIC-commercial'!AO4</f>
        <v>0</v>
      </c>
      <c r="AP4">
        <f>'SoBCaICbIC-commercial'!AP4</f>
        <v>0</v>
      </c>
      <c r="AQ4">
        <f>'SoBCaICbIC-commercial'!AQ4</f>
        <v>0</v>
      </c>
      <c r="AR4">
        <f>'SoBCaICbIC-commercial'!AR4</f>
        <v>0</v>
      </c>
      <c r="AS4">
        <f>'SoBCaICbIC-commercial'!AS4</f>
        <v>0</v>
      </c>
      <c r="AT4">
        <f>'SoBCaICbIC-commercial'!AT4</f>
        <v>0</v>
      </c>
      <c r="AU4">
        <f>'SoBCaICbIC-commercial'!AU4</f>
        <v>0</v>
      </c>
      <c r="AV4">
        <f>'SoBCaICbIC-commercial'!AV4</f>
        <v>0</v>
      </c>
      <c r="AW4">
        <f>'SoBCaICbIC-commercial'!AW4</f>
        <v>0</v>
      </c>
      <c r="AX4">
        <f>'SoBCaICbIC-commercial'!AX4</f>
        <v>0</v>
      </c>
      <c r="AY4">
        <f>'SoBCaICbIC-commercial'!AY4</f>
        <v>0</v>
      </c>
      <c r="AZ4">
        <f>'SoBCaICbIC-commercial'!AZ4</f>
        <v>0</v>
      </c>
      <c r="BA4">
        <f>'SoBCaICbIC-commercial'!BA4</f>
        <v>0</v>
      </c>
    </row>
    <row r="5" spans="1:53" x14ac:dyDescent="0.25">
      <c r="A5" t="s">
        <v>68</v>
      </c>
      <c r="B5">
        <f>'SoBCaICbIC-commercial'!B5</f>
        <v>0</v>
      </c>
      <c r="C5">
        <f>'SoBCaICbIC-commercial'!C5</f>
        <v>0</v>
      </c>
      <c r="D5">
        <f>'SoBCaICbIC-commercial'!D5</f>
        <v>0</v>
      </c>
      <c r="E5">
        <f>'SoBCaICbIC-commercial'!E5</f>
        <v>0</v>
      </c>
      <c r="F5">
        <f>'SoBCaICbIC-commercial'!F5</f>
        <v>0</v>
      </c>
      <c r="G5">
        <f>'SoBCaICbIC-commercial'!G5</f>
        <v>0</v>
      </c>
      <c r="H5">
        <f>'SoBCaICbIC-commercial'!H5</f>
        <v>0</v>
      </c>
      <c r="I5">
        <f>'SoBCaICbIC-commercial'!I5</f>
        <v>0</v>
      </c>
      <c r="J5">
        <f>'SoBCaICbIC-commercial'!J5</f>
        <v>0</v>
      </c>
      <c r="K5">
        <f>'SoBCaICbIC-commercial'!K5</f>
        <v>0</v>
      </c>
      <c r="L5">
        <f>'SoBCaICbIC-commercial'!L5</f>
        <v>0</v>
      </c>
      <c r="M5">
        <f>'SoBCaICbIC-commercial'!M5</f>
        <v>0</v>
      </c>
      <c r="N5">
        <f>'SoBCaICbIC-commercial'!N5</f>
        <v>0</v>
      </c>
      <c r="O5">
        <f>'SoBCaICbIC-commercial'!O5</f>
        <v>0</v>
      </c>
      <c r="P5">
        <f>'SoBCaICbIC-commercial'!P5</f>
        <v>0</v>
      </c>
      <c r="Q5">
        <f>'SoBCaICbIC-commercial'!Q5</f>
        <v>0</v>
      </c>
      <c r="R5">
        <f>'SoBCaICbIC-commercial'!R5</f>
        <v>0</v>
      </c>
      <c r="S5">
        <f>'SoBCaICbIC-commercial'!S5</f>
        <v>0</v>
      </c>
      <c r="T5">
        <f>'SoBCaICbIC-commercial'!T5</f>
        <v>0</v>
      </c>
      <c r="U5">
        <f>'SoBCaICbIC-commercial'!U5</f>
        <v>0</v>
      </c>
      <c r="V5">
        <f>'SoBCaICbIC-commercial'!V5</f>
        <v>0</v>
      </c>
      <c r="W5">
        <f>'SoBCaICbIC-commercial'!W5</f>
        <v>0</v>
      </c>
      <c r="X5">
        <f>'SoBCaICbIC-commercial'!X5</f>
        <v>0.40766894664785691</v>
      </c>
      <c r="Y5">
        <f>'SoBCaICbIC-commercial'!Y5</f>
        <v>0</v>
      </c>
      <c r="Z5">
        <f>'SoBCaICbIC-commercial'!Z5</f>
        <v>0</v>
      </c>
      <c r="AA5">
        <f>'SoBCaICbIC-commercial'!AA5</f>
        <v>0</v>
      </c>
      <c r="AB5">
        <f>'SoBCaICbIC-commercial'!AB5</f>
        <v>0</v>
      </c>
      <c r="AC5">
        <f>'SoBCaICbIC-commercial'!AC5</f>
        <v>0</v>
      </c>
      <c r="AD5">
        <f>'SoBCaICbIC-commercial'!AD5</f>
        <v>0</v>
      </c>
      <c r="AE5">
        <f>'SoBCaICbIC-commercial'!AE5</f>
        <v>0</v>
      </c>
      <c r="AF5">
        <f>'SoBCaICbIC-commercial'!AF5</f>
        <v>0</v>
      </c>
      <c r="AG5">
        <f>'SoBCaICbIC-commercial'!AG5</f>
        <v>0.59233105335214309</v>
      </c>
      <c r="AH5">
        <f>'SoBCaICbIC-commercial'!AH5</f>
        <v>0</v>
      </c>
      <c r="AI5">
        <f>'SoBCaICbIC-commercial'!AI5</f>
        <v>0</v>
      </c>
      <c r="AJ5">
        <f>'SoBCaICbIC-commercial'!AJ5</f>
        <v>0</v>
      </c>
      <c r="AK5">
        <f>'SoBCaICbIC-commercial'!AK5</f>
        <v>0</v>
      </c>
      <c r="AL5">
        <f>'SoBCaICbIC-commercial'!AL5</f>
        <v>0</v>
      </c>
      <c r="AM5">
        <f>'SoBCaICbIC-commercial'!AM5</f>
        <v>0</v>
      </c>
      <c r="AN5">
        <f>'SoBCaICbIC-commercial'!AN5</f>
        <v>0</v>
      </c>
      <c r="AO5">
        <f>'SoBCaICbIC-commercial'!AO5</f>
        <v>0</v>
      </c>
      <c r="AP5">
        <f>'SoBCaICbIC-commercial'!AP5</f>
        <v>0</v>
      </c>
      <c r="AQ5">
        <f>'SoBCaICbIC-commercial'!AQ5</f>
        <v>0</v>
      </c>
      <c r="AR5">
        <f>'SoBCaICbIC-commercial'!AR5</f>
        <v>0</v>
      </c>
      <c r="AS5">
        <f>'SoBCaICbIC-commercial'!AS5</f>
        <v>0</v>
      </c>
      <c r="AT5">
        <f>'SoBCaICbIC-commercial'!AT5</f>
        <v>0</v>
      </c>
      <c r="AU5">
        <f>'SoBCaICbIC-commercial'!AU5</f>
        <v>0</v>
      </c>
      <c r="AV5">
        <f>'SoBCaICbIC-commercial'!AV5</f>
        <v>0</v>
      </c>
      <c r="AW5">
        <f>'SoBCaICbIC-commercial'!AW5</f>
        <v>0</v>
      </c>
      <c r="AX5">
        <f>'SoBCaICbIC-commercial'!AX5</f>
        <v>0</v>
      </c>
      <c r="AY5">
        <f>'SoBCaICbIC-commercial'!AY5</f>
        <v>0</v>
      </c>
      <c r="AZ5">
        <f>'SoBCaICbIC-commercial'!AZ5</f>
        <v>0</v>
      </c>
      <c r="BA5">
        <f>'SoBCaICbIC-commercial'!BA5</f>
        <v>0</v>
      </c>
    </row>
    <row r="6" spans="1:53" x14ac:dyDescent="0.25">
      <c r="A6" t="s">
        <v>40</v>
      </c>
      <c r="B6">
        <f>'SoBCaICbIC-commercial'!B6</f>
        <v>0</v>
      </c>
      <c r="C6">
        <f>'SoBCaICbIC-commercial'!C6</f>
        <v>0</v>
      </c>
      <c r="D6">
        <f>'SoBCaICbIC-commercial'!D6</f>
        <v>0</v>
      </c>
      <c r="E6">
        <f>'SoBCaICbIC-commercial'!E6</f>
        <v>0</v>
      </c>
      <c r="F6">
        <f>'SoBCaICbIC-commercial'!F6</f>
        <v>0</v>
      </c>
      <c r="G6">
        <f>'SoBCaICbIC-commercial'!G6</f>
        <v>0</v>
      </c>
      <c r="H6">
        <f>'SoBCaICbIC-commercial'!H6</f>
        <v>0</v>
      </c>
      <c r="I6">
        <f>'SoBCaICbIC-commercial'!I6</f>
        <v>0</v>
      </c>
      <c r="J6">
        <f>'SoBCaICbIC-commercial'!J6</f>
        <v>0</v>
      </c>
      <c r="K6">
        <f>'SoBCaICbIC-commercial'!K6</f>
        <v>0</v>
      </c>
      <c r="L6">
        <f>'SoBCaICbIC-commercial'!L6</f>
        <v>0</v>
      </c>
      <c r="M6">
        <f>'SoBCaICbIC-commercial'!M6</f>
        <v>0</v>
      </c>
      <c r="N6">
        <f>'SoBCaICbIC-commercial'!N6</f>
        <v>0</v>
      </c>
      <c r="O6">
        <f>'SoBCaICbIC-commercial'!O6</f>
        <v>0</v>
      </c>
      <c r="P6">
        <f>'SoBCaICbIC-commercial'!P6</f>
        <v>0</v>
      </c>
      <c r="Q6">
        <f>'SoBCaICbIC-commercial'!Q6</f>
        <v>0</v>
      </c>
      <c r="R6">
        <f>'SoBCaICbIC-commercial'!R6</f>
        <v>0</v>
      </c>
      <c r="S6">
        <f>'SoBCaICbIC-commercial'!S6</f>
        <v>0</v>
      </c>
      <c r="T6">
        <f>'SoBCaICbIC-commercial'!T6</f>
        <v>0</v>
      </c>
      <c r="U6">
        <f>'SoBCaICbIC-commercial'!U6</f>
        <v>0</v>
      </c>
      <c r="V6">
        <f>'SoBCaICbIC-commercial'!V6</f>
        <v>0</v>
      </c>
      <c r="W6">
        <f>'SoBCaICbIC-commercial'!W6</f>
        <v>0</v>
      </c>
      <c r="X6">
        <f>'SoBCaICbIC-commercial'!X6</f>
        <v>0.75439886948727197</v>
      </c>
      <c r="Y6">
        <f>'SoBCaICbIC-commercial'!Y6</f>
        <v>0</v>
      </c>
      <c r="Z6">
        <f>'SoBCaICbIC-commercial'!Z6</f>
        <v>0</v>
      </c>
      <c r="AA6">
        <f>'SoBCaICbIC-commercial'!AA6</f>
        <v>0</v>
      </c>
      <c r="AB6">
        <f>'SoBCaICbIC-commercial'!AB6</f>
        <v>0</v>
      </c>
      <c r="AC6">
        <f>'SoBCaICbIC-commercial'!AC6</f>
        <v>0</v>
      </c>
      <c r="AD6">
        <f>'SoBCaICbIC-commercial'!AD6</f>
        <v>0</v>
      </c>
      <c r="AE6">
        <f>'SoBCaICbIC-commercial'!AE6</f>
        <v>0</v>
      </c>
      <c r="AF6">
        <f>'SoBCaICbIC-commercial'!AF6</f>
        <v>0</v>
      </c>
      <c r="AG6">
        <f>'SoBCaICbIC-commercial'!AG6</f>
        <v>0.24560113051272803</v>
      </c>
      <c r="AH6">
        <f>'SoBCaICbIC-commercial'!AH6</f>
        <v>0</v>
      </c>
      <c r="AI6">
        <f>'SoBCaICbIC-commercial'!AI6</f>
        <v>0</v>
      </c>
      <c r="AJ6">
        <f>'SoBCaICbIC-commercial'!AJ6</f>
        <v>0</v>
      </c>
      <c r="AK6">
        <f>'SoBCaICbIC-commercial'!AK6</f>
        <v>0</v>
      </c>
      <c r="AL6">
        <f>'SoBCaICbIC-commercial'!AL6</f>
        <v>0</v>
      </c>
      <c r="AM6">
        <f>'SoBCaICbIC-commercial'!AM6</f>
        <v>0</v>
      </c>
      <c r="AN6">
        <f>'SoBCaICbIC-commercial'!AN6</f>
        <v>0</v>
      </c>
      <c r="AO6">
        <f>'SoBCaICbIC-commercial'!AO6</f>
        <v>0</v>
      </c>
      <c r="AP6">
        <f>'SoBCaICbIC-commercial'!AP6</f>
        <v>0</v>
      </c>
      <c r="AQ6">
        <f>'SoBCaICbIC-commercial'!AQ6</f>
        <v>0</v>
      </c>
      <c r="AR6">
        <f>'SoBCaICbIC-commercial'!AR6</f>
        <v>0</v>
      </c>
      <c r="AS6">
        <f>'SoBCaICbIC-commercial'!AS6</f>
        <v>0</v>
      </c>
      <c r="AT6">
        <f>'SoBCaICbIC-commercial'!AT6</f>
        <v>0</v>
      </c>
      <c r="AU6">
        <f>'SoBCaICbIC-commercial'!AU6</f>
        <v>0</v>
      </c>
      <c r="AV6">
        <f>'SoBCaICbIC-commercial'!AV6</f>
        <v>0</v>
      </c>
      <c r="AW6">
        <f>'SoBCaICbIC-commercial'!AW6</f>
        <v>0</v>
      </c>
      <c r="AX6">
        <f>'SoBCaICbIC-commercial'!AX6</f>
        <v>0</v>
      </c>
      <c r="AY6">
        <f>'SoBCaICbIC-commercial'!AY6</f>
        <v>0</v>
      </c>
      <c r="AZ6">
        <f>'SoBCaICbIC-commercial'!AZ6</f>
        <v>0</v>
      </c>
      <c r="BA6">
        <f>'SoBCaICbIC-commercial'!BA6</f>
        <v>0</v>
      </c>
    </row>
    <row r="7" spans="1:53" x14ac:dyDescent="0.25">
      <c r="A7" t="s">
        <v>69</v>
      </c>
      <c r="B7">
        <f>'SoBCaICbIC-commercial'!B7</f>
        <v>0</v>
      </c>
      <c r="C7">
        <f>'SoBCaICbIC-commercial'!C7</f>
        <v>0</v>
      </c>
      <c r="D7">
        <f>'SoBCaICbIC-commercial'!D7</f>
        <v>0</v>
      </c>
      <c r="E7">
        <f>'SoBCaICbIC-commercial'!E7</f>
        <v>0</v>
      </c>
      <c r="F7">
        <f>'SoBCaICbIC-commercial'!F7</f>
        <v>0</v>
      </c>
      <c r="G7">
        <f>'SoBCaICbIC-commercial'!G7</f>
        <v>0</v>
      </c>
      <c r="H7">
        <f>'SoBCaICbIC-commercial'!H7</f>
        <v>0</v>
      </c>
      <c r="I7">
        <f>'SoBCaICbIC-commercial'!I7</f>
        <v>0</v>
      </c>
      <c r="J7">
        <f>'SoBCaICbIC-commercial'!J7</f>
        <v>0</v>
      </c>
      <c r="K7">
        <f>'SoBCaICbIC-commercial'!K7</f>
        <v>0</v>
      </c>
      <c r="L7">
        <f>'SoBCaICbIC-commercial'!L7</f>
        <v>0</v>
      </c>
      <c r="M7">
        <f>'SoBCaICbIC-commercial'!M7</f>
        <v>0</v>
      </c>
      <c r="N7">
        <f>'SoBCaICbIC-commercial'!N7</f>
        <v>0</v>
      </c>
      <c r="O7">
        <f>'SoBCaICbIC-commercial'!O7</f>
        <v>0</v>
      </c>
      <c r="P7">
        <f>'SoBCaICbIC-commercial'!P7</f>
        <v>0</v>
      </c>
      <c r="Q7">
        <f>'SoBCaICbIC-commercial'!Q7</f>
        <v>0</v>
      </c>
      <c r="R7">
        <f>'SoBCaICbIC-commercial'!R7</f>
        <v>0</v>
      </c>
      <c r="S7">
        <f>'SoBCaICbIC-commercial'!S7</f>
        <v>0</v>
      </c>
      <c r="T7">
        <f>'SoBCaICbIC-commercial'!T7</f>
        <v>0</v>
      </c>
      <c r="U7">
        <f>'SoBCaICbIC-commercial'!U7</f>
        <v>0</v>
      </c>
      <c r="V7">
        <f>'SoBCaICbIC-commercial'!V7</f>
        <v>0</v>
      </c>
      <c r="W7">
        <f>'SoBCaICbIC-commercial'!W7</f>
        <v>0</v>
      </c>
      <c r="X7">
        <f>'SoBCaICbIC-commercial'!X7</f>
        <v>0.75439886948727197</v>
      </c>
      <c r="Y7">
        <f>'SoBCaICbIC-commercial'!Y7</f>
        <v>0</v>
      </c>
      <c r="Z7">
        <f>'SoBCaICbIC-commercial'!Z7</f>
        <v>0</v>
      </c>
      <c r="AA7">
        <f>'SoBCaICbIC-commercial'!AA7</f>
        <v>0</v>
      </c>
      <c r="AB7">
        <f>'SoBCaICbIC-commercial'!AB7</f>
        <v>0</v>
      </c>
      <c r="AC7">
        <f>'SoBCaICbIC-commercial'!AC7</f>
        <v>0</v>
      </c>
      <c r="AD7">
        <f>'SoBCaICbIC-commercial'!AD7</f>
        <v>0</v>
      </c>
      <c r="AE7">
        <f>'SoBCaICbIC-commercial'!AE7</f>
        <v>0</v>
      </c>
      <c r="AF7">
        <f>'SoBCaICbIC-commercial'!AF7</f>
        <v>0</v>
      </c>
      <c r="AG7">
        <f>'SoBCaICbIC-commercial'!AG7</f>
        <v>0.24560113051272803</v>
      </c>
      <c r="AH7">
        <f>'SoBCaICbIC-commercial'!AH7</f>
        <v>0</v>
      </c>
      <c r="AI7">
        <f>'SoBCaICbIC-commercial'!AI7</f>
        <v>0</v>
      </c>
      <c r="AJ7">
        <f>'SoBCaICbIC-commercial'!AJ7</f>
        <v>0</v>
      </c>
      <c r="AK7">
        <f>'SoBCaICbIC-commercial'!AK7</f>
        <v>0</v>
      </c>
      <c r="AL7">
        <f>'SoBCaICbIC-commercial'!AL7</f>
        <v>0</v>
      </c>
      <c r="AM7">
        <f>'SoBCaICbIC-commercial'!AM7</f>
        <v>0</v>
      </c>
      <c r="AN7">
        <f>'SoBCaICbIC-commercial'!AN7</f>
        <v>0</v>
      </c>
      <c r="AO7">
        <f>'SoBCaICbIC-commercial'!AO7</f>
        <v>0</v>
      </c>
      <c r="AP7">
        <f>'SoBCaICbIC-commercial'!AP7</f>
        <v>0</v>
      </c>
      <c r="AQ7">
        <f>'SoBCaICbIC-commercial'!AQ7</f>
        <v>0</v>
      </c>
      <c r="AR7">
        <f>'SoBCaICbIC-commercial'!AR7</f>
        <v>0</v>
      </c>
      <c r="AS7">
        <f>'SoBCaICbIC-commercial'!AS7</f>
        <v>0</v>
      </c>
      <c r="AT7">
        <f>'SoBCaICbIC-commercial'!AT7</f>
        <v>0</v>
      </c>
      <c r="AU7">
        <f>'SoBCaICbIC-commercial'!AU7</f>
        <v>0</v>
      </c>
      <c r="AV7">
        <f>'SoBCaICbIC-commercial'!AV7</f>
        <v>0</v>
      </c>
      <c r="AW7">
        <f>'SoBCaICbIC-commercial'!AW7</f>
        <v>0</v>
      </c>
      <c r="AX7">
        <f>'SoBCaICbIC-commercial'!AX7</f>
        <v>0</v>
      </c>
      <c r="AY7">
        <f>'SoBCaICbIC-commercial'!AY7</f>
        <v>0</v>
      </c>
      <c r="AZ7">
        <f>'SoBCaICbIC-commercial'!AZ7</f>
        <v>0</v>
      </c>
      <c r="BA7">
        <f>'SoBCaICbIC-commercial'!BA7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3</vt:i4>
      </vt:variant>
    </vt:vector>
  </HeadingPairs>
  <TitlesOfParts>
    <vt:vector size="23" baseType="lpstr">
      <vt:lpstr>About</vt:lpstr>
      <vt:lpstr>Factors applied</vt:lpstr>
      <vt:lpstr>source data&gt;</vt:lpstr>
      <vt:lpstr>OECD Mapping</vt:lpstr>
      <vt:lpstr>ISIC Code Mapping</vt:lpstr>
      <vt:lpstr>Cost Summary New</vt:lpstr>
      <vt:lpstr>COM_NEMS Cost</vt:lpstr>
      <vt:lpstr>calcs&gt;</vt:lpstr>
      <vt:lpstr>Summary_Com Appliances</vt:lpstr>
      <vt:lpstr>Summary_Res Appliances</vt:lpstr>
      <vt:lpstr>Cost Breakdowns</vt:lpstr>
      <vt:lpstr>TableB39</vt:lpstr>
      <vt:lpstr>TableB44</vt:lpstr>
      <vt:lpstr>TableB42</vt:lpstr>
      <vt:lpstr>AEO26 Table 21</vt:lpstr>
      <vt:lpstr>Checks</vt:lpstr>
      <vt:lpstr>SoBCaICbIC-urbanresidential</vt:lpstr>
      <vt:lpstr>SoBCaICbIC-ruralresidential</vt:lpstr>
      <vt:lpstr>SoBCaICbIC-commercial</vt:lpstr>
      <vt:lpstr>SoBCaICbIC-data-centers</vt:lpstr>
      <vt:lpstr>TableB39!Print_Titles</vt:lpstr>
      <vt:lpstr>TableB42!Print_Titles</vt:lpstr>
      <vt:lpstr>TableB44!Print_Titles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Robbie Orvis</cp:lastModifiedBy>
  <dcterms:created xsi:type="dcterms:W3CDTF">2020-06-18T16:32:51Z</dcterms:created>
  <dcterms:modified xsi:type="dcterms:W3CDTF">2026-10-23T18:37:45Z</dcterms:modified>
</cp:coreProperties>
</file>